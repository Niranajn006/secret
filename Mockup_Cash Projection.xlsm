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tables/table2.xml" ContentType="application/vnd.openxmlformats-officedocument.spreadsheetml.table+xml"/>
  <Override PartName="/xl/pivotTables/pivotTable1.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K:\Investment_Management\Share\MM Cash\Shortcuts\Link\"/>
    </mc:Choice>
  </mc:AlternateContent>
  <xr:revisionPtr revIDLastSave="0" documentId="10_ncr:100000_{F8493FAB-15B4-4D72-8059-A74BAED7C511}" xr6:coauthVersionLast="31" xr6:coauthVersionMax="37" xr10:uidLastSave="{00000000-0000-0000-0000-000000000000}"/>
  <bookViews>
    <workbookView xWindow="0" yWindow="0" windowWidth="17250" windowHeight="5460" tabRatio="773" firstSheet="3" activeTab="13" xr2:uid="{E08E77EE-9924-47FE-AAE7-6DCE3B0B614C}"/>
  </bookViews>
  <sheets>
    <sheet name="Main" sheetId="4" r:id="rId1"/>
    <sheet name="Auction Sim" sheetId="19" r:id="rId2"/>
    <sheet name="Port Sim" sheetId="21" r:id="rId3"/>
    <sheet name="MTM" sheetId="23" r:id="rId4"/>
    <sheet name="Data" sheetId="2" r:id="rId5"/>
    <sheet name="Port Attribute" sheetId="17" r:id="rId6"/>
    <sheet name="SCBSFF" sheetId="8" r:id="rId7"/>
    <sheet name="SCBRM1" sheetId="7" r:id="rId8"/>
    <sheet name="SCBRM2" sheetId="9" r:id="rId9"/>
    <sheet name="SCBRF" sheetId="10" r:id="rId10"/>
    <sheet name="SCBSFFPLUS" sheetId="11" r:id="rId11"/>
    <sheet name="SCBTMF" sheetId="12" r:id="rId12"/>
    <sheet name="SCBTMFPLUS" sheetId="13" r:id="rId13"/>
    <sheet name="SCBFPFUND" sheetId="14" r:id="rId14"/>
    <sheet name="SCBPLUS" sheetId="16" r:id="rId15"/>
    <sheet name="SCBFIXED" sheetId="15" r:id="rId16"/>
    <sheet name="DDE" sheetId="1" r:id="rId17"/>
    <sheet name="Term Fund List" sheetId="20" r:id="rId18"/>
    <sheet name="Cash Intraday" sheetId="6" r:id="rId19"/>
    <sheet name="Cash Projection" sheetId="3" r:id="rId20"/>
  </sheets>
  <externalReferences>
    <externalReference r:id="rId21"/>
  </externalReferences>
  <definedNames>
    <definedName name="_xlnm._FilterDatabase" localSheetId="18" hidden="1">'Cash Intraday'!$A$1:$H$870</definedName>
    <definedName name="_xlnm._FilterDatabase" localSheetId="3" hidden="1">MTM!$A$2:$Z$2</definedName>
  </definedNames>
  <calcPr calcId="179017"/>
  <pivotCaches>
    <pivotCache cacheId="18" r:id="rId22"/>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26" i="14" l="1"/>
  <c r="M26" i="9"/>
  <c r="M10" i="16"/>
  <c r="M10" i="13"/>
  <c r="M10" i="12"/>
  <c r="M22" i="11"/>
  <c r="M10" i="11"/>
  <c r="M10" i="10"/>
  <c r="M10" i="9"/>
  <c r="M10" i="7"/>
  <c r="I2" i="6" l="1"/>
  <c r="I3" i="6"/>
  <c r="I4" i="6"/>
  <c r="I5" i="6"/>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I109" i="6"/>
  <c r="I110" i="6"/>
  <c r="I111" i="6"/>
  <c r="I112" i="6"/>
  <c r="I113" i="6"/>
  <c r="I114" i="6"/>
  <c r="I115" i="6"/>
  <c r="I116" i="6"/>
  <c r="I117" i="6"/>
  <c r="I118" i="6"/>
  <c r="I119" i="6"/>
  <c r="I120" i="6"/>
  <c r="I121" i="6"/>
  <c r="I122" i="6"/>
  <c r="I123" i="6"/>
  <c r="I124" i="6"/>
  <c r="I125" i="6"/>
  <c r="I126" i="6"/>
  <c r="I127" i="6"/>
  <c r="I128" i="6"/>
  <c r="I129" i="6"/>
  <c r="I130" i="6"/>
  <c r="I131" i="6"/>
  <c r="I132" i="6"/>
  <c r="I133" i="6"/>
  <c r="I134" i="6"/>
  <c r="I135" i="6"/>
  <c r="I136" i="6"/>
  <c r="I137" i="6"/>
  <c r="I138" i="6"/>
  <c r="I139" i="6"/>
  <c r="I140" i="6"/>
  <c r="I141" i="6"/>
  <c r="I142" i="6"/>
  <c r="I143" i="6"/>
  <c r="I144" i="6"/>
  <c r="I145" i="6"/>
  <c r="I146" i="6"/>
  <c r="I147" i="6"/>
  <c r="I148" i="6"/>
  <c r="I149" i="6"/>
  <c r="I150" i="6"/>
  <c r="I151" i="6"/>
  <c r="I152" i="6"/>
  <c r="I153" i="6"/>
  <c r="I154" i="6"/>
  <c r="I155" i="6"/>
  <c r="I156" i="6"/>
  <c r="I157" i="6"/>
  <c r="I158" i="6"/>
  <c r="I159" i="6"/>
  <c r="I160" i="6"/>
  <c r="I161" i="6"/>
  <c r="I162" i="6"/>
  <c r="I163" i="6"/>
  <c r="I164" i="6"/>
  <c r="I165" i="6"/>
  <c r="I166" i="6"/>
  <c r="I167" i="6"/>
  <c r="I168" i="6"/>
  <c r="I169" i="6"/>
  <c r="I170" i="6"/>
  <c r="I171" i="6"/>
  <c r="I172" i="6"/>
  <c r="I173" i="6"/>
  <c r="I174" i="6"/>
  <c r="I175" i="6"/>
  <c r="I176" i="6"/>
  <c r="I177" i="6"/>
  <c r="I178" i="6"/>
  <c r="I179" i="6"/>
  <c r="I180" i="6"/>
  <c r="I181" i="6"/>
  <c r="I182" i="6"/>
  <c r="I183" i="6"/>
  <c r="I184" i="6"/>
  <c r="I185" i="6"/>
  <c r="I186" i="6"/>
  <c r="I187" i="6"/>
  <c r="I188" i="6"/>
  <c r="I189" i="6"/>
  <c r="I190" i="6"/>
  <c r="I191" i="6"/>
  <c r="I192" i="6"/>
  <c r="I193" i="6"/>
  <c r="I194" i="6"/>
  <c r="I195" i="6"/>
  <c r="I196" i="6"/>
  <c r="I197" i="6"/>
  <c r="I198" i="6"/>
  <c r="I199" i="6"/>
  <c r="I200" i="6"/>
  <c r="I201" i="6"/>
  <c r="I202" i="6"/>
  <c r="I203" i="6"/>
  <c r="I204" i="6"/>
  <c r="I205" i="6"/>
  <c r="I206" i="6"/>
  <c r="I207" i="6"/>
  <c r="I208" i="6"/>
  <c r="I209" i="6"/>
  <c r="I210" i="6"/>
  <c r="I211" i="6"/>
  <c r="I212" i="6"/>
  <c r="I213" i="6"/>
  <c r="I214" i="6"/>
  <c r="I215" i="6"/>
  <c r="I216" i="6"/>
  <c r="I217" i="6"/>
  <c r="I218" i="6"/>
  <c r="I219" i="6"/>
  <c r="I220" i="6"/>
  <c r="I221" i="6"/>
  <c r="I222" i="6"/>
  <c r="I223" i="6"/>
  <c r="I224" i="6"/>
  <c r="I225" i="6"/>
  <c r="I226" i="6"/>
  <c r="I227" i="6"/>
  <c r="I228" i="6"/>
  <c r="I229" i="6"/>
  <c r="I230" i="6"/>
  <c r="I231" i="6"/>
  <c r="I232" i="6"/>
  <c r="I233" i="6"/>
  <c r="I234" i="6"/>
  <c r="I235" i="6"/>
  <c r="I236" i="6"/>
  <c r="I237" i="6"/>
  <c r="I238" i="6"/>
  <c r="I239" i="6"/>
  <c r="I240" i="6"/>
  <c r="I241" i="6"/>
  <c r="I242" i="6"/>
  <c r="I243" i="6"/>
  <c r="I244" i="6"/>
  <c r="I245" i="6"/>
  <c r="I246" i="6"/>
  <c r="I247" i="6"/>
  <c r="I248" i="6"/>
  <c r="I249" i="6"/>
  <c r="I250" i="6"/>
  <c r="I251" i="6"/>
  <c r="I252" i="6"/>
  <c r="I253" i="6"/>
  <c r="I254" i="6"/>
  <c r="I255" i="6"/>
  <c r="I256" i="6"/>
  <c r="I257" i="6"/>
  <c r="I258" i="6"/>
  <c r="I259" i="6"/>
  <c r="I260" i="6"/>
  <c r="I261" i="6"/>
  <c r="I262" i="6"/>
  <c r="I263" i="6"/>
  <c r="I264" i="6"/>
  <c r="I265" i="6"/>
  <c r="I266" i="6"/>
  <c r="I267" i="6"/>
  <c r="I268" i="6"/>
  <c r="I269" i="6"/>
  <c r="I270" i="6"/>
  <c r="I271" i="6"/>
  <c r="I272" i="6"/>
  <c r="I273" i="6"/>
  <c r="I274" i="6"/>
  <c r="I275" i="6"/>
  <c r="I276" i="6"/>
  <c r="I277" i="6"/>
  <c r="I278" i="6"/>
  <c r="I279" i="6"/>
  <c r="I280" i="6"/>
  <c r="I281" i="6"/>
  <c r="I282" i="6"/>
  <c r="I283" i="6"/>
  <c r="I284" i="6"/>
  <c r="I285" i="6"/>
  <c r="I286" i="6"/>
  <c r="I287" i="6"/>
  <c r="I288" i="6"/>
  <c r="I289" i="6"/>
  <c r="I290" i="6"/>
  <c r="I291" i="6"/>
  <c r="I292" i="6"/>
  <c r="I293" i="6"/>
  <c r="I294" i="6"/>
  <c r="I295" i="6"/>
  <c r="I296" i="6"/>
  <c r="I297" i="6"/>
  <c r="I298" i="6"/>
  <c r="I299" i="6"/>
  <c r="I300" i="6"/>
  <c r="I301" i="6"/>
  <c r="I302" i="6"/>
  <c r="I303" i="6"/>
  <c r="I304" i="6"/>
  <c r="I305" i="6"/>
  <c r="I306" i="6"/>
  <c r="I307" i="6"/>
  <c r="I308" i="6"/>
  <c r="I309" i="6"/>
  <c r="I310" i="6"/>
  <c r="I311" i="6"/>
  <c r="I312" i="6"/>
  <c r="I313" i="6"/>
  <c r="I314" i="6"/>
  <c r="I315" i="6"/>
  <c r="I316" i="6"/>
  <c r="I317" i="6"/>
  <c r="I318" i="6"/>
  <c r="I319" i="6"/>
  <c r="I320" i="6"/>
  <c r="I321" i="6"/>
  <c r="I322" i="6"/>
  <c r="I323" i="6"/>
  <c r="I324" i="6"/>
  <c r="I325" i="6"/>
  <c r="I326" i="6"/>
  <c r="I327" i="6"/>
  <c r="I328" i="6"/>
  <c r="I329" i="6"/>
  <c r="I330" i="6"/>
  <c r="I331" i="6"/>
  <c r="I332" i="6"/>
  <c r="I333" i="6"/>
  <c r="I334" i="6"/>
  <c r="I335" i="6"/>
  <c r="I336" i="6"/>
  <c r="I337" i="6"/>
  <c r="I338" i="6"/>
  <c r="I339" i="6"/>
  <c r="I340" i="6"/>
  <c r="I341" i="6"/>
  <c r="I342" i="6"/>
  <c r="I343" i="6"/>
  <c r="I344" i="6"/>
  <c r="I345" i="6"/>
  <c r="I346" i="6"/>
  <c r="I347" i="6"/>
  <c r="I348" i="6"/>
  <c r="I349" i="6"/>
  <c r="I350" i="6"/>
  <c r="I351" i="6"/>
  <c r="I352" i="6"/>
  <c r="I353" i="6"/>
  <c r="I354" i="6"/>
  <c r="I355" i="6"/>
  <c r="I356" i="6"/>
  <c r="I357" i="6"/>
  <c r="I358" i="6"/>
  <c r="I359" i="6"/>
  <c r="I360" i="6"/>
  <c r="I361" i="6"/>
  <c r="I362" i="6"/>
  <c r="I363" i="6"/>
  <c r="I364" i="6"/>
  <c r="I365" i="6"/>
  <c r="I366" i="6"/>
  <c r="I367" i="6"/>
  <c r="I368" i="6"/>
  <c r="I369" i="6"/>
  <c r="I370" i="6"/>
  <c r="I371" i="6"/>
  <c r="I372" i="6"/>
  <c r="I373" i="6"/>
  <c r="I374" i="6"/>
  <c r="I375" i="6"/>
  <c r="I376" i="6"/>
  <c r="I377" i="6"/>
  <c r="I378" i="6"/>
  <c r="I379" i="6"/>
  <c r="I380" i="6"/>
  <c r="I381" i="6"/>
  <c r="I382" i="6"/>
  <c r="I383" i="6"/>
  <c r="I384" i="6"/>
  <c r="I385" i="6"/>
  <c r="I386" i="6"/>
  <c r="I387" i="6"/>
  <c r="I388" i="6"/>
  <c r="I389" i="6"/>
  <c r="I390" i="6"/>
  <c r="I391" i="6"/>
  <c r="I392" i="6"/>
  <c r="I393" i="6"/>
  <c r="I394" i="6"/>
  <c r="I395" i="6"/>
  <c r="I396" i="6"/>
  <c r="I397" i="6"/>
  <c r="I398" i="6"/>
  <c r="I399" i="6"/>
  <c r="I400" i="6"/>
  <c r="I401" i="6"/>
  <c r="I402" i="6"/>
  <c r="I403" i="6"/>
  <c r="I404" i="6"/>
  <c r="I405" i="6"/>
  <c r="I406" i="6"/>
  <c r="I407" i="6"/>
  <c r="I408" i="6"/>
  <c r="I409" i="6"/>
  <c r="I410" i="6"/>
  <c r="I411" i="6"/>
  <c r="I412" i="6"/>
  <c r="I413" i="6"/>
  <c r="I414" i="6"/>
  <c r="I415" i="6"/>
  <c r="I416" i="6"/>
  <c r="I417" i="6"/>
  <c r="I418" i="6"/>
  <c r="I419" i="6"/>
  <c r="I420" i="6"/>
  <c r="I421" i="6"/>
  <c r="I422" i="6"/>
  <c r="I423" i="6"/>
  <c r="I424" i="6"/>
  <c r="I425" i="6"/>
  <c r="I426" i="6"/>
  <c r="I427" i="6"/>
  <c r="I428" i="6"/>
  <c r="I429" i="6"/>
  <c r="I430" i="6"/>
  <c r="I431" i="6"/>
  <c r="I432" i="6"/>
  <c r="I433" i="6"/>
  <c r="I434" i="6"/>
  <c r="I435" i="6"/>
  <c r="I436" i="6"/>
  <c r="I437" i="6"/>
  <c r="I438" i="6"/>
  <c r="I439" i="6"/>
  <c r="I440" i="6"/>
  <c r="I441" i="6"/>
  <c r="I442" i="6"/>
  <c r="I443" i="6"/>
  <c r="I444" i="6"/>
  <c r="I445" i="6"/>
  <c r="I446" i="6"/>
  <c r="I447" i="6"/>
  <c r="I448" i="6"/>
  <c r="I449" i="6"/>
  <c r="I450" i="6"/>
  <c r="I451" i="6"/>
  <c r="I452" i="6"/>
  <c r="I453" i="6"/>
  <c r="I454" i="6"/>
  <c r="I455" i="6"/>
  <c r="I456" i="6"/>
  <c r="I457" i="6"/>
  <c r="I458" i="6"/>
  <c r="I459" i="6"/>
  <c r="I460" i="6"/>
  <c r="I461" i="6"/>
  <c r="I462" i="6"/>
  <c r="I463" i="6"/>
  <c r="I464" i="6"/>
  <c r="I465" i="6"/>
  <c r="I466" i="6"/>
  <c r="I467" i="6"/>
  <c r="I468" i="6"/>
  <c r="I469" i="6"/>
  <c r="I470" i="6"/>
  <c r="I471" i="6"/>
  <c r="I472" i="6"/>
  <c r="I473" i="6"/>
  <c r="I474" i="6"/>
  <c r="I475" i="6"/>
  <c r="I476" i="6"/>
  <c r="I477" i="6"/>
  <c r="I478" i="6"/>
  <c r="I479" i="6"/>
  <c r="I480" i="6"/>
  <c r="I481" i="6"/>
  <c r="I482" i="6"/>
  <c r="I483" i="6"/>
  <c r="I484" i="6"/>
  <c r="I485" i="6"/>
  <c r="I486" i="6"/>
  <c r="I487" i="6"/>
  <c r="I488" i="6"/>
  <c r="I489" i="6"/>
  <c r="I490" i="6"/>
  <c r="I491" i="6"/>
  <c r="I492" i="6"/>
  <c r="I493" i="6"/>
  <c r="I494" i="6"/>
  <c r="I495" i="6"/>
  <c r="I496" i="6"/>
  <c r="I497" i="6"/>
  <c r="I498" i="6"/>
  <c r="I499" i="6"/>
  <c r="I500" i="6"/>
  <c r="I501" i="6"/>
  <c r="I502" i="6"/>
  <c r="I503" i="6"/>
  <c r="I504" i="6"/>
  <c r="I505" i="6"/>
  <c r="I506" i="6"/>
  <c r="I507" i="6"/>
  <c r="I508" i="6"/>
  <c r="I509" i="6"/>
  <c r="I510" i="6"/>
  <c r="I511" i="6"/>
  <c r="I512" i="6"/>
  <c r="I513" i="6"/>
  <c r="I514" i="6"/>
  <c r="I515" i="6"/>
  <c r="I516" i="6"/>
  <c r="I517" i="6"/>
  <c r="I518" i="6"/>
  <c r="I519" i="6"/>
  <c r="I520" i="6"/>
  <c r="I521" i="6"/>
  <c r="I522" i="6"/>
  <c r="I523" i="6"/>
  <c r="I524" i="6"/>
  <c r="I525" i="6"/>
  <c r="I526" i="6"/>
  <c r="I527" i="6"/>
  <c r="I528" i="6"/>
  <c r="I529" i="6"/>
  <c r="I530" i="6"/>
  <c r="I531" i="6"/>
  <c r="I532" i="6"/>
  <c r="I533" i="6"/>
  <c r="I534" i="6"/>
  <c r="I535" i="6"/>
  <c r="I536" i="6"/>
  <c r="I537" i="6"/>
  <c r="I538" i="6"/>
  <c r="I539" i="6"/>
  <c r="I540" i="6"/>
  <c r="I541" i="6"/>
  <c r="I542" i="6"/>
  <c r="I543" i="6"/>
  <c r="I544" i="6"/>
  <c r="I545" i="6"/>
  <c r="I546" i="6"/>
  <c r="I547" i="6"/>
  <c r="I548" i="6"/>
  <c r="I549" i="6"/>
  <c r="I550" i="6"/>
  <c r="I551" i="6"/>
  <c r="I552" i="6"/>
  <c r="I553" i="6"/>
  <c r="I554" i="6"/>
  <c r="I555" i="6"/>
  <c r="I556" i="6"/>
  <c r="I557" i="6"/>
  <c r="I558" i="6"/>
  <c r="I559" i="6"/>
  <c r="I560" i="6"/>
  <c r="I561" i="6"/>
  <c r="I562" i="6"/>
  <c r="I563" i="6"/>
  <c r="I564" i="6"/>
  <c r="I565" i="6"/>
  <c r="I566" i="6"/>
  <c r="I567" i="6"/>
  <c r="I568" i="6"/>
  <c r="I569" i="6"/>
  <c r="I570" i="6"/>
  <c r="I571" i="6"/>
  <c r="I572" i="6"/>
  <c r="I573" i="6"/>
  <c r="I574" i="6"/>
  <c r="I575" i="6"/>
  <c r="I576" i="6"/>
  <c r="I577" i="6"/>
  <c r="I578" i="6"/>
  <c r="I579" i="6"/>
  <c r="I580" i="6"/>
  <c r="I581" i="6"/>
  <c r="I582" i="6"/>
  <c r="I583" i="6"/>
  <c r="I584" i="6"/>
  <c r="I585" i="6"/>
  <c r="I586" i="6"/>
  <c r="I587" i="6"/>
  <c r="I588" i="6"/>
  <c r="I589" i="6"/>
  <c r="I590" i="6"/>
  <c r="I591" i="6"/>
  <c r="I592" i="6"/>
  <c r="I593" i="6"/>
  <c r="I594" i="6"/>
  <c r="I595" i="6"/>
  <c r="I596" i="6"/>
  <c r="I597" i="6"/>
  <c r="I598" i="6"/>
  <c r="I599" i="6"/>
  <c r="I600" i="6"/>
  <c r="I601" i="6"/>
  <c r="I602" i="6"/>
  <c r="I603" i="6"/>
  <c r="I604" i="6"/>
  <c r="I605" i="6"/>
  <c r="I606" i="6"/>
  <c r="I607" i="6"/>
  <c r="I608" i="6"/>
  <c r="I609" i="6"/>
  <c r="I610" i="6"/>
  <c r="I611" i="6"/>
  <c r="I612" i="6"/>
  <c r="I613" i="6"/>
  <c r="I614" i="6"/>
  <c r="I615" i="6"/>
  <c r="I616" i="6"/>
  <c r="I617" i="6"/>
  <c r="I618" i="6"/>
  <c r="I619" i="6"/>
  <c r="I620" i="6"/>
  <c r="I621" i="6"/>
  <c r="I622" i="6"/>
  <c r="I623" i="6"/>
  <c r="I624" i="6"/>
  <c r="I625" i="6"/>
  <c r="I626" i="6"/>
  <c r="I627" i="6"/>
  <c r="I628" i="6"/>
  <c r="I629" i="6"/>
  <c r="I630" i="6"/>
  <c r="I631" i="6"/>
  <c r="I632" i="6"/>
  <c r="I633" i="6"/>
  <c r="I634" i="6"/>
  <c r="I635" i="6"/>
  <c r="I636" i="6"/>
  <c r="I637" i="6"/>
  <c r="I638" i="6"/>
  <c r="I639" i="6"/>
  <c r="I640" i="6"/>
  <c r="I641" i="6"/>
  <c r="I642" i="6"/>
  <c r="I643" i="6"/>
  <c r="I644" i="6"/>
  <c r="I645" i="6"/>
  <c r="I646" i="6"/>
  <c r="I647" i="6"/>
  <c r="I648" i="6"/>
  <c r="I649" i="6"/>
  <c r="I650" i="6"/>
  <c r="I651" i="6"/>
  <c r="I652" i="6"/>
  <c r="I653" i="6"/>
  <c r="I654" i="6"/>
  <c r="I655" i="6"/>
  <c r="I656" i="6"/>
  <c r="I657" i="6"/>
  <c r="I658" i="6"/>
  <c r="I659" i="6"/>
  <c r="I660" i="6"/>
  <c r="I661" i="6"/>
  <c r="I662" i="6"/>
  <c r="I663" i="6"/>
  <c r="I664" i="6"/>
  <c r="I665" i="6"/>
  <c r="I666" i="6"/>
  <c r="I667" i="6"/>
  <c r="I668" i="6"/>
  <c r="I669" i="6"/>
  <c r="I670" i="6"/>
  <c r="I671" i="6"/>
  <c r="I672" i="6"/>
  <c r="I673" i="6"/>
  <c r="I674" i="6"/>
  <c r="I675" i="6"/>
  <c r="I676" i="6"/>
  <c r="I677" i="6"/>
  <c r="I678" i="6"/>
  <c r="I679" i="6"/>
  <c r="I680" i="6"/>
  <c r="I681" i="6"/>
  <c r="I682" i="6"/>
  <c r="I683" i="6"/>
  <c r="I684" i="6"/>
  <c r="I685" i="6"/>
  <c r="I686" i="6"/>
  <c r="I687" i="6"/>
  <c r="I688" i="6"/>
  <c r="I689" i="6"/>
  <c r="I690" i="6"/>
  <c r="I691" i="6"/>
  <c r="I692" i="6"/>
  <c r="I693" i="6"/>
  <c r="I694" i="6"/>
  <c r="I695" i="6"/>
  <c r="I696" i="6"/>
  <c r="I697" i="6"/>
  <c r="I698" i="6"/>
  <c r="I699" i="6"/>
  <c r="I700" i="6"/>
  <c r="I701" i="6"/>
  <c r="I702" i="6"/>
  <c r="I703" i="6"/>
  <c r="I704" i="6"/>
  <c r="I705" i="6"/>
  <c r="I706" i="6"/>
  <c r="I707" i="6"/>
  <c r="I708" i="6"/>
  <c r="I709" i="6"/>
  <c r="I710" i="6"/>
  <c r="I711" i="6"/>
  <c r="I712" i="6"/>
  <c r="I713" i="6"/>
  <c r="I714" i="6"/>
  <c r="I715" i="6"/>
  <c r="I716" i="6"/>
  <c r="I717" i="6"/>
  <c r="I718" i="6"/>
  <c r="I719" i="6"/>
  <c r="I720" i="6"/>
  <c r="I721" i="6"/>
  <c r="I722" i="6"/>
  <c r="I723" i="6"/>
  <c r="I724" i="6"/>
  <c r="I725" i="6"/>
  <c r="I726" i="6"/>
  <c r="I727" i="6"/>
  <c r="I728" i="6"/>
  <c r="I729" i="6"/>
  <c r="I730" i="6"/>
  <c r="I731" i="6"/>
  <c r="I732" i="6"/>
  <c r="I733" i="6"/>
  <c r="I734" i="6"/>
  <c r="I735" i="6"/>
  <c r="I736" i="6"/>
  <c r="I737" i="6"/>
  <c r="I738" i="6"/>
  <c r="I739" i="6"/>
  <c r="I740" i="6"/>
  <c r="I741" i="6"/>
  <c r="I742" i="6"/>
  <c r="I743" i="6"/>
  <c r="I744" i="6"/>
  <c r="I745" i="6"/>
  <c r="I746" i="6"/>
  <c r="I747" i="6"/>
  <c r="I748" i="6"/>
  <c r="I749" i="6"/>
  <c r="I750" i="6"/>
  <c r="I751" i="6"/>
  <c r="I752" i="6"/>
  <c r="I753" i="6"/>
  <c r="I754" i="6"/>
  <c r="I755" i="6"/>
  <c r="I756" i="6"/>
  <c r="I757" i="6"/>
  <c r="I758" i="6"/>
  <c r="I759" i="6"/>
  <c r="I760" i="6"/>
  <c r="I761" i="6"/>
  <c r="I762" i="6"/>
  <c r="I763" i="6"/>
  <c r="I764" i="6"/>
  <c r="I765" i="6"/>
  <c r="I766" i="6"/>
  <c r="I767" i="6"/>
  <c r="I768" i="6"/>
  <c r="I769" i="6"/>
  <c r="I770" i="6"/>
  <c r="I771" i="6"/>
  <c r="I772" i="6"/>
  <c r="I773" i="6"/>
  <c r="I774" i="6"/>
  <c r="I775" i="6"/>
  <c r="I776" i="6"/>
  <c r="I777" i="6"/>
  <c r="I778" i="6"/>
  <c r="I779" i="6"/>
  <c r="I780" i="6"/>
  <c r="I781" i="6"/>
  <c r="I782" i="6"/>
  <c r="I783" i="6"/>
  <c r="I784" i="6"/>
  <c r="I785" i="6"/>
  <c r="I786" i="6"/>
  <c r="I787" i="6"/>
  <c r="I788" i="6"/>
  <c r="I789" i="6"/>
  <c r="I790" i="6"/>
  <c r="I791" i="6"/>
  <c r="I792" i="6"/>
  <c r="I793" i="6"/>
  <c r="I794" i="6"/>
  <c r="I795" i="6"/>
  <c r="I796" i="6"/>
  <c r="I797" i="6"/>
  <c r="I798" i="6"/>
  <c r="I799" i="6"/>
  <c r="I800" i="6"/>
  <c r="I801" i="6"/>
  <c r="I802" i="6"/>
  <c r="I803" i="6"/>
  <c r="I804" i="6"/>
  <c r="I805" i="6"/>
  <c r="I806" i="6"/>
  <c r="I807" i="6"/>
  <c r="I808" i="6"/>
  <c r="I809" i="6"/>
  <c r="I810" i="6"/>
  <c r="I811" i="6"/>
  <c r="I812" i="6"/>
  <c r="I813" i="6"/>
  <c r="I814" i="6"/>
  <c r="I815" i="6"/>
  <c r="I816" i="6"/>
  <c r="I817" i="6"/>
  <c r="I818" i="6"/>
  <c r="I819" i="6"/>
  <c r="I820" i="6"/>
  <c r="I821" i="6"/>
  <c r="I822" i="6"/>
  <c r="I823" i="6"/>
  <c r="I824" i="6"/>
  <c r="I825" i="6"/>
  <c r="I826" i="6"/>
  <c r="I827" i="6"/>
  <c r="I828" i="6"/>
  <c r="I829" i="6"/>
  <c r="I830" i="6"/>
  <c r="I831" i="6"/>
  <c r="I832" i="6"/>
  <c r="I833" i="6"/>
  <c r="I834" i="6"/>
  <c r="I835" i="6"/>
  <c r="I836" i="6"/>
  <c r="I837" i="6"/>
  <c r="I838" i="6"/>
  <c r="I839" i="6"/>
  <c r="I840" i="6"/>
  <c r="I841" i="6"/>
  <c r="I842" i="6"/>
  <c r="I843" i="6"/>
  <c r="I844" i="6"/>
  <c r="I845" i="6"/>
  <c r="I846" i="6"/>
  <c r="I847" i="6"/>
  <c r="I848" i="6"/>
  <c r="I849" i="6"/>
  <c r="I850" i="6"/>
  <c r="I851" i="6"/>
  <c r="I852" i="6"/>
  <c r="I853" i="6"/>
  <c r="I854" i="6"/>
  <c r="I855" i="6"/>
  <c r="I856" i="6"/>
  <c r="I857" i="6"/>
  <c r="I858" i="6"/>
  <c r="I859" i="6"/>
  <c r="I860" i="6"/>
  <c r="I861" i="6"/>
  <c r="I862" i="6"/>
  <c r="I863" i="6"/>
  <c r="I864" i="6"/>
  <c r="I865" i="6"/>
  <c r="I866" i="6"/>
  <c r="I867" i="6"/>
  <c r="I868" i="6"/>
  <c r="I869" i="6"/>
  <c r="I870" i="6"/>
  <c r="B4" i="21" l="1"/>
  <c r="B5" i="21"/>
  <c r="B6" i="21"/>
  <c r="B7" i="21"/>
  <c r="B8" i="21"/>
  <c r="B9" i="21"/>
  <c r="B10" i="21"/>
  <c r="B11" i="21"/>
  <c r="B12" i="21"/>
  <c r="B3" i="21"/>
  <c r="C1" i="21"/>
  <c r="L27" i="11" l="1"/>
  <c r="L22" i="11"/>
  <c r="L38" i="14"/>
  <c r="L38" i="11"/>
  <c r="L45" i="8"/>
  <c r="AA2" i="3" l="1"/>
  <c r="AA3" i="3"/>
  <c r="AA4" i="3"/>
  <c r="AA5" i="3"/>
  <c r="P22" i="16" s="1"/>
  <c r="AA6" i="3"/>
  <c r="AA7" i="3"/>
  <c r="AA8" i="3"/>
  <c r="AA9" i="3"/>
  <c r="AA10" i="3"/>
  <c r="AA11" i="3"/>
  <c r="AA12" i="3"/>
  <c r="AA13" i="3"/>
  <c r="AA14" i="3"/>
  <c r="AA15" i="3"/>
  <c r="AA16" i="3"/>
  <c r="AA17" i="3"/>
  <c r="AA18" i="3"/>
  <c r="AA19" i="3"/>
  <c r="AA20" i="3"/>
  <c r="AA21" i="3"/>
  <c r="AA22" i="3"/>
  <c r="AA23" i="3"/>
  <c r="AA24" i="3"/>
  <c r="AA25" i="3"/>
  <c r="AA26" i="3"/>
  <c r="AA27" i="3"/>
  <c r="AA28" i="3"/>
  <c r="AA29" i="3"/>
  <c r="AA30" i="3"/>
  <c r="AA31" i="3"/>
  <c r="AA32" i="3"/>
  <c r="AA33" i="3"/>
  <c r="AA34" i="3"/>
  <c r="AA35" i="3"/>
  <c r="AA36" i="3"/>
  <c r="AA37" i="3"/>
  <c r="AA38" i="3"/>
  <c r="AA39" i="3"/>
  <c r="AA40" i="3"/>
  <c r="AA41" i="3"/>
  <c r="AA42" i="3"/>
  <c r="AA43" i="3"/>
  <c r="AA44" i="3"/>
  <c r="AA45" i="3"/>
  <c r="AA46" i="3"/>
  <c r="AA47" i="3"/>
  <c r="AA48" i="3"/>
  <c r="AA49" i="3"/>
  <c r="AA50" i="3"/>
  <c r="AA51" i="3"/>
  <c r="AA52" i="3"/>
  <c r="AA53" i="3"/>
  <c r="AA54" i="3"/>
  <c r="AA55" i="3"/>
  <c r="AA56" i="3"/>
  <c r="AA57" i="3"/>
  <c r="AA58" i="3"/>
  <c r="AA59" i="3"/>
  <c r="AA60" i="3"/>
  <c r="AA61" i="3"/>
  <c r="AA62" i="3"/>
  <c r="AA63" i="3"/>
  <c r="AA64" i="3"/>
  <c r="AA65" i="3"/>
  <c r="AA66" i="3"/>
  <c r="AA67" i="3"/>
  <c r="AA68" i="3"/>
  <c r="AA69" i="3"/>
  <c r="AA70" i="3"/>
  <c r="AA71" i="3"/>
  <c r="AA72" i="3"/>
  <c r="AA73" i="3"/>
  <c r="AA74" i="3"/>
  <c r="AA75" i="3"/>
  <c r="AA76" i="3"/>
  <c r="AA77" i="3"/>
  <c r="AA78" i="3"/>
  <c r="AA79" i="3"/>
  <c r="AA80" i="3"/>
  <c r="AA81" i="3"/>
  <c r="AA82" i="3"/>
  <c r="AA83" i="3"/>
  <c r="AA84" i="3"/>
  <c r="AA85" i="3"/>
  <c r="AA86" i="3"/>
  <c r="AA87" i="3"/>
  <c r="AA88" i="3"/>
  <c r="AA89" i="3"/>
  <c r="AA90" i="3"/>
  <c r="AA91" i="3"/>
  <c r="AA92" i="3"/>
  <c r="AA93" i="3"/>
  <c r="AA94" i="3"/>
  <c r="AA95" i="3"/>
  <c r="AA96" i="3"/>
  <c r="AA97" i="3"/>
  <c r="AA98" i="3"/>
  <c r="AA99" i="3"/>
  <c r="AA100" i="3"/>
  <c r="AA101" i="3"/>
  <c r="AA102" i="3"/>
  <c r="AA103" i="3"/>
  <c r="AA104" i="3"/>
  <c r="AA105" i="3"/>
  <c r="AA106" i="3"/>
  <c r="AA107" i="3"/>
  <c r="AA108" i="3"/>
  <c r="AA109" i="3"/>
  <c r="AA110" i="3"/>
  <c r="AA111" i="3"/>
  <c r="AA112" i="3"/>
  <c r="AA113" i="3"/>
  <c r="AA114" i="3"/>
  <c r="AA115" i="3"/>
  <c r="AA116" i="3"/>
  <c r="AA117" i="3"/>
  <c r="AA118" i="3"/>
  <c r="AA119" i="3"/>
  <c r="AA120" i="3"/>
  <c r="AA121" i="3"/>
  <c r="AA122" i="3"/>
  <c r="AA123" i="3"/>
  <c r="AA124" i="3"/>
  <c r="AA125" i="3"/>
  <c r="AA126" i="3"/>
  <c r="AA127" i="3"/>
  <c r="AA128" i="3"/>
  <c r="AA129" i="3"/>
  <c r="AA130" i="3"/>
  <c r="AA131" i="3"/>
  <c r="AA132" i="3"/>
  <c r="AA133" i="3"/>
  <c r="AA134" i="3"/>
  <c r="AA135" i="3"/>
  <c r="AA136" i="3"/>
  <c r="AA137" i="3"/>
  <c r="AA138" i="3"/>
  <c r="AA139" i="3"/>
  <c r="AA140" i="3"/>
  <c r="AA141" i="3"/>
  <c r="AA142" i="3"/>
  <c r="AA143" i="3"/>
  <c r="AA144" i="3"/>
  <c r="AA145" i="3"/>
  <c r="AA146" i="3"/>
  <c r="AA147" i="3"/>
  <c r="AA148" i="3"/>
  <c r="AA149" i="3"/>
  <c r="AA150" i="3"/>
  <c r="AA151" i="3"/>
  <c r="AA152" i="3"/>
  <c r="AA153" i="3"/>
  <c r="AA154" i="3"/>
  <c r="AA155" i="3"/>
  <c r="AA156" i="3"/>
  <c r="AA157" i="3"/>
  <c r="AA158" i="3"/>
  <c r="AA159" i="3"/>
  <c r="AA160" i="3"/>
  <c r="AA161" i="3"/>
  <c r="U2" i="2"/>
  <c r="V2" i="2" s="1"/>
  <c r="U3" i="2"/>
  <c r="V3" i="2" s="1"/>
  <c r="U4" i="2"/>
  <c r="V4" i="2" s="1"/>
  <c r="U5" i="2"/>
  <c r="V5" i="2" s="1"/>
  <c r="U6" i="2"/>
  <c r="V6" i="2" s="1"/>
  <c r="U7" i="2"/>
  <c r="V7" i="2" s="1"/>
  <c r="U8" i="2"/>
  <c r="V8" i="2" s="1"/>
  <c r="U9" i="2"/>
  <c r="V9" i="2" s="1"/>
  <c r="U10" i="2"/>
  <c r="V10" i="2" s="1"/>
  <c r="U11" i="2"/>
  <c r="V11" i="2" s="1"/>
  <c r="U12" i="2"/>
  <c r="V12" i="2" s="1"/>
  <c r="U13" i="2"/>
  <c r="V13" i="2" s="1"/>
  <c r="U14" i="2"/>
  <c r="V14" i="2" s="1"/>
  <c r="U15" i="2"/>
  <c r="V15" i="2" s="1"/>
  <c r="U16" i="2"/>
  <c r="V16" i="2" s="1"/>
  <c r="U17" i="2"/>
  <c r="V17" i="2" s="1"/>
  <c r="U18" i="2"/>
  <c r="V18" i="2" s="1"/>
  <c r="U19" i="2"/>
  <c r="V19" i="2" s="1"/>
  <c r="U20" i="2"/>
  <c r="V20" i="2" s="1"/>
  <c r="U21" i="2"/>
  <c r="V21" i="2" s="1"/>
  <c r="U22" i="2"/>
  <c r="V22" i="2" s="1"/>
  <c r="U23" i="2"/>
  <c r="V23" i="2" s="1"/>
  <c r="U24" i="2"/>
  <c r="V24" i="2" s="1"/>
  <c r="U25" i="2"/>
  <c r="V25" i="2" s="1"/>
  <c r="U26" i="2"/>
  <c r="V26" i="2" s="1"/>
  <c r="U27" i="2"/>
  <c r="V27" i="2" s="1"/>
  <c r="U28" i="2"/>
  <c r="V28" i="2" s="1"/>
  <c r="U29" i="2"/>
  <c r="V29" i="2" s="1"/>
  <c r="U30" i="2"/>
  <c r="V30" i="2" s="1"/>
  <c r="U31" i="2"/>
  <c r="V31" i="2" s="1"/>
  <c r="U32" i="2"/>
  <c r="V32" i="2" s="1"/>
  <c r="U33" i="2"/>
  <c r="V33" i="2" s="1"/>
  <c r="U34" i="2"/>
  <c r="V34" i="2" s="1"/>
  <c r="U35" i="2"/>
  <c r="V35" i="2" s="1"/>
  <c r="U36" i="2"/>
  <c r="V36" i="2" s="1"/>
  <c r="U37" i="2"/>
  <c r="V37" i="2" s="1"/>
  <c r="U38" i="2"/>
  <c r="V38" i="2" s="1"/>
  <c r="U39" i="2"/>
  <c r="V39" i="2" s="1"/>
  <c r="U40" i="2"/>
  <c r="V40" i="2" s="1"/>
  <c r="U41" i="2"/>
  <c r="V41" i="2" s="1"/>
  <c r="U42" i="2"/>
  <c r="V42" i="2" s="1"/>
  <c r="U43" i="2"/>
  <c r="V43" i="2" s="1"/>
  <c r="U44" i="2"/>
  <c r="V44" i="2" s="1"/>
  <c r="U45" i="2"/>
  <c r="V45" i="2" s="1"/>
  <c r="U46" i="2"/>
  <c r="V46" i="2" s="1"/>
  <c r="U47" i="2"/>
  <c r="V47" i="2" s="1"/>
  <c r="U48" i="2"/>
  <c r="V48" i="2" s="1"/>
  <c r="U49" i="2"/>
  <c r="V49" i="2" s="1"/>
  <c r="U50" i="2"/>
  <c r="V50" i="2" s="1"/>
  <c r="U51" i="2"/>
  <c r="V51" i="2" s="1"/>
  <c r="U52" i="2"/>
  <c r="V52" i="2" s="1"/>
  <c r="U53" i="2"/>
  <c r="V53" i="2" s="1"/>
  <c r="U54" i="2"/>
  <c r="V54" i="2" s="1"/>
  <c r="U55" i="2"/>
  <c r="V55" i="2" s="1"/>
  <c r="U56" i="2"/>
  <c r="V56" i="2" s="1"/>
  <c r="U57" i="2"/>
  <c r="V57" i="2" s="1"/>
  <c r="U58" i="2"/>
  <c r="V58" i="2" s="1"/>
  <c r="U59" i="2"/>
  <c r="V59" i="2" s="1"/>
  <c r="U60" i="2"/>
  <c r="V60" i="2" s="1"/>
  <c r="U61" i="2"/>
  <c r="V61" i="2" s="1"/>
  <c r="U62" i="2"/>
  <c r="V62" i="2" s="1"/>
  <c r="U63" i="2"/>
  <c r="V63" i="2" s="1"/>
  <c r="U64" i="2"/>
  <c r="V64" i="2" s="1"/>
  <c r="U65" i="2"/>
  <c r="V65" i="2" s="1"/>
  <c r="U66" i="2"/>
  <c r="V66" i="2" s="1"/>
  <c r="U67" i="2"/>
  <c r="V67" i="2" s="1"/>
  <c r="U68" i="2"/>
  <c r="V68" i="2" s="1"/>
  <c r="U69" i="2"/>
  <c r="V69" i="2" s="1"/>
  <c r="U70" i="2"/>
  <c r="V70" i="2" s="1"/>
  <c r="U71" i="2"/>
  <c r="V71" i="2" s="1"/>
  <c r="U72" i="2"/>
  <c r="V72" i="2" s="1"/>
  <c r="U73" i="2"/>
  <c r="V73" i="2" s="1"/>
  <c r="U74" i="2"/>
  <c r="V74" i="2" s="1"/>
  <c r="U75" i="2"/>
  <c r="V75" i="2" s="1"/>
  <c r="U76" i="2"/>
  <c r="V76" i="2" s="1"/>
  <c r="U77" i="2"/>
  <c r="V77" i="2" s="1"/>
  <c r="U78" i="2"/>
  <c r="V78" i="2" s="1"/>
  <c r="U79" i="2"/>
  <c r="V79" i="2" s="1"/>
  <c r="U80" i="2"/>
  <c r="V80" i="2" s="1"/>
  <c r="U81" i="2"/>
  <c r="V81" i="2" s="1"/>
  <c r="U82" i="2"/>
  <c r="V82" i="2" s="1"/>
  <c r="U83" i="2"/>
  <c r="V83" i="2" s="1"/>
  <c r="U84" i="2"/>
  <c r="V84" i="2" s="1"/>
  <c r="U85" i="2"/>
  <c r="V85" i="2" s="1"/>
  <c r="U86" i="2"/>
  <c r="V86" i="2" s="1"/>
  <c r="U87" i="2"/>
  <c r="V87" i="2" s="1"/>
  <c r="U88" i="2"/>
  <c r="V88" i="2" s="1"/>
  <c r="U89" i="2"/>
  <c r="V89" i="2" s="1"/>
  <c r="U90" i="2"/>
  <c r="V90" i="2" s="1"/>
  <c r="U91" i="2"/>
  <c r="V91" i="2" s="1"/>
  <c r="U92" i="2"/>
  <c r="V92" i="2" s="1"/>
  <c r="U93" i="2"/>
  <c r="V93" i="2" s="1"/>
  <c r="U94" i="2"/>
  <c r="V94" i="2" s="1"/>
  <c r="U95" i="2"/>
  <c r="V95" i="2" s="1"/>
  <c r="U96" i="2"/>
  <c r="V96" i="2" s="1"/>
  <c r="U97" i="2"/>
  <c r="V97" i="2" s="1"/>
  <c r="U98" i="2"/>
  <c r="V98" i="2" s="1"/>
  <c r="U99" i="2"/>
  <c r="V99" i="2" s="1"/>
  <c r="U100" i="2"/>
  <c r="V100" i="2" s="1"/>
  <c r="U101" i="2"/>
  <c r="V101" i="2" s="1"/>
  <c r="U102" i="2"/>
  <c r="V102" i="2" s="1"/>
  <c r="U103" i="2"/>
  <c r="V103" i="2" s="1"/>
  <c r="U104" i="2"/>
  <c r="V104" i="2" s="1"/>
  <c r="U105" i="2"/>
  <c r="V105" i="2" s="1"/>
  <c r="U106" i="2"/>
  <c r="V106" i="2" s="1"/>
  <c r="U107" i="2"/>
  <c r="V107" i="2" s="1"/>
  <c r="U108" i="2"/>
  <c r="V108" i="2" s="1"/>
  <c r="U109" i="2"/>
  <c r="V109" i="2" s="1"/>
  <c r="U110" i="2"/>
  <c r="V110" i="2" s="1"/>
  <c r="U111" i="2"/>
  <c r="V111" i="2" s="1"/>
  <c r="U112" i="2"/>
  <c r="V112" i="2" s="1"/>
  <c r="U113" i="2"/>
  <c r="V113" i="2" s="1"/>
  <c r="U114" i="2"/>
  <c r="V114" i="2" s="1"/>
  <c r="U115" i="2"/>
  <c r="V115" i="2" s="1"/>
  <c r="U116" i="2"/>
  <c r="V116" i="2" s="1"/>
  <c r="U117" i="2"/>
  <c r="V117" i="2" s="1"/>
  <c r="U118" i="2"/>
  <c r="V118" i="2" s="1"/>
  <c r="U119" i="2"/>
  <c r="V119" i="2" s="1"/>
  <c r="U120" i="2"/>
  <c r="V120" i="2" s="1"/>
  <c r="U121" i="2"/>
  <c r="V121" i="2" s="1"/>
  <c r="U122" i="2"/>
  <c r="V122" i="2" s="1"/>
  <c r="U123" i="2"/>
  <c r="V123" i="2" s="1"/>
  <c r="U124" i="2"/>
  <c r="V124" i="2" s="1"/>
  <c r="U125" i="2"/>
  <c r="V125" i="2" s="1"/>
  <c r="U126" i="2"/>
  <c r="V126" i="2" s="1"/>
  <c r="U127" i="2"/>
  <c r="V127" i="2" s="1"/>
  <c r="U128" i="2"/>
  <c r="V128" i="2" s="1"/>
  <c r="U129" i="2"/>
  <c r="V129" i="2" s="1"/>
  <c r="U130" i="2"/>
  <c r="V130" i="2" s="1"/>
  <c r="U131" i="2"/>
  <c r="V131" i="2" s="1"/>
  <c r="U132" i="2"/>
  <c r="V132" i="2" s="1"/>
  <c r="U133" i="2"/>
  <c r="V133" i="2" s="1"/>
  <c r="U134" i="2"/>
  <c r="V134" i="2" s="1"/>
  <c r="U135" i="2"/>
  <c r="V135" i="2" s="1"/>
  <c r="U136" i="2"/>
  <c r="V136" i="2" s="1"/>
  <c r="U137" i="2"/>
  <c r="V137" i="2" s="1"/>
  <c r="U138" i="2"/>
  <c r="V138" i="2" s="1"/>
  <c r="U139" i="2"/>
  <c r="V139" i="2" s="1"/>
  <c r="U140" i="2"/>
  <c r="V140" i="2" s="1"/>
  <c r="U141" i="2"/>
  <c r="V141" i="2" s="1"/>
  <c r="U142" i="2"/>
  <c r="V142" i="2" s="1"/>
  <c r="U143" i="2"/>
  <c r="V143" i="2" s="1"/>
  <c r="U144" i="2"/>
  <c r="V144" i="2" s="1"/>
  <c r="U145" i="2"/>
  <c r="V145" i="2" s="1"/>
  <c r="U146" i="2"/>
  <c r="V146" i="2" s="1"/>
  <c r="U147" i="2"/>
  <c r="V147" i="2" s="1"/>
  <c r="U148" i="2"/>
  <c r="V148" i="2" s="1"/>
  <c r="U149" i="2"/>
  <c r="V149" i="2" s="1"/>
  <c r="U150" i="2"/>
  <c r="V150" i="2" s="1"/>
  <c r="U151" i="2"/>
  <c r="V151" i="2" s="1"/>
  <c r="U152" i="2"/>
  <c r="V152" i="2" s="1"/>
  <c r="U153" i="2"/>
  <c r="V153" i="2" s="1"/>
  <c r="U154" i="2"/>
  <c r="V154" i="2" s="1"/>
  <c r="U155" i="2"/>
  <c r="V155" i="2" s="1"/>
  <c r="U156" i="2"/>
  <c r="V156" i="2" s="1"/>
  <c r="U157" i="2"/>
  <c r="V157" i="2" s="1"/>
  <c r="U158" i="2"/>
  <c r="V158" i="2" s="1"/>
  <c r="U159" i="2"/>
  <c r="V159" i="2" s="1"/>
  <c r="U160" i="2"/>
  <c r="V160" i="2" s="1"/>
  <c r="U161" i="2"/>
  <c r="V161" i="2" s="1"/>
  <c r="U162" i="2"/>
  <c r="V162" i="2" s="1"/>
  <c r="U163" i="2"/>
  <c r="V163" i="2" s="1"/>
  <c r="U164" i="2"/>
  <c r="V164" i="2" s="1"/>
  <c r="U165" i="2"/>
  <c r="V165" i="2" s="1"/>
  <c r="U166" i="2"/>
  <c r="V166" i="2" s="1"/>
  <c r="U167" i="2"/>
  <c r="V167" i="2" s="1"/>
  <c r="U168" i="2"/>
  <c r="V168" i="2" s="1"/>
  <c r="U169" i="2"/>
  <c r="V169" i="2" s="1"/>
  <c r="U170" i="2"/>
  <c r="V170" i="2" s="1"/>
  <c r="U171" i="2"/>
  <c r="V171" i="2" s="1"/>
  <c r="U172" i="2"/>
  <c r="V172" i="2" s="1"/>
  <c r="U173" i="2"/>
  <c r="V173" i="2" s="1"/>
  <c r="U174" i="2"/>
  <c r="V174" i="2" s="1"/>
  <c r="U175" i="2"/>
  <c r="V175" i="2" s="1"/>
  <c r="U176" i="2"/>
  <c r="V176" i="2" s="1"/>
  <c r="U177" i="2"/>
  <c r="V177" i="2" s="1"/>
  <c r="U178" i="2"/>
  <c r="V178" i="2" s="1"/>
  <c r="U179" i="2"/>
  <c r="V179" i="2" s="1"/>
  <c r="U180" i="2"/>
  <c r="V180" i="2" s="1"/>
  <c r="U181" i="2"/>
  <c r="V181" i="2" s="1"/>
  <c r="U182" i="2"/>
  <c r="V182" i="2" s="1"/>
  <c r="U183" i="2"/>
  <c r="V183" i="2" s="1"/>
  <c r="U184" i="2"/>
  <c r="V184" i="2" s="1"/>
  <c r="U185" i="2"/>
  <c r="V185" i="2" s="1"/>
  <c r="U186" i="2"/>
  <c r="V186" i="2" s="1"/>
  <c r="U187" i="2"/>
  <c r="V187" i="2" s="1"/>
  <c r="U188" i="2"/>
  <c r="V188" i="2" s="1"/>
  <c r="U189" i="2"/>
  <c r="V189" i="2" s="1"/>
  <c r="U190" i="2"/>
  <c r="V190" i="2" s="1"/>
  <c r="U191" i="2"/>
  <c r="V191" i="2" s="1"/>
  <c r="U192" i="2"/>
  <c r="V192" i="2" s="1"/>
  <c r="U193" i="2"/>
  <c r="V193" i="2" s="1"/>
  <c r="U194" i="2"/>
  <c r="V194" i="2" s="1"/>
  <c r="U195" i="2"/>
  <c r="V195" i="2" s="1"/>
  <c r="U196" i="2"/>
  <c r="V196" i="2" s="1"/>
  <c r="U197" i="2"/>
  <c r="V197" i="2" s="1"/>
  <c r="U198" i="2"/>
  <c r="V198" i="2" s="1"/>
  <c r="U199" i="2"/>
  <c r="V199" i="2" s="1"/>
  <c r="U200" i="2"/>
  <c r="V200" i="2" s="1"/>
  <c r="U201" i="2"/>
  <c r="V201" i="2" s="1"/>
  <c r="U202" i="2"/>
  <c r="V202" i="2" s="1"/>
  <c r="U203" i="2"/>
  <c r="V203" i="2" s="1"/>
  <c r="U204" i="2"/>
  <c r="V204" i="2" s="1"/>
  <c r="U205" i="2"/>
  <c r="V205" i="2" s="1"/>
  <c r="U206" i="2"/>
  <c r="V206" i="2" s="1"/>
  <c r="U207" i="2"/>
  <c r="V207" i="2" s="1"/>
  <c r="U208" i="2"/>
  <c r="V208" i="2" s="1"/>
  <c r="U209" i="2"/>
  <c r="V209" i="2" s="1"/>
  <c r="U210" i="2"/>
  <c r="V210" i="2" s="1"/>
  <c r="U211" i="2"/>
  <c r="V211" i="2" s="1"/>
  <c r="U212" i="2"/>
  <c r="V212" i="2" s="1"/>
  <c r="U213" i="2"/>
  <c r="V213" i="2" s="1"/>
  <c r="U214" i="2"/>
  <c r="V214" i="2" s="1"/>
  <c r="U215" i="2"/>
  <c r="V215" i="2" s="1"/>
  <c r="U216" i="2"/>
  <c r="V216" i="2" s="1"/>
  <c r="U217" i="2"/>
  <c r="V217" i="2" s="1"/>
  <c r="U218" i="2"/>
  <c r="V218" i="2" s="1"/>
  <c r="U219" i="2"/>
  <c r="V219" i="2" s="1"/>
  <c r="U220" i="2"/>
  <c r="V220" i="2" s="1"/>
  <c r="U221" i="2"/>
  <c r="V221" i="2" s="1"/>
  <c r="U222" i="2"/>
  <c r="V222" i="2" s="1"/>
  <c r="U223" i="2"/>
  <c r="V223" i="2" s="1"/>
  <c r="U224" i="2"/>
  <c r="V224" i="2" s="1"/>
  <c r="U225" i="2"/>
  <c r="V225" i="2" s="1"/>
  <c r="U226" i="2"/>
  <c r="V226" i="2" s="1"/>
  <c r="U227" i="2"/>
  <c r="V227" i="2" s="1"/>
  <c r="U228" i="2"/>
  <c r="V228" i="2" s="1"/>
  <c r="U229" i="2"/>
  <c r="V229" i="2" s="1"/>
  <c r="U230" i="2"/>
  <c r="V230" i="2" s="1"/>
  <c r="U231" i="2"/>
  <c r="V231" i="2" s="1"/>
  <c r="U232" i="2"/>
  <c r="V232" i="2" s="1"/>
  <c r="U233" i="2"/>
  <c r="V233" i="2" s="1"/>
  <c r="U234" i="2"/>
  <c r="V234" i="2" s="1"/>
  <c r="U235" i="2"/>
  <c r="V235" i="2" s="1"/>
  <c r="U236" i="2"/>
  <c r="V236" i="2" s="1"/>
  <c r="U237" i="2"/>
  <c r="V237" i="2" s="1"/>
  <c r="U238" i="2"/>
  <c r="V238" i="2" s="1"/>
  <c r="U239" i="2"/>
  <c r="V239" i="2" s="1"/>
  <c r="U240" i="2"/>
  <c r="V240" i="2" s="1"/>
  <c r="U241" i="2"/>
  <c r="V241" i="2" s="1"/>
  <c r="U242" i="2"/>
  <c r="V242" i="2" s="1"/>
  <c r="U243" i="2"/>
  <c r="V243" i="2" s="1"/>
  <c r="U244" i="2"/>
  <c r="V244" i="2" s="1"/>
  <c r="U245" i="2"/>
  <c r="V245" i="2" s="1"/>
  <c r="U246" i="2"/>
  <c r="V246" i="2" s="1"/>
  <c r="U247" i="2"/>
  <c r="V247" i="2" s="1"/>
  <c r="U248" i="2"/>
  <c r="V248" i="2" s="1"/>
  <c r="U249" i="2"/>
  <c r="V249" i="2" s="1"/>
  <c r="U250" i="2"/>
  <c r="V250" i="2" s="1"/>
  <c r="U251" i="2"/>
  <c r="V251" i="2" s="1"/>
  <c r="U252" i="2"/>
  <c r="V252" i="2" s="1"/>
  <c r="U253" i="2"/>
  <c r="V253" i="2" s="1"/>
  <c r="U254" i="2"/>
  <c r="V254" i="2" s="1"/>
  <c r="U255" i="2"/>
  <c r="V255" i="2" s="1"/>
  <c r="U256" i="2"/>
  <c r="V256" i="2" s="1"/>
  <c r="U257" i="2"/>
  <c r="V257" i="2" s="1"/>
  <c r="U258" i="2"/>
  <c r="V258" i="2" s="1"/>
  <c r="U259" i="2"/>
  <c r="V259" i="2" s="1"/>
  <c r="U260" i="2"/>
  <c r="V260" i="2" s="1"/>
  <c r="U261" i="2"/>
  <c r="V261" i="2" s="1"/>
  <c r="U262" i="2"/>
  <c r="V262" i="2" s="1"/>
  <c r="U263" i="2"/>
  <c r="V263" i="2" s="1"/>
  <c r="U264" i="2"/>
  <c r="V264" i="2" s="1"/>
  <c r="U265" i="2"/>
  <c r="V265" i="2" s="1"/>
  <c r="U266" i="2"/>
  <c r="V266" i="2" s="1"/>
  <c r="U267" i="2"/>
  <c r="V267" i="2" s="1"/>
  <c r="U268" i="2"/>
  <c r="V268" i="2" s="1"/>
  <c r="U269" i="2"/>
  <c r="V269" i="2" s="1"/>
  <c r="U270" i="2"/>
  <c r="V270" i="2" s="1"/>
  <c r="U271" i="2"/>
  <c r="V271" i="2" s="1"/>
  <c r="U272" i="2"/>
  <c r="V272" i="2" s="1"/>
  <c r="U273" i="2"/>
  <c r="V273" i="2" s="1"/>
  <c r="U274" i="2"/>
  <c r="V274" i="2" s="1"/>
  <c r="U275" i="2"/>
  <c r="V275" i="2" s="1"/>
  <c r="U276" i="2"/>
  <c r="V276" i="2" s="1"/>
  <c r="U277" i="2"/>
  <c r="V277" i="2" s="1"/>
  <c r="U278" i="2"/>
  <c r="V278" i="2" s="1"/>
  <c r="U279" i="2"/>
  <c r="V279" i="2" s="1"/>
  <c r="U280" i="2"/>
  <c r="V280" i="2" s="1"/>
  <c r="U281" i="2"/>
  <c r="V281" i="2" s="1"/>
  <c r="U282" i="2"/>
  <c r="V282" i="2" s="1"/>
  <c r="U283" i="2"/>
  <c r="V283" i="2" s="1"/>
  <c r="U284" i="2"/>
  <c r="V284" i="2" s="1"/>
  <c r="U285" i="2"/>
  <c r="V285" i="2" s="1"/>
  <c r="U286" i="2"/>
  <c r="V286" i="2" s="1"/>
  <c r="U287" i="2"/>
  <c r="V287" i="2" s="1"/>
  <c r="U288" i="2"/>
  <c r="V288" i="2" s="1"/>
  <c r="U289" i="2"/>
  <c r="V289" i="2" s="1"/>
  <c r="U290" i="2"/>
  <c r="V290" i="2" s="1"/>
  <c r="U291" i="2"/>
  <c r="V291" i="2" s="1"/>
  <c r="U292" i="2"/>
  <c r="V292" i="2" s="1"/>
  <c r="U293" i="2"/>
  <c r="V293" i="2" s="1"/>
  <c r="U294" i="2"/>
  <c r="V294" i="2" s="1"/>
  <c r="U295" i="2"/>
  <c r="V295" i="2" s="1"/>
  <c r="U296" i="2"/>
  <c r="V296" i="2" s="1"/>
  <c r="U297" i="2"/>
  <c r="V297" i="2" s="1"/>
  <c r="U298" i="2"/>
  <c r="V298" i="2" s="1"/>
  <c r="U299" i="2"/>
  <c r="V299" i="2" s="1"/>
  <c r="U300" i="2"/>
  <c r="V300" i="2" s="1"/>
  <c r="U301" i="2"/>
  <c r="V301" i="2" s="1"/>
  <c r="U302" i="2"/>
  <c r="V302" i="2" s="1"/>
  <c r="U303" i="2"/>
  <c r="V303" i="2" s="1"/>
  <c r="U304" i="2"/>
  <c r="V304" i="2" s="1"/>
  <c r="U305" i="2"/>
  <c r="V305" i="2" s="1"/>
  <c r="U306" i="2"/>
  <c r="V306" i="2" s="1"/>
  <c r="U307" i="2"/>
  <c r="V307" i="2" s="1"/>
  <c r="U308" i="2"/>
  <c r="V308" i="2" s="1"/>
  <c r="U309" i="2"/>
  <c r="V309" i="2" s="1"/>
  <c r="U310" i="2"/>
  <c r="V310" i="2" s="1"/>
  <c r="U311" i="2"/>
  <c r="V311" i="2" s="1"/>
  <c r="U312" i="2"/>
  <c r="V312" i="2" s="1"/>
  <c r="U313" i="2"/>
  <c r="V313" i="2" s="1"/>
  <c r="U314" i="2"/>
  <c r="V314" i="2" s="1"/>
  <c r="U315" i="2"/>
  <c r="V315" i="2" s="1"/>
  <c r="U316" i="2"/>
  <c r="V316" i="2" s="1"/>
  <c r="U317" i="2"/>
  <c r="V317" i="2" s="1"/>
  <c r="U318" i="2"/>
  <c r="V318" i="2" s="1"/>
  <c r="U319" i="2"/>
  <c r="V319" i="2" s="1"/>
  <c r="U320" i="2"/>
  <c r="V320" i="2" s="1"/>
  <c r="U321" i="2"/>
  <c r="V321" i="2" s="1"/>
  <c r="U322" i="2"/>
  <c r="V322" i="2" s="1"/>
  <c r="U323" i="2"/>
  <c r="V323" i="2" s="1"/>
  <c r="U324" i="2"/>
  <c r="V324" i="2" s="1"/>
  <c r="U325" i="2"/>
  <c r="V325" i="2" s="1"/>
  <c r="U326" i="2"/>
  <c r="V326" i="2" s="1"/>
  <c r="U327" i="2"/>
  <c r="V327" i="2" s="1"/>
  <c r="U328" i="2"/>
  <c r="V328" i="2" s="1"/>
  <c r="U329" i="2"/>
  <c r="V329" i="2" s="1"/>
  <c r="U330" i="2"/>
  <c r="V330" i="2" s="1"/>
  <c r="U331" i="2"/>
  <c r="V331" i="2" s="1"/>
  <c r="U332" i="2"/>
  <c r="V332" i="2" s="1"/>
  <c r="U333" i="2"/>
  <c r="V333" i="2" s="1"/>
  <c r="U334" i="2"/>
  <c r="V334" i="2" s="1"/>
  <c r="U335" i="2"/>
  <c r="V335" i="2" s="1"/>
  <c r="U336" i="2"/>
  <c r="V336" i="2" s="1"/>
  <c r="U337" i="2"/>
  <c r="V337" i="2" s="1"/>
  <c r="U338" i="2"/>
  <c r="V338" i="2" s="1"/>
  <c r="U339" i="2"/>
  <c r="V339" i="2" s="1"/>
  <c r="U340" i="2"/>
  <c r="V340" i="2" s="1"/>
  <c r="U341" i="2"/>
  <c r="V341" i="2" s="1"/>
  <c r="U342" i="2"/>
  <c r="V342" i="2" s="1"/>
  <c r="U343" i="2"/>
  <c r="V343" i="2" s="1"/>
  <c r="U344" i="2"/>
  <c r="V344" i="2" s="1"/>
  <c r="U345" i="2"/>
  <c r="V345" i="2" s="1"/>
  <c r="U346" i="2"/>
  <c r="V346" i="2" s="1"/>
  <c r="U347" i="2"/>
  <c r="V347" i="2" s="1"/>
  <c r="U348" i="2"/>
  <c r="V348" i="2" s="1"/>
  <c r="U349" i="2"/>
  <c r="V349" i="2" s="1"/>
  <c r="U350" i="2"/>
  <c r="V350" i="2" s="1"/>
  <c r="U351" i="2"/>
  <c r="V351" i="2" s="1"/>
  <c r="U352" i="2"/>
  <c r="V352" i="2" s="1"/>
  <c r="U353" i="2"/>
  <c r="V353" i="2" s="1"/>
  <c r="U354" i="2"/>
  <c r="V354" i="2" s="1"/>
  <c r="U355" i="2"/>
  <c r="V355" i="2" s="1"/>
  <c r="U356" i="2"/>
  <c r="V356" i="2" s="1"/>
  <c r="U357" i="2"/>
  <c r="V357" i="2" s="1"/>
  <c r="U358" i="2"/>
  <c r="V358" i="2" s="1"/>
  <c r="U359" i="2"/>
  <c r="V359" i="2" s="1"/>
  <c r="U360" i="2"/>
  <c r="V360" i="2" s="1"/>
  <c r="U361" i="2"/>
  <c r="V361" i="2" s="1"/>
  <c r="U362" i="2"/>
  <c r="V362" i="2" s="1"/>
  <c r="U363" i="2"/>
  <c r="V363" i="2" s="1"/>
  <c r="U364" i="2"/>
  <c r="V364" i="2" s="1"/>
  <c r="U365" i="2"/>
  <c r="V365" i="2" s="1"/>
  <c r="U366" i="2"/>
  <c r="V366" i="2" s="1"/>
  <c r="U367" i="2"/>
  <c r="V367" i="2" s="1"/>
  <c r="U368" i="2"/>
  <c r="V368" i="2" s="1"/>
  <c r="U369" i="2"/>
  <c r="V369" i="2" s="1"/>
  <c r="U370" i="2"/>
  <c r="V370" i="2" s="1"/>
  <c r="U371" i="2"/>
  <c r="V371" i="2" s="1"/>
  <c r="U372" i="2"/>
  <c r="V372" i="2" s="1"/>
  <c r="U373" i="2"/>
  <c r="V373" i="2" s="1"/>
  <c r="U374" i="2"/>
  <c r="V374" i="2" s="1"/>
  <c r="U375" i="2"/>
  <c r="V375" i="2" s="1"/>
  <c r="U376" i="2"/>
  <c r="V376" i="2" s="1"/>
  <c r="U377" i="2"/>
  <c r="V377" i="2" s="1"/>
  <c r="U378" i="2"/>
  <c r="V378" i="2" s="1"/>
  <c r="U379" i="2"/>
  <c r="V379" i="2" s="1"/>
  <c r="U380" i="2"/>
  <c r="V380" i="2" s="1"/>
  <c r="U381" i="2"/>
  <c r="V381" i="2" s="1"/>
  <c r="U382" i="2"/>
  <c r="V382" i="2" s="1"/>
  <c r="U383" i="2"/>
  <c r="V383" i="2" s="1"/>
  <c r="U384" i="2"/>
  <c r="V384" i="2" s="1"/>
  <c r="U385" i="2"/>
  <c r="V385" i="2" s="1"/>
  <c r="U386" i="2"/>
  <c r="V386" i="2" s="1"/>
  <c r="U387" i="2"/>
  <c r="V387" i="2" s="1"/>
  <c r="U388" i="2"/>
  <c r="V388" i="2" s="1"/>
  <c r="U389" i="2"/>
  <c r="V389" i="2" s="1"/>
  <c r="U390" i="2"/>
  <c r="V390" i="2" s="1"/>
  <c r="U391" i="2"/>
  <c r="V391" i="2" s="1"/>
  <c r="U392" i="2"/>
  <c r="V392" i="2" s="1"/>
  <c r="U393" i="2"/>
  <c r="V393" i="2" s="1"/>
  <c r="U394" i="2"/>
  <c r="V394" i="2" s="1"/>
  <c r="U395" i="2"/>
  <c r="V395" i="2" s="1"/>
  <c r="U396" i="2"/>
  <c r="V396" i="2" s="1"/>
  <c r="U397" i="2"/>
  <c r="V397" i="2" s="1"/>
  <c r="U398" i="2"/>
  <c r="V398" i="2" s="1"/>
  <c r="U399" i="2"/>
  <c r="V399" i="2" s="1"/>
  <c r="U400" i="2"/>
  <c r="V400" i="2" s="1"/>
  <c r="U401" i="2"/>
  <c r="V401" i="2" s="1"/>
  <c r="U402" i="2"/>
  <c r="V402" i="2" s="1"/>
  <c r="U403" i="2"/>
  <c r="V403" i="2" s="1"/>
  <c r="U404" i="2"/>
  <c r="V404" i="2" s="1"/>
  <c r="U405" i="2"/>
  <c r="V405" i="2" s="1"/>
  <c r="U406" i="2"/>
  <c r="V406" i="2" s="1"/>
  <c r="U407" i="2"/>
  <c r="V407" i="2" s="1"/>
  <c r="U408" i="2"/>
  <c r="V408" i="2" s="1"/>
  <c r="U409" i="2"/>
  <c r="V409" i="2" s="1"/>
  <c r="U410" i="2"/>
  <c r="V410" i="2" s="1"/>
  <c r="U411" i="2"/>
  <c r="V411" i="2" s="1"/>
  <c r="U412" i="2"/>
  <c r="V412" i="2" s="1"/>
  <c r="U413" i="2"/>
  <c r="V413" i="2" s="1"/>
  <c r="U414" i="2"/>
  <c r="V414" i="2" s="1"/>
  <c r="U415" i="2"/>
  <c r="V415" i="2" s="1"/>
  <c r="U416" i="2"/>
  <c r="V416" i="2" s="1"/>
  <c r="U417" i="2"/>
  <c r="V417" i="2" s="1"/>
  <c r="U418" i="2"/>
  <c r="V418" i="2" s="1"/>
  <c r="U419" i="2"/>
  <c r="V419" i="2" s="1"/>
  <c r="U420" i="2"/>
  <c r="V420" i="2" s="1"/>
  <c r="U421" i="2"/>
  <c r="V421" i="2" s="1"/>
  <c r="U422" i="2"/>
  <c r="V422" i="2" s="1"/>
  <c r="U423" i="2"/>
  <c r="V423" i="2" s="1"/>
  <c r="U424" i="2"/>
  <c r="V424" i="2" s="1"/>
  <c r="U425" i="2"/>
  <c r="V425" i="2" s="1"/>
  <c r="U426" i="2"/>
  <c r="V426" i="2" s="1"/>
  <c r="U427" i="2"/>
  <c r="V427" i="2" s="1"/>
  <c r="U428" i="2"/>
  <c r="V428" i="2" s="1"/>
  <c r="U429" i="2"/>
  <c r="V429" i="2" s="1"/>
  <c r="U430" i="2"/>
  <c r="V430" i="2" s="1"/>
  <c r="U431" i="2"/>
  <c r="V431" i="2" s="1"/>
  <c r="U432" i="2"/>
  <c r="V432" i="2" s="1"/>
  <c r="U433" i="2"/>
  <c r="V433" i="2" s="1"/>
  <c r="U434" i="2"/>
  <c r="V434" i="2" s="1"/>
  <c r="U435" i="2"/>
  <c r="V435" i="2" s="1"/>
  <c r="U436" i="2"/>
  <c r="V436" i="2" s="1"/>
  <c r="U437" i="2"/>
  <c r="V437" i="2" s="1"/>
  <c r="U438" i="2"/>
  <c r="V438" i="2" s="1"/>
  <c r="U439" i="2"/>
  <c r="V439" i="2" s="1"/>
  <c r="U440" i="2"/>
  <c r="V440" i="2" s="1"/>
  <c r="U441" i="2"/>
  <c r="V441" i="2" s="1"/>
  <c r="U442" i="2"/>
  <c r="V442" i="2" s="1"/>
  <c r="U443" i="2"/>
  <c r="V443" i="2" s="1"/>
  <c r="U444" i="2"/>
  <c r="V444" i="2" s="1"/>
  <c r="U445" i="2"/>
  <c r="V445" i="2" s="1"/>
  <c r="U446" i="2"/>
  <c r="V446" i="2" s="1"/>
  <c r="U447" i="2"/>
  <c r="V447" i="2" s="1"/>
  <c r="U448" i="2"/>
  <c r="V448" i="2" s="1"/>
  <c r="U449" i="2"/>
  <c r="V449" i="2" s="1"/>
  <c r="U450" i="2"/>
  <c r="V450" i="2" s="1"/>
  <c r="U451" i="2"/>
  <c r="V451" i="2" s="1"/>
  <c r="U452" i="2"/>
  <c r="V452" i="2" s="1"/>
  <c r="U453" i="2"/>
  <c r="V453" i="2" s="1"/>
  <c r="U454" i="2"/>
  <c r="V454" i="2" s="1"/>
  <c r="U455" i="2"/>
  <c r="V455" i="2" s="1"/>
  <c r="U456" i="2"/>
  <c r="V456" i="2" s="1"/>
  <c r="U457" i="2"/>
  <c r="V457" i="2" s="1"/>
  <c r="U458" i="2"/>
  <c r="V458" i="2" s="1"/>
  <c r="U459" i="2"/>
  <c r="V459" i="2" s="1"/>
  <c r="U460" i="2"/>
  <c r="V460" i="2" s="1"/>
  <c r="U461" i="2"/>
  <c r="V461" i="2" s="1"/>
  <c r="U462" i="2"/>
  <c r="V462" i="2" s="1"/>
  <c r="U463" i="2"/>
  <c r="V463" i="2" s="1"/>
  <c r="U464" i="2"/>
  <c r="V464" i="2" s="1"/>
  <c r="U465" i="2"/>
  <c r="V465" i="2" s="1"/>
  <c r="U466" i="2"/>
  <c r="V466" i="2" s="1"/>
  <c r="U467" i="2"/>
  <c r="V467" i="2" s="1"/>
  <c r="U468" i="2"/>
  <c r="V468" i="2" s="1"/>
  <c r="U469" i="2"/>
  <c r="V469" i="2" s="1"/>
  <c r="U470" i="2"/>
  <c r="V470" i="2" s="1"/>
  <c r="U471" i="2"/>
  <c r="V471" i="2" s="1"/>
  <c r="U472" i="2"/>
  <c r="V472" i="2" s="1"/>
  <c r="U473" i="2"/>
  <c r="V473" i="2" s="1"/>
  <c r="U474" i="2"/>
  <c r="V474" i="2" s="1"/>
  <c r="U475" i="2"/>
  <c r="V475" i="2" s="1"/>
  <c r="U476" i="2"/>
  <c r="V476" i="2" s="1"/>
  <c r="U477" i="2"/>
  <c r="V477" i="2" s="1"/>
  <c r="U478" i="2"/>
  <c r="V478" i="2" s="1"/>
  <c r="U479" i="2"/>
  <c r="V479" i="2" s="1"/>
  <c r="U480" i="2"/>
  <c r="V480" i="2" s="1"/>
  <c r="U481" i="2"/>
  <c r="V481" i="2" s="1"/>
  <c r="U482" i="2"/>
  <c r="V482" i="2" s="1"/>
  <c r="U483" i="2"/>
  <c r="V483" i="2" s="1"/>
  <c r="U484" i="2"/>
  <c r="V484" i="2" s="1"/>
  <c r="U485" i="2"/>
  <c r="V485" i="2" s="1"/>
  <c r="U486" i="2"/>
  <c r="V486" i="2" s="1"/>
  <c r="U487" i="2"/>
  <c r="V487" i="2" s="1"/>
  <c r="U488" i="2"/>
  <c r="V488" i="2" s="1"/>
  <c r="U489" i="2"/>
  <c r="V489" i="2" s="1"/>
  <c r="U490" i="2"/>
  <c r="V490" i="2" s="1"/>
  <c r="U491" i="2"/>
  <c r="V491" i="2" s="1"/>
  <c r="U492" i="2"/>
  <c r="V492" i="2" s="1"/>
  <c r="U493" i="2"/>
  <c r="V493" i="2" s="1"/>
  <c r="U494" i="2"/>
  <c r="V494" i="2" s="1"/>
  <c r="U495" i="2"/>
  <c r="V495" i="2" s="1"/>
  <c r="U496" i="2"/>
  <c r="V496" i="2" s="1"/>
  <c r="U497" i="2"/>
  <c r="V497" i="2" s="1"/>
  <c r="U498" i="2"/>
  <c r="V498" i="2" s="1"/>
  <c r="U499" i="2"/>
  <c r="V499" i="2" s="1"/>
  <c r="U500" i="2"/>
  <c r="V500" i="2" s="1"/>
  <c r="U501" i="2"/>
  <c r="V501" i="2" s="1"/>
  <c r="U502" i="2"/>
  <c r="V502" i="2" s="1"/>
  <c r="U503" i="2"/>
  <c r="V503" i="2" s="1"/>
  <c r="U504" i="2"/>
  <c r="V504" i="2" s="1"/>
  <c r="U505" i="2"/>
  <c r="V505" i="2" s="1"/>
  <c r="U506" i="2"/>
  <c r="V506" i="2" s="1"/>
  <c r="U507" i="2"/>
  <c r="V507" i="2" s="1"/>
  <c r="U508" i="2"/>
  <c r="V508" i="2" s="1"/>
  <c r="U509" i="2"/>
  <c r="V509" i="2" s="1"/>
  <c r="U510" i="2"/>
  <c r="V510" i="2" s="1"/>
  <c r="U511" i="2"/>
  <c r="V511" i="2" s="1"/>
  <c r="U512" i="2"/>
  <c r="V512" i="2" s="1"/>
  <c r="U513" i="2"/>
  <c r="V513" i="2" s="1"/>
  <c r="U514" i="2"/>
  <c r="V514" i="2" s="1"/>
  <c r="U515" i="2"/>
  <c r="V515" i="2" s="1"/>
  <c r="U516" i="2"/>
  <c r="V516" i="2" s="1"/>
  <c r="U517" i="2"/>
  <c r="V517" i="2" s="1"/>
  <c r="U518" i="2"/>
  <c r="V518" i="2" s="1"/>
  <c r="U519" i="2"/>
  <c r="V519" i="2" s="1"/>
  <c r="U520" i="2"/>
  <c r="V520" i="2" s="1"/>
  <c r="U521" i="2"/>
  <c r="V521" i="2" s="1"/>
  <c r="U522" i="2"/>
  <c r="V522" i="2" s="1"/>
  <c r="U523" i="2"/>
  <c r="V523" i="2" s="1"/>
  <c r="U524" i="2"/>
  <c r="V524" i="2" s="1"/>
  <c r="U525" i="2"/>
  <c r="V525" i="2" s="1"/>
  <c r="U526" i="2"/>
  <c r="V526" i="2" s="1"/>
  <c r="U527" i="2"/>
  <c r="V527" i="2" s="1"/>
  <c r="U528" i="2"/>
  <c r="V528" i="2" s="1"/>
  <c r="U529" i="2"/>
  <c r="V529" i="2" s="1"/>
  <c r="U530" i="2"/>
  <c r="V530" i="2" s="1"/>
  <c r="U531" i="2"/>
  <c r="V531" i="2" s="1"/>
  <c r="U532" i="2"/>
  <c r="V532" i="2" s="1"/>
  <c r="U533" i="2"/>
  <c r="V533" i="2" s="1"/>
  <c r="U534" i="2"/>
  <c r="V534" i="2" s="1"/>
  <c r="U535" i="2"/>
  <c r="V535" i="2" s="1"/>
  <c r="U536" i="2"/>
  <c r="V536" i="2" s="1"/>
  <c r="U537" i="2"/>
  <c r="V537" i="2" s="1"/>
  <c r="U538" i="2"/>
  <c r="V538" i="2" s="1"/>
  <c r="U539" i="2"/>
  <c r="V539" i="2" s="1"/>
  <c r="U540" i="2"/>
  <c r="V540" i="2" s="1"/>
  <c r="U541" i="2"/>
  <c r="V541" i="2" s="1"/>
  <c r="U542" i="2"/>
  <c r="V542" i="2" s="1"/>
  <c r="U543" i="2"/>
  <c r="V543" i="2" s="1"/>
  <c r="U544" i="2"/>
  <c r="V544" i="2" s="1"/>
  <c r="U545" i="2"/>
  <c r="V545" i="2" s="1"/>
  <c r="U546" i="2"/>
  <c r="V546" i="2" s="1"/>
  <c r="U547" i="2"/>
  <c r="V547" i="2" s="1"/>
  <c r="U548" i="2"/>
  <c r="V548" i="2" s="1"/>
  <c r="U549" i="2"/>
  <c r="V549" i="2" s="1"/>
  <c r="U550" i="2"/>
  <c r="V550" i="2" s="1"/>
  <c r="U551" i="2"/>
  <c r="V551" i="2" s="1"/>
  <c r="U552" i="2"/>
  <c r="V552" i="2" s="1"/>
  <c r="U553" i="2"/>
  <c r="V553" i="2" s="1"/>
  <c r="U554" i="2"/>
  <c r="V554" i="2" s="1"/>
  <c r="U555" i="2"/>
  <c r="V555" i="2" s="1"/>
  <c r="U556" i="2"/>
  <c r="V556" i="2" s="1"/>
  <c r="U557" i="2"/>
  <c r="V557" i="2" s="1"/>
  <c r="U558" i="2"/>
  <c r="V558" i="2" s="1"/>
  <c r="U559" i="2"/>
  <c r="V559" i="2" s="1"/>
  <c r="U560" i="2"/>
  <c r="V560" i="2" s="1"/>
  <c r="U561" i="2"/>
  <c r="V561" i="2" s="1"/>
  <c r="U562" i="2"/>
  <c r="V562" i="2" s="1"/>
  <c r="U563" i="2"/>
  <c r="V563" i="2" s="1"/>
  <c r="U564" i="2"/>
  <c r="V564" i="2" s="1"/>
  <c r="U565" i="2"/>
  <c r="V565" i="2" s="1"/>
  <c r="U566" i="2"/>
  <c r="V566" i="2" s="1"/>
  <c r="U567" i="2"/>
  <c r="V567" i="2" s="1"/>
  <c r="U568" i="2"/>
  <c r="V568" i="2" s="1"/>
  <c r="U569" i="2"/>
  <c r="V569" i="2" s="1"/>
  <c r="U570" i="2"/>
  <c r="V570" i="2" s="1"/>
  <c r="U571" i="2"/>
  <c r="V571" i="2" s="1"/>
  <c r="U572" i="2"/>
  <c r="V572" i="2" s="1"/>
  <c r="U573" i="2"/>
  <c r="V573" i="2" s="1"/>
  <c r="U574" i="2"/>
  <c r="V574" i="2" s="1"/>
  <c r="U575" i="2"/>
  <c r="V575" i="2" s="1"/>
  <c r="U576" i="2"/>
  <c r="V576" i="2" s="1"/>
  <c r="U577" i="2"/>
  <c r="V577" i="2" s="1"/>
  <c r="U578" i="2"/>
  <c r="V578" i="2" s="1"/>
  <c r="U579" i="2"/>
  <c r="V579" i="2" s="1"/>
  <c r="U580" i="2"/>
  <c r="V580" i="2" s="1"/>
  <c r="U581" i="2"/>
  <c r="V581" i="2" s="1"/>
  <c r="U582" i="2"/>
  <c r="V582" i="2" s="1"/>
  <c r="U583" i="2"/>
  <c r="V583" i="2" s="1"/>
  <c r="U584" i="2"/>
  <c r="V584" i="2" s="1"/>
  <c r="U585" i="2"/>
  <c r="V585" i="2" s="1"/>
  <c r="U586" i="2"/>
  <c r="V586" i="2" s="1"/>
  <c r="U587" i="2"/>
  <c r="V587" i="2" s="1"/>
  <c r="U588" i="2"/>
  <c r="V588" i="2" s="1"/>
  <c r="U589" i="2"/>
  <c r="V589" i="2" s="1"/>
  <c r="U590" i="2"/>
  <c r="V590" i="2" s="1"/>
  <c r="U591" i="2"/>
  <c r="V591" i="2" s="1"/>
  <c r="U592" i="2"/>
  <c r="V592" i="2" s="1"/>
  <c r="U593" i="2"/>
  <c r="V593" i="2" s="1"/>
  <c r="U594" i="2"/>
  <c r="V594" i="2" s="1"/>
  <c r="U595" i="2"/>
  <c r="V595" i="2" s="1"/>
  <c r="U596" i="2"/>
  <c r="V596" i="2" s="1"/>
  <c r="U597" i="2"/>
  <c r="V597" i="2" s="1"/>
  <c r="U598" i="2"/>
  <c r="V598" i="2" s="1"/>
  <c r="U599" i="2"/>
  <c r="V599" i="2" s="1"/>
  <c r="U600" i="2"/>
  <c r="V600" i="2" s="1"/>
  <c r="U601" i="2"/>
  <c r="V601" i="2" s="1"/>
  <c r="U602" i="2"/>
  <c r="V602" i="2" s="1"/>
  <c r="U603" i="2"/>
  <c r="V603" i="2" s="1"/>
  <c r="U604" i="2"/>
  <c r="V604" i="2" s="1"/>
  <c r="U605" i="2"/>
  <c r="V605" i="2" s="1"/>
  <c r="U606" i="2"/>
  <c r="V606" i="2" s="1"/>
  <c r="U607" i="2"/>
  <c r="V607" i="2" s="1"/>
  <c r="U608" i="2"/>
  <c r="V608" i="2" s="1"/>
  <c r="U609" i="2"/>
  <c r="V609" i="2" s="1"/>
  <c r="U610" i="2"/>
  <c r="V610" i="2" s="1"/>
  <c r="U611" i="2"/>
  <c r="V611" i="2" s="1"/>
  <c r="U612" i="2"/>
  <c r="V612" i="2" s="1"/>
  <c r="U613" i="2"/>
  <c r="V613" i="2" s="1"/>
  <c r="U614" i="2"/>
  <c r="V614" i="2" s="1"/>
  <c r="U615" i="2"/>
  <c r="V615" i="2" s="1"/>
  <c r="U616" i="2"/>
  <c r="V616" i="2" s="1"/>
  <c r="U617" i="2"/>
  <c r="V617" i="2" s="1"/>
  <c r="U618" i="2"/>
  <c r="V618" i="2" s="1"/>
  <c r="U619" i="2"/>
  <c r="V619" i="2" s="1"/>
  <c r="U620" i="2"/>
  <c r="V620" i="2" s="1"/>
  <c r="U621" i="2"/>
  <c r="V621" i="2" s="1"/>
  <c r="U622" i="2"/>
  <c r="V622" i="2" s="1"/>
  <c r="U623" i="2"/>
  <c r="V623" i="2" s="1"/>
  <c r="U624" i="2"/>
  <c r="V624" i="2" s="1"/>
  <c r="U625" i="2"/>
  <c r="V625" i="2" s="1"/>
  <c r="U626" i="2"/>
  <c r="V626" i="2" s="1"/>
  <c r="U627" i="2"/>
  <c r="V627" i="2" s="1"/>
  <c r="U628" i="2"/>
  <c r="V628" i="2" s="1"/>
  <c r="U629" i="2"/>
  <c r="V629" i="2" s="1"/>
  <c r="U630" i="2"/>
  <c r="V630" i="2" s="1"/>
  <c r="U631" i="2"/>
  <c r="V631" i="2" s="1"/>
  <c r="U632" i="2"/>
  <c r="V632" i="2" s="1"/>
  <c r="U633" i="2"/>
  <c r="V633" i="2" s="1"/>
  <c r="U634" i="2"/>
  <c r="V634" i="2" s="1"/>
  <c r="U635" i="2"/>
  <c r="V635" i="2" s="1"/>
  <c r="U636" i="2"/>
  <c r="V636" i="2" s="1"/>
  <c r="U637" i="2"/>
  <c r="V637" i="2" s="1"/>
  <c r="U638" i="2"/>
  <c r="V638" i="2" s="1"/>
  <c r="U639" i="2"/>
  <c r="V639" i="2" s="1"/>
  <c r="U640" i="2"/>
  <c r="V640" i="2" s="1"/>
  <c r="U641" i="2"/>
  <c r="V641" i="2" s="1"/>
  <c r="U642" i="2"/>
  <c r="V642" i="2" s="1"/>
  <c r="U643" i="2"/>
  <c r="V643" i="2" s="1"/>
  <c r="U644" i="2"/>
  <c r="V644" i="2" s="1"/>
  <c r="U645" i="2"/>
  <c r="V645" i="2" s="1"/>
  <c r="U646" i="2"/>
  <c r="V646" i="2" s="1"/>
  <c r="U647" i="2"/>
  <c r="V647" i="2" s="1"/>
  <c r="U648" i="2"/>
  <c r="V648" i="2" s="1"/>
  <c r="U649" i="2"/>
  <c r="V649" i="2" s="1"/>
  <c r="U650" i="2"/>
  <c r="V650" i="2" s="1"/>
  <c r="U651" i="2"/>
  <c r="V651" i="2" s="1"/>
  <c r="U652" i="2"/>
  <c r="V652" i="2" s="1"/>
  <c r="U653" i="2"/>
  <c r="V653" i="2" s="1"/>
  <c r="U654" i="2"/>
  <c r="V654" i="2" s="1"/>
  <c r="U655" i="2"/>
  <c r="V655" i="2" s="1"/>
  <c r="U656" i="2"/>
  <c r="V656" i="2" s="1"/>
  <c r="U657" i="2"/>
  <c r="V657" i="2" s="1"/>
  <c r="U658" i="2"/>
  <c r="V658" i="2" s="1"/>
  <c r="U659" i="2"/>
  <c r="V659" i="2" s="1"/>
  <c r="U660" i="2"/>
  <c r="V660" i="2" s="1"/>
  <c r="U661" i="2"/>
  <c r="V661" i="2" s="1"/>
  <c r="U662" i="2"/>
  <c r="V662" i="2" s="1"/>
  <c r="U663" i="2"/>
  <c r="V663" i="2" s="1"/>
  <c r="U664" i="2"/>
  <c r="V664" i="2" s="1"/>
  <c r="U665" i="2"/>
  <c r="V665" i="2" s="1"/>
  <c r="U666" i="2"/>
  <c r="V666" i="2" s="1"/>
  <c r="U667" i="2"/>
  <c r="V667" i="2" s="1"/>
  <c r="U668" i="2"/>
  <c r="V668" i="2" s="1"/>
  <c r="U669" i="2"/>
  <c r="V669" i="2" s="1"/>
  <c r="U670" i="2"/>
  <c r="V670" i="2" s="1"/>
  <c r="U671" i="2"/>
  <c r="V671" i="2" s="1"/>
  <c r="U672" i="2"/>
  <c r="V672" i="2" s="1"/>
  <c r="U673" i="2"/>
  <c r="V673" i="2" s="1"/>
  <c r="U674" i="2"/>
  <c r="V674" i="2" s="1"/>
  <c r="U675" i="2"/>
  <c r="V675" i="2" s="1"/>
  <c r="U676" i="2"/>
  <c r="V676" i="2" s="1"/>
  <c r="U677" i="2"/>
  <c r="V677" i="2" s="1"/>
  <c r="U678" i="2"/>
  <c r="V678" i="2" s="1"/>
  <c r="U679" i="2"/>
  <c r="V679" i="2" s="1"/>
  <c r="U680" i="2"/>
  <c r="V680" i="2" s="1"/>
  <c r="U681" i="2"/>
  <c r="V681" i="2" s="1"/>
  <c r="U682" i="2"/>
  <c r="V682" i="2" s="1"/>
  <c r="U683" i="2"/>
  <c r="V683" i="2" s="1"/>
  <c r="U684" i="2"/>
  <c r="V684" i="2" s="1"/>
  <c r="U685" i="2"/>
  <c r="V685" i="2" s="1"/>
  <c r="U686" i="2"/>
  <c r="V686" i="2" s="1"/>
  <c r="U687" i="2"/>
  <c r="V687" i="2" s="1"/>
  <c r="U688" i="2"/>
  <c r="V688" i="2" s="1"/>
  <c r="U689" i="2"/>
  <c r="V689" i="2" s="1"/>
  <c r="U690" i="2"/>
  <c r="V690" i="2" s="1"/>
  <c r="U691" i="2"/>
  <c r="V691" i="2" s="1"/>
  <c r="U692" i="2"/>
  <c r="V692" i="2" s="1"/>
  <c r="U693" i="2"/>
  <c r="V693" i="2" s="1"/>
  <c r="U694" i="2"/>
  <c r="V694" i="2" s="1"/>
  <c r="U695" i="2"/>
  <c r="V695" i="2" s="1"/>
  <c r="U696" i="2"/>
  <c r="V696" i="2" s="1"/>
  <c r="U697" i="2"/>
  <c r="V697" i="2" s="1"/>
  <c r="U698" i="2"/>
  <c r="V698" i="2" s="1"/>
  <c r="U699" i="2"/>
  <c r="V699" i="2" s="1"/>
  <c r="U700" i="2"/>
  <c r="V700" i="2" s="1"/>
  <c r="U701" i="2"/>
  <c r="V701" i="2" s="1"/>
  <c r="U702" i="2"/>
  <c r="V702" i="2" s="1"/>
  <c r="U703" i="2"/>
  <c r="V703" i="2" s="1"/>
  <c r="U704" i="2"/>
  <c r="V704" i="2" s="1"/>
  <c r="U705" i="2"/>
  <c r="V705" i="2" s="1"/>
  <c r="U706" i="2"/>
  <c r="V706" i="2" s="1"/>
  <c r="U707" i="2"/>
  <c r="V707" i="2" s="1"/>
  <c r="U708" i="2"/>
  <c r="V708" i="2" s="1"/>
  <c r="U709" i="2"/>
  <c r="V709" i="2" s="1"/>
  <c r="U710" i="2"/>
  <c r="V710" i="2" s="1"/>
  <c r="U711" i="2"/>
  <c r="V711" i="2" s="1"/>
  <c r="U712" i="2"/>
  <c r="V712" i="2" s="1"/>
  <c r="U713" i="2"/>
  <c r="V713" i="2" s="1"/>
  <c r="U714" i="2"/>
  <c r="V714" i="2" s="1"/>
  <c r="U715" i="2"/>
  <c r="V715" i="2" s="1"/>
  <c r="U716" i="2"/>
  <c r="V716" i="2" s="1"/>
  <c r="U717" i="2"/>
  <c r="V717" i="2" s="1"/>
  <c r="U718" i="2"/>
  <c r="V718" i="2" s="1"/>
  <c r="U719" i="2"/>
  <c r="V719" i="2" s="1"/>
  <c r="U720" i="2"/>
  <c r="V720" i="2" s="1"/>
  <c r="U721" i="2"/>
  <c r="V721" i="2" s="1"/>
  <c r="U722" i="2"/>
  <c r="V722" i="2" s="1"/>
  <c r="U723" i="2"/>
  <c r="V723" i="2" s="1"/>
  <c r="U724" i="2"/>
  <c r="V724" i="2" s="1"/>
  <c r="U725" i="2"/>
  <c r="V725" i="2" s="1"/>
  <c r="U726" i="2"/>
  <c r="V726" i="2" s="1"/>
  <c r="U727" i="2"/>
  <c r="V727" i="2" s="1"/>
  <c r="U728" i="2"/>
  <c r="V728" i="2" s="1"/>
  <c r="U729" i="2"/>
  <c r="V729" i="2" s="1"/>
  <c r="U730" i="2"/>
  <c r="V730" i="2" s="1"/>
  <c r="U731" i="2"/>
  <c r="V731" i="2" s="1"/>
  <c r="U732" i="2"/>
  <c r="V732" i="2" s="1"/>
  <c r="U733" i="2"/>
  <c r="V733" i="2" s="1"/>
  <c r="U734" i="2"/>
  <c r="V734" i="2" s="1"/>
  <c r="U735" i="2"/>
  <c r="V735" i="2" s="1"/>
  <c r="U736" i="2"/>
  <c r="V736" i="2" s="1"/>
  <c r="U737" i="2"/>
  <c r="V737" i="2" s="1"/>
  <c r="U738" i="2"/>
  <c r="V738" i="2" s="1"/>
  <c r="U739" i="2"/>
  <c r="V739" i="2" s="1"/>
  <c r="U740" i="2"/>
  <c r="V740" i="2" s="1"/>
  <c r="U741" i="2"/>
  <c r="V741" i="2" s="1"/>
  <c r="U742" i="2"/>
  <c r="V742" i="2" s="1"/>
  <c r="U743" i="2"/>
  <c r="V743" i="2" s="1"/>
  <c r="U744" i="2"/>
  <c r="V744" i="2" s="1"/>
  <c r="U745" i="2"/>
  <c r="V745" i="2" s="1"/>
  <c r="U746" i="2"/>
  <c r="V746" i="2" s="1"/>
  <c r="U747" i="2"/>
  <c r="V747" i="2" s="1"/>
  <c r="U748" i="2"/>
  <c r="V748" i="2" s="1"/>
  <c r="U749" i="2"/>
  <c r="V749" i="2" s="1"/>
  <c r="U750" i="2"/>
  <c r="V750" i="2" s="1"/>
  <c r="U751" i="2"/>
  <c r="V751" i="2" s="1"/>
  <c r="U752" i="2"/>
  <c r="V752" i="2" s="1"/>
  <c r="U753" i="2"/>
  <c r="V753" i="2" s="1"/>
  <c r="U754" i="2"/>
  <c r="V754" i="2" s="1"/>
  <c r="U755" i="2"/>
  <c r="V755" i="2" s="1"/>
  <c r="U756" i="2"/>
  <c r="V756" i="2" s="1"/>
  <c r="U757" i="2"/>
  <c r="V757" i="2" s="1"/>
  <c r="U758" i="2"/>
  <c r="V758" i="2" s="1"/>
  <c r="U759" i="2"/>
  <c r="V759" i="2" s="1"/>
  <c r="U760" i="2"/>
  <c r="V760" i="2" s="1"/>
  <c r="U761" i="2"/>
  <c r="V761" i="2" s="1"/>
  <c r="U762" i="2"/>
  <c r="V762" i="2" s="1"/>
  <c r="U763" i="2"/>
  <c r="V763" i="2" s="1"/>
  <c r="U764" i="2"/>
  <c r="V764" i="2" s="1"/>
  <c r="U765" i="2"/>
  <c r="V765" i="2" s="1"/>
  <c r="U766" i="2"/>
  <c r="V766" i="2" s="1"/>
  <c r="U767" i="2"/>
  <c r="V767" i="2" s="1"/>
  <c r="U768" i="2"/>
  <c r="V768" i="2" s="1"/>
  <c r="U769" i="2"/>
  <c r="V769" i="2" s="1"/>
  <c r="U770" i="2"/>
  <c r="V770" i="2" s="1"/>
  <c r="U771" i="2"/>
  <c r="V771" i="2" s="1"/>
  <c r="U772" i="2"/>
  <c r="V772" i="2" s="1"/>
  <c r="U773" i="2"/>
  <c r="V773" i="2" s="1"/>
  <c r="U774" i="2"/>
  <c r="V774" i="2" s="1"/>
  <c r="U775" i="2"/>
  <c r="V775" i="2" s="1"/>
  <c r="U776" i="2"/>
  <c r="V776" i="2" s="1"/>
  <c r="U777" i="2"/>
  <c r="V777" i="2" s="1"/>
  <c r="U778" i="2"/>
  <c r="V778" i="2" s="1"/>
  <c r="U779" i="2"/>
  <c r="V779" i="2" s="1"/>
  <c r="U780" i="2"/>
  <c r="V780" i="2" s="1"/>
  <c r="U781" i="2"/>
  <c r="V781" i="2" s="1"/>
  <c r="U782" i="2"/>
  <c r="V782" i="2" s="1"/>
  <c r="U783" i="2"/>
  <c r="V783" i="2" s="1"/>
  <c r="U784" i="2"/>
  <c r="V784" i="2" s="1"/>
  <c r="U785" i="2"/>
  <c r="V785" i="2" s="1"/>
  <c r="U786" i="2"/>
  <c r="V786" i="2" s="1"/>
  <c r="U787" i="2"/>
  <c r="V787" i="2" s="1"/>
  <c r="U788" i="2"/>
  <c r="V788" i="2" s="1"/>
  <c r="U789" i="2"/>
  <c r="V789" i="2" s="1"/>
  <c r="U790" i="2"/>
  <c r="V790" i="2" s="1"/>
  <c r="U791" i="2"/>
  <c r="V791" i="2" s="1"/>
  <c r="U792" i="2"/>
  <c r="V792" i="2" s="1"/>
  <c r="U793" i="2"/>
  <c r="V793" i="2" s="1"/>
  <c r="U794" i="2"/>
  <c r="V794" i="2" s="1"/>
  <c r="U795" i="2"/>
  <c r="V795" i="2" s="1"/>
  <c r="U796" i="2"/>
  <c r="V796" i="2" s="1"/>
  <c r="U797" i="2"/>
  <c r="V797" i="2" s="1"/>
  <c r="U798" i="2"/>
  <c r="V798" i="2" s="1"/>
  <c r="U799" i="2"/>
  <c r="V799" i="2" s="1"/>
  <c r="U800" i="2"/>
  <c r="V800" i="2" s="1"/>
  <c r="U801" i="2"/>
  <c r="V801" i="2" s="1"/>
  <c r="U802" i="2"/>
  <c r="V802" i="2" s="1"/>
  <c r="U803" i="2"/>
  <c r="V803" i="2" s="1"/>
  <c r="U804" i="2"/>
  <c r="V804" i="2" s="1"/>
  <c r="U805" i="2"/>
  <c r="V805" i="2" s="1"/>
  <c r="U806" i="2"/>
  <c r="V806" i="2" s="1"/>
  <c r="U807" i="2"/>
  <c r="V807" i="2" s="1"/>
  <c r="U808" i="2"/>
  <c r="V808" i="2" s="1"/>
  <c r="U809" i="2"/>
  <c r="V809" i="2" s="1"/>
  <c r="U810" i="2"/>
  <c r="V810" i="2" s="1"/>
  <c r="U811" i="2"/>
  <c r="V811" i="2" s="1"/>
  <c r="U812" i="2"/>
  <c r="V812" i="2" s="1"/>
  <c r="U813" i="2"/>
  <c r="V813" i="2" s="1"/>
  <c r="U814" i="2"/>
  <c r="V814" i="2" s="1"/>
  <c r="U815" i="2"/>
  <c r="V815" i="2" s="1"/>
  <c r="U816" i="2"/>
  <c r="V816" i="2" s="1"/>
  <c r="U817" i="2"/>
  <c r="V817" i="2" s="1"/>
  <c r="U818" i="2"/>
  <c r="V818" i="2" s="1"/>
  <c r="U819" i="2"/>
  <c r="V819" i="2" s="1"/>
  <c r="U820" i="2"/>
  <c r="V820" i="2" s="1"/>
  <c r="U821" i="2"/>
  <c r="V821" i="2" s="1"/>
  <c r="U822" i="2"/>
  <c r="V822" i="2" s="1"/>
  <c r="U823" i="2"/>
  <c r="V823" i="2" s="1"/>
  <c r="U824" i="2"/>
  <c r="V824" i="2" s="1"/>
  <c r="U825" i="2"/>
  <c r="V825" i="2" s="1"/>
  <c r="U826" i="2"/>
  <c r="V826" i="2" s="1"/>
  <c r="U827" i="2"/>
  <c r="V827" i="2" s="1"/>
  <c r="U828" i="2"/>
  <c r="V828" i="2" s="1"/>
  <c r="U829" i="2"/>
  <c r="V829" i="2" s="1"/>
  <c r="U830" i="2"/>
  <c r="V830" i="2" s="1"/>
  <c r="U831" i="2"/>
  <c r="V831" i="2" s="1"/>
  <c r="U832" i="2"/>
  <c r="V832" i="2" s="1"/>
  <c r="U833" i="2"/>
  <c r="V833" i="2" s="1"/>
  <c r="U834" i="2"/>
  <c r="V834" i="2" s="1"/>
  <c r="U835" i="2"/>
  <c r="V835" i="2" s="1"/>
  <c r="U836" i="2"/>
  <c r="V836" i="2" s="1"/>
  <c r="U837" i="2"/>
  <c r="V837" i="2" s="1"/>
  <c r="U838" i="2"/>
  <c r="V838" i="2" s="1"/>
  <c r="U839" i="2"/>
  <c r="V839" i="2" s="1"/>
  <c r="U840" i="2"/>
  <c r="V840" i="2" s="1"/>
  <c r="U841" i="2"/>
  <c r="V841" i="2" s="1"/>
  <c r="U842" i="2"/>
  <c r="V842" i="2" s="1"/>
  <c r="U843" i="2"/>
  <c r="V843" i="2" s="1"/>
  <c r="U844" i="2"/>
  <c r="V844" i="2" s="1"/>
  <c r="U845" i="2"/>
  <c r="V845" i="2" s="1"/>
  <c r="U846" i="2"/>
  <c r="V846" i="2" s="1"/>
  <c r="U847" i="2"/>
  <c r="V847" i="2" s="1"/>
  <c r="U848" i="2"/>
  <c r="V848" i="2" s="1"/>
  <c r="U849" i="2"/>
  <c r="V849" i="2" s="1"/>
  <c r="U850" i="2"/>
  <c r="V850" i="2" s="1"/>
  <c r="U851" i="2"/>
  <c r="V851" i="2" s="1"/>
  <c r="U852" i="2"/>
  <c r="V852" i="2" s="1"/>
  <c r="U853" i="2"/>
  <c r="V853" i="2" s="1"/>
  <c r="U854" i="2"/>
  <c r="V854" i="2" s="1"/>
  <c r="U855" i="2"/>
  <c r="V855" i="2" s="1"/>
  <c r="U856" i="2"/>
  <c r="V856" i="2" s="1"/>
  <c r="U857" i="2"/>
  <c r="V857" i="2" s="1"/>
  <c r="U858" i="2"/>
  <c r="V858" i="2" s="1"/>
  <c r="U859" i="2"/>
  <c r="V859" i="2" s="1"/>
  <c r="U860" i="2"/>
  <c r="V860" i="2" s="1"/>
  <c r="U861" i="2"/>
  <c r="V861" i="2" s="1"/>
  <c r="U862" i="2"/>
  <c r="V862" i="2" s="1"/>
  <c r="U863" i="2"/>
  <c r="V863" i="2" s="1"/>
  <c r="U864" i="2"/>
  <c r="V864" i="2" s="1"/>
  <c r="U865" i="2"/>
  <c r="V865" i="2" s="1"/>
  <c r="U866" i="2"/>
  <c r="V866" i="2" s="1"/>
  <c r="U867" i="2"/>
  <c r="V867" i="2" s="1"/>
  <c r="U868" i="2"/>
  <c r="V868" i="2" s="1"/>
  <c r="U869" i="2"/>
  <c r="V869" i="2" s="1"/>
  <c r="U870" i="2"/>
  <c r="V870" i="2" s="1"/>
  <c r="U871" i="2"/>
  <c r="V871" i="2" s="1"/>
  <c r="U872" i="2"/>
  <c r="V872" i="2" s="1"/>
  <c r="U873" i="2"/>
  <c r="V873" i="2" s="1"/>
  <c r="U874" i="2"/>
  <c r="V874" i="2" s="1"/>
  <c r="U875" i="2"/>
  <c r="V875" i="2" s="1"/>
  <c r="U876" i="2"/>
  <c r="V876" i="2" s="1"/>
  <c r="U877" i="2"/>
  <c r="V877" i="2" s="1"/>
  <c r="U878" i="2"/>
  <c r="V878" i="2" s="1"/>
  <c r="U879" i="2"/>
  <c r="V879" i="2" s="1"/>
  <c r="U880" i="2"/>
  <c r="V880" i="2" s="1"/>
  <c r="U881" i="2"/>
  <c r="V881" i="2" s="1"/>
  <c r="U882" i="2"/>
  <c r="V882" i="2" s="1"/>
  <c r="U883" i="2"/>
  <c r="V883" i="2" s="1"/>
  <c r="U884" i="2"/>
  <c r="V884" i="2" s="1"/>
  <c r="U885" i="2"/>
  <c r="V885" i="2" s="1"/>
  <c r="U886" i="2"/>
  <c r="V886" i="2" s="1"/>
  <c r="U887" i="2"/>
  <c r="V887" i="2" s="1"/>
  <c r="U888" i="2"/>
  <c r="V888" i="2" s="1"/>
  <c r="U889" i="2"/>
  <c r="V889" i="2" s="1"/>
  <c r="U890" i="2"/>
  <c r="V890" i="2" s="1"/>
  <c r="U891" i="2"/>
  <c r="V891" i="2" s="1"/>
  <c r="U892" i="2"/>
  <c r="V892" i="2" s="1"/>
  <c r="U893" i="2"/>
  <c r="V893" i="2" s="1"/>
  <c r="U894" i="2"/>
  <c r="V894" i="2" s="1"/>
  <c r="U895" i="2"/>
  <c r="V895" i="2" s="1"/>
  <c r="U896" i="2"/>
  <c r="V896" i="2" s="1"/>
  <c r="U897" i="2"/>
  <c r="V897" i="2" s="1"/>
  <c r="U898" i="2"/>
  <c r="V898" i="2" s="1"/>
  <c r="U899" i="2"/>
  <c r="V899" i="2" s="1"/>
  <c r="U900" i="2"/>
  <c r="V900" i="2" s="1"/>
  <c r="U901" i="2"/>
  <c r="V901" i="2" s="1"/>
  <c r="U902" i="2"/>
  <c r="V902" i="2" s="1"/>
  <c r="U903" i="2"/>
  <c r="V903" i="2" s="1"/>
  <c r="U904" i="2"/>
  <c r="V904" i="2" s="1"/>
  <c r="U905" i="2"/>
  <c r="V905" i="2" s="1"/>
  <c r="U906" i="2"/>
  <c r="V906" i="2" s="1"/>
  <c r="U907" i="2"/>
  <c r="V907" i="2" s="1"/>
  <c r="U908" i="2"/>
  <c r="V908" i="2" s="1"/>
  <c r="U909" i="2"/>
  <c r="V909" i="2" s="1"/>
  <c r="U910" i="2"/>
  <c r="V910" i="2" s="1"/>
  <c r="U911" i="2"/>
  <c r="V911" i="2" s="1"/>
  <c r="U912" i="2"/>
  <c r="V912" i="2" s="1"/>
  <c r="U913" i="2"/>
  <c r="V913" i="2" s="1"/>
  <c r="U914" i="2"/>
  <c r="V914" i="2" s="1"/>
  <c r="U915" i="2"/>
  <c r="V915" i="2" s="1"/>
  <c r="U916" i="2"/>
  <c r="V916" i="2" s="1"/>
  <c r="U917" i="2"/>
  <c r="V917" i="2" s="1"/>
  <c r="U918" i="2"/>
  <c r="V918" i="2" s="1"/>
  <c r="U919" i="2"/>
  <c r="V919" i="2" s="1"/>
  <c r="U920" i="2"/>
  <c r="V920" i="2" s="1"/>
  <c r="U921" i="2"/>
  <c r="V921" i="2" s="1"/>
  <c r="U922" i="2"/>
  <c r="V922" i="2" s="1"/>
  <c r="U923" i="2"/>
  <c r="V923" i="2" s="1"/>
  <c r="U924" i="2"/>
  <c r="V924" i="2" s="1"/>
  <c r="U925" i="2"/>
  <c r="V925" i="2" s="1"/>
  <c r="U926" i="2"/>
  <c r="V926" i="2" s="1"/>
  <c r="U927" i="2"/>
  <c r="V927" i="2" s="1"/>
  <c r="U928" i="2"/>
  <c r="V928" i="2" s="1"/>
  <c r="U929" i="2"/>
  <c r="V929" i="2" s="1"/>
  <c r="U930" i="2"/>
  <c r="V930" i="2" s="1"/>
  <c r="U931" i="2"/>
  <c r="V931" i="2" s="1"/>
  <c r="U932" i="2"/>
  <c r="V932" i="2" s="1"/>
  <c r="U933" i="2"/>
  <c r="V933" i="2" s="1"/>
  <c r="U934" i="2"/>
  <c r="V934" i="2" s="1"/>
  <c r="U935" i="2"/>
  <c r="V935" i="2" s="1"/>
  <c r="U936" i="2"/>
  <c r="V936" i="2" s="1"/>
  <c r="U937" i="2"/>
  <c r="V937" i="2" s="1"/>
  <c r="U938" i="2"/>
  <c r="V938" i="2" s="1"/>
  <c r="U939" i="2"/>
  <c r="V939" i="2" s="1"/>
  <c r="U940" i="2"/>
  <c r="V940" i="2" s="1"/>
  <c r="U941" i="2"/>
  <c r="V941" i="2" s="1"/>
  <c r="U942" i="2"/>
  <c r="V942" i="2" s="1"/>
  <c r="U943" i="2"/>
  <c r="V943" i="2" s="1"/>
  <c r="U944" i="2"/>
  <c r="V944" i="2" s="1"/>
  <c r="U945" i="2"/>
  <c r="V945" i="2" s="1"/>
  <c r="U946" i="2"/>
  <c r="V946" i="2" s="1"/>
  <c r="U947" i="2"/>
  <c r="V947" i="2" s="1"/>
  <c r="U948" i="2"/>
  <c r="V948" i="2" s="1"/>
  <c r="U949" i="2"/>
  <c r="V949" i="2" s="1"/>
  <c r="U950" i="2"/>
  <c r="V950" i="2" s="1"/>
  <c r="U951" i="2"/>
  <c r="V951" i="2" s="1"/>
  <c r="U952" i="2"/>
  <c r="V952" i="2" s="1"/>
  <c r="U953" i="2"/>
  <c r="V953" i="2" s="1"/>
  <c r="U954" i="2"/>
  <c r="V954" i="2" s="1"/>
  <c r="U955" i="2"/>
  <c r="V955" i="2" s="1"/>
  <c r="U956" i="2"/>
  <c r="V956" i="2" s="1"/>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T47" i="2"/>
  <c r="T48" i="2"/>
  <c r="T49" i="2"/>
  <c r="T50" i="2"/>
  <c r="T51" i="2"/>
  <c r="T52" i="2"/>
  <c r="T53" i="2"/>
  <c r="T54" i="2"/>
  <c r="T55" i="2"/>
  <c r="T56" i="2"/>
  <c r="T57" i="2"/>
  <c r="T58" i="2"/>
  <c r="T59" i="2"/>
  <c r="T60" i="2"/>
  <c r="T61" i="2"/>
  <c r="T62" i="2"/>
  <c r="T63" i="2"/>
  <c r="T64" i="2"/>
  <c r="T65" i="2"/>
  <c r="T66" i="2"/>
  <c r="T67" i="2"/>
  <c r="T68" i="2"/>
  <c r="T69" i="2"/>
  <c r="T70" i="2"/>
  <c r="T71" i="2"/>
  <c r="T72" i="2"/>
  <c r="T73" i="2"/>
  <c r="T74" i="2"/>
  <c r="T75" i="2"/>
  <c r="T76" i="2"/>
  <c r="T77" i="2"/>
  <c r="T78" i="2"/>
  <c r="T79" i="2"/>
  <c r="T80" i="2"/>
  <c r="T81" i="2"/>
  <c r="T82" i="2"/>
  <c r="T83" i="2"/>
  <c r="T84" i="2"/>
  <c r="T85" i="2"/>
  <c r="T86" i="2"/>
  <c r="T87" i="2"/>
  <c r="T88" i="2"/>
  <c r="T89" i="2"/>
  <c r="T90" i="2"/>
  <c r="T91" i="2"/>
  <c r="T92" i="2"/>
  <c r="T93" i="2"/>
  <c r="T94" i="2"/>
  <c r="T95" i="2"/>
  <c r="T96" i="2"/>
  <c r="T97" i="2"/>
  <c r="T98" i="2"/>
  <c r="T99" i="2"/>
  <c r="T100" i="2"/>
  <c r="T101" i="2"/>
  <c r="T102" i="2"/>
  <c r="T103" i="2"/>
  <c r="T104" i="2"/>
  <c r="T105" i="2"/>
  <c r="T106" i="2"/>
  <c r="T107" i="2"/>
  <c r="T108" i="2"/>
  <c r="T109" i="2"/>
  <c r="T110" i="2"/>
  <c r="T111" i="2"/>
  <c r="T112" i="2"/>
  <c r="T113" i="2"/>
  <c r="T114" i="2"/>
  <c r="T115" i="2"/>
  <c r="T116" i="2"/>
  <c r="T117" i="2"/>
  <c r="T118" i="2"/>
  <c r="T119" i="2"/>
  <c r="T120" i="2"/>
  <c r="T121" i="2"/>
  <c r="T122" i="2"/>
  <c r="T123" i="2"/>
  <c r="T124" i="2"/>
  <c r="T125" i="2"/>
  <c r="T126" i="2"/>
  <c r="T127" i="2"/>
  <c r="T128" i="2"/>
  <c r="T129" i="2"/>
  <c r="T130" i="2"/>
  <c r="T131" i="2"/>
  <c r="T132" i="2"/>
  <c r="T133" i="2"/>
  <c r="T134" i="2"/>
  <c r="T135" i="2"/>
  <c r="T136" i="2"/>
  <c r="T137" i="2"/>
  <c r="T138" i="2"/>
  <c r="T139" i="2"/>
  <c r="T140" i="2"/>
  <c r="T141" i="2"/>
  <c r="T142" i="2"/>
  <c r="T143" i="2"/>
  <c r="T144" i="2"/>
  <c r="T145" i="2"/>
  <c r="T146" i="2"/>
  <c r="T147" i="2"/>
  <c r="T148" i="2"/>
  <c r="T149" i="2"/>
  <c r="T150" i="2"/>
  <c r="T151" i="2"/>
  <c r="T152" i="2"/>
  <c r="T153" i="2"/>
  <c r="T154" i="2"/>
  <c r="T155" i="2"/>
  <c r="T156" i="2"/>
  <c r="T157" i="2"/>
  <c r="T158" i="2"/>
  <c r="T159" i="2"/>
  <c r="T160" i="2"/>
  <c r="T161" i="2"/>
  <c r="T162" i="2"/>
  <c r="T163" i="2"/>
  <c r="T164" i="2"/>
  <c r="T165" i="2"/>
  <c r="T166" i="2"/>
  <c r="T167" i="2"/>
  <c r="T168" i="2"/>
  <c r="T169" i="2"/>
  <c r="T170" i="2"/>
  <c r="T171" i="2"/>
  <c r="T172" i="2"/>
  <c r="T173" i="2"/>
  <c r="T174" i="2"/>
  <c r="T175" i="2"/>
  <c r="T176" i="2"/>
  <c r="T177" i="2"/>
  <c r="T178" i="2"/>
  <c r="T179" i="2"/>
  <c r="T180" i="2"/>
  <c r="T181" i="2"/>
  <c r="T182" i="2"/>
  <c r="T183" i="2"/>
  <c r="T184" i="2"/>
  <c r="T185" i="2"/>
  <c r="T186" i="2"/>
  <c r="T187" i="2"/>
  <c r="T188" i="2"/>
  <c r="T189" i="2"/>
  <c r="T190" i="2"/>
  <c r="T191" i="2"/>
  <c r="T192" i="2"/>
  <c r="T193" i="2"/>
  <c r="T194" i="2"/>
  <c r="T195" i="2"/>
  <c r="T196" i="2"/>
  <c r="T197" i="2"/>
  <c r="T198" i="2"/>
  <c r="T199" i="2"/>
  <c r="T200" i="2"/>
  <c r="T201" i="2"/>
  <c r="T202" i="2"/>
  <c r="T203" i="2"/>
  <c r="T204" i="2"/>
  <c r="T205" i="2"/>
  <c r="T206" i="2"/>
  <c r="T207" i="2"/>
  <c r="T208" i="2"/>
  <c r="T209" i="2"/>
  <c r="T210" i="2"/>
  <c r="T211" i="2"/>
  <c r="T212" i="2"/>
  <c r="T213" i="2"/>
  <c r="T214" i="2"/>
  <c r="T215" i="2"/>
  <c r="T216" i="2"/>
  <c r="T217" i="2"/>
  <c r="T218" i="2"/>
  <c r="T219" i="2"/>
  <c r="T220" i="2"/>
  <c r="T221" i="2"/>
  <c r="T222" i="2"/>
  <c r="T223" i="2"/>
  <c r="T224" i="2"/>
  <c r="T225" i="2"/>
  <c r="T226" i="2"/>
  <c r="T227" i="2"/>
  <c r="T228" i="2"/>
  <c r="T229" i="2"/>
  <c r="T230" i="2"/>
  <c r="T231" i="2"/>
  <c r="T232" i="2"/>
  <c r="T233" i="2"/>
  <c r="T234" i="2"/>
  <c r="T235" i="2"/>
  <c r="T236" i="2"/>
  <c r="T237" i="2"/>
  <c r="T238" i="2"/>
  <c r="T239" i="2"/>
  <c r="T240" i="2"/>
  <c r="T241" i="2"/>
  <c r="T242" i="2"/>
  <c r="T243" i="2"/>
  <c r="T244" i="2"/>
  <c r="T245" i="2"/>
  <c r="T246" i="2"/>
  <c r="T247" i="2"/>
  <c r="T248" i="2"/>
  <c r="T249" i="2"/>
  <c r="T250" i="2"/>
  <c r="T251" i="2"/>
  <c r="T252" i="2"/>
  <c r="T253" i="2"/>
  <c r="T254" i="2"/>
  <c r="T255" i="2"/>
  <c r="T256" i="2"/>
  <c r="T257" i="2"/>
  <c r="T258" i="2"/>
  <c r="T259" i="2"/>
  <c r="T260" i="2"/>
  <c r="T261" i="2"/>
  <c r="T262" i="2"/>
  <c r="T263" i="2"/>
  <c r="T264" i="2"/>
  <c r="T265" i="2"/>
  <c r="T266" i="2"/>
  <c r="T267" i="2"/>
  <c r="T268" i="2"/>
  <c r="T269" i="2"/>
  <c r="T270" i="2"/>
  <c r="T271" i="2"/>
  <c r="T272" i="2"/>
  <c r="T273" i="2"/>
  <c r="T274" i="2"/>
  <c r="T275" i="2"/>
  <c r="T276" i="2"/>
  <c r="T277" i="2"/>
  <c r="T278" i="2"/>
  <c r="T279" i="2"/>
  <c r="T280" i="2"/>
  <c r="T281" i="2"/>
  <c r="T282" i="2"/>
  <c r="T283" i="2"/>
  <c r="T284" i="2"/>
  <c r="T285" i="2"/>
  <c r="T286" i="2"/>
  <c r="T287" i="2"/>
  <c r="T288" i="2"/>
  <c r="T289" i="2"/>
  <c r="T290" i="2"/>
  <c r="T291" i="2"/>
  <c r="T292" i="2"/>
  <c r="T293" i="2"/>
  <c r="T294" i="2"/>
  <c r="T295" i="2"/>
  <c r="T296" i="2"/>
  <c r="T297" i="2"/>
  <c r="T298" i="2"/>
  <c r="T299" i="2"/>
  <c r="T300" i="2"/>
  <c r="T301" i="2"/>
  <c r="T302" i="2"/>
  <c r="T303" i="2"/>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T351" i="2"/>
  <c r="T352" i="2"/>
  <c r="T353" i="2"/>
  <c r="T354" i="2"/>
  <c r="T355" i="2"/>
  <c r="T356" i="2"/>
  <c r="T357" i="2"/>
  <c r="T358" i="2"/>
  <c r="T359" i="2"/>
  <c r="T360" i="2"/>
  <c r="T361" i="2"/>
  <c r="T362" i="2"/>
  <c r="T363" i="2"/>
  <c r="T364" i="2"/>
  <c r="T365" i="2"/>
  <c r="T366" i="2"/>
  <c r="T367" i="2"/>
  <c r="T368" i="2"/>
  <c r="T369" i="2"/>
  <c r="T370" i="2"/>
  <c r="T371" i="2"/>
  <c r="T372" i="2"/>
  <c r="T373" i="2"/>
  <c r="T374" i="2"/>
  <c r="T375" i="2"/>
  <c r="T376" i="2"/>
  <c r="T377" i="2"/>
  <c r="T378" i="2"/>
  <c r="T379" i="2"/>
  <c r="T380" i="2"/>
  <c r="T381" i="2"/>
  <c r="T382" i="2"/>
  <c r="T383" i="2"/>
  <c r="T384" i="2"/>
  <c r="T385" i="2"/>
  <c r="T386" i="2"/>
  <c r="T387" i="2"/>
  <c r="T388" i="2"/>
  <c r="T389" i="2"/>
  <c r="T390" i="2"/>
  <c r="T391" i="2"/>
  <c r="T392" i="2"/>
  <c r="T393" i="2"/>
  <c r="T394" i="2"/>
  <c r="T395" i="2"/>
  <c r="T396" i="2"/>
  <c r="T397" i="2"/>
  <c r="T398" i="2"/>
  <c r="T399" i="2"/>
  <c r="T400" i="2"/>
  <c r="T401" i="2"/>
  <c r="T402" i="2"/>
  <c r="T403" i="2"/>
  <c r="T404" i="2"/>
  <c r="T405" i="2"/>
  <c r="T406" i="2"/>
  <c r="T407" i="2"/>
  <c r="T408" i="2"/>
  <c r="T409" i="2"/>
  <c r="T410" i="2"/>
  <c r="T411" i="2"/>
  <c r="T412" i="2"/>
  <c r="T413" i="2"/>
  <c r="T414" i="2"/>
  <c r="T415" i="2"/>
  <c r="T416" i="2"/>
  <c r="T417" i="2"/>
  <c r="T418" i="2"/>
  <c r="T419" i="2"/>
  <c r="T420" i="2"/>
  <c r="T421" i="2"/>
  <c r="T422" i="2"/>
  <c r="T423" i="2"/>
  <c r="T424" i="2"/>
  <c r="T425" i="2"/>
  <c r="T426" i="2"/>
  <c r="T427" i="2"/>
  <c r="T428" i="2"/>
  <c r="T429" i="2"/>
  <c r="T430" i="2"/>
  <c r="T431" i="2"/>
  <c r="T432" i="2"/>
  <c r="T433" i="2"/>
  <c r="T434" i="2"/>
  <c r="T435" i="2"/>
  <c r="T436" i="2"/>
  <c r="T437" i="2"/>
  <c r="T438" i="2"/>
  <c r="T439" i="2"/>
  <c r="T440" i="2"/>
  <c r="T441" i="2"/>
  <c r="T442" i="2"/>
  <c r="T443" i="2"/>
  <c r="T444" i="2"/>
  <c r="T445" i="2"/>
  <c r="T446" i="2"/>
  <c r="T447" i="2"/>
  <c r="T448" i="2"/>
  <c r="T449" i="2"/>
  <c r="T450" i="2"/>
  <c r="T451" i="2"/>
  <c r="T452" i="2"/>
  <c r="T453" i="2"/>
  <c r="T454" i="2"/>
  <c r="T455" i="2"/>
  <c r="T456" i="2"/>
  <c r="T457" i="2"/>
  <c r="T458" i="2"/>
  <c r="T459" i="2"/>
  <c r="T460" i="2"/>
  <c r="T461" i="2"/>
  <c r="T462" i="2"/>
  <c r="T463" i="2"/>
  <c r="T464" i="2"/>
  <c r="T465" i="2"/>
  <c r="T466" i="2"/>
  <c r="T467" i="2"/>
  <c r="T468" i="2"/>
  <c r="T469" i="2"/>
  <c r="T470" i="2"/>
  <c r="T471" i="2"/>
  <c r="T472" i="2"/>
  <c r="T473" i="2"/>
  <c r="T474" i="2"/>
  <c r="T475" i="2"/>
  <c r="T476" i="2"/>
  <c r="T477" i="2"/>
  <c r="T478" i="2"/>
  <c r="T479" i="2"/>
  <c r="T480" i="2"/>
  <c r="T481" i="2"/>
  <c r="T482" i="2"/>
  <c r="T483" i="2"/>
  <c r="T484" i="2"/>
  <c r="T485" i="2"/>
  <c r="T486" i="2"/>
  <c r="T487" i="2"/>
  <c r="T488" i="2"/>
  <c r="T489" i="2"/>
  <c r="T490" i="2"/>
  <c r="T491" i="2"/>
  <c r="T492" i="2"/>
  <c r="T493" i="2"/>
  <c r="T494" i="2"/>
  <c r="T495" i="2"/>
  <c r="T496" i="2"/>
  <c r="T497" i="2"/>
  <c r="T498" i="2"/>
  <c r="T499" i="2"/>
  <c r="T500" i="2"/>
  <c r="T501" i="2"/>
  <c r="T502" i="2"/>
  <c r="T503" i="2"/>
  <c r="T504" i="2"/>
  <c r="T505" i="2"/>
  <c r="T506" i="2"/>
  <c r="T507" i="2"/>
  <c r="T508" i="2"/>
  <c r="T509" i="2"/>
  <c r="T510" i="2"/>
  <c r="T511" i="2"/>
  <c r="T512" i="2"/>
  <c r="T513" i="2"/>
  <c r="T514" i="2"/>
  <c r="T515" i="2"/>
  <c r="T516" i="2"/>
  <c r="T517" i="2"/>
  <c r="T518" i="2"/>
  <c r="T519" i="2"/>
  <c r="T520" i="2"/>
  <c r="T521" i="2"/>
  <c r="T522" i="2"/>
  <c r="T523" i="2"/>
  <c r="T524" i="2"/>
  <c r="T525" i="2"/>
  <c r="T526" i="2"/>
  <c r="T527" i="2"/>
  <c r="T528" i="2"/>
  <c r="T529" i="2"/>
  <c r="T530" i="2"/>
  <c r="T531" i="2"/>
  <c r="T532" i="2"/>
  <c r="T533" i="2"/>
  <c r="T534" i="2"/>
  <c r="T535" i="2"/>
  <c r="T536" i="2"/>
  <c r="T537" i="2"/>
  <c r="T538" i="2"/>
  <c r="T539" i="2"/>
  <c r="T540" i="2"/>
  <c r="T541" i="2"/>
  <c r="T542" i="2"/>
  <c r="T543" i="2"/>
  <c r="T544" i="2"/>
  <c r="T545" i="2"/>
  <c r="T546" i="2"/>
  <c r="T547" i="2"/>
  <c r="T548" i="2"/>
  <c r="T549" i="2"/>
  <c r="T550" i="2"/>
  <c r="T551" i="2"/>
  <c r="T552" i="2"/>
  <c r="T553" i="2"/>
  <c r="T554" i="2"/>
  <c r="T555" i="2"/>
  <c r="T556" i="2"/>
  <c r="T557" i="2"/>
  <c r="T558" i="2"/>
  <c r="T559" i="2"/>
  <c r="T560" i="2"/>
  <c r="T561" i="2"/>
  <c r="T562" i="2"/>
  <c r="T563" i="2"/>
  <c r="T564" i="2"/>
  <c r="T565" i="2"/>
  <c r="T566" i="2"/>
  <c r="T567" i="2"/>
  <c r="T568" i="2"/>
  <c r="T569" i="2"/>
  <c r="T570" i="2"/>
  <c r="T571" i="2"/>
  <c r="T572" i="2"/>
  <c r="T573" i="2"/>
  <c r="T574" i="2"/>
  <c r="T575" i="2"/>
  <c r="T576" i="2"/>
  <c r="T577" i="2"/>
  <c r="T578" i="2"/>
  <c r="T579" i="2"/>
  <c r="T580" i="2"/>
  <c r="T581" i="2"/>
  <c r="T582" i="2"/>
  <c r="T583" i="2"/>
  <c r="T584" i="2"/>
  <c r="T585" i="2"/>
  <c r="T586" i="2"/>
  <c r="T587" i="2"/>
  <c r="T588" i="2"/>
  <c r="T589" i="2"/>
  <c r="T590" i="2"/>
  <c r="T591" i="2"/>
  <c r="T592" i="2"/>
  <c r="T593" i="2"/>
  <c r="T594" i="2"/>
  <c r="T595" i="2"/>
  <c r="T596" i="2"/>
  <c r="T597" i="2"/>
  <c r="T598" i="2"/>
  <c r="T599" i="2"/>
  <c r="T600" i="2"/>
  <c r="T601" i="2"/>
  <c r="T602" i="2"/>
  <c r="T603" i="2"/>
  <c r="T604" i="2"/>
  <c r="T605" i="2"/>
  <c r="T606" i="2"/>
  <c r="T607" i="2"/>
  <c r="T608" i="2"/>
  <c r="T609" i="2"/>
  <c r="T610" i="2"/>
  <c r="T611" i="2"/>
  <c r="T612" i="2"/>
  <c r="T613" i="2"/>
  <c r="T614" i="2"/>
  <c r="T615" i="2"/>
  <c r="T616" i="2"/>
  <c r="T617" i="2"/>
  <c r="T618" i="2"/>
  <c r="T619" i="2"/>
  <c r="T620" i="2"/>
  <c r="T621" i="2"/>
  <c r="T622" i="2"/>
  <c r="T623" i="2"/>
  <c r="T624" i="2"/>
  <c r="T625" i="2"/>
  <c r="T626" i="2"/>
  <c r="T627" i="2"/>
  <c r="T628" i="2"/>
  <c r="T629" i="2"/>
  <c r="T630" i="2"/>
  <c r="T631" i="2"/>
  <c r="T632" i="2"/>
  <c r="T633" i="2"/>
  <c r="T634" i="2"/>
  <c r="T635" i="2"/>
  <c r="T636" i="2"/>
  <c r="T637" i="2"/>
  <c r="T638" i="2"/>
  <c r="T639" i="2"/>
  <c r="T640" i="2"/>
  <c r="T641" i="2"/>
  <c r="T642" i="2"/>
  <c r="T643" i="2"/>
  <c r="T644" i="2"/>
  <c r="T645" i="2"/>
  <c r="T646" i="2"/>
  <c r="T647" i="2"/>
  <c r="T648" i="2"/>
  <c r="T649" i="2"/>
  <c r="T650" i="2"/>
  <c r="T651" i="2"/>
  <c r="T652" i="2"/>
  <c r="T653" i="2"/>
  <c r="T654" i="2"/>
  <c r="T655" i="2"/>
  <c r="T656" i="2"/>
  <c r="T657" i="2"/>
  <c r="T658" i="2"/>
  <c r="T659" i="2"/>
  <c r="T660" i="2"/>
  <c r="T661" i="2"/>
  <c r="T662" i="2"/>
  <c r="T663" i="2"/>
  <c r="T664" i="2"/>
  <c r="T665" i="2"/>
  <c r="T666" i="2"/>
  <c r="T667" i="2"/>
  <c r="T668" i="2"/>
  <c r="T669" i="2"/>
  <c r="T670" i="2"/>
  <c r="T671" i="2"/>
  <c r="T672" i="2"/>
  <c r="T673" i="2"/>
  <c r="T674" i="2"/>
  <c r="T675" i="2"/>
  <c r="T676" i="2"/>
  <c r="T677" i="2"/>
  <c r="T678" i="2"/>
  <c r="T679" i="2"/>
  <c r="T680" i="2"/>
  <c r="T681" i="2"/>
  <c r="T682" i="2"/>
  <c r="T683" i="2"/>
  <c r="T684" i="2"/>
  <c r="T685" i="2"/>
  <c r="T686" i="2"/>
  <c r="T687" i="2"/>
  <c r="T688" i="2"/>
  <c r="T689" i="2"/>
  <c r="T690" i="2"/>
  <c r="T691" i="2"/>
  <c r="T692" i="2"/>
  <c r="T693" i="2"/>
  <c r="T694" i="2"/>
  <c r="T695" i="2"/>
  <c r="T696" i="2"/>
  <c r="T697" i="2"/>
  <c r="T698" i="2"/>
  <c r="T699" i="2"/>
  <c r="T700" i="2"/>
  <c r="T701" i="2"/>
  <c r="T702" i="2"/>
  <c r="T703" i="2"/>
  <c r="T704" i="2"/>
  <c r="T705" i="2"/>
  <c r="T706" i="2"/>
  <c r="T707" i="2"/>
  <c r="T708" i="2"/>
  <c r="T709" i="2"/>
  <c r="T710" i="2"/>
  <c r="T711" i="2"/>
  <c r="T712" i="2"/>
  <c r="T713" i="2"/>
  <c r="T714" i="2"/>
  <c r="T715" i="2"/>
  <c r="T716" i="2"/>
  <c r="T717" i="2"/>
  <c r="T718" i="2"/>
  <c r="T719" i="2"/>
  <c r="T720" i="2"/>
  <c r="T721" i="2"/>
  <c r="T722" i="2"/>
  <c r="T723" i="2"/>
  <c r="T724" i="2"/>
  <c r="T725" i="2"/>
  <c r="T726" i="2"/>
  <c r="T727" i="2"/>
  <c r="T728" i="2"/>
  <c r="T729" i="2"/>
  <c r="T730" i="2"/>
  <c r="T731" i="2"/>
  <c r="T732" i="2"/>
  <c r="T733" i="2"/>
  <c r="T734" i="2"/>
  <c r="T735" i="2"/>
  <c r="T736" i="2"/>
  <c r="T737" i="2"/>
  <c r="T738" i="2"/>
  <c r="T739" i="2"/>
  <c r="T740" i="2"/>
  <c r="T741" i="2"/>
  <c r="T742" i="2"/>
  <c r="T743" i="2"/>
  <c r="T744" i="2"/>
  <c r="T745" i="2"/>
  <c r="T746" i="2"/>
  <c r="T747" i="2"/>
  <c r="T748" i="2"/>
  <c r="T749" i="2"/>
  <c r="T750" i="2"/>
  <c r="T751" i="2"/>
  <c r="T752" i="2"/>
  <c r="T753" i="2"/>
  <c r="T754" i="2"/>
  <c r="T755" i="2"/>
  <c r="T756" i="2"/>
  <c r="T757" i="2"/>
  <c r="T758" i="2"/>
  <c r="T759" i="2"/>
  <c r="T760" i="2"/>
  <c r="T761" i="2"/>
  <c r="T762" i="2"/>
  <c r="T763" i="2"/>
  <c r="T764" i="2"/>
  <c r="T765" i="2"/>
  <c r="T766" i="2"/>
  <c r="T767" i="2"/>
  <c r="T768" i="2"/>
  <c r="T769" i="2"/>
  <c r="T770" i="2"/>
  <c r="T771" i="2"/>
  <c r="T772" i="2"/>
  <c r="T773" i="2"/>
  <c r="T774" i="2"/>
  <c r="T775" i="2"/>
  <c r="T776" i="2"/>
  <c r="T777" i="2"/>
  <c r="T778" i="2"/>
  <c r="T779" i="2"/>
  <c r="T780" i="2"/>
  <c r="T781" i="2"/>
  <c r="T782" i="2"/>
  <c r="T783" i="2"/>
  <c r="T784" i="2"/>
  <c r="T785" i="2"/>
  <c r="T786" i="2"/>
  <c r="T787" i="2"/>
  <c r="T788" i="2"/>
  <c r="T789" i="2"/>
  <c r="T790" i="2"/>
  <c r="T791" i="2"/>
  <c r="T792" i="2"/>
  <c r="T793" i="2"/>
  <c r="T794" i="2"/>
  <c r="T795" i="2"/>
  <c r="T796" i="2"/>
  <c r="T797" i="2"/>
  <c r="T798" i="2"/>
  <c r="T799" i="2"/>
  <c r="T800" i="2"/>
  <c r="T801" i="2"/>
  <c r="T802" i="2"/>
  <c r="T803" i="2"/>
  <c r="T804" i="2"/>
  <c r="T805" i="2"/>
  <c r="T806" i="2"/>
  <c r="T807" i="2"/>
  <c r="T808" i="2"/>
  <c r="T809" i="2"/>
  <c r="T810" i="2"/>
  <c r="T811" i="2"/>
  <c r="T812" i="2"/>
  <c r="T813" i="2"/>
  <c r="T814" i="2"/>
  <c r="T815" i="2"/>
  <c r="T816" i="2"/>
  <c r="T817" i="2"/>
  <c r="T818" i="2"/>
  <c r="T819" i="2"/>
  <c r="T820" i="2"/>
  <c r="T821" i="2"/>
  <c r="T822" i="2"/>
  <c r="T823" i="2"/>
  <c r="T824" i="2"/>
  <c r="T825" i="2"/>
  <c r="T826" i="2"/>
  <c r="T827" i="2"/>
  <c r="T828" i="2"/>
  <c r="T829" i="2"/>
  <c r="T830" i="2"/>
  <c r="T831" i="2"/>
  <c r="T832" i="2"/>
  <c r="T833" i="2"/>
  <c r="T834" i="2"/>
  <c r="T835" i="2"/>
  <c r="T836" i="2"/>
  <c r="T837" i="2"/>
  <c r="T838" i="2"/>
  <c r="T839" i="2"/>
  <c r="T840" i="2"/>
  <c r="T841" i="2"/>
  <c r="T842" i="2"/>
  <c r="T843" i="2"/>
  <c r="T844" i="2"/>
  <c r="T845" i="2"/>
  <c r="T846" i="2"/>
  <c r="T847" i="2"/>
  <c r="T848" i="2"/>
  <c r="T849" i="2"/>
  <c r="T850" i="2"/>
  <c r="T851" i="2"/>
  <c r="T852" i="2"/>
  <c r="T853" i="2"/>
  <c r="T854" i="2"/>
  <c r="T855" i="2"/>
  <c r="T856" i="2"/>
  <c r="T857" i="2"/>
  <c r="T858" i="2"/>
  <c r="T859" i="2"/>
  <c r="T860" i="2"/>
  <c r="T861" i="2"/>
  <c r="T862" i="2"/>
  <c r="T863" i="2"/>
  <c r="T864" i="2"/>
  <c r="T865" i="2"/>
  <c r="T866" i="2"/>
  <c r="T867" i="2"/>
  <c r="T868" i="2"/>
  <c r="T869" i="2"/>
  <c r="T870" i="2"/>
  <c r="T871" i="2"/>
  <c r="T872" i="2"/>
  <c r="T873" i="2"/>
  <c r="T874" i="2"/>
  <c r="T875" i="2"/>
  <c r="T876" i="2"/>
  <c r="T877" i="2"/>
  <c r="T878" i="2"/>
  <c r="T879" i="2"/>
  <c r="T880" i="2"/>
  <c r="T881" i="2"/>
  <c r="T882" i="2"/>
  <c r="T883" i="2"/>
  <c r="T884" i="2"/>
  <c r="T885" i="2"/>
  <c r="T886" i="2"/>
  <c r="T887" i="2"/>
  <c r="T888" i="2"/>
  <c r="T889" i="2"/>
  <c r="T890" i="2"/>
  <c r="T891" i="2"/>
  <c r="T892" i="2"/>
  <c r="T893" i="2"/>
  <c r="T894" i="2"/>
  <c r="T895" i="2"/>
  <c r="T896" i="2"/>
  <c r="T897" i="2"/>
  <c r="T898" i="2"/>
  <c r="T899" i="2"/>
  <c r="T900" i="2"/>
  <c r="T901" i="2"/>
  <c r="T902" i="2"/>
  <c r="T903" i="2"/>
  <c r="T904" i="2"/>
  <c r="T905" i="2"/>
  <c r="T906" i="2"/>
  <c r="T907" i="2"/>
  <c r="T908" i="2"/>
  <c r="T909" i="2"/>
  <c r="T910" i="2"/>
  <c r="T911" i="2"/>
  <c r="T912" i="2"/>
  <c r="T913" i="2"/>
  <c r="T914" i="2"/>
  <c r="T915" i="2"/>
  <c r="T916" i="2"/>
  <c r="T917" i="2"/>
  <c r="T918" i="2"/>
  <c r="T919" i="2"/>
  <c r="T920" i="2"/>
  <c r="T921" i="2"/>
  <c r="T922" i="2"/>
  <c r="T923" i="2"/>
  <c r="T924" i="2"/>
  <c r="T925" i="2"/>
  <c r="T926" i="2"/>
  <c r="T927" i="2"/>
  <c r="T928" i="2"/>
  <c r="T929" i="2"/>
  <c r="T930" i="2"/>
  <c r="T931" i="2"/>
  <c r="T932" i="2"/>
  <c r="T933" i="2"/>
  <c r="T934" i="2"/>
  <c r="T935" i="2"/>
  <c r="T936" i="2"/>
  <c r="T937" i="2"/>
  <c r="T938" i="2"/>
  <c r="T939" i="2"/>
  <c r="T940" i="2"/>
  <c r="T941" i="2"/>
  <c r="T942" i="2"/>
  <c r="T943" i="2"/>
  <c r="T944" i="2"/>
  <c r="T945" i="2"/>
  <c r="T946" i="2"/>
  <c r="T947" i="2"/>
  <c r="T948" i="2"/>
  <c r="T949" i="2"/>
  <c r="T950" i="2"/>
  <c r="T951" i="2"/>
  <c r="T952" i="2"/>
  <c r="T953" i="2"/>
  <c r="T954" i="2"/>
  <c r="T955" i="2"/>
  <c r="T956" i="2"/>
  <c r="P46" i="15"/>
  <c r="P46" i="16"/>
  <c r="P46" i="14"/>
  <c r="P46" i="9"/>
  <c r="P46" i="7"/>
  <c r="P46" i="10"/>
  <c r="P46" i="13"/>
  <c r="P46" i="12"/>
  <c r="P46" i="11"/>
  <c r="P53" i="8"/>
  <c r="L45" i="15"/>
  <c r="K45" i="15"/>
  <c r="K45" i="16"/>
  <c r="L45" i="14"/>
  <c r="K45" i="14"/>
  <c r="L45" i="9"/>
  <c r="K45" i="9"/>
  <c r="L45" i="7"/>
  <c r="K45" i="7"/>
  <c r="L45" i="10"/>
  <c r="K45" i="10"/>
  <c r="L45" i="13"/>
  <c r="K45" i="13"/>
  <c r="L45" i="12"/>
  <c r="K45" i="12"/>
  <c r="L45" i="11"/>
  <c r="K45" i="11"/>
  <c r="L52" i="8"/>
  <c r="K52" i="8"/>
  <c r="C52" i="21" l="1"/>
  <c r="I53" i="21"/>
  <c r="E55" i="21"/>
  <c r="K56" i="21"/>
  <c r="G58" i="21"/>
  <c r="C60" i="21"/>
  <c r="I61" i="21"/>
  <c r="E63" i="21"/>
  <c r="K64" i="21"/>
  <c r="G66" i="21"/>
  <c r="J55" i="21"/>
  <c r="H58" i="21"/>
  <c r="F61" i="21"/>
  <c r="D64" i="21"/>
  <c r="L66" i="21"/>
  <c r="J64" i="21"/>
  <c r="H52" i="21"/>
  <c r="H54" i="21"/>
  <c r="D58" i="21"/>
  <c r="J61" i="21"/>
  <c r="J65" i="21"/>
  <c r="E52" i="21"/>
  <c r="K53" i="21"/>
  <c r="G55" i="21"/>
  <c r="C57" i="21"/>
  <c r="I58" i="21"/>
  <c r="E60" i="21"/>
  <c r="K61" i="21"/>
  <c r="G63" i="21"/>
  <c r="C65" i="21"/>
  <c r="I66" i="21"/>
  <c r="H53" i="21"/>
  <c r="D55" i="21"/>
  <c r="J56" i="21"/>
  <c r="F58" i="21"/>
  <c r="L59" i="21"/>
  <c r="L61" i="21"/>
  <c r="L65" i="21"/>
  <c r="G52" i="21"/>
  <c r="C54" i="21"/>
  <c r="I55" i="21"/>
  <c r="E57" i="21"/>
  <c r="K58" i="21"/>
  <c r="G60" i="21"/>
  <c r="C62" i="21"/>
  <c r="I63" i="21"/>
  <c r="E65" i="21"/>
  <c r="K66" i="21"/>
  <c r="H56" i="21"/>
  <c r="F59" i="21"/>
  <c r="D62" i="21"/>
  <c r="L64" i="21"/>
  <c r="H61" i="21"/>
  <c r="H65" i="21"/>
  <c r="L52" i="21"/>
  <c r="F55" i="21"/>
  <c r="L58" i="21"/>
  <c r="L62" i="21"/>
  <c r="H66" i="21"/>
  <c r="I52" i="21"/>
  <c r="E54" i="21"/>
  <c r="K55" i="21"/>
  <c r="G57" i="21"/>
  <c r="C59" i="21"/>
  <c r="I60" i="21"/>
  <c r="K52" i="21"/>
  <c r="G54" i="21"/>
  <c r="C56" i="21"/>
  <c r="I57" i="21"/>
  <c r="E59" i="21"/>
  <c r="K60" i="21"/>
  <c r="G62" i="21"/>
  <c r="C64" i="21"/>
  <c r="I65" i="21"/>
  <c r="F53" i="21"/>
  <c r="F57" i="21"/>
  <c r="J59" i="21"/>
  <c r="H62" i="21"/>
  <c r="F65" i="21"/>
  <c r="E53" i="21"/>
  <c r="K54" i="21"/>
  <c r="G56" i="21"/>
  <c r="C58" i="21"/>
  <c r="I59" i="21"/>
  <c r="E61" i="21"/>
  <c r="K62" i="21"/>
  <c r="G64" i="21"/>
  <c r="C66" i="21"/>
  <c r="L54" i="21"/>
  <c r="J57" i="21"/>
  <c r="H60" i="21"/>
  <c r="F63" i="21"/>
  <c r="D66" i="21"/>
  <c r="L63" i="21"/>
  <c r="D52" i="21"/>
  <c r="D54" i="21"/>
  <c r="L56" i="21"/>
  <c r="L60" i="21"/>
  <c r="H64" i="21"/>
  <c r="D65" i="21"/>
  <c r="G53" i="21"/>
  <c r="C55" i="21"/>
  <c r="I56" i="21"/>
  <c r="E58" i="21"/>
  <c r="K59" i="21"/>
  <c r="G61" i="21"/>
  <c r="C63" i="21"/>
  <c r="I64" i="21"/>
  <c r="E66" i="21"/>
  <c r="D53" i="21"/>
  <c r="J54" i="21"/>
  <c r="F56" i="21"/>
  <c r="L57" i="21"/>
  <c r="H59" i="21"/>
  <c r="D61" i="21"/>
  <c r="F64" i="21"/>
  <c r="H51" i="21"/>
  <c r="I51" i="21"/>
  <c r="C51" i="21"/>
  <c r="E19" i="21"/>
  <c r="K20" i="21"/>
  <c r="G22" i="21"/>
  <c r="C24" i="21"/>
  <c r="I25" i="21"/>
  <c r="E27" i="21"/>
  <c r="K28" i="21"/>
  <c r="G30" i="21"/>
  <c r="C32" i="21"/>
  <c r="H18" i="21"/>
  <c r="D20" i="21"/>
  <c r="J21" i="21"/>
  <c r="F23" i="21"/>
  <c r="L24" i="21"/>
  <c r="H26" i="21"/>
  <c r="D28" i="21"/>
  <c r="J29" i="21"/>
  <c r="F31" i="21"/>
  <c r="L32" i="21"/>
  <c r="G19" i="21"/>
  <c r="C21" i="21"/>
  <c r="I22" i="21"/>
  <c r="E24" i="21"/>
  <c r="K25" i="21"/>
  <c r="G27" i="21"/>
  <c r="C29" i="21"/>
  <c r="I30" i="21"/>
  <c r="E32" i="21"/>
  <c r="D19" i="21"/>
  <c r="J20" i="21"/>
  <c r="F22" i="21"/>
  <c r="L23" i="21"/>
  <c r="H25" i="21"/>
  <c r="D27" i="21"/>
  <c r="J28" i="21"/>
  <c r="F30" i="21"/>
  <c r="L31" i="21"/>
  <c r="H17" i="21"/>
  <c r="G17" i="21"/>
  <c r="C17" i="21"/>
  <c r="L51" i="21"/>
  <c r="F51" i="21"/>
  <c r="C18" i="21"/>
  <c r="I19" i="21"/>
  <c r="E21" i="21"/>
  <c r="J62" i="21"/>
  <c r="D60" i="21"/>
  <c r="J66" i="21"/>
  <c r="C20" i="21"/>
  <c r="K22" i="21"/>
  <c r="K24" i="21"/>
  <c r="K26" i="21"/>
  <c r="E29" i="21"/>
  <c r="E31" i="21"/>
  <c r="D18" i="21"/>
  <c r="H20" i="21"/>
  <c r="H22" i="21"/>
  <c r="L26" i="21"/>
  <c r="L28" i="21"/>
  <c r="E18" i="21"/>
  <c r="E22" i="21"/>
  <c r="I26" i="21"/>
  <c r="F18" i="21"/>
  <c r="J22" i="21"/>
  <c r="J26" i="21"/>
  <c r="D29" i="21"/>
  <c r="D17" i="21"/>
  <c r="F54" i="21"/>
  <c r="J60" i="21"/>
  <c r="F66" i="21"/>
  <c r="J63" i="21"/>
  <c r="E56" i="21"/>
  <c r="E62" i="21"/>
  <c r="G65" i="21"/>
  <c r="J51" i="21"/>
  <c r="H24" i="21"/>
  <c r="L30" i="21"/>
  <c r="E20" i="21"/>
  <c r="I24" i="21"/>
  <c r="I28" i="21"/>
  <c r="C31" i="21"/>
  <c r="F20" i="21"/>
  <c r="J24" i="21"/>
  <c r="D31" i="21"/>
  <c r="E17" i="21"/>
  <c r="H57" i="21"/>
  <c r="D51" i="21"/>
  <c r="G51" i="21"/>
  <c r="G20" i="21"/>
  <c r="E23" i="21"/>
  <c r="E25" i="21"/>
  <c r="I27" i="21"/>
  <c r="I29" i="21"/>
  <c r="I31" i="21"/>
  <c r="L18" i="21"/>
  <c r="L20" i="21"/>
  <c r="L22" i="21"/>
  <c r="F25" i="21"/>
  <c r="F27" i="21"/>
  <c r="F29" i="21"/>
  <c r="J31" i="21"/>
  <c r="I18" i="21"/>
  <c r="I20" i="21"/>
  <c r="C23" i="21"/>
  <c r="C25" i="21"/>
  <c r="C27" i="21"/>
  <c r="G29" i="21"/>
  <c r="G31" i="21"/>
  <c r="J18" i="21"/>
  <c r="D21" i="21"/>
  <c r="D23" i="21"/>
  <c r="D25" i="21"/>
  <c r="H27" i="21"/>
  <c r="H29" i="21"/>
  <c r="H31" i="21"/>
  <c r="L17" i="21"/>
  <c r="J17" i="21"/>
  <c r="J53" i="21"/>
  <c r="D63" i="21"/>
  <c r="K57" i="21"/>
  <c r="I62" i="21"/>
  <c r="K65" i="21"/>
  <c r="D56" i="21"/>
  <c r="C53" i="21"/>
  <c r="G59" i="21"/>
  <c r="K63" i="21"/>
  <c r="F52" i="21"/>
  <c r="H55" i="21"/>
  <c r="J58" i="21"/>
  <c r="F62" i="21"/>
  <c r="K51" i="21"/>
  <c r="G18" i="21"/>
  <c r="I21" i="21"/>
  <c r="I23" i="21"/>
  <c r="C26" i="21"/>
  <c r="C28" i="21"/>
  <c r="C30" i="21"/>
  <c r="G32" i="21"/>
  <c r="F19" i="21"/>
  <c r="F21" i="21"/>
  <c r="J23" i="21"/>
  <c r="J25" i="21"/>
  <c r="J27" i="21"/>
  <c r="D30" i="21"/>
  <c r="D32" i="21"/>
  <c r="C19" i="21"/>
  <c r="G21" i="21"/>
  <c r="G23" i="21"/>
  <c r="G25" i="21"/>
  <c r="K27" i="21"/>
  <c r="K29" i="21"/>
  <c r="K31" i="21"/>
  <c r="H19" i="21"/>
  <c r="H21" i="21"/>
  <c r="H23" i="21"/>
  <c r="L25" i="21"/>
  <c r="L27" i="21"/>
  <c r="L29" i="21"/>
  <c r="F32" i="21"/>
  <c r="I17" i="21"/>
  <c r="K17" i="21"/>
  <c r="I54" i="21"/>
  <c r="C61" i="21"/>
  <c r="E64" i="21"/>
  <c r="J52" i="21"/>
  <c r="L55" i="21"/>
  <c r="D59" i="21"/>
  <c r="H63" i="21"/>
  <c r="E51" i="21"/>
  <c r="K18" i="21"/>
  <c r="C22" i="21"/>
  <c r="G24" i="21"/>
  <c r="G26" i="21"/>
  <c r="G28" i="21"/>
  <c r="K30" i="21"/>
  <c r="K32" i="21"/>
  <c r="J19" i="21"/>
  <c r="D22" i="21"/>
  <c r="D24" i="21"/>
  <c r="D26" i="21"/>
  <c r="H28" i="21"/>
  <c r="H30" i="21"/>
  <c r="H32" i="21"/>
  <c r="K19" i="21"/>
  <c r="K21" i="21"/>
  <c r="K23" i="21"/>
  <c r="E26" i="21"/>
  <c r="E28" i="21"/>
  <c r="E30" i="21"/>
  <c r="I32" i="21"/>
  <c r="L19" i="21"/>
  <c r="L21" i="21"/>
  <c r="F24" i="21"/>
  <c r="F26" i="21"/>
  <c r="F28" i="21"/>
  <c r="J30" i="21"/>
  <c r="J32" i="21"/>
  <c r="F17" i="21"/>
  <c r="L53" i="21"/>
  <c r="D57" i="21"/>
  <c r="F60" i="21"/>
  <c r="L42" i="15"/>
  <c r="K49" i="8"/>
  <c r="L6" i="8" s="1"/>
  <c r="L48" i="8" s="1"/>
  <c r="K42" i="11"/>
  <c r="L6" i="11" s="1"/>
  <c r="L41" i="11" s="1"/>
  <c r="K42" i="12"/>
  <c r="L6" i="12" s="1"/>
  <c r="L41" i="12" s="1"/>
  <c r="K42" i="13"/>
  <c r="L6" i="13" s="1"/>
  <c r="L41" i="13" s="1"/>
  <c r="K42" i="10"/>
  <c r="L6" i="10" s="1"/>
  <c r="L41" i="10" s="1"/>
  <c r="K42" i="7"/>
  <c r="L6" i="7" s="1"/>
  <c r="L41" i="7" s="1"/>
  <c r="K42" i="9"/>
  <c r="L6" i="9" s="1"/>
  <c r="L41" i="9" s="1"/>
  <c r="K42" i="14"/>
  <c r="L6" i="14" s="1"/>
  <c r="L41" i="14" s="1"/>
  <c r="K42" i="16"/>
  <c r="K42" i="15"/>
  <c r="L6" i="15" s="1"/>
  <c r="L41" i="15" s="1"/>
  <c r="L49" i="8"/>
  <c r="L42" i="11"/>
  <c r="L42" i="12"/>
  <c r="L42" i="13"/>
  <c r="L42" i="10"/>
  <c r="L42" i="7"/>
  <c r="L42" i="9"/>
  <c r="L42" i="14"/>
  <c r="P34" i="16"/>
  <c r="B4" i="19"/>
  <c r="B23" i="19" l="1"/>
  <c r="D33" i="19"/>
  <c r="G42" i="15" l="1"/>
  <c r="G42" i="16"/>
  <c r="G42" i="14"/>
  <c r="G42" i="13"/>
  <c r="G42" i="11"/>
  <c r="G49" i="8"/>
  <c r="G45" i="13"/>
  <c r="G45" i="15"/>
  <c r="G45" i="11"/>
  <c r="G52" i="8"/>
  <c r="G45" i="16"/>
  <c r="G45" i="14"/>
  <c r="D42" i="9" l="1"/>
  <c r="D20" i="19"/>
  <c r="C21" i="19"/>
  <c r="F34" i="19" l="1"/>
  <c r="F33" i="19"/>
  <c r="F32" i="19"/>
  <c r="F31" i="19"/>
  <c r="F30" i="19"/>
  <c r="F26" i="19"/>
  <c r="F25" i="19"/>
  <c r="E24" i="19"/>
  <c r="C24" i="19"/>
  <c r="D14" i="19"/>
  <c r="D21" i="19"/>
  <c r="E5" i="19" l="1"/>
  <c r="C5" i="19"/>
  <c r="E21" i="19"/>
  <c r="F7" i="19" l="1"/>
  <c r="F6" i="19"/>
  <c r="F15" i="19"/>
  <c r="F14" i="19"/>
  <c r="F13" i="19"/>
  <c r="F12" i="19"/>
  <c r="F11" i="19"/>
  <c r="A2" i="8"/>
  <c r="A2" i="10"/>
  <c r="A2" i="9"/>
  <c r="A2" i="16"/>
  <c r="A2" i="11"/>
  <c r="A2" i="15"/>
  <c r="A2" i="13"/>
  <c r="A2" i="12"/>
  <c r="F21" i="19"/>
  <c r="A2" i="14"/>
  <c r="A2" i="7"/>
  <c r="D5" i="4" l="1" a="1"/>
  <c r="D5" i="4" s="1"/>
  <c r="G21" i="19"/>
  <c r="H21" i="19"/>
  <c r="D13" i="4" l="1"/>
  <c r="D12" i="4"/>
  <c r="D8" i="4"/>
  <c r="D11" i="4"/>
  <c r="D7" i="4"/>
  <c r="D14" i="4"/>
  <c r="D10" i="4"/>
  <c r="D6" i="4"/>
  <c r="B25" i="19" s="1" a="1"/>
  <c r="B25" i="19" s="1"/>
  <c r="O25" i="19" s="1"/>
  <c r="D9" i="4"/>
  <c r="B6" i="19" l="1" a="1"/>
  <c r="B6" i="19" s="1"/>
  <c r="H6" i="19" s="1"/>
  <c r="B32" i="19"/>
  <c r="O32" i="19" s="1"/>
  <c r="B29" i="19"/>
  <c r="O29" i="19" s="1"/>
  <c r="B27" i="19"/>
  <c r="O27" i="19" s="1"/>
  <c r="B33" i="19"/>
  <c r="O33" i="19" s="1"/>
  <c r="B34" i="19"/>
  <c r="O34" i="19" s="1"/>
  <c r="B26" i="19"/>
  <c r="O26" i="19" s="1"/>
  <c r="B7" i="19"/>
  <c r="H7" i="19" s="1"/>
  <c r="B31" i="19"/>
  <c r="O31" i="19" s="1"/>
  <c r="B30" i="19"/>
  <c r="O30" i="19" s="1"/>
  <c r="B28" i="19"/>
  <c r="O28" i="19" s="1"/>
  <c r="H25" i="19"/>
  <c r="B11" i="19" l="1"/>
  <c r="H11" i="19" s="1"/>
  <c r="B14" i="19"/>
  <c r="H14" i="19" s="1"/>
  <c r="B10" i="19"/>
  <c r="H10" i="19" s="1"/>
  <c r="B9" i="19"/>
  <c r="H9" i="19" s="1"/>
  <c r="B12" i="19"/>
  <c r="H12" i="19" s="1"/>
  <c r="B15" i="19"/>
  <c r="H15" i="19" s="1"/>
  <c r="B8" i="19"/>
  <c r="H8" i="19" s="1"/>
  <c r="B13" i="19"/>
  <c r="H13" i="19" s="1"/>
  <c r="H30" i="19"/>
  <c r="H26" i="19"/>
  <c r="H33" i="19"/>
  <c r="H29" i="19"/>
  <c r="H28" i="19"/>
  <c r="H31" i="19"/>
  <c r="H34" i="19"/>
  <c r="H27" i="19"/>
  <c r="H32" i="19"/>
  <c r="M9" i="13"/>
  <c r="M11" i="13" s="1"/>
  <c r="M5" i="13"/>
  <c r="M5" i="14"/>
  <c r="M5" i="10"/>
  <c r="M45" i="10"/>
  <c r="M5" i="12"/>
  <c r="M45" i="12"/>
  <c r="N5" i="12"/>
  <c r="N45" i="12"/>
  <c r="O5" i="12"/>
  <c r="O45" i="12"/>
  <c r="P5" i="12"/>
  <c r="P45" i="12"/>
  <c r="N5" i="13"/>
  <c r="N45" i="13"/>
  <c r="O5" i="13"/>
  <c r="O45" i="13"/>
  <c r="P5" i="13"/>
  <c r="P45" i="13"/>
  <c r="N5" i="10"/>
  <c r="N45" i="10"/>
  <c r="O5" i="10"/>
  <c r="O45" i="10"/>
  <c r="P5" i="10"/>
  <c r="P45" i="10"/>
  <c r="N5" i="14"/>
  <c r="M45" i="14"/>
  <c r="N45" i="14"/>
  <c r="O5" i="14"/>
  <c r="O45" i="14"/>
  <c r="P5" i="14"/>
  <c r="P45" i="14"/>
  <c r="P49" i="14" l="1"/>
  <c r="P33" i="14"/>
  <c r="P21" i="14"/>
  <c r="P16" i="14"/>
  <c r="P48" i="14"/>
  <c r="P32" i="14"/>
  <c r="P42" i="14"/>
  <c r="P34" i="14"/>
  <c r="P30" i="14"/>
  <c r="P22" i="14"/>
  <c r="P17" i="14"/>
  <c r="P25" i="14"/>
  <c r="P20" i="14"/>
  <c r="P36" i="14"/>
  <c r="P31" i="14"/>
  <c r="P24" i="14"/>
  <c r="P18" i="14"/>
  <c r="O48" i="14"/>
  <c r="O32" i="14"/>
  <c r="O25" i="14"/>
  <c r="O20" i="14"/>
  <c r="O36" i="14"/>
  <c r="O49" i="14"/>
  <c r="O33" i="14"/>
  <c r="O21" i="14"/>
  <c r="O16" i="14"/>
  <c r="O31" i="14"/>
  <c r="O18" i="14"/>
  <c r="O42" i="14"/>
  <c r="O34" i="14"/>
  <c r="O30" i="14"/>
  <c r="O22" i="14"/>
  <c r="O17" i="14"/>
  <c r="O24" i="14"/>
  <c r="N36" i="14"/>
  <c r="N31" i="14"/>
  <c r="N24" i="14"/>
  <c r="N18" i="14"/>
  <c r="N30" i="14"/>
  <c r="N22" i="14"/>
  <c r="N17" i="14"/>
  <c r="N48" i="14"/>
  <c r="N32" i="14"/>
  <c r="N25" i="14"/>
  <c r="N20" i="14"/>
  <c r="N49" i="14"/>
  <c r="N33" i="14"/>
  <c r="N21" i="14"/>
  <c r="N16" i="14"/>
  <c r="N42" i="14"/>
  <c r="N34" i="14"/>
  <c r="P49" i="10"/>
  <c r="P33" i="10"/>
  <c r="P21" i="10"/>
  <c r="P16" i="10"/>
  <c r="P22" i="10"/>
  <c r="P32" i="10"/>
  <c r="P42" i="10"/>
  <c r="P34" i="10"/>
  <c r="P30" i="10"/>
  <c r="P17" i="10"/>
  <c r="P25" i="10"/>
  <c r="P20" i="10"/>
  <c r="P36" i="10"/>
  <c r="P31" i="10"/>
  <c r="P24" i="10"/>
  <c r="P18" i="10"/>
  <c r="P48" i="10"/>
  <c r="O48" i="10"/>
  <c r="O32" i="10"/>
  <c r="O25" i="10"/>
  <c r="O20" i="10"/>
  <c r="O24" i="10"/>
  <c r="O18" i="10"/>
  <c r="O49" i="10"/>
  <c r="O33" i="10"/>
  <c r="O21" i="10"/>
  <c r="O16" i="10"/>
  <c r="O36" i="10"/>
  <c r="O31" i="10"/>
  <c r="O42" i="10"/>
  <c r="O34" i="10"/>
  <c r="O30" i="10"/>
  <c r="O22" i="10"/>
  <c r="O17" i="10"/>
  <c r="N36" i="10"/>
  <c r="N31" i="10"/>
  <c r="N24" i="10"/>
  <c r="N18" i="10"/>
  <c r="N20" i="10"/>
  <c r="N17" i="10"/>
  <c r="N48" i="10"/>
  <c r="N32" i="10"/>
  <c r="N25" i="10"/>
  <c r="N49" i="10"/>
  <c r="N33" i="10"/>
  <c r="N21" i="10"/>
  <c r="N16" i="10"/>
  <c r="N42" i="10"/>
  <c r="N34" i="10"/>
  <c r="N30" i="10"/>
  <c r="N22" i="10"/>
  <c r="P49" i="13"/>
  <c r="P33" i="13"/>
  <c r="P21" i="13"/>
  <c r="P16" i="13"/>
  <c r="P42" i="13"/>
  <c r="P34" i="13"/>
  <c r="P30" i="13"/>
  <c r="P22" i="13"/>
  <c r="P17" i="13"/>
  <c r="P20" i="13"/>
  <c r="P36" i="13"/>
  <c r="P31" i="13"/>
  <c r="P24" i="13"/>
  <c r="P18" i="13"/>
  <c r="P48" i="13"/>
  <c r="P32" i="13"/>
  <c r="P25" i="13"/>
  <c r="O48" i="13"/>
  <c r="O32" i="13"/>
  <c r="O25" i="13"/>
  <c r="O20" i="13"/>
  <c r="O36" i="13"/>
  <c r="O49" i="13"/>
  <c r="O33" i="13"/>
  <c r="O21" i="13"/>
  <c r="O16" i="13"/>
  <c r="O31" i="13"/>
  <c r="O24" i="13"/>
  <c r="O42" i="13"/>
  <c r="O34" i="13"/>
  <c r="O30" i="13"/>
  <c r="O22" i="13"/>
  <c r="O17" i="13"/>
  <c r="O18" i="13"/>
  <c r="N36" i="13"/>
  <c r="N31" i="13"/>
  <c r="N24" i="13"/>
  <c r="N18" i="13"/>
  <c r="N30" i="13"/>
  <c r="N22" i="13"/>
  <c r="N48" i="13"/>
  <c r="N32" i="13"/>
  <c r="N25" i="13"/>
  <c r="N20" i="13"/>
  <c r="N42" i="13"/>
  <c r="N34" i="13"/>
  <c r="N17" i="13"/>
  <c r="N49" i="13"/>
  <c r="N33" i="13"/>
  <c r="N21" i="13"/>
  <c r="N16" i="13"/>
  <c r="N9" i="13"/>
  <c r="N11" i="13" s="1"/>
  <c r="O9" i="13" s="1"/>
  <c r="O11" i="13" s="1"/>
  <c r="P9" i="13" s="1"/>
  <c r="P11" i="13" s="1"/>
  <c r="P49" i="12"/>
  <c r="P33" i="12"/>
  <c r="P21" i="12"/>
  <c r="P16" i="12"/>
  <c r="P42" i="12"/>
  <c r="P34" i="12"/>
  <c r="P30" i="12"/>
  <c r="P22" i="12"/>
  <c r="P17" i="12"/>
  <c r="P25" i="12"/>
  <c r="P20" i="12"/>
  <c r="P36" i="12"/>
  <c r="P31" i="12"/>
  <c r="P24" i="12"/>
  <c r="P18" i="12"/>
  <c r="P48" i="12"/>
  <c r="P32" i="12"/>
  <c r="O48" i="12"/>
  <c r="O32" i="12"/>
  <c r="O25" i="12"/>
  <c r="O20" i="12"/>
  <c r="O49" i="12"/>
  <c r="O33" i="12"/>
  <c r="O21" i="12"/>
  <c r="O16" i="12"/>
  <c r="O42" i="12"/>
  <c r="O34" i="12"/>
  <c r="O30" i="12"/>
  <c r="O22" i="12"/>
  <c r="O17" i="12"/>
  <c r="O36" i="12"/>
  <c r="O31" i="12"/>
  <c r="O24" i="12"/>
  <c r="O18" i="12"/>
  <c r="N36" i="12"/>
  <c r="N31" i="12"/>
  <c r="N24" i="12"/>
  <c r="N18" i="12"/>
  <c r="N22" i="12"/>
  <c r="N48" i="12"/>
  <c r="N32" i="12"/>
  <c r="N25" i="12"/>
  <c r="N20" i="12"/>
  <c r="N34" i="12"/>
  <c r="N30" i="12"/>
  <c r="N17" i="12"/>
  <c r="N49" i="12"/>
  <c r="N33" i="12"/>
  <c r="N21" i="12"/>
  <c r="N16" i="12"/>
  <c r="N42" i="12"/>
  <c r="N9" i="12"/>
  <c r="N11" i="12" s="1"/>
  <c r="O9" i="12" s="1"/>
  <c r="O11" i="12" s="1"/>
  <c r="P9" i="12" s="1"/>
  <c r="P11" i="12" s="1"/>
  <c r="M36" i="13"/>
  <c r="M32" i="13"/>
  <c r="M33" i="13"/>
  <c r="M34" i="13"/>
  <c r="M18" i="13"/>
  <c r="M31" i="13"/>
  <c r="M25" i="13"/>
  <c r="M21" i="13"/>
  <c r="M30" i="13"/>
  <c r="M24" i="13"/>
  <c r="M20" i="13"/>
  <c r="M16" i="13"/>
  <c r="M22" i="13"/>
  <c r="M48" i="13"/>
  <c r="M49" i="13"/>
  <c r="M42" i="13"/>
  <c r="M17" i="13"/>
  <c r="M36" i="14"/>
  <c r="M31" i="14"/>
  <c r="M24" i="14"/>
  <c r="M18" i="14"/>
  <c r="M34" i="14"/>
  <c r="M48" i="14"/>
  <c r="M32" i="14"/>
  <c r="M25" i="14"/>
  <c r="M20" i="14"/>
  <c r="M49" i="14"/>
  <c r="M33" i="14"/>
  <c r="M21" i="14"/>
  <c r="M16" i="14"/>
  <c r="M42" i="14"/>
  <c r="M30" i="14"/>
  <c r="M22" i="14"/>
  <c r="M17" i="14"/>
  <c r="M36" i="10"/>
  <c r="M31" i="10"/>
  <c r="M24" i="10"/>
  <c r="M18" i="10"/>
  <c r="M48" i="10"/>
  <c r="M32" i="10"/>
  <c r="M25" i="10"/>
  <c r="M20" i="10"/>
  <c r="M34" i="10"/>
  <c r="M22" i="10"/>
  <c r="M49" i="10"/>
  <c r="M33" i="10"/>
  <c r="M21" i="10"/>
  <c r="M16" i="10"/>
  <c r="M42" i="10"/>
  <c r="M30" i="10"/>
  <c r="M17" i="10"/>
  <c r="M36" i="12"/>
  <c r="M31" i="12"/>
  <c r="M24" i="12"/>
  <c r="M18" i="12"/>
  <c r="M17" i="12"/>
  <c r="M48" i="12"/>
  <c r="M32" i="12"/>
  <c r="M25" i="12"/>
  <c r="M20" i="12"/>
  <c r="M42" i="12"/>
  <c r="M34" i="12"/>
  <c r="M49" i="12"/>
  <c r="M33" i="12"/>
  <c r="M21" i="12"/>
  <c r="M16" i="12"/>
  <c r="M30" i="12"/>
  <c r="M22" i="12"/>
  <c r="M9" i="12"/>
  <c r="M11" i="12" s="1"/>
  <c r="M9" i="10"/>
  <c r="M11" i="10" s="1"/>
  <c r="N9" i="10" s="1"/>
  <c r="N11" i="10" s="1"/>
  <c r="O9" i="10" s="1"/>
  <c r="O11" i="10" s="1"/>
  <c r="P9" i="10" s="1"/>
  <c r="P11" i="10" s="1"/>
  <c r="M9" i="14"/>
  <c r="M11" i="14" s="1"/>
  <c r="N9" i="14" s="1"/>
  <c r="N11" i="14" s="1"/>
  <c r="O9" i="14" s="1"/>
  <c r="O11" i="14" s="1"/>
  <c r="P9" i="14" s="1"/>
  <c r="P11" i="14" s="1"/>
  <c r="M45" i="13"/>
  <c r="M5" i="9"/>
  <c r="M45" i="9"/>
  <c r="N5" i="9"/>
  <c r="O5" i="9"/>
  <c r="N45" i="9"/>
  <c r="O45" i="9"/>
  <c r="P5" i="9"/>
  <c r="P45" i="9"/>
  <c r="L46" i="12" l="1"/>
  <c r="L46" i="14"/>
  <c r="L46" i="10"/>
  <c r="L46" i="13"/>
  <c r="M44" i="13"/>
  <c r="N44" i="13" s="1"/>
  <c r="O44" i="13" s="1"/>
  <c r="P44" i="13" s="1"/>
  <c r="M46" i="13"/>
  <c r="O38" i="14"/>
  <c r="N27" i="10"/>
  <c r="O38" i="13"/>
  <c r="O27" i="14"/>
  <c r="N46" i="14"/>
  <c r="P27" i="14"/>
  <c r="O46" i="14"/>
  <c r="N27" i="14"/>
  <c r="N38" i="14"/>
  <c r="P38" i="14"/>
  <c r="P49" i="9"/>
  <c r="P33" i="9"/>
  <c r="P21" i="9"/>
  <c r="P16" i="9"/>
  <c r="P31" i="9"/>
  <c r="P18" i="9"/>
  <c r="P48" i="9"/>
  <c r="P25" i="9"/>
  <c r="P42" i="9"/>
  <c r="P34" i="9"/>
  <c r="P30" i="9"/>
  <c r="P22" i="9"/>
  <c r="P17" i="9"/>
  <c r="P36" i="9"/>
  <c r="P24" i="9"/>
  <c r="P32" i="9"/>
  <c r="P20" i="9"/>
  <c r="O48" i="9"/>
  <c r="O32" i="9"/>
  <c r="O25" i="9"/>
  <c r="O20" i="9"/>
  <c r="O34" i="9"/>
  <c r="O36" i="9"/>
  <c r="O31" i="9"/>
  <c r="O18" i="9"/>
  <c r="O49" i="9"/>
  <c r="O33" i="9"/>
  <c r="O21" i="9"/>
  <c r="O16" i="9"/>
  <c r="O42" i="9"/>
  <c r="O30" i="9"/>
  <c r="O22" i="9"/>
  <c r="O17" i="9"/>
  <c r="O24" i="9"/>
  <c r="N36" i="9"/>
  <c r="N31" i="9"/>
  <c r="N24" i="9"/>
  <c r="N18" i="9"/>
  <c r="N21" i="9"/>
  <c r="N16" i="9"/>
  <c r="N42" i="9"/>
  <c r="N34" i="9"/>
  <c r="N22" i="9"/>
  <c r="N48" i="9"/>
  <c r="N32" i="9"/>
  <c r="N25" i="9"/>
  <c r="N20" i="9"/>
  <c r="N49" i="9"/>
  <c r="N33" i="9"/>
  <c r="N30" i="9"/>
  <c r="N17" i="9"/>
  <c r="O27" i="10"/>
  <c r="N46" i="10"/>
  <c r="P27" i="10"/>
  <c r="O46" i="10"/>
  <c r="N38" i="10"/>
  <c r="O38" i="10"/>
  <c r="P38" i="10"/>
  <c r="M27" i="13"/>
  <c r="N27" i="13"/>
  <c r="N46" i="13"/>
  <c r="O27" i="13"/>
  <c r="P27" i="13"/>
  <c r="O46" i="13"/>
  <c r="P38" i="13"/>
  <c r="M38" i="13"/>
  <c r="N38" i="13"/>
  <c r="N38" i="12"/>
  <c r="P27" i="12"/>
  <c r="O46" i="12"/>
  <c r="O27" i="12"/>
  <c r="N46" i="12"/>
  <c r="P38" i="12"/>
  <c r="N27" i="12"/>
  <c r="O38" i="12"/>
  <c r="M38" i="14"/>
  <c r="M27" i="12"/>
  <c r="M27" i="14"/>
  <c r="M46" i="14"/>
  <c r="M36" i="9"/>
  <c r="M31" i="9"/>
  <c r="M24" i="9"/>
  <c r="M18" i="9"/>
  <c r="M32" i="9"/>
  <c r="M25" i="9"/>
  <c r="M20" i="9"/>
  <c r="M48" i="9"/>
  <c r="M49" i="9"/>
  <c r="M33" i="9"/>
  <c r="M21" i="9"/>
  <c r="M16" i="9"/>
  <c r="M42" i="9"/>
  <c r="M34" i="9"/>
  <c r="M30" i="9"/>
  <c r="M22" i="9"/>
  <c r="M17" i="9"/>
  <c r="M27" i="10"/>
  <c r="M38" i="10"/>
  <c r="M46" i="10"/>
  <c r="M38" i="12"/>
  <c r="M46" i="12"/>
  <c r="M44" i="12"/>
  <c r="N44" i="12" s="1"/>
  <c r="O44" i="12" s="1"/>
  <c r="P44" i="12" s="1"/>
  <c r="M44" i="10"/>
  <c r="N44" i="10" s="1"/>
  <c r="O44" i="10" s="1"/>
  <c r="P44" i="10" s="1"/>
  <c r="M44" i="14"/>
  <c r="N44" i="14" s="1"/>
  <c r="O44" i="14" s="1"/>
  <c r="P44" i="14" s="1"/>
  <c r="M9" i="9"/>
  <c r="M11" i="9" s="1"/>
  <c r="N9" i="9" s="1"/>
  <c r="N11" i="9" s="1"/>
  <c r="O9" i="9" s="1"/>
  <c r="O11" i="9" s="1"/>
  <c r="P9" i="9" s="1"/>
  <c r="P11" i="9" s="1"/>
  <c r="M5" i="11"/>
  <c r="M5" i="16"/>
  <c r="M45" i="16"/>
  <c r="M5" i="15"/>
  <c r="M45" i="11"/>
  <c r="N5" i="11"/>
  <c r="O5" i="11"/>
  <c r="N45" i="11"/>
  <c r="O45" i="11"/>
  <c r="P5" i="11"/>
  <c r="P45" i="11"/>
  <c r="N5" i="16"/>
  <c r="O5" i="16"/>
  <c r="N45" i="16"/>
  <c r="O45" i="16"/>
  <c r="P5" i="16"/>
  <c r="P45" i="16"/>
  <c r="N5" i="15"/>
  <c r="O5" i="15"/>
  <c r="N45" i="15"/>
  <c r="P5" i="15"/>
  <c r="O45" i="15"/>
  <c r="P45" i="15"/>
  <c r="L46" i="9" l="1"/>
  <c r="N38" i="9"/>
  <c r="P36" i="15"/>
  <c r="P31" i="15"/>
  <c r="P24" i="15"/>
  <c r="P18" i="15"/>
  <c r="P48" i="15"/>
  <c r="P32" i="15"/>
  <c r="P25" i="15"/>
  <c r="P20" i="15"/>
  <c r="P34" i="15"/>
  <c r="P30" i="15"/>
  <c r="P22" i="15"/>
  <c r="P17" i="15"/>
  <c r="P49" i="15"/>
  <c r="P33" i="15"/>
  <c r="P21" i="15"/>
  <c r="P16" i="15"/>
  <c r="P42" i="15"/>
  <c r="O42" i="15"/>
  <c r="O34" i="15"/>
  <c r="O30" i="15"/>
  <c r="O22" i="15"/>
  <c r="O17" i="15"/>
  <c r="O36" i="15"/>
  <c r="O31" i="15"/>
  <c r="O24" i="15"/>
  <c r="O18" i="15"/>
  <c r="O49" i="15"/>
  <c r="O48" i="15"/>
  <c r="O32" i="15"/>
  <c r="O25" i="15"/>
  <c r="O20" i="15"/>
  <c r="O33" i="15"/>
  <c r="O21" i="15"/>
  <c r="O16" i="15"/>
  <c r="N49" i="15"/>
  <c r="N33" i="15"/>
  <c r="N21" i="15"/>
  <c r="N16" i="15"/>
  <c r="N48" i="15"/>
  <c r="N32" i="15"/>
  <c r="N25" i="15"/>
  <c r="N20" i="15"/>
  <c r="N42" i="15"/>
  <c r="N34" i="15"/>
  <c r="N30" i="15"/>
  <c r="N22" i="15"/>
  <c r="N17" i="15"/>
  <c r="N36" i="15"/>
  <c r="N31" i="15"/>
  <c r="N24" i="15"/>
  <c r="N18" i="15"/>
  <c r="P38" i="9"/>
  <c r="P49" i="16"/>
  <c r="P33" i="16"/>
  <c r="P21" i="16"/>
  <c r="P16" i="16"/>
  <c r="P30" i="16"/>
  <c r="P42" i="16"/>
  <c r="P36" i="16"/>
  <c r="O34" i="16"/>
  <c r="P31" i="16"/>
  <c r="P24" i="16"/>
  <c r="O22" i="16"/>
  <c r="P18" i="16"/>
  <c r="P48" i="16"/>
  <c r="P32" i="16"/>
  <c r="P25" i="16"/>
  <c r="P20" i="16"/>
  <c r="P17" i="16"/>
  <c r="O48" i="16"/>
  <c r="O32" i="16"/>
  <c r="O25" i="16"/>
  <c r="O20" i="16"/>
  <c r="O33" i="16"/>
  <c r="O49" i="16"/>
  <c r="O42" i="16"/>
  <c r="O30" i="16"/>
  <c r="O17" i="16"/>
  <c r="O36" i="16"/>
  <c r="N34" i="16"/>
  <c r="O31" i="16"/>
  <c r="O24" i="16"/>
  <c r="N22" i="16"/>
  <c r="O18" i="16"/>
  <c r="O21" i="16"/>
  <c r="O16" i="16"/>
  <c r="N36" i="16"/>
  <c r="N31" i="16"/>
  <c r="N24" i="16"/>
  <c r="N18" i="16"/>
  <c r="N32" i="16"/>
  <c r="N25" i="16"/>
  <c r="N48" i="16"/>
  <c r="N49" i="16"/>
  <c r="N33" i="16"/>
  <c r="N21" i="16"/>
  <c r="N16" i="16"/>
  <c r="N42" i="16"/>
  <c r="N30" i="16"/>
  <c r="N17" i="16"/>
  <c r="N20" i="16"/>
  <c r="P27" i="9"/>
  <c r="O46" i="9"/>
  <c r="N27" i="9"/>
  <c r="O27" i="9"/>
  <c r="N46" i="9"/>
  <c r="O38" i="9"/>
  <c r="P49" i="11"/>
  <c r="P33" i="11"/>
  <c r="P21" i="11"/>
  <c r="P16" i="11"/>
  <c r="P24" i="11"/>
  <c r="P48" i="11"/>
  <c r="P32" i="11"/>
  <c r="P25" i="11"/>
  <c r="P42" i="11"/>
  <c r="P34" i="11"/>
  <c r="P30" i="11"/>
  <c r="P22" i="11"/>
  <c r="P17" i="11"/>
  <c r="P36" i="11"/>
  <c r="P31" i="11"/>
  <c r="P18" i="11"/>
  <c r="P20" i="11"/>
  <c r="O48" i="11"/>
  <c r="O32" i="11"/>
  <c r="O25" i="11"/>
  <c r="O20" i="11"/>
  <c r="O34" i="11"/>
  <c r="O30" i="11"/>
  <c r="O17" i="11"/>
  <c r="O36" i="11"/>
  <c r="O31" i="11"/>
  <c r="O18" i="11"/>
  <c r="O49" i="11"/>
  <c r="O33" i="11"/>
  <c r="O21" i="11"/>
  <c r="O16" i="11"/>
  <c r="O42" i="11"/>
  <c r="O22" i="11"/>
  <c r="O24" i="11"/>
  <c r="N36" i="11"/>
  <c r="N31" i="11"/>
  <c r="N24" i="11"/>
  <c r="N18" i="11"/>
  <c r="N21" i="11"/>
  <c r="N16" i="11"/>
  <c r="N42" i="11"/>
  <c r="N22" i="11"/>
  <c r="N48" i="11"/>
  <c r="N32" i="11"/>
  <c r="N25" i="11"/>
  <c r="N20" i="11"/>
  <c r="N49" i="11"/>
  <c r="N33" i="11"/>
  <c r="N34" i="11"/>
  <c r="N30" i="11"/>
  <c r="N17" i="11"/>
  <c r="M36" i="15"/>
  <c r="M31" i="15"/>
  <c r="M24" i="15"/>
  <c r="M18" i="15"/>
  <c r="M42" i="15"/>
  <c r="M34" i="15"/>
  <c r="M17" i="15"/>
  <c r="M48" i="15"/>
  <c r="M32" i="15"/>
  <c r="M25" i="15"/>
  <c r="M20" i="15"/>
  <c r="M49" i="15"/>
  <c r="M33" i="15"/>
  <c r="M21" i="15"/>
  <c r="M16" i="15"/>
  <c r="M30" i="15"/>
  <c r="M22" i="15"/>
  <c r="M38" i="9"/>
  <c r="M34" i="16"/>
  <c r="M22" i="16"/>
  <c r="M36" i="16"/>
  <c r="M31" i="16"/>
  <c r="M24" i="16"/>
  <c r="M18" i="16"/>
  <c r="M32" i="16"/>
  <c r="M25" i="16"/>
  <c r="M48" i="16"/>
  <c r="M49" i="16"/>
  <c r="M33" i="16"/>
  <c r="M21" i="16"/>
  <c r="M16" i="16"/>
  <c r="M42" i="16"/>
  <c r="M30" i="16"/>
  <c r="M17" i="16"/>
  <c r="M20" i="16"/>
  <c r="M27" i="9"/>
  <c r="M46" i="9"/>
  <c r="M36" i="11"/>
  <c r="M31" i="11"/>
  <c r="M24" i="11"/>
  <c r="M48" i="11"/>
  <c r="M32" i="11"/>
  <c r="M25" i="11"/>
  <c r="M20" i="11"/>
  <c r="M49" i="11"/>
  <c r="M33" i="11"/>
  <c r="M21" i="11"/>
  <c r="M16" i="11"/>
  <c r="M42" i="11"/>
  <c r="M34" i="11"/>
  <c r="M30" i="11"/>
  <c r="M17" i="11"/>
  <c r="M18" i="11"/>
  <c r="M9" i="15"/>
  <c r="M11" i="15" s="1"/>
  <c r="N9" i="15" s="1"/>
  <c r="N11" i="15" s="1"/>
  <c r="O9" i="15" s="1"/>
  <c r="O11" i="15" s="1"/>
  <c r="P9" i="15" s="1"/>
  <c r="P11" i="15" s="1"/>
  <c r="M9" i="16"/>
  <c r="M11" i="16" s="1"/>
  <c r="N9" i="16" s="1"/>
  <c r="N11" i="16" s="1"/>
  <c r="O9" i="16" s="1"/>
  <c r="O11" i="16" s="1"/>
  <c r="P9" i="16" s="1"/>
  <c r="P11" i="16" s="1"/>
  <c r="M9" i="11"/>
  <c r="M11" i="11" s="1"/>
  <c r="N9" i="11" s="1"/>
  <c r="N11" i="11" s="1"/>
  <c r="O9" i="11" s="1"/>
  <c r="O11" i="11" s="1"/>
  <c r="P9" i="11" s="1"/>
  <c r="P11" i="11" s="1"/>
  <c r="M44" i="9"/>
  <c r="N44" i="9" s="1"/>
  <c r="O44" i="9" s="1"/>
  <c r="P44" i="9" s="1"/>
  <c r="M45" i="15"/>
  <c r="L46" i="15" l="1"/>
  <c r="L46" i="11"/>
  <c r="N38" i="16"/>
  <c r="N38" i="15"/>
  <c r="P38" i="15"/>
  <c r="N27" i="15"/>
  <c r="N46" i="15"/>
  <c r="O27" i="15"/>
  <c r="O38" i="15"/>
  <c r="O46" i="15"/>
  <c r="P27" i="15"/>
  <c r="P27" i="16"/>
  <c r="O46" i="16"/>
  <c r="O38" i="16"/>
  <c r="N27" i="16"/>
  <c r="O27" i="16"/>
  <c r="N46" i="16"/>
  <c r="P38" i="16"/>
  <c r="P27" i="11"/>
  <c r="O46" i="11"/>
  <c r="N27" i="11"/>
  <c r="P38" i="11"/>
  <c r="N38" i="11"/>
  <c r="N46" i="11"/>
  <c r="O27" i="11"/>
  <c r="O38" i="11"/>
  <c r="M38" i="15"/>
  <c r="M38" i="16"/>
  <c r="M46" i="15"/>
  <c r="M27" i="15"/>
  <c r="M27" i="16"/>
  <c r="M46" i="16"/>
  <c r="M38" i="11"/>
  <c r="M46" i="11"/>
  <c r="M27" i="11"/>
  <c r="M44" i="15"/>
  <c r="N44" i="15" s="1"/>
  <c r="O44" i="15" s="1"/>
  <c r="P44" i="15" s="1"/>
  <c r="M44" i="16"/>
  <c r="N44" i="16" s="1"/>
  <c r="O44" i="16" s="1"/>
  <c r="P44" i="16" s="1"/>
  <c r="M6" i="12"/>
  <c r="M41" i="12" s="1"/>
  <c r="N6" i="12" s="1"/>
  <c r="N41" i="12" s="1"/>
  <c r="M6" i="10"/>
  <c r="M41" i="10" s="1"/>
  <c r="N6" i="10" s="1"/>
  <c r="N41" i="10" s="1"/>
  <c r="M44" i="11"/>
  <c r="N44" i="11" s="1"/>
  <c r="O44" i="11" s="1"/>
  <c r="P44" i="11" s="1"/>
  <c r="N47" i="10" l="1"/>
  <c r="O6" i="10"/>
  <c r="O41" i="10" s="1"/>
  <c r="N43" i="10"/>
  <c r="N47" i="12"/>
  <c r="O6" i="12"/>
  <c r="O41" i="12" s="1"/>
  <c r="N43" i="12"/>
  <c r="M6" i="14"/>
  <c r="M41" i="14" s="1"/>
  <c r="M47" i="10"/>
  <c r="M43" i="10"/>
  <c r="M47" i="12"/>
  <c r="M43" i="12"/>
  <c r="M6" i="16"/>
  <c r="M41" i="16" s="1"/>
  <c r="N6" i="16" s="1"/>
  <c r="N41" i="16" s="1"/>
  <c r="M6" i="13"/>
  <c r="M41" i="13" s="1"/>
  <c r="N6" i="13" s="1"/>
  <c r="N41" i="13" s="1"/>
  <c r="N47" i="16" l="1"/>
  <c r="O6" i="16"/>
  <c r="O41" i="16" s="1"/>
  <c r="N43" i="16"/>
  <c r="M47" i="14"/>
  <c r="N6" i="14"/>
  <c r="N41" i="14" s="1"/>
  <c r="P6" i="10"/>
  <c r="P41" i="10" s="1"/>
  <c r="O47" i="10"/>
  <c r="O43" i="10"/>
  <c r="N47" i="13"/>
  <c r="O6" i="13"/>
  <c r="O41" i="13" s="1"/>
  <c r="N43" i="13"/>
  <c r="P6" i="12"/>
  <c r="P41" i="12" s="1"/>
  <c r="O47" i="12"/>
  <c r="O43" i="12"/>
  <c r="M43" i="14"/>
  <c r="M47" i="16"/>
  <c r="M43" i="16"/>
  <c r="M47" i="13"/>
  <c r="M43" i="13"/>
  <c r="M6" i="15"/>
  <c r="M41" i="15" s="1"/>
  <c r="N6" i="15" s="1"/>
  <c r="N41" i="15" s="1"/>
  <c r="M6" i="9"/>
  <c r="M41" i="9" s="1"/>
  <c r="N6" i="9" s="1"/>
  <c r="N41" i="9" s="1"/>
  <c r="O6" i="15" l="1"/>
  <c r="O41" i="15" s="1"/>
  <c r="N47" i="15"/>
  <c r="N43" i="15"/>
  <c r="O47" i="16"/>
  <c r="P6" i="16"/>
  <c r="P41" i="16" s="1"/>
  <c r="O43" i="16"/>
  <c r="N47" i="14"/>
  <c r="O6" i="14"/>
  <c r="O41" i="14" s="1"/>
  <c r="N43" i="14"/>
  <c r="N47" i="9"/>
  <c r="O6" i="9"/>
  <c r="O41" i="9" s="1"/>
  <c r="N43" i="9"/>
  <c r="P47" i="10"/>
  <c r="P43" i="10"/>
  <c r="P6" i="13"/>
  <c r="P41" i="13" s="1"/>
  <c r="O47" i="13"/>
  <c r="O43" i="13"/>
  <c r="P47" i="12"/>
  <c r="P43" i="12"/>
  <c r="M47" i="15"/>
  <c r="M43" i="15"/>
  <c r="M47" i="9"/>
  <c r="M43" i="9"/>
  <c r="M6" i="11"/>
  <c r="M41" i="11" s="1"/>
  <c r="N6" i="11" s="1"/>
  <c r="N41" i="11" s="1"/>
  <c r="M5" i="7"/>
  <c r="M45" i="7"/>
  <c r="N5" i="7"/>
  <c r="N45" i="7"/>
  <c r="O5" i="7"/>
  <c r="P5" i="7"/>
  <c r="O45" i="7"/>
  <c r="P45" i="7"/>
  <c r="O47" i="15" l="1"/>
  <c r="P6" i="15"/>
  <c r="P41" i="15" s="1"/>
  <c r="O43" i="15"/>
  <c r="P47" i="16"/>
  <c r="P43" i="16"/>
  <c r="P6" i="14"/>
  <c r="P41" i="14" s="1"/>
  <c r="O47" i="14"/>
  <c r="O43" i="14"/>
  <c r="O47" i="9"/>
  <c r="P6" i="9"/>
  <c r="P41" i="9" s="1"/>
  <c r="O43" i="9"/>
  <c r="P49" i="7"/>
  <c r="P33" i="7"/>
  <c r="P16" i="7"/>
  <c r="P42" i="7"/>
  <c r="P34" i="7"/>
  <c r="P30" i="7"/>
  <c r="P22" i="7"/>
  <c r="P17" i="7"/>
  <c r="P36" i="7"/>
  <c r="P31" i="7"/>
  <c r="P24" i="7"/>
  <c r="P18" i="7"/>
  <c r="P48" i="7"/>
  <c r="P32" i="7"/>
  <c r="P25" i="7"/>
  <c r="P20" i="7"/>
  <c r="P21" i="7"/>
  <c r="O48" i="7"/>
  <c r="O32" i="7"/>
  <c r="O25" i="7"/>
  <c r="O20" i="7"/>
  <c r="O49" i="7"/>
  <c r="O33" i="7"/>
  <c r="O21" i="7"/>
  <c r="O16" i="7"/>
  <c r="O42" i="7"/>
  <c r="O34" i="7"/>
  <c r="O30" i="7"/>
  <c r="O22" i="7"/>
  <c r="O17" i="7"/>
  <c r="O36" i="7"/>
  <c r="O31" i="7"/>
  <c r="O24" i="7"/>
  <c r="O18" i="7"/>
  <c r="N36" i="7"/>
  <c r="N31" i="7"/>
  <c r="N24" i="7"/>
  <c r="N48" i="7"/>
  <c r="N32" i="7"/>
  <c r="N25" i="7"/>
  <c r="N20" i="7"/>
  <c r="N33" i="7"/>
  <c r="N21" i="7"/>
  <c r="N16" i="7"/>
  <c r="N42" i="7"/>
  <c r="N34" i="7"/>
  <c r="N30" i="7"/>
  <c r="N22" i="7"/>
  <c r="N17" i="7"/>
  <c r="N18" i="7"/>
  <c r="N49" i="7"/>
  <c r="P47" i="13"/>
  <c r="P43" i="13"/>
  <c r="N47" i="11"/>
  <c r="O6" i="11"/>
  <c r="O41" i="11" s="1"/>
  <c r="N43" i="11"/>
  <c r="M36" i="7"/>
  <c r="M31" i="7"/>
  <c r="M48" i="7"/>
  <c r="M32" i="7"/>
  <c r="M25" i="7"/>
  <c r="M20" i="7"/>
  <c r="M49" i="7"/>
  <c r="M33" i="7"/>
  <c r="M21" i="7"/>
  <c r="M16" i="7"/>
  <c r="L46" i="7" s="1"/>
  <c r="M42" i="7"/>
  <c r="M34" i="7"/>
  <c r="M30" i="7"/>
  <c r="M22" i="7"/>
  <c r="M17" i="7"/>
  <c r="M24" i="7"/>
  <c r="M18" i="7"/>
  <c r="M47" i="11"/>
  <c r="M43" i="11"/>
  <c r="M9" i="7"/>
  <c r="M11" i="7" s="1"/>
  <c r="N9" i="7" s="1"/>
  <c r="N11" i="7" s="1"/>
  <c r="O9" i="7" s="1"/>
  <c r="O11" i="7" s="1"/>
  <c r="P9" i="7" s="1"/>
  <c r="P11" i="7" s="1"/>
  <c r="N38" i="7" l="1"/>
  <c r="P47" i="15"/>
  <c r="P43" i="15"/>
  <c r="P47" i="14"/>
  <c r="P43" i="14"/>
  <c r="P47" i="9"/>
  <c r="P43" i="9"/>
  <c r="N27" i="7"/>
  <c r="O27" i="7"/>
  <c r="N46" i="7"/>
  <c r="P27" i="7"/>
  <c r="O46" i="7"/>
  <c r="O38" i="7"/>
  <c r="P38" i="7"/>
  <c r="P6" i="11"/>
  <c r="P41" i="11" s="1"/>
  <c r="O47" i="11"/>
  <c r="O43" i="11"/>
  <c r="M38" i="7"/>
  <c r="M27" i="7"/>
  <c r="M46" i="7"/>
  <c r="M44" i="7"/>
  <c r="N44" i="7" s="1"/>
  <c r="O44" i="7" s="1"/>
  <c r="P44" i="7" s="1"/>
  <c r="D3" i="4"/>
  <c r="P47" i="11" l="1"/>
  <c r="P43" i="11"/>
  <c r="O6" i="4"/>
  <c r="S6" i="4"/>
  <c r="R7" i="4"/>
  <c r="Q8" i="4"/>
  <c r="P9" i="4"/>
  <c r="O10" i="4"/>
  <c r="S10" i="4"/>
  <c r="R11" i="4"/>
  <c r="Q12" i="4"/>
  <c r="P13" i="4"/>
  <c r="O14" i="4"/>
  <c r="S14" i="4"/>
  <c r="S5" i="4"/>
  <c r="O5" i="4"/>
  <c r="O9" i="4"/>
  <c r="P12" i="4"/>
  <c r="R14" i="4"/>
  <c r="P6" i="4"/>
  <c r="O7" i="4"/>
  <c r="S7" i="4"/>
  <c r="R8" i="4"/>
  <c r="Q9" i="4"/>
  <c r="P10" i="4"/>
  <c r="O11" i="4"/>
  <c r="S11" i="4"/>
  <c r="R12" i="4"/>
  <c r="Q13" i="4"/>
  <c r="P14" i="4"/>
  <c r="P5" i="4"/>
  <c r="Q7" i="4"/>
  <c r="R10" i="4"/>
  <c r="S13" i="4"/>
  <c r="Q6" i="4"/>
  <c r="P7" i="4"/>
  <c r="O8" i="4"/>
  <c r="S8" i="4"/>
  <c r="R9" i="4"/>
  <c r="Q10" i="4"/>
  <c r="P11" i="4"/>
  <c r="O12" i="4"/>
  <c r="S12" i="4"/>
  <c r="R13" i="4"/>
  <c r="Q14" i="4"/>
  <c r="Q5" i="4"/>
  <c r="R6" i="4"/>
  <c r="P8" i="4"/>
  <c r="S9" i="4"/>
  <c r="Q11" i="4"/>
  <c r="O13" i="4"/>
  <c r="R5" i="4"/>
  <c r="S1" i="20"/>
  <c r="P190" i="20"/>
  <c r="P182" i="20"/>
  <c r="P174" i="20"/>
  <c r="P166" i="20"/>
  <c r="P158" i="20"/>
  <c r="P150" i="20"/>
  <c r="P193" i="20"/>
  <c r="P189" i="20"/>
  <c r="P185" i="20"/>
  <c r="P181" i="20"/>
  <c r="P177" i="20"/>
  <c r="P173" i="20"/>
  <c r="P169" i="20"/>
  <c r="P165" i="20"/>
  <c r="P161" i="20"/>
  <c r="P157" i="20"/>
  <c r="P153" i="20"/>
  <c r="P149" i="20"/>
  <c r="P145" i="20"/>
  <c r="P141" i="20"/>
  <c r="P137" i="20"/>
  <c r="P133" i="20"/>
  <c r="P129" i="20"/>
  <c r="P125" i="20"/>
  <c r="P121" i="20"/>
  <c r="P117" i="20"/>
  <c r="P113" i="20"/>
  <c r="P109" i="20"/>
  <c r="P105" i="20"/>
  <c r="P101" i="20"/>
  <c r="P97" i="20"/>
  <c r="P93" i="20"/>
  <c r="P89" i="20"/>
  <c r="P85" i="20"/>
  <c r="P81" i="20"/>
  <c r="P77" i="20"/>
  <c r="P73" i="20"/>
  <c r="P69" i="20"/>
  <c r="P65" i="20"/>
  <c r="P61" i="20"/>
  <c r="P57" i="20"/>
  <c r="P53" i="20"/>
  <c r="P49" i="20"/>
  <c r="P45" i="20"/>
  <c r="P41" i="20"/>
  <c r="P37" i="20"/>
  <c r="P33" i="20"/>
  <c r="P29" i="20"/>
  <c r="P25" i="20"/>
  <c r="P21" i="20"/>
  <c r="P17" i="20"/>
  <c r="P13" i="20"/>
  <c r="P9" i="20"/>
  <c r="P5" i="20"/>
  <c r="P188" i="20"/>
  <c r="P180" i="20"/>
  <c r="P168" i="20"/>
  <c r="P160" i="20"/>
  <c r="P156" i="20"/>
  <c r="P148" i="20"/>
  <c r="P144" i="20"/>
  <c r="P140" i="20"/>
  <c r="P136" i="20"/>
  <c r="P132" i="20"/>
  <c r="P128" i="20"/>
  <c r="P124" i="20"/>
  <c r="P120" i="20"/>
  <c r="P116" i="20"/>
  <c r="P112" i="20"/>
  <c r="P108" i="20"/>
  <c r="P104" i="20"/>
  <c r="P100" i="20"/>
  <c r="P96" i="20"/>
  <c r="P92" i="20"/>
  <c r="P88" i="20"/>
  <c r="P84" i="20"/>
  <c r="P80" i="20"/>
  <c r="P76" i="20"/>
  <c r="P72" i="20"/>
  <c r="P68" i="20"/>
  <c r="P64" i="20"/>
  <c r="P60" i="20"/>
  <c r="P56" i="20"/>
  <c r="P52" i="20"/>
  <c r="P48" i="20"/>
  <c r="P44" i="20"/>
  <c r="P40" i="20"/>
  <c r="P36" i="20"/>
  <c r="P32" i="20"/>
  <c r="P28" i="20"/>
  <c r="P24" i="20"/>
  <c r="P20" i="20"/>
  <c r="P16" i="20"/>
  <c r="P12" i="20"/>
  <c r="P8" i="20"/>
  <c r="P4" i="20"/>
  <c r="P192" i="20"/>
  <c r="P184" i="20"/>
  <c r="P176" i="20"/>
  <c r="P172" i="20"/>
  <c r="P164" i="20"/>
  <c r="P152" i="20"/>
  <c r="P191" i="20"/>
  <c r="P187" i="20"/>
  <c r="P183" i="20"/>
  <c r="P179" i="20"/>
  <c r="P175" i="20"/>
  <c r="P171" i="20"/>
  <c r="P167" i="20"/>
  <c r="P163" i="20"/>
  <c r="P159" i="20"/>
  <c r="P155" i="20"/>
  <c r="P151" i="20"/>
  <c r="P147" i="20"/>
  <c r="P143" i="20"/>
  <c r="P139" i="20"/>
  <c r="P135" i="20"/>
  <c r="P131" i="20"/>
  <c r="P127" i="20"/>
  <c r="P123" i="20"/>
  <c r="P119" i="20"/>
  <c r="P115" i="20"/>
  <c r="P111" i="20"/>
  <c r="P107" i="20"/>
  <c r="P103" i="20"/>
  <c r="P99" i="20"/>
  <c r="P95" i="20"/>
  <c r="P91" i="20"/>
  <c r="P87" i="20"/>
  <c r="P83" i="20"/>
  <c r="P79" i="20"/>
  <c r="P75" i="20"/>
  <c r="P71" i="20"/>
  <c r="P67" i="20"/>
  <c r="P63" i="20"/>
  <c r="P59" i="20"/>
  <c r="P55" i="20"/>
  <c r="P51" i="20"/>
  <c r="P47" i="20"/>
  <c r="P43" i="20"/>
  <c r="P39" i="20"/>
  <c r="P35" i="20"/>
  <c r="P31" i="20"/>
  <c r="P27" i="20"/>
  <c r="P23" i="20"/>
  <c r="P19" i="20"/>
  <c r="P15" i="20"/>
  <c r="P11" i="20"/>
  <c r="P7" i="20"/>
  <c r="P3" i="20"/>
  <c r="P186" i="20"/>
  <c r="P178" i="20"/>
  <c r="P170" i="20"/>
  <c r="P162" i="20"/>
  <c r="P154" i="20"/>
  <c r="P146" i="20"/>
  <c r="P142" i="20"/>
  <c r="P138" i="20"/>
  <c r="P134" i="20"/>
  <c r="P130" i="20"/>
  <c r="P126" i="20"/>
  <c r="P122" i="20"/>
  <c r="P118" i="20"/>
  <c r="P114" i="20"/>
  <c r="P110" i="20"/>
  <c r="P106" i="20"/>
  <c r="P102" i="20"/>
  <c r="P98" i="20"/>
  <c r="P94" i="20"/>
  <c r="P90" i="20"/>
  <c r="P86" i="20"/>
  <c r="P82" i="20"/>
  <c r="P78" i="20"/>
  <c r="P74" i="20"/>
  <c r="P70" i="20"/>
  <c r="P66" i="20"/>
  <c r="P62" i="20"/>
  <c r="P58" i="20"/>
  <c r="P54" i="20"/>
  <c r="P50" i="20"/>
  <c r="P46" i="20"/>
  <c r="P42" i="20"/>
  <c r="P38" i="20"/>
  <c r="P34" i="20"/>
  <c r="P30" i="20"/>
  <c r="P26" i="20"/>
  <c r="P22" i="20"/>
  <c r="P18" i="20"/>
  <c r="P14" i="20"/>
  <c r="P10" i="20"/>
  <c r="P6" i="20"/>
  <c r="P2" i="20"/>
  <c r="P25" i="19" l="1"/>
  <c r="N25" i="19" s="1"/>
  <c r="Q777" i="6" l="1"/>
  <c r="C17" i="19" l="1"/>
  <c r="D1" i="4"/>
  <c r="C1" i="19"/>
  <c r="E7" i="4"/>
  <c r="F7" i="4"/>
  <c r="H6" i="4"/>
  <c r="K13" i="4"/>
  <c r="I7" i="4"/>
  <c r="K12" i="4"/>
  <c r="G6" i="4"/>
  <c r="F10" i="4"/>
  <c r="K10" i="4"/>
  <c r="H12" i="4"/>
  <c r="K7" i="4"/>
  <c r="I8" i="4"/>
  <c r="E8" i="4"/>
  <c r="F13" i="4"/>
  <c r="M5" i="8"/>
  <c r="F14" i="4"/>
  <c r="G7" i="4"/>
  <c r="K14" i="4"/>
  <c r="M9" i="4"/>
  <c r="F12" i="4"/>
  <c r="F5" i="4"/>
  <c r="F6" i="4"/>
  <c r="K9" i="4"/>
  <c r="G12" i="4"/>
  <c r="G9" i="4"/>
  <c r="M10" i="4"/>
  <c r="I6" i="4"/>
  <c r="E11" i="4"/>
  <c r="G11" i="4"/>
  <c r="G8" i="4"/>
  <c r="F8" i="4"/>
  <c r="K11" i="4"/>
  <c r="E12" i="4"/>
  <c r="K8" i="4"/>
  <c r="M12" i="4"/>
  <c r="E13" i="4"/>
  <c r="E6" i="4"/>
  <c r="I14" i="4"/>
  <c r="H13" i="4"/>
  <c r="I11" i="4"/>
  <c r="I9" i="4"/>
  <c r="I12" i="4"/>
  <c r="F9" i="4"/>
  <c r="E14" i="4"/>
  <c r="E9" i="4"/>
  <c r="H7" i="4"/>
  <c r="I13" i="4"/>
  <c r="M13" i="4"/>
  <c r="H8" i="4"/>
  <c r="M11" i="4"/>
  <c r="E10" i="4"/>
  <c r="G14" i="4"/>
  <c r="M14" i="4"/>
  <c r="H14" i="4"/>
  <c r="M8" i="4"/>
  <c r="H9" i="4"/>
  <c r="G13" i="4"/>
  <c r="F11" i="4"/>
  <c r="H11" i="4"/>
  <c r="M7" i="4"/>
  <c r="K6" i="4"/>
  <c r="N5" i="8"/>
  <c r="M52" i="8"/>
  <c r="N52" i="8"/>
  <c r="O5" i="8"/>
  <c r="G23" i="19"/>
  <c r="P5" i="8"/>
  <c r="O52" i="8"/>
  <c r="P52" i="8"/>
  <c r="P56" i="8" l="1"/>
  <c r="P40" i="8"/>
  <c r="P28" i="8"/>
  <c r="P23" i="8"/>
  <c r="P39" i="8"/>
  <c r="P27" i="8"/>
  <c r="P49" i="8"/>
  <c r="P41" i="8"/>
  <c r="P37" i="8"/>
  <c r="P29" i="8"/>
  <c r="P24" i="8"/>
  <c r="P32" i="8"/>
  <c r="P20" i="8"/>
  <c r="P43" i="8"/>
  <c r="P38" i="8"/>
  <c r="P31" i="8"/>
  <c r="P25" i="8"/>
  <c r="P55" i="8"/>
  <c r="O55" i="8"/>
  <c r="O39" i="8"/>
  <c r="O32" i="8"/>
  <c r="O27" i="8"/>
  <c r="O20" i="8"/>
  <c r="O38" i="8"/>
  <c r="O56" i="8"/>
  <c r="O40" i="8"/>
  <c r="O28" i="8"/>
  <c r="O23" i="8"/>
  <c r="O49" i="8"/>
  <c r="O41" i="8"/>
  <c r="O37" i="8"/>
  <c r="O29" i="8"/>
  <c r="O24" i="8"/>
  <c r="O43" i="8"/>
  <c r="O31" i="8"/>
  <c r="O25" i="8"/>
  <c r="N43" i="8"/>
  <c r="N38" i="8"/>
  <c r="N31" i="8"/>
  <c r="N25" i="8"/>
  <c r="N24" i="8"/>
  <c r="N55" i="8"/>
  <c r="N39" i="8"/>
  <c r="N32" i="8"/>
  <c r="N27" i="8"/>
  <c r="N20" i="8"/>
  <c r="N29" i="8"/>
  <c r="N56" i="8"/>
  <c r="N40" i="8"/>
  <c r="N28" i="8"/>
  <c r="N23" i="8"/>
  <c r="N49" i="8"/>
  <c r="N41" i="8"/>
  <c r="N37" i="8"/>
  <c r="M25" i="8"/>
  <c r="M32" i="8"/>
  <c r="M24" i="8"/>
  <c r="M23" i="8"/>
  <c r="M43" i="8"/>
  <c r="M29" i="8"/>
  <c r="M27" i="8"/>
  <c r="M56" i="8"/>
  <c r="M49" i="8"/>
  <c r="M38" i="8"/>
  <c r="M55" i="8"/>
  <c r="M20" i="8"/>
  <c r="M40" i="8"/>
  <c r="M37" i="8"/>
  <c r="M31" i="8"/>
  <c r="M39" i="8"/>
  <c r="M41" i="8"/>
  <c r="M28" i="8"/>
  <c r="M12" i="8"/>
  <c r="M14" i="8" s="1"/>
  <c r="N12" i="8" s="1"/>
  <c r="N14" i="8" s="1"/>
  <c r="O12" i="8" s="1"/>
  <c r="O14" i="8" s="1"/>
  <c r="P12" i="8" s="1"/>
  <c r="P14" i="8" s="1"/>
  <c r="J12" i="4"/>
  <c r="C10" i="21" s="1"/>
  <c r="J11" i="4"/>
  <c r="C9" i="21" s="1"/>
  <c r="J14" i="4"/>
  <c r="C12" i="21" s="1"/>
  <c r="J9" i="4"/>
  <c r="C7" i="21" s="1"/>
  <c r="J7" i="4"/>
  <c r="C5" i="21" s="1"/>
  <c r="J13" i="4"/>
  <c r="C11" i="21" s="1"/>
  <c r="J8" i="4"/>
  <c r="C6" i="21" s="1"/>
  <c r="J6" i="4"/>
  <c r="C4" i="21" s="1"/>
  <c r="M15" i="8"/>
  <c r="M6" i="7"/>
  <c r="M41" i="7" s="1"/>
  <c r="N6" i="7" s="1"/>
  <c r="N41" i="7" s="1"/>
  <c r="M6" i="4"/>
  <c r="K31" i="19"/>
  <c r="K28" i="19"/>
  <c r="K13" i="19"/>
  <c r="L32" i="19"/>
  <c r="L15" i="19"/>
  <c r="K15" i="19"/>
  <c r="G4" i="19"/>
  <c r="L9" i="19"/>
  <c r="K25" i="19"/>
  <c r="L28" i="19"/>
  <c r="M5" i="4"/>
  <c r="K32" i="19"/>
  <c r="K30" i="19"/>
  <c r="K26" i="19"/>
  <c r="K27" i="19"/>
  <c r="K33" i="19"/>
  <c r="K29" i="19"/>
  <c r="K34" i="19"/>
  <c r="K14" i="19"/>
  <c r="L11" i="19"/>
  <c r="L14" i="19"/>
  <c r="L27" i="19"/>
  <c r="L12" i="19"/>
  <c r="K11" i="19"/>
  <c r="K6" i="19"/>
  <c r="G10" i="4"/>
  <c r="K5" i="4"/>
  <c r="L30" i="19"/>
  <c r="L33" i="19"/>
  <c r="L29" i="19"/>
  <c r="K7" i="19"/>
  <c r="K12" i="19"/>
  <c r="L8" i="19"/>
  <c r="L7" i="19"/>
  <c r="K10" i="19"/>
  <c r="E5" i="4"/>
  <c r="L31" i="19"/>
  <c r="L10" i="19"/>
  <c r="L13" i="19"/>
  <c r="L34" i="19"/>
  <c r="K9" i="19"/>
  <c r="L26" i="19"/>
  <c r="K8" i="19"/>
  <c r="L53" i="8" l="1"/>
  <c r="L6" i="4"/>
  <c r="L8" i="4"/>
  <c r="L13" i="4"/>
  <c r="L7" i="4"/>
  <c r="L9" i="4"/>
  <c r="L14" i="4"/>
  <c r="L11" i="4"/>
  <c r="L12" i="4"/>
  <c r="N45" i="8"/>
  <c r="O45" i="8"/>
  <c r="N47" i="7"/>
  <c r="O6" i="7"/>
  <c r="O41" i="7" s="1"/>
  <c r="N43" i="7"/>
  <c r="P34" i="8"/>
  <c r="O53" i="8"/>
  <c r="P45" i="8"/>
  <c r="N34" i="8"/>
  <c r="O34" i="8"/>
  <c r="N53" i="8"/>
  <c r="N34" i="19"/>
  <c r="M34" i="19"/>
  <c r="N29" i="19"/>
  <c r="M29" i="19"/>
  <c r="N33" i="19"/>
  <c r="M33" i="19"/>
  <c r="C33" i="19" s="1"/>
  <c r="M27" i="19"/>
  <c r="N27" i="19"/>
  <c r="M26" i="19"/>
  <c r="N26" i="19"/>
  <c r="M30" i="19"/>
  <c r="N30" i="19"/>
  <c r="N32" i="19"/>
  <c r="M32" i="19"/>
  <c r="N28" i="19"/>
  <c r="M28" i="19"/>
  <c r="M31" i="19"/>
  <c r="N31" i="19"/>
  <c r="M17" i="8"/>
  <c r="N15" i="8" s="1"/>
  <c r="N17" i="8" s="1"/>
  <c r="O15" i="8" s="1"/>
  <c r="O17" i="8" s="1"/>
  <c r="P15" i="8" s="1"/>
  <c r="P17" i="8" s="1"/>
  <c r="M45" i="8"/>
  <c r="M34" i="8"/>
  <c r="M25" i="19"/>
  <c r="M6" i="19"/>
  <c r="M53" i="8"/>
  <c r="M51" i="8"/>
  <c r="N51" i="8" s="1"/>
  <c r="O51" i="8" s="1"/>
  <c r="P51" i="8" s="1"/>
  <c r="M47" i="7"/>
  <c r="M43" i="7"/>
  <c r="E26" i="19"/>
  <c r="J26" i="19"/>
  <c r="I26" i="19" s="1"/>
  <c r="J34" i="19"/>
  <c r="I34" i="19" s="1"/>
  <c r="E34" i="19"/>
  <c r="J10" i="19"/>
  <c r="I10" i="19" s="1"/>
  <c r="E10" i="19"/>
  <c r="D10" i="19" s="1"/>
  <c r="M10" i="19"/>
  <c r="E8" i="19"/>
  <c r="D8" i="19" s="1"/>
  <c r="J8" i="19"/>
  <c r="I8" i="19" s="1"/>
  <c r="M7" i="19"/>
  <c r="I33" i="19"/>
  <c r="J9" i="19"/>
  <c r="I9" i="19" s="1"/>
  <c r="E9" i="19"/>
  <c r="D9" i="19" s="1"/>
  <c r="M15" i="19"/>
  <c r="E32" i="19"/>
  <c r="I32" i="19"/>
  <c r="J28" i="19"/>
  <c r="I28" i="19" s="1"/>
  <c r="E28" i="19"/>
  <c r="M11" i="19"/>
  <c r="J27" i="19"/>
  <c r="I27" i="19" s="1"/>
  <c r="E27" i="19"/>
  <c r="J11" i="19"/>
  <c r="I11" i="19" s="1"/>
  <c r="E11" i="19"/>
  <c r="D11" i="19" s="1"/>
  <c r="M9" i="19"/>
  <c r="I13" i="19"/>
  <c r="E13" i="19"/>
  <c r="D13" i="19" s="1"/>
  <c r="E31" i="19"/>
  <c r="I31" i="19"/>
  <c r="M8" i="19"/>
  <c r="M12" i="19"/>
  <c r="J29" i="19"/>
  <c r="I29" i="19" s="1"/>
  <c r="E29" i="19"/>
  <c r="E30" i="19"/>
  <c r="J30" i="19"/>
  <c r="I30" i="19" s="1"/>
  <c r="J15" i="19"/>
  <c r="I15" i="19" s="1"/>
  <c r="E15" i="19"/>
  <c r="D15" i="19" s="1"/>
  <c r="M13" i="19"/>
  <c r="J7" i="19"/>
  <c r="I7" i="19" s="1"/>
  <c r="E7" i="19"/>
  <c r="D7" i="19" s="1"/>
  <c r="I12" i="19"/>
  <c r="E12" i="19"/>
  <c r="D12" i="19" s="1"/>
  <c r="I14" i="19"/>
  <c r="M14" i="19"/>
  <c r="C14" i="19" s="1"/>
  <c r="N14" i="19" s="1"/>
  <c r="J10" i="4"/>
  <c r="C8" i="21" s="1"/>
  <c r="H10" i="4"/>
  <c r="L10" i="4" l="1"/>
  <c r="P6" i="7"/>
  <c r="P41" i="7" s="1"/>
  <c r="O47" i="7"/>
  <c r="O43" i="7"/>
  <c r="C9" i="19"/>
  <c r="N9" i="19" s="1"/>
  <c r="C10" i="19"/>
  <c r="N10" i="19" s="1"/>
  <c r="C13" i="19"/>
  <c r="N13" i="19" s="1"/>
  <c r="C8" i="19"/>
  <c r="N8" i="19" s="1"/>
  <c r="D29" i="19"/>
  <c r="C29" i="19"/>
  <c r="D34" i="19"/>
  <c r="C34" i="19"/>
  <c r="D31" i="19"/>
  <c r="C31" i="19"/>
  <c r="C11" i="19"/>
  <c r="N11" i="19" s="1"/>
  <c r="D32" i="19"/>
  <c r="C32" i="19"/>
  <c r="C12" i="19"/>
  <c r="N12" i="19" s="1"/>
  <c r="D28" i="19"/>
  <c r="C28" i="19"/>
  <c r="C15" i="19"/>
  <c r="N15" i="19" s="1"/>
  <c r="C7" i="19"/>
  <c r="N7" i="19" s="1"/>
  <c r="D30" i="19"/>
  <c r="C30" i="19"/>
  <c r="D27" i="19"/>
  <c r="C27" i="19"/>
  <c r="D26" i="19"/>
  <c r="C26" i="19"/>
  <c r="L25" i="19"/>
  <c r="L6" i="19"/>
  <c r="I10" i="4"/>
  <c r="P47" i="7" l="1"/>
  <c r="P43" i="7"/>
  <c r="M9" i="8"/>
  <c r="M11" i="8" s="1"/>
  <c r="J6" i="19"/>
  <c r="I6" i="19" s="1"/>
  <c r="E6" i="19"/>
  <c r="C6" i="19" s="1"/>
  <c r="N6" i="19" s="1"/>
  <c r="J25" i="19"/>
  <c r="I25" i="19" s="1"/>
  <c r="E25" i="19"/>
  <c r="M18" i="8" l="1"/>
  <c r="N9" i="8"/>
  <c r="N11" i="8" s="1"/>
  <c r="D6" i="19"/>
  <c r="C25" i="19"/>
  <c r="D25" i="19"/>
  <c r="N18" i="8" l="1"/>
  <c r="O9" i="8"/>
  <c r="O11" i="8" s="1"/>
  <c r="M6" i="8"/>
  <c r="M48" i="8" s="1"/>
  <c r="G5" i="4"/>
  <c r="N6" i="8" l="1"/>
  <c r="N48" i="8" s="1"/>
  <c r="O6" i="8" s="1"/>
  <c r="O48" i="8" s="1"/>
  <c r="O18" i="8"/>
  <c r="P9" i="8"/>
  <c r="P11" i="8" s="1"/>
  <c r="P18" i="8" s="1"/>
  <c r="J5" i="4"/>
  <c r="M54" i="8"/>
  <c r="M50" i="8"/>
  <c r="H5" i="4"/>
  <c r="I5" i="4"/>
  <c r="C3" i="21" l="1"/>
  <c r="L5" i="4"/>
  <c r="O54" i="8"/>
  <c r="O50" i="8"/>
  <c r="N54" i="8"/>
  <c r="P6" i="8"/>
  <c r="P48" i="8" s="1"/>
  <c r="N50" i="8"/>
  <c r="P54" i="8" l="1"/>
  <c r="P50"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PROMPONG PANTUWORN</author>
  </authors>
  <commentList>
    <comment ref="D5" authorId="0" shapeId="0" xr:uid="{C825FA9B-9493-45C6-A13A-6B9E6205893D}">
      <text>
        <r>
          <rPr>
            <b/>
            <sz val="9"/>
            <color indexed="81"/>
            <rFont val="Tahoma"/>
            <family val="2"/>
          </rPr>
          <t>PROMPONG PANTUWORN:</t>
        </r>
        <r>
          <rPr>
            <sz val="9"/>
            <color indexed="81"/>
            <rFont val="Tahoma"/>
            <family val="2"/>
          </rPr>
          <t xml:space="preserve">
Saving with BAY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PROMPONG PANTUWORN</author>
  </authors>
  <commentList>
    <comment ref="E4" authorId="0" shapeId="0" xr:uid="{37E42D9B-8EF0-46E7-A5E7-7F9FB47E9790}">
      <text>
        <r>
          <rPr>
            <b/>
            <sz val="9"/>
            <color indexed="81"/>
            <rFont val="Tahoma"/>
            <family val="2"/>
          </rPr>
          <t>PROMPONG PANTUWORN:</t>
        </r>
        <r>
          <rPr>
            <sz val="9"/>
            <color indexed="81"/>
            <rFont val="Tahoma"/>
            <family val="2"/>
          </rPr>
          <t xml:space="preserve">
Duration
</t>
        </r>
      </text>
    </comment>
    <comment ref="E23" authorId="0" shapeId="0" xr:uid="{CBAC2619-6006-48FB-809E-7BFCE2CDAD72}">
      <text>
        <r>
          <rPr>
            <b/>
            <sz val="9"/>
            <color indexed="81"/>
            <rFont val="Tahoma"/>
            <family val="2"/>
          </rPr>
          <t>PROMPONG PANTUWORN:</t>
        </r>
        <r>
          <rPr>
            <sz val="9"/>
            <color indexed="81"/>
            <rFont val="Tahoma"/>
            <family val="2"/>
          </rPr>
          <t xml:space="preserve">
Duration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PROMPONG PANTUWORN</author>
  </authors>
  <commentList>
    <comment ref="B3" authorId="0" shapeId="0" xr:uid="{CA3ABAE3-4AC9-439F-82BA-0C5CD932208E}">
      <text>
        <r>
          <rPr>
            <b/>
            <sz val="9"/>
            <color indexed="81"/>
            <rFont val="Tahoma"/>
            <family val="2"/>
          </rPr>
          <t>PROMPONG PANTUWORN:</t>
        </r>
        <r>
          <rPr>
            <sz val="9"/>
            <color indexed="81"/>
            <rFont val="Tahoma"/>
            <family val="2"/>
          </rPr>
          <t xml:space="preserve">
Saving with BAY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PITIPHAT CHAROENSUK</author>
  </authors>
  <commentList>
    <comment ref="M44" authorId="0" shapeId="0" xr:uid="{F7151AE4-8B11-468F-8A65-07E1101F3D62}">
      <text>
        <r>
          <rPr>
            <b/>
            <sz val="9"/>
            <color indexed="81"/>
            <rFont val="Tahoma"/>
            <family val="2"/>
          </rPr>
          <t>PITIPHAT CHAROENSUK:</t>
        </r>
        <r>
          <rPr>
            <sz val="9"/>
            <color indexed="81"/>
            <rFont val="Tahoma"/>
            <family val="2"/>
          </rPr>
          <t xml:space="preserve">
BOC 3M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EAKALUCK KRASAESIAN</author>
  </authors>
  <commentList>
    <comment ref="M37" authorId="0" shapeId="0" xr:uid="{02E6ADF9-6D67-43FB-9779-F24DDA3A3300}">
      <text>
        <r>
          <rPr>
            <b/>
            <sz val="9"/>
            <color indexed="81"/>
            <rFont val="Tahoma"/>
            <family val="2"/>
          </rPr>
          <t>EAKALUCK KRASAESIAN:</t>
        </r>
        <r>
          <rPr>
            <sz val="9"/>
            <color indexed="81"/>
            <rFont val="Tahoma"/>
            <family val="2"/>
          </rPr>
          <t xml:space="preserve">
DEPOSIT TISCO</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PITIPHAT CHAROENSUK</author>
  </authors>
  <commentList>
    <comment ref="M37" authorId="0" shapeId="0" xr:uid="{2C4B0FBB-F974-4A84-B6B4-26E12A99B475}">
      <text>
        <r>
          <rPr>
            <b/>
            <sz val="9"/>
            <color indexed="81"/>
            <rFont val="Tahoma"/>
            <family val="2"/>
          </rPr>
          <t>PITIPHAT CHAROENSUK:</t>
        </r>
        <r>
          <rPr>
            <sz val="9"/>
            <color indexed="81"/>
            <rFont val="Tahoma"/>
            <family val="2"/>
          </rPr>
          <t xml:space="preserve">
BOC 3M</t>
        </r>
      </text>
    </comment>
  </commentList>
</comments>
</file>

<file path=xl/sharedStrings.xml><?xml version="1.0" encoding="utf-8"?>
<sst xmlns="http://schemas.openxmlformats.org/spreadsheetml/2006/main" count="48895" uniqueCount="4005">
  <si>
    <t>HLD_Date</t>
  </si>
  <si>
    <t>HLD_Portfolio</t>
  </si>
  <si>
    <t>Group1</t>
  </si>
  <si>
    <t>Group2</t>
  </si>
  <si>
    <t>Group3</t>
  </si>
  <si>
    <t>HLD_SecCode</t>
  </si>
  <si>
    <t>HLD_Issuer</t>
  </si>
  <si>
    <t>HLD_Rating</t>
  </si>
  <si>
    <t>HLD_MaturityDate</t>
  </si>
  <si>
    <t>HLD_MarketValue</t>
  </si>
  <si>
    <t>HLD_AI</t>
  </si>
  <si>
    <t>HLD_Cost</t>
  </si>
  <si>
    <t>HLD_ModDuration</t>
  </si>
  <si>
    <t>HLD_YieldCost</t>
  </si>
  <si>
    <t>SEC_Class</t>
  </si>
  <si>
    <t>SEC_Currency</t>
  </si>
  <si>
    <t>SEC_Issue_Date</t>
  </si>
  <si>
    <t>SCBSFF</t>
  </si>
  <si>
    <t>FIXED INCOME</t>
  </si>
  <si>
    <t>CUSTODIAN BANK</t>
  </si>
  <si>
    <t>CASH</t>
  </si>
  <si>
    <t>BAY</t>
  </si>
  <si>
    <t>Cash Bal</t>
  </si>
  <si>
    <t>THB</t>
  </si>
  <si>
    <t>MTF</t>
  </si>
  <si>
    <t>-CNY CASH-</t>
  </si>
  <si>
    <t>SCB</t>
  </si>
  <si>
    <t>AA+(tha)</t>
  </si>
  <si>
    <t>CNHbb</t>
  </si>
  <si>
    <t>BBB+</t>
  </si>
  <si>
    <t>-EUR CASH-</t>
  </si>
  <si>
    <t>EURbb</t>
  </si>
  <si>
    <t>-HKD CASH-</t>
  </si>
  <si>
    <t>HKDbb</t>
  </si>
  <si>
    <t>-SACON SFF</t>
  </si>
  <si>
    <t>BBB</t>
  </si>
  <si>
    <t>-US CASH-</t>
  </si>
  <si>
    <t>USDbb</t>
  </si>
  <si>
    <t>TERM &amp; SAVING DEPOSIT</t>
  </si>
  <si>
    <t>CD12MTBANK14519</t>
  </si>
  <si>
    <t>TBANK</t>
  </si>
  <si>
    <t>AA-</t>
  </si>
  <si>
    <t>Bond</t>
  </si>
  <si>
    <t>AA-(tha)</t>
  </si>
  <si>
    <t>CD9MTBANK11619</t>
  </si>
  <si>
    <t>F12MABCHK100519</t>
  </si>
  <si>
    <t>ABCHK</t>
  </si>
  <si>
    <t>A</t>
  </si>
  <si>
    <t>F12MABCHK250419</t>
  </si>
  <si>
    <t>F12MADCB061118b</t>
  </si>
  <si>
    <t>ADCB</t>
  </si>
  <si>
    <t>A+</t>
  </si>
  <si>
    <t>F12MBOCMC040419</t>
  </si>
  <si>
    <t>BOC MACAU</t>
  </si>
  <si>
    <t>F12MBOCMC110419</t>
  </si>
  <si>
    <t>F12MBOCMC250419</t>
  </si>
  <si>
    <t>F12MGHB020819a</t>
  </si>
  <si>
    <t>GHB</t>
  </si>
  <si>
    <t>AAA(tha)</t>
  </si>
  <si>
    <t>F12MGHB060819</t>
  </si>
  <si>
    <t>F12MGHB090819</t>
  </si>
  <si>
    <t>F12MGHB141218</t>
  </si>
  <si>
    <t>F12MGHB160119</t>
  </si>
  <si>
    <t>F12MGHB170119</t>
  </si>
  <si>
    <t>F12MGHB180119</t>
  </si>
  <si>
    <t>F12MGHB210119</t>
  </si>
  <si>
    <t>F6MBOCMC051118</t>
  </si>
  <si>
    <t>F6MBOCMC190319</t>
  </si>
  <si>
    <t>INVCTISCOsff1</t>
  </si>
  <si>
    <t>TISCOB</t>
  </si>
  <si>
    <t>INVSKTBsff</t>
  </si>
  <si>
    <t>KTB</t>
  </si>
  <si>
    <t>INVSUOBTsff</t>
  </si>
  <si>
    <t>UOBT</t>
  </si>
  <si>
    <t>S4MSCB030119</t>
  </si>
  <si>
    <t>BILL OF EXCHANGE</t>
  </si>
  <si>
    <t>MBKET18D18A</t>
  </si>
  <si>
    <t>MBKET</t>
  </si>
  <si>
    <t>MP</t>
  </si>
  <si>
    <t>SPALI19218A</t>
  </si>
  <si>
    <t>SPALI</t>
  </si>
  <si>
    <t>TREASURY BILL</t>
  </si>
  <si>
    <t>TB18N14A</t>
  </si>
  <si>
    <t>GOVERNMENT</t>
  </si>
  <si>
    <t>TB19403A</t>
  </si>
  <si>
    <t>BOT BOND</t>
  </si>
  <si>
    <t>CB18D06C</t>
  </si>
  <si>
    <t>BOT</t>
  </si>
  <si>
    <t>CB18D13B</t>
  </si>
  <si>
    <t>CB18D20B</t>
  </si>
  <si>
    <t>CB18N01B</t>
  </si>
  <si>
    <t>CB18N08A</t>
  </si>
  <si>
    <t>CB18N08B</t>
  </si>
  <si>
    <t>CB18N15A</t>
  </si>
  <si>
    <t>CB18N15B</t>
  </si>
  <si>
    <t>CB18N22A</t>
  </si>
  <si>
    <t>CB18N22B</t>
  </si>
  <si>
    <t>CB18N29A</t>
  </si>
  <si>
    <t>CB18N29B</t>
  </si>
  <si>
    <t>CB18O25A</t>
  </si>
  <si>
    <t>CB18O25B</t>
  </si>
  <si>
    <t>CB19103B</t>
  </si>
  <si>
    <t>DEBENTURE</t>
  </si>
  <si>
    <t>CPALL18OB</t>
  </si>
  <si>
    <t>CPALL</t>
  </si>
  <si>
    <t>BOND</t>
  </si>
  <si>
    <t>DERIVATIVE</t>
  </si>
  <si>
    <t>FORWARD</t>
  </si>
  <si>
    <t>FWCNHTHB19404A</t>
  </si>
  <si>
    <t>Future</t>
  </si>
  <si>
    <t>FWCNHTHB19411A</t>
  </si>
  <si>
    <t>FWEURTHB18N05B</t>
  </si>
  <si>
    <t>FWEURTHB19319B</t>
  </si>
  <si>
    <t>FWEURTHB19425A</t>
  </si>
  <si>
    <t>FWEURTHB19510A</t>
  </si>
  <si>
    <t>KKP</t>
  </si>
  <si>
    <t>A-</t>
  </si>
  <si>
    <t>FWUSDTHB18N06C</t>
  </si>
  <si>
    <t>FWUSDTHB19425A</t>
  </si>
  <si>
    <t>ACCRUED RECEIVE</t>
  </si>
  <si>
    <t>ACCRUED PAYABLE</t>
  </si>
  <si>
    <t>BUY SECURITY</t>
  </si>
  <si>
    <t>AUDITING FEE</t>
  </si>
  <si>
    <t>TAX</t>
  </si>
  <si>
    <t>A NEWSPAPER_NAV</t>
  </si>
  <si>
    <t>CUSTODIAN FEE</t>
  </si>
  <si>
    <t>MANAGEMENT FEE</t>
  </si>
  <si>
    <t>REGISTRAR FEE</t>
  </si>
  <si>
    <t>FEES</t>
  </si>
  <si>
    <t>Portfolio List</t>
  </si>
  <si>
    <t>SCBSFFPLUS</t>
  </si>
  <si>
    <t>SCBTMF</t>
  </si>
  <si>
    <t>SCBTMFPLUS</t>
  </si>
  <si>
    <t>-AED CASH-</t>
  </si>
  <si>
    <t>-CASH-</t>
  </si>
  <si>
    <t>AEDbb</t>
  </si>
  <si>
    <t>-GBP CASH-</t>
  </si>
  <si>
    <t>KBANK</t>
  </si>
  <si>
    <t>GBPbb</t>
  </si>
  <si>
    <t>-JPY CASH-</t>
  </si>
  <si>
    <t>JPYbb</t>
  </si>
  <si>
    <t>CD12MCMBL010219</t>
  </si>
  <si>
    <t>CMBLUX</t>
  </si>
  <si>
    <t>CD12MICBCD16119</t>
  </si>
  <si>
    <t>ICBCDUBAI</t>
  </si>
  <si>
    <t>CD12MTBANK17519</t>
  </si>
  <si>
    <t>CD1YBOCHK060319</t>
  </si>
  <si>
    <t>BOC HK</t>
  </si>
  <si>
    <t>CD1YBOCHK071218</t>
  </si>
  <si>
    <t>CD1YICBCSE08219</t>
  </si>
  <si>
    <t>ICBCSEOUL</t>
  </si>
  <si>
    <t>F12MABCHK130219</t>
  </si>
  <si>
    <t>F12MABCHK220319</t>
  </si>
  <si>
    <t>F12MABCHK230519</t>
  </si>
  <si>
    <t>F12MABCHK250619</t>
  </si>
  <si>
    <t>F12MABCHK260419</t>
  </si>
  <si>
    <t>F12MABCHK270319</t>
  </si>
  <si>
    <t>F12MABCHK280319</t>
  </si>
  <si>
    <t>F12MABCHK310119</t>
  </si>
  <si>
    <t>F12MABCHK310519</t>
  </si>
  <si>
    <t>F12MADCB181218a</t>
  </si>
  <si>
    <t>F12MBOCMC02519b</t>
  </si>
  <si>
    <t>F12MBOCMC080119</t>
  </si>
  <si>
    <t>F12MBOCMC090119</t>
  </si>
  <si>
    <t>F12MBOCMC181218</t>
  </si>
  <si>
    <t>F12MBOCMC280619</t>
  </si>
  <si>
    <t>F12MGHB010819</t>
  </si>
  <si>
    <t>F12MGHB020819</t>
  </si>
  <si>
    <t>F12MGHB260719</t>
  </si>
  <si>
    <t>F12MUNB011019</t>
  </si>
  <si>
    <t>UNB</t>
  </si>
  <si>
    <t>F12MUNB021019a</t>
  </si>
  <si>
    <t>F6MABCHK120319</t>
  </si>
  <si>
    <t>F6MADCB251018</t>
  </si>
  <si>
    <t>F6MADCB261118</t>
  </si>
  <si>
    <t>F6MBOCMC191118</t>
  </si>
  <si>
    <t>F6MBOCMC201118</t>
  </si>
  <si>
    <t>INVSKTBsffplus</t>
  </si>
  <si>
    <t>INVSSCBCYsffp</t>
  </si>
  <si>
    <t>INVSSCBUSsffp</t>
  </si>
  <si>
    <t>INVSUOBTsffplus</t>
  </si>
  <si>
    <t>BANPU19206A</t>
  </si>
  <si>
    <t>BANPU</t>
  </si>
  <si>
    <t>BTSG18N20A</t>
  </si>
  <si>
    <t>BTS</t>
  </si>
  <si>
    <t>CPF18D13A</t>
  </si>
  <si>
    <t>CPF</t>
  </si>
  <si>
    <t>CPF19129A</t>
  </si>
  <si>
    <t>CPFTH18D06A</t>
  </si>
  <si>
    <t>CPFTH</t>
  </si>
  <si>
    <t>CPFTH19326B</t>
  </si>
  <si>
    <t>CPN18N13A</t>
  </si>
  <si>
    <t>CPN</t>
  </si>
  <si>
    <t>AA</t>
  </si>
  <si>
    <t>SIRI</t>
  </si>
  <si>
    <t>SPALI19131A</t>
  </si>
  <si>
    <t>CB18D13A</t>
  </si>
  <si>
    <t>CB18D27B</t>
  </si>
  <si>
    <t>CB18N01A</t>
  </si>
  <si>
    <t>CB19103A</t>
  </si>
  <si>
    <t>GOLD19NA</t>
  </si>
  <si>
    <t>GOLD</t>
  </si>
  <si>
    <t>ICBCTL19NA</t>
  </si>
  <si>
    <t>ICBCTL</t>
  </si>
  <si>
    <t>KK18N15A</t>
  </si>
  <si>
    <t>KK18N20A</t>
  </si>
  <si>
    <t>KK18N22A</t>
  </si>
  <si>
    <t>KK18N23A</t>
  </si>
  <si>
    <t>KK18N30B</t>
  </si>
  <si>
    <t>KK19118A</t>
  </si>
  <si>
    <t>KK19118B</t>
  </si>
  <si>
    <t>KK203A</t>
  </si>
  <si>
    <t>LHBANK199A</t>
  </si>
  <si>
    <t>LHB</t>
  </si>
  <si>
    <t>LHBANK203A</t>
  </si>
  <si>
    <t>PS18NA</t>
  </si>
  <si>
    <t>PS</t>
  </si>
  <si>
    <t>QH213A</t>
  </si>
  <si>
    <t>QH</t>
  </si>
  <si>
    <t>SCB19218A</t>
  </si>
  <si>
    <t>SPALI213A</t>
  </si>
  <si>
    <t>TBEV203A</t>
  </si>
  <si>
    <t>THBEV</t>
  </si>
  <si>
    <t>TBEV213A</t>
  </si>
  <si>
    <t>THCOM19OB</t>
  </si>
  <si>
    <t>THCOM</t>
  </si>
  <si>
    <t>TISCO18NA</t>
  </si>
  <si>
    <t>TISCO198A</t>
  </si>
  <si>
    <t>TISCO205B</t>
  </si>
  <si>
    <t>TRUE192B</t>
  </si>
  <si>
    <t>TRUE</t>
  </si>
  <si>
    <t>TUC19129B</t>
  </si>
  <si>
    <t>TUC</t>
  </si>
  <si>
    <t>TUC218A</t>
  </si>
  <si>
    <t>WHA214A</t>
  </si>
  <si>
    <t>WHA</t>
  </si>
  <si>
    <t>WHART213A</t>
  </si>
  <si>
    <t>WHART</t>
  </si>
  <si>
    <t>WHAUP208A</t>
  </si>
  <si>
    <t>WHAUP</t>
  </si>
  <si>
    <t>BH18DA</t>
  </si>
  <si>
    <t>BH</t>
  </si>
  <si>
    <t>BJC206A</t>
  </si>
  <si>
    <t>BJC</t>
  </si>
  <si>
    <t>BTG19NA</t>
  </si>
  <si>
    <t>BTG</t>
  </si>
  <si>
    <t>CPALL193A</t>
  </si>
  <si>
    <t>DMT18NB</t>
  </si>
  <si>
    <t>DMT</t>
  </si>
  <si>
    <t>DMT20NA</t>
  </si>
  <si>
    <t>COMMERCIAL PAPER</t>
  </si>
  <si>
    <t>EMTNMASQ070319</t>
  </si>
  <si>
    <t>MASQ</t>
  </si>
  <si>
    <t>EMTNMASQ080519</t>
  </si>
  <si>
    <t>EMTNMASQ090419</t>
  </si>
  <si>
    <t>EMTNMASQ130519</t>
  </si>
  <si>
    <t>EMTNMASQ210319</t>
  </si>
  <si>
    <t>FWAEDTHB18D18A</t>
  </si>
  <si>
    <t>FWEURTHB18D07B</t>
  </si>
  <si>
    <t>FWEURTHB18N05A</t>
  </si>
  <si>
    <t>FWEURTHB19131A</t>
  </si>
  <si>
    <t>FWEURTHB19201A</t>
  </si>
  <si>
    <t>FWEURTHB19213A</t>
  </si>
  <si>
    <t>FWEURTHB19306A</t>
  </si>
  <si>
    <t>FWEURTHB19321A</t>
  </si>
  <si>
    <t>FWEURTHB19322A</t>
  </si>
  <si>
    <t>FWEURTHB19327A</t>
  </si>
  <si>
    <t>FWEURTHB19328A</t>
  </si>
  <si>
    <t>FWEURTHB19502B</t>
  </si>
  <si>
    <t>FWEURTHB19523A</t>
  </si>
  <si>
    <t>FWEURTHB19531A</t>
  </si>
  <si>
    <t>FWHKDTHB19312A</t>
  </si>
  <si>
    <t>FWUSDTHB18D18B</t>
  </si>
  <si>
    <t>CIMBT</t>
  </si>
  <si>
    <t>FWUSDTHB18N06D</t>
  </si>
  <si>
    <t>FWUSDTHB18N19A</t>
  </si>
  <si>
    <t>FWUSDTHB18N20A</t>
  </si>
  <si>
    <t>FWUSDTHB18N26A</t>
  </si>
  <si>
    <t>FWUSDTHB18O25A</t>
  </si>
  <si>
    <t>FWUSDTHB19108A</t>
  </si>
  <si>
    <t>FWUSDTHB19109A</t>
  </si>
  <si>
    <t>FWUSDTHB19116B</t>
  </si>
  <si>
    <t>FWUSDTHB19208A</t>
  </si>
  <si>
    <t>FWUSDTHB19307A</t>
  </si>
  <si>
    <t>FWUSDTHB19409A</t>
  </si>
  <si>
    <t>FWUSDTHB19426A</t>
  </si>
  <si>
    <t>FWUSDTHB19508A</t>
  </si>
  <si>
    <t>FWUSDTHB19513B</t>
  </si>
  <si>
    <t>FWUSDTHB19625A</t>
  </si>
  <si>
    <t>FWUSDTHB19628A</t>
  </si>
  <si>
    <t>FWUSDTHB19O01A</t>
  </si>
  <si>
    <t>FWUSDTHB19O02B</t>
  </si>
  <si>
    <t>A/R FROM SUB.</t>
  </si>
  <si>
    <t>F12MGHB090419</t>
  </si>
  <si>
    <t>INVSUOBTtmf</t>
  </si>
  <si>
    <t>SELL SECURITY</t>
  </si>
  <si>
    <t>F12MGHB071218</t>
  </si>
  <si>
    <t>INVSKTBtmfplus</t>
  </si>
  <si>
    <t>INVSUOBTtmfplus</t>
  </si>
  <si>
    <t>CB18D06A</t>
  </si>
  <si>
    <t>GHB18DA</t>
  </si>
  <si>
    <t>BAY193A</t>
  </si>
  <si>
    <t>AAA</t>
  </si>
  <si>
    <t>Portfolio</t>
  </si>
  <si>
    <t>Custodian</t>
  </si>
  <si>
    <t>ProjDate</t>
  </si>
  <si>
    <t>DebtBuy</t>
  </si>
  <si>
    <t>DebtSell</t>
  </si>
  <si>
    <t>DebtInterest</t>
  </si>
  <si>
    <t>CashEqBuy</t>
  </si>
  <si>
    <t>CashEqSell</t>
  </si>
  <si>
    <t>CashEqInterest</t>
  </si>
  <si>
    <t>Expense</t>
  </si>
  <si>
    <t>Application</t>
  </si>
  <si>
    <t>Redemtion</t>
  </si>
  <si>
    <t>SwitchIn</t>
  </si>
  <si>
    <t>SwitchOut</t>
  </si>
  <si>
    <t>CashBal</t>
  </si>
  <si>
    <t>CashEqBal</t>
  </si>
  <si>
    <t>DebtBuy_BahtNet</t>
  </si>
  <si>
    <t>DebtSell_BahtNet</t>
  </si>
  <si>
    <t>CashEqBuy_BahtNet</t>
  </si>
  <si>
    <t>CashEqSell_BahtNet</t>
  </si>
  <si>
    <t>App_SCB_BahtNet</t>
  </si>
  <si>
    <t>App_Other_BahtNet</t>
  </si>
  <si>
    <t>App_SCB_Cheque</t>
  </si>
  <si>
    <t>App_Other_Cheque</t>
  </si>
  <si>
    <t>CashForUse</t>
  </si>
  <si>
    <t>CashForBahtNet</t>
  </si>
  <si>
    <t>1.1. Subscription</t>
  </si>
  <si>
    <t>1.2. Switch-in</t>
  </si>
  <si>
    <t>2.1. Redemption</t>
  </si>
  <si>
    <t>2.2. Switch-out</t>
  </si>
  <si>
    <t>1.1. Subscription (Chq)</t>
  </si>
  <si>
    <t>SCBFIXED</t>
  </si>
  <si>
    <t>SCBFPFUND</t>
  </si>
  <si>
    <t>SCBPLUS</t>
  </si>
  <si>
    <t>SCBRF</t>
  </si>
  <si>
    <t>SCBRM1</t>
  </si>
  <si>
    <t>SCBRM2</t>
  </si>
  <si>
    <t>DAILY CASH PROJECTION</t>
  </si>
  <si>
    <t>Date</t>
  </si>
  <si>
    <t>Beginning Balance</t>
  </si>
  <si>
    <t>Saving</t>
  </si>
  <si>
    <t>Beginning</t>
  </si>
  <si>
    <t xml:space="preserve">Transaction </t>
  </si>
  <si>
    <t>Ending Saving Amount</t>
  </si>
  <si>
    <t>Cash Inflow</t>
  </si>
  <si>
    <t>Proposed Item</t>
  </si>
  <si>
    <t>Application (BN)</t>
  </si>
  <si>
    <t>Switch In (T+1)</t>
  </si>
  <si>
    <t>Application (Non Bn)</t>
  </si>
  <si>
    <t>Switch In (Other)</t>
  </si>
  <si>
    <t>Debt Mature &amp; Sell (Bn)</t>
  </si>
  <si>
    <t>Debt Mature &amp; Sell (Non Bn)</t>
  </si>
  <si>
    <t>Deposit (Bn)</t>
  </si>
  <si>
    <t>Deposit (Non Bn)</t>
  </si>
  <si>
    <t>Coupon On Bond</t>
  </si>
  <si>
    <t>Interest On Deposit</t>
  </si>
  <si>
    <t>Proposed Transaction</t>
  </si>
  <si>
    <t>Total Cash Inflow</t>
  </si>
  <si>
    <t>Cash Outflow</t>
  </si>
  <si>
    <t>Redemption</t>
  </si>
  <si>
    <t>Switch-Out</t>
  </si>
  <si>
    <t>Debt Buy (Bn)</t>
  </si>
  <si>
    <t>Debt Buy (Non Bn)</t>
  </si>
  <si>
    <t>Fee &amp; Expenses</t>
  </si>
  <si>
    <t>Total Cash Outflow</t>
  </si>
  <si>
    <t xml:space="preserve">Cross Check </t>
  </si>
  <si>
    <t>Ending Cash Balance (Intraday)</t>
  </si>
  <si>
    <t>Difference Amount</t>
  </si>
  <si>
    <t>% Cash  At Fund Account</t>
  </si>
  <si>
    <t>Cash Use (Projection)</t>
  </si>
  <si>
    <t>Cash For Bn (Projection)</t>
  </si>
  <si>
    <t>Cash Date</t>
  </si>
  <si>
    <t>Type</t>
  </si>
  <si>
    <t>Amount</t>
  </si>
  <si>
    <t>Detail</t>
  </si>
  <si>
    <t>Mode</t>
  </si>
  <si>
    <t>ID</t>
  </si>
  <si>
    <t>RefRng</t>
  </si>
  <si>
    <t>Cur</t>
  </si>
  <si>
    <t>FTC</t>
  </si>
  <si>
    <t>R</t>
  </si>
  <si>
    <t>SCB2566</t>
  </si>
  <si>
    <t>SCB2576</t>
  </si>
  <si>
    <t>SCB2586</t>
  </si>
  <si>
    <t>SCBAEM</t>
  </si>
  <si>
    <t>SCBAEMH</t>
  </si>
  <si>
    <t>SCBAPLUSFUND</t>
  </si>
  <si>
    <t>SCBAUD</t>
  </si>
  <si>
    <t>SCBBANKINGFUND</t>
  </si>
  <si>
    <t>SCBBLN</t>
  </si>
  <si>
    <t>SCBCE</t>
  </si>
  <si>
    <t>SCBCEH</t>
  </si>
  <si>
    <t>SCBCHA</t>
  </si>
  <si>
    <t>SCBCHEQ</t>
  </si>
  <si>
    <t>SCBDIGI</t>
  </si>
  <si>
    <t>SCBDVFUND</t>
  </si>
  <si>
    <t>SCBEMBOND</t>
  </si>
  <si>
    <t>SCBEMEQFUND</t>
  </si>
  <si>
    <t>SCBENERGYFUND</t>
  </si>
  <si>
    <t>SCBEUEQ</t>
  </si>
  <si>
    <t>SCBEUSM</t>
  </si>
  <si>
    <t>SCBFF1YK2</t>
  </si>
  <si>
    <t>SCBFF3MC6</t>
  </si>
  <si>
    <t>SCBFF6MK1</t>
  </si>
  <si>
    <t>SCBFIN</t>
  </si>
  <si>
    <t>SCBFLX</t>
  </si>
  <si>
    <t>SCBFST</t>
  </si>
  <si>
    <t>SCBGEQFUND</t>
  </si>
  <si>
    <t>SCBGHC</t>
  </si>
  <si>
    <t>SCBGIF</t>
  </si>
  <si>
    <t>SCBGIN</t>
  </si>
  <si>
    <t>SCBGMT</t>
  </si>
  <si>
    <t>SCBGOLD</t>
  </si>
  <si>
    <t>SCBGOLDHFUND</t>
  </si>
  <si>
    <t>SCBGOLDHRMF</t>
  </si>
  <si>
    <t>SCBGPLUS</t>
  </si>
  <si>
    <t>SCBGPROP</t>
  </si>
  <si>
    <t>SCBGSIFUND</t>
  </si>
  <si>
    <t>SCBINC</t>
  </si>
  <si>
    <t>SCBINDIA</t>
  </si>
  <si>
    <t>SCBJPSM</t>
  </si>
  <si>
    <t>SCBKEQTG</t>
  </si>
  <si>
    <t>SCBLEQFUND</t>
  </si>
  <si>
    <t>SCBLT1</t>
  </si>
  <si>
    <t>SCBLT2</t>
  </si>
  <si>
    <t>SCBLT3</t>
  </si>
  <si>
    <t>SCBLT4</t>
  </si>
  <si>
    <t>SCBLTS</t>
  </si>
  <si>
    <t>SCBLTSE</t>
  </si>
  <si>
    <t>SCBLTSET</t>
  </si>
  <si>
    <t>SCBLTT</t>
  </si>
  <si>
    <t>SCBMLT</t>
  </si>
  <si>
    <t>SCBMSEFUND</t>
  </si>
  <si>
    <t>SCBNKY225</t>
  </si>
  <si>
    <t>SCBOILFUND</t>
  </si>
  <si>
    <t>SCBOPP</t>
  </si>
  <si>
    <t>SCBPGF</t>
  </si>
  <si>
    <t>SCBPIN</t>
  </si>
  <si>
    <t>SCBPMOFUND</t>
  </si>
  <si>
    <t>SCBPOP</t>
  </si>
  <si>
    <t>SCBRM3</t>
  </si>
  <si>
    <t>SCBRM4</t>
  </si>
  <si>
    <t>SCBRMEU</t>
  </si>
  <si>
    <t>SCBRMGHC</t>
  </si>
  <si>
    <t>SCBRMGIF</t>
  </si>
  <si>
    <t>SCBRMGW</t>
  </si>
  <si>
    <t>SCBRMGWP</t>
  </si>
  <si>
    <t>SCBRMJP</t>
  </si>
  <si>
    <t>SCBRMPOP</t>
  </si>
  <si>
    <t>SCBRMS50</t>
  </si>
  <si>
    <t>SCBROBO</t>
  </si>
  <si>
    <t>SCBS&amp;P500</t>
  </si>
  <si>
    <t>SCBSEFUND</t>
  </si>
  <si>
    <t>SCBSET50FUND</t>
  </si>
  <si>
    <t>SCBSETFUND</t>
  </si>
  <si>
    <t>SCBSMART3</t>
  </si>
  <si>
    <t>SCBSMART4</t>
  </si>
  <si>
    <t>SCBTEQFUND</t>
  </si>
  <si>
    <t>SCBTHAICG</t>
  </si>
  <si>
    <t>SCBUSSM</t>
  </si>
  <si>
    <t>SCBWIN</t>
  </si>
  <si>
    <t>A(tha)</t>
  </si>
  <si>
    <t>Baa2</t>
  </si>
  <si>
    <t>INVCTISCOrf</t>
  </si>
  <si>
    <t>INVSKTBrf</t>
  </si>
  <si>
    <t>INVSUOBTrf</t>
  </si>
  <si>
    <t>BANSUAN161017</t>
  </si>
  <si>
    <t>BANSUAN</t>
  </si>
  <si>
    <t>CALE205A</t>
  </si>
  <si>
    <t>CAL</t>
  </si>
  <si>
    <t>AMATA20OA</t>
  </si>
  <si>
    <t>AMATA</t>
  </si>
  <si>
    <t>BANPU214A</t>
  </si>
  <si>
    <t>BANPU247A</t>
  </si>
  <si>
    <t>BANPU274A</t>
  </si>
  <si>
    <t>BAY20NA</t>
  </si>
  <si>
    <t>BEM234A</t>
  </si>
  <si>
    <t>BEM</t>
  </si>
  <si>
    <t>BJC219A</t>
  </si>
  <si>
    <t>BJC239A</t>
  </si>
  <si>
    <t>BTG215A</t>
  </si>
  <si>
    <t>BTG227A</t>
  </si>
  <si>
    <t>BTG233A</t>
  </si>
  <si>
    <t>BTSC19NA</t>
  </si>
  <si>
    <t>BTSC</t>
  </si>
  <si>
    <t>BTSG20DA</t>
  </si>
  <si>
    <t>CBG206A</t>
  </si>
  <si>
    <t>CBG</t>
  </si>
  <si>
    <t>CK20NA</t>
  </si>
  <si>
    <t>CK</t>
  </si>
  <si>
    <t>CPF218B</t>
  </si>
  <si>
    <t>CPF251A</t>
  </si>
  <si>
    <t>GPSC219A</t>
  </si>
  <si>
    <t>A+(tha)</t>
  </si>
  <si>
    <t>GPSC</t>
  </si>
  <si>
    <t>BBB-</t>
  </si>
  <si>
    <t>IRPC215B</t>
  </si>
  <si>
    <t>A-(tha)</t>
  </si>
  <si>
    <t>IRPC</t>
  </si>
  <si>
    <t>IVL205A</t>
  </si>
  <si>
    <t>IVL</t>
  </si>
  <si>
    <t>NTL19DB</t>
  </si>
  <si>
    <t>NTL</t>
  </si>
  <si>
    <t>PS20NA</t>
  </si>
  <si>
    <t>QH20NA</t>
  </si>
  <si>
    <t>SPALI205A</t>
  </si>
  <si>
    <t>THCOM21OB</t>
  </si>
  <si>
    <t>TICON208A</t>
  </si>
  <si>
    <t>TICON</t>
  </si>
  <si>
    <t>TICON213A</t>
  </si>
  <si>
    <t>TISCO195B</t>
  </si>
  <si>
    <t>TRUE18N27A</t>
  </si>
  <si>
    <t>TRUE19129B</t>
  </si>
  <si>
    <t>TUC18D20A</t>
  </si>
  <si>
    <t>UOBT193A</t>
  </si>
  <si>
    <t>F12MGHB301118</t>
  </si>
  <si>
    <t>INVSKTBrm1</t>
  </si>
  <si>
    <t>INVSUOBTrm1</t>
  </si>
  <si>
    <t>TUC19326A</t>
  </si>
  <si>
    <t>CB19314A</t>
  </si>
  <si>
    <t>BOT192A</t>
  </si>
  <si>
    <t>BOT199A</t>
  </si>
  <si>
    <t>BOT209A</t>
  </si>
  <si>
    <t>LB206A</t>
  </si>
  <si>
    <t>AWN214B</t>
  </si>
  <si>
    <t>AWN</t>
  </si>
  <si>
    <t>BANPU207B</t>
  </si>
  <si>
    <t>BAY18OA</t>
  </si>
  <si>
    <t>BEM196A</t>
  </si>
  <si>
    <t>BJC193A</t>
  </si>
  <si>
    <t>BJC199A</t>
  </si>
  <si>
    <t>CPALL193B</t>
  </si>
  <si>
    <t>CPALL198B</t>
  </si>
  <si>
    <t>CPALL20OA</t>
  </si>
  <si>
    <t>CPF198B</t>
  </si>
  <si>
    <t>CPF204A</t>
  </si>
  <si>
    <t>CPFTH207A</t>
  </si>
  <si>
    <t>KCC199A</t>
  </si>
  <si>
    <t>KCC</t>
  </si>
  <si>
    <t>KCC203A</t>
  </si>
  <si>
    <t>KSL203A</t>
  </si>
  <si>
    <t>KSL</t>
  </si>
  <si>
    <t>LH194B</t>
  </si>
  <si>
    <t>LH</t>
  </si>
  <si>
    <t>MAJOR229A</t>
  </si>
  <si>
    <t>MAJOR</t>
  </si>
  <si>
    <t>MINT193A</t>
  </si>
  <si>
    <t>MINT</t>
  </si>
  <si>
    <t>NTL195A</t>
  </si>
  <si>
    <t>PS193A</t>
  </si>
  <si>
    <t>PS19NA</t>
  </si>
  <si>
    <t>PTTC195B</t>
  </si>
  <si>
    <t>PTT</t>
  </si>
  <si>
    <t>QH194A</t>
  </si>
  <si>
    <t>QH198A</t>
  </si>
  <si>
    <t>SCCC205A</t>
  </si>
  <si>
    <t>SCCC</t>
  </si>
  <si>
    <t>TBEV223A</t>
  </si>
  <si>
    <t>TRUE19129A</t>
  </si>
  <si>
    <t>MBTH18DA</t>
  </si>
  <si>
    <t>MBT</t>
  </si>
  <si>
    <t>TLT201B</t>
  </si>
  <si>
    <t>TLT</t>
  </si>
  <si>
    <t>TAX REDEMP</t>
  </si>
  <si>
    <t>OPERATION FEE</t>
  </si>
  <si>
    <t>CD12MTBANK05719</t>
  </si>
  <si>
    <t>INVSUOBTrm2</t>
  </si>
  <si>
    <t>CB18D20A</t>
  </si>
  <si>
    <t>CB18D27A</t>
  </si>
  <si>
    <t>CB19110A</t>
  </si>
  <si>
    <t>CB19131A</t>
  </si>
  <si>
    <t>CB19214A</t>
  </si>
  <si>
    <t>CB19228A</t>
  </si>
  <si>
    <t>CB19307A</t>
  </si>
  <si>
    <t>CB19321A</t>
  </si>
  <si>
    <t>CB19328A</t>
  </si>
  <si>
    <t>CB19404A</t>
  </si>
  <si>
    <t>CB19606A</t>
  </si>
  <si>
    <t>CB19905A</t>
  </si>
  <si>
    <t>BOT193A</t>
  </si>
  <si>
    <t>BOT203A</t>
  </si>
  <si>
    <t>ILB217A</t>
  </si>
  <si>
    <t>LB226A</t>
  </si>
  <si>
    <t>LB22DA</t>
  </si>
  <si>
    <t>LB23DA</t>
  </si>
  <si>
    <t>SRT224A</t>
  </si>
  <si>
    <t>SRT</t>
  </si>
  <si>
    <t>BEM20OA</t>
  </si>
  <si>
    <t>BEM229A</t>
  </si>
  <si>
    <t>BJC203A</t>
  </si>
  <si>
    <t>BJC243A</t>
  </si>
  <si>
    <t>CK217A</t>
  </si>
  <si>
    <t>CPALL233A</t>
  </si>
  <si>
    <t>CPF235A</t>
  </si>
  <si>
    <t>CPF244A</t>
  </si>
  <si>
    <t>CPFTH211A</t>
  </si>
  <si>
    <t>CPFTH231A</t>
  </si>
  <si>
    <t>LH194A</t>
  </si>
  <si>
    <t>MINT205A</t>
  </si>
  <si>
    <t>MINT213A</t>
  </si>
  <si>
    <t>PS207A</t>
  </si>
  <si>
    <t>QH205A</t>
  </si>
  <si>
    <t>SCCC245A</t>
  </si>
  <si>
    <t>SPALI202A</t>
  </si>
  <si>
    <t>TBEV233A</t>
  </si>
  <si>
    <t>SWAP</t>
  </si>
  <si>
    <t>/SCBFIFL26DC</t>
  </si>
  <si>
    <t>Swap</t>
  </si>
  <si>
    <t>CD12MTBANK26419</t>
  </si>
  <si>
    <t>CD1YBOCHK301118</t>
  </si>
  <si>
    <t>F12MABCHK080219</t>
  </si>
  <si>
    <t>F12MABCHK250319</t>
  </si>
  <si>
    <t>F12MADCB061118</t>
  </si>
  <si>
    <t>F12MBOCMC020519</t>
  </si>
  <si>
    <t>F12MBOCMC200919</t>
  </si>
  <si>
    <t>F12MGHB080819</t>
  </si>
  <si>
    <t>F12MGHB120419</t>
  </si>
  <si>
    <t>F12MGHB190419</t>
  </si>
  <si>
    <t>F12MGHB230119</t>
  </si>
  <si>
    <t>F12MUNB021019</t>
  </si>
  <si>
    <t>INVSUOBTfp</t>
  </si>
  <si>
    <t>BOT202B</t>
  </si>
  <si>
    <t>LB191A</t>
  </si>
  <si>
    <t>LB193A</t>
  </si>
  <si>
    <t>LB21DA</t>
  </si>
  <si>
    <t>EXAT229A</t>
  </si>
  <si>
    <t>EXAT</t>
  </si>
  <si>
    <t>EA217A</t>
  </si>
  <si>
    <t>EA</t>
  </si>
  <si>
    <t>GED198A</t>
  </si>
  <si>
    <t>GED</t>
  </si>
  <si>
    <t>TLT202A</t>
  </si>
  <si>
    <t>TLT20NA</t>
  </si>
  <si>
    <t>EASTW226A</t>
  </si>
  <si>
    <t>EASTW</t>
  </si>
  <si>
    <t>ABPSPV204A</t>
  </si>
  <si>
    <t>ABPSPV</t>
  </si>
  <si>
    <t>ABPSPV214A</t>
  </si>
  <si>
    <t>ABPSPV224A</t>
  </si>
  <si>
    <t>TREIT216A</t>
  </si>
  <si>
    <t>TREIT</t>
  </si>
  <si>
    <t>TRUE22NA</t>
  </si>
  <si>
    <t>UOBT213A</t>
  </si>
  <si>
    <t>AYCAL197A</t>
  </si>
  <si>
    <t>AYCAL</t>
  </si>
  <si>
    <t>BAY196A</t>
  </si>
  <si>
    <t>BAY211A</t>
  </si>
  <si>
    <t>BAY217A</t>
  </si>
  <si>
    <t>BCH211A</t>
  </si>
  <si>
    <t>BCH</t>
  </si>
  <si>
    <t>BCH22DA</t>
  </si>
  <si>
    <t>BEM216A</t>
  </si>
  <si>
    <t>BJC223A</t>
  </si>
  <si>
    <t>BTG207A</t>
  </si>
  <si>
    <t>CKP216A</t>
  </si>
  <si>
    <t>CKP</t>
  </si>
  <si>
    <t>CPALL20OB</t>
  </si>
  <si>
    <t>CPF198A</t>
  </si>
  <si>
    <t>CPF205A</t>
  </si>
  <si>
    <t>CPF228A</t>
  </si>
  <si>
    <t>CPFTH237A</t>
  </si>
  <si>
    <t>CPN19NA</t>
  </si>
  <si>
    <t>CPN20DA</t>
  </si>
  <si>
    <t>DTN207A</t>
  </si>
  <si>
    <t>AA+</t>
  </si>
  <si>
    <t>DTN</t>
  </si>
  <si>
    <t>GLOW19OA</t>
  </si>
  <si>
    <t>GLOW</t>
  </si>
  <si>
    <t>HMPRO198A</t>
  </si>
  <si>
    <t>HMPRO</t>
  </si>
  <si>
    <t>HMPRO19DA</t>
  </si>
  <si>
    <t>IVL216A</t>
  </si>
  <si>
    <t>KSL215A</t>
  </si>
  <si>
    <t>LH19OB</t>
  </si>
  <si>
    <t>LH204A</t>
  </si>
  <si>
    <t>LH204B</t>
  </si>
  <si>
    <t>LH20OA</t>
  </si>
  <si>
    <t>LH20OB</t>
  </si>
  <si>
    <t>MBK262A</t>
  </si>
  <si>
    <t>MBK</t>
  </si>
  <si>
    <t>MPSC199A</t>
  </si>
  <si>
    <t>MPSC19OA</t>
  </si>
  <si>
    <t>MPSC209A</t>
  </si>
  <si>
    <t>MPSC20OA</t>
  </si>
  <si>
    <t>MPSC20OB</t>
  </si>
  <si>
    <t>PS213A</t>
  </si>
  <si>
    <t>PSH215A</t>
  </si>
  <si>
    <t>PSH</t>
  </si>
  <si>
    <t>PTTC195A</t>
  </si>
  <si>
    <t>PTTC20NA</t>
  </si>
  <si>
    <t>PTTC21NA</t>
  </si>
  <si>
    <t>QH196A</t>
  </si>
  <si>
    <t>SCC248A</t>
  </si>
  <si>
    <t>SCC</t>
  </si>
  <si>
    <t>SCCC244A</t>
  </si>
  <si>
    <t>SIRI204A</t>
  </si>
  <si>
    <t>SPALI19DA</t>
  </si>
  <si>
    <t>EMTNABCHK101218</t>
  </si>
  <si>
    <t>FWEURTHB18D07A</t>
  </si>
  <si>
    <t>FWEURTHB18N30A</t>
  </si>
  <si>
    <t>TMB</t>
  </si>
  <si>
    <t>FWEURTHB19208A</t>
  </si>
  <si>
    <t>FWEURTHB19325A</t>
  </si>
  <si>
    <t>FWEURTHB19502A</t>
  </si>
  <si>
    <t>FWUSDTHB18D18A</t>
  </si>
  <si>
    <t>FWUSDTHB18N06A</t>
  </si>
  <si>
    <t>FWUSDTHB19116A</t>
  </si>
  <si>
    <t>FWUSDTHB19920A</t>
  </si>
  <si>
    <t>FWUSDTHB19O02A</t>
  </si>
  <si>
    <t>/SCBFIFL25DA</t>
  </si>
  <si>
    <t>/SCBFIFL196A</t>
  </si>
  <si>
    <t>/SCBFIFL236A</t>
  </si>
  <si>
    <t>/SCBTHUS18DA</t>
  </si>
  <si>
    <t>/SCBFIFL26DB</t>
  </si>
  <si>
    <t>/SCBFIFL217A</t>
  </si>
  <si>
    <t>/SCBFIFL218A</t>
  </si>
  <si>
    <t>/CIMBFIFL238A</t>
  </si>
  <si>
    <t>/CIMBFIFL218A</t>
  </si>
  <si>
    <t>EQUITY</t>
  </si>
  <si>
    <t>UNIT TRUST</t>
  </si>
  <si>
    <t>B-WORK</t>
  </si>
  <si>
    <t>BBLAM</t>
  </si>
  <si>
    <t>Stock</t>
  </si>
  <si>
    <t>BOFFICE</t>
  </si>
  <si>
    <t>BHIRAJREIT</t>
  </si>
  <si>
    <t>BTSGIF</t>
  </si>
  <si>
    <t>CPNREIT</t>
  </si>
  <si>
    <t>CPNREITMGT</t>
  </si>
  <si>
    <t>DIF</t>
  </si>
  <si>
    <t>SCBAM</t>
  </si>
  <si>
    <t>EGATIF</t>
  </si>
  <si>
    <t>KTAM</t>
  </si>
  <si>
    <t>GVREIT</t>
  </si>
  <si>
    <t>UVRM</t>
  </si>
  <si>
    <t>HREIT</t>
  </si>
  <si>
    <t>HEMRAJRM</t>
  </si>
  <si>
    <t>IMPACT</t>
  </si>
  <si>
    <t>RMI</t>
  </si>
  <si>
    <t>JASIF</t>
  </si>
  <si>
    <t>QHPF</t>
  </si>
  <si>
    <t>LHFUND</t>
  </si>
  <si>
    <t>SHREIT</t>
  </si>
  <si>
    <t>STRATEGIC</t>
  </si>
  <si>
    <t>SPF</t>
  </si>
  <si>
    <t>PHATRAAM</t>
  </si>
  <si>
    <t>TLGF</t>
  </si>
  <si>
    <t>TICONMANAGE</t>
  </si>
  <si>
    <t>WHAREIT</t>
  </si>
  <si>
    <t>F12MSECB290519a</t>
  </si>
  <si>
    <t>SECB</t>
  </si>
  <si>
    <t>F12MUNB020719</t>
  </si>
  <si>
    <t>INVSKBANKplus</t>
  </si>
  <si>
    <t>INVSUOBTplus</t>
  </si>
  <si>
    <t>CB19221A</t>
  </si>
  <si>
    <t>BOT208A</t>
  </si>
  <si>
    <t>GSB225A</t>
  </si>
  <si>
    <t>GSB</t>
  </si>
  <si>
    <t>BTSG209A</t>
  </si>
  <si>
    <t>CPALL213C</t>
  </si>
  <si>
    <t>CSC00001</t>
  </si>
  <si>
    <t>SC SG</t>
  </si>
  <si>
    <t>CSC00002</t>
  </si>
  <si>
    <t>CSG00001</t>
  </si>
  <si>
    <t>SOCGEN</t>
  </si>
  <si>
    <t>MPSC22DA</t>
  </si>
  <si>
    <t>MPSC22OA</t>
  </si>
  <si>
    <t>MPSC233A</t>
  </si>
  <si>
    <t>MPSC236A</t>
  </si>
  <si>
    <t>SPW238A</t>
  </si>
  <si>
    <t>SPW</t>
  </si>
  <si>
    <t>TBEV283A</t>
  </si>
  <si>
    <t>TOP230123US</t>
  </si>
  <si>
    <t>TOP</t>
  </si>
  <si>
    <t>TTW232A</t>
  </si>
  <si>
    <t>TTW</t>
  </si>
  <si>
    <t>KNM21NA</t>
  </si>
  <si>
    <t>KNM</t>
  </si>
  <si>
    <t>EMTNICIUK120619</t>
  </si>
  <si>
    <t>ICICI BANK UK</t>
  </si>
  <si>
    <t>EMTNMASQ170419</t>
  </si>
  <si>
    <t>EMTNTMBCA011021</t>
  </si>
  <si>
    <t>TMBCAYMAN</t>
  </si>
  <si>
    <t>BEABCIAHKa</t>
  </si>
  <si>
    <t>BEAUI</t>
  </si>
  <si>
    <t>BEAPIGRHKa</t>
  </si>
  <si>
    <t>FWHKDTHB18N08A</t>
  </si>
  <si>
    <t>FWUSDTHB18O25C</t>
  </si>
  <si>
    <t>FWUSDTHB19417F</t>
  </si>
  <si>
    <t>FWUSDTHB19529B</t>
  </si>
  <si>
    <t>FWUSDTHB19612F</t>
  </si>
  <si>
    <t>FWUSDTHB19620A</t>
  </si>
  <si>
    <t>ANZ</t>
  </si>
  <si>
    <t>FWUSDTHB19702A</t>
  </si>
  <si>
    <t>/SCBTHUS21OA</t>
  </si>
  <si>
    <t>/SCBTHUS231C</t>
  </si>
  <si>
    <t>กองทุนเปิดไทยพาณิชย์ตราสารหนี้</t>
  </si>
  <si>
    <t>SCB Fixed Income Fund</t>
  </si>
  <si>
    <t>INVSUOBTfixed</t>
  </si>
  <si>
    <t>EA19214A</t>
  </si>
  <si>
    <t>CB19117A</t>
  </si>
  <si>
    <t>CPALL198C</t>
  </si>
  <si>
    <t>MBTH19DA</t>
  </si>
  <si>
    <t>TLT198B</t>
  </si>
  <si>
    <t>BANPU195A</t>
  </si>
  <si>
    <t>TOP193A</t>
  </si>
  <si>
    <t>NTL197A</t>
  </si>
  <si>
    <t>FWEURTHB19319A</t>
  </si>
  <si>
    <t>DEFERED CHARGE</t>
  </si>
  <si>
    <t>D SEC FEE</t>
  </si>
  <si>
    <t>Portfolio Summary</t>
  </si>
  <si>
    <t>Trans. Date</t>
  </si>
  <si>
    <t>Cash for T+1</t>
  </si>
  <si>
    <t>Cash for T+3</t>
  </si>
  <si>
    <t>Net Cash T+1</t>
  </si>
  <si>
    <t>NAV</t>
  </si>
  <si>
    <t>Cash chg for T+0</t>
  </si>
  <si>
    <t>Intraday Transaction</t>
  </si>
  <si>
    <t>Settle Date</t>
  </si>
  <si>
    <t>B/S</t>
  </si>
  <si>
    <t>F/S</t>
  </si>
  <si>
    <t>Name</t>
  </si>
  <si>
    <t>Counter-Party</t>
  </si>
  <si>
    <t>Maturity Date</t>
  </si>
  <si>
    <t>Days</t>
  </si>
  <si>
    <t>Yield</t>
  </si>
  <si>
    <t>Unit</t>
  </si>
  <si>
    <t>Par</t>
  </si>
  <si>
    <t>CP</t>
  </si>
  <si>
    <t>AI</t>
  </si>
  <si>
    <t>DP</t>
  </si>
  <si>
    <t>Adj.</t>
  </si>
  <si>
    <t>Net Settlement</t>
  </si>
  <si>
    <t>Payment</t>
  </si>
  <si>
    <t>CB19110B</t>
  </si>
  <si>
    <t>MPSC18D04A</t>
  </si>
  <si>
    <t>SCBDAFUND</t>
  </si>
  <si>
    <t>Summary</t>
  </si>
  <si>
    <t>Total Buy-Sell (T+1)</t>
  </si>
  <si>
    <t>Ending SCB</t>
  </si>
  <si>
    <t>Beginning SCB</t>
  </si>
  <si>
    <t>Transaction SCB</t>
  </si>
  <si>
    <t>Beginning BAY</t>
  </si>
  <si>
    <t>Transaction BAY</t>
  </si>
  <si>
    <t>Ending BAY</t>
  </si>
  <si>
    <t>Beginning UOBT</t>
  </si>
  <si>
    <t>Transaction UOBT</t>
  </si>
  <si>
    <t>Ending UOBT</t>
  </si>
  <si>
    <t>CB19411A</t>
  </si>
  <si>
    <t>LHHOTEL</t>
  </si>
  <si>
    <t>(All)</t>
  </si>
  <si>
    <t>Cash Balance (BOS)</t>
  </si>
  <si>
    <t>Expected NAV</t>
  </si>
  <si>
    <t>Actual NAV (BOS)</t>
  </si>
  <si>
    <t>HLD_Principal</t>
  </si>
  <si>
    <t>IssTerm</t>
  </si>
  <si>
    <t>HLD_Ratio</t>
  </si>
  <si>
    <t>Values</t>
  </si>
  <si>
    <t>(Multiple Items)</t>
  </si>
  <si>
    <t>Average of HLD_YieldCost</t>
  </si>
  <si>
    <t>SCBMPLUS</t>
  </si>
  <si>
    <t>SCBSMART2FUND</t>
  </si>
  <si>
    <t>CB18O30A</t>
  </si>
  <si>
    <t>Cash Reserve</t>
  </si>
  <si>
    <t>Port Yield</t>
  </si>
  <si>
    <t>Settle T+2</t>
  </si>
  <si>
    <t>Cash (T+2)</t>
  </si>
  <si>
    <t>Fee</t>
  </si>
  <si>
    <t>Port AI/Day</t>
  </si>
  <si>
    <t>NAV (T+2)</t>
  </si>
  <si>
    <t>PV 0.01%</t>
  </si>
  <si>
    <t>Auction Amount</t>
  </si>
  <si>
    <t>Sum of Principal/1000</t>
  </si>
  <si>
    <t xml:space="preserve">Auction </t>
  </si>
  <si>
    <t>14 Day</t>
  </si>
  <si>
    <t>Limit PV01 Amount</t>
  </si>
  <si>
    <t>PortCode</t>
  </si>
  <si>
    <t>PortCode1</t>
  </si>
  <si>
    <t>PortCode2</t>
  </si>
  <si>
    <t>DescTh</t>
  </si>
  <si>
    <t>DescEng</t>
  </si>
  <si>
    <t>PortClass</t>
  </si>
  <si>
    <t>InceptionDate</t>
  </si>
  <si>
    <t>FundManager</t>
  </si>
  <si>
    <t>AIMCPolicyCode_Month</t>
  </si>
  <si>
    <t>MaturityDate</t>
  </si>
  <si>
    <t>CashPortfolio</t>
  </si>
  <si>
    <t>Status</t>
  </si>
  <si>
    <t>InvestPolicy</t>
  </si>
  <si>
    <t>wararat</t>
  </si>
  <si>
    <t>FI</t>
  </si>
  <si>
    <t>kamolrat</t>
  </si>
  <si>
    <t>Mitraporn</t>
  </si>
  <si>
    <t>SCBAF1YA2</t>
  </si>
  <si>
    <t>กองทุนเปิดไทยพาณิชย์ตราสารหนี้ต่างประเทศ เอไอ 1YA2 ห้ามขายผู้ลงทุนรายย่อย</t>
  </si>
  <si>
    <t>SCB Foreign Fixed Income Fund 1YA2 (Not for Ratail Investors)</t>
  </si>
  <si>
    <t>Achawin</t>
  </si>
  <si>
    <t>MF0157/2561</t>
  </si>
  <si>
    <t>SCBAF1YA3</t>
  </si>
  <si>
    <t>กองทุนเปิดไทยพาณิชย์ตราสารหนี้ต่างประเทศ เอไอ 1YA3 ห้ามขายผู้ลงทุนรายย่อย</t>
  </si>
  <si>
    <t>SCB Foreign Fixed Income Fund 1YA3 (Not for Retail Investors)</t>
  </si>
  <si>
    <t>MF0172/2561</t>
  </si>
  <si>
    <t>SCBAI6M53</t>
  </si>
  <si>
    <t>กองทุนเปิดไทยพาณิชย์ตราสารหนี้ เอไอ 6M53 ห้ามขายผู้ลงทุนรายย่อย</t>
  </si>
  <si>
    <t>SCB Fixed Income Fund 6M53 (Not for Retail Investors)</t>
  </si>
  <si>
    <t>MF0095/2561</t>
  </si>
  <si>
    <t>SCBAI6M54</t>
  </si>
  <si>
    <t>กองทุนเปิดไทยพาณิชย์ตราสารหนี้ เอไอ 6M54 ห้ามขายผู้ลงทุนรายย่อย</t>
  </si>
  <si>
    <t>SCB Fixed Income Fund 6M54 (Not for Retail Investors)</t>
  </si>
  <si>
    <t>MF0144/2561</t>
  </si>
  <si>
    <t>SCBAI6M55</t>
  </si>
  <si>
    <t>กองทุนเปิดไทยพาณิชย์ตราสารหนี้ เอไอ 6M55 ห้ามขายผู้ลงทุนรายย่อย</t>
  </si>
  <si>
    <t>SCB Fixed Income Fund 6M55 (Not for Retail Investors)</t>
  </si>
  <si>
    <t>MF0164/2561</t>
  </si>
  <si>
    <t>SCBAI6M56</t>
  </si>
  <si>
    <t>กองทุนเปิดไทยพาณิชย์ตราสารหนี้ เอไอ 6M56 ห้ามขายผู้ลงทุนรายย่อย</t>
  </si>
  <si>
    <t>SCB Fixed Income Fund 6M56 (Not for Retail Investors)</t>
  </si>
  <si>
    <t>MF0192/2561</t>
  </si>
  <si>
    <t>SCBAI6M57</t>
  </si>
  <si>
    <t>กองทุนเปิดไทยพาณิชย์ตราสารหนี้ เอไอ 6M57 ห้ามขายผู้ลงทุนรายย่อย</t>
  </si>
  <si>
    <t>SCB Fixed Income Fund 6M57 (Not for Retail Investors)</t>
  </si>
  <si>
    <t>MF0228/2561</t>
  </si>
  <si>
    <t>SCBAI6M58</t>
  </si>
  <si>
    <t>กองทุนเปิดไทยพาณิชย์ตราสารหนี้ เอไอ 6M58 ห้ามขายผู้ลงทุนรายย่อย</t>
  </si>
  <si>
    <t>SCB Fixed Income Fund 6M58 Not for Retail Investors</t>
  </si>
  <si>
    <t>MF0254/2561</t>
  </si>
  <si>
    <t>SCBAI6M59</t>
  </si>
  <si>
    <t>กองทุนเปิดไทยพาณิชย์ตราสารหนี้ เอไอ 6M59 ห้ามขายผู้ลงทุนรายย่อย</t>
  </si>
  <si>
    <t>SCB Fixed Income Fund 6M59 Not for Retail Investors</t>
  </si>
  <si>
    <t>MF0284/2561</t>
  </si>
  <si>
    <t>naree</t>
  </si>
  <si>
    <t>กองทุนเปิดไทยพาณิชย์ตราสารหนี้ระยะสั้นและเงินฝากสกุลเงินออสเตรเลีย</t>
  </si>
  <si>
    <t>SCB SHORT TERM AUD OPEN END FUND</t>
  </si>
  <si>
    <t>161/2552</t>
  </si>
  <si>
    <t>SCBFF1YH3</t>
  </si>
  <si>
    <t>กองทุนเปิดไทยพาณิชย์ตราสารหนี้ต่างประเทศ 1YH3</t>
  </si>
  <si>
    <t>SCB Foreign Fixed Income Fund 1YH3</t>
  </si>
  <si>
    <t>MF0446/2560</t>
  </si>
  <si>
    <t>SCBFF1YH4</t>
  </si>
  <si>
    <t>กองทุนเปิดไทยพาณิชย์ตราสารหนี้ต่างประเทศ 1YH4</t>
  </si>
  <si>
    <t>SCB Foreign Fixed Income Fund 1YH4</t>
  </si>
  <si>
    <t>MF0090/2561</t>
  </si>
  <si>
    <t>SCBFF1YH5</t>
  </si>
  <si>
    <t>กองทุนเปิดไทยพาณิชย์ตราสารหนี้ต่างประเทศ 1YH5</t>
  </si>
  <si>
    <t>SCB Foreign Fixed Income Fund 1YH5</t>
  </si>
  <si>
    <t>MF0101/2561</t>
  </si>
  <si>
    <t>SCBFF1YH6</t>
  </si>
  <si>
    <t>กองทุนเปิดไทยพาณิชย์ตราสารหนี้ต่างประเทศ 1YH6</t>
  </si>
  <si>
    <t>SCB Foreign Fixed Income Fund 1YH6</t>
  </si>
  <si>
    <t>MF0107/2561</t>
  </si>
  <si>
    <t>SCBFF1YH7</t>
  </si>
  <si>
    <t>กองทุนเปิดไทยพาณิชย์ตราสารหนี้ต่างประเทศ 1YH7</t>
  </si>
  <si>
    <t>SCB Foreign Fixed Income Fund 1YH7</t>
  </si>
  <si>
    <t>MF0115/2561</t>
  </si>
  <si>
    <t>SCBFF1YH8</t>
  </si>
  <si>
    <t>กองทุนเปิดไทยพาณิชย์ตราสารหนี้ต่างประเทศ 1YH8</t>
  </si>
  <si>
    <t>SCB Foreign Fixed Income Fund 1YH8</t>
  </si>
  <si>
    <t>MF0125/2561</t>
  </si>
  <si>
    <t>SCBFF1YH9</t>
  </si>
  <si>
    <t>กองทุนเปิดไทยพาณิชย์ตราสารหนี้ต่างประเทศ 1YH9</t>
  </si>
  <si>
    <t>SCB Foreign Fixed Income Fund 1YH9</t>
  </si>
  <si>
    <t>MF0135/2561</t>
  </si>
  <si>
    <t>SCBFF1YI1</t>
  </si>
  <si>
    <t>กองทุนเปิดไทยพาณิชย์ตราสารหนี้ต่างประเทศ 1YI1</t>
  </si>
  <si>
    <t>SCB Foreign Fixed Income Fund 1YI1</t>
  </si>
  <si>
    <t>MF0146/2561</t>
  </si>
  <si>
    <t>SCBFF1YI2</t>
  </si>
  <si>
    <t>กองทุนเปิดไทยพาณิชย์ตราสารหนี้ต่างประเทศ 1YI2</t>
  </si>
  <si>
    <t>SCB Foreign Fixed Income Fund 1YI2</t>
  </si>
  <si>
    <t>MF0155/2561</t>
  </si>
  <si>
    <t>SCBFF1YI3</t>
  </si>
  <si>
    <t>กองทุนเปิดไทยพาณิชย์ตราสารหนี้ต่างประเทศ 1YI3</t>
  </si>
  <si>
    <t>SCB Foreign Fixed Income Fund 1YI3</t>
  </si>
  <si>
    <t>MF0165/2561</t>
  </si>
  <si>
    <t>SCBFF1YI4</t>
  </si>
  <si>
    <t>กองทุนเปิดไทยพาณิชย์ตราสารหนี้ต่างประเทศ 1YI4</t>
  </si>
  <si>
    <t>SCB Foreign Fixed Income Fund 1YI4</t>
  </si>
  <si>
    <t>MF0174/2561</t>
  </si>
  <si>
    <t>SCBFF1YI5</t>
  </si>
  <si>
    <t>กองทุนเปิดไทยพาณิชย์ตราสารหนี้ต่างประเทศ 1YI5</t>
  </si>
  <si>
    <t>SCB Foreign Fixed Income Fund 1YI5</t>
  </si>
  <si>
    <t>MF0184/2561</t>
  </si>
  <si>
    <t>SCBFF1YI6</t>
  </si>
  <si>
    <t>กองทุนเปิดไทยพาณิชย์ตราสารหนี้ต่างประเทศ 1YI6</t>
  </si>
  <si>
    <t>SCB Foreign Fixed Income Fund 1YI6</t>
  </si>
  <si>
    <t>MF0193/2561</t>
  </si>
  <si>
    <t>SCBFF1YI7</t>
  </si>
  <si>
    <t>กองทุนเปิดไทยพาณิชย์ตราสารหนี้ต่างประเทศ 1YI7</t>
  </si>
  <si>
    <t>SCB Foreign Fixed Income Fund 1YI7</t>
  </si>
  <si>
    <t>MF0200/2561</t>
  </si>
  <si>
    <t>SCBFF1YI8</t>
  </si>
  <si>
    <t>กองทุนเปิดไทยพาณิชย์ตราสารหนี้ต่างประเทศ 1YI8</t>
  </si>
  <si>
    <t>SCB Foreign Fixed Income Fund 1YI8</t>
  </si>
  <si>
    <t>MF0206/2561</t>
  </si>
  <si>
    <t>SCBFF1YI9</t>
  </si>
  <si>
    <t>กองทุนเปิดไทยพาณิชย์ตราสารหนี้ต่างประเทศ 1YI9</t>
  </si>
  <si>
    <t>SCB Foreign Fixed Income Fund 1YI9</t>
  </si>
  <si>
    <t>MF0219/2561</t>
  </si>
  <si>
    <t>SCBFF1YJ1</t>
  </si>
  <si>
    <t>กองทุนเปิดไทยพาณิชย์ตราสารหนี้ต่างประเทศ 1YJ1</t>
  </si>
  <si>
    <t>SCB Foreign Fixed Income Fund 1YJ1</t>
  </si>
  <si>
    <t>MF0226/2561</t>
  </si>
  <si>
    <t>SCBFF1YJ2</t>
  </si>
  <si>
    <t>กองทุนเปิดไทยพาณิชย์ตราสารหนี้ต่างประเทศ 1YJ2</t>
  </si>
  <si>
    <t>SCB Foreign Fixed Income Fund 1YJ2</t>
  </si>
  <si>
    <t>MF0234/2561</t>
  </si>
  <si>
    <t>SCBFF1YJ3</t>
  </si>
  <si>
    <t>กองทุนเปิดไทยพาณิชย์ตราสารหนี้ต่างประเทศ 1YJ3</t>
  </si>
  <si>
    <t>SCB Foreign Fixed Income Fund 1YJ3</t>
  </si>
  <si>
    <t>MF0240/2561</t>
  </si>
  <si>
    <t>SCBFF1YJ4</t>
  </si>
  <si>
    <t>กองทุนเปิดไทยพาณิชย์ตราสารหนี้ต่างประเทศ 1YJ4</t>
  </si>
  <si>
    <t>SCB Foreign Fixed Income Fund 1YJ4</t>
  </si>
  <si>
    <t>MF0253/2561</t>
  </si>
  <si>
    <t>SCBFF1YJ5</t>
  </si>
  <si>
    <t>กองทุนเปิดไทยพาณิชย์ตราสารหนี้ต่างประเทศ 1YJ5</t>
  </si>
  <si>
    <t>SCB Foreign Fixed Income Fund 1YJ5</t>
  </si>
  <si>
    <t>MF0264/2561</t>
  </si>
  <si>
    <t>SCBFF1YJ6</t>
  </si>
  <si>
    <t>กองทุนเปิดไทยพาณิชย์ตราสารหนี้ต่างประเทศ 1YJ6</t>
  </si>
  <si>
    <t>SCB Foreign Fixed Income Fund 1YJ6</t>
  </si>
  <si>
    <t>MF0275/2561</t>
  </si>
  <si>
    <t>SCBFF1YJ7</t>
  </si>
  <si>
    <t>กองทุนเปิดไทยพาณิชย์ตราสารหนี้ต่างประเทศ 1YJ7</t>
  </si>
  <si>
    <t>SCB Foreign Fixed Income Fund 1YJ7</t>
  </si>
  <si>
    <t>MF0286/2561</t>
  </si>
  <si>
    <t>SCBFF1YJ8</t>
  </si>
  <si>
    <t>กองทุนเปิดไทยพาณิชย์ตราสารหนี้ต่างประเทศ 1YJ8</t>
  </si>
  <si>
    <t>SCB Foreign Fixed Income Fund 1YJ8</t>
  </si>
  <si>
    <t>MF0295/2561</t>
  </si>
  <si>
    <t>SCBFF1YJ9</t>
  </si>
  <si>
    <t>กองทุนเปิดไทยพาณิชย์ตราสารหนี้ต่างประเทศ 1YJ9</t>
  </si>
  <si>
    <t>SCB Foreign Fixed Income Fund 1YJ9</t>
  </si>
  <si>
    <t>MF0303/2561</t>
  </si>
  <si>
    <t>SCBFF1YK1</t>
  </si>
  <si>
    <t>กองทุนเปิดไทยพาณิชย์ตราสารหนี้ต่างประเทศ 1YK1</t>
  </si>
  <si>
    <t>SCB Foreign Fixed Income Fund 1YK1</t>
  </si>
  <si>
    <t>MF0311/2561</t>
  </si>
  <si>
    <t>SCBFF6MI2</t>
  </si>
  <si>
    <t>กองทุนเปิดไทยพาณิชย์ตราสารหนี้ต่างประเทศ 6MI2</t>
  </si>
  <si>
    <t>SCB Foreign Fixed Income Fund 6MI2</t>
  </si>
  <si>
    <t>MF0098/2561</t>
  </si>
  <si>
    <t>SCBFF6MI3</t>
  </si>
  <si>
    <t>กองทุนเปิดไทยพาณิชย์ตราสารหนี้ต่างประเทศ 6MI3</t>
  </si>
  <si>
    <t>SCB Foreign Fixed Income Fund 6MI3</t>
  </si>
  <si>
    <t>MF0126/2561</t>
  </si>
  <si>
    <t>SCBFF6MI4</t>
  </si>
  <si>
    <t>กองทุนเปิดไทยพาณิชย์ตราสารหนี้ต่างประเทศ 6MI4</t>
  </si>
  <si>
    <t>SCB Foreign Fixed Income Fund 6MI4</t>
  </si>
  <si>
    <t>MF0145/2561</t>
  </si>
  <si>
    <t>SCBFF6MI5</t>
  </si>
  <si>
    <t>กองทุนเปิดไทยพาณิชย์ตราสารหนี้ต่างประเทศ 6MI5</t>
  </si>
  <si>
    <t>SCB Foreign Fixed Income Fund 6MI5</t>
  </si>
  <si>
    <t>MF0166/2561</t>
  </si>
  <si>
    <t>SCBFF6MI7</t>
  </si>
  <si>
    <t>กองทุนเปิดไทยพาณิชย์ตราสารหนี้ต่างประเทศ 6MI7</t>
  </si>
  <si>
    <t>SCB Foreign Fixed Income Fund 6MI7</t>
  </si>
  <si>
    <t>MF0185/2561</t>
  </si>
  <si>
    <t>SCBFF6MI8</t>
  </si>
  <si>
    <t>กองทุนเปิดไทยพาณิชย์ตราสารหนี้ต่างประเทศ 6MI8</t>
  </si>
  <si>
    <t>SCB Foreign Fixed Income Fund 6MI8</t>
  </si>
  <si>
    <t>MF0218/2561</t>
  </si>
  <si>
    <t>SCBFF6MI9</t>
  </si>
  <si>
    <t>กองทุนเปิดไทยพาณิชย์ตราสารหนี้ต่างประเทศ 6MI9</t>
  </si>
  <si>
    <t>SCB Foreign Fixed Income Fund 6MI9</t>
  </si>
  <si>
    <t>MF0227/2561</t>
  </si>
  <si>
    <t>SCBFF6MJ1</t>
  </si>
  <si>
    <t>กองทุนเปิดไทยพาณิชย์ตราสารหนี้ต่างประเทศ 6MJ1</t>
  </si>
  <si>
    <t>SCB Foreign Fixed Income Fund 6MJ1</t>
  </si>
  <si>
    <t>MF0233/2561</t>
  </si>
  <si>
    <t>SCBFF6MJ2</t>
  </si>
  <si>
    <t>กองทุนเปิดไทยพาณิชย์ตราสารหนี้ต่างประเทศ 6MJ2</t>
  </si>
  <si>
    <t>SCB Foreign Fixed Income Fund 6MJ2</t>
  </si>
  <si>
    <t>MF0241/2561</t>
  </si>
  <si>
    <t>SCBFF6MJ3</t>
  </si>
  <si>
    <t>กองทุนเปิดไทยพาณิชย์ตราสารหนี้ต่างประเทศ 6MJ3</t>
  </si>
  <si>
    <t>SCB Foreign Fixed Income Fund 6MJ3</t>
  </si>
  <si>
    <t>MF0252/2561</t>
  </si>
  <si>
    <t>SCBFF6MJ4</t>
  </si>
  <si>
    <t>กองทุนเปิดไทยพาณิชย์ตราสารหนี้ต่างประเทศ 6MJ4</t>
  </si>
  <si>
    <t>SCB Foreign Fixed Income Fund 6MJ4</t>
  </si>
  <si>
    <t>MF0263/2561</t>
  </si>
  <si>
    <t>SCBFF6MJ5</t>
  </si>
  <si>
    <t>กองทุนเปิดไทยพาณิชย์ตราสารหนี้ต่างประเทศ 6MJ5</t>
  </si>
  <si>
    <t>SCB Foreign Fixed Income Fund 6MJ5</t>
  </si>
  <si>
    <t>MF0276/2561</t>
  </si>
  <si>
    <t>SCBFF6MJ6</t>
  </si>
  <si>
    <t>กองทุนเปิดไทยพาณิชย์ตราสารหนี้ต่างประเทศ 6MJ6</t>
  </si>
  <si>
    <t>SCB Foreign Fixed Income Fund 6MJ6</t>
  </si>
  <si>
    <t>MF0285/2561</t>
  </si>
  <si>
    <t>SCBFF6MJ7</t>
  </si>
  <si>
    <t>กองทุนเปิดไทยพาณิชย์ตราสารหนี้ต่างประเทศ 6MJ7</t>
  </si>
  <si>
    <t>SCB Foreign Fixed Income Fund 6MJ7</t>
  </si>
  <si>
    <t>MF0296/2561</t>
  </si>
  <si>
    <t>SCBFF6MJ8</t>
  </si>
  <si>
    <t>กองทุนเปิดไทยพาณิชย์ตราสารหนี้ต่างประเทศ 6MJ8</t>
  </si>
  <si>
    <t>SCB Foreign Fixed Income Fund 6MJ8</t>
  </si>
  <si>
    <t>MF0302/2561</t>
  </si>
  <si>
    <t>SCBFF6MJ9</t>
  </si>
  <si>
    <t>กองทุนเปิดไทยพาณิชย์ตราสารหนี้ต่างประเทศ 6MJ9</t>
  </si>
  <si>
    <t>SCB Foreign Fixed Income Fund 6MJ9</t>
  </si>
  <si>
    <t>MF0310/2561</t>
  </si>
  <si>
    <t>SCBFI3Y5</t>
  </si>
  <si>
    <t>กองทุนเปิดไทยพาณิชย์ตราสารหนี้ 3Y5</t>
  </si>
  <si>
    <t>SCB Fixed Income Fund 3Y5</t>
  </si>
  <si>
    <t>MF0228/2560</t>
  </si>
  <si>
    <t>SCBFI6MA9</t>
  </si>
  <si>
    <t>กองทุนเปิดไทยพาณิชย์ตราสารหนี้ 6MA9</t>
  </si>
  <si>
    <t>SCB Fixed Income Fund 6MA9</t>
  </si>
  <si>
    <t>MF0102/2561</t>
  </si>
  <si>
    <t>SCBFI6MB1</t>
  </si>
  <si>
    <t>กองทุนเปิดไทยพาณิชย์ตราสารหนี้ 6MB1</t>
  </si>
  <si>
    <t>SCB Fixed Income Fund 6MB1</t>
  </si>
  <si>
    <t>MF0114/2561</t>
  </si>
  <si>
    <t>SCBFI6MB2</t>
  </si>
  <si>
    <t>กองทุนเปิดไทยพาณิชย์ตราสารหนี้ 6MB2</t>
  </si>
  <si>
    <t>SCB Fixed Income Fund 6MB2</t>
  </si>
  <si>
    <t>MF0134/2561</t>
  </si>
  <si>
    <t>SCBFI6MB3</t>
  </si>
  <si>
    <t>กองทุนเปิดไทยพาณิชย์ตราสารหนี้ 6MB3</t>
  </si>
  <si>
    <t>SCB Fixed Income Fund 6MB3</t>
  </si>
  <si>
    <t>MF0156/2561</t>
  </si>
  <si>
    <t>SCBFI6MB4</t>
  </si>
  <si>
    <t>กองทุนเปิดไทยพาณิชย์ตราสารหนี้ 6MB4</t>
  </si>
  <si>
    <t>SCB Fixed Income Fund 6MB4</t>
  </si>
  <si>
    <t>MF0173/2561</t>
  </si>
  <si>
    <t>SCBFI6MB5</t>
  </si>
  <si>
    <t>กองทุนเปิดไทยพาณิชย์ตราสารหนี้ 6MB5</t>
  </si>
  <si>
    <t>SCB Fixed Income Fund 6MB5</t>
  </si>
  <si>
    <t>MF0194/2561</t>
  </si>
  <si>
    <t>SCBFI6MB6</t>
  </si>
  <si>
    <t>กองทุนเปิดไทยพาณิชย์ตราสารหนี้ 6MB6</t>
  </si>
  <si>
    <t>SCB Fixed Income Fund 6MB6</t>
  </si>
  <si>
    <t>MF0199/2561</t>
  </si>
  <si>
    <t>SCBFI6MB7</t>
  </si>
  <si>
    <t>กองทุนเปิดไทยพาณิชย์ตราสารหนี้ 6MB7</t>
  </si>
  <si>
    <t>SCB Fixed Income Fund 6MB7</t>
  </si>
  <si>
    <t>MF0207/2561</t>
  </si>
  <si>
    <t>Eakaluck</t>
  </si>
  <si>
    <t>MF0136/2561</t>
  </si>
  <si>
    <t>SCBFIXEDA</t>
  </si>
  <si>
    <t>กองทุนเปิดไทยพาณิชย์ตราสารหนี้ (ชนิดสะสมมูลค่า)</t>
  </si>
  <si>
    <t>SCB Fixed Income Fund (Accumulation)</t>
  </si>
  <si>
    <t>SCBFP</t>
  </si>
  <si>
    <t>กองทุนเปิดไทยพาณิชย์ตราสารหนี้ พลัส (ชนิดสะสมมูลค่า)</t>
  </si>
  <si>
    <t>SCB FIXED INCOME PLUS FUND (Accumulation)</t>
  </si>
  <si>
    <t>Yuttapon</t>
  </si>
  <si>
    <t>679/2553</t>
  </si>
  <si>
    <t>กองทุนเปิดไทยพาณิชย์ตราสารหนี้ พลัส</t>
  </si>
  <si>
    <t>SCB FIXED INCOME PLUS FUND</t>
  </si>
  <si>
    <t>SCBFPP</t>
  </si>
  <si>
    <t>กองทุนเปิดไทยพาณิชย์ตราสารหนี้ พลัส (ชนิดผู้ลงทุนกลุ่ม/บุคคล)</t>
  </si>
  <si>
    <t>SCB FIXED INCOME PLUS FUND (Individual/Group)</t>
  </si>
  <si>
    <t>กองทุนเปิดไทยพาณิชย์ ตราสารหนี้ระยะสั้นต่างประเทศ</t>
  </si>
  <si>
    <t>SCB FOREIGN SHORT TERM FIXED INCOME</t>
  </si>
  <si>
    <t>MF0593/2558</t>
  </si>
  <si>
    <t>กองทุนเปิดไทยพาณิชย์เกษียณสุข (ตราสารหนี้)</t>
  </si>
  <si>
    <t>SCB RETIREMENT FIXED INCOME OPEN END FUND</t>
  </si>
  <si>
    <t>8/2540</t>
  </si>
  <si>
    <t>กองทุนเปิดไทยพาณิชย์ตราสารหนี้ระยะสั้นเพื่อการเลี้ยงชีพ</t>
  </si>
  <si>
    <t>SCB SHORT TERM FIXED INCOME RMF</t>
  </si>
  <si>
    <t>3/2545</t>
  </si>
  <si>
    <t>กองทุนเปิดไทยพาณิชย์พันธบัตรรัฐบาลเพื่อการเลี้ยงชีพ</t>
  </si>
  <si>
    <t>SCB GOVERNMENT BOND RMF</t>
  </si>
  <si>
    <t>4/2545</t>
  </si>
  <si>
    <t>กองทุนเปิดไทยพาณิชย์ตราสารหนี้ระยะสั้น</t>
  </si>
  <si>
    <t>SCB Short Term Fixed Income Fund</t>
  </si>
  <si>
    <t>4/2540</t>
  </si>
  <si>
    <t>กองทุนเปิดไทยพาณิชย์ตราสารหนี้ระยะสั้น พลัส</t>
  </si>
  <si>
    <t>SCB Short Term Fixed Income Plus Fund</t>
  </si>
  <si>
    <t>MF0730/2556</t>
  </si>
  <si>
    <t>SCBSFFPLUS-A</t>
  </si>
  <si>
    <t>กองทุนเปิดไทยพาณิชย์ตราสารหนี้ระยะสั้น พลัส (ชนิดหน่วยลงทุน A)</t>
  </si>
  <si>
    <t>SCB Short Term Fixed Income Plus Fund (CLASS A)</t>
  </si>
  <si>
    <t>SCBSFFPLUS-B</t>
  </si>
  <si>
    <t>กองทุนเปิดไทยพาณิชย์ตราสารหนี้ระยะสั้น พลัส (ชนิดหน่วยลงทุน B)</t>
  </si>
  <si>
    <t>SCB Short Term Fixed Income Plus Fund (CLASS B)</t>
  </si>
  <si>
    <t>SCBSFFPLUS-I</t>
  </si>
  <si>
    <t>กองทุนเปิดไทยพาณิชย์ตราสารหนี้ระยะสั้น พลัส (ชนิดหน่วยลงทุน I)</t>
  </si>
  <si>
    <t>SCB Short Term Fixed Income Plus Fund (CLASS I)</t>
  </si>
  <si>
    <t>SCBSFFPLUS-P</t>
  </si>
  <si>
    <t>กองทุนเปิดไทยพาณิชย์ตราสารหนี้ระยะสั้น พลัส (ชนิดหน่วยลงทุน P)</t>
  </si>
  <si>
    <t>SCB Short Term Fixed Income Plus Fund (CLASS P)</t>
  </si>
  <si>
    <t>กองทุนเปิดไทยพาณิชย์ตราสารรัฐตลาดเงิน</t>
  </si>
  <si>
    <t>SCB TREASURY MONEY OPEN END FUND</t>
  </si>
  <si>
    <t>272/2552</t>
  </si>
  <si>
    <t>กองทุนเปิดไทยพาณิชย์ตราสารรัฐตลาดเงิน พลัส</t>
  </si>
  <si>
    <t>SCB TREASURY MONEY PLUS OPEN END FUND</t>
  </si>
  <si>
    <t>Pawaret</t>
  </si>
  <si>
    <t>MF0557/2555</t>
  </si>
  <si>
    <t>SCBTMFPLUS-A</t>
  </si>
  <si>
    <t>กองทุนเปิดไทยพาณิชย์ตราสารรัฐตลาดเงิน พลัส (ชนิดหน่วยลงทุน A)</t>
  </si>
  <si>
    <t>SCB TREASURY MONEY PLUS OPEN END FUND (CLASS A)</t>
  </si>
  <si>
    <t>SCBTMFPLUS-B</t>
  </si>
  <si>
    <t>กองทุนเปิดไทยพาณิชย์ตราสารรัฐตลาดเงิน พลัส (ชนิดหน่วยลงทุน B)</t>
  </si>
  <si>
    <t>SCB TREASURY MONEY PLUS OPEN END FUND (CLASS B)</t>
  </si>
  <si>
    <t>SCBTMFPLUS-I</t>
  </si>
  <si>
    <t>กองทุนเปิดไทยพาณิชย์ตราสารรัฐตลาดเงิน พลัส (ชนิดหน่วยลงทุน I)</t>
  </si>
  <si>
    <t>SCB TREASURY MONEY PLUS OPEN END FUND (CLASS I)</t>
  </si>
  <si>
    <t>SCBTMFPLUS-P</t>
  </si>
  <si>
    <t>กองทุนเปิดไทยพาณิชย์ตราสารรัฐตลาดเงิน พลัส (ชนิดหน่วยลงทุน P)</t>
  </si>
  <si>
    <t>SCB TREASURY MONEY PLUS OPEN END FUND (CLASS P)</t>
  </si>
  <si>
    <t>NAV_AI</t>
  </si>
  <si>
    <t>RegistNo2</t>
  </si>
  <si>
    <t>NAV Date</t>
  </si>
  <si>
    <t>Possible Amount</t>
  </si>
  <si>
    <t>Cash/NAV</t>
  </si>
  <si>
    <t>Term Fund Maturity</t>
  </si>
  <si>
    <t>SCBAI6M60</t>
  </si>
  <si>
    <t>Initial Cah Intraday (T-1)</t>
  </si>
  <si>
    <t>Cah Intraday</t>
  </si>
  <si>
    <t>CB 14 Day Name</t>
  </si>
  <si>
    <t>Ref Col</t>
  </si>
  <si>
    <t>CB19117B</t>
  </si>
  <si>
    <t>Workbooks Procedure</t>
  </si>
  <si>
    <t>Term Fund Matuiry</t>
  </si>
  <si>
    <t>Possible Auction</t>
  </si>
  <si>
    <t>Saving T+1</t>
  </si>
  <si>
    <t>Cash for T+4</t>
  </si>
  <si>
    <t>CB Maturity Date</t>
  </si>
  <si>
    <t>3/6 Month</t>
  </si>
  <si>
    <t>F3MBOCMC160119</t>
  </si>
  <si>
    <t>FWEURTHB19116A</t>
  </si>
  <si>
    <t>/CIMBFIFL23OB</t>
  </si>
  <si>
    <t>/SCBFIFL23OB</t>
  </si>
  <si>
    <t>F3MBOCMC150119</t>
  </si>
  <si>
    <t>FWEURTHB19115A</t>
  </si>
  <si>
    <t>/CIMBFIFL23OA</t>
  </si>
  <si>
    <t>/SCBFIFL23OA</t>
  </si>
  <si>
    <t>ACCRUED DIVIDEND</t>
  </si>
  <si>
    <t>PAYMENT DATE :02/11/2018</t>
  </si>
  <si>
    <t>SCBFF1YK3</t>
  </si>
  <si>
    <t>SCBFF6MK2</t>
  </si>
  <si>
    <t>/KTBFIFL23OE</t>
  </si>
  <si>
    <t>/CIMBFIFL23OF</t>
  </si>
  <si>
    <t>/KTBFIFL23OD</t>
  </si>
  <si>
    <t>/CIMBFIFL23OE</t>
  </si>
  <si>
    <t>กองทุนเปิดไทยพาณิชย์ตราสารหนี้ เอไอ 6M60 ห้ามขายผู้ลงทุนรายย่อย</t>
  </si>
  <si>
    <t>SCB Fixed Income Fund 6M60 Not for Retail Investors</t>
  </si>
  <si>
    <t>MF0323/2561</t>
  </si>
  <si>
    <t>กองทุนเปิดไทยพาณิชย์ตราสารหนี้ต่างประเทศ 1YK2</t>
  </si>
  <si>
    <t>SCB Foreign Fixed Income Fund 1YK2</t>
  </si>
  <si>
    <t>MF0324/2561</t>
  </si>
  <si>
    <t>กองทุนเปิดไทยพาณิชย์ตราสารหนี้ต่างประเทศ 3MC6</t>
  </si>
  <si>
    <t>SCB Foreign Fixed Income Fund 3MC6</t>
  </si>
  <si>
    <t>MF0326/2561</t>
  </si>
  <si>
    <t>กองทุนเปิดไทยพาณิชย์ตราสารหนี้ต่างประเทศ 6MK1</t>
  </si>
  <si>
    <t>SCB Foreign Fixed Income Fund 6MK1</t>
  </si>
  <si>
    <t>MF0325/2561</t>
  </si>
  <si>
    <t>CB18N06A</t>
  </si>
  <si>
    <t>Intruments Maturity</t>
  </si>
  <si>
    <t>TRUE19715A</t>
  </si>
  <si>
    <t>TRUE19118A</t>
  </si>
  <si>
    <t>SCBGLOW</t>
  </si>
  <si>
    <t>Settle Date :25/10/2018</t>
  </si>
  <si>
    <t>FWTHBUSD18O25A</t>
  </si>
  <si>
    <t>FWUSDTHB19O24A</t>
  </si>
  <si>
    <t>SCBGLOWP</t>
  </si>
  <si>
    <t>RegistNo</t>
  </si>
  <si>
    <t>SCBUSHY</t>
  </si>
  <si>
    <t>CB19124B</t>
  </si>
  <si>
    <t>F3MBOCMC220119a</t>
  </si>
  <si>
    <t>FWEURTHB19122B</t>
  </si>
  <si>
    <t>FWEURTHB19122A</t>
  </si>
  <si>
    <t>TFFIF/U</t>
  </si>
  <si>
    <t>TFFIF</t>
  </si>
  <si>
    <t>๏ปฟSCB2566</t>
  </si>
  <si>
    <t>SCBFF1YK4</t>
  </si>
  <si>
    <t>SCBFF6MK3</t>
  </si>
  <si>
    <t>SCBST555B</t>
  </si>
  <si>
    <t>S</t>
  </si>
  <si>
    <t>BAHTNET</t>
  </si>
  <si>
    <t>G</t>
  </si>
  <si>
    <t>B</t>
  </si>
  <si>
    <t>F1+(tha)</t>
  </si>
  <si>
    <t>SIRI19122A</t>
  </si>
  <si>
    <t>AA(tha)</t>
  </si>
  <si>
    <t>BB+</t>
  </si>
  <si>
    <t>Settle Date :26/10/2018</t>
  </si>
  <si>
    <t>EXPENSE PENDING</t>
  </si>
  <si>
    <t>LB28DA</t>
  </si>
  <si>
    <t>LB26DA</t>
  </si>
  <si>
    <t>LB25DA</t>
  </si>
  <si>
    <t>LB196A</t>
  </si>
  <si>
    <t>LB236A</t>
  </si>
  <si>
    <t>Remark</t>
  </si>
  <si>
    <t>Note</t>
  </si>
  <si>
    <t>Fund that have Forward item have to adjust Deposit and coupon base on CRD transaction</t>
  </si>
  <si>
    <t>กองทุนเปิดไทยพาณิชย์ตราสารหนี้ต่างประเทศ 1YK3</t>
  </si>
  <si>
    <t>SCB Foreign Fixed Income Fund 1YK3</t>
  </si>
  <si>
    <t>MF0333/2561</t>
  </si>
  <si>
    <t>กองทุนเปิดไทยพาณิชย์ตราสารหนี้ต่างประเทศ 6MK2</t>
  </si>
  <si>
    <t>SCB Foreign Fixed Income Fund 6MK2</t>
  </si>
  <si>
    <t>MF0334/2561</t>
  </si>
  <si>
    <t>Cash Manipulate Recommend</t>
  </si>
  <si>
    <t>Term</t>
  </si>
  <si>
    <t>Principle</t>
  </si>
  <si>
    <t>RefCB</t>
  </si>
  <si>
    <t>Source: ThaiBMA</t>
  </si>
  <si>
    <t>Coupon</t>
  </si>
  <si>
    <t>Maturity</t>
  </si>
  <si>
    <t>TTM (Yrs.)</t>
  </si>
  <si>
    <t>Coupon Type</t>
  </si>
  <si>
    <t>TRIS</t>
  </si>
  <si>
    <t>FITCH</t>
  </si>
  <si>
    <t>Last Trade Date</t>
  </si>
  <si>
    <t>Last Exec.Yield %</t>
  </si>
  <si>
    <t>Quoted Date</t>
  </si>
  <si>
    <t>Quoted Yield</t>
  </si>
  <si>
    <t>Max</t>
  </si>
  <si>
    <t>Min</t>
  </si>
  <si>
    <t>Model Yield(%)</t>
  </si>
  <si>
    <t>Static Spread(bp)</t>
  </si>
  <si>
    <t>Market Yield(%)</t>
  </si>
  <si>
    <t>DM</t>
  </si>
  <si>
    <t>Clean Price %</t>
  </si>
  <si>
    <t>AI %</t>
  </si>
  <si>
    <t>Modified Duration*</t>
  </si>
  <si>
    <t>Convexity</t>
  </si>
  <si>
    <t>Currency</t>
  </si>
  <si>
    <t>Registration Status</t>
  </si>
  <si>
    <t>Index Ratio</t>
  </si>
  <si>
    <t>Government Bonds</t>
  </si>
  <si>
    <t>Straight</t>
  </si>
  <si>
    <t>Fixed</t>
  </si>
  <si>
    <t>-</t>
  </si>
  <si>
    <t>Registered</t>
  </si>
  <si>
    <t>ILB283A</t>
  </si>
  <si>
    <t>LB198A</t>
  </si>
  <si>
    <t>LB19DA</t>
  </si>
  <si>
    <t>LB213A</t>
  </si>
  <si>
    <t>LB214A</t>
  </si>
  <si>
    <t>LB22NA</t>
  </si>
  <si>
    <t>LB233A</t>
  </si>
  <si>
    <t>LB244A</t>
  </si>
  <si>
    <t>LB24DA</t>
  </si>
  <si>
    <t>LB267A</t>
  </si>
  <si>
    <t>LB27DA</t>
  </si>
  <si>
    <t>LB283A</t>
  </si>
  <si>
    <t>LB296A</t>
  </si>
  <si>
    <t>LB316A</t>
  </si>
  <si>
    <t>LB326A</t>
  </si>
  <si>
    <t>LB366A</t>
  </si>
  <si>
    <t>LB383A</t>
  </si>
  <si>
    <t>LB396A</t>
  </si>
  <si>
    <t>LB406A</t>
  </si>
  <si>
    <t>LB416A</t>
  </si>
  <si>
    <t>LB446A</t>
  </si>
  <si>
    <t>LB466A</t>
  </si>
  <si>
    <t>LB616A</t>
  </si>
  <si>
    <t>LB666A</t>
  </si>
  <si>
    <t>LB676A</t>
  </si>
  <si>
    <t>LBA37DA</t>
  </si>
  <si>
    <t>Amortization</t>
  </si>
  <si>
    <t>SB19DA</t>
  </si>
  <si>
    <t>SB20NA</t>
  </si>
  <si>
    <t>SB217A</t>
  </si>
  <si>
    <t>SB21NA</t>
  </si>
  <si>
    <t>SB225A</t>
  </si>
  <si>
    <t>SB235A</t>
  </si>
  <si>
    <t>SB23DA</t>
  </si>
  <si>
    <t>SB247A</t>
  </si>
  <si>
    <t>SB24NA</t>
  </si>
  <si>
    <t>SB25NA</t>
  </si>
  <si>
    <t>SB275A</t>
  </si>
  <si>
    <t>SB285A</t>
  </si>
  <si>
    <t>SBST215A</t>
  </si>
  <si>
    <t>SBST251A</t>
  </si>
  <si>
    <t>SBST265A</t>
  </si>
  <si>
    <t>State Agency Bonds</t>
  </si>
  <si>
    <t>BOT198A</t>
  </si>
  <si>
    <t>BOT202A</t>
  </si>
  <si>
    <t>Floated</t>
  </si>
  <si>
    <t>BOT205A</t>
  </si>
  <si>
    <t>BOT213A</t>
  </si>
  <si>
    <t>BOT219A</t>
  </si>
  <si>
    <t>CB18D06B</t>
  </si>
  <si>
    <t>CB19124A</t>
  </si>
  <si>
    <t>CB19207A</t>
  </si>
  <si>
    <t>CB19314B</t>
  </si>
  <si>
    <t>CB19418A</t>
  </si>
  <si>
    <t>Treasury Bonds</t>
  </si>
  <si>
    <t>TB19206A</t>
  </si>
  <si>
    <t>TB19327A</t>
  </si>
  <si>
    <t>TB19828A</t>
  </si>
  <si>
    <t>TB19904A</t>
  </si>
  <si>
    <t>TB19911A</t>
  </si>
  <si>
    <t>TB19918A</t>
  </si>
  <si>
    <t>TB19925A</t>
  </si>
  <si>
    <t>State Own Enterprise Bonds (Guaranteed)</t>
  </si>
  <si>
    <t>BAAC192A</t>
  </si>
  <si>
    <t>BAAC192B</t>
  </si>
  <si>
    <t>BAAC208A</t>
  </si>
  <si>
    <t>BAAC238A</t>
  </si>
  <si>
    <t>BAAC238B</t>
  </si>
  <si>
    <t>BMTA18DA</t>
  </si>
  <si>
    <t>BMTA18OA</t>
  </si>
  <si>
    <t>BMTA192A</t>
  </si>
  <si>
    <t>BMTA194A</t>
  </si>
  <si>
    <t>BMTA197A</t>
  </si>
  <si>
    <t>BMTA199A</t>
  </si>
  <si>
    <t>BMTA19DA</t>
  </si>
  <si>
    <t>BMTA19DB</t>
  </si>
  <si>
    <t>BMTA204A</t>
  </si>
  <si>
    <t>BMTA205A</t>
  </si>
  <si>
    <t>BMTA207A</t>
  </si>
  <si>
    <t>BMTA208A</t>
  </si>
  <si>
    <t>BMTA20DA</t>
  </si>
  <si>
    <t>BMTA211A</t>
  </si>
  <si>
    <t>BMTA216A</t>
  </si>
  <si>
    <t>BMTA216B</t>
  </si>
  <si>
    <t>BMTA217A</t>
  </si>
  <si>
    <t>BMTA21DA</t>
  </si>
  <si>
    <t>BMTA21OA</t>
  </si>
  <si>
    <t>BMTA21OB</t>
  </si>
  <si>
    <t>BMTA221A</t>
  </si>
  <si>
    <t>BMTA222A</t>
  </si>
  <si>
    <t>BMTA223A</t>
  </si>
  <si>
    <t>BMTA224A</t>
  </si>
  <si>
    <t>BMTA224B</t>
  </si>
  <si>
    <t>BMTA227A</t>
  </si>
  <si>
    <t>BMTA236A</t>
  </si>
  <si>
    <t>BMTA236B</t>
  </si>
  <si>
    <t>BMTA237A</t>
  </si>
  <si>
    <t>BMTA239A</t>
  </si>
  <si>
    <t>BMTA241A</t>
  </si>
  <si>
    <t>BMTA243A</t>
  </si>
  <si>
    <t>BMTA244A</t>
  </si>
  <si>
    <t>BMTA245A</t>
  </si>
  <si>
    <t>BMTA246A</t>
  </si>
  <si>
    <t>BMTA251A</t>
  </si>
  <si>
    <t>BMTA267A</t>
  </si>
  <si>
    <t>BMTA26NA</t>
  </si>
  <si>
    <t>BMTA314A</t>
  </si>
  <si>
    <t>BMTA367A</t>
  </si>
  <si>
    <t>EGAT208A</t>
  </si>
  <si>
    <t>ETA194A</t>
  </si>
  <si>
    <t>ETA203A</t>
  </si>
  <si>
    <t>ETA203B</t>
  </si>
  <si>
    <t>ETA203C</t>
  </si>
  <si>
    <t>ETA206A</t>
  </si>
  <si>
    <t>EXAT18NA</t>
  </si>
  <si>
    <t>EXAT203A</t>
  </si>
  <si>
    <t>EXAT206A</t>
  </si>
  <si>
    <t>EXAT215A</t>
  </si>
  <si>
    <t>EXAT215B</t>
  </si>
  <si>
    <t>EXAT215C</t>
  </si>
  <si>
    <t>EXAT233A</t>
  </si>
  <si>
    <t>GGLB193A</t>
  </si>
  <si>
    <t>GGLB197A</t>
  </si>
  <si>
    <t>GGLB20NA</t>
  </si>
  <si>
    <t>GGLB21NA</t>
  </si>
  <si>
    <t>GGLB226A</t>
  </si>
  <si>
    <t>GGLB235A</t>
  </si>
  <si>
    <t>GGLB262A</t>
  </si>
  <si>
    <t>GGLB266A</t>
  </si>
  <si>
    <t>GGLB27NA</t>
  </si>
  <si>
    <t>GGLB317A</t>
  </si>
  <si>
    <t>GGSB201A</t>
  </si>
  <si>
    <t>GHB18NA</t>
  </si>
  <si>
    <t>GHB193A</t>
  </si>
  <si>
    <t>GHB193B</t>
  </si>
  <si>
    <t>GHB195A</t>
  </si>
  <si>
    <t>GHB195B</t>
  </si>
  <si>
    <t>GHB197A</t>
  </si>
  <si>
    <t>GHB197B</t>
  </si>
  <si>
    <t>GHB198A</t>
  </si>
  <si>
    <t>GHB198B</t>
  </si>
  <si>
    <t>GHB198C</t>
  </si>
  <si>
    <t>GHB198D</t>
  </si>
  <si>
    <t>GHB198E</t>
  </si>
  <si>
    <t>GHB198F</t>
  </si>
  <si>
    <t>GHB199A</t>
  </si>
  <si>
    <t>GHB201A</t>
  </si>
  <si>
    <t>GHB202A</t>
  </si>
  <si>
    <t>GHB202B</t>
  </si>
  <si>
    <t>GHB204A</t>
  </si>
  <si>
    <t>GHB206A</t>
  </si>
  <si>
    <t>GHB207A</t>
  </si>
  <si>
    <t>GHB211A</t>
  </si>
  <si>
    <t>GHB217A</t>
  </si>
  <si>
    <t>GHB218A</t>
  </si>
  <si>
    <t>GHB219A</t>
  </si>
  <si>
    <t>GHB21NA</t>
  </si>
  <si>
    <t>GHB223A</t>
  </si>
  <si>
    <t>GHB223B</t>
  </si>
  <si>
    <t>GHB223C</t>
  </si>
  <si>
    <t>GHB225A</t>
  </si>
  <si>
    <t>GHB225B</t>
  </si>
  <si>
    <t>GHB225C</t>
  </si>
  <si>
    <t>GHB226A</t>
  </si>
  <si>
    <t>GHB228A</t>
  </si>
  <si>
    <t>GHB232A</t>
  </si>
  <si>
    <t>GHB239A</t>
  </si>
  <si>
    <t>GHB23DA</t>
  </si>
  <si>
    <t>GHB23NA</t>
  </si>
  <si>
    <t>GHB251A</t>
  </si>
  <si>
    <t>GHB252A</t>
  </si>
  <si>
    <t>GHB254A</t>
  </si>
  <si>
    <t>GHB256A</t>
  </si>
  <si>
    <t>GHB257A</t>
  </si>
  <si>
    <t>GHB25NA</t>
  </si>
  <si>
    <t>GHB269A</t>
  </si>
  <si>
    <t>GHB269B</t>
  </si>
  <si>
    <t>GSB222A</t>
  </si>
  <si>
    <t>NHA18NA</t>
  </si>
  <si>
    <t>NHA193A</t>
  </si>
  <si>
    <t>NHA198A</t>
  </si>
  <si>
    <t>NHA203A</t>
  </si>
  <si>
    <t>NHA213A</t>
  </si>
  <si>
    <t>NHA224A</t>
  </si>
  <si>
    <t>NHA228A</t>
  </si>
  <si>
    <t>NHA235A</t>
  </si>
  <si>
    <t>NHA238A</t>
  </si>
  <si>
    <t>PTT207A</t>
  </si>
  <si>
    <t>PWA194A</t>
  </si>
  <si>
    <t>PWA195A</t>
  </si>
  <si>
    <t>PWA196A</t>
  </si>
  <si>
    <t>PWA19NA</t>
  </si>
  <si>
    <t>PWA208A</t>
  </si>
  <si>
    <t>PWA212A</t>
  </si>
  <si>
    <t>PWA21OA</t>
  </si>
  <si>
    <t>PWA235A</t>
  </si>
  <si>
    <t>PWA239A</t>
  </si>
  <si>
    <t>PWA248A</t>
  </si>
  <si>
    <t>PWA24OA</t>
  </si>
  <si>
    <t>PWA263A</t>
  </si>
  <si>
    <t>PWA269A</t>
  </si>
  <si>
    <t>PWA279A</t>
  </si>
  <si>
    <t>PWA279B</t>
  </si>
  <si>
    <t>PWA279C</t>
  </si>
  <si>
    <t>PWA281A</t>
  </si>
  <si>
    <t>SRT197A</t>
  </si>
  <si>
    <t>SRT197B</t>
  </si>
  <si>
    <t>SRT198A</t>
  </si>
  <si>
    <t>SRT198B</t>
  </si>
  <si>
    <t>SRT199A</t>
  </si>
  <si>
    <t>SRT199B</t>
  </si>
  <si>
    <t>SRT199C</t>
  </si>
  <si>
    <t>SRT199D</t>
  </si>
  <si>
    <t>SRT203A</t>
  </si>
  <si>
    <t>SRT204A</t>
  </si>
  <si>
    <t>SRT204B</t>
  </si>
  <si>
    <t>SRT205A</t>
  </si>
  <si>
    <t>SRT205B</t>
  </si>
  <si>
    <t>SRT207A</t>
  </si>
  <si>
    <t>SRT208A</t>
  </si>
  <si>
    <t>SRT208B</t>
  </si>
  <si>
    <t>SRT209A</t>
  </si>
  <si>
    <t>SRT209B</t>
  </si>
  <si>
    <t>SRT209C</t>
  </si>
  <si>
    <t>SRT209D</t>
  </si>
  <si>
    <t>SRT216A</t>
  </si>
  <si>
    <t>SRT217A</t>
  </si>
  <si>
    <t>SRT219A</t>
  </si>
  <si>
    <t>SRT221A</t>
  </si>
  <si>
    <t>SRT223A</t>
  </si>
  <si>
    <t>SRT227A</t>
  </si>
  <si>
    <t>SRT228A</t>
  </si>
  <si>
    <t>SRT228B</t>
  </si>
  <si>
    <t>SRT229A</t>
  </si>
  <si>
    <t>SRT229B</t>
  </si>
  <si>
    <t>SRT22DA</t>
  </si>
  <si>
    <t>SRT234A</t>
  </si>
  <si>
    <t>SRT235A</t>
  </si>
  <si>
    <t>SRT237A</t>
  </si>
  <si>
    <t>SRT237B</t>
  </si>
  <si>
    <t>SRT238A</t>
  </si>
  <si>
    <t>SRT239A</t>
  </si>
  <si>
    <t>SRT239B</t>
  </si>
  <si>
    <t>SRT239C</t>
  </si>
  <si>
    <t>SRT244A</t>
  </si>
  <si>
    <t>SRT245A</t>
  </si>
  <si>
    <t>SRT248A</t>
  </si>
  <si>
    <t>SRT249A</t>
  </si>
  <si>
    <t>SRT249B</t>
  </si>
  <si>
    <t>SRT24NA</t>
  </si>
  <si>
    <t>SRT254A</t>
  </si>
  <si>
    <t>SRT259A</t>
  </si>
  <si>
    <t>SRT259B</t>
  </si>
  <si>
    <t>SRT278A</t>
  </si>
  <si>
    <t>SRT283A</t>
  </si>
  <si>
    <t>SRT298A</t>
  </si>
  <si>
    <t>SRT30DA</t>
  </si>
  <si>
    <t>SRT316A</t>
  </si>
  <si>
    <t>State Own Enterprise Bonds (Non Guaranteed)</t>
  </si>
  <si>
    <t>EGAT193A</t>
  </si>
  <si>
    <t>EGAT194A</t>
  </si>
  <si>
    <t>EGAT194B</t>
  </si>
  <si>
    <t>EGAT197A</t>
  </si>
  <si>
    <t>EGAT198A</t>
  </si>
  <si>
    <t>EGAT198B</t>
  </si>
  <si>
    <t>EGAT198C</t>
  </si>
  <si>
    <t>EGAT205A</t>
  </si>
  <si>
    <t>EGAT207A</t>
  </si>
  <si>
    <t>EGAT208B</t>
  </si>
  <si>
    <t>EGAT209A</t>
  </si>
  <si>
    <t>EGAT209B</t>
  </si>
  <si>
    <t>EGAT213A</t>
  </si>
  <si>
    <t>EGAT214A</t>
  </si>
  <si>
    <t>EGAT217A</t>
  </si>
  <si>
    <t>EGAT218A</t>
  </si>
  <si>
    <t>EGAT218B</t>
  </si>
  <si>
    <t>EGAT218C</t>
  </si>
  <si>
    <t>EGAT228A</t>
  </si>
  <si>
    <t>EGAT229B</t>
  </si>
  <si>
    <t>EGAT229C</t>
  </si>
  <si>
    <t>EGAT233A</t>
  </si>
  <si>
    <t>EGAT233B</t>
  </si>
  <si>
    <t>EGAT235A</t>
  </si>
  <si>
    <t>EGAT236A</t>
  </si>
  <si>
    <t>EGAT238A</t>
  </si>
  <si>
    <t>EGAT242A</t>
  </si>
  <si>
    <t>EGAT244A</t>
  </si>
  <si>
    <t>EGAT246A</t>
  </si>
  <si>
    <t>EGAT247A</t>
  </si>
  <si>
    <t>EGAT247B</t>
  </si>
  <si>
    <t>EGAT248A</t>
  </si>
  <si>
    <t>EGAT248B</t>
  </si>
  <si>
    <t>EGAT253A</t>
  </si>
  <si>
    <t>EGAT262A</t>
  </si>
  <si>
    <t>EGAT269A</t>
  </si>
  <si>
    <t>EGAT283A</t>
  </si>
  <si>
    <t>EGAT283B</t>
  </si>
  <si>
    <t>EGAT289A</t>
  </si>
  <si>
    <t>EGAT315A</t>
  </si>
  <si>
    <t>EGAT332A</t>
  </si>
  <si>
    <t>EGAT336A</t>
  </si>
  <si>
    <t>EGAT337A</t>
  </si>
  <si>
    <t>EGAT339A</t>
  </si>
  <si>
    <t>EGAT377A</t>
  </si>
  <si>
    <t>EGAT382A</t>
  </si>
  <si>
    <t>EGAT386A</t>
  </si>
  <si>
    <t>GHB193C</t>
  </si>
  <si>
    <t>GHB195C</t>
  </si>
  <si>
    <t>GHB197C</t>
  </si>
  <si>
    <t>GHB203A</t>
  </si>
  <si>
    <t>GHB209A</t>
  </si>
  <si>
    <t>GHB20DA</t>
  </si>
  <si>
    <t>GHB213A</t>
  </si>
  <si>
    <t>GHB214A</t>
  </si>
  <si>
    <t>GHB215A</t>
  </si>
  <si>
    <t>GHB217B</t>
  </si>
  <si>
    <t>GHB219B</t>
  </si>
  <si>
    <t>GHB226B</t>
  </si>
  <si>
    <t>GHB22DA</t>
  </si>
  <si>
    <t>GHB234A</t>
  </si>
  <si>
    <t>GHB236A</t>
  </si>
  <si>
    <t>GHB258A</t>
  </si>
  <si>
    <t>GHB263A</t>
  </si>
  <si>
    <t>GHB27DA</t>
  </si>
  <si>
    <t>GHB284A</t>
  </si>
  <si>
    <t>GHB289A</t>
  </si>
  <si>
    <t>GHB304A</t>
  </si>
  <si>
    <t>GHB306A</t>
  </si>
  <si>
    <t>GHB315A</t>
  </si>
  <si>
    <t>GHB317A</t>
  </si>
  <si>
    <t>GHB32DA</t>
  </si>
  <si>
    <t>GHB334A</t>
  </si>
  <si>
    <t>MEA196A</t>
  </si>
  <si>
    <t>MEA199A</t>
  </si>
  <si>
    <t>MEA19OA</t>
  </si>
  <si>
    <t>MEA208A</t>
  </si>
  <si>
    <t>MEA21OA</t>
  </si>
  <si>
    <t>MEA224A</t>
  </si>
  <si>
    <t>MEA225A</t>
  </si>
  <si>
    <t>MEA229A</t>
  </si>
  <si>
    <t>MEA22OA</t>
  </si>
  <si>
    <t>MEA237A</t>
  </si>
  <si>
    <t>MEA238A</t>
  </si>
  <si>
    <t>MEA238B</t>
  </si>
  <si>
    <t>MEA239A</t>
  </si>
  <si>
    <t>MEA239B</t>
  </si>
  <si>
    <t>MEA23OA</t>
  </si>
  <si>
    <t>MEA247A</t>
  </si>
  <si>
    <t>MEA249A</t>
  </si>
  <si>
    <t>MEA249B</t>
  </si>
  <si>
    <t>MEA249C</t>
  </si>
  <si>
    <t>MEA259A</t>
  </si>
  <si>
    <t>MEA259B</t>
  </si>
  <si>
    <t>MEA269A</t>
  </si>
  <si>
    <t>MEA279A</t>
  </si>
  <si>
    <t>MEA279B</t>
  </si>
  <si>
    <t>MEA289A</t>
  </si>
  <si>
    <t>MEA299A</t>
  </si>
  <si>
    <t>MEA309A</t>
  </si>
  <si>
    <t>PEA195A</t>
  </si>
  <si>
    <t>PEA196A</t>
  </si>
  <si>
    <t>PEA197A</t>
  </si>
  <si>
    <t>PEA199A</t>
  </si>
  <si>
    <t>PEA19NA</t>
  </si>
  <si>
    <t>PEA201A</t>
  </si>
  <si>
    <t>PEA206A</t>
  </si>
  <si>
    <t>PEA208A</t>
  </si>
  <si>
    <t>PEA209A</t>
  </si>
  <si>
    <t>PEA215A</t>
  </si>
  <si>
    <t>PEA217A</t>
  </si>
  <si>
    <t>PEA219A</t>
  </si>
  <si>
    <t>PEA21DA</t>
  </si>
  <si>
    <t>PEA225A</t>
  </si>
  <si>
    <t>PEA226A</t>
  </si>
  <si>
    <t>PEA227A</t>
  </si>
  <si>
    <t>PEA228A</t>
  </si>
  <si>
    <t>PEA232A</t>
  </si>
  <si>
    <t>PEA232B</t>
  </si>
  <si>
    <t>PEA235A</t>
  </si>
  <si>
    <t>PEA237A</t>
  </si>
  <si>
    <t>PEA238A</t>
  </si>
  <si>
    <t>PEA239A</t>
  </si>
  <si>
    <t>PEA246A</t>
  </si>
  <si>
    <t>PEA249A</t>
  </si>
  <si>
    <t>PEA24NA</t>
  </si>
  <si>
    <t>PEA253A</t>
  </si>
  <si>
    <t>PEA256A</t>
  </si>
  <si>
    <t>PEA25DA</t>
  </si>
  <si>
    <t>PEA264A</t>
  </si>
  <si>
    <t>PEA266A</t>
  </si>
  <si>
    <t>PEA275A</t>
  </si>
  <si>
    <t>PEA275B</t>
  </si>
  <si>
    <t>PEA276A</t>
  </si>
  <si>
    <t>PEA279A</t>
  </si>
  <si>
    <t>PEA287A</t>
  </si>
  <si>
    <t>PEA28OA</t>
  </si>
  <si>
    <t>PEA299A</t>
  </si>
  <si>
    <t>PEA303A</t>
  </si>
  <si>
    <t>PEA314A</t>
  </si>
  <si>
    <t>PEA355A</t>
  </si>
  <si>
    <t>PEA408A</t>
  </si>
  <si>
    <t>PWA213A</t>
  </si>
  <si>
    <t>PWA22OA</t>
  </si>
  <si>
    <t>PWA235B</t>
  </si>
  <si>
    <t>PWA239B</t>
  </si>
  <si>
    <t>SMCT19OA</t>
  </si>
  <si>
    <t>SMCT20NA</t>
  </si>
  <si>
    <t>SMCT216A</t>
  </si>
  <si>
    <t>SMCT21OA</t>
  </si>
  <si>
    <t>SMCT236A</t>
  </si>
  <si>
    <t>SMCT238A</t>
  </si>
  <si>
    <t>SMCT23OA</t>
  </si>
  <si>
    <t>SME218A</t>
  </si>
  <si>
    <t>Corporate Bonds</t>
  </si>
  <si>
    <t>A194A</t>
  </si>
  <si>
    <t>A197A</t>
  </si>
  <si>
    <t>A201A</t>
  </si>
  <si>
    <t>A204A</t>
  </si>
  <si>
    <t>A20OA</t>
  </si>
  <si>
    <t>A214A</t>
  </si>
  <si>
    <t>A214B</t>
  </si>
  <si>
    <t>A21OA</t>
  </si>
  <si>
    <t>ABPSPV234A</t>
  </si>
  <si>
    <t>ABPSPV244A</t>
  </si>
  <si>
    <t>ABPSPV264A</t>
  </si>
  <si>
    <t>ABPSPV274A</t>
  </si>
  <si>
    <t>ABPSPV284A</t>
  </si>
  <si>
    <t>ABPSPV294A</t>
  </si>
  <si>
    <t>ABPSPV304A</t>
  </si>
  <si>
    <t>ABPSPV324A</t>
  </si>
  <si>
    <t>ACAP193A</t>
  </si>
  <si>
    <t>ACAP196A</t>
  </si>
  <si>
    <t>ACAP19OA</t>
  </si>
  <si>
    <t>ACAP202A</t>
  </si>
  <si>
    <t>ACAP207A</t>
  </si>
  <si>
    <t>ACAP209A</t>
  </si>
  <si>
    <t>ACC20OA</t>
  </si>
  <si>
    <t>AEON192A</t>
  </si>
  <si>
    <t>AEON197A</t>
  </si>
  <si>
    <t>AEON19DA</t>
  </si>
  <si>
    <t>AEON208A</t>
  </si>
  <si>
    <t>AEON209A</t>
  </si>
  <si>
    <t>AEON209B</t>
  </si>
  <si>
    <t>AEON20DA</t>
  </si>
  <si>
    <t>AEON21DA</t>
  </si>
  <si>
    <t>AEON22DA</t>
  </si>
  <si>
    <t>AH196A</t>
  </si>
  <si>
    <t>AH20OA</t>
  </si>
  <si>
    <t>AH219A</t>
  </si>
  <si>
    <t>AH237A</t>
  </si>
  <si>
    <t>ALL19OA</t>
  </si>
  <si>
    <t>ALL205A</t>
  </si>
  <si>
    <t>ALL20OA</t>
  </si>
  <si>
    <t>AMATA22OA</t>
  </si>
  <si>
    <t>AMATA24OA</t>
  </si>
  <si>
    <t>AMATA258A</t>
  </si>
  <si>
    <t>AMATA288A</t>
  </si>
  <si>
    <t>ANAN15PA</t>
  </si>
  <si>
    <t>ANAN16PA</t>
  </si>
  <si>
    <t>ANAN17PA</t>
  </si>
  <si>
    <t>ANAN17PB</t>
  </si>
  <si>
    <t>ANAN18PA</t>
  </si>
  <si>
    <t>ANAN18PB</t>
  </si>
  <si>
    <t>ANAN19OA</t>
  </si>
  <si>
    <t>ANAN19OB</t>
  </si>
  <si>
    <t>ANAN204A</t>
  </si>
  <si>
    <t>ANAN205A</t>
  </si>
  <si>
    <t>ANAN20OA</t>
  </si>
  <si>
    <t>ANAN21OA</t>
  </si>
  <si>
    <t>ANAN222A</t>
  </si>
  <si>
    <t>AP191A</t>
  </si>
  <si>
    <t>AP191B</t>
  </si>
  <si>
    <t>AP191C</t>
  </si>
  <si>
    <t>AP197A</t>
  </si>
  <si>
    <t>AP197B</t>
  </si>
  <si>
    <t>AP201A</t>
  </si>
  <si>
    <t>AP203A</t>
  </si>
  <si>
    <t>AP207A</t>
  </si>
  <si>
    <t>AP212A</t>
  </si>
  <si>
    <t>AP214A</t>
  </si>
  <si>
    <t>AP217A</t>
  </si>
  <si>
    <t>AP218A</t>
  </si>
  <si>
    <t>AP221A</t>
  </si>
  <si>
    <t>AP222A</t>
  </si>
  <si>
    <t>AP228A</t>
  </si>
  <si>
    <t>AP228B</t>
  </si>
  <si>
    <t>APEX202A</t>
  </si>
  <si>
    <t>AQUA199A</t>
  </si>
  <si>
    <t>ASAHI197A</t>
  </si>
  <si>
    <t>ASK192A</t>
  </si>
  <si>
    <t>ASK192B</t>
  </si>
  <si>
    <t>ASK193A</t>
  </si>
  <si>
    <t>ASK193B</t>
  </si>
  <si>
    <t>ASK194A</t>
  </si>
  <si>
    <t>ASK196A</t>
  </si>
  <si>
    <t>ASK197A</t>
  </si>
  <si>
    <t>ASK198A</t>
  </si>
  <si>
    <t>ASK202A</t>
  </si>
  <si>
    <t>ASK205A</t>
  </si>
  <si>
    <t>ASK206A</t>
  </si>
  <si>
    <t>ASK207A</t>
  </si>
  <si>
    <t>ASK208A</t>
  </si>
  <si>
    <t>ASK209A</t>
  </si>
  <si>
    <t>ASK212A</t>
  </si>
  <si>
    <t>ASK213A</t>
  </si>
  <si>
    <t>AWN194A</t>
  </si>
  <si>
    <t>AWN194B</t>
  </si>
  <si>
    <t>AWN214A</t>
  </si>
  <si>
    <t>AWN235A</t>
  </si>
  <si>
    <t>AWN244A</t>
  </si>
  <si>
    <t>AWN244B</t>
  </si>
  <si>
    <t>AWN265A</t>
  </si>
  <si>
    <t>AWN27NA</t>
  </si>
  <si>
    <t>AYCAL191A</t>
  </si>
  <si>
    <t>AYCAL207A</t>
  </si>
  <si>
    <t>BAM18DA</t>
  </si>
  <si>
    <t>BAM18DB</t>
  </si>
  <si>
    <t>BAM193A</t>
  </si>
  <si>
    <t>BAM19DA</t>
  </si>
  <si>
    <t>BAM19DB</t>
  </si>
  <si>
    <t>BAM206A</t>
  </si>
  <si>
    <t>BAM216A</t>
  </si>
  <si>
    <t>BAM219A</t>
  </si>
  <si>
    <t>BAM226A</t>
  </si>
  <si>
    <t>BAM239A</t>
  </si>
  <si>
    <t>BAM23DA</t>
  </si>
  <si>
    <t>BAM246A</t>
  </si>
  <si>
    <t>BAM256A</t>
  </si>
  <si>
    <t>BAM259A</t>
  </si>
  <si>
    <t>BAM276A</t>
  </si>
  <si>
    <t>BAM279A</t>
  </si>
  <si>
    <t>BAM286A</t>
  </si>
  <si>
    <t>BANPU207A</t>
  </si>
  <si>
    <t>BANPU225A</t>
  </si>
  <si>
    <t>BANPU22NA</t>
  </si>
  <si>
    <t>BANPU234A</t>
  </si>
  <si>
    <t>BANPU257A</t>
  </si>
  <si>
    <t>BANPU25NA</t>
  </si>
  <si>
    <t>BANPU264A</t>
  </si>
  <si>
    <t>BANPU27NA</t>
  </si>
  <si>
    <t>BAY19OA</t>
  </si>
  <si>
    <t>BAY203A</t>
  </si>
  <si>
    <t>BAY272A</t>
  </si>
  <si>
    <t>BAY27NA</t>
  </si>
  <si>
    <t>BAY27NB</t>
  </si>
  <si>
    <t>BCP194A</t>
  </si>
  <si>
    <t>BCP194B</t>
  </si>
  <si>
    <t>BCP208A</t>
  </si>
  <si>
    <t>BCP214A</t>
  </si>
  <si>
    <t>BCP224A</t>
  </si>
  <si>
    <t>BCP238A</t>
  </si>
  <si>
    <t>BCP244A</t>
  </si>
  <si>
    <t>BCP258A</t>
  </si>
  <si>
    <t>BCP273A</t>
  </si>
  <si>
    <t>BCP303A</t>
  </si>
  <si>
    <t>BDMS202A</t>
  </si>
  <si>
    <t>BDMS205A</t>
  </si>
  <si>
    <t>BDMS222A</t>
  </si>
  <si>
    <t>BDMS228A</t>
  </si>
  <si>
    <t>BDMS228B</t>
  </si>
  <si>
    <t>BDMS233A</t>
  </si>
  <si>
    <t>BDMS235A</t>
  </si>
  <si>
    <t>BDMS242A</t>
  </si>
  <si>
    <t>BDMS256A</t>
  </si>
  <si>
    <t>BDMS266A</t>
  </si>
  <si>
    <t>BEC225A</t>
  </si>
  <si>
    <t>BEM214A</t>
  </si>
  <si>
    <t>BEM236A</t>
  </si>
  <si>
    <t>BEM249A</t>
  </si>
  <si>
    <t>BEM254A</t>
  </si>
  <si>
    <t>BEM25OA</t>
  </si>
  <si>
    <t>BEM266A</t>
  </si>
  <si>
    <t>BEM27OA</t>
  </si>
  <si>
    <t>BEM286A</t>
  </si>
  <si>
    <t>BEM286B</t>
  </si>
  <si>
    <t>BGRIM20OA</t>
  </si>
  <si>
    <t>BGRIM21OA</t>
  </si>
  <si>
    <t>BGRIM23OA</t>
  </si>
  <si>
    <t>BGRIM28OA</t>
  </si>
  <si>
    <t>BH21DA</t>
  </si>
  <si>
    <t>BIPA335A</t>
  </si>
  <si>
    <t>BIPB335A</t>
  </si>
  <si>
    <t>BJC213A</t>
  </si>
  <si>
    <t>BJC21DA</t>
  </si>
  <si>
    <t>BJC23DA</t>
  </si>
  <si>
    <t>BJC25DA</t>
  </si>
  <si>
    <t>BJC269A</t>
  </si>
  <si>
    <t>BJC26DA</t>
  </si>
  <si>
    <t>BJC273A</t>
  </si>
  <si>
    <t>BMUL218A</t>
  </si>
  <si>
    <t>BOBAE198A</t>
  </si>
  <si>
    <t>BPK196A</t>
  </si>
  <si>
    <t>Mark-to-Market</t>
  </si>
  <si>
    <t>BTG18NA</t>
  </si>
  <si>
    <t>BTG205A</t>
  </si>
  <si>
    <t>BTG247A</t>
  </si>
  <si>
    <t>BTSC21NA</t>
  </si>
  <si>
    <t>BTSC23NA</t>
  </si>
  <si>
    <t>BTSC26NA</t>
  </si>
  <si>
    <t>BTSG22DA</t>
  </si>
  <si>
    <t>BTSG239A</t>
  </si>
  <si>
    <t>BTSG27DA</t>
  </si>
  <si>
    <t>BTSG289A</t>
  </si>
  <si>
    <t>BTSG29DA</t>
  </si>
  <si>
    <t>CBG216A</t>
  </si>
  <si>
    <t>CBG216B</t>
  </si>
  <si>
    <t>CCP195A</t>
  </si>
  <si>
    <t>CENTEL18NA</t>
  </si>
  <si>
    <t>CENTEL203A</t>
  </si>
  <si>
    <t>CENTEL218A</t>
  </si>
  <si>
    <t>CENTEL229A</t>
  </si>
  <si>
    <t>CENTEL239A</t>
  </si>
  <si>
    <t>CENTEL269A</t>
  </si>
  <si>
    <t>CFRESH20NA</t>
  </si>
  <si>
    <t>CFRESH215A</t>
  </si>
  <si>
    <t>CGD203A</t>
  </si>
  <si>
    <t>CGD206A</t>
  </si>
  <si>
    <t>CGD20OA</t>
  </si>
  <si>
    <t>CGH206A</t>
  </si>
  <si>
    <t>CHO18DA</t>
  </si>
  <si>
    <t>CHO209A</t>
  </si>
  <si>
    <t>CHOW192A</t>
  </si>
  <si>
    <t>CHOW20NA</t>
  </si>
  <si>
    <t>CI195A</t>
  </si>
  <si>
    <t>CI198A</t>
  </si>
  <si>
    <t>CI204A</t>
  </si>
  <si>
    <t>CI212A</t>
  </si>
  <si>
    <t>CI218A</t>
  </si>
  <si>
    <t>CK193B</t>
  </si>
  <si>
    <t>CK197A</t>
  </si>
  <si>
    <t>CK198A</t>
  </si>
  <si>
    <t>CK215A</t>
  </si>
  <si>
    <t>CK225A</t>
  </si>
  <si>
    <t>CK227A</t>
  </si>
  <si>
    <t>CK235A</t>
  </si>
  <si>
    <t>CK235B</t>
  </si>
  <si>
    <t>CK245A</t>
  </si>
  <si>
    <t>CK246A</t>
  </si>
  <si>
    <t>CK247A</t>
  </si>
  <si>
    <t>CK25NA</t>
  </si>
  <si>
    <t>CK267A</t>
  </si>
  <si>
    <t>CK275A</t>
  </si>
  <si>
    <t>CK277A</t>
  </si>
  <si>
    <t>CK27NA</t>
  </si>
  <si>
    <t>CK27NB</t>
  </si>
  <si>
    <t>CK27NC</t>
  </si>
  <si>
    <t>CK283A</t>
  </si>
  <si>
    <t>CK287A</t>
  </si>
  <si>
    <t>CK295A</t>
  </si>
  <si>
    <t>CKP286A</t>
  </si>
  <si>
    <t>CMC196A</t>
  </si>
  <si>
    <t>COLT18NA</t>
  </si>
  <si>
    <t>CPALL16PA</t>
  </si>
  <si>
    <t>BBB(tha)</t>
  </si>
  <si>
    <t>CPALL17PA</t>
  </si>
  <si>
    <t>CPALL18OA</t>
  </si>
  <si>
    <t>CPALL206A</t>
  </si>
  <si>
    <t>CPALL213A</t>
  </si>
  <si>
    <t>CPALL213B</t>
  </si>
  <si>
    <t>CPALL218B</t>
  </si>
  <si>
    <t>CPALL226A</t>
  </si>
  <si>
    <t>CPALL22NA</t>
  </si>
  <si>
    <t>CPALL238A</t>
  </si>
  <si>
    <t>CPALL23OA</t>
  </si>
  <si>
    <t>CPALL23OB</t>
  </si>
  <si>
    <t>CPALL243A</t>
  </si>
  <si>
    <t>CPALL243B</t>
  </si>
  <si>
    <t>CPALL248B</t>
  </si>
  <si>
    <t>CPALL256A</t>
  </si>
  <si>
    <t>CPALL263A</t>
  </si>
  <si>
    <t>CPALL268A</t>
  </si>
  <si>
    <t>CPALL26DA</t>
  </si>
  <si>
    <t>CPALL278A</t>
  </si>
  <si>
    <t>CPALL27NA</t>
  </si>
  <si>
    <t>CPALL283A</t>
  </si>
  <si>
    <t>CPALL288A</t>
  </si>
  <si>
    <t>CPALL293A</t>
  </si>
  <si>
    <t>CPF17PA</t>
  </si>
  <si>
    <t>CPF218A</t>
  </si>
  <si>
    <t>CPF237A</t>
  </si>
  <si>
    <t>CPF257A</t>
  </si>
  <si>
    <t>CPF277A</t>
  </si>
  <si>
    <t>CPF281A</t>
  </si>
  <si>
    <t>CPF314A</t>
  </si>
  <si>
    <t>CPF328A</t>
  </si>
  <si>
    <t>CPF418A</t>
  </si>
  <si>
    <t>CPF41DA</t>
  </si>
  <si>
    <t>CPFTH215A</t>
  </si>
  <si>
    <t>CPFTH245A</t>
  </si>
  <si>
    <t>CPFTH261A</t>
  </si>
  <si>
    <t>CPFTH267A</t>
  </si>
  <si>
    <t>CPFTH281A</t>
  </si>
  <si>
    <t>CPFTH287A</t>
  </si>
  <si>
    <t>CPFTH305A</t>
  </si>
  <si>
    <t>CPFTH317A</t>
  </si>
  <si>
    <t>CPFTH335A</t>
  </si>
  <si>
    <t>CPN218A</t>
  </si>
  <si>
    <t>CPN21DA</t>
  </si>
  <si>
    <t>CPN21OA</t>
  </si>
  <si>
    <t>CPN221A</t>
  </si>
  <si>
    <t>CPN228A</t>
  </si>
  <si>
    <t>CPN22DA</t>
  </si>
  <si>
    <t>CPN258A</t>
  </si>
  <si>
    <t>CPNREIT218A</t>
  </si>
  <si>
    <t>CPNREIT288A</t>
  </si>
  <si>
    <t>CWT18NA</t>
  </si>
  <si>
    <t>CWT205A</t>
  </si>
  <si>
    <t>CWTTH201A</t>
  </si>
  <si>
    <t>CWTTH209A</t>
  </si>
  <si>
    <t>DA192A</t>
  </si>
  <si>
    <t>DA202A</t>
  </si>
  <si>
    <t>DA202B</t>
  </si>
  <si>
    <t>DA203A</t>
  </si>
  <si>
    <t>DA208A</t>
  </si>
  <si>
    <t>DA208B</t>
  </si>
  <si>
    <t>DA20NA</t>
  </si>
  <si>
    <t>DA212A</t>
  </si>
  <si>
    <t>DA213A</t>
  </si>
  <si>
    <t>DA218A</t>
  </si>
  <si>
    <t>DA226A</t>
  </si>
  <si>
    <t>DA228A</t>
  </si>
  <si>
    <t>DA22NA</t>
  </si>
  <si>
    <t>DA22NB</t>
  </si>
  <si>
    <t>DAD20NA</t>
  </si>
  <si>
    <t>AAA(sf)</t>
  </si>
  <si>
    <t>AAAsf(tha)</t>
  </si>
  <si>
    <t>DAD20NB</t>
  </si>
  <si>
    <t>DAD25NA</t>
  </si>
  <si>
    <t>DAD25NB</t>
  </si>
  <si>
    <t>DAD25NC</t>
  </si>
  <si>
    <t>DMT18NA</t>
  </si>
  <si>
    <t>DMT19DA</t>
  </si>
  <si>
    <t>DMT20DA</t>
  </si>
  <si>
    <t>DRACO198A</t>
  </si>
  <si>
    <t>DTC219A</t>
  </si>
  <si>
    <t>DTN197A</t>
  </si>
  <si>
    <t>DTN213A</t>
  </si>
  <si>
    <t>DTN217A</t>
  </si>
  <si>
    <t>DTN227A</t>
  </si>
  <si>
    <t>DTN237A</t>
  </si>
  <si>
    <t>DTN244A</t>
  </si>
  <si>
    <t>DTN257A</t>
  </si>
  <si>
    <t>DTN267A</t>
  </si>
  <si>
    <t>DTN274A</t>
  </si>
  <si>
    <t>DTN279A</t>
  </si>
  <si>
    <t>DTN299A</t>
  </si>
  <si>
    <t>EA197A</t>
  </si>
  <si>
    <t>EA207A</t>
  </si>
  <si>
    <t>EASTW256A</t>
  </si>
  <si>
    <t>EB192A</t>
  </si>
  <si>
    <t>EB199B</t>
  </si>
  <si>
    <t>EB203A</t>
  </si>
  <si>
    <t>EB209A</t>
  </si>
  <si>
    <t>EB20OA</t>
  </si>
  <si>
    <t>EB212A</t>
  </si>
  <si>
    <t>EB214A</t>
  </si>
  <si>
    <t>EB21NA</t>
  </si>
  <si>
    <t>EB223A</t>
  </si>
  <si>
    <t>EB239A</t>
  </si>
  <si>
    <t>EB246A</t>
  </si>
  <si>
    <t>ECF208A</t>
  </si>
  <si>
    <t>ECL20OA</t>
  </si>
  <si>
    <t>EP194A</t>
  </si>
  <si>
    <t>EP199A</t>
  </si>
  <si>
    <t>EP204A</t>
  </si>
  <si>
    <t>EP209A</t>
  </si>
  <si>
    <t>EP214A</t>
  </si>
  <si>
    <t>EP219A</t>
  </si>
  <si>
    <t>EPCO196A</t>
  </si>
  <si>
    <t>EPCO206A</t>
  </si>
  <si>
    <t>EPCO216A</t>
  </si>
  <si>
    <t>FCAP198A</t>
  </si>
  <si>
    <t>FIRST206A</t>
  </si>
  <si>
    <t>FNS202A</t>
  </si>
  <si>
    <t>FNS20NA</t>
  </si>
  <si>
    <t>FNS214A</t>
  </si>
  <si>
    <t>FNS21NA</t>
  </si>
  <si>
    <t>FNS221A</t>
  </si>
  <si>
    <t>FNS22OA</t>
  </si>
  <si>
    <t>FNS231A</t>
  </si>
  <si>
    <t>FP19OA</t>
  </si>
  <si>
    <t>FPHT213A</t>
  </si>
  <si>
    <t>FPHT228A</t>
  </si>
  <si>
    <t>FPHT233A</t>
  </si>
  <si>
    <t>FPHT24DA</t>
  </si>
  <si>
    <t>FPHT283A</t>
  </si>
  <si>
    <t>FPHT288A</t>
  </si>
  <si>
    <t>GCAP194A</t>
  </si>
  <si>
    <t>GCAP198A</t>
  </si>
  <si>
    <t>GCAP202A</t>
  </si>
  <si>
    <t>GCAP206A</t>
  </si>
  <si>
    <t>GCAP20NA</t>
  </si>
  <si>
    <t>GHM18DA</t>
  </si>
  <si>
    <t>GHM191A</t>
  </si>
  <si>
    <t>GHM191B</t>
  </si>
  <si>
    <t>GL199A</t>
  </si>
  <si>
    <t>GLAND209A</t>
  </si>
  <si>
    <t>GLAND20NA</t>
  </si>
  <si>
    <t>GLAND20NB</t>
  </si>
  <si>
    <t>GLAND215A</t>
  </si>
  <si>
    <t>GLAND224A</t>
  </si>
  <si>
    <t>GLOBAL217A</t>
  </si>
  <si>
    <t>GLOW18NA</t>
  </si>
  <si>
    <t>GLOW194A</t>
  </si>
  <si>
    <t>GLOW218A</t>
  </si>
  <si>
    <t>GLOW259A</t>
  </si>
  <si>
    <t>GLOW265A</t>
  </si>
  <si>
    <t>GOLD205A</t>
  </si>
  <si>
    <t>GOLD208A</t>
  </si>
  <si>
    <t>GOLD232A</t>
  </si>
  <si>
    <t>GPSC249A</t>
  </si>
  <si>
    <t>GRAND18DA</t>
  </si>
  <si>
    <t>GRAND192A</t>
  </si>
  <si>
    <t>GRAND195A</t>
  </si>
  <si>
    <t>GRAND19OA</t>
  </si>
  <si>
    <t>GRAND201A</t>
  </si>
  <si>
    <t>GRAND203A</t>
  </si>
  <si>
    <t>GRAND206A</t>
  </si>
  <si>
    <t>GRAND20OA</t>
  </si>
  <si>
    <t>GRAND216A</t>
  </si>
  <si>
    <t>GUNKUL19OA</t>
  </si>
  <si>
    <t>GUNKUL19OB</t>
  </si>
  <si>
    <t>GUNKUL205A</t>
  </si>
  <si>
    <t>GUNKUL214A</t>
  </si>
  <si>
    <t>GVREIT274A</t>
  </si>
  <si>
    <t>HEMRAJ19OA</t>
  </si>
  <si>
    <t>HEMRAJ217A</t>
  </si>
  <si>
    <t>HEMRAJ222A</t>
  </si>
  <si>
    <t>HEMRAJ244A</t>
  </si>
  <si>
    <t>HEMRAJ252A</t>
  </si>
  <si>
    <t>HMPRO19OA</t>
  </si>
  <si>
    <t>HMPRO204A</t>
  </si>
  <si>
    <t>HMPRO20OA</t>
  </si>
  <si>
    <t>HMPRO212A</t>
  </si>
  <si>
    <t>HMPRO21OA</t>
  </si>
  <si>
    <t>ICBCT289A</t>
  </si>
  <si>
    <t>ICBCTL195A</t>
  </si>
  <si>
    <t>ICBCTL204A</t>
  </si>
  <si>
    <t>ICBCTL205A</t>
  </si>
  <si>
    <t>ICBCTL215A</t>
  </si>
  <si>
    <t>ICBCTL215B</t>
  </si>
  <si>
    <t>ICBCTL225A</t>
  </si>
  <si>
    <t>ICBCTL264A</t>
  </si>
  <si>
    <t>ILINK201A</t>
  </si>
  <si>
    <t>INDEX197A</t>
  </si>
  <si>
    <t>INR194A</t>
  </si>
  <si>
    <t>IRIS203A</t>
  </si>
  <si>
    <t>IRPC195A</t>
  </si>
  <si>
    <t>IRPC195B</t>
  </si>
  <si>
    <t>IRPC215A</t>
  </si>
  <si>
    <t>ITD194A</t>
  </si>
  <si>
    <t>ITD199A</t>
  </si>
  <si>
    <t>ITD205A</t>
  </si>
  <si>
    <t>ITD209A</t>
  </si>
  <si>
    <t>ITD216A</t>
  </si>
  <si>
    <t>ITD226A</t>
  </si>
  <si>
    <t>IVL14PA</t>
  </si>
  <si>
    <t>IVL18DA</t>
  </si>
  <si>
    <t>IVL193A</t>
  </si>
  <si>
    <t>IVL194A</t>
  </si>
  <si>
    <t>IVL206A</t>
  </si>
  <si>
    <t>IVL20DA</t>
  </si>
  <si>
    <t>IVL21OA</t>
  </si>
  <si>
    <t>IVL21OB</t>
  </si>
  <si>
    <t>IVL21OC</t>
  </si>
  <si>
    <t>IVL224A</t>
  </si>
  <si>
    <t>IVL224B</t>
  </si>
  <si>
    <t>IVL225A</t>
  </si>
  <si>
    <t>IVL22DA</t>
  </si>
  <si>
    <t>IVL22OA</t>
  </si>
  <si>
    <t>IVL236A</t>
  </si>
  <si>
    <t>IVL236B</t>
  </si>
  <si>
    <t>IVL243A</t>
  </si>
  <si>
    <t>IVL245A</t>
  </si>
  <si>
    <t>IVL24DA</t>
  </si>
  <si>
    <t>IVL24NA</t>
  </si>
  <si>
    <t>IVL256A</t>
  </si>
  <si>
    <t>IVL25DA</t>
  </si>
  <si>
    <t>IVL25OA</t>
  </si>
  <si>
    <t>IVL26OA</t>
  </si>
  <si>
    <t>IVL275A</t>
  </si>
  <si>
    <t>IVL27NA</t>
  </si>
  <si>
    <t>IVL286A</t>
  </si>
  <si>
    <t>IVL28OA</t>
  </si>
  <si>
    <t>IVL295A</t>
  </si>
  <si>
    <t>IVL306A</t>
  </si>
  <si>
    <t>IVL31OA</t>
  </si>
  <si>
    <t>IVL32NA</t>
  </si>
  <si>
    <t>IVL336A</t>
  </si>
  <si>
    <t>J195A</t>
  </si>
  <si>
    <t>J197A</t>
  </si>
  <si>
    <t>J19DA</t>
  </si>
  <si>
    <t>J19NA</t>
  </si>
  <si>
    <t>JCK209A</t>
  </si>
  <si>
    <t>JCKD203A</t>
  </si>
  <si>
    <t>JCKD206A</t>
  </si>
  <si>
    <t>JKN18DA</t>
  </si>
  <si>
    <t>JKN207A</t>
  </si>
  <si>
    <t>JMART19DA</t>
  </si>
  <si>
    <t>JMART19NA</t>
  </si>
  <si>
    <t>JMART19NB</t>
  </si>
  <si>
    <t>JMART204A</t>
  </si>
  <si>
    <t>JMART20DA</t>
  </si>
  <si>
    <t>JMART213A</t>
  </si>
  <si>
    <t>JMART213B</t>
  </si>
  <si>
    <t>JMT196A</t>
  </si>
  <si>
    <t>JMT197A</t>
  </si>
  <si>
    <t>JMT207A</t>
  </si>
  <si>
    <t>JMT20DA</t>
  </si>
  <si>
    <t>JMT20OA</t>
  </si>
  <si>
    <t>JMT21OA</t>
  </si>
  <si>
    <t>JSP18DA</t>
  </si>
  <si>
    <t>JWD19NA</t>
  </si>
  <si>
    <t>KBANK254A</t>
  </si>
  <si>
    <t>KBANK264A</t>
  </si>
  <si>
    <t>KBANK271A</t>
  </si>
  <si>
    <t>KCAR206A</t>
  </si>
  <si>
    <t>KCAR208A</t>
  </si>
  <si>
    <t>KCAR223A</t>
  </si>
  <si>
    <t>KCC193A</t>
  </si>
  <si>
    <t>KCC199B</t>
  </si>
  <si>
    <t>KCC209A</t>
  </si>
  <si>
    <t>KCC213A</t>
  </si>
  <si>
    <t>KDP194A</t>
  </si>
  <si>
    <t>KGI19NA</t>
  </si>
  <si>
    <t>KGI20NA</t>
  </si>
  <si>
    <t>KK18DA</t>
  </si>
  <si>
    <t>KK18DB</t>
  </si>
  <si>
    <t>KK202A</t>
  </si>
  <si>
    <t>KK25DA</t>
  </si>
  <si>
    <t>KK262A</t>
  </si>
  <si>
    <t>KK268A</t>
  </si>
  <si>
    <t>KK285A</t>
  </si>
  <si>
    <t>KK28OA</t>
  </si>
  <si>
    <t>KSL192A</t>
  </si>
  <si>
    <t>KSL198A</t>
  </si>
  <si>
    <t>KSL199A</t>
  </si>
  <si>
    <t>KSL202A</t>
  </si>
  <si>
    <t>KSL206A</t>
  </si>
  <si>
    <t>KSL27DA</t>
  </si>
  <si>
    <t>KSL285A</t>
  </si>
  <si>
    <t>KTB27NA</t>
  </si>
  <si>
    <t>KTBST198A</t>
  </si>
  <si>
    <t>KTC18NA</t>
  </si>
  <si>
    <t>KTC192A</t>
  </si>
  <si>
    <t>KTC195A</t>
  </si>
  <si>
    <t>KTC198A</t>
  </si>
  <si>
    <t>KTC198B</t>
  </si>
  <si>
    <t>KTC208A</t>
  </si>
  <si>
    <t>KTC208B</t>
  </si>
  <si>
    <t>KTC20OA</t>
  </si>
  <si>
    <t>KTC212A</t>
  </si>
  <si>
    <t>KTC215A</t>
  </si>
  <si>
    <t>KTC217A</t>
  </si>
  <si>
    <t>KTC218A</t>
  </si>
  <si>
    <t>KTC21NA</t>
  </si>
  <si>
    <t>KTC224A</t>
  </si>
  <si>
    <t>KTC226A</t>
  </si>
  <si>
    <t>KTC22NA</t>
  </si>
  <si>
    <t>KTC22OA</t>
  </si>
  <si>
    <t>KTC232A</t>
  </si>
  <si>
    <t>KTC23DA</t>
  </si>
  <si>
    <t>KTC23NA</t>
  </si>
  <si>
    <t>KTC247A</t>
  </si>
  <si>
    <t>KTC259A</t>
  </si>
  <si>
    <t>KTC25NA</t>
  </si>
  <si>
    <t>KTC262A</t>
  </si>
  <si>
    <t>KTC262B</t>
  </si>
  <si>
    <t>KTC269A</t>
  </si>
  <si>
    <t>KTC26DA</t>
  </si>
  <si>
    <t>KTC26NA</t>
  </si>
  <si>
    <t>KTC278A</t>
  </si>
  <si>
    <t>KTC278B</t>
  </si>
  <si>
    <t>KTC27NA</t>
  </si>
  <si>
    <t>KTC27OA</t>
  </si>
  <si>
    <t>KTC282A</t>
  </si>
  <si>
    <t>KTC288A</t>
  </si>
  <si>
    <t>KTZ18DA</t>
  </si>
  <si>
    <t>KTZ191A</t>
  </si>
  <si>
    <t>KTZ195A</t>
  </si>
  <si>
    <t>KTZ205A</t>
  </si>
  <si>
    <t>LALIN196A</t>
  </si>
  <si>
    <t>LALIN197A</t>
  </si>
  <si>
    <t>LALIN197B</t>
  </si>
  <si>
    <t>LALIN202A</t>
  </si>
  <si>
    <t>LALIN207A</t>
  </si>
  <si>
    <t>LALIN207B</t>
  </si>
  <si>
    <t>LALIN213A</t>
  </si>
  <si>
    <t>LALIN213B</t>
  </si>
  <si>
    <t>LALIN218A</t>
  </si>
  <si>
    <t>LH19OA</t>
  </si>
  <si>
    <t>LH215A</t>
  </si>
  <si>
    <t>LH21OA</t>
  </si>
  <si>
    <t>LH253A</t>
  </si>
  <si>
    <t>LHBANK255A</t>
  </si>
  <si>
    <t>LHFG207A</t>
  </si>
  <si>
    <t>LIT196A</t>
  </si>
  <si>
    <t>LIT201A</t>
  </si>
  <si>
    <t>LIT202A</t>
  </si>
  <si>
    <t>LIT205A</t>
  </si>
  <si>
    <t>LOXLEY20DA</t>
  </si>
  <si>
    <t>LOXLEY22DA</t>
  </si>
  <si>
    <t>LPN192A</t>
  </si>
  <si>
    <t>LPN194A</t>
  </si>
  <si>
    <t>LPN198A</t>
  </si>
  <si>
    <t>LPN19OA</t>
  </si>
  <si>
    <t>LPN211A</t>
  </si>
  <si>
    <t>LPN217A</t>
  </si>
  <si>
    <t>LPN218A</t>
  </si>
  <si>
    <t>LPN21DA</t>
  </si>
  <si>
    <t>MAJOR21OA</t>
  </si>
  <si>
    <t>MBK207A</t>
  </si>
  <si>
    <t>MBK207B</t>
  </si>
  <si>
    <t>MBK227A</t>
  </si>
  <si>
    <t>MBK229A</t>
  </si>
  <si>
    <t>MBK229B</t>
  </si>
  <si>
    <t>MBK233A</t>
  </si>
  <si>
    <t>MBK277A</t>
  </si>
  <si>
    <t>MBK27NA</t>
  </si>
  <si>
    <t>MBK284A</t>
  </si>
  <si>
    <t>MBK335A</t>
  </si>
  <si>
    <t>MBKET192A</t>
  </si>
  <si>
    <t>MBKET194A</t>
  </si>
  <si>
    <t>MBSD199A</t>
  </si>
  <si>
    <t>AA-(sf)</t>
  </si>
  <si>
    <t>MBSE20NA</t>
  </si>
  <si>
    <t>MBSF21NA</t>
  </si>
  <si>
    <t>MBTH192A</t>
  </si>
  <si>
    <t>MBTH195A</t>
  </si>
  <si>
    <t>MBTH199A</t>
  </si>
  <si>
    <t>MBTH207A</t>
  </si>
  <si>
    <t>MBTH209A</t>
  </si>
  <si>
    <t>MBTH218A</t>
  </si>
  <si>
    <t>MDL195A</t>
  </si>
  <si>
    <t>MDL195B</t>
  </si>
  <si>
    <t>MDL195C</t>
  </si>
  <si>
    <t>MDL19NA</t>
  </si>
  <si>
    <t>MDL209A</t>
  </si>
  <si>
    <t>MIDA198A</t>
  </si>
  <si>
    <t>MIDA204A</t>
  </si>
  <si>
    <t>MIDA211A</t>
  </si>
  <si>
    <t>MINT18PA</t>
  </si>
  <si>
    <t>MINT21OA</t>
  </si>
  <si>
    <t>MINT228A</t>
  </si>
  <si>
    <t>MINT249A</t>
  </si>
  <si>
    <t>MINT255A</t>
  </si>
  <si>
    <t>MINT283A</t>
  </si>
  <si>
    <t>MINT313A</t>
  </si>
  <si>
    <t>MINT329A</t>
  </si>
  <si>
    <t>MJD191A</t>
  </si>
  <si>
    <t>MJD194A</t>
  </si>
  <si>
    <t>MJD195A</t>
  </si>
  <si>
    <t>MJD195B</t>
  </si>
  <si>
    <t>MJD197A</t>
  </si>
  <si>
    <t>MJD198A</t>
  </si>
  <si>
    <t>MJD19DA</t>
  </si>
  <si>
    <t>MJD203A</t>
  </si>
  <si>
    <t>MJD204A</t>
  </si>
  <si>
    <t>MJD208A</t>
  </si>
  <si>
    <t>MK19DA</t>
  </si>
  <si>
    <t>MK208A</t>
  </si>
  <si>
    <t>MK214A</t>
  </si>
  <si>
    <t>MK215A</t>
  </si>
  <si>
    <t>MK21OA</t>
  </si>
  <si>
    <t>MM217A</t>
  </si>
  <si>
    <t>MPSC199B</t>
  </si>
  <si>
    <t>MPSC219A</t>
  </si>
  <si>
    <t>MPSC21DA</t>
  </si>
  <si>
    <t>MPSC21OA</t>
  </si>
  <si>
    <t>MPSC229A</t>
  </si>
  <si>
    <t>MPSC249A</t>
  </si>
  <si>
    <t>MPSC256A</t>
  </si>
  <si>
    <t>MPSC256B</t>
  </si>
  <si>
    <t>MPSC259A</t>
  </si>
  <si>
    <t>MPSC25DA</t>
  </si>
  <si>
    <t>MPSC26DA</t>
  </si>
  <si>
    <t>MPSC286A</t>
  </si>
  <si>
    <t>MPSC28DA</t>
  </si>
  <si>
    <t>MPSC306A</t>
  </si>
  <si>
    <t>MQDC193A</t>
  </si>
  <si>
    <t>MQDC202A</t>
  </si>
  <si>
    <t>MQDC209A</t>
  </si>
  <si>
    <t>MQDC211A</t>
  </si>
  <si>
    <t>MTC215A</t>
  </si>
  <si>
    <t>MTC227A</t>
  </si>
  <si>
    <t>MTLS18NA</t>
  </si>
  <si>
    <t>MTLS192A</t>
  </si>
  <si>
    <t>MTLS194A</t>
  </si>
  <si>
    <t>MTLS197A</t>
  </si>
  <si>
    <t>MTLS197B</t>
  </si>
  <si>
    <t>MTLS197C</t>
  </si>
  <si>
    <t>MTLS198A</t>
  </si>
  <si>
    <t>MTLS198B</t>
  </si>
  <si>
    <t>MTLS199A</t>
  </si>
  <si>
    <t>MTLS19NA</t>
  </si>
  <si>
    <t>MTLS19NB</t>
  </si>
  <si>
    <t>MTLS202A</t>
  </si>
  <si>
    <t>MTLS207A</t>
  </si>
  <si>
    <t>MTLS208A</t>
  </si>
  <si>
    <t>MTLS208B</t>
  </si>
  <si>
    <t>MTLS208C</t>
  </si>
  <si>
    <t>MTLS20NA</t>
  </si>
  <si>
    <t>MTLS20OA</t>
  </si>
  <si>
    <t>MTLS212A</t>
  </si>
  <si>
    <t>MTLS218A</t>
  </si>
  <si>
    <t>MTLS222A</t>
  </si>
  <si>
    <t>NATHA194A</t>
  </si>
  <si>
    <t>NCAP208A</t>
  </si>
  <si>
    <t>NNEG219A</t>
  </si>
  <si>
    <t>NNEG239A</t>
  </si>
  <si>
    <t>NNEG289A</t>
  </si>
  <si>
    <t>NNEG349A</t>
  </si>
  <si>
    <t>NOBLE196A</t>
  </si>
  <si>
    <t>NOBLE205A</t>
  </si>
  <si>
    <t>NOBLE212A</t>
  </si>
  <si>
    <t>NPS19OA</t>
  </si>
  <si>
    <t>NPS207A</t>
  </si>
  <si>
    <t>NPS207B</t>
  </si>
  <si>
    <t>NPS209A</t>
  </si>
  <si>
    <t>NPS218A</t>
  </si>
  <si>
    <t>NPS227A</t>
  </si>
  <si>
    <t>NPS227B</t>
  </si>
  <si>
    <t>NTL18DA</t>
  </si>
  <si>
    <t>NTL18OA</t>
  </si>
  <si>
    <t>NTL191A</t>
  </si>
  <si>
    <t>NTL19DA</t>
  </si>
  <si>
    <t>NTL19OA</t>
  </si>
  <si>
    <t>NTL205A</t>
  </si>
  <si>
    <t>NTL20DA</t>
  </si>
  <si>
    <t>NTL20NA</t>
  </si>
  <si>
    <t>NTL21DA</t>
  </si>
  <si>
    <t>NTL22DA</t>
  </si>
  <si>
    <t>NUSA193A</t>
  </si>
  <si>
    <t>NUSA195A</t>
  </si>
  <si>
    <t>NUSA198A</t>
  </si>
  <si>
    <t>NUSA204A</t>
  </si>
  <si>
    <t>NVD196A</t>
  </si>
  <si>
    <t>NVD206A</t>
  </si>
  <si>
    <t>NWR208A</t>
  </si>
  <si>
    <t>OISHI18DA</t>
  </si>
  <si>
    <t>OISHI197A</t>
  </si>
  <si>
    <t>ORI19NA</t>
  </si>
  <si>
    <t>ORI207A</t>
  </si>
  <si>
    <t>ORI215A</t>
  </si>
  <si>
    <t>ORI21OA</t>
  </si>
  <si>
    <t>PACE18NA</t>
  </si>
  <si>
    <t>PACE202A</t>
  </si>
  <si>
    <t>PDITL193A</t>
  </si>
  <si>
    <t>PDITL198A</t>
  </si>
  <si>
    <t>PDITL198B</t>
  </si>
  <si>
    <t>PDITL199A</t>
  </si>
  <si>
    <t>PDITL206A</t>
  </si>
  <si>
    <t>PF17PA</t>
  </si>
  <si>
    <t>B+</t>
  </si>
  <si>
    <t>PF18DA</t>
  </si>
  <si>
    <t>PF195A</t>
  </si>
  <si>
    <t>PF197A</t>
  </si>
  <si>
    <t>PF199A</t>
  </si>
  <si>
    <t>PF201A</t>
  </si>
  <si>
    <t>PF206A</t>
  </si>
  <si>
    <t>PF209A</t>
  </si>
  <si>
    <t>PF214A</t>
  </si>
  <si>
    <t>PF214B</t>
  </si>
  <si>
    <t>PF217A</t>
  </si>
  <si>
    <t>PF219A</t>
  </si>
  <si>
    <t>PF21NA</t>
  </si>
  <si>
    <t>PF222A</t>
  </si>
  <si>
    <t>PHUKET207A</t>
  </si>
  <si>
    <t>PL191A</t>
  </si>
  <si>
    <t>PL195A</t>
  </si>
  <si>
    <t>PL198A</t>
  </si>
  <si>
    <t>PL199A</t>
  </si>
  <si>
    <t>PL201A</t>
  </si>
  <si>
    <t>PL209A</t>
  </si>
  <si>
    <t>PL20OA</t>
  </si>
  <si>
    <t>PL212A</t>
  </si>
  <si>
    <t>PL218A</t>
  </si>
  <si>
    <t>PL21NA</t>
  </si>
  <si>
    <t>PL222A</t>
  </si>
  <si>
    <t>PL225A</t>
  </si>
  <si>
    <t>PL232A</t>
  </si>
  <si>
    <t>PLE195A</t>
  </si>
  <si>
    <t>PLE196A</t>
  </si>
  <si>
    <t>PRIN192A</t>
  </si>
  <si>
    <t>PRIN197A</t>
  </si>
  <si>
    <t>PRIN202A</t>
  </si>
  <si>
    <t>PRIN207A</t>
  </si>
  <si>
    <t>PS193B</t>
  </si>
  <si>
    <t>PS193C</t>
  </si>
  <si>
    <t>PS199A</t>
  </si>
  <si>
    <t>PS205A</t>
  </si>
  <si>
    <t>PSH235A</t>
  </si>
  <si>
    <t>PSL206A</t>
  </si>
  <si>
    <t>PSL211A</t>
  </si>
  <si>
    <t>PSTC201A</t>
  </si>
  <si>
    <t>PTG192A</t>
  </si>
  <si>
    <t>PTG197A</t>
  </si>
  <si>
    <t>PTG198A</t>
  </si>
  <si>
    <t>PTG209A</t>
  </si>
  <si>
    <t>PTG22DA</t>
  </si>
  <si>
    <t>PTTC10DA</t>
  </si>
  <si>
    <t>PTTC18DA</t>
  </si>
  <si>
    <t>PTTC18NA</t>
  </si>
  <si>
    <t>PTTC195C</t>
  </si>
  <si>
    <t>PTTC208A</t>
  </si>
  <si>
    <t>PTTC215A</t>
  </si>
  <si>
    <t>PTTC21NB</t>
  </si>
  <si>
    <t>PTTC222A</t>
  </si>
  <si>
    <t>PTTC239A</t>
  </si>
  <si>
    <t>PTTC243A</t>
  </si>
  <si>
    <t>PTTC247A</t>
  </si>
  <si>
    <t>PTTEP195A</t>
  </si>
  <si>
    <t>PTTEP196A</t>
  </si>
  <si>
    <t>PTTEP296A</t>
  </si>
  <si>
    <t>PTTGC196A</t>
  </si>
  <si>
    <t>PTTGC218A</t>
  </si>
  <si>
    <t>PTTGC218B</t>
  </si>
  <si>
    <t>QH19NA</t>
  </si>
  <si>
    <t>QH214A</t>
  </si>
  <si>
    <t>QH216A</t>
  </si>
  <si>
    <t>RG223A</t>
  </si>
  <si>
    <t>RICHY18DA</t>
  </si>
  <si>
    <t>RICHY193A</t>
  </si>
  <si>
    <t>RICHY198A</t>
  </si>
  <si>
    <t>RICHY20NA</t>
  </si>
  <si>
    <t>RML199A</t>
  </si>
  <si>
    <t>RML206A</t>
  </si>
  <si>
    <t>ROJNA195A</t>
  </si>
  <si>
    <t>ROJNA205A</t>
  </si>
  <si>
    <t>ROJNA205B</t>
  </si>
  <si>
    <t>ROJNA213A</t>
  </si>
  <si>
    <t>ROJNA215A</t>
  </si>
  <si>
    <t>ROJNA22OA</t>
  </si>
  <si>
    <t>SAMART205A</t>
  </si>
  <si>
    <t>SAMTEL192A</t>
  </si>
  <si>
    <t>SASST19NA</t>
  </si>
  <si>
    <t>SAWAD192A</t>
  </si>
  <si>
    <t>SAWAD197A</t>
  </si>
  <si>
    <t>SAWAD198A</t>
  </si>
  <si>
    <t>SAWAD199A</t>
  </si>
  <si>
    <t>SAWAD202A</t>
  </si>
  <si>
    <t>SAWAD209A</t>
  </si>
  <si>
    <t>SAWAD212A</t>
  </si>
  <si>
    <t>SAWAD218A</t>
  </si>
  <si>
    <t>SAWAD228A</t>
  </si>
  <si>
    <t>SC18DA</t>
  </si>
  <si>
    <t>SC191A</t>
  </si>
  <si>
    <t>SC193A</t>
  </si>
  <si>
    <t>SC19NA</t>
  </si>
  <si>
    <t>SC202A</t>
  </si>
  <si>
    <t>SC208A</t>
  </si>
  <si>
    <t>SC208B</t>
  </si>
  <si>
    <t>SC209A</t>
  </si>
  <si>
    <t>SC212A</t>
  </si>
  <si>
    <t>SC215A</t>
  </si>
  <si>
    <t>SC218A</t>
  </si>
  <si>
    <t>SC222A</t>
  </si>
  <si>
    <t>SCB249A</t>
  </si>
  <si>
    <t>SCBS197A</t>
  </si>
  <si>
    <t>SCC194A</t>
  </si>
  <si>
    <t>SCC19NA</t>
  </si>
  <si>
    <t>SCC19OA</t>
  </si>
  <si>
    <t>SCC204A</t>
  </si>
  <si>
    <t>SCC20NA</t>
  </si>
  <si>
    <t>SCC214A</t>
  </si>
  <si>
    <t>SCC21OA</t>
  </si>
  <si>
    <t>SCC224A</t>
  </si>
  <si>
    <t>SCC22OA</t>
  </si>
  <si>
    <t>SCCC206A</t>
  </si>
  <si>
    <t>SCCC264A</t>
  </si>
  <si>
    <t>SCCC275A</t>
  </si>
  <si>
    <t>SCCC295A</t>
  </si>
  <si>
    <t>SEAOIL202A</t>
  </si>
  <si>
    <t>SEDU18DA</t>
  </si>
  <si>
    <t>SEDU19OA</t>
  </si>
  <si>
    <t>SEDU203A</t>
  </si>
  <si>
    <t>SEDU20DA</t>
  </si>
  <si>
    <t>SEDU217A</t>
  </si>
  <si>
    <t>SENA198A</t>
  </si>
  <si>
    <t>SENA199A</t>
  </si>
  <si>
    <t>SENA202A</t>
  </si>
  <si>
    <t>SENA213A</t>
  </si>
  <si>
    <t>SF201A</t>
  </si>
  <si>
    <t>SF22NA</t>
  </si>
  <si>
    <t>SG19NA</t>
  </si>
  <si>
    <t>SGF204A</t>
  </si>
  <si>
    <t>SGP192A</t>
  </si>
  <si>
    <t>SGP201A</t>
  </si>
  <si>
    <t>SGP232A</t>
  </si>
  <si>
    <t>SINGER194A</t>
  </si>
  <si>
    <t>SINGER19OA</t>
  </si>
  <si>
    <t>SINGER20OA</t>
  </si>
  <si>
    <t>SINGER213A</t>
  </si>
  <si>
    <t>SIRI194A</t>
  </si>
  <si>
    <t>SIRI194B</t>
  </si>
  <si>
    <t>SIRI197A</t>
  </si>
  <si>
    <t>SIRI19OA</t>
  </si>
  <si>
    <t>SIRI205A</t>
  </si>
  <si>
    <t>SIRI206A</t>
  </si>
  <si>
    <t>SIRI218A</t>
  </si>
  <si>
    <t>SIRI21NA</t>
  </si>
  <si>
    <t>SIRI229A</t>
  </si>
  <si>
    <t>SIRI231A</t>
  </si>
  <si>
    <t>SJ18DA</t>
  </si>
  <si>
    <t>SJ191A</t>
  </si>
  <si>
    <t>SMBC19NA</t>
  </si>
  <si>
    <t>SMBC208A</t>
  </si>
  <si>
    <t>SMT203A</t>
  </si>
  <si>
    <t>SPALI18DA</t>
  </si>
  <si>
    <t>SPALI191A</t>
  </si>
  <si>
    <t>SPALI199A</t>
  </si>
  <si>
    <t>SPALI209A</t>
  </si>
  <si>
    <t>SPCG18DA</t>
  </si>
  <si>
    <t>SPCG196A</t>
  </si>
  <si>
    <t>SPCG19DA</t>
  </si>
  <si>
    <t>SPCG20DA</t>
  </si>
  <si>
    <t>SPCG211A</t>
  </si>
  <si>
    <t>SPCG21DA</t>
  </si>
  <si>
    <t>SPCG22DA</t>
  </si>
  <si>
    <t>SPCG23DA</t>
  </si>
  <si>
    <t>SPE18NA</t>
  </si>
  <si>
    <t>SPI202A</t>
  </si>
  <si>
    <t>SPI242A</t>
  </si>
  <si>
    <t>SPI246A</t>
  </si>
  <si>
    <t>SPW235A</t>
  </si>
  <si>
    <t>SPW236A</t>
  </si>
  <si>
    <t>SPW271A</t>
  </si>
  <si>
    <t>SPW27DA</t>
  </si>
  <si>
    <t>SPW32DA</t>
  </si>
  <si>
    <t>SQ216A</t>
  </si>
  <si>
    <t>SST209A</t>
  </si>
  <si>
    <t>STA195A</t>
  </si>
  <si>
    <t>STA215A</t>
  </si>
  <si>
    <t>SUPER19DA</t>
  </si>
  <si>
    <t>SUPER204A</t>
  </si>
  <si>
    <t>SUPER208A</t>
  </si>
  <si>
    <t>SYMC196A</t>
  </si>
  <si>
    <t>TAA205A</t>
  </si>
  <si>
    <t>TAA216A</t>
  </si>
  <si>
    <t>TAA225A</t>
  </si>
  <si>
    <t>TAA236A</t>
  </si>
  <si>
    <t>TBANK24DA</t>
  </si>
  <si>
    <t>TBANK25NA</t>
  </si>
  <si>
    <t>TBEV209A</t>
  </si>
  <si>
    <t>TBEV211A</t>
  </si>
  <si>
    <t>TBEV239A</t>
  </si>
  <si>
    <t>TBEV253A</t>
  </si>
  <si>
    <t>TBEV259A</t>
  </si>
  <si>
    <t>TBEV289A</t>
  </si>
  <si>
    <t>TBEV289B</t>
  </si>
  <si>
    <t>TCAP18NA</t>
  </si>
  <si>
    <t>TCAP196A</t>
  </si>
  <si>
    <t>TCAP199A</t>
  </si>
  <si>
    <t>TCAP20NA</t>
  </si>
  <si>
    <t>TCAP22NA</t>
  </si>
  <si>
    <t>TCAP238A</t>
  </si>
  <si>
    <t>TCAP23OA</t>
  </si>
  <si>
    <t>TCAP258A</t>
  </si>
  <si>
    <t>TFD192A</t>
  </si>
  <si>
    <t>TFD197A</t>
  </si>
  <si>
    <t>TFD201A</t>
  </si>
  <si>
    <t>TFD202A</t>
  </si>
  <si>
    <t>TFG207A</t>
  </si>
  <si>
    <t>THAI192A</t>
  </si>
  <si>
    <t>THAI192B</t>
  </si>
  <si>
    <t>THAI198A</t>
  </si>
  <si>
    <t>THAI19DA</t>
  </si>
  <si>
    <t>THAI19DB</t>
  </si>
  <si>
    <t>THAI19OA</t>
  </si>
  <si>
    <t>THAI204A</t>
  </si>
  <si>
    <t>THAI206A</t>
  </si>
  <si>
    <t>THAI208A</t>
  </si>
  <si>
    <t>THAI208B</t>
  </si>
  <si>
    <t>THAI209A</t>
  </si>
  <si>
    <t>THAI212A</t>
  </si>
  <si>
    <t>THAI215A</t>
  </si>
  <si>
    <t>THAI215B</t>
  </si>
  <si>
    <t>THAI218A</t>
  </si>
  <si>
    <t>THAI21DA</t>
  </si>
  <si>
    <t>THAI21DB</t>
  </si>
  <si>
    <t>THAI222A</t>
  </si>
  <si>
    <t>THAI224A</t>
  </si>
  <si>
    <t>THAI226A</t>
  </si>
  <si>
    <t>THAI229A</t>
  </si>
  <si>
    <t>THAI22OA</t>
  </si>
  <si>
    <t>THAI232A</t>
  </si>
  <si>
    <t>THAI238A</t>
  </si>
  <si>
    <t>THAI238B</t>
  </si>
  <si>
    <t>THAI23DA</t>
  </si>
  <si>
    <t>THAI242A</t>
  </si>
  <si>
    <t>THAI243A</t>
  </si>
  <si>
    <t>THAI246A</t>
  </si>
  <si>
    <t>THAI24DA</t>
  </si>
  <si>
    <t>THAI252A</t>
  </si>
  <si>
    <t>THAI254A</t>
  </si>
  <si>
    <t>THAI259A</t>
  </si>
  <si>
    <t>THAI26DA</t>
  </si>
  <si>
    <t>THAI276A</t>
  </si>
  <si>
    <t>THAI282A</t>
  </si>
  <si>
    <t>THAI288A</t>
  </si>
  <si>
    <t>THAI28DA</t>
  </si>
  <si>
    <t>THAI308A</t>
  </si>
  <si>
    <t>THAI326A</t>
  </si>
  <si>
    <t>THAI332A</t>
  </si>
  <si>
    <t>THAI338A</t>
  </si>
  <si>
    <t>THANI192A</t>
  </si>
  <si>
    <t>THANI193A</t>
  </si>
  <si>
    <t>THANI194A</t>
  </si>
  <si>
    <t>THANI194B</t>
  </si>
  <si>
    <t>THANI196A</t>
  </si>
  <si>
    <t>THANI197A</t>
  </si>
  <si>
    <t>THANI197B</t>
  </si>
  <si>
    <t>THANI197C</t>
  </si>
  <si>
    <t>THANI198A</t>
  </si>
  <si>
    <t>THANI198B</t>
  </si>
  <si>
    <t>THANI199A</t>
  </si>
  <si>
    <t>THANI201A</t>
  </si>
  <si>
    <t>THANI203A</t>
  </si>
  <si>
    <t>THANI205A</t>
  </si>
  <si>
    <t>THANI206A</t>
  </si>
  <si>
    <t>THANI208A</t>
  </si>
  <si>
    <t>THANI208B</t>
  </si>
  <si>
    <t>THANI209A</t>
  </si>
  <si>
    <t>THANI209B</t>
  </si>
  <si>
    <t>THANI20DA</t>
  </si>
  <si>
    <t>THANI20DB</t>
  </si>
  <si>
    <t>THANI20DC</t>
  </si>
  <si>
    <t>THANI20NA</t>
  </si>
  <si>
    <t>THANI20OA</t>
  </si>
  <si>
    <t>THANI212A</t>
  </si>
  <si>
    <t>THANI213A</t>
  </si>
  <si>
    <t>THANI217A</t>
  </si>
  <si>
    <t>THANI217B</t>
  </si>
  <si>
    <t>THANI218A</t>
  </si>
  <si>
    <t>THCOM19OA</t>
  </si>
  <si>
    <t>THCOM21OA</t>
  </si>
  <si>
    <t>TICON191A</t>
  </si>
  <si>
    <t>TICON195A</t>
  </si>
  <si>
    <t>TICON19OA</t>
  </si>
  <si>
    <t>TICON205A</t>
  </si>
  <si>
    <t>TICON205B</t>
  </si>
  <si>
    <t>TICON217A</t>
  </si>
  <si>
    <t>TICON225A</t>
  </si>
  <si>
    <t>TICON229A</t>
  </si>
  <si>
    <t>TICON233A</t>
  </si>
  <si>
    <t>TICON235A</t>
  </si>
  <si>
    <t>TICON238A</t>
  </si>
  <si>
    <t>TICON283A</t>
  </si>
  <si>
    <t>TISCO191A</t>
  </si>
  <si>
    <t>TISCO193A</t>
  </si>
  <si>
    <t>TISCO194A</t>
  </si>
  <si>
    <t>TISCO197A</t>
  </si>
  <si>
    <t>TISCO204A</t>
  </si>
  <si>
    <t>TISCO208A</t>
  </si>
  <si>
    <t>TISCO241A</t>
  </si>
  <si>
    <t>TISCO242A</t>
  </si>
  <si>
    <t>TISCO256A</t>
  </si>
  <si>
    <t>TISCO25DA</t>
  </si>
  <si>
    <t>TISCO268A</t>
  </si>
  <si>
    <t>TISCO272A</t>
  </si>
  <si>
    <t>TISCO27NA</t>
  </si>
  <si>
    <t>TK195A</t>
  </si>
  <si>
    <t>TK197A</t>
  </si>
  <si>
    <t>TK199A</t>
  </si>
  <si>
    <t>TK199B</t>
  </si>
  <si>
    <t>TK19NA</t>
  </si>
  <si>
    <t>TK202A</t>
  </si>
  <si>
    <t>TK208A</t>
  </si>
  <si>
    <t>TK212A</t>
  </si>
  <si>
    <t>TK218A</t>
  </si>
  <si>
    <t>TLT192B</t>
  </si>
  <si>
    <t>TLT194A</t>
  </si>
  <si>
    <t>TLT19NA</t>
  </si>
  <si>
    <t>TLT19NB</t>
  </si>
  <si>
    <t>TLT204A</t>
  </si>
  <si>
    <t>TLT205A</t>
  </si>
  <si>
    <t>TLT208A</t>
  </si>
  <si>
    <t>TLT209A</t>
  </si>
  <si>
    <t>TLT20OA</t>
  </si>
  <si>
    <t>TLT211A</t>
  </si>
  <si>
    <t>TLT212A</t>
  </si>
  <si>
    <t>TLT216A</t>
  </si>
  <si>
    <t>TLT218A</t>
  </si>
  <si>
    <t>TLT21NA</t>
  </si>
  <si>
    <t>TLT21OA</t>
  </si>
  <si>
    <t>TLT22DA</t>
  </si>
  <si>
    <t>TLT22OA</t>
  </si>
  <si>
    <t>TLT235A</t>
  </si>
  <si>
    <t>TLT24OA</t>
  </si>
  <si>
    <t>TLT255A</t>
  </si>
  <si>
    <t>TLUXE197A</t>
  </si>
  <si>
    <t>TLUXE198A</t>
  </si>
  <si>
    <t>TLUXE199A</t>
  </si>
  <si>
    <t>TLUXE205A</t>
  </si>
  <si>
    <t>TMB248A</t>
  </si>
  <si>
    <t>TMB27NA</t>
  </si>
  <si>
    <t>TMT214A</t>
  </si>
  <si>
    <t>TNITY191A</t>
  </si>
  <si>
    <t>TOLC19NA</t>
  </si>
  <si>
    <t>TOLC204A</t>
  </si>
  <si>
    <t>TOLC21NA</t>
  </si>
  <si>
    <t>TOLC21NB</t>
  </si>
  <si>
    <t>TOLC22NA</t>
  </si>
  <si>
    <t>TOP213A</t>
  </si>
  <si>
    <t>TOP224A</t>
  </si>
  <si>
    <t>TOP243A</t>
  </si>
  <si>
    <t>TOP273A</t>
  </si>
  <si>
    <t>TPIPL191A</t>
  </si>
  <si>
    <t>TPIPL197A</t>
  </si>
  <si>
    <t>TPIPL198A</t>
  </si>
  <si>
    <t>TPIPL201A</t>
  </si>
  <si>
    <t>TPIPL207A</t>
  </si>
  <si>
    <t>TPIPL208A</t>
  </si>
  <si>
    <t>TPIPL214A</t>
  </si>
  <si>
    <t>TPIPL214B</t>
  </si>
  <si>
    <t>TPIPL218A</t>
  </si>
  <si>
    <t>TPIPL224A</t>
  </si>
  <si>
    <t>TPIPL228A</t>
  </si>
  <si>
    <t>TPIPL234A</t>
  </si>
  <si>
    <t>TREIT204A</t>
  </si>
  <si>
    <t>TREIT226A</t>
  </si>
  <si>
    <t>TREIT244A</t>
  </si>
  <si>
    <t>TREIT256A</t>
  </si>
  <si>
    <t>TREIT286A</t>
  </si>
  <si>
    <t>TRT196A</t>
  </si>
  <si>
    <t>TRT196B</t>
  </si>
  <si>
    <t>TRT198A</t>
  </si>
  <si>
    <t>TRT199A</t>
  </si>
  <si>
    <t>TRT206A</t>
  </si>
  <si>
    <t>TRUE192A</t>
  </si>
  <si>
    <t>TRUE195A</t>
  </si>
  <si>
    <t>TSE19OA</t>
  </si>
  <si>
    <t>TSE204A</t>
  </si>
  <si>
    <t>TTA213A</t>
  </si>
  <si>
    <t>TTA221A</t>
  </si>
  <si>
    <t>TTCL205A</t>
  </si>
  <si>
    <t>TTCL205B</t>
  </si>
  <si>
    <t>TTCL211A</t>
  </si>
  <si>
    <t>TTCL225A</t>
  </si>
  <si>
    <t>TTL193A</t>
  </si>
  <si>
    <t>TTL207A</t>
  </si>
  <si>
    <t>TTW192A</t>
  </si>
  <si>
    <t>TTW202A</t>
  </si>
  <si>
    <t>TTW222A</t>
  </si>
  <si>
    <t>TTW255A</t>
  </si>
  <si>
    <t>TU192A</t>
  </si>
  <si>
    <t>TU197A</t>
  </si>
  <si>
    <t>TU201A</t>
  </si>
  <si>
    <t>TU212A</t>
  </si>
  <si>
    <t>TU217A</t>
  </si>
  <si>
    <t>TU217B</t>
  </si>
  <si>
    <t>TU21OA</t>
  </si>
  <si>
    <t>TU221A</t>
  </si>
  <si>
    <t>TU237A</t>
  </si>
  <si>
    <t>TU241A</t>
  </si>
  <si>
    <t>TU242A</t>
  </si>
  <si>
    <t>TU24OA</t>
  </si>
  <si>
    <t>TU271A</t>
  </si>
  <si>
    <t>TUC21DA</t>
  </si>
  <si>
    <t>TUC225A</t>
  </si>
  <si>
    <t>TUC238A</t>
  </si>
  <si>
    <t>TUC23DA</t>
  </si>
  <si>
    <t>TUC245A</t>
  </si>
  <si>
    <t>TUC26DA</t>
  </si>
  <si>
    <t>TUC275A</t>
  </si>
  <si>
    <t>TUC295A</t>
  </si>
  <si>
    <t>TWPL18DA</t>
  </si>
  <si>
    <t>UAC206A</t>
  </si>
  <si>
    <t>UMI197A</t>
  </si>
  <si>
    <t>UNIQ18NA</t>
  </si>
  <si>
    <t>UNIQ191A</t>
  </si>
  <si>
    <t>UNIQ195A</t>
  </si>
  <si>
    <t>UNIQ218A</t>
  </si>
  <si>
    <t>UOBT279A</t>
  </si>
  <si>
    <t>UV205A</t>
  </si>
  <si>
    <t>UV236A</t>
  </si>
  <si>
    <t>UWC201A</t>
  </si>
  <si>
    <t>VTE192A</t>
  </si>
  <si>
    <t>WHA18NA</t>
  </si>
  <si>
    <t>WHA194A</t>
  </si>
  <si>
    <t>WHA195A</t>
  </si>
  <si>
    <t>WHA195B</t>
  </si>
  <si>
    <t>WHA196A</t>
  </si>
  <si>
    <t>WHA196B</t>
  </si>
  <si>
    <t>WHA197A</t>
  </si>
  <si>
    <t>WHA197B</t>
  </si>
  <si>
    <t>WHA197C</t>
  </si>
  <si>
    <t>WHA199A</t>
  </si>
  <si>
    <t>WHA204A</t>
  </si>
  <si>
    <t>WHA204B</t>
  </si>
  <si>
    <t>WHA204C</t>
  </si>
  <si>
    <t>WHA208A</t>
  </si>
  <si>
    <t>WHA20OA</t>
  </si>
  <si>
    <t>WHA217A</t>
  </si>
  <si>
    <t>WHA219A</t>
  </si>
  <si>
    <t>WHA224A</t>
  </si>
  <si>
    <t>WHA234A</t>
  </si>
  <si>
    <t>WHA23OA</t>
  </si>
  <si>
    <t>WHA247A</t>
  </si>
  <si>
    <t>WHA25OA</t>
  </si>
  <si>
    <t>WHART253A</t>
  </si>
  <si>
    <t>WHAUP208B</t>
  </si>
  <si>
    <t>WHAUP216A</t>
  </si>
  <si>
    <t>WHAUP236A</t>
  </si>
  <si>
    <t>WHAUP256A</t>
  </si>
  <si>
    <t>WHH18DA</t>
  </si>
  <si>
    <t>WHH191A</t>
  </si>
  <si>
    <t>WIIK196A</t>
  </si>
  <si>
    <t>Commercial Papers</t>
  </si>
  <si>
    <t>A19201A</t>
  </si>
  <si>
    <t>A19201B</t>
  </si>
  <si>
    <t>ALE18D27A</t>
  </si>
  <si>
    <t>ALPHA18N19A</t>
  </si>
  <si>
    <t>ALPHA18N30A</t>
  </si>
  <si>
    <t>AP18D21A</t>
  </si>
  <si>
    <t>AP18D26A</t>
  </si>
  <si>
    <t>AP18D26B</t>
  </si>
  <si>
    <t>AP18D27A</t>
  </si>
  <si>
    <t>AP19328A</t>
  </si>
  <si>
    <t>ASAE18D12A</t>
  </si>
  <si>
    <t>ASAE18N05A</t>
  </si>
  <si>
    <t>ASAE18N12A</t>
  </si>
  <si>
    <t>ASAE18O31A</t>
  </si>
  <si>
    <t>ASAE18O31B</t>
  </si>
  <si>
    <t>ASAE19109A</t>
  </si>
  <si>
    <t>ASAE19122A</t>
  </si>
  <si>
    <t>ASK18D03A</t>
  </si>
  <si>
    <t>ASK18D11A</t>
  </si>
  <si>
    <t>ASK18D12A</t>
  </si>
  <si>
    <t>ASK18D13A</t>
  </si>
  <si>
    <t>ASK18D13B</t>
  </si>
  <si>
    <t>ASK18D17A</t>
  </si>
  <si>
    <t>ASK18D19A</t>
  </si>
  <si>
    <t>ASK18D25A</t>
  </si>
  <si>
    <t>ASK18N01A</t>
  </si>
  <si>
    <t>ASK18N23A</t>
  </si>
  <si>
    <t>ASK18N27A</t>
  </si>
  <si>
    <t>ASK18N27B</t>
  </si>
  <si>
    <t>ASK18N30A</t>
  </si>
  <si>
    <t>ASK18O30A</t>
  </si>
  <si>
    <t>ASK18O30B</t>
  </si>
  <si>
    <t>ASK19104A</t>
  </si>
  <si>
    <t>ASK19110A</t>
  </si>
  <si>
    <t>ASK19116A</t>
  </si>
  <si>
    <t>ASK19116B</t>
  </si>
  <si>
    <t>ASK19117A</t>
  </si>
  <si>
    <t>ASK19118A</t>
  </si>
  <si>
    <t>ASK19122A</t>
  </si>
  <si>
    <t>ASK19227A</t>
  </si>
  <si>
    <t>ASK19313A</t>
  </si>
  <si>
    <t>ASK19320A</t>
  </si>
  <si>
    <t>ASK19327A</t>
  </si>
  <si>
    <t>ASK19404A</t>
  </si>
  <si>
    <t>ASP18N08A</t>
  </si>
  <si>
    <t>ASP18O30A</t>
  </si>
  <si>
    <t>BAN18N02A</t>
  </si>
  <si>
    <t>BANPU18N02A</t>
  </si>
  <si>
    <t>BANPU19131A</t>
  </si>
  <si>
    <t>BANPU19131B</t>
  </si>
  <si>
    <t>BANPU19214A</t>
  </si>
  <si>
    <t>BANPU19222A</t>
  </si>
  <si>
    <t>BEWCON19102A</t>
  </si>
  <si>
    <t>BSL18D03A</t>
  </si>
  <si>
    <t>BSL18D03B</t>
  </si>
  <si>
    <t>BSL18D13A</t>
  </si>
  <si>
    <t>BSL18D13B</t>
  </si>
  <si>
    <t>BSL18D14A</t>
  </si>
  <si>
    <t>BSL18D19A</t>
  </si>
  <si>
    <t>BSL18D20A</t>
  </si>
  <si>
    <t>BSL18N01A</t>
  </si>
  <si>
    <t>BSL18N08A</t>
  </si>
  <si>
    <t>BSL18N08B</t>
  </si>
  <si>
    <t>BSL18N13A</t>
  </si>
  <si>
    <t>BSL18N15A</t>
  </si>
  <si>
    <t>BSL18N29A</t>
  </si>
  <si>
    <t>BSL18O26A</t>
  </si>
  <si>
    <t>BSL19110A</t>
  </si>
  <si>
    <t>BSL19110B</t>
  </si>
  <si>
    <t>BSL19116A</t>
  </si>
  <si>
    <t>BSL19117A</t>
  </si>
  <si>
    <t>BSL19117B</t>
  </si>
  <si>
    <t>BTCL18N23A</t>
  </si>
  <si>
    <t>BTSG18D04A</t>
  </si>
  <si>
    <t>BTSG18D11A</t>
  </si>
  <si>
    <t>BTSG18D13A</t>
  </si>
  <si>
    <t>BTSG18D17A</t>
  </si>
  <si>
    <t>BTSG18D17B</t>
  </si>
  <si>
    <t>BTSG18D19A</t>
  </si>
  <si>
    <t>BTSG18N01A</t>
  </si>
  <si>
    <t>BTSG18N01B</t>
  </si>
  <si>
    <t>BTSG18N06A</t>
  </si>
  <si>
    <t>BTSG18N06B</t>
  </si>
  <si>
    <t>BTSG18N07A</t>
  </si>
  <si>
    <t>BTSG18N08A</t>
  </si>
  <si>
    <t>BTSG18N13A</t>
  </si>
  <si>
    <t>BTSG18N14A</t>
  </si>
  <si>
    <t>BTSG18N14B</t>
  </si>
  <si>
    <t>BTSG18N16A</t>
  </si>
  <si>
    <t>BTSG18N29A</t>
  </si>
  <si>
    <t>BTSG18N29B</t>
  </si>
  <si>
    <t>BTSG19103A</t>
  </si>
  <si>
    <t>BTSG19110A</t>
  </si>
  <si>
    <t>BTSG19116A</t>
  </si>
  <si>
    <t>BTSG19117A</t>
  </si>
  <si>
    <t>BTSG19131A</t>
  </si>
  <si>
    <t>BTSG19214A</t>
  </si>
  <si>
    <t>BTSG19214B</t>
  </si>
  <si>
    <t>CFRESH19307A</t>
  </si>
  <si>
    <t>CGD19314A</t>
  </si>
  <si>
    <t>CGD19404A</t>
  </si>
  <si>
    <t>CHOO19201A</t>
  </si>
  <si>
    <t>CHOW19117A</t>
  </si>
  <si>
    <t>CHOW19122A</t>
  </si>
  <si>
    <t>CK18N08A</t>
  </si>
  <si>
    <t>CK18N22A</t>
  </si>
  <si>
    <t>CK19205A</t>
  </si>
  <si>
    <t>CK19305A</t>
  </si>
  <si>
    <t>CK19312A</t>
  </si>
  <si>
    <t>CMT18D14A</t>
  </si>
  <si>
    <t>CMT18D21A</t>
  </si>
  <si>
    <t>CMT18N30A</t>
  </si>
  <si>
    <t>CNS19205A</t>
  </si>
  <si>
    <t>CPF18N23A</t>
  </si>
  <si>
    <t>CPF18N23B</t>
  </si>
  <si>
    <t>CPF18O30A</t>
  </si>
  <si>
    <t>CPF18O30B</t>
  </si>
  <si>
    <t>CPF18O31A</t>
  </si>
  <si>
    <t>CPF19117A</t>
  </si>
  <si>
    <t>CPF19117B</t>
  </si>
  <si>
    <t>CPF19228A</t>
  </si>
  <si>
    <t>CPF19411A</t>
  </si>
  <si>
    <t>CPF19418A</t>
  </si>
  <si>
    <t>CPF19430A</t>
  </si>
  <si>
    <t>CPF19514A</t>
  </si>
  <si>
    <t>CPF19516A</t>
  </si>
  <si>
    <t>CPF19529A</t>
  </si>
  <si>
    <t>CPFTH18D04A</t>
  </si>
  <si>
    <t>CPFTH18N16A</t>
  </si>
  <si>
    <t>CPFTH18N16B</t>
  </si>
  <si>
    <t>CPFTH18N21A</t>
  </si>
  <si>
    <t>CPFTH18N29A</t>
  </si>
  <si>
    <t>CPFTH19115A</t>
  </si>
  <si>
    <t>CPFTH19115B</t>
  </si>
  <si>
    <t>CPFTH19125A</t>
  </si>
  <si>
    <t>CPFTH19125B</t>
  </si>
  <si>
    <t>CPFTH19205A</t>
  </si>
  <si>
    <t>CPFTH19208A</t>
  </si>
  <si>
    <t>CPFTH19214A</t>
  </si>
  <si>
    <t>CPFTH19219A</t>
  </si>
  <si>
    <t>CPFTH19319A</t>
  </si>
  <si>
    <t>CPFTH19319B</t>
  </si>
  <si>
    <t>CPFTH19326A</t>
  </si>
  <si>
    <t>CPFTH19418A</t>
  </si>
  <si>
    <t>CPG18N23A</t>
  </si>
  <si>
    <t>CPN18D20A</t>
  </si>
  <si>
    <t>DRKR18D17A</t>
  </si>
  <si>
    <t>DRLTT18D27A</t>
  </si>
  <si>
    <t>DRLTT18D27B</t>
  </si>
  <si>
    <t>EA18N13A</t>
  </si>
  <si>
    <t>EA19110A</t>
  </si>
  <si>
    <t>EA19110B</t>
  </si>
  <si>
    <t>EA19307A</t>
  </si>
  <si>
    <t>EA19321A</t>
  </si>
  <si>
    <t>EA19321B</t>
  </si>
  <si>
    <t>EA19411A</t>
  </si>
  <si>
    <t>EB18N05A</t>
  </si>
  <si>
    <t>EB18N05B</t>
  </si>
  <si>
    <t>EB18N05C</t>
  </si>
  <si>
    <t>EB18N09A</t>
  </si>
  <si>
    <t>EB18N12A</t>
  </si>
  <si>
    <t>EB18N12B</t>
  </si>
  <si>
    <t>EB18N14A</t>
  </si>
  <si>
    <t>EB18N14B</t>
  </si>
  <si>
    <t>EB18N23A</t>
  </si>
  <si>
    <t>EB18O31A</t>
  </si>
  <si>
    <t>EB18O31B</t>
  </si>
  <si>
    <t>EGANT18N29A</t>
  </si>
  <si>
    <t>EGANT19201A</t>
  </si>
  <si>
    <t>EGANT19301A</t>
  </si>
  <si>
    <t>EGANT19405A</t>
  </si>
  <si>
    <t>EGANT19405B</t>
  </si>
  <si>
    <t>ELITE18D04A</t>
  </si>
  <si>
    <t>ELITE18D04B</t>
  </si>
  <si>
    <t>ELITE18D07A</t>
  </si>
  <si>
    <t>ELITE18D12A</t>
  </si>
  <si>
    <t>ELITE18D14A</t>
  </si>
  <si>
    <t>ELITE18D25A</t>
  </si>
  <si>
    <t>ELITE18D25B</t>
  </si>
  <si>
    <t>ELITE18D26A</t>
  </si>
  <si>
    <t>ELITE18N03A</t>
  </si>
  <si>
    <t>ELITE18N05A</t>
  </si>
  <si>
    <t>ELITE18N06A</t>
  </si>
  <si>
    <t>ELITE18N08A</t>
  </si>
  <si>
    <t>ELITE18N20A</t>
  </si>
  <si>
    <t>ELITE18O31A</t>
  </si>
  <si>
    <t>ELITE19112A</t>
  </si>
  <si>
    <t>ELITE19131A</t>
  </si>
  <si>
    <t>ELITE19131B</t>
  </si>
  <si>
    <t>ELITE19131C</t>
  </si>
  <si>
    <t>ELITE19201A</t>
  </si>
  <si>
    <t>ELITE19211A</t>
  </si>
  <si>
    <t>ELITE19215A</t>
  </si>
  <si>
    <t>ELITE19301A</t>
  </si>
  <si>
    <t>EPCO18D03A</t>
  </si>
  <si>
    <t>EPCO18N07A</t>
  </si>
  <si>
    <t>EPCO18N13A</t>
  </si>
  <si>
    <t>EPCO18N20A</t>
  </si>
  <si>
    <t>EPCO19425A</t>
  </si>
  <si>
    <t>ESC18N12A</t>
  </si>
  <si>
    <t>ESC18N13A</t>
  </si>
  <si>
    <t>ESC19212A</t>
  </si>
  <si>
    <t>ESSO18O29A</t>
  </si>
  <si>
    <t>F1(tha)</t>
  </si>
  <si>
    <t>FPI18O31A</t>
  </si>
  <si>
    <t>GLOBAL19228A</t>
  </si>
  <si>
    <t>GLOBAL19307A</t>
  </si>
  <si>
    <t>GOLD18D07A</t>
  </si>
  <si>
    <t>GOLD19221A</t>
  </si>
  <si>
    <t>GOLD19228A</t>
  </si>
  <si>
    <t>GOLD19418A</t>
  </si>
  <si>
    <t>GOLD19419A</t>
  </si>
  <si>
    <t>GRAND18N02A</t>
  </si>
  <si>
    <t>GRAND19109A</t>
  </si>
  <si>
    <t>GUNKUL18D21A</t>
  </si>
  <si>
    <t>GUNKUL19111A</t>
  </si>
  <si>
    <t>GUNKUL19116A</t>
  </si>
  <si>
    <t>GUNKUL19214A</t>
  </si>
  <si>
    <t>GUNKUL19221A</t>
  </si>
  <si>
    <t>GUNKUL19418A</t>
  </si>
  <si>
    <t>IAJVT19104A</t>
  </si>
  <si>
    <t>IAJVT19206A</t>
  </si>
  <si>
    <t>IAJVT19524A</t>
  </si>
  <si>
    <t>ICBCTL18D03A</t>
  </si>
  <si>
    <t>ICBCTL18N06A</t>
  </si>
  <si>
    <t>ICBCTL18N08A</t>
  </si>
  <si>
    <t>ICBCTL18N13A</t>
  </si>
  <si>
    <t>ICBCTL18N15A</t>
  </si>
  <si>
    <t>ICBCTL18N20A</t>
  </si>
  <si>
    <t>ICBCTL18N27A</t>
  </si>
  <si>
    <t>ICBCTL18O26A</t>
  </si>
  <si>
    <t>ICBCTL18O26B</t>
  </si>
  <si>
    <t>ICBCTL19116A</t>
  </si>
  <si>
    <t>INET19125A</t>
  </si>
  <si>
    <t>INET19222A</t>
  </si>
  <si>
    <t>INET19314A</t>
  </si>
  <si>
    <t>INET19320A</t>
  </si>
  <si>
    <t>ISO18D28A</t>
  </si>
  <si>
    <t>ISO18N16A</t>
  </si>
  <si>
    <t>ISO19125A</t>
  </si>
  <si>
    <t>ISO19127A</t>
  </si>
  <si>
    <t>ITD18D25A</t>
  </si>
  <si>
    <t>ITD19107A</t>
  </si>
  <si>
    <t>ITD19219A</t>
  </si>
  <si>
    <t>ITD19412A</t>
  </si>
  <si>
    <t>JMART18N13A</t>
  </si>
  <si>
    <t>JMART18N15A</t>
  </si>
  <si>
    <t>JMART18N15B</t>
  </si>
  <si>
    <t>JMT18N13A</t>
  </si>
  <si>
    <t>JMT18N20A</t>
  </si>
  <si>
    <t>JWD18N12A</t>
  </si>
  <si>
    <t>KCAR18N13A</t>
  </si>
  <si>
    <t>KGI18D03A</t>
  </si>
  <si>
    <t>KGI18D13A</t>
  </si>
  <si>
    <t>KGI18N05A</t>
  </si>
  <si>
    <t>KGI18N08A</t>
  </si>
  <si>
    <t>KGI18N15A</t>
  </si>
  <si>
    <t>KGI18N23A</t>
  </si>
  <si>
    <t>KGI19304A</t>
  </si>
  <si>
    <t>KK18D14A</t>
  </si>
  <si>
    <t>KK18D14B</t>
  </si>
  <si>
    <t>KK18D17A</t>
  </si>
  <si>
    <t>KK18D17B</t>
  </si>
  <si>
    <t>KK18D18A</t>
  </si>
  <si>
    <t>KK18D20A</t>
  </si>
  <si>
    <t>KK18D20B</t>
  </si>
  <si>
    <t>KK18D20C</t>
  </si>
  <si>
    <t>KK18D21A</t>
  </si>
  <si>
    <t>KK18D21B</t>
  </si>
  <si>
    <t>KK18D24A</t>
  </si>
  <si>
    <t>KK18D28A</t>
  </si>
  <si>
    <t>KK18N01A</t>
  </si>
  <si>
    <t>KK18N01B</t>
  </si>
  <si>
    <t>KK18N02A</t>
  </si>
  <si>
    <t>KK18N13A</t>
  </si>
  <si>
    <t>KK18N26A</t>
  </si>
  <si>
    <t>KK18N27A</t>
  </si>
  <si>
    <t>KK18N27B</t>
  </si>
  <si>
    <t>KK18N27C</t>
  </si>
  <si>
    <t>KK18N29A</t>
  </si>
  <si>
    <t>KK18N29B</t>
  </si>
  <si>
    <t>KK18N30A</t>
  </si>
  <si>
    <t>KK18O26A</t>
  </si>
  <si>
    <t>KK18O26B</t>
  </si>
  <si>
    <t>KK18O29A</t>
  </si>
  <si>
    <t>KK18O30A</t>
  </si>
  <si>
    <t>KK18O31A</t>
  </si>
  <si>
    <t>KK19103A</t>
  </si>
  <si>
    <t>KK19108A</t>
  </si>
  <si>
    <t>KK19108B</t>
  </si>
  <si>
    <t>KK19114A</t>
  </si>
  <si>
    <t>KK19115A</t>
  </si>
  <si>
    <t>KK19117A</t>
  </si>
  <si>
    <t>KK19117B</t>
  </si>
  <si>
    <t>KK19207A</t>
  </si>
  <si>
    <t>KK19212A</t>
  </si>
  <si>
    <t>KK19214A</t>
  </si>
  <si>
    <t>KK19215A</t>
  </si>
  <si>
    <t>KK19215B</t>
  </si>
  <si>
    <t>KK19228A</t>
  </si>
  <si>
    <t>KK19314A</t>
  </si>
  <si>
    <t>KK19314B</t>
  </si>
  <si>
    <t>KK19319A</t>
  </si>
  <si>
    <t>KK19319B</t>
  </si>
  <si>
    <t>KK19320A</t>
  </si>
  <si>
    <t>KK19321A</t>
  </si>
  <si>
    <t>KK19321B</t>
  </si>
  <si>
    <t>KK19321C</t>
  </si>
  <si>
    <t>KK19321D</t>
  </si>
  <si>
    <t>KK19325A</t>
  </si>
  <si>
    <t>KK19326A</t>
  </si>
  <si>
    <t>KK19326B</t>
  </si>
  <si>
    <t>KK19327A</t>
  </si>
  <si>
    <t>KK19328A</t>
  </si>
  <si>
    <t>KK19328B</t>
  </si>
  <si>
    <t>KK19613A</t>
  </si>
  <si>
    <t>KK19613B</t>
  </si>
  <si>
    <t>KK19613C</t>
  </si>
  <si>
    <t>KK19618A</t>
  </si>
  <si>
    <t>KK19620A</t>
  </si>
  <si>
    <t>KK19620B</t>
  </si>
  <si>
    <t>KK19624A</t>
  </si>
  <si>
    <t>KK19627A</t>
  </si>
  <si>
    <t>KK19627B</t>
  </si>
  <si>
    <t>KSL19116A</t>
  </si>
  <si>
    <t>KSL19214A</t>
  </si>
  <si>
    <t>KT19128A</t>
  </si>
  <si>
    <t>KTC18N05A</t>
  </si>
  <si>
    <t>KTC18N08A</t>
  </si>
  <si>
    <t>KTC18N12A</t>
  </si>
  <si>
    <t>KTC18N15A</t>
  </si>
  <si>
    <t>KTC18N15B</t>
  </si>
  <si>
    <t>KTC18N20A</t>
  </si>
  <si>
    <t>KTC18O26A</t>
  </si>
  <si>
    <t>KTC18O31A</t>
  </si>
  <si>
    <t>KTC18O31B</t>
  </si>
  <si>
    <t>KTC19115A</t>
  </si>
  <si>
    <t>KTC19115B</t>
  </si>
  <si>
    <t>KTS19217A</t>
  </si>
  <si>
    <t>KTZ18D21A</t>
  </si>
  <si>
    <t>KTZ18O26A</t>
  </si>
  <si>
    <t>KVP19117A</t>
  </si>
  <si>
    <t>LALIN18D06A</t>
  </si>
  <si>
    <t>LALIN18D28A</t>
  </si>
  <si>
    <t>LALIN18N08A</t>
  </si>
  <si>
    <t>LHBANK18D13A</t>
  </si>
  <si>
    <t>LHBANK18D20A</t>
  </si>
  <si>
    <t>LHBANK18D28A</t>
  </si>
  <si>
    <t>LHBANK18N20A</t>
  </si>
  <si>
    <t>LHBANK18N21A</t>
  </si>
  <si>
    <t>LHBANK18N28A</t>
  </si>
  <si>
    <t>LHBANK18N29A</t>
  </si>
  <si>
    <t>LHBANK18O29A</t>
  </si>
  <si>
    <t>LHBANK19108A</t>
  </si>
  <si>
    <t>LHBANK19205A</t>
  </si>
  <si>
    <t>LHBANK19205B</t>
  </si>
  <si>
    <t>LHBANK19226A</t>
  </si>
  <si>
    <t>LHBANK19226B</t>
  </si>
  <si>
    <t>LHBANK19319A</t>
  </si>
  <si>
    <t>LHBANK19319B</t>
  </si>
  <si>
    <t>LHBANK19319C</t>
  </si>
  <si>
    <t>LHBANK19321A</t>
  </si>
  <si>
    <t>LHBANK19326A</t>
  </si>
  <si>
    <t>LHBANK19326B</t>
  </si>
  <si>
    <t>LHBANK19425A</t>
  </si>
  <si>
    <t>LHBANK19625A</t>
  </si>
  <si>
    <t>LPN18N15A</t>
  </si>
  <si>
    <t>LPN18N21A</t>
  </si>
  <si>
    <t>LPN19503A</t>
  </si>
  <si>
    <t>LVC18N02A</t>
  </si>
  <si>
    <t>MAJOR18O26A</t>
  </si>
  <si>
    <t>MAJOR19312A</t>
  </si>
  <si>
    <t>MBK18D18A</t>
  </si>
  <si>
    <t>MBK18D18B</t>
  </si>
  <si>
    <t>MBK19115A</t>
  </si>
  <si>
    <t>MBK19122A</t>
  </si>
  <si>
    <t>MBKET18D25A</t>
  </si>
  <si>
    <t>MBKET18D28A</t>
  </si>
  <si>
    <t>MBKET18N16A</t>
  </si>
  <si>
    <t>MBKET18N16B</t>
  </si>
  <si>
    <t>MBKET18N16C</t>
  </si>
  <si>
    <t>MBKET18N22A</t>
  </si>
  <si>
    <t>MBKET18N23A</t>
  </si>
  <si>
    <t>MBKET18N29A</t>
  </si>
  <si>
    <t>MBKET18N30A</t>
  </si>
  <si>
    <t>MBKET19110A</t>
  </si>
  <si>
    <t>MBKET19115A</t>
  </si>
  <si>
    <t>MBKET19124A</t>
  </si>
  <si>
    <t>MDL18D27A</t>
  </si>
  <si>
    <t>MIDA18N20A</t>
  </si>
  <si>
    <t>MIDA19716A</t>
  </si>
  <si>
    <t>MILLBU18D23A</t>
  </si>
  <si>
    <t>MILLBU18D28A</t>
  </si>
  <si>
    <t>MILLBU18N02A</t>
  </si>
  <si>
    <t>MILLBU19112A</t>
  </si>
  <si>
    <t>MILLBU19309A</t>
  </si>
  <si>
    <t>MILLBU19324A</t>
  </si>
  <si>
    <t>MILLBU19330A</t>
  </si>
  <si>
    <t>MILLBU19401A</t>
  </si>
  <si>
    <t>MILLBU19406A</t>
  </si>
  <si>
    <t>MJD19219A</t>
  </si>
  <si>
    <t>MJD19312A</t>
  </si>
  <si>
    <t>MK18D06A</t>
  </si>
  <si>
    <t>MK18D20A</t>
  </si>
  <si>
    <t>MK19107A</t>
  </si>
  <si>
    <t>MK19110A</t>
  </si>
  <si>
    <t>MK19110B</t>
  </si>
  <si>
    <t>MK19117A</t>
  </si>
  <si>
    <t>MK19117B</t>
  </si>
  <si>
    <t>MK19222A</t>
  </si>
  <si>
    <t>MK19402A</t>
  </si>
  <si>
    <t>MK19418A</t>
  </si>
  <si>
    <t>MK19418B</t>
  </si>
  <si>
    <t>MK19523A</t>
  </si>
  <si>
    <t>MK19605A</t>
  </si>
  <si>
    <t>MPSC18D11A</t>
  </si>
  <si>
    <t>MPSC18O31A</t>
  </si>
  <si>
    <t>MQDC18D24A</t>
  </si>
  <si>
    <t>MQDC19219A</t>
  </si>
  <si>
    <t>MQDC19414A</t>
  </si>
  <si>
    <t>MT18D02A</t>
  </si>
  <si>
    <t>MT18N10A</t>
  </si>
  <si>
    <t>MT18N18A</t>
  </si>
  <si>
    <t>MT18N25A</t>
  </si>
  <si>
    <t>MT19215A</t>
  </si>
  <si>
    <t>MT19322A</t>
  </si>
  <si>
    <t>MT19322B</t>
  </si>
  <si>
    <t>MTC18D03A</t>
  </si>
  <si>
    <t>MTC18D19A</t>
  </si>
  <si>
    <t>MTC18D20A</t>
  </si>
  <si>
    <t>MTC18N01A</t>
  </si>
  <si>
    <t>MTC18N02A</t>
  </si>
  <si>
    <t>MTC18N02B</t>
  </si>
  <si>
    <t>MTC18N05A</t>
  </si>
  <si>
    <t>MTC18N07A</t>
  </si>
  <si>
    <t>MTC18N09A</t>
  </si>
  <si>
    <t>MTC18N12A</t>
  </si>
  <si>
    <t>MTC18N13A</t>
  </si>
  <si>
    <t>MTC18N13B</t>
  </si>
  <si>
    <t>MTC18N15A</t>
  </si>
  <si>
    <t>MTC18N22A</t>
  </si>
  <si>
    <t>MTC18N22B</t>
  </si>
  <si>
    <t>MTC18N29A</t>
  </si>
  <si>
    <t>MTC19214A</t>
  </si>
  <si>
    <t>MTC19220A</t>
  </si>
  <si>
    <t>MTC19304A</t>
  </si>
  <si>
    <t>MTC19304B</t>
  </si>
  <si>
    <t>MTC19305A</t>
  </si>
  <si>
    <t>MTC19307A</t>
  </si>
  <si>
    <t>MTC19307B</t>
  </si>
  <si>
    <t>MTC19307C</t>
  </si>
  <si>
    <t>MTC19314A</t>
  </si>
  <si>
    <t>MTC19321A</t>
  </si>
  <si>
    <t>MTC19321B</t>
  </si>
  <si>
    <t>MTC19321C</t>
  </si>
  <si>
    <t>NATHA19111A</t>
  </si>
  <si>
    <t>NAWA18D20A</t>
  </si>
  <si>
    <t>NOBLE18N09A</t>
  </si>
  <si>
    <t>NOBLE18N23A</t>
  </si>
  <si>
    <t>NOBLE19220A</t>
  </si>
  <si>
    <t>NOBLE19322A</t>
  </si>
  <si>
    <t>NOBLE19420A</t>
  </si>
  <si>
    <t>NOBLE19607A</t>
  </si>
  <si>
    <t>NTLC18N30A</t>
  </si>
  <si>
    <t>OANDAS18D04A</t>
  </si>
  <si>
    <t>OANDAS18D19A</t>
  </si>
  <si>
    <t>OANDAS19101A</t>
  </si>
  <si>
    <t>ORC18N01A</t>
  </si>
  <si>
    <t>ORC18N11A</t>
  </si>
  <si>
    <t>ORI18D04A</t>
  </si>
  <si>
    <t>ORI18D06A</t>
  </si>
  <si>
    <t>ORI18D12A</t>
  </si>
  <si>
    <t>ORI18N12A</t>
  </si>
  <si>
    <t>ORI19116A</t>
  </si>
  <si>
    <t>ORI19122A</t>
  </si>
  <si>
    <t>ORI19131A</t>
  </si>
  <si>
    <t>ORI19214A</t>
  </si>
  <si>
    <t>ORI19214B</t>
  </si>
  <si>
    <t>ORI19307A</t>
  </si>
  <si>
    <t>ORI19402A</t>
  </si>
  <si>
    <t>PCG18N23A</t>
  </si>
  <si>
    <t>PDITL19201A</t>
  </si>
  <si>
    <t>PDITL19321A</t>
  </si>
  <si>
    <t>PF18D14A</t>
  </si>
  <si>
    <t>PF19116A</t>
  </si>
  <si>
    <t>PL18N01A</t>
  </si>
  <si>
    <t>PL18N27A</t>
  </si>
  <si>
    <t>PL19107A</t>
  </si>
  <si>
    <t>PL19226A</t>
  </si>
  <si>
    <t>PL19305A</t>
  </si>
  <si>
    <t>PL19307A</t>
  </si>
  <si>
    <t>PMC18D11A</t>
  </si>
  <si>
    <t>PMC18D13A</t>
  </si>
  <si>
    <t>PMC19107A</t>
  </si>
  <si>
    <t>PMC19115A</t>
  </si>
  <si>
    <t>PMC19128A</t>
  </si>
  <si>
    <t>PMC19129A</t>
  </si>
  <si>
    <t>PMC19201A</t>
  </si>
  <si>
    <t>PMC19204A</t>
  </si>
  <si>
    <t>PMC19205A</t>
  </si>
  <si>
    <t>PMC19208A</t>
  </si>
  <si>
    <t>PMC19212A</t>
  </si>
  <si>
    <t>PMC19305A</t>
  </si>
  <si>
    <t>PMC19308A</t>
  </si>
  <si>
    <t>PMC19325A</t>
  </si>
  <si>
    <t>PRAY18D07A</t>
  </si>
  <si>
    <t>PS19125A</t>
  </si>
  <si>
    <t>PTSEC18D12A</t>
  </si>
  <si>
    <t>PTSEC18N15A</t>
  </si>
  <si>
    <t>PTSEC18N15B</t>
  </si>
  <si>
    <t>PTSEC18N16A</t>
  </si>
  <si>
    <t>PTSEC18N22A</t>
  </si>
  <si>
    <t>QH18D13A</t>
  </si>
  <si>
    <t>QH18D20A</t>
  </si>
  <si>
    <t>QH18N06A</t>
  </si>
  <si>
    <t>RC18N23A</t>
  </si>
  <si>
    <t>RIVE18D07A</t>
  </si>
  <si>
    <t>RIVE18N15A</t>
  </si>
  <si>
    <t>RIVE18N16A</t>
  </si>
  <si>
    <t>RIVE19116A</t>
  </si>
  <si>
    <t>RIVE19124A</t>
  </si>
  <si>
    <t>RIVE19201A</t>
  </si>
  <si>
    <t>RIVE19222A</t>
  </si>
  <si>
    <t>RIVE19329A</t>
  </si>
  <si>
    <t>ROJNA18D04A</t>
  </si>
  <si>
    <t>ROJNA18D06A</t>
  </si>
  <si>
    <t>ROJNA18D06B</t>
  </si>
  <si>
    <t>ROJNA18D18A</t>
  </si>
  <si>
    <t>ROJNA18D18B</t>
  </si>
  <si>
    <t>ROJNA18D18C</t>
  </si>
  <si>
    <t>ROJNA18D20A</t>
  </si>
  <si>
    <t>ROJNA18D21A</t>
  </si>
  <si>
    <t>ROJNA18N07A</t>
  </si>
  <si>
    <t>ROJNA18N08A</t>
  </si>
  <si>
    <t>ROJNA18N08B</t>
  </si>
  <si>
    <t>ROJNA18N13A</t>
  </si>
  <si>
    <t>ROJNA18N20A</t>
  </si>
  <si>
    <t>ROJNA18N20B</t>
  </si>
  <si>
    <t>ROJNA18N28A</t>
  </si>
  <si>
    <t>ROJNA18N29A</t>
  </si>
  <si>
    <t>ROJNA19108A</t>
  </si>
  <si>
    <t>ROJNA19110A</t>
  </si>
  <si>
    <t>ROJNA19111A</t>
  </si>
  <si>
    <t>ROJNA19214A</t>
  </si>
  <si>
    <t>ROJNA19214B</t>
  </si>
  <si>
    <t>ROJNA19221A</t>
  </si>
  <si>
    <t>ROJNA19307A</t>
  </si>
  <si>
    <t>ROJNA19321A</t>
  </si>
  <si>
    <t>ROJNA19328A</t>
  </si>
  <si>
    <t>ROJNA19411A</t>
  </si>
  <si>
    <t>ROJNA19418A</t>
  </si>
  <si>
    <t>SAMTEL18N02A</t>
  </si>
  <si>
    <t>SAMTEL18N29A</t>
  </si>
  <si>
    <t>SANANT19228A</t>
  </si>
  <si>
    <t>SAWAD18D04A</t>
  </si>
  <si>
    <t>SAWAD18D06A</t>
  </si>
  <si>
    <t>SAWAD18D13A</t>
  </si>
  <si>
    <t>SAWAD18D20A</t>
  </si>
  <si>
    <t>SAWAD19321A</t>
  </si>
  <si>
    <t>SC18D03A</t>
  </si>
  <si>
    <t>SC18D06A</t>
  </si>
  <si>
    <t>SC18N08A</t>
  </si>
  <si>
    <t>SC18N13A</t>
  </si>
  <si>
    <t>SC18N13B</t>
  </si>
  <si>
    <t>SC18N27A</t>
  </si>
  <si>
    <t>SC19110A</t>
  </si>
  <si>
    <t>SC19124A</t>
  </si>
  <si>
    <t>SC19129A</t>
  </si>
  <si>
    <t>SC19131A</t>
  </si>
  <si>
    <t>SC19305A</t>
  </si>
  <si>
    <t>SC19312A</t>
  </si>
  <si>
    <t>SC19318A</t>
  </si>
  <si>
    <t>SC19321A</t>
  </si>
  <si>
    <t>SC19321B</t>
  </si>
  <si>
    <t>SC19321C</t>
  </si>
  <si>
    <t>SC19321D</t>
  </si>
  <si>
    <t>SC19328A</t>
  </si>
  <si>
    <t>SC19418A</t>
  </si>
  <si>
    <t>SC19618A</t>
  </si>
  <si>
    <t>SCB19327A</t>
  </si>
  <si>
    <t>SCIC18D13A</t>
  </si>
  <si>
    <t>SCIC18D14A</t>
  </si>
  <si>
    <t>SCIC18D17A</t>
  </si>
  <si>
    <t>SCIC18D18A</t>
  </si>
  <si>
    <t>SCIC18D19A</t>
  </si>
  <si>
    <t>SCIC18D20A</t>
  </si>
  <si>
    <t>SCIC18D21A</t>
  </si>
  <si>
    <t>SCIC18D24A</t>
  </si>
  <si>
    <t>SCIC18D25A</t>
  </si>
  <si>
    <t>SCIC18D26A</t>
  </si>
  <si>
    <t>SCIC18D27A</t>
  </si>
  <si>
    <t>SCIC18N19A</t>
  </si>
  <si>
    <t>SCIC18N22A</t>
  </si>
  <si>
    <t>SCIC18N27A</t>
  </si>
  <si>
    <t>SCIC19118A</t>
  </si>
  <si>
    <t>SCIC19121A</t>
  </si>
  <si>
    <t>SCIC19122A</t>
  </si>
  <si>
    <t>SCIC19124A</t>
  </si>
  <si>
    <t>SCIC19129A</t>
  </si>
  <si>
    <t>SCIC19201A</t>
  </si>
  <si>
    <t>SCIC19205A</t>
  </si>
  <si>
    <t>SCS18D04A</t>
  </si>
  <si>
    <t>SCS18D14A</t>
  </si>
  <si>
    <t>SCS18D14B</t>
  </si>
  <si>
    <t>SCS18D17A</t>
  </si>
  <si>
    <t>SCS18D18A</t>
  </si>
  <si>
    <t>SCS18D18B</t>
  </si>
  <si>
    <t>SCS18D18C</t>
  </si>
  <si>
    <t>SCS18D19A</t>
  </si>
  <si>
    <t>SCS18D20A</t>
  </si>
  <si>
    <t>SCS18D20B</t>
  </si>
  <si>
    <t>SCS18D21A</t>
  </si>
  <si>
    <t>SCS18D24A</t>
  </si>
  <si>
    <t>SCS18D24B</t>
  </si>
  <si>
    <t>SCS18D26A</t>
  </si>
  <si>
    <t>SCS18D28A</t>
  </si>
  <si>
    <t>SCS18N19A</t>
  </si>
  <si>
    <t>SCS18N21A</t>
  </si>
  <si>
    <t>SCS18N23A</t>
  </si>
  <si>
    <t>SCS18N27A</t>
  </si>
  <si>
    <t>SCS18N28A</t>
  </si>
  <si>
    <t>SCS18N30A</t>
  </si>
  <si>
    <t>SCS19107A</t>
  </si>
  <si>
    <t>SCS19108A</t>
  </si>
  <si>
    <t>SCS19109A</t>
  </si>
  <si>
    <t>SCS19110A</t>
  </si>
  <si>
    <t>SCS19111A</t>
  </si>
  <si>
    <t>SCS19114A</t>
  </si>
  <si>
    <t>SCS19115A</t>
  </si>
  <si>
    <t>SCS19121A</t>
  </si>
  <si>
    <t>SCS19124A</t>
  </si>
  <si>
    <t>SEAFCO18D27A</t>
  </si>
  <si>
    <t>SEAFCO18N22A</t>
  </si>
  <si>
    <t>SEAFCO19123A</t>
  </si>
  <si>
    <t>SECCEN18N07A</t>
  </si>
  <si>
    <t>SENA18D20A</t>
  </si>
  <si>
    <t>SENA18N29A</t>
  </si>
  <si>
    <t>SENA19110A</t>
  </si>
  <si>
    <t>SENA19111A</t>
  </si>
  <si>
    <t>SENA19405A</t>
  </si>
  <si>
    <t>SF19118A</t>
  </si>
  <si>
    <t>SG18D21A</t>
  </si>
  <si>
    <t>SG18N06A</t>
  </si>
  <si>
    <t>SG19110A</t>
  </si>
  <si>
    <t>SG19115A</t>
  </si>
  <si>
    <t>SG19116A</t>
  </si>
  <si>
    <t>SG19118A</t>
  </si>
  <si>
    <t>SG19214A</t>
  </si>
  <si>
    <t>SG19222A</t>
  </si>
  <si>
    <t>SG19305A</t>
  </si>
  <si>
    <t>SG19314A</t>
  </si>
  <si>
    <t>SG19411A</t>
  </si>
  <si>
    <t>SG19418A</t>
  </si>
  <si>
    <t>SHUN18D21A</t>
  </si>
  <si>
    <t>SHUN18D24A</t>
  </si>
  <si>
    <t>SHUN18N05A</t>
  </si>
  <si>
    <t>SHUN18N07A</t>
  </si>
  <si>
    <t>SHUN18N21A</t>
  </si>
  <si>
    <t>SHUN18N26A</t>
  </si>
  <si>
    <t>SHUN18N28A</t>
  </si>
  <si>
    <t>SHUN19107A</t>
  </si>
  <si>
    <t>SHUN19108A</t>
  </si>
  <si>
    <t>SHUN19120A</t>
  </si>
  <si>
    <t>SHUN19130A</t>
  </si>
  <si>
    <t>SHUN19223A</t>
  </si>
  <si>
    <t>SHUN19224A</t>
  </si>
  <si>
    <t>SHUN19318A</t>
  </si>
  <si>
    <t>SHUN19324A</t>
  </si>
  <si>
    <t>SHUN19324B</t>
  </si>
  <si>
    <t>SHUN19325A</t>
  </si>
  <si>
    <t>SHUN19326A</t>
  </si>
  <si>
    <t>SHUN19327A</t>
  </si>
  <si>
    <t>SHUN19330A</t>
  </si>
  <si>
    <t>SIRI18D11A</t>
  </si>
  <si>
    <t>SIRI18D11B</t>
  </si>
  <si>
    <t>SIRI18D18A</t>
  </si>
  <si>
    <t>SIRI18D18B</t>
  </si>
  <si>
    <t>SIRI18D20A</t>
  </si>
  <si>
    <t>SIRI18N06A</t>
  </si>
  <si>
    <t>SIRI18N06B</t>
  </si>
  <si>
    <t>SIRI18N06C</t>
  </si>
  <si>
    <t>SIRI18N13A</t>
  </si>
  <si>
    <t>SIRI18N13B</t>
  </si>
  <si>
    <t>SIRI18N20A</t>
  </si>
  <si>
    <t>SIRI18N27A</t>
  </si>
  <si>
    <t>SIRI18N27B</t>
  </si>
  <si>
    <t>SIRI18O31A</t>
  </si>
  <si>
    <t>SIRI19107A</t>
  </si>
  <si>
    <t>SIRI19108A</t>
  </si>
  <si>
    <t>SIRI19110A</t>
  </si>
  <si>
    <t>SIRI19116A</t>
  </si>
  <si>
    <t>SIRI19117A</t>
  </si>
  <si>
    <t>SIRI19117B</t>
  </si>
  <si>
    <t>SIRI19123A</t>
  </si>
  <si>
    <t>SIRI19129A</t>
  </si>
  <si>
    <t>SIRI19214A</t>
  </si>
  <si>
    <t>SIRI19221A</t>
  </si>
  <si>
    <t>SIRI19221B</t>
  </si>
  <si>
    <t>SIRI19221C</t>
  </si>
  <si>
    <t>SIRI19228A</t>
  </si>
  <si>
    <t>SIRI19304A</t>
  </si>
  <si>
    <t>SIRI19321A</t>
  </si>
  <si>
    <t>SIRI19327A</t>
  </si>
  <si>
    <t>SIRI19425A</t>
  </si>
  <si>
    <t>SKY18N05A</t>
  </si>
  <si>
    <t>SLC19111A</t>
  </si>
  <si>
    <t>SLC19125A</t>
  </si>
  <si>
    <t>SPEP18N04A</t>
  </si>
  <si>
    <t>SPEP18N12A</t>
  </si>
  <si>
    <t>SPK18N07A</t>
  </si>
  <si>
    <t>SRD19402A</t>
  </si>
  <si>
    <t>SSCL19124A</t>
  </si>
  <si>
    <t>TANU19208A</t>
  </si>
  <si>
    <t>TANU19222A</t>
  </si>
  <si>
    <t>TANU19308A</t>
  </si>
  <si>
    <t>TANU19315A</t>
  </si>
  <si>
    <t>TFG18D27A</t>
  </si>
  <si>
    <t>TFG18N02A</t>
  </si>
  <si>
    <t>TFG18N23A</t>
  </si>
  <si>
    <t>TFG19103A</t>
  </si>
  <si>
    <t>TFG19116A</t>
  </si>
  <si>
    <t>TFG19116B</t>
  </si>
  <si>
    <t>TFG19221A</t>
  </si>
  <si>
    <t>TFG19424A</t>
  </si>
  <si>
    <t>THANI18D04A</t>
  </si>
  <si>
    <t>THANI18D04B</t>
  </si>
  <si>
    <t>THANI18D06A</t>
  </si>
  <si>
    <t>THANI18D06B</t>
  </si>
  <si>
    <t>THANI18D06C</t>
  </si>
  <si>
    <t>THANI18D07A</t>
  </si>
  <si>
    <t>THANI18D07B</t>
  </si>
  <si>
    <t>THANI18D11A</t>
  </si>
  <si>
    <t>THANI18D13A</t>
  </si>
  <si>
    <t>THANI18D13B</t>
  </si>
  <si>
    <t>THANI18D13C</t>
  </si>
  <si>
    <t>THANI18D13D</t>
  </si>
  <si>
    <t>THANI18D14A</t>
  </si>
  <si>
    <t>THANI18D14B</t>
  </si>
  <si>
    <t>THANI18D18A</t>
  </si>
  <si>
    <t>THANI18D20A</t>
  </si>
  <si>
    <t>THANI18D20B</t>
  </si>
  <si>
    <t>THANI18D26A</t>
  </si>
  <si>
    <t>THANI18N01A</t>
  </si>
  <si>
    <t>THANI18N02A</t>
  </si>
  <si>
    <t>THANI18N02B</t>
  </si>
  <si>
    <t>THANI18N02C</t>
  </si>
  <si>
    <t>THANI18N06A</t>
  </si>
  <si>
    <t>THANI18N08A</t>
  </si>
  <si>
    <t>THANI18N08B</t>
  </si>
  <si>
    <t>THANI18N13A</t>
  </si>
  <si>
    <t>THANI18N16A</t>
  </si>
  <si>
    <t>THANI18N16B</t>
  </si>
  <si>
    <t>THANI18N21A</t>
  </si>
  <si>
    <t>THANI18N21B</t>
  </si>
  <si>
    <t>THANI18N21C</t>
  </si>
  <si>
    <t>THANI18N22A</t>
  </si>
  <si>
    <t>THANI18N22B</t>
  </si>
  <si>
    <t>THANI18N23A</t>
  </si>
  <si>
    <t>THANI18N28A</t>
  </si>
  <si>
    <t>THANI18O26A</t>
  </si>
  <si>
    <t>THANI18O26B</t>
  </si>
  <si>
    <t>THANI18O26C</t>
  </si>
  <si>
    <t>THANI18O30A</t>
  </si>
  <si>
    <t>THANI18O30B</t>
  </si>
  <si>
    <t>THANI18O30C</t>
  </si>
  <si>
    <t>THANI18O31A</t>
  </si>
  <si>
    <t>THANI19104A</t>
  </si>
  <si>
    <t>THANI19104B</t>
  </si>
  <si>
    <t>THANI19108A</t>
  </si>
  <si>
    <t>THANI19108B</t>
  </si>
  <si>
    <t>THANI19108C</t>
  </si>
  <si>
    <t>THANI19110A</t>
  </si>
  <si>
    <t>THANI19110B</t>
  </si>
  <si>
    <t>THANI19110C</t>
  </si>
  <si>
    <t>THANI19111A</t>
  </si>
  <si>
    <t>THANI19111B</t>
  </si>
  <si>
    <t>THANI19116A</t>
  </si>
  <si>
    <t>THANI19117A</t>
  </si>
  <si>
    <t>THANI19117B</t>
  </si>
  <si>
    <t>THANI19117C</t>
  </si>
  <si>
    <t>THANI19118A</t>
  </si>
  <si>
    <t>THANI19122A</t>
  </si>
  <si>
    <t>THANI19122B</t>
  </si>
  <si>
    <t>THANI19124A</t>
  </si>
  <si>
    <t>THANI19124B</t>
  </si>
  <si>
    <t>THANI19124C</t>
  </si>
  <si>
    <t>THANI19131A</t>
  </si>
  <si>
    <t>THANI19221A</t>
  </si>
  <si>
    <t>THANI19321A</t>
  </si>
  <si>
    <t>THANI19425A</t>
  </si>
  <si>
    <t>TISCO18N01A</t>
  </si>
  <si>
    <t>TISCOG18D03A</t>
  </si>
  <si>
    <t>TISCOG18D04A</t>
  </si>
  <si>
    <t>TISCOG18D06A</t>
  </si>
  <si>
    <t>TISCOG18D11A</t>
  </si>
  <si>
    <t>TISCOG18D12A</t>
  </si>
  <si>
    <t>TISCOG18D13A</t>
  </si>
  <si>
    <t>TISCOG18D17A</t>
  </si>
  <si>
    <t>TISCOG18D18A</t>
  </si>
  <si>
    <t>TISCOG18D20A</t>
  </si>
  <si>
    <t>TISCOG18D26A</t>
  </si>
  <si>
    <t>TISCOG18N09A</t>
  </si>
  <si>
    <t>TISCOG18N14A</t>
  </si>
  <si>
    <t>TISCOG18N15A</t>
  </si>
  <si>
    <t>TISCOG18N16A</t>
  </si>
  <si>
    <t>TISCOG18N19A</t>
  </si>
  <si>
    <t>TISCOG18N20A</t>
  </si>
  <si>
    <t>TISCOG18N21A</t>
  </si>
  <si>
    <t>TISCOG18N22A</t>
  </si>
  <si>
    <t>TISCOG19110A</t>
  </si>
  <si>
    <t>TLBP18D06A</t>
  </si>
  <si>
    <t>TLBP18D11A</t>
  </si>
  <si>
    <t>TLBP18O31A</t>
  </si>
  <si>
    <t>TLBP19204A</t>
  </si>
  <si>
    <t>TLT18D19A</t>
  </si>
  <si>
    <t>T1+</t>
  </si>
  <si>
    <t>TLT19118A</t>
  </si>
  <si>
    <t>TLT19121A</t>
  </si>
  <si>
    <t>TLT19122A</t>
  </si>
  <si>
    <t>TLT19125A</t>
  </si>
  <si>
    <t>TLT19220A</t>
  </si>
  <si>
    <t>TLT19221A</t>
  </si>
  <si>
    <t>TLT19227A</t>
  </si>
  <si>
    <t>TLT19322A</t>
  </si>
  <si>
    <t>TLT19329A</t>
  </si>
  <si>
    <t>TP18D11A</t>
  </si>
  <si>
    <t>TP18D14A</t>
  </si>
  <si>
    <t>TP18D18A</t>
  </si>
  <si>
    <t>TP18N05A</t>
  </si>
  <si>
    <t>TP18N05B</t>
  </si>
  <si>
    <t>TP18N12A</t>
  </si>
  <si>
    <t>TP19104A</t>
  </si>
  <si>
    <t>TP19205A</t>
  </si>
  <si>
    <t>TPIPL18D13A</t>
  </si>
  <si>
    <t>TPIPL18N06A</t>
  </si>
  <si>
    <t>TPIPL19110A</t>
  </si>
  <si>
    <t>TPIPL19110B</t>
  </si>
  <si>
    <t>TPIPL19115A</t>
  </si>
  <si>
    <t>TPIPL19221A</t>
  </si>
  <si>
    <t>TRUE19418A</t>
  </si>
  <si>
    <t>TSE18D06A</t>
  </si>
  <si>
    <t>TSFC18D07A</t>
  </si>
  <si>
    <t>TSFC18N02A</t>
  </si>
  <si>
    <t>TSFC18N02B</t>
  </si>
  <si>
    <t>TSFC18N30A</t>
  </si>
  <si>
    <t>TSFC19116A</t>
  </si>
  <si>
    <t>TSFC19503A</t>
  </si>
  <si>
    <t>TUC18D20B</t>
  </si>
  <si>
    <t>TUC18D20C</t>
  </si>
  <si>
    <t>TUC19129A</t>
  </si>
  <si>
    <t>TUC19328A</t>
  </si>
  <si>
    <t>TVS18D04A</t>
  </si>
  <si>
    <t>TVS18D26A</t>
  </si>
  <si>
    <t>TVS18D28A</t>
  </si>
  <si>
    <t>TVS18D28B</t>
  </si>
  <si>
    <t>TVS18O26A</t>
  </si>
  <si>
    <t>TVS19124A</t>
  </si>
  <si>
    <t>TVS19204A</t>
  </si>
  <si>
    <t>TVS19205A</t>
  </si>
  <si>
    <t>TVS19207A</t>
  </si>
  <si>
    <t>TWO18N22A</t>
  </si>
  <si>
    <t>UCB18N02A</t>
  </si>
  <si>
    <t>UCB18N08A</t>
  </si>
  <si>
    <t>UCB18O31A</t>
  </si>
  <si>
    <t>UNI18D10A</t>
  </si>
  <si>
    <t>UNI19325A</t>
  </si>
  <si>
    <t>UNIQ18D08A</t>
  </si>
  <si>
    <t>UNIQ18D09A</t>
  </si>
  <si>
    <t>UNIQ18D09B</t>
  </si>
  <si>
    <t>UNIQ18D10A</t>
  </si>
  <si>
    <t>UNIQ18D21A</t>
  </si>
  <si>
    <t>UNIQ18D23A</t>
  </si>
  <si>
    <t>UNIQ18D23B</t>
  </si>
  <si>
    <t>UNIQ18D24A</t>
  </si>
  <si>
    <t>UNIQ18D24B</t>
  </si>
  <si>
    <t>UNIQ18D24C</t>
  </si>
  <si>
    <t>UNIQ18D31A</t>
  </si>
  <si>
    <t>UNIQ18N06A</t>
  </si>
  <si>
    <t>UNIQ18N07A</t>
  </si>
  <si>
    <t>UNIQ18N20A</t>
  </si>
  <si>
    <t>UNIQ18N21A</t>
  </si>
  <si>
    <t>UNIQ18N26A</t>
  </si>
  <si>
    <t>UNIQ18N26B</t>
  </si>
  <si>
    <t>UNIQ18N28A</t>
  </si>
  <si>
    <t>UNIQ18O27A</t>
  </si>
  <si>
    <t>UNIQ18O31A</t>
  </si>
  <si>
    <t>UNIQ19104A</t>
  </si>
  <si>
    <t>UNIQ19106A</t>
  </si>
  <si>
    <t>UNIQ19106B</t>
  </si>
  <si>
    <t>UNIQ19106C</t>
  </si>
  <si>
    <t>UNIQ19107A</t>
  </si>
  <si>
    <t>UNIQ19107B</t>
  </si>
  <si>
    <t>UNIQ19107C</t>
  </si>
  <si>
    <t>UNIQ19108A</t>
  </si>
  <si>
    <t>UNIQ19110A</t>
  </si>
  <si>
    <t>UNIQ19112A</t>
  </si>
  <si>
    <t>UNIQ19116A</t>
  </si>
  <si>
    <t>UNIQ19118A</t>
  </si>
  <si>
    <t>UNIQ19119A</t>
  </si>
  <si>
    <t>UNIQ19119B</t>
  </si>
  <si>
    <t>UNIQ19120A</t>
  </si>
  <si>
    <t>UNIQ19120B</t>
  </si>
  <si>
    <t>UNIQ19120C</t>
  </si>
  <si>
    <t>UNIQ19120D</t>
  </si>
  <si>
    <t>UNIQ19120E</t>
  </si>
  <si>
    <t>UNIQ19120F</t>
  </si>
  <si>
    <t>UNIQ19124A</t>
  </si>
  <si>
    <t>UNIQ19124B</t>
  </si>
  <si>
    <t>UNIQ19128A</t>
  </si>
  <si>
    <t>UNIQ19128B</t>
  </si>
  <si>
    <t>UNIQ19129A</t>
  </si>
  <si>
    <t>UNIQ19130A</t>
  </si>
  <si>
    <t>UNIQ19131A</t>
  </si>
  <si>
    <t>UNIQ19202A</t>
  </si>
  <si>
    <t>UNIQ19204A</t>
  </si>
  <si>
    <t>UNIQ19204B</t>
  </si>
  <si>
    <t>UNIQ19205A</t>
  </si>
  <si>
    <t>UNIQ19205B</t>
  </si>
  <si>
    <t>UNIQ19205C</t>
  </si>
  <si>
    <t>UNIQ19205D</t>
  </si>
  <si>
    <t>UNIQ19206A</t>
  </si>
  <si>
    <t>UNIQ19206B</t>
  </si>
  <si>
    <t>UNIQ19206C</t>
  </si>
  <si>
    <t>UNIQ19206D</t>
  </si>
  <si>
    <t>UNIQ19206E</t>
  </si>
  <si>
    <t>UNIQ19210A</t>
  </si>
  <si>
    <t>UNIQ19210B</t>
  </si>
  <si>
    <t>UNIQ19210C</t>
  </si>
  <si>
    <t>UNIQ19210D</t>
  </si>
  <si>
    <t>UNIQ19211A</t>
  </si>
  <si>
    <t>UNIQ19212A</t>
  </si>
  <si>
    <t>UNIQ19212B</t>
  </si>
  <si>
    <t>UNIQ19212C</t>
  </si>
  <si>
    <t>UNIQ19217A</t>
  </si>
  <si>
    <t>UNIQ19220A</t>
  </si>
  <si>
    <t>UNIQ19220B</t>
  </si>
  <si>
    <t>UNIQ19221A</t>
  </si>
  <si>
    <t>UNIQ19222A</t>
  </si>
  <si>
    <t>UNIQ19223A</t>
  </si>
  <si>
    <t>UNIQ19223B</t>
  </si>
  <si>
    <t>UNIQ19223C</t>
  </si>
  <si>
    <t>UNIQ19223D</t>
  </si>
  <si>
    <t>UNIQ19224A</t>
  </si>
  <si>
    <t>UNIQ19224B</t>
  </si>
  <si>
    <t>UNIQ19224C</t>
  </si>
  <si>
    <t>UNIQ19224D</t>
  </si>
  <si>
    <t>UNIQ19224E</t>
  </si>
  <si>
    <t>UNIQ19224F</t>
  </si>
  <si>
    <t>UNIQ19225A</t>
  </si>
  <si>
    <t>UNIQ19226A</t>
  </si>
  <si>
    <t>UNIQ19302A</t>
  </si>
  <si>
    <t>UNIQ19323A</t>
  </si>
  <si>
    <t>UNIQ19324A</t>
  </si>
  <si>
    <t>UNIQ19325A</t>
  </si>
  <si>
    <t>UNIQ19326A</t>
  </si>
  <si>
    <t>UNIQ19326B</t>
  </si>
  <si>
    <t>UNIQ19326C</t>
  </si>
  <si>
    <t>UNIQ19326D</t>
  </si>
  <si>
    <t>UNIQ19327A</t>
  </si>
  <si>
    <t>UNIQ19327B</t>
  </si>
  <si>
    <t>UNIQ19330A</t>
  </si>
  <si>
    <t>UNIQ19402A</t>
  </si>
  <si>
    <t>UNIQ19406A</t>
  </si>
  <si>
    <t>UNIQ19407A</t>
  </si>
  <si>
    <t>UNIQ19408A</t>
  </si>
  <si>
    <t>UNIQ19409A</t>
  </si>
  <si>
    <t>UNIQ19409B</t>
  </si>
  <si>
    <t>UNIQ19412A</t>
  </si>
  <si>
    <t>UV18N08A</t>
  </si>
  <si>
    <t>UV18N14A</t>
  </si>
  <si>
    <t>UV18N30A</t>
  </si>
  <si>
    <t>UV19124A</t>
  </si>
  <si>
    <t>VBC18D19A</t>
  </si>
  <si>
    <t>VBC18O29A</t>
  </si>
  <si>
    <t>VN18D06A</t>
  </si>
  <si>
    <t>VN18N29A</t>
  </si>
  <si>
    <t>WGE18D26A</t>
  </si>
  <si>
    <t>WHA18D25A</t>
  </si>
  <si>
    <t>WHA19222A</t>
  </si>
  <si>
    <t>WHA19222B</t>
  </si>
  <si>
    <t>WHA19313A</t>
  </si>
  <si>
    <t>WHA19315A</t>
  </si>
  <si>
    <t>WHA19319A</t>
  </si>
  <si>
    <t>WHA19319B</t>
  </si>
  <si>
    <t>YUANTA18D06A</t>
  </si>
  <si>
    <t>YUANTA18D12A</t>
  </si>
  <si>
    <t>YUANTA18D13A</t>
  </si>
  <si>
    <t>YUANTA18D18A</t>
  </si>
  <si>
    <t>YUANTA18D18B</t>
  </si>
  <si>
    <t>YUANTA18D18C</t>
  </si>
  <si>
    <t>YUANTA18N08A</t>
  </si>
  <si>
    <t>YUANTA18N08B</t>
  </si>
  <si>
    <t>YUANTA18N13A</t>
  </si>
  <si>
    <t>YUANTA18N15A</t>
  </si>
  <si>
    <t>YUANTA18N16A</t>
  </si>
  <si>
    <t>YUANTA18N20A</t>
  </si>
  <si>
    <t>YUANTA18N29A</t>
  </si>
  <si>
    <t>YUANTA18O30A</t>
  </si>
  <si>
    <t>YUANTA19108A</t>
  </si>
  <si>
    <t>YUANTA19109A</t>
  </si>
  <si>
    <t>YUANTA19110A</t>
  </si>
  <si>
    <t>YUANTA19425A</t>
  </si>
  <si>
    <t>YUANTA19514A</t>
  </si>
  <si>
    <t>Foreign Bonds</t>
  </si>
  <si>
    <t>CABEI212A</t>
  </si>
  <si>
    <t>EDLGEN19DA</t>
  </si>
  <si>
    <t>EDLGEN217A</t>
  </si>
  <si>
    <t>EDLGEN21DA</t>
  </si>
  <si>
    <t>EDLGEN237A</t>
  </si>
  <si>
    <t>EDLGEN24DA</t>
  </si>
  <si>
    <t>EDLGEN257A</t>
  </si>
  <si>
    <t>EDLGEN287A</t>
  </si>
  <si>
    <t>EDLGEN307A</t>
  </si>
  <si>
    <t>EDLGEN337A</t>
  </si>
  <si>
    <t>KEBHANA192A</t>
  </si>
  <si>
    <t>KEXIM206A</t>
  </si>
  <si>
    <t>KEXIM21NA</t>
  </si>
  <si>
    <t>KEXIM228A</t>
  </si>
  <si>
    <t>KEXIM233A</t>
  </si>
  <si>
    <t>KEXIM257A</t>
  </si>
  <si>
    <t>KEXIM257B</t>
  </si>
  <si>
    <t>MOFL18DA</t>
  </si>
  <si>
    <t>MOFL19NA</t>
  </si>
  <si>
    <t>MOFL19OA</t>
  </si>
  <si>
    <t>MOFL206A</t>
  </si>
  <si>
    <t>MOFL20OA</t>
  </si>
  <si>
    <t>MOFL21NA</t>
  </si>
  <si>
    <t>MOFL21OA</t>
  </si>
  <si>
    <t>MOFL22OA</t>
  </si>
  <si>
    <t>MOFL23NA</t>
  </si>
  <si>
    <t>MOFL24OA</t>
  </si>
  <si>
    <t>MOFL256A</t>
  </si>
  <si>
    <t>MOFL26NA</t>
  </si>
  <si>
    <t>MOFL27OA</t>
  </si>
  <si>
    <t>MOFL28NA</t>
  </si>
  <si>
    <t>MOFL29OA</t>
  </si>
  <si>
    <t>MOFL32OA</t>
  </si>
  <si>
    <t>NNPC20OA</t>
  </si>
  <si>
    <t>NNPC24OA</t>
  </si>
  <si>
    <t>NNPC27OA</t>
  </si>
  <si>
    <t>NNPC303A</t>
  </si>
  <si>
    <t>WOORI192A</t>
  </si>
  <si>
    <t>WOORI203A</t>
  </si>
  <si>
    <t>Foreign Currency-Denominated Bonds</t>
  </si>
  <si>
    <t>BANPU234B</t>
  </si>
  <si>
    <t>USD</t>
  </si>
  <si>
    <t>BANPU288A</t>
  </si>
  <si>
    <t>EDLGEN239A</t>
  </si>
  <si>
    <t>EDLGEN269A</t>
  </si>
  <si>
    <t>EDLGEN289A</t>
  </si>
  <si>
    <t>KHS208A</t>
  </si>
  <si>
    <t>KTB236A</t>
  </si>
  <si>
    <t>MINT277A</t>
  </si>
  <si>
    <t>MINT33OA</t>
  </si>
  <si>
    <t>EUR</t>
  </si>
  <si>
    <t>MOFL25DA</t>
  </si>
  <si>
    <t>MOFL27DA</t>
  </si>
  <si>
    <t>TU264A</t>
  </si>
  <si>
    <t>1. Traded yield is based on 30/360 basis (on coupon payment) which might be different from yield calculated on actual payment.  Click here to learn more.</t>
  </si>
  <si>
    <t>2. For Inflation-Linked Bond, Coupon (%) is Real coupon (%) and all the Yields(%) shown are Real YTM(%). The Clean price(%) and Accrued Interest (%) are all in Unadjusted terms. The corresponding Adjusted terms can be obtained by multiplying the Unadjusted price or accrued interest by the Index Ratio shown in the last column. Modified duration and convexity are calculated based on Real YTM</t>
  </si>
  <si>
    <t>3. The prices shown in the Clean Price Column of the Traded-by-price bonds are gross price.</t>
  </si>
  <si>
    <t>4. The cut-off time for daily quotation of all bonds is 16:00.</t>
  </si>
  <si>
    <t>5. Clean price, Accrued interest, Modified duration and Convexity shown in Plain vanilla MTM pages (not Trade-by-price) calculated with Market Yield and settlement date on T+1 (Calendar day).</t>
  </si>
  <si>
    <t>6. Model yield of LB191A, LB193A, LB196A, LB198A, LB19DA, LB213A, LB214A, LB22NA, LB233A, LB244A, LB24DA, LB267A, LB283A, LB383A, LB396A, LB406A are synthetic yield derived from ThaiBMA pricing model. But if there are trading transaction, model yield will be traded yield.</t>
  </si>
  <si>
    <t xml:space="preserve">     -  </t>
  </si>
  <si>
    <t xml:space="preserve">    -  </t>
  </si>
  <si>
    <t>CB19118A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</si>
</sst>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3" formatCode="_(* #,##0.00_);_(* \(#,##0.00\);_(* &quot;-&quot;??_);_(@_)"/>
    <numFmt numFmtId="187" formatCode="ddd\ dd\-mm\-yy"/>
    <numFmt numFmtId="188" formatCode="_-* #,##0.00_-;\-* #,##0.00_-;_-* &quot;-&quot;??_-;_-@_-"/>
    <numFmt numFmtId="189" formatCode="#,##0.00;[Red]\(#,##0.00\)"/>
    <numFmt numFmtId="190" formatCode="0.000"/>
    <numFmt numFmtId="191" formatCode="_-* #,##0_-;\-* #,##0_-;_-* &quot;-&quot;??_-;_-@_-"/>
    <numFmt numFmtId="192" formatCode="_-* #,##0.00000_-;\-* #,##0.00000_-;_-* &quot;-&quot;??_-;_-@_-"/>
    <numFmt numFmtId="194" formatCode="_-* #,##0.0000_-;\-* #,##0.0000_-;_-* &quot;-&quot;??_-;_-@_-"/>
    <numFmt numFmtId="195" formatCode="dd/mm/yyyy"/>
    <numFmt numFmtId="197" formatCode="B1d\-mmm\-yy"/>
  </numFmts>
  <fonts count="29" x14ac:knownFonts="1">
    <font>
      <sz val="11"/>
      <color theme="1"/>
      <name val="Tahoma"/>
      <family val="2"/>
      <scheme val="minor"/>
    </font>
    <font>
      <sz val="11"/>
      <color theme="1"/>
      <name val="Tahoma"/>
      <family val="2"/>
      <scheme val="minor"/>
    </font>
    <font>
      <b/>
      <sz val="11"/>
      <color theme="1"/>
      <name val="Tahoma"/>
      <family val="2"/>
      <scheme val="minor"/>
    </font>
    <font>
      <sz val="11"/>
      <color rgb="FF3F3F76"/>
      <name val="Tahoma"/>
      <family val="2"/>
      <scheme val="minor"/>
    </font>
    <font>
      <sz val="10"/>
      <name val="Tahoma"/>
      <family val="2"/>
    </font>
    <font>
      <b/>
      <sz val="10"/>
      <color rgb="FF7030A0"/>
      <name val="Tahoma"/>
      <family val="2"/>
      <scheme val="minor"/>
    </font>
    <font>
      <sz val="10"/>
      <color theme="1"/>
      <name val="Tahoma"/>
      <family val="2"/>
      <scheme val="minor"/>
    </font>
    <font>
      <b/>
      <sz val="10"/>
      <color theme="1"/>
      <name val="Tahoma"/>
      <family val="2"/>
      <scheme val="minor"/>
    </font>
    <font>
      <b/>
      <sz val="10"/>
      <color theme="0"/>
      <name val="Tahoma"/>
      <family val="2"/>
      <scheme val="minor"/>
    </font>
    <font>
      <sz val="10"/>
      <color theme="0"/>
      <name val="Tahoma"/>
      <family val="2"/>
      <scheme val="minor"/>
    </font>
    <font>
      <sz val="10"/>
      <color rgb="FF3F3F76"/>
      <name val="Tahoma"/>
      <family val="2"/>
      <scheme val="minor"/>
    </font>
    <font>
      <b/>
      <sz val="10"/>
      <color rgb="FF3F3F76"/>
      <name val="Tahoma"/>
      <family val="2"/>
      <scheme val="minor"/>
    </font>
    <font>
      <sz val="10"/>
      <color theme="0" tint="-0.249977111117893"/>
      <name val="Tahoma"/>
      <family val="2"/>
      <scheme val="minor"/>
    </font>
    <font>
      <b/>
      <sz val="10"/>
      <name val="Tahoma"/>
      <family val="2"/>
      <scheme val="minor"/>
    </font>
    <font>
      <sz val="10"/>
      <name val="Tahoma"/>
      <family val="2"/>
      <scheme val="minor"/>
    </font>
    <font>
      <sz val="10"/>
      <color rgb="FF7030A0"/>
      <name val="Tahoma"/>
      <family val="2"/>
      <scheme val="minor"/>
    </font>
    <font>
      <b/>
      <sz val="10"/>
      <color theme="7" tint="-0.249977111117893"/>
      <name val="Tahoma"/>
      <family val="2"/>
      <scheme val="minor"/>
    </font>
    <font>
      <sz val="10"/>
      <color theme="7" tint="-0.249977111117893"/>
      <name val="Tahoma"/>
      <family val="2"/>
      <scheme val="minor"/>
    </font>
    <font>
      <b/>
      <sz val="10"/>
      <color theme="8" tint="-0.249977111117893"/>
      <name val="Tahoma"/>
      <family val="2"/>
      <scheme val="minor"/>
    </font>
    <font>
      <sz val="10"/>
      <color theme="8" tint="-0.249977111117893"/>
      <name val="Tahoma"/>
      <family val="2"/>
      <scheme val="minor"/>
    </font>
    <font>
      <b/>
      <sz val="11"/>
      <color theme="0"/>
      <name val="Tahoma"/>
      <family val="2"/>
      <scheme val="minor"/>
    </font>
    <font>
      <sz val="11"/>
      <color rgb="FFFF0000"/>
      <name val="Tahoma"/>
      <family val="2"/>
      <scheme val="minor"/>
    </font>
    <font>
      <sz val="9"/>
      <color indexed="81"/>
      <name val="Tahoma"/>
      <family val="2"/>
    </font>
    <font>
      <b/>
      <sz val="9"/>
      <color indexed="81"/>
      <name val="Tahoma"/>
      <family val="2"/>
    </font>
    <font>
      <sz val="10"/>
      <color theme="1"/>
      <name val="Tahoma"/>
      <family val="2"/>
    </font>
    <font>
      <sz val="11"/>
      <name val="Tahoma"/>
      <family val="2"/>
      <scheme val="minor"/>
    </font>
    <font>
      <sz val="11"/>
      <color rgb="FF000000"/>
      <name val="Tahoma"/>
      <family val="2"/>
    </font>
    <font>
      <sz val="10"/>
      <color rgb="FFFF0000"/>
      <name val="Tahoma"/>
      <family val="2"/>
    </font>
    <font>
      <sz val="11"/>
      <color theme="1"/>
      <name val="Tahoma"/>
      <family val="2"/>
      <charset val="222"/>
      <scheme val="minor"/>
    </font>
  </fonts>
  <fills count="18">
    <fill>
      <patternFill patternType="none"/>
    </fill>
    <fill>
      <patternFill patternType="gray125"/>
    </fill>
    <fill>
      <patternFill patternType="solid">
        <fgColor rgb="FFFFCC99"/>
      </patternFill>
    </fill>
    <fill>
      <patternFill patternType="solid">
        <fgColor theme="4" tint="0.39997558519241921"/>
        <bgColor indexed="64"/>
      </patternFill>
    </fill>
    <fill>
      <patternFill patternType="solid">
        <fgColor rgb="FF6600CC"/>
        <bgColor indexed="64"/>
      </patternFill>
    </fill>
    <fill>
      <patternFill patternType="solid">
        <fgColor rgb="FFB17ED8"/>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rgb="FFFFF2CC"/>
        <bgColor indexed="64"/>
      </patternFill>
    </fill>
    <fill>
      <patternFill patternType="solid">
        <fgColor theme="5" tint="0.59999389629810485"/>
        <bgColor indexed="64"/>
      </patternFill>
    </fill>
    <fill>
      <patternFill patternType="solid">
        <fgColor theme="1" tint="0.249977111117893"/>
        <bgColor indexed="64"/>
      </patternFill>
    </fill>
    <fill>
      <patternFill patternType="solid">
        <fgColor theme="3" tint="0.79998168889431442"/>
        <bgColor indexed="64"/>
      </patternFill>
    </fill>
    <fill>
      <patternFill patternType="solid">
        <fgColor theme="0"/>
        <bgColor indexed="64"/>
      </patternFill>
    </fill>
    <fill>
      <patternFill patternType="solid">
        <fgColor theme="2" tint="-9.9978637043366805E-2"/>
        <bgColor indexed="64"/>
      </patternFill>
    </fill>
    <fill>
      <patternFill patternType="solid">
        <fgColor rgb="FFFFFF00"/>
        <bgColor indexed="64"/>
      </patternFill>
    </fill>
  </fills>
  <borders count="11">
    <border>
      <left/>
      <right/>
      <top/>
      <bottom/>
      <diagonal/>
    </border>
    <border>
      <left style="thin">
        <color rgb="FF7F7F7F"/>
      </left>
      <right style="thin">
        <color rgb="FF7F7F7F"/>
      </right>
      <top style="thin">
        <color rgb="FF7F7F7F"/>
      </top>
      <bottom style="thin">
        <color rgb="FF7F7F7F"/>
      </bottom>
      <diagonal/>
    </border>
    <border>
      <left/>
      <right/>
      <top/>
      <bottom style="thin">
        <color theme="1"/>
      </bottom>
      <diagonal/>
    </border>
    <border>
      <left/>
      <right/>
      <top/>
      <bottom style="medium">
        <color theme="1"/>
      </bottom>
      <diagonal/>
    </border>
    <border>
      <left/>
      <right/>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diagonal/>
    </border>
    <border>
      <left style="thin">
        <color indexed="64"/>
      </left>
      <right style="thin">
        <color indexed="64"/>
      </right>
      <top style="thin">
        <color indexed="64"/>
      </top>
      <bottom/>
      <diagonal/>
    </border>
    <border>
      <left style="thin">
        <color rgb="FF7F7F7F"/>
      </left>
      <right style="thin">
        <color rgb="FF7F7F7F"/>
      </right>
      <top/>
      <bottom style="thin">
        <color rgb="FF7F7F7F"/>
      </bottom>
      <diagonal/>
    </border>
  </borders>
  <cellStyleXfs count="7">
    <xf numFmtId="0" fontId="0" fillId="0" borderId="0"/>
    <xf numFmtId="43" fontId="1" fillId="0" borderId="0" applyFont="0" applyFill="0" applyBorder="0" applyAlignment="0" applyProtection="0"/>
    <xf numFmtId="0" fontId="3" fillId="2" borderId="1" applyNumberFormat="0" applyAlignment="0" applyProtection="0"/>
    <xf numFmtId="188" fontId="4" fillId="0" borderId="0" applyFont="0" applyFill="0" applyBorder="0" applyAlignment="0" applyProtection="0"/>
    <xf numFmtId="9" fontId="1" fillId="0" borderId="0" applyFont="0" applyFill="0" applyBorder="0" applyAlignment="0" applyProtection="0"/>
    <xf numFmtId="0" fontId="4" fillId="0" borderId="0"/>
    <xf numFmtId="0" fontId="28" fillId="0" borderId="0"/>
  </cellStyleXfs>
  <cellXfs count="153">
    <xf numFmtId="0" fontId="0" fillId="0" borderId="0" xfId="0"/>
    <xf numFmtId="0" fontId="2" fillId="0" borderId="0" xfId="0" applyFont="1"/>
    <xf numFmtId="14" fontId="0" fillId="0" borderId="0" xfId="0" applyNumberFormat="1"/>
    <xf numFmtId="43" fontId="0" fillId="0" borderId="0" xfId="1" applyFont="1"/>
    <xf numFmtId="22" fontId="0" fillId="0" borderId="0" xfId="0" applyNumberFormat="1"/>
    <xf numFmtId="0" fontId="0" fillId="0" borderId="0" xfId="0" quotePrefix="1"/>
    <xf numFmtId="0" fontId="0" fillId="0" borderId="0" xfId="0" applyNumberFormat="1"/>
    <xf numFmtId="14" fontId="0" fillId="0" borderId="0" xfId="0" applyNumberFormat="1"/>
    <xf numFmtId="14" fontId="2" fillId="0" borderId="0" xfId="0" applyNumberFormat="1" applyFont="1" applyAlignment="1">
      <alignment horizontal="center"/>
    </xf>
    <xf numFmtId="0" fontId="2" fillId="0" borderId="0" xfId="0" applyFont="1" applyFill="1" applyAlignment="1">
      <alignment horizontal="center"/>
    </xf>
    <xf numFmtId="0" fontId="5" fillId="0" borderId="0" xfId="0" applyFont="1"/>
    <xf numFmtId="0" fontId="6" fillId="0" borderId="0" xfId="0" applyFont="1"/>
    <xf numFmtId="14" fontId="7" fillId="6" borderId="0" xfId="0" applyNumberFormat="1" applyFont="1" applyFill="1" applyAlignment="1">
      <alignment horizontal="center"/>
    </xf>
    <xf numFmtId="0" fontId="7" fillId="9" borderId="0" xfId="0" applyFont="1" applyFill="1" applyAlignment="1">
      <alignment horizontal="center"/>
    </xf>
    <xf numFmtId="0" fontId="8" fillId="4" borderId="0" xfId="0" applyFont="1" applyFill="1" applyBorder="1" applyAlignment="1">
      <alignment horizontal="center"/>
    </xf>
    <xf numFmtId="187" fontId="8" fillId="4" borderId="0" xfId="0" applyNumberFormat="1" applyFont="1" applyFill="1" applyBorder="1" applyAlignment="1">
      <alignment horizontal="center"/>
    </xf>
    <xf numFmtId="187" fontId="8" fillId="4" borderId="0" xfId="0" applyNumberFormat="1" applyFont="1" applyFill="1" applyBorder="1"/>
    <xf numFmtId="14" fontId="8" fillId="4" borderId="0" xfId="0" applyNumberFormat="1" applyFont="1" applyFill="1" applyBorder="1"/>
    <xf numFmtId="0" fontId="8" fillId="4" borderId="0" xfId="0" applyFont="1" applyFill="1" applyBorder="1"/>
    <xf numFmtId="0" fontId="7" fillId="3" borderId="0" xfId="0" applyFont="1" applyFill="1" applyBorder="1"/>
    <xf numFmtId="43" fontId="6" fillId="3" borderId="0" xfId="1" applyFont="1" applyFill="1" applyBorder="1"/>
    <xf numFmtId="0" fontId="6" fillId="3" borderId="0" xfId="0" applyFont="1" applyFill="1" applyBorder="1"/>
    <xf numFmtId="0" fontId="6" fillId="0" borderId="0" xfId="0" applyFont="1" applyBorder="1"/>
    <xf numFmtId="40" fontId="6" fillId="0" borderId="0" xfId="1" applyNumberFormat="1" applyFont="1" applyBorder="1"/>
    <xf numFmtId="0" fontId="8" fillId="5" borderId="5" xfId="0" applyFont="1" applyFill="1" applyBorder="1" applyAlignment="1">
      <alignment horizontal="left"/>
    </xf>
    <xf numFmtId="0" fontId="9" fillId="5" borderId="5" xfId="0" applyFont="1" applyFill="1" applyBorder="1"/>
    <xf numFmtId="0" fontId="6" fillId="0" borderId="0" xfId="0" applyFont="1" applyBorder="1" applyAlignment="1">
      <alignment horizontal="left" indent="2"/>
    </xf>
    <xf numFmtId="4" fontId="6" fillId="0" borderId="0" xfId="0" applyNumberFormat="1" applyFont="1" applyBorder="1"/>
    <xf numFmtId="0" fontId="7" fillId="0" borderId="3" xfId="0" applyFont="1" applyFill="1" applyBorder="1" applyAlignment="1">
      <alignment horizontal="left"/>
    </xf>
    <xf numFmtId="40" fontId="6" fillId="0" borderId="4" xfId="1" applyNumberFormat="1" applyFont="1" applyBorder="1"/>
    <xf numFmtId="4" fontId="6" fillId="0" borderId="3" xfId="0" applyNumberFormat="1" applyFont="1" applyFill="1" applyBorder="1"/>
    <xf numFmtId="0" fontId="6" fillId="8" borderId="0" xfId="0" applyFont="1" applyFill="1"/>
    <xf numFmtId="0" fontId="10" fillId="0" borderId="0" xfId="0" applyFont="1" applyBorder="1" applyAlignment="1">
      <alignment horizontal="left" indent="2"/>
    </xf>
    <xf numFmtId="43" fontId="6" fillId="0" borderId="0" xfId="1" applyFont="1" applyBorder="1"/>
    <xf numFmtId="0" fontId="11" fillId="0" borderId="2" xfId="2" applyFont="1" applyFill="1" applyBorder="1" applyAlignment="1">
      <alignment horizontal="left" indent="2"/>
    </xf>
    <xf numFmtId="43" fontId="10" fillId="0" borderId="2" xfId="1" applyFont="1" applyFill="1" applyBorder="1"/>
    <xf numFmtId="0" fontId="10" fillId="0" borderId="2" xfId="2" applyFont="1" applyFill="1" applyBorder="1"/>
    <xf numFmtId="43" fontId="6" fillId="0" borderId="3" xfId="1" applyFont="1" applyFill="1" applyBorder="1"/>
    <xf numFmtId="0" fontId="6" fillId="0" borderId="3" xfId="0" applyFont="1" applyFill="1" applyBorder="1"/>
    <xf numFmtId="0" fontId="7" fillId="7" borderId="0" xfId="0" applyFont="1" applyFill="1" applyBorder="1" applyAlignment="1">
      <alignment horizontal="left" indent="2"/>
    </xf>
    <xf numFmtId="43" fontId="6" fillId="7" borderId="0" xfId="1" applyFont="1" applyFill="1" applyBorder="1"/>
    <xf numFmtId="0" fontId="6" fillId="7" borderId="0" xfId="0" applyFont="1" applyFill="1" applyBorder="1"/>
    <xf numFmtId="0" fontId="12" fillId="0" borderId="0" xfId="0" applyFont="1" applyFill="1" applyBorder="1"/>
    <xf numFmtId="43" fontId="12" fillId="0" borderId="0" xfId="1" applyFont="1" applyFill="1" applyBorder="1"/>
    <xf numFmtId="188" fontId="4" fillId="0" borderId="0" xfId="3" applyFont="1"/>
    <xf numFmtId="0" fontId="13" fillId="6" borderId="0" xfId="0" applyFont="1" applyFill="1" applyBorder="1" applyAlignment="1">
      <alignment horizontal="left"/>
    </xf>
    <xf numFmtId="14" fontId="13" fillId="6" borderId="0" xfId="0" applyNumberFormat="1" applyFont="1" applyFill="1" applyBorder="1"/>
    <xf numFmtId="0" fontId="13" fillId="6" borderId="0" xfId="0" applyFont="1" applyFill="1" applyBorder="1"/>
    <xf numFmtId="10" fontId="14" fillId="6" borderId="0" xfId="4" applyNumberFormat="1" applyFont="1" applyFill="1" applyBorder="1"/>
    <xf numFmtId="0" fontId="5" fillId="0" borderId="0" xfId="0" applyFont="1" applyBorder="1" applyAlignment="1">
      <alignment horizontal="left" indent="2"/>
    </xf>
    <xf numFmtId="40" fontId="15" fillId="0" borderId="0" xfId="1" applyNumberFormat="1" applyFont="1" applyBorder="1"/>
    <xf numFmtId="4" fontId="15" fillId="0" borderId="0" xfId="0" applyNumberFormat="1" applyFont="1" applyBorder="1"/>
    <xf numFmtId="0" fontId="16" fillId="0" borderId="0" xfId="0" applyFont="1" applyBorder="1" applyAlignment="1">
      <alignment horizontal="left" indent="2"/>
    </xf>
    <xf numFmtId="40" fontId="17" fillId="0" borderId="0" xfId="1" applyNumberFormat="1" applyFont="1" applyBorder="1"/>
    <xf numFmtId="4" fontId="17" fillId="0" borderId="0" xfId="0" applyNumberFormat="1" applyFont="1" applyBorder="1"/>
    <xf numFmtId="0" fontId="18" fillId="0" borderId="0" xfId="0" applyFont="1" applyBorder="1" applyAlignment="1">
      <alignment horizontal="left" indent="2"/>
    </xf>
    <xf numFmtId="40" fontId="19" fillId="0" borderId="0" xfId="1" applyNumberFormat="1" applyFont="1" applyBorder="1"/>
    <xf numFmtId="4" fontId="19" fillId="0" borderId="0" xfId="0" applyNumberFormat="1" applyFont="1" applyBorder="1"/>
    <xf numFmtId="0" fontId="6" fillId="0" borderId="0" xfId="0" quotePrefix="1" applyFont="1"/>
    <xf numFmtId="0" fontId="3" fillId="2" borderId="1" xfId="2" applyAlignment="1">
      <alignment horizontal="left" indent="2"/>
    </xf>
    <xf numFmtId="40" fontId="3" fillId="2" borderId="1" xfId="2" applyNumberFormat="1"/>
    <xf numFmtId="4" fontId="3" fillId="2" borderId="1" xfId="2" applyNumberFormat="1"/>
    <xf numFmtId="43" fontId="6" fillId="0" borderId="0" xfId="1" applyFont="1" applyFill="1" applyBorder="1"/>
    <xf numFmtId="43" fontId="6" fillId="11" borderId="0" xfId="1" applyFont="1" applyFill="1" applyBorder="1"/>
    <xf numFmtId="0" fontId="2" fillId="10" borderId="6" xfId="0" applyFont="1" applyFill="1" applyBorder="1" applyAlignment="1">
      <alignment horizontal="center"/>
    </xf>
    <xf numFmtId="0" fontId="21" fillId="0" borderId="6" xfId="0" applyFont="1" applyBorder="1"/>
    <xf numFmtId="0" fontId="0" fillId="0" borderId="6" xfId="0" applyBorder="1"/>
    <xf numFmtId="22" fontId="0" fillId="0" borderId="6" xfId="0" applyNumberFormat="1" applyBorder="1"/>
    <xf numFmtId="189" fontId="4" fillId="0" borderId="7" xfId="3" applyNumberFormat="1" applyFont="1" applyFill="1" applyBorder="1" applyAlignment="1">
      <alignment horizontal="center" vertical="center"/>
    </xf>
    <xf numFmtId="10" fontId="4" fillId="0" borderId="7" xfId="4" applyNumberFormat="1" applyFont="1" applyFill="1" applyBorder="1" applyAlignment="1">
      <alignment horizontal="center" vertical="center"/>
    </xf>
    <xf numFmtId="14" fontId="0" fillId="12" borderId="0" xfId="0" applyNumberFormat="1" applyFill="1" applyAlignment="1">
      <alignment horizontal="center"/>
    </xf>
    <xf numFmtId="0" fontId="2" fillId="0" borderId="0" xfId="0" pivotButton="1" applyFont="1" applyAlignment="1">
      <alignment horizontal="center"/>
    </xf>
    <xf numFmtId="43" fontId="6" fillId="0" borderId="0" xfId="0" applyNumberFormat="1" applyFont="1" applyBorder="1"/>
    <xf numFmtId="189" fontId="0" fillId="0" borderId="0" xfId="0" applyNumberFormat="1"/>
    <xf numFmtId="0" fontId="20" fillId="13" borderId="6" xfId="0" applyFont="1" applyFill="1" applyBorder="1" applyAlignment="1">
      <alignment horizontal="center"/>
    </xf>
    <xf numFmtId="0" fontId="2" fillId="0" borderId="0" xfId="0" applyFont="1" applyAlignment="1">
      <alignment horizontal="center"/>
    </xf>
    <xf numFmtId="14" fontId="0" fillId="0" borderId="0" xfId="0" applyNumberFormat="1"/>
    <xf numFmtId="43" fontId="0" fillId="0" borderId="0" xfId="0" applyNumberFormat="1"/>
    <xf numFmtId="0" fontId="0" fillId="0" borderId="0" xfId="0" pivotButton="1"/>
    <xf numFmtId="14" fontId="2" fillId="0" borderId="0" xfId="0" applyNumberFormat="1" applyFont="1" applyAlignment="1">
      <alignment horizontal="center"/>
    </xf>
    <xf numFmtId="0" fontId="2" fillId="0" borderId="0" xfId="0" applyFont="1" applyAlignment="1">
      <alignment horizontal="center"/>
    </xf>
    <xf numFmtId="14" fontId="2" fillId="0" borderId="0" xfId="0" applyNumberFormat="1" applyFont="1"/>
    <xf numFmtId="9" fontId="3" fillId="2" borderId="8" xfId="2" applyNumberFormat="1" applyBorder="1" applyAlignment="1">
      <alignment horizontal="center"/>
    </xf>
    <xf numFmtId="0" fontId="3" fillId="2" borderId="8" xfId="2" applyBorder="1"/>
    <xf numFmtId="0" fontId="2" fillId="14" borderId="6" xfId="0" applyFont="1" applyFill="1" applyBorder="1" applyAlignment="1">
      <alignment horizontal="center"/>
    </xf>
    <xf numFmtId="43" fontId="0" fillId="0" borderId="6" xfId="1" applyFont="1" applyBorder="1"/>
    <xf numFmtId="43" fontId="0" fillId="0" borderId="6" xfId="0" applyNumberFormat="1" applyBorder="1"/>
    <xf numFmtId="43" fontId="0" fillId="0" borderId="6" xfId="1" quotePrefix="1" applyFont="1" applyBorder="1"/>
    <xf numFmtId="10" fontId="0" fillId="0" borderId="6" xfId="4" applyNumberFormat="1" applyFont="1" applyBorder="1"/>
    <xf numFmtId="14" fontId="0" fillId="0" borderId="0" xfId="0" quotePrefix="1" applyNumberFormat="1" applyAlignment="1">
      <alignment horizontal="center"/>
    </xf>
    <xf numFmtId="0" fontId="0" fillId="0" borderId="0" xfId="0" applyAlignment="1">
      <alignment horizontal="center"/>
    </xf>
    <xf numFmtId="14" fontId="0" fillId="0" borderId="0" xfId="0" applyNumberFormat="1"/>
    <xf numFmtId="43" fontId="3" fillId="2" borderId="1" xfId="2" quotePrefix="1" applyNumberFormat="1"/>
    <xf numFmtId="14" fontId="2" fillId="0" borderId="0" xfId="0" applyNumberFormat="1" applyFont="1" applyAlignment="1">
      <alignment horizontal="left"/>
    </xf>
    <xf numFmtId="189" fontId="4" fillId="0" borderId="6" xfId="3" applyNumberFormat="1" applyFont="1" applyFill="1" applyBorder="1" applyAlignment="1">
      <alignment horizontal="center" vertical="center"/>
    </xf>
    <xf numFmtId="3" fontId="0" fillId="0" borderId="0" xfId="0" applyNumberFormat="1"/>
    <xf numFmtId="190" fontId="0" fillId="0" borderId="0" xfId="0" applyNumberFormat="1"/>
    <xf numFmtId="14" fontId="3" fillId="2" borderId="1" xfId="2" applyNumberFormat="1" applyAlignment="1">
      <alignment horizontal="center"/>
    </xf>
    <xf numFmtId="0" fontId="0" fillId="0" borderId="9" xfId="0" applyBorder="1"/>
    <xf numFmtId="43" fontId="0" fillId="0" borderId="9" xfId="1" applyFont="1" applyBorder="1"/>
    <xf numFmtId="43" fontId="0" fillId="0" borderId="9" xfId="0" applyNumberFormat="1" applyBorder="1"/>
    <xf numFmtId="43" fontId="0" fillId="0" borderId="9" xfId="1" quotePrefix="1" applyFont="1" applyBorder="1"/>
    <xf numFmtId="43" fontId="3" fillId="2" borderId="8" xfId="2" quotePrefix="1" applyNumberFormat="1" applyBorder="1"/>
    <xf numFmtId="10" fontId="0" fillId="0" borderId="9" xfId="4" applyNumberFormat="1" applyFont="1" applyBorder="1"/>
    <xf numFmtId="43" fontId="3" fillId="2" borderId="6" xfId="2" quotePrefix="1" applyNumberFormat="1" applyBorder="1"/>
    <xf numFmtId="0" fontId="2" fillId="0" borderId="6" xfId="0" quotePrefix="1" applyFont="1" applyBorder="1"/>
    <xf numFmtId="43" fontId="6" fillId="0" borderId="0" xfId="1" quotePrefix="1" applyFont="1" applyBorder="1"/>
    <xf numFmtId="192" fontId="24" fillId="0" borderId="0" xfId="3" applyNumberFormat="1" applyFont="1" applyFill="1" applyBorder="1" applyProtection="1">
      <protection locked="0"/>
    </xf>
    <xf numFmtId="191" fontId="24" fillId="0" borderId="0" xfId="3" applyNumberFormat="1" applyFont="1" applyFill="1" applyBorder="1"/>
    <xf numFmtId="192" fontId="4" fillId="0" borderId="0" xfId="0" applyNumberFormat="1" applyFont="1" applyFill="1" applyBorder="1"/>
    <xf numFmtId="191" fontId="4" fillId="0" borderId="0" xfId="3" applyNumberFormat="1" applyFont="1" applyFill="1" applyBorder="1"/>
    <xf numFmtId="188" fontId="4" fillId="0" borderId="0" xfId="3" applyFont="1" applyFill="1" applyBorder="1"/>
    <xf numFmtId="0" fontId="4" fillId="0" borderId="0" xfId="0" applyFont="1" applyFill="1" applyBorder="1"/>
    <xf numFmtId="0" fontId="2" fillId="14" borderId="0" xfId="0" applyFont="1" applyFill="1" applyAlignment="1">
      <alignment horizontal="center"/>
    </xf>
    <xf numFmtId="0" fontId="0" fillId="15" borderId="0" xfId="0" applyFill="1"/>
    <xf numFmtId="43" fontId="25" fillId="9" borderId="6" xfId="1" applyFont="1" applyFill="1" applyBorder="1"/>
    <xf numFmtId="43" fontId="6" fillId="8" borderId="0" xfId="1" applyFont="1" applyFill="1"/>
    <xf numFmtId="14" fontId="0" fillId="0" borderId="0" xfId="0" applyNumberFormat="1"/>
    <xf numFmtId="14" fontId="0" fillId="0" borderId="0" xfId="0" applyNumberFormat="1" applyAlignment="1">
      <alignment horizontal="center" vertical="center" wrapText="1"/>
    </xf>
    <xf numFmtId="0" fontId="2" fillId="0" borderId="9" xfId="0" quotePrefix="1" applyFont="1" applyBorder="1"/>
    <xf numFmtId="14" fontId="3" fillId="2" borderId="8" xfId="2" applyNumberFormat="1" applyBorder="1" applyAlignment="1">
      <alignment horizontal="center"/>
    </xf>
    <xf numFmtId="14" fontId="3" fillId="2" borderId="10" xfId="2" applyNumberFormat="1" applyBorder="1" applyAlignment="1">
      <alignment horizontal="center"/>
    </xf>
    <xf numFmtId="10" fontId="3" fillId="2" borderId="10" xfId="2" applyNumberFormat="1" applyBorder="1" applyAlignment="1">
      <alignment horizontal="center"/>
    </xf>
    <xf numFmtId="0" fontId="2" fillId="0" borderId="6" xfId="0" applyFont="1" applyBorder="1"/>
    <xf numFmtId="0" fontId="2" fillId="0" borderId="6" xfId="0" applyFont="1" applyBorder="1" applyAlignment="1">
      <alignment horizontal="center"/>
    </xf>
    <xf numFmtId="14" fontId="0" fillId="0" borderId="0" xfId="0" applyNumberFormat="1"/>
    <xf numFmtId="14" fontId="0" fillId="16" borderId="0" xfId="0" applyNumberFormat="1" applyFill="1"/>
    <xf numFmtId="0" fontId="2" fillId="0" borderId="0" xfId="0" applyFont="1" applyAlignment="1">
      <alignment horizontal="center" vertical="center" wrapText="1"/>
    </xf>
    <xf numFmtId="0" fontId="2" fillId="0" borderId="0" xfId="0" applyFont="1" applyAlignment="1">
      <alignment horizontal="center"/>
    </xf>
    <xf numFmtId="0" fontId="0" fillId="0" borderId="0" xfId="0" applyAlignment="1">
      <alignment horizontal="center" vertical="center" wrapText="1"/>
    </xf>
    <xf numFmtId="14" fontId="2" fillId="0" borderId="0" xfId="0" applyNumberFormat="1" applyFont="1" applyAlignment="1">
      <alignment horizontal="center" vertical="center" wrapText="1"/>
    </xf>
    <xf numFmtId="14" fontId="0" fillId="0" borderId="0" xfId="0" applyNumberFormat="1"/>
    <xf numFmtId="0" fontId="4" fillId="0" borderId="0" xfId="0" applyFont="1" applyFill="1"/>
    <xf numFmtId="14" fontId="24" fillId="0" borderId="0" xfId="0" applyNumberFormat="1" applyFont="1" applyFill="1"/>
    <xf numFmtId="14" fontId="27" fillId="0" borderId="0" xfId="0" applyNumberFormat="1" applyFont="1" applyFill="1"/>
    <xf numFmtId="0" fontId="4" fillId="0" borderId="0" xfId="0" applyFont="1" applyFill="1" applyAlignment="1">
      <alignment horizontal="center"/>
    </xf>
    <xf numFmtId="0" fontId="0" fillId="0" borderId="0" xfId="0" applyFont="1"/>
    <xf numFmtId="14" fontId="4" fillId="0" borderId="0" xfId="0" applyNumberFormat="1" applyFont="1" applyFill="1" applyAlignment="1">
      <alignment horizontal="right" vertical="center"/>
    </xf>
    <xf numFmtId="194" fontId="4" fillId="0" borderId="0" xfId="0" applyNumberFormat="1" applyFont="1" applyFill="1"/>
    <xf numFmtId="191" fontId="4" fillId="0" borderId="0" xfId="3" applyNumberFormat="1" applyFont="1" applyFill="1"/>
    <xf numFmtId="188" fontId="4" fillId="0" borderId="0" xfId="3" applyFont="1" applyFill="1"/>
    <xf numFmtId="0" fontId="2" fillId="0" borderId="0" xfId="0" applyFont="1" applyAlignment="1">
      <alignment horizontal="center" vertical="center" wrapText="1"/>
    </xf>
    <xf numFmtId="0" fontId="2" fillId="0" borderId="0" xfId="0" applyFont="1" applyAlignment="1">
      <alignment horizontal="center"/>
    </xf>
    <xf numFmtId="0" fontId="0" fillId="0" borderId="0" xfId="0" applyAlignment="1">
      <alignment horizontal="center" vertical="center" wrapText="1"/>
    </xf>
    <xf numFmtId="0" fontId="0" fillId="0" borderId="0" xfId="0" applyAlignment="1">
      <alignment horizontal="center"/>
    </xf>
    <xf numFmtId="14" fontId="2" fillId="0" borderId="0" xfId="0" applyNumberFormat="1" applyFont="1" applyAlignment="1">
      <alignment horizontal="center" vertical="center" wrapText="1"/>
    </xf>
    <xf numFmtId="14" fontId="2" fillId="0" borderId="0" xfId="0" applyNumberFormat="1" applyFont="1" applyAlignment="1">
      <alignment horizontal="center"/>
    </xf>
    <xf numFmtId="195" fontId="0" fillId="0" borderId="0" xfId="0" applyNumberFormat="1"/>
    <xf numFmtId="43" fontId="6" fillId="17" borderId="0" xfId="1" applyFont="1" applyFill="1" applyBorder="1"/>
    <xf numFmtId="0" fontId="25" fillId="0" borderId="6" xfId="0" applyFont="1" applyBorder="1"/>
    <xf numFmtId="0" fontId="2" fillId="17" borderId="6" xfId="0" applyFont="1" applyFill="1" applyBorder="1" applyAlignment="1">
      <alignment horizontal="center"/>
    </xf>
    <xf numFmtId="197" fontId="28" fillId="0" borderId="0" xfId="6" applyNumberFormat="1"/>
    <xf numFmtId="0" fontId="28" fillId="0" borderId="0" xfId="6"/>
  </cellXfs>
  <cellStyles count="7">
    <cellStyle name="Comma" xfId="1" builtinId="3"/>
    <cellStyle name="Comma 3" xfId="3" xr:uid="{A2A8D6FC-C840-4459-8A73-70E39FB5C55F}"/>
    <cellStyle name="Input" xfId="2" builtinId="20"/>
    <cellStyle name="Normal" xfId="0" builtinId="0"/>
    <cellStyle name="Normal 2 3 12 4" xfId="6" xr:uid="{E65E9730-3AEC-4B5D-906B-1F461D414D7F}"/>
    <cellStyle name="Normal 3" xfId="5" xr:uid="{7F0FE717-8942-468F-9311-7CED86FABC82}"/>
    <cellStyle name="Percent" xfId="4" builtinId="5"/>
  </cellStyles>
  <dxfs count="663">
    <dxf>
      <font>
        <b val="0"/>
        <i val="0"/>
        <strike val="0"/>
        <condense val="0"/>
        <extend val="0"/>
        <outline val="0"/>
        <shadow val="0"/>
        <u val="none"/>
        <vertAlign val="baseline"/>
        <sz val="10"/>
        <color auto="1"/>
        <name val="Tahoma"/>
        <family val="2"/>
        <scheme val="none"/>
      </font>
      <fill>
        <patternFill patternType="none">
          <fgColor indexed="64"/>
          <bgColor indexed="65"/>
        </patternFill>
      </fill>
    </dxf>
    <dxf>
      <font>
        <b val="0"/>
        <i val="0"/>
        <strike val="0"/>
        <condense val="0"/>
        <extend val="0"/>
        <outline val="0"/>
        <shadow val="0"/>
        <u val="none"/>
        <vertAlign val="baseline"/>
        <sz val="10"/>
        <color auto="1"/>
        <name val="Tahoma"/>
        <family val="2"/>
        <scheme val="none"/>
      </font>
      <fill>
        <patternFill patternType="none">
          <fgColor indexed="64"/>
          <bgColor indexed="65"/>
        </patternFill>
      </fill>
    </dxf>
    <dxf>
      <font>
        <b val="0"/>
        <i val="0"/>
        <strike val="0"/>
        <condense val="0"/>
        <extend val="0"/>
        <outline val="0"/>
        <shadow val="0"/>
        <u val="none"/>
        <vertAlign val="baseline"/>
        <sz val="10"/>
        <color auto="1"/>
        <name val="Tahoma"/>
        <family val="2"/>
        <scheme val="none"/>
      </font>
      <numFmt numFmtId="191" formatCode="_-* #,##0_-;\-* #,##0_-;_-* &quot;-&quot;??_-;_-@_-"/>
      <fill>
        <patternFill patternType="none">
          <fgColor indexed="64"/>
          <bgColor indexed="65"/>
        </patternFill>
      </fill>
    </dxf>
    <dxf>
      <font>
        <b val="0"/>
        <i val="0"/>
        <strike val="0"/>
        <condense val="0"/>
        <extend val="0"/>
        <outline val="0"/>
        <shadow val="0"/>
        <u val="none"/>
        <vertAlign val="baseline"/>
        <sz val="10"/>
        <color auto="1"/>
        <name val="Tahoma"/>
        <family val="2"/>
        <scheme val="none"/>
      </font>
      <numFmt numFmtId="192" formatCode="_-* #,##0.00000_-;\-* #,##0.00000_-;_-* &quot;-&quot;??_-;_-@_-"/>
      <fill>
        <patternFill patternType="none">
          <fgColor indexed="64"/>
          <bgColor indexed="65"/>
        </patternFill>
      </fill>
    </dxf>
    <dxf>
      <font>
        <b val="0"/>
        <i val="0"/>
        <strike val="0"/>
        <condense val="0"/>
        <extend val="0"/>
        <outline val="0"/>
        <shadow val="0"/>
        <u val="none"/>
        <vertAlign val="baseline"/>
        <sz val="10"/>
        <color theme="1"/>
        <name val="Tahoma"/>
        <family val="2"/>
        <scheme val="none"/>
      </font>
      <numFmt numFmtId="191" formatCode="_-* #,##0_-;\-* #,##0_-;_-* &quot;-&quot;??_-;_-@_-"/>
      <fill>
        <patternFill patternType="none">
          <fgColor indexed="64"/>
          <bgColor indexed="65"/>
        </patternFill>
      </fill>
    </dxf>
    <dxf>
      <font>
        <b val="0"/>
        <i val="0"/>
        <strike val="0"/>
        <condense val="0"/>
        <extend val="0"/>
        <outline val="0"/>
        <shadow val="0"/>
        <u val="none"/>
        <vertAlign val="baseline"/>
        <sz val="10"/>
        <color theme="1"/>
        <name val="Tahoma"/>
        <family val="2"/>
        <scheme val="none"/>
      </font>
      <numFmt numFmtId="192" formatCode="_-* #,##0.00000_-;\-* #,##0.00000_-;_-* &quot;-&quot;??_-;_-@_-"/>
      <fill>
        <patternFill patternType="none">
          <fgColor indexed="64"/>
          <bgColor indexed="65"/>
        </patternFill>
      </fill>
      <protection locked="0" hidden="0"/>
    </dxf>
    <dxf>
      <font>
        <b val="0"/>
        <i val="0"/>
        <strike val="0"/>
        <condense val="0"/>
        <extend val="0"/>
        <outline val="0"/>
        <shadow val="0"/>
        <u val="none"/>
        <vertAlign val="baseline"/>
        <sz val="10"/>
        <color auto="1"/>
        <name val="Tahoma"/>
        <family val="2"/>
        <scheme val="none"/>
      </font>
      <fill>
        <patternFill patternType="none">
          <fgColor indexed="64"/>
          <bgColor indexed="65"/>
        </patternFill>
      </fill>
    </dxf>
    <dxf>
      <font>
        <b val="0"/>
        <i val="0"/>
        <strike val="0"/>
        <condense val="0"/>
        <extend val="0"/>
        <outline val="0"/>
        <shadow val="0"/>
        <u val="none"/>
        <vertAlign val="baseline"/>
        <sz val="10"/>
        <color auto="1"/>
        <name val="Tahoma"/>
        <family val="2"/>
        <scheme val="none"/>
      </font>
      <numFmt numFmtId="191" formatCode="_-* #,##0_-;\-* #,##0_-;_-* &quot;-&quot;??_-;_-@_-"/>
      <fill>
        <patternFill patternType="none">
          <fgColor indexed="64"/>
          <bgColor indexed="65"/>
        </patternFill>
      </fill>
    </dxf>
    <dxf>
      <font>
        <b val="0"/>
        <i val="0"/>
        <strike val="0"/>
        <condense val="0"/>
        <extend val="0"/>
        <outline val="0"/>
        <shadow val="0"/>
        <u val="none"/>
        <vertAlign val="baseline"/>
        <sz val="10"/>
        <color auto="1"/>
        <name val="Tahoma"/>
        <family val="2"/>
        <scheme val="none"/>
      </font>
      <numFmt numFmtId="194" formatCode="_-* #,##0.0000_-;\-* #,##0.0000_-;_-* &quot;-&quot;??_-;_-@_-"/>
      <fill>
        <patternFill patternType="none">
          <fgColor indexed="64"/>
          <bgColor indexed="65"/>
        </patternFill>
      </fill>
    </dxf>
    <dxf>
      <font>
        <b val="0"/>
        <i val="0"/>
        <strike val="0"/>
        <condense val="0"/>
        <extend val="0"/>
        <outline val="0"/>
        <shadow val="0"/>
        <u val="none"/>
        <vertAlign val="baseline"/>
        <sz val="10"/>
        <color auto="1"/>
        <name val="Tahoma"/>
        <family val="2"/>
        <scheme val="none"/>
      </font>
      <fill>
        <patternFill patternType="none">
          <fgColor indexed="64"/>
          <bgColor indexed="65"/>
        </patternFill>
      </fill>
    </dxf>
    <dxf>
      <font>
        <sz val="10"/>
        <color auto="1"/>
      </font>
      <numFmt numFmtId="19" formatCode="dd/mm/yyyy"/>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Tahoma"/>
        <family val="2"/>
        <scheme val="minor"/>
      </font>
    </dxf>
    <dxf>
      <font>
        <b val="0"/>
        <i val="0"/>
        <strike val="0"/>
        <condense val="0"/>
        <extend val="0"/>
        <outline val="0"/>
        <shadow val="0"/>
        <u val="none"/>
        <vertAlign val="baseline"/>
        <sz val="10"/>
        <color auto="1"/>
        <name val="Tahoma"/>
        <family val="2"/>
        <scheme val="none"/>
      </font>
      <fill>
        <patternFill patternType="none">
          <fgColor indexed="64"/>
          <bgColor indexed="65"/>
        </patternFill>
      </fill>
    </dxf>
    <dxf>
      <font>
        <b val="0"/>
        <i val="0"/>
        <strike val="0"/>
        <condense val="0"/>
        <extend val="0"/>
        <outline val="0"/>
        <shadow val="0"/>
        <u val="none"/>
        <vertAlign val="baseline"/>
        <sz val="10"/>
        <color auto="1"/>
        <name val="Tahoma"/>
        <family val="2"/>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Tahoma"/>
        <family val="2"/>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Tahoma"/>
        <family val="2"/>
        <scheme val="none"/>
      </font>
      <fill>
        <patternFill patternType="none">
          <fgColor indexed="64"/>
          <bgColor indexed="65"/>
        </patternFill>
      </fill>
      <alignment horizontal="center" vertical="bottom" textRotation="0" wrapText="0" indent="0" justifyLastLine="0" shrinkToFit="0" readingOrder="0"/>
    </dxf>
    <dxf>
      <font>
        <sz val="10"/>
        <color rgb="FFFF0000"/>
      </font>
      <numFmt numFmtId="19" formatCode="dd/mm/yyyy"/>
      <fill>
        <patternFill patternType="none">
          <fgColor indexed="64"/>
          <bgColor indexed="65"/>
        </patternFill>
      </fill>
    </dxf>
    <dxf>
      <font>
        <sz val="10"/>
      </font>
      <numFmt numFmtId="19" formatCode="dd/mm/yyyy"/>
      <fill>
        <patternFill patternType="none">
          <fgColor indexed="64"/>
          <bgColor indexed="65"/>
        </patternFill>
      </fill>
    </dxf>
    <dxf>
      <font>
        <b val="0"/>
        <i val="0"/>
        <strike val="0"/>
        <condense val="0"/>
        <extend val="0"/>
        <outline val="0"/>
        <shadow val="0"/>
        <u val="none"/>
        <vertAlign val="baseline"/>
        <sz val="10"/>
        <color auto="1"/>
        <name val="Tahoma"/>
        <family val="2"/>
        <scheme val="none"/>
      </font>
      <fill>
        <patternFill patternType="none">
          <fgColor indexed="64"/>
          <bgColor indexed="65"/>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95" formatCode="dd/mm/yyyy"/>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9C0006"/>
      </font>
    </dxf>
    <dxf>
      <font>
        <color rgb="FF9C0006"/>
      </font>
    </dxf>
    <dxf>
      <font>
        <color rgb="FF9C0006"/>
      </font>
    </dxf>
    <dxf>
      <font>
        <color rgb="FFFFC000"/>
      </font>
    </dxf>
    <dxf>
      <font>
        <color rgb="FF9C0006"/>
      </font>
    </dxf>
    <dxf>
      <font>
        <color rgb="FF9C0006"/>
      </font>
    </dxf>
    <dxf>
      <font>
        <color rgb="FFFFC000"/>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9C0006"/>
      </font>
    </dxf>
    <dxf>
      <font>
        <color rgb="FF9C0006"/>
      </font>
    </dxf>
    <dxf>
      <font>
        <color rgb="FF9C0006"/>
      </font>
    </dxf>
    <dxf>
      <font>
        <color rgb="FFFFC000"/>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FFC000"/>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FFC000"/>
      </font>
    </dxf>
    <dxf>
      <font>
        <color rgb="FF9C0006"/>
      </font>
    </dxf>
    <dxf>
      <font>
        <color rgb="FF9C0006"/>
      </font>
    </dxf>
    <dxf>
      <font>
        <color rgb="FFFFC000"/>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9C0006"/>
      </font>
    </dxf>
    <dxf>
      <font>
        <color rgb="FF9C0006"/>
      </font>
    </dxf>
    <dxf>
      <font>
        <color rgb="FF9C0006"/>
      </font>
    </dxf>
    <dxf>
      <font>
        <color rgb="FFFFC000"/>
      </font>
    </dxf>
    <dxf>
      <font>
        <color rgb="FF9C0006"/>
      </font>
    </dxf>
    <dxf>
      <font>
        <color rgb="FF9C0006"/>
      </font>
    </dxf>
    <dxf>
      <font>
        <color rgb="FFFFC000"/>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FFC000"/>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FFC000"/>
      </font>
    </dxf>
    <dxf>
      <font>
        <color rgb="FF9C0006"/>
      </font>
    </dxf>
    <dxf>
      <font>
        <color rgb="FF9C0006"/>
      </font>
    </dxf>
    <dxf>
      <font>
        <color rgb="FFFFC000"/>
      </font>
    </dxf>
    <dxf>
      <font>
        <color rgb="FF9C0006"/>
      </font>
    </dxf>
    <dxf>
      <font>
        <color rgb="FF9C0006"/>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9C0006"/>
      </font>
    </dxf>
    <dxf>
      <font>
        <color rgb="FF9C0006"/>
      </font>
    </dxf>
    <dxf>
      <font>
        <color rgb="FF9C0006"/>
      </font>
    </dxf>
    <dxf>
      <font>
        <color rgb="FFFFC000"/>
      </font>
    </dxf>
    <dxf>
      <font>
        <color rgb="FF9C0006"/>
      </font>
    </dxf>
    <dxf>
      <font>
        <color rgb="FF9C0006"/>
      </font>
    </dxf>
    <dxf>
      <font>
        <color rgb="FFFFC000"/>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9C0006"/>
      </font>
    </dxf>
    <dxf>
      <font>
        <color rgb="FF9C0006"/>
      </font>
    </dxf>
    <dxf>
      <font>
        <color rgb="FF9C0006"/>
      </font>
    </dxf>
    <dxf>
      <font>
        <color rgb="FFFFC000"/>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FFC000"/>
      </font>
    </dxf>
    <dxf>
      <font>
        <color rgb="FF9C0006"/>
      </font>
    </dxf>
    <dxf>
      <font>
        <color rgb="FF9C0006"/>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9C0006"/>
      </font>
    </dxf>
    <dxf>
      <font>
        <color rgb="FF9C0006"/>
      </font>
    </dxf>
    <dxf>
      <font>
        <color rgb="FF9C0006"/>
      </font>
    </dxf>
    <dxf>
      <font>
        <color rgb="FFFFC000"/>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FFC000"/>
      </font>
    </dxf>
    <dxf>
      <font>
        <color rgb="FF9C0006"/>
      </font>
    </dxf>
    <dxf>
      <font>
        <color rgb="FF9C0006"/>
      </font>
    </dxf>
    <dxf>
      <font>
        <color rgb="FF9C0006"/>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9C0006"/>
      </font>
    </dxf>
    <dxf>
      <font>
        <color rgb="FF9C0006"/>
      </font>
    </dxf>
    <dxf>
      <font>
        <color rgb="FF9C0006"/>
      </font>
    </dxf>
    <dxf>
      <font>
        <color rgb="FFFFC000"/>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9C0006"/>
      </font>
    </dxf>
    <dxf>
      <font>
        <color rgb="FF9C0006"/>
      </font>
    </dxf>
    <dxf>
      <font>
        <color rgb="FF9C0006"/>
      </font>
    </dxf>
    <dxf>
      <font>
        <color rgb="FFFFC000"/>
      </font>
    </dxf>
    <dxf>
      <font>
        <color rgb="FF9C0006"/>
      </font>
    </dxf>
    <dxf>
      <font>
        <color rgb="FF9C0006"/>
      </font>
    </dxf>
    <dxf>
      <font>
        <color rgb="FFFFC000"/>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9C0006"/>
      </font>
    </dxf>
    <dxf>
      <font>
        <color rgb="FFFFC000"/>
      </font>
    </dxf>
    <dxf>
      <font>
        <color rgb="FF9C0006"/>
      </font>
    </dxf>
    <dxf>
      <font>
        <color rgb="FF9C0006"/>
      </font>
    </dxf>
    <dxf>
      <font>
        <color rgb="FF9C0006"/>
      </font>
    </dxf>
    <dxf>
      <font>
        <color rgb="FF9C0006"/>
      </font>
    </dxf>
    <dxf>
      <font>
        <color rgb="FFFFC000"/>
      </font>
    </dxf>
    <dxf>
      <font>
        <color rgb="FF9C0006"/>
      </font>
      <fill>
        <patternFill>
          <bgColor rgb="FFFFC7CE"/>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9C0006"/>
      </font>
      <fill>
        <patternFill>
          <bgColor rgb="FFFFC7CE"/>
        </patternFill>
      </fill>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19" formatCode="dd/mm/yyyy"/>
    </dxf>
    <dxf>
      <font>
        <b val="0"/>
        <i val="0"/>
        <strike val="0"/>
        <condense val="0"/>
        <extend val="0"/>
        <outline val="0"/>
        <shadow val="0"/>
        <u val="none"/>
        <vertAlign val="baseline"/>
        <sz val="11"/>
        <color theme="1"/>
        <name val="Tahoma"/>
        <family val="2"/>
        <scheme val="minor"/>
      </font>
    </dxf>
    <dxf>
      <numFmt numFmtId="19" formatCode="dd/mm/yyyy"/>
    </dxf>
    <dxf>
      <numFmt numFmtId="0" formatCode="General"/>
    </dxf>
    <dxf>
      <numFmt numFmtId="19" formatCode="dd/mm/yyyy"/>
    </dxf>
    <dxf>
      <numFmt numFmtId="19" formatCode="dd/mm/yyyy"/>
    </dxf>
    <dxf>
      <font>
        <b/>
        <i val="0"/>
        <strike val="0"/>
        <condense val="0"/>
        <extend val="0"/>
        <outline val="0"/>
        <shadow val="0"/>
        <u val="none"/>
        <vertAlign val="baseline"/>
        <sz val="11"/>
        <color theme="1"/>
        <name val="Tahoma"/>
        <family val="2"/>
        <scheme val="minor"/>
      </font>
    </dxf>
    <dxf>
      <numFmt numFmtId="190" formatCode="0.000"/>
    </dxf>
    <dxf>
      <numFmt numFmtId="3" formatCode="#,##0"/>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i val="0"/>
        <strike val="0"/>
        <condense val="0"/>
        <extend val="0"/>
        <outline val="0"/>
        <shadow val="0"/>
        <u val="none"/>
        <vertAlign val="baseline"/>
        <sz val="11"/>
        <color theme="1"/>
        <name val="Tahoma"/>
        <family val="2"/>
        <scheme val="minor"/>
      </font>
      <fill>
        <patternFill patternType="none">
          <fgColor indexed="64"/>
          <bgColor auto="1"/>
        </patternFill>
      </fill>
      <alignment horizontal="center" vertical="bottom" textRotation="0" wrapText="0" indent="0" justifyLastLine="0" shrinkToFit="0" readingOrder="0"/>
    </dxf>
  </dxfs>
  <tableStyles count="0" defaultTableStyle="TableStyleMedium2" defaultPivotStyle="PivotStyleLight16"/>
  <colors>
    <mruColors>
      <color rgb="FF3F3F76"/>
      <color rgb="FFB17ED8"/>
      <color rgb="FF66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66675</xdr:colOff>
          <xdr:row>2</xdr:row>
          <xdr:rowOff>76200</xdr:rowOff>
        </xdr:from>
        <xdr:to>
          <xdr:col>1</xdr:col>
          <xdr:colOff>1809750</xdr:colOff>
          <xdr:row>4</xdr:row>
          <xdr:rowOff>28575</xdr:rowOff>
        </xdr:to>
        <xdr:sp macro="" textlink="">
          <xdr:nvSpPr>
            <xdr:cNvPr id="2052" name="CashInBtn"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5</xdr:row>
          <xdr:rowOff>19050</xdr:rowOff>
        </xdr:from>
        <xdr:to>
          <xdr:col>1</xdr:col>
          <xdr:colOff>1819275</xdr:colOff>
          <xdr:row>6</xdr:row>
          <xdr:rowOff>142875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th-TH" sz="1100" b="0" i="0" u="none" strike="noStrike" baseline="0">
                  <a:solidFill>
                    <a:srgbClr val="000000"/>
                  </a:solidFill>
                  <a:latin typeface="Tahoma"/>
                  <a:cs typeface="Tahoma"/>
                </a:rPr>
                <a:t>Get Term Fund NAV</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Program%20Files\Microsoft%20Office\Office10\Addins\SCBAM_CON2SPCD.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bout"/>
    </sheetNames>
    <definedNames>
      <definedName name="SCBAM_GetGroup1Dtl"/>
      <definedName name="SCBAM_GetSecDtl"/>
      <definedName name="SCBAM_NextBusinessDay"/>
      <definedName name="SCBAM_PreviousBusinessDay"/>
    </definedNames>
    <sheetDataSet>
      <sheetData sheetId="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OMPONG PANTUWORN" refreshedDate="43398.444973148151" createdVersion="6" refreshedVersion="6" minRefreshableVersion="3" recordCount="955" xr:uid="{4FCE9BB2-4794-4D61-9DFE-241B0CD6CD4E}">
  <cacheSource type="worksheet">
    <worksheetSource name="DataTable"/>
  </cacheSource>
  <cacheFields count="22">
    <cacheField name="HLD_Date" numFmtId="14">
      <sharedItems containsSemiMixedTypes="0" containsNonDate="0" containsDate="1" containsString="0" minDate="2018-10-17T00:00:00" maxDate="2018-10-25T00:00:00" count="3">
        <d v="2018-10-24T00:00:00"/>
        <d v="2018-10-17T00:00:00" u="1"/>
        <d v="2018-10-22T00:00:00" u="1"/>
      </sharedItems>
    </cacheField>
    <cacheField name="HLD_Portfolio" numFmtId="0">
      <sharedItems count="10">
        <s v="SCBSFF"/>
        <s v="SCBSFFPLUS"/>
        <s v="SCBTMF"/>
        <s v="SCBTMFPLUS"/>
        <s v="SCBRF"/>
        <s v="SCBRM1"/>
        <s v="SCBRM2"/>
        <s v="SCBFPFUND"/>
        <s v="SCBPLUS"/>
        <s v="SCBFIXED"/>
      </sharedItems>
    </cacheField>
    <cacheField name="Group1" numFmtId="0">
      <sharedItems count="7">
        <s v="FIXED INCOME"/>
        <s v="DERIVATIVE"/>
        <s v="ACCRUED PAYABLE"/>
        <s v="FEES"/>
        <s v="ACCRUED RECEIVE"/>
        <s v="EQUITY"/>
        <s v="DEFERED CHARGE"/>
      </sharedItems>
    </cacheField>
    <cacheField name="Group2" numFmtId="0">
      <sharedItems count="26">
        <s v="CUSTODIAN BANK"/>
        <s v="TERM &amp; SAVING DEPOSIT"/>
        <s v="BILL OF EXCHANGE"/>
        <s v="TREASURY BILL"/>
        <s v="BOT BOND"/>
        <s v="DEBENTURE"/>
        <s v="FORWARD"/>
        <s v="BUY SECURITY"/>
        <s v="AUDITING FEE"/>
        <s v="TAX"/>
        <s v="REGISTRAR FEE"/>
        <s v="A NEWSPAPER_NAV"/>
        <s v="MANAGEMENT FEE"/>
        <s v="CUSTODIAN FEE"/>
        <s v="COMMERCIAL PAPER"/>
        <s v="BOND"/>
        <s v="SELL SECURITY"/>
        <s v="A/R FROM SUB."/>
        <s v="TAX REDEMP"/>
        <s v="EXPENSE PENDING"/>
        <s v="OPERATION FEE"/>
        <s v="SWAP"/>
        <s v="UNIT TRUST"/>
        <s v="ACCRUED DIVIDEND"/>
        <s v="D SEC FEE"/>
        <s v="UNSETTLE AMOR." u="1"/>
      </sharedItems>
    </cacheField>
    <cacheField name="Group3" numFmtId="0">
      <sharedItems containsBlank="1"/>
    </cacheField>
    <cacheField name="HLD_SecCode" numFmtId="0">
      <sharedItems containsBlank="1" count="514">
        <s v="-CNY CASH-"/>
        <s v="-EUR CASH-"/>
        <s v="-HKD CASH-"/>
        <s v="-SACON SFF"/>
        <s v="-US CASH-"/>
        <s v="CASH"/>
        <s v="CD12MTBANK14519"/>
        <s v="CD9MTBANK11619"/>
        <s v="F12MABCHK100519"/>
        <s v="F12MABCHK250419"/>
        <s v="F12MADCB061118b"/>
        <s v="F12MBOCMC040419"/>
        <s v="F12MBOCMC110419"/>
        <s v="F12MBOCMC250419"/>
        <s v="F12MGHB020819a"/>
        <s v="F12MGHB060819"/>
        <s v="F12MGHB090819"/>
        <s v="F12MGHB141218"/>
        <s v="F12MGHB160119"/>
        <s v="F12MGHB170119"/>
        <s v="F12MGHB180119"/>
        <s v="F12MGHB210119"/>
        <s v="F3MBOCMC220119a"/>
        <s v="F6MBOCMC051118"/>
        <s v="F6MBOCMC190319"/>
        <s v="INVCTISCOsff1"/>
        <s v="INVSKTBsff"/>
        <s v="INVSUOBTsff"/>
        <s v="S4MSCB030119"/>
        <s v="MBKET18D18A"/>
        <s v="SPALI19218A"/>
        <s v="TB18N14A"/>
        <s v="TB19403A"/>
        <s v="CB18D06C"/>
        <s v="CB18D13B"/>
        <s v="CB18D20B"/>
        <s v="CB18N01A"/>
        <s v="CB18N01B"/>
        <s v="CB18N06A"/>
        <s v="CB18N08A"/>
        <s v="CB18N08B"/>
        <s v="CB18N15A"/>
        <s v="CB18N15B"/>
        <s v="CB18N22A"/>
        <s v="CB18N22B"/>
        <s v="CB18N29A"/>
        <s v="CB18N29B"/>
        <s v="CB18O25A"/>
        <s v="CB18O25B"/>
        <s v="CB18O30A"/>
        <s v="CB19103B"/>
        <s v="CB19110B"/>
        <s v="CB19117B"/>
        <s v="CB19124B"/>
        <s v="CPALL18OB"/>
        <s v="FWCNHTHB19404A"/>
        <s v="FWCNHTHB19411A"/>
        <s v="FWEURTHB18N05B"/>
        <s v="FWEURTHB19122B"/>
        <s v="FWEURTHB19319B"/>
        <s v="FWEURTHB19425A"/>
        <s v="FWEURTHB19510A"/>
        <s v="FWUSDTHB18N06C"/>
        <s v="FWUSDTHB19425A"/>
        <s v="AUDITING FEE"/>
        <m/>
        <s v="A NEWSPAPER_NAV"/>
        <s v="-AED CASH-"/>
        <s v="-GBP CASH-"/>
        <s v="-JPY CASH-"/>
        <s v="CD12MCMBL010219"/>
        <s v="CD12MICBCD16119"/>
        <s v="CD12MTBANK17519"/>
        <s v="CD1YBOCHK060319"/>
        <s v="CD1YBOCHK071218"/>
        <s v="CD1YICBCSE08219"/>
        <s v="F12MABCHK130219"/>
        <s v="F12MABCHK220319"/>
        <s v="F12MABCHK230519"/>
        <s v="F12MABCHK250619"/>
        <s v="F12MABCHK260419"/>
        <s v="F12MABCHK270319"/>
        <s v="F12MABCHK280319"/>
        <s v="F12MABCHK310119"/>
        <s v="F12MABCHK310519"/>
        <s v="F12MADCB181218a"/>
        <s v="F12MBOCMC02519b"/>
        <s v="F12MBOCMC080119"/>
        <s v="F12MBOCMC090119"/>
        <s v="F12MBOCMC181218"/>
        <s v="F12MBOCMC280619"/>
        <s v="F12MGHB010819"/>
        <s v="F12MGHB020819"/>
        <s v="F12MGHB260719"/>
        <s v="F12MUNB011019"/>
        <s v="F12MUNB021019a"/>
        <s v="F3MBOCMC160119"/>
        <s v="F6MABCHK120319"/>
        <s v="F6MADCB251018"/>
        <s v="F6MADCB261118"/>
        <s v="F6MBOCMC191118"/>
        <s v="F6MBOCMC201118"/>
        <s v="INVSKTBsffplus"/>
        <s v="INVSSCBCYsffp"/>
        <s v="INVSSCBUSsffp"/>
        <s v="INVSUOBTsffplus"/>
        <s v="BANPU19206A"/>
        <s v="BTSG18N20A"/>
        <s v="CPF18D13A"/>
        <s v="CPF19129A"/>
        <s v="CPFTH18D06A"/>
        <s v="CPFTH19326B"/>
        <s v="CPN18N13A"/>
        <s v="MPSC18D04A"/>
        <s v="SIRI19122A"/>
        <s v="SPALI19131A"/>
        <s v="CB18D13A"/>
        <s v="CB18D27B"/>
        <s v="CB19103A"/>
        <s v="CB19117A"/>
        <s v="BH18DA"/>
        <s v="BJC206A"/>
        <s v="BTG19NA"/>
        <s v="CPALL193A"/>
        <s v="DMT18NB"/>
        <s v="DMT20NA"/>
        <s v="GOLD19NA"/>
        <s v="ICBCTL19NA"/>
        <s v="KK18N15A"/>
        <s v="KK18N20A"/>
        <s v="KK18N22A"/>
        <s v="KK18N23A"/>
        <s v="KK18N30B"/>
        <s v="KK19118A"/>
        <s v="KK19118B"/>
        <s v="KK203A"/>
        <s v="LHBANK199A"/>
        <s v="LHBANK203A"/>
        <s v="PS18NA"/>
        <s v="QH213A"/>
        <s v="SCB19218A"/>
        <s v="SPALI213A"/>
        <s v="TBEV203A"/>
        <s v="TBEV213A"/>
        <s v="THCOM19OB"/>
        <s v="TISCO18NA"/>
        <s v="TISCO198A"/>
        <s v="TISCO205B"/>
        <s v="TRUE192B"/>
        <s v="TUC19129B"/>
        <s v="TUC218A"/>
        <s v="WHA214A"/>
        <s v="WHART213A"/>
        <s v="WHAUP208A"/>
        <s v="EMTNMASQ070319"/>
        <s v="EMTNMASQ080519"/>
        <s v="EMTNMASQ090419"/>
        <s v="EMTNMASQ130519"/>
        <s v="EMTNMASQ210319"/>
        <s v="FWAEDTHB18D18A"/>
        <s v="FWEURTHB18D07B"/>
        <s v="FWEURTHB18N05A"/>
        <s v="FWEURTHB19116A"/>
        <s v="FWEURTHB19122A"/>
        <s v="FWEURTHB19131A"/>
        <s v="FWEURTHB19201A"/>
        <s v="FWEURTHB19213A"/>
        <s v="FWEURTHB19306A"/>
        <s v="FWEURTHB19321A"/>
        <s v="FWEURTHB19322A"/>
        <s v="FWEURTHB19327A"/>
        <s v="FWEURTHB19328A"/>
        <s v="FWEURTHB19502B"/>
        <s v="FWEURTHB19523A"/>
        <s v="FWEURTHB19531A"/>
        <s v="FWHKDTHB19312A"/>
        <s v="FWUSDTHB18D18B"/>
        <s v="FWUSDTHB18N06D"/>
        <s v="FWUSDTHB18N19A"/>
        <s v="FWUSDTHB18N20A"/>
        <s v="FWUSDTHB18N26A"/>
        <s v="FWUSDTHB18O25A"/>
        <s v="FWUSDTHB19108A"/>
        <s v="FWUSDTHB19109A"/>
        <s v="FWUSDTHB19116B"/>
        <s v="FWUSDTHB19208A"/>
        <s v="FWUSDTHB19307A"/>
        <s v="FWUSDTHB19409A"/>
        <s v="FWUSDTHB19426A"/>
        <s v="FWUSDTHB19508A"/>
        <s v="FWUSDTHB19513B"/>
        <s v="FWUSDTHB19625A"/>
        <s v="FWUSDTHB19628A"/>
        <s v="FWUSDTHB19O01A"/>
        <s v="FWUSDTHB19O02B"/>
        <s v="F12MGHB090419"/>
        <s v="INVSUOBTtmf"/>
        <s v="F12MGHB071218"/>
        <s v="INVSKTBtmfplus"/>
        <s v="INVSUOBTtmfplus"/>
        <s v="CB18D06A"/>
        <s v="GHB18DA"/>
        <s v="BAY193A"/>
        <s v="INVCTISCOrf"/>
        <s v="INVSKTBrf"/>
        <s v="INVSUOBTrf"/>
        <s v="BANSUAN161017"/>
        <s v="CALE205A"/>
        <s v="AMATA20OA"/>
        <s v="BANPU214A"/>
        <s v="BANPU247A"/>
        <s v="BANPU274A"/>
        <s v="BEM234A"/>
        <s v="BJC219A"/>
        <s v="BJC239A"/>
        <s v="BTG215A"/>
        <s v="BTG227A"/>
        <s v="BTG233A"/>
        <s v="BTSC19NA"/>
        <s v="BTSG20DA"/>
        <s v="CBG206A"/>
        <s v="CK20NA"/>
        <s v="CPF218B"/>
        <s v="CPF251A"/>
        <s v="GPSC219A"/>
        <s v="IRPC215B"/>
        <s v="IVL205A"/>
        <s v="NTL19DB"/>
        <s v="QH20NA"/>
        <s v="SPALI205A"/>
        <s v="THCOM21OB"/>
        <s v="TICON208A"/>
        <s v="TICON213A"/>
        <s v="TISCO195B"/>
        <s v="TRUE18N27A"/>
        <s v="TRUE19129B"/>
        <s v="TUC18D20A"/>
        <s v="UOBT193A"/>
        <s v="PS20NA"/>
        <s v="F12MGHB301118"/>
        <s v="INVSKTBrm1"/>
        <s v="INVSUOBTrm1"/>
        <s v="TUC19326A"/>
        <s v="CB18D20A"/>
        <s v="CB19314A"/>
        <s v="BOT192A"/>
        <s v="BOT199A"/>
        <s v="BOT209A"/>
        <s v="LB206A"/>
        <s v="AWN214B"/>
        <s v="BANPU207B"/>
        <s v="BAY18OA"/>
        <s v="BEM196A"/>
        <s v="BJC193A"/>
        <s v="BJC199A"/>
        <s v="CPALL193B"/>
        <s v="CPALL198B"/>
        <s v="CPALL20OA"/>
        <s v="CPF198B"/>
        <s v="CPF204A"/>
        <s v="CPFTH207A"/>
        <s v="KCC199A"/>
        <s v="KCC203A"/>
        <s v="KSL203A"/>
        <s v="LH194B"/>
        <s v="MAJOR229A"/>
        <s v="TRUE19129A"/>
        <s v="MINT193A"/>
        <s v="NTL195A"/>
        <s v="PS193A"/>
        <s v="PS19NA"/>
        <s v="PTTC195B"/>
        <s v="QH194A"/>
        <s v="QH198A"/>
        <s v="SCCC205A"/>
        <s v="TBEV223A"/>
        <s v="MBTH18DA"/>
        <s v="TLT201B"/>
        <s v="CD12MTBANK05719"/>
        <s v="INVSUOBTrm2"/>
        <s v="CB18D27A"/>
        <s v="CB19110A"/>
        <s v="CB19131A"/>
        <s v="CB19214A"/>
        <s v="CB19228A"/>
        <s v="CB19307A"/>
        <s v="CB19321A"/>
        <s v="CB19328A"/>
        <s v="CB19404A"/>
        <s v="CB19606A"/>
        <s v="CB19905A"/>
        <s v="BOT193A"/>
        <s v="BOT203A"/>
        <s v="ILB217A"/>
        <s v="LB226A"/>
        <s v="LB22DA"/>
        <s v="LB23DA"/>
        <s v="LB28DA"/>
        <s v="SRT224A"/>
        <s v="BEM20OA"/>
        <s v="BEM229A"/>
        <s v="BJC203A"/>
        <s v="BJC243A"/>
        <s v="CK217A"/>
        <s v="CPALL233A"/>
        <s v="CPF235A"/>
        <s v="CPF244A"/>
        <s v="CPFTH211A"/>
        <s v="CPFTH231A"/>
        <s v="LH194A"/>
        <s v="MINT205A"/>
        <s v="MINT213A"/>
        <s v="PS207A"/>
        <s v="QH205A"/>
        <s v="SCCC245A"/>
        <s v="SPALI202A"/>
        <s v="TBEV233A"/>
        <s v="TRUE19715A"/>
        <s v="/SCBFIFL26DC"/>
        <s v="/CIMBFIFL23OB"/>
        <s v="/SCBFIFL23OB"/>
        <s v="/KTBFIFL23OE"/>
        <s v="/CIMBFIFL23OF"/>
        <s v="CD12MTBANK26419"/>
        <s v="CD1YBOCHK301118"/>
        <s v="F12MABCHK080219"/>
        <s v="F12MABCHK250319"/>
        <s v="F12MADCB061118"/>
        <s v="F12MBOCMC020519"/>
        <s v="F12MBOCMC200919"/>
        <s v="F12MGHB080819"/>
        <s v="F12MGHB120419"/>
        <s v="F12MGHB190419"/>
        <s v="F12MGHB230119"/>
        <s v="F12MUNB021019"/>
        <s v="F3MBOCMC150119"/>
        <s v="INVSUOBTfp"/>
        <s v="CB19221A"/>
        <s v="BOT202B"/>
        <s v="LB191A"/>
        <s v="LB193A"/>
        <s v="LB21DA"/>
        <s v="EXAT229A"/>
        <s v="EA217A"/>
        <s v="GED198A"/>
        <s v="TLT202A"/>
        <s v="TLT20NA"/>
        <s v="SIRI204A"/>
        <s v="ABPSPV204A"/>
        <s v="ABPSPV214A"/>
        <s v="ABPSPV224A"/>
        <s v="EASTW226A"/>
        <s v="TREIT216A"/>
        <s v="TRUE22NA"/>
        <s v="UOBT213A"/>
        <s v="AYCAL197A"/>
        <s v="BAY196A"/>
        <s v="BAY20NA"/>
        <s v="BAY211A"/>
        <s v="BAY217A"/>
        <s v="BCH211A"/>
        <s v="BCH22DA"/>
        <s v="BEM216A"/>
        <s v="BJC223A"/>
        <s v="BTG207A"/>
        <s v="CKP216A"/>
        <s v="CPALL20OB"/>
        <s v="CPF198A"/>
        <s v="CPF205A"/>
        <s v="CPF228A"/>
        <s v="CPFTH237A"/>
        <s v="CPN19NA"/>
        <s v="CPN20DA"/>
        <s v="DTN207A"/>
        <s v="GLOW19OA"/>
        <s v="HMPRO198A"/>
        <s v="HMPRO19DA"/>
        <s v="IVL216A"/>
        <s v="KSL215A"/>
        <s v="LH19OB"/>
        <s v="LH204A"/>
        <s v="LH204B"/>
        <s v="LH20OA"/>
        <s v="LH20OB"/>
        <s v="MBK262A"/>
        <s v="MPSC199A"/>
        <s v="MPSC19OA"/>
        <s v="MPSC209A"/>
        <s v="MPSC20OA"/>
        <s v="MPSC20OB"/>
        <s v="PS213A"/>
        <s v="PSH215A"/>
        <s v="PTTC195A"/>
        <s v="PTTC20NA"/>
        <s v="PTTC21NA"/>
        <s v="QH196A"/>
        <s v="SCC248A"/>
        <s v="SCCC244A"/>
        <s v="SPALI19DA"/>
        <s v="EMTNABCHK101218"/>
        <s v="FWEURTHB18D07A"/>
        <s v="FWEURTHB18N30A"/>
        <s v="FWEURTHB19115A"/>
        <s v="FWEURTHB19208A"/>
        <s v="FWEURTHB19325A"/>
        <s v="FWEURTHB19502A"/>
        <s v="FWUSDTHB18D18A"/>
        <s v="FWUSDTHB18N06A"/>
        <s v="FWUSDTHB19116A"/>
        <s v="FWUSDTHB19920A"/>
        <s v="FWUSDTHB19O02A"/>
        <s v="/SCBFIFL25DA"/>
        <s v="/SCBFIFL196A"/>
        <s v="/SCBFIFL236A"/>
        <s v="/SCBTHUS18DA"/>
        <s v="/SCBFIFL26DB"/>
        <s v="/SCBFIFL217A"/>
        <s v="/SCBFIFL218A"/>
        <s v="/CIMBFIFL238A"/>
        <s v="/CIMBFIFL218A"/>
        <s v="/CIMBFIFL23OA"/>
        <s v="/SCBFIFL23OA"/>
        <s v="/KTBFIFL23OD"/>
        <s v="/CIMBFIFL23OE"/>
        <s v="B-WORK"/>
        <s v="BOFFICE"/>
        <s v="BTSGIF"/>
        <s v="CPNREIT"/>
        <s v="DIF"/>
        <s v="EGATIF"/>
        <s v="GVREIT"/>
        <s v="HREIT"/>
        <s v="IMPACT"/>
        <s v="JASIF"/>
        <s v="LHHOTEL"/>
        <s v="QHPF"/>
        <s v="SHREIT"/>
        <s v="SPF"/>
        <s v="TFFIF/U"/>
        <s v="TLGF"/>
        <s v="TREIT"/>
        <s v="WHART"/>
        <s v="F12MSECB290519a"/>
        <s v="F12MUNB020719"/>
        <s v="INVSKBANKplus"/>
        <s v="INVSUOBTplus"/>
        <s v="CB19411A"/>
        <s v="BOT208A"/>
        <s v="GSB225A"/>
        <s v="BTSG209A"/>
        <s v="CPALL213C"/>
        <s v="CSC00001"/>
        <s v="CSC00002"/>
        <s v="CSG00001"/>
        <s v="MPSC22DA"/>
        <s v="MPSC22OA"/>
        <s v="MPSC233A"/>
        <s v="MPSC236A"/>
        <s v="SPW238A"/>
        <s v="TBEV283A"/>
        <s v="TOP230123US"/>
        <s v="TTW232A"/>
        <s v="KNM21NA"/>
        <s v="EMTNICIUK120619"/>
        <s v="EMTNMASQ170419"/>
        <s v="EMTNTMBCA011021"/>
        <s v="BEABCIAHKa"/>
        <s v="BEAPIGRHKa"/>
        <s v="FWHKDTHB18N08A"/>
        <s v="FWTHBUSD18O25A"/>
        <s v="FWUSDTHB18O25C"/>
        <s v="FWUSDTHB19417F"/>
        <s v="FWUSDTHB19529B"/>
        <s v="FWUSDTHB19612F"/>
        <s v="FWUSDTHB19620A"/>
        <s v="FWUSDTHB19702A"/>
        <s v="FWUSDTHB19O24A"/>
        <s v="/SCBTHUS21OA"/>
        <s v="/SCBTHUS231C"/>
        <s v="INVSUOBTfixed"/>
        <s v="EA19214A"/>
        <s v="BANPU195A"/>
        <s v="CPALL198C"/>
        <s v="MBTH19DA"/>
        <s v="NTL197A"/>
        <s v="TLT198B"/>
        <s v="TOP193A"/>
        <s v="TRUE19118A"/>
        <s v="FWEURTHB19319A"/>
        <s v="D SEC FEE"/>
        <s v="CB18O24A" u="1"/>
        <s v="F3MABCHK161018" u="1"/>
        <s v="FWUSDTHB18O11F" u="1"/>
        <s v="FWHKDTHB18O22A" u="1"/>
        <s v="F3MABCHK221018" u="1"/>
        <s v="TRUE18O18B" u="1"/>
        <s v="PL18OA" u="1"/>
        <s v="SB18OA" u="1"/>
        <s v="CD6MWOORI111018" u="1"/>
        <s v="UNSETTLE AMOR." u="1"/>
        <s v="MPSC18OA" u="1"/>
        <s v="FWUSDTHB18O16D" u="1"/>
        <s v="FWUSDTHB18O16C" u="1"/>
        <s v="CB18O11A" u="1"/>
        <s v="CB18O16A" u="1"/>
        <s v="CB18O18A" u="1"/>
        <s v="FWUSDTHB18O16B" u="1"/>
        <s v="SIRI18O24A" u="1"/>
        <s v="FWUSDTHB18O16A" u="1"/>
        <s v="FWUSDTHB18O24A" u="1"/>
        <s v="CB18O11B" u="1"/>
        <s v="CB18O18B" u="1"/>
        <s v="F6MADCB241018" u="1"/>
        <s v="F12MADCB161018" u="1"/>
      </sharedItems>
    </cacheField>
    <cacheField name="HLD_Issuer" numFmtId="0">
      <sharedItems containsBlank="1" count="116">
        <s v="SCB"/>
        <s v="BAY"/>
        <s v="TBANK"/>
        <s v="ABCHK"/>
        <s v="ADCB"/>
        <s v="BOC MACAU"/>
        <s v="GHB"/>
        <s v="TISCOB"/>
        <s v="KTB"/>
        <s v="UOBT"/>
        <s v="MBKET"/>
        <s v="SPALI"/>
        <s v="GOVERNMENT"/>
        <s v="BOT"/>
        <s v="CPALL"/>
        <s v="KKP"/>
        <m/>
        <s v="-CASH-"/>
        <s v="KBANK"/>
        <s v="CMBLUX"/>
        <s v="ICBCDUBAI"/>
        <s v="BOC HK"/>
        <s v="ICBCSEOUL"/>
        <s v="UNB"/>
        <s v="BANPU"/>
        <s v="BTS"/>
        <s v="CPF"/>
        <s v="CPFTH"/>
        <s v="CPN"/>
        <s v="MP"/>
        <s v="SIRI"/>
        <s v="BH"/>
        <s v="BJC"/>
        <s v="BTG"/>
        <s v="DMT"/>
        <s v="GOLD"/>
        <s v="ICBCTL"/>
        <s v="LHB"/>
        <s v="PS"/>
        <s v="QH"/>
        <s v="THBEV"/>
        <s v="THCOM"/>
        <s v="TRUE"/>
        <s v="TUC"/>
        <s v="WHA"/>
        <s v="WHART"/>
        <s v="WHAUP"/>
        <s v="MASQ"/>
        <s v="CIMBT"/>
        <s v="BANSUAN"/>
        <s v="CAL"/>
        <s v="AMATA"/>
        <s v="BEM"/>
        <s v="BTSC"/>
        <s v="CBG"/>
        <s v="CK"/>
        <s v="GPSC"/>
        <s v="IRPC"/>
        <s v="IVL"/>
        <s v="NTL"/>
        <s v="TICON"/>
        <s v="AWN"/>
        <s v="KCC"/>
        <s v="KSL"/>
        <s v="LH"/>
        <s v="MAJOR"/>
        <s v="MINT"/>
        <s v="PTT"/>
        <s v="SCCC"/>
        <s v="MBT"/>
        <s v="TLT"/>
        <s v="SRT"/>
        <s v="EXAT"/>
        <s v="EA"/>
        <s v="GED"/>
        <s v="ABPSPV"/>
        <s v="EASTW"/>
        <s v="TREIT"/>
        <s v="AYCAL"/>
        <s v="BCH"/>
        <s v="CKP"/>
        <s v="DTN"/>
        <s v="GLOW"/>
        <s v="HMPRO"/>
        <s v="MBK"/>
        <s v="PSH"/>
        <s v="SCC"/>
        <s v="TMB"/>
        <s v="BBLAM"/>
        <s v="BHIRAJREIT"/>
        <s v="CPNREITMGT"/>
        <s v="SCBAM"/>
        <s v="KTAM"/>
        <s v="UVRM"/>
        <s v="HEMRAJRM"/>
        <s v="RMI"/>
        <s v="LHFUND"/>
        <s v="STRATEGIC"/>
        <s v="PHATRAAM"/>
        <s v="TFFIF"/>
        <s v="TICONMANAGE"/>
        <s v="WHAREIT"/>
        <s v="SECB"/>
        <s v="GSB"/>
        <s v="SC SG"/>
        <s v="SOCGEN"/>
        <s v="SPW"/>
        <s v="TOP"/>
        <s v="TTW"/>
        <s v="KNM"/>
        <s v="ICICI BANK UK"/>
        <s v="TMBCAYMAN"/>
        <s v="BEAUI"/>
        <s v="ANZ"/>
        <s v="PL" u="1"/>
        <s v="WOORIHK" u="1"/>
      </sharedItems>
    </cacheField>
    <cacheField name="HLD_Rating" numFmtId="0">
      <sharedItems containsBlank="1"/>
    </cacheField>
    <cacheField name="HLD_MaturityDate" numFmtId="14">
      <sharedItems containsNonDate="0" containsDate="1" containsString="0" containsBlank="1" minDate="2018-10-11T00:00:00" maxDate="2051-01-01T00:00:00" count="289">
        <m/>
        <d v="2019-05-14T00:00:00"/>
        <d v="2019-06-11T00:00:00"/>
        <d v="2019-05-10T00:00:00"/>
        <d v="2019-04-25T00:00:00"/>
        <d v="2018-11-06T00:00:00"/>
        <d v="2019-04-04T00:00:00"/>
        <d v="2019-04-11T00:00:00"/>
        <d v="2019-08-02T00:00:00"/>
        <d v="2019-08-06T00:00:00"/>
        <d v="2019-08-09T00:00:00"/>
        <d v="2018-12-14T00:00:00"/>
        <d v="2019-01-16T00:00:00"/>
        <d v="2019-01-17T00:00:00"/>
        <d v="2019-01-18T00:00:00"/>
        <d v="2019-01-21T00:00:00"/>
        <d v="2019-01-22T00:00:00"/>
        <d v="2018-11-05T00:00:00"/>
        <d v="2019-03-19T00:00:00"/>
        <d v="2020-12-31T00:00:00"/>
        <d v="2019-01-03T00:00:00"/>
        <d v="2018-12-18T00:00:00"/>
        <d v="2019-02-18T00:00:00"/>
        <d v="2018-11-14T00:00:00"/>
        <d v="2019-04-03T00:00:00"/>
        <d v="2018-12-06T00:00:00"/>
        <d v="2018-12-13T00:00:00"/>
        <d v="2018-12-20T00:00:00"/>
        <d v="2018-11-01T00:00:00"/>
        <d v="2018-11-08T00:00:00"/>
        <d v="2018-11-15T00:00:00"/>
        <d v="2018-11-22T00:00:00"/>
        <d v="2018-11-29T00:00:00"/>
        <d v="2018-10-25T00:00:00"/>
        <d v="2018-10-30T00:00:00"/>
        <d v="2019-01-10T00:00:00"/>
        <d v="2019-01-24T00:00:00"/>
        <d v="2018-10-31T00:00:00"/>
        <d v="2019-02-01T00:00:00"/>
        <d v="2019-05-17T00:00:00"/>
        <d v="2019-03-06T00:00:00"/>
        <d v="2018-12-07T00:00:00"/>
        <d v="2019-02-08T00:00:00"/>
        <d v="2019-02-13T00:00:00"/>
        <d v="2019-03-22T00:00:00"/>
        <d v="2019-05-23T00:00:00"/>
        <d v="2019-06-25T00:00:00"/>
        <d v="2019-04-26T00:00:00"/>
        <d v="2019-03-27T00:00:00"/>
        <d v="2019-03-28T00:00:00"/>
        <d v="2019-01-31T00:00:00"/>
        <d v="2019-05-31T00:00:00"/>
        <d v="2019-05-02T00:00:00"/>
        <d v="2019-01-08T00:00:00"/>
        <d v="2019-01-09T00:00:00"/>
        <d v="2019-06-28T00:00:00"/>
        <d v="2019-08-01T00:00:00"/>
        <d v="2019-07-26T00:00:00"/>
        <d v="2019-10-01T00:00:00"/>
        <d v="2019-10-02T00:00:00"/>
        <d v="2019-03-12T00:00:00"/>
        <d v="2018-11-26T00:00:00"/>
        <d v="2018-11-19T00:00:00"/>
        <d v="2018-11-20T00:00:00"/>
        <d v="2019-02-06T00:00:00"/>
        <d v="2019-01-29T00:00:00"/>
        <d v="2019-03-26T00:00:00"/>
        <d v="2018-11-13T00:00:00"/>
        <d v="2018-12-04T00:00:00"/>
        <d v="2018-12-27T00:00:00"/>
        <d v="2020-06-08T00:00:00"/>
        <d v="2019-11-14T00:00:00"/>
        <d v="2018-11-30T00:00:00"/>
        <d v="2020-11-30T00:00:00"/>
        <d v="2019-11-23T00:00:00"/>
        <d v="2019-11-26T00:00:00"/>
        <d v="2018-11-23T00:00:00"/>
        <d v="2020-03-20T00:00:00"/>
        <d v="2019-09-30T00:00:00"/>
        <d v="2020-03-30T00:00:00"/>
        <d v="2021-03-05T00:00:00"/>
        <d v="2021-03-15T00:00:00"/>
        <d v="2020-03-22T00:00:00"/>
        <d v="2021-03-22T00:00:00"/>
        <d v="2020-05-21T00:00:00"/>
        <d v="2019-02-22T00:00:00"/>
        <d v="2021-08-02T00:00:00"/>
        <d v="2021-04-27T00:00:00"/>
        <d v="2021-03-30T00:00:00"/>
        <d v="2020-08-18T00:00:00"/>
        <d v="2019-03-07T00:00:00"/>
        <d v="2019-05-08T00:00:00"/>
        <d v="2019-04-09T00:00:00"/>
        <d v="2019-05-13T00:00:00"/>
        <d v="2019-03-21T00:00:00"/>
        <d v="2050-12-31T00:00:00"/>
        <d v="2018-12-23T00:00:00"/>
        <d v="2019-03-01T00:00:00"/>
        <d v="2020-05-08T00:00:00"/>
        <d v="2020-10-05T00:00:00"/>
        <d v="2021-04-01T00:00:00"/>
        <d v="2024-07-04T00:00:00"/>
        <d v="2027-04-21T00:00:00"/>
        <d v="2023-04-05T00:00:00"/>
        <d v="2021-09-07T00:00:00"/>
        <d v="2023-09-07T00:00:00"/>
        <d v="2021-05-25T00:00:00"/>
        <d v="2022-07-21T00:00:00"/>
        <d v="2023-03-28T00:00:00"/>
        <d v="2019-11-10T00:00:00"/>
        <d v="2020-12-26T00:00:00"/>
        <d v="2020-06-15T00:00:00"/>
        <d v="2020-11-03T00:00:00"/>
        <d v="2025-01-24T00:00:00"/>
        <d v="2021-09-29T00:00:00"/>
        <d v="2021-05-09T00:00:00"/>
        <d v="2020-05-04T00:00:00"/>
        <d v="2019-12-14T00:00:00"/>
        <d v="2020-11-21T00:00:00"/>
        <d v="2021-10-02T00:00:00"/>
        <d v="2020-08-14T00:00:00"/>
        <d v="2021-03-14T00:00:00"/>
        <d v="2019-05-09T00:00:00"/>
        <d v="2018-11-27T00:00:00"/>
        <d v="2019-03-15T00:00:00"/>
        <d v="2019-03-14T00:00:00"/>
        <d v="2019-02-20T00:00:00"/>
        <d v="2019-09-12T00:00:00"/>
        <d v="2020-09-25T00:00:00"/>
        <d v="2020-06-26T00:00:00"/>
        <d v="2021-04-11T00:00:00"/>
        <d v="2020-07-04T00:00:00"/>
        <d v="2018-10-27T00:00:00"/>
        <d v="2019-06-24T00:00:00"/>
        <d v="2019-03-24T00:00:00"/>
        <d v="2019-09-07T00:00:00"/>
        <d v="2019-08-22T00:00:00"/>
        <d v="2020-10-31T00:00:00"/>
        <d v="2020-04-12T00:00:00"/>
        <d v="2020-07-15T00:00:00"/>
        <d v="2019-09-21T00:00:00"/>
        <d v="2020-03-14T00:00:00"/>
        <d v="2020-03-13T00:00:00"/>
        <d v="2019-04-28T00:00:00"/>
        <d v="2022-09-12T00:00:00"/>
        <d v="2019-05-25T00:00:00"/>
        <d v="2019-11-29T00:00:00"/>
        <d v="2019-05-15T00:00:00"/>
        <d v="2019-08-08T00:00:00"/>
        <d v="2020-05-09T00:00:00"/>
        <d v="2022-03-19T00:00:00"/>
        <d v="2018-12-03T00:00:00"/>
        <d v="2020-01-18T00:00:00"/>
        <d v="2019-07-05T00:00:00"/>
        <d v="2019-02-14T00:00:00"/>
        <d v="2019-02-28T00:00:00"/>
        <d v="2019-06-06T00:00:00"/>
        <d v="2019-09-05T00:00:00"/>
        <d v="2020-03-27T00:00:00"/>
        <d v="2021-07-14T00:00:00"/>
        <d v="2022-06-17T00:00:00"/>
        <d v="2022-12-17T00:00:00"/>
        <d v="2023-12-17T00:00:00"/>
        <d v="2028-12-17T00:00:00"/>
        <d v="2022-04-10T00:00:00"/>
        <d v="2020-10-21T00:00:00"/>
        <d v="2022-09-07T00:00:00"/>
        <d v="2020-03-24T00:00:00"/>
        <d v="2024-03-24T00:00:00"/>
        <d v="2021-07-25T00:00:00"/>
        <d v="2023-03-18T00:00:00"/>
        <d v="2023-05-13T00:00:00"/>
        <d v="2024-04-12T00:00:00"/>
        <d v="2021-01-20T00:00:00"/>
        <d v="2023-01-20T00:00:00"/>
        <d v="2019-04-29T00:00:00"/>
        <d v="2020-05-22T00:00:00"/>
        <d v="2020-07-31T00:00:00"/>
        <d v="2020-11-20T00:00:00"/>
        <d v="2020-05-11T00:00:00"/>
        <d v="2024-05-09T00:00:00"/>
        <d v="2020-02-17T00:00:00"/>
        <d v="2023-03-22T00:00:00"/>
        <d v="2019-07-15T00:00:00"/>
        <d v="2026-12-17T00:00:00"/>
        <d v="2023-10-16T00:00:00"/>
        <d v="2023-10-17T00:00:00"/>
        <d v="2019-03-25T00:00:00"/>
        <d v="2019-09-20T00:00:00"/>
        <d v="2019-04-12T00:00:00"/>
        <d v="2019-04-19T00:00:00"/>
        <d v="2019-01-23T00:00:00"/>
        <d v="2019-01-15T00:00:00"/>
        <d v="2019-02-21T00:00:00"/>
        <d v="2020-02-26T00:00:00"/>
        <d v="2019-01-12T00:00:00"/>
        <d v="2019-03-08T00:00:00"/>
        <d v="2021-12-17T00:00:00"/>
        <d v="2022-09-27T00:00:00"/>
        <d v="2021-07-22T00:00:00"/>
        <d v="2019-08-15T00:00:00"/>
        <d v="2020-02-28T00:00:00"/>
        <d v="2020-11-27T00:00:00"/>
        <d v="2020-04-27T00:00:00"/>
        <d v="2020-04-21T00:00:00"/>
        <d v="2021-04-21T00:00:00"/>
        <d v="2022-04-21T00:00:00"/>
        <d v="2022-06-16T00:00:00"/>
        <d v="2021-06-28T00:00:00"/>
        <d v="2022-11-10T00:00:00"/>
        <d v="2019-07-28T00:00:00"/>
        <d v="2021-01-26T00:00:00"/>
        <d v="2021-07-12T00:00:00"/>
        <d v="2021-01-27T00:00:00"/>
        <d v="2022-12-22T00:00:00"/>
        <d v="2021-06-24T00:00:00"/>
        <d v="2022-03-24T00:00:00"/>
        <d v="2020-07-21T00:00:00"/>
        <d v="2021-06-18T00:00:00"/>
        <d v="2019-08-03T00:00:00"/>
        <d v="2020-05-13T00:00:00"/>
        <d v="2022-08-03T00:00:00"/>
        <d v="2023-07-15T00:00:00"/>
        <d v="2019-11-07T00:00:00"/>
        <d v="2020-12-16T00:00:00"/>
        <d v="2020-07-29T00:00:00"/>
        <d v="2019-10-08T00:00:00"/>
        <d v="2019-08-05T00:00:00"/>
        <d v="2019-12-26T00:00:00"/>
        <d v="2021-06-08T00:00:00"/>
        <d v="2021-05-03T00:00:00"/>
        <d v="2019-10-28T00:00:00"/>
        <d v="2020-04-02T00:00:00"/>
        <d v="2020-04-28T00:00:00"/>
        <d v="2020-10-08T00:00:00"/>
        <d v="2026-02-26T00:00:00"/>
        <d v="2019-09-26T00:00:00"/>
        <d v="2019-10-31T00:00:00"/>
        <d v="2020-09-11T00:00:00"/>
        <d v="2020-10-17T00:00:00"/>
        <d v="2021-03-19T00:00:00"/>
        <d v="2021-05-31T00:00:00"/>
        <d v="2019-05-20T00:00:00"/>
        <d v="2020-11-15T00:00:00"/>
        <d v="2021-11-15T00:00:00"/>
        <d v="2019-06-26T00:00:00"/>
        <d v="2024-08-30T00:00:00"/>
        <d v="2024-04-29T00:00:00"/>
        <d v="2019-12-20T00:00:00"/>
        <d v="2018-12-10T00:00:00"/>
        <d v="2025-12-12T00:00:00"/>
        <d v="2019-06-13T00:00:00"/>
        <d v="2023-06-16T00:00:00"/>
        <d v="2021-08-16T00:00:00"/>
        <d v="2023-08-24T00:00:00"/>
        <d v="2021-08-24T00:00:00"/>
        <d v="2019-05-29T00:00:00"/>
        <d v="2019-07-02T00:00:00"/>
        <d v="2020-08-27T00:00:00"/>
        <d v="2022-05-11T00:00:00"/>
        <d v="2020-09-07T00:00:00"/>
        <d v="2021-03-18T00:00:00"/>
        <d v="2021-06-20T00:00:00"/>
        <d v="2021-06-22T00:00:00"/>
        <d v="2022-12-25T00:00:00"/>
        <d v="2022-10-31T00:00:00"/>
        <d v="2023-03-13T00:00:00"/>
        <d v="2023-06-29T00:00:00"/>
        <d v="2023-08-01T00:00:00"/>
        <d v="2028-03-22T00:00:00"/>
        <d v="2023-01-23T00:00:00"/>
        <d v="2023-02-01T00:00:00"/>
        <d v="2021-11-18T00:00:00"/>
        <d v="2019-06-12T00:00:00"/>
        <d v="2019-04-17T00:00:00"/>
        <d v="2021-10-01T00:00:00"/>
        <d v="2030-12-31T00:00:00"/>
        <d v="2019-06-20T00:00:00"/>
        <d v="2019-10-24T00:00:00"/>
        <d v="2019-05-24T00:00:00"/>
        <d v="2019-08-26T00:00:00"/>
        <d v="2019-12-09T00:00:00"/>
        <d v="2018-10-16T00:00:00" u="1"/>
        <d v="2018-10-18T00:00:00" u="1"/>
        <d v="2018-10-22T00:00:00" u="1"/>
        <d v="2018-10-24T00:00:00" u="1"/>
        <d v="2018-10-11T00:00:00" u="1"/>
        <d v="2018-10-17T00:00:00" u="1"/>
        <d v="2018-10-19T00:00:00" u="1"/>
      </sharedItems>
    </cacheField>
    <cacheField name="HLD_MarketValue" numFmtId="0">
      <sharedItems containsSemiMixedTypes="0" containsString="0" containsNumber="1" minValue="-5976652981.8199997" maxValue="7958249912.3599997"/>
    </cacheField>
    <cacheField name="HLD_AI" numFmtId="0">
      <sharedItems containsString="0" containsBlank="1" containsNumber="1" minValue="0" maxValue="102943796.5"/>
    </cacheField>
    <cacheField name="HLD_Cost" numFmtId="0">
      <sharedItems containsString="0" containsBlank="1" containsNumber="1" minValue="-5976652981.8199997" maxValue="7958244895.04"/>
    </cacheField>
    <cacheField name="HLD_ModDuration" numFmtId="0">
      <sharedItems containsString="0" containsBlank="1" containsNumber="1" minValue="0" maxValue="8.6756609999999998"/>
    </cacheField>
    <cacheField name="HLD_Principal" numFmtId="0">
      <sharedItems containsString="0" containsBlank="1" containsNumber="1" minValue="0" maxValue="7964000000"/>
    </cacheField>
    <cacheField name="HLD_YieldCost" numFmtId="0">
      <sharedItems containsSemiMixedTypes="0" containsString="0" containsNumber="1" minValue="-0.01" maxValue="4.5"/>
    </cacheField>
    <cacheField name="HLD_Ratio" numFmtId="0">
      <sharedItems containsSemiMixedTypes="0" containsString="0" containsNumber="1" minValue="-5.7405225999999997E-2" maxValue="0.12563331850000001"/>
    </cacheField>
    <cacheField name="SEC_Class" numFmtId="0">
      <sharedItems containsBlank="1"/>
    </cacheField>
    <cacheField name="SEC_Currency" numFmtId="0">
      <sharedItems containsBlank="1"/>
    </cacheField>
    <cacheField name="SEC_Issue_Date" numFmtId="14">
      <sharedItems containsNonDate="0" containsDate="1" containsString="0" containsBlank="1" minDate="1900-01-01T00:00:00" maxDate="2018-10-26T00:00:00"/>
    </cacheField>
    <cacheField name="IssTerm" numFmtId="0">
      <sharedItems containsSemiMixedTypes="0" containsString="0" containsNumber="1" containsInteger="1" minValue="-43398" maxValue="46371" count="213">
        <n v="-2"/>
        <n v="361"/>
        <n v="279"/>
        <n v="365"/>
        <n v="363"/>
        <n v="360"/>
        <n v="364"/>
        <n v="367"/>
        <n v="92"/>
        <n v="186"/>
        <n v="180"/>
        <n v="2130"/>
        <n v="4661"/>
        <n v="5602"/>
        <n v="105"/>
        <n v="89"/>
        <n v="270"/>
        <n v="91"/>
        <n v="182"/>
        <n v="13"/>
        <n v="14"/>
        <n v="1826"/>
        <n v="43557"/>
        <n v="43564"/>
        <n v="43407"/>
        <n v="43485"/>
        <n v="43541"/>
        <n v="43578"/>
        <n v="43593"/>
        <n v="43408"/>
        <n v="-43398"/>
        <n v="0"/>
        <n v="366"/>
        <n v="362"/>
        <n v="371"/>
        <n v="179"/>
        <n v="183"/>
        <n v="2250"/>
        <n v="2582"/>
        <n v="2579"/>
        <n v="2544"/>
        <n v="184"/>
        <n v="96"/>
        <n v="240"/>
        <n v="134"/>
        <n v="266"/>
        <n v="224"/>
        <n v="88"/>
        <n v="56"/>
        <n v="90"/>
        <n v="269"/>
        <n v="2557"/>
        <n v="1278"/>
        <n v="1096"/>
        <n v="1095"/>
        <n v="914"/>
        <n v="267"/>
        <n v="268"/>
        <n v="731"/>
        <n v="549"/>
        <n v="1280"/>
        <n v="185"/>
        <n v="546"/>
        <n v="368"/>
        <n v="246"/>
        <n v="43450"/>
        <n v="43439"/>
        <n v="43479"/>
        <n v="43494"/>
        <n v="43495"/>
        <n v="43507"/>
        <n v="43528"/>
        <n v="43543"/>
        <n v="43544"/>
        <n v="43549"/>
        <n v="43550"/>
        <n v="43585"/>
        <n v="43606"/>
        <n v="43614"/>
        <n v="43534"/>
        <n v="43421"/>
        <n v="43422"/>
        <n v="43428"/>
        <n v="43396"/>
        <n v="43471"/>
        <n v="43472"/>
        <n v="43502"/>
        <n v="43529"/>
        <n v="43562"/>
        <n v="43579"/>
        <n v="43591"/>
        <n v="43596"/>
        <n v="43639"/>
        <n v="43642"/>
        <n v="43737"/>
        <n v="43738"/>
        <n v="-43223"/>
        <n v="-43397"/>
        <n v="-43300"/>
        <n v="-43391"/>
        <n v="3984"/>
        <n v="13906"/>
        <n v="3032"/>
        <n v="1279"/>
        <n v="-43314"/>
        <n v="5468"/>
        <n v="5600"/>
        <n v="1172"/>
        <n v="3653"/>
        <n v="3652"/>
        <n v="2556"/>
        <n v="2922"/>
        <n v="1461"/>
        <n v="730"/>
        <n v="1827"/>
        <n v="-42901"/>
        <n v="4013"/>
        <n v="2192"/>
        <n v="2191"/>
        <n v="1099"/>
        <n v="1029"/>
        <n v="2550"/>
        <n v="1277"/>
        <n v="883"/>
        <n v="5585"/>
        <n v="2163"/>
        <n v="1961"/>
        <n v="1948"/>
        <n v="3810"/>
        <n v="1274"/>
        <n v="1254"/>
        <n v="46371"/>
        <n v="45213"/>
        <n v="45214"/>
        <n v="-43294"/>
        <n v="372"/>
        <n v="3660"/>
        <n v="4383"/>
        <n v="2681"/>
        <n v="4046"/>
        <n v="1492"/>
        <n v="1645"/>
        <n v="3470"/>
        <n v="2723"/>
        <n v="3137"/>
        <n v="5478"/>
        <n v="2545"/>
        <n v="2527"/>
        <n v="1453"/>
        <n v="43432"/>
        <n v="43478"/>
        <n v="43547"/>
        <n v="43726"/>
        <n v="46001"/>
        <n v="43627"/>
        <n v="45091"/>
        <n v="43442"/>
        <n v="44400"/>
        <n v="44422"/>
        <n v="45160"/>
        <n v="44430"/>
        <n v="-42852"/>
        <n v="370"/>
        <n v="1746"/>
        <n v="1801"/>
        <n v="1796"/>
        <n v="1811"/>
        <n v="3867"/>
        <n v="1819"/>
        <n v="2009"/>
        <n v="4778"/>
        <n v="4943"/>
        <n v="43410"/>
        <n v="43570"/>
        <n v="43612"/>
        <n v="43626"/>
        <n v="43634"/>
        <n v="43646"/>
        <n v="43760"/>
        <n v="44468"/>
        <n v="44947"/>
        <n v="-43230"/>
        <n v="938"/>
        <n v="-43237" u="1"/>
        <n v="-43272" u="1"/>
        <n v="-43307" u="1"/>
        <n v="-43342" u="1"/>
        <n v="-43377" u="1"/>
        <n v="140" u="1"/>
        <n v="94" u="1"/>
        <n v="-43389" u="1"/>
        <n v="43387" u="1"/>
        <n v="-43216" u="1"/>
        <n v="-43251" u="1"/>
        <n v="-43286" u="1"/>
        <n v="-43321" u="1"/>
        <n v="188" u="1"/>
        <n v="-43335" u="1"/>
        <n v="-43382" u="1"/>
        <n v="15" u="1"/>
        <n v="43393" u="1"/>
        <n v="-42859" u="1"/>
        <n v="-43209" u="1"/>
        <n v="-43244" u="1"/>
        <n v="-43349" u="1"/>
        <n v="-40738" u="1"/>
        <n v="-43384" u="1"/>
        <n v="43382" u="1"/>
        <n v="177" u="1"/>
        <n v="43395" u="1"/>
        <n v="-43328" u="1"/>
        <n v="-43363" u="1"/>
        <n v="1276" u="1"/>
      </sharedItems>
    </cacheField>
    <cacheField name="RefRng" numFmtId="14">
      <sharedItems/>
    </cacheField>
    <cacheField name="Principal/1000" numFmtId="0" formula="HLD_Principal/1000"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55">
  <r>
    <x v="0"/>
    <x v="0"/>
    <x v="0"/>
    <x v="0"/>
    <m/>
    <x v="0"/>
    <x v="0"/>
    <s v="AA+(tha)"/>
    <x v="0"/>
    <n v="0"/>
    <m/>
    <n v="0"/>
    <n v="0"/>
    <n v="0"/>
    <n v="0"/>
    <n v="0"/>
    <s v="Cash Bal"/>
    <s v="CNHbb"/>
    <d v="1900-01-01T00:00:00"/>
    <x v="0"/>
    <s v="SCBSFF43397"/>
  </r>
  <r>
    <x v="0"/>
    <x v="0"/>
    <x v="0"/>
    <x v="0"/>
    <m/>
    <x v="1"/>
    <x v="0"/>
    <s v="AA+(tha)"/>
    <x v="0"/>
    <n v="0"/>
    <m/>
    <n v="0"/>
    <n v="0"/>
    <n v="0"/>
    <n v="0"/>
    <n v="0"/>
    <s v="Cash Bal"/>
    <s v="EURbb"/>
    <d v="1900-01-01T00:00:00"/>
    <x v="0"/>
    <s v="SCBSFF43397"/>
  </r>
  <r>
    <x v="0"/>
    <x v="0"/>
    <x v="0"/>
    <x v="0"/>
    <m/>
    <x v="2"/>
    <x v="0"/>
    <s v="AA+(tha)"/>
    <x v="0"/>
    <n v="0"/>
    <m/>
    <n v="0"/>
    <n v="0"/>
    <n v="0"/>
    <n v="0"/>
    <n v="0"/>
    <s v="Cash Bal"/>
    <s v="HKDbb"/>
    <d v="1900-01-01T00:00:00"/>
    <x v="0"/>
    <s v="SCBSFF43397"/>
  </r>
  <r>
    <x v="0"/>
    <x v="0"/>
    <x v="0"/>
    <x v="0"/>
    <m/>
    <x v="3"/>
    <x v="0"/>
    <s v="AA+(tha)"/>
    <x v="0"/>
    <n v="342790.48"/>
    <n v="426.14"/>
    <n v="342790.48"/>
    <n v="0"/>
    <n v="0"/>
    <n v="0"/>
    <n v="4.7585999999999996E-6"/>
    <s v="Cash Bal"/>
    <s v="THB"/>
    <d v="1900-01-01T00:00:00"/>
    <x v="0"/>
    <s v="SCBSFF43397"/>
  </r>
  <r>
    <x v="0"/>
    <x v="0"/>
    <x v="0"/>
    <x v="0"/>
    <m/>
    <x v="4"/>
    <x v="0"/>
    <s v="AA+(tha)"/>
    <x v="0"/>
    <n v="0"/>
    <m/>
    <n v="0"/>
    <n v="0"/>
    <n v="0"/>
    <n v="0"/>
    <n v="0"/>
    <s v="Cash Bal"/>
    <s v="USDbb"/>
    <d v="1900-01-01T00:00:00"/>
    <x v="0"/>
    <s v="SCBSFF43397"/>
  </r>
  <r>
    <x v="0"/>
    <x v="0"/>
    <x v="0"/>
    <x v="0"/>
    <m/>
    <x v="5"/>
    <x v="1"/>
    <m/>
    <x v="0"/>
    <n v="171376764.06"/>
    <n v="5519222.9400000004"/>
    <n v="171376764.06"/>
    <n v="0"/>
    <n v="0"/>
    <n v="0"/>
    <n v="2.4526365E-3"/>
    <s v="Cash Bal"/>
    <s v="THB"/>
    <d v="1900-01-01T00:00:00"/>
    <x v="0"/>
    <s v="SCBSFF43397"/>
  </r>
  <r>
    <x v="0"/>
    <x v="0"/>
    <x v="0"/>
    <x v="1"/>
    <m/>
    <x v="6"/>
    <x v="2"/>
    <s v="AA-"/>
    <x v="1"/>
    <n v="3000000000"/>
    <n v="21698630.140000001"/>
    <n v="3000000000"/>
    <n v="0.54845200000000005"/>
    <n v="3000000000"/>
    <n v="1.65"/>
    <n v="4.1895400399999998E-2"/>
    <s v="Bond"/>
    <s v="THB"/>
    <d v="2018-05-18T00:00:00"/>
    <x v="1"/>
    <s v="SCBSFF43397"/>
  </r>
  <r>
    <x v="0"/>
    <x v="0"/>
    <x v="0"/>
    <x v="1"/>
    <m/>
    <x v="7"/>
    <x v="2"/>
    <s v="AA-"/>
    <x v="2"/>
    <n v="370000000"/>
    <n v="836301.37"/>
    <n v="370000000"/>
    <n v="0.62366699999999997"/>
    <n v="370000000"/>
    <n v="1.65"/>
    <n v="5.1415899999999997E-3"/>
    <s v="Bond"/>
    <s v="THB"/>
    <d v="2018-09-05T00:00:00"/>
    <x v="2"/>
    <s v="SCBSFF43397"/>
  </r>
  <r>
    <x v="0"/>
    <x v="0"/>
    <x v="0"/>
    <x v="1"/>
    <m/>
    <x v="8"/>
    <x v="3"/>
    <s v="A"/>
    <x v="3"/>
    <n v="1876905000"/>
    <n v="437944.5"/>
    <n v="1899500000"/>
    <n v="0.54984900000000003"/>
    <n v="50000000"/>
    <n v="0.05"/>
    <n v="2.6029079699999999E-2"/>
    <s v="Bond"/>
    <s v="EURbb"/>
    <d v="2018-05-10T00:00:00"/>
    <x v="3"/>
    <s v="SCBSFF43397"/>
  </r>
  <r>
    <x v="0"/>
    <x v="0"/>
    <x v="0"/>
    <x v="1"/>
    <m/>
    <x v="9"/>
    <x v="3"/>
    <s v="A"/>
    <x v="4"/>
    <n v="986460000"/>
    <n v="15722254.279999999"/>
    <n v="946500000"/>
    <n v="0.50039599999999995"/>
    <n v="30000000"/>
    <n v="3.17"/>
    <n v="1.3895107300000001E-2"/>
    <s v="Bond"/>
    <s v="USDbb"/>
    <d v="2018-04-27T00:00:00"/>
    <x v="4"/>
    <s v="SCBSFF43397"/>
  </r>
  <r>
    <x v="0"/>
    <x v="0"/>
    <x v="0"/>
    <x v="1"/>
    <m/>
    <x v="10"/>
    <x v="4"/>
    <s v="A+"/>
    <x v="5"/>
    <n v="1150870000"/>
    <n v="27005538.579999998"/>
    <n v="1158500000"/>
    <n v="3.6080000000000001E-2"/>
    <n v="35000000"/>
    <n v="2.4066999999999998"/>
    <n v="1.63310685E-2"/>
    <s v="Bond"/>
    <s v="USDbb"/>
    <d v="2017-11-08T00:00:00"/>
    <x v="4"/>
    <s v="SCBSFF43397"/>
  </r>
  <r>
    <x v="0"/>
    <x v="0"/>
    <x v="0"/>
    <x v="1"/>
    <m/>
    <x v="11"/>
    <x v="5"/>
    <s v="A"/>
    <x v="6"/>
    <n v="2366300000"/>
    <n v="58861712.5"/>
    <n v="2477500000"/>
    <n v="0.44128000000000001"/>
    <n v="500000000"/>
    <n v="4.5"/>
    <n v="3.36245051E-2"/>
    <s v="Bond"/>
    <s v="CNHbb"/>
    <d v="2018-04-09T00:00:00"/>
    <x v="5"/>
    <s v="SCBSFF43397"/>
  </r>
  <r>
    <x v="0"/>
    <x v="0"/>
    <x v="0"/>
    <x v="1"/>
    <m/>
    <x v="12"/>
    <x v="5"/>
    <s v="A"/>
    <x v="7"/>
    <n v="1893040000"/>
    <n v="46098153.219999999"/>
    <n v="1981400000"/>
    <n v="0.460061"/>
    <n v="400000000"/>
    <n v="4.45"/>
    <n v="2.6885861E-2"/>
    <s v="Bond"/>
    <s v="CNHbb"/>
    <d v="2018-04-11T00:00:00"/>
    <x v="3"/>
    <s v="SCBSFF43397"/>
  </r>
  <r>
    <x v="0"/>
    <x v="0"/>
    <x v="0"/>
    <x v="1"/>
    <m/>
    <x v="13"/>
    <x v="5"/>
    <s v="A"/>
    <x v="4"/>
    <n v="2627667000"/>
    <n v="801438.44"/>
    <n v="2691500000"/>
    <n v="0.50817800000000002"/>
    <n v="70000000"/>
    <n v="0.06"/>
    <n v="3.64433225E-2"/>
    <s v="Bond"/>
    <s v="EURbb"/>
    <d v="2018-04-25T00:00:00"/>
    <x v="3"/>
    <s v="SCBSFF43397"/>
  </r>
  <r>
    <x v="0"/>
    <x v="0"/>
    <x v="0"/>
    <x v="1"/>
    <m/>
    <x v="14"/>
    <x v="6"/>
    <s v="AAA(tha)"/>
    <x v="8"/>
    <n v="300000000"/>
    <n v="1159726.03"/>
    <n v="300000000"/>
    <n v="0.76262399999999997"/>
    <n v="300000000"/>
    <n v="1.7"/>
    <n v="4.1755346E-3"/>
    <s v="Bond"/>
    <s v="THB"/>
    <d v="2018-08-03T00:00:00"/>
    <x v="6"/>
    <s v="SCBSFF43397"/>
  </r>
  <r>
    <x v="0"/>
    <x v="0"/>
    <x v="0"/>
    <x v="1"/>
    <m/>
    <x v="15"/>
    <x v="6"/>
    <s v="AAA(tha)"/>
    <x v="9"/>
    <n v="650000000"/>
    <n v="2421917.81"/>
    <n v="650000000"/>
    <n v="0.77329899999999996"/>
    <n v="650000000"/>
    <n v="1.7"/>
    <n v="9.0457325000000005E-3"/>
    <s v="Bond"/>
    <s v="THB"/>
    <d v="2018-08-06T00:00:00"/>
    <x v="3"/>
    <s v="SCBSFF43397"/>
  </r>
  <r>
    <x v="0"/>
    <x v="0"/>
    <x v="0"/>
    <x v="1"/>
    <m/>
    <x v="16"/>
    <x v="6"/>
    <s v="AAA(tha)"/>
    <x v="10"/>
    <n v="150000000"/>
    <n v="537945.21"/>
    <n v="150000000"/>
    <n v="0.78130100000000002"/>
    <n v="150000000"/>
    <n v="1.7"/>
    <n v="2.0871861E-3"/>
    <s v="Bond"/>
    <s v="THB"/>
    <d v="2018-08-09T00:00:00"/>
    <x v="3"/>
    <s v="SCBSFF43397"/>
  </r>
  <r>
    <x v="0"/>
    <x v="0"/>
    <x v="0"/>
    <x v="1"/>
    <m/>
    <x v="17"/>
    <x v="6"/>
    <s v="AAA(tha)"/>
    <x v="11"/>
    <n v="70000000"/>
    <n v="966575.34"/>
    <n v="70000000"/>
    <n v="0.13941400000000001"/>
    <n v="70000000"/>
    <n v="1.6"/>
    <n v="9.839409999999999E-4"/>
    <s v="Bond"/>
    <s v="THB"/>
    <d v="2017-12-14T00:00:00"/>
    <x v="3"/>
    <s v="SCBSFF43397"/>
  </r>
  <r>
    <x v="0"/>
    <x v="0"/>
    <x v="0"/>
    <x v="1"/>
    <m/>
    <x v="18"/>
    <x v="6"/>
    <s v="AAA(tha)"/>
    <x v="12"/>
    <n v="68000000"/>
    <n v="840591.78"/>
    <n v="68000000"/>
    <n v="0.229293"/>
    <n v="68000000"/>
    <n v="1.6"/>
    <n v="9.5446449999999998E-4"/>
    <s v="Bond"/>
    <s v="THB"/>
    <d v="2018-01-16T00:00:00"/>
    <x v="3"/>
    <s v="SCBSFF43397"/>
  </r>
  <r>
    <x v="0"/>
    <x v="0"/>
    <x v="0"/>
    <x v="1"/>
    <m/>
    <x v="19"/>
    <x v="6"/>
    <s v="AAA(tha)"/>
    <x v="13"/>
    <n v="200000000"/>
    <n v="2463561.64"/>
    <n v="200000000"/>
    <n v="0.232012"/>
    <n v="200000000"/>
    <n v="1.6"/>
    <n v="2.8071271E-3"/>
    <s v="Bond"/>
    <s v="THB"/>
    <d v="2018-01-17T00:00:00"/>
    <x v="3"/>
    <s v="SCBSFF43397"/>
  </r>
  <r>
    <x v="0"/>
    <x v="0"/>
    <x v="0"/>
    <x v="1"/>
    <m/>
    <x v="20"/>
    <x v="6"/>
    <s v="AAA(tha)"/>
    <x v="14"/>
    <n v="157000000"/>
    <n v="1927013.7"/>
    <n v="157000000"/>
    <n v="0.234732"/>
    <n v="157000000"/>
    <n v="1.6"/>
    <n v="2.2034992999999999E-3"/>
    <s v="Bond"/>
    <s v="THB"/>
    <d v="2018-01-18T00:00:00"/>
    <x v="3"/>
    <s v="SCBSFF43397"/>
  </r>
  <r>
    <x v="0"/>
    <x v="0"/>
    <x v="0"/>
    <x v="1"/>
    <m/>
    <x v="21"/>
    <x v="6"/>
    <s v="AAA(tha)"/>
    <x v="15"/>
    <n v="300000000"/>
    <n v="3669041.1"/>
    <n v="300000000"/>
    <n v="0.24288799999999999"/>
    <n v="300000000"/>
    <n v="1.6"/>
    <n v="4.2103258999999999E-3"/>
    <s v="Bond"/>
    <s v="THB"/>
    <d v="2018-01-19T00:00:00"/>
    <x v="7"/>
    <s v="SCBSFF43397"/>
  </r>
  <r>
    <x v="0"/>
    <x v="0"/>
    <x v="0"/>
    <x v="1"/>
    <m/>
    <x v="22"/>
    <x v="5"/>
    <s v="A"/>
    <x v="16"/>
    <n v="750762000"/>
    <n v="625.64"/>
    <n v="749600000"/>
    <n v="0.24999399999999999"/>
    <n v="20000000"/>
    <n v="0.01"/>
    <n v="1.04092117E-2"/>
    <s v="Bond"/>
    <s v="EURbb"/>
    <d v="2018-10-22T00:00:00"/>
    <x v="8"/>
    <s v="SCBSFF43397"/>
  </r>
  <r>
    <x v="0"/>
    <x v="0"/>
    <x v="0"/>
    <x v="1"/>
    <m/>
    <x v="23"/>
    <x v="5"/>
    <s v="A"/>
    <x v="17"/>
    <n v="938452500"/>
    <n v="182476.88"/>
    <n v="950000000"/>
    <n v="3.3333000000000002E-2"/>
    <n v="25000000"/>
    <n v="0.04"/>
    <n v="1.30140338E-2"/>
    <s v="Bond"/>
    <s v="EURbb"/>
    <d v="2018-05-03T00:00:00"/>
    <x v="9"/>
    <s v="SCBSFF43397"/>
  </r>
  <r>
    <x v="0"/>
    <x v="0"/>
    <x v="0"/>
    <x v="1"/>
    <m/>
    <x v="24"/>
    <x v="5"/>
    <s v="A"/>
    <x v="18"/>
    <n v="375381000"/>
    <n v="18247.689999999999"/>
    <n v="380000000"/>
    <n v="0.40547299999999997"/>
    <n v="10000000"/>
    <n v="0.05"/>
    <n v="5.2048544999999998E-3"/>
    <s v="Bond"/>
    <s v="EURbb"/>
    <d v="2018-09-20T00:00:00"/>
    <x v="10"/>
    <s v="SCBSFF43397"/>
  </r>
  <r>
    <x v="0"/>
    <x v="0"/>
    <x v="0"/>
    <x v="1"/>
    <m/>
    <x v="25"/>
    <x v="7"/>
    <s v="A"/>
    <x v="19"/>
    <n v="347165.51"/>
    <n v="870.29"/>
    <n v="347165.51"/>
    <n v="0"/>
    <n v="347165.51"/>
    <n v="0"/>
    <n v="4.8254999999999998E-6"/>
    <s v="Bond"/>
    <s v="THB"/>
    <d v="2015-03-03T00:00:00"/>
    <x v="11"/>
    <s v="SCBSFF43397"/>
  </r>
  <r>
    <x v="0"/>
    <x v="0"/>
    <x v="0"/>
    <x v="1"/>
    <m/>
    <x v="26"/>
    <x v="8"/>
    <s v="AA+(tha)"/>
    <x v="19"/>
    <n v="287668.24"/>
    <n v="342.84"/>
    <n v="287668.24"/>
    <n v="0"/>
    <n v="287668.24"/>
    <n v="0"/>
    <n v="3.9932000000000002E-6"/>
    <s v="Bond"/>
    <s v="THB"/>
    <d v="2008-03-28T00:00:00"/>
    <x v="12"/>
    <s v="SCBSFF43397"/>
  </r>
  <r>
    <x v="0"/>
    <x v="0"/>
    <x v="0"/>
    <x v="1"/>
    <m/>
    <x v="27"/>
    <x v="9"/>
    <s v="AAA(tha)"/>
    <x v="19"/>
    <n v="497966.31"/>
    <n v="1345.19"/>
    <n v="497966.31"/>
    <n v="0"/>
    <n v="497966.31"/>
    <n v="0"/>
    <n v="6.9229000000000002E-6"/>
    <s v="Bond"/>
    <s v="THB"/>
    <d v="2005-08-30T00:00:00"/>
    <x v="13"/>
    <s v="SCBSFF43397"/>
  </r>
  <r>
    <x v="0"/>
    <x v="0"/>
    <x v="0"/>
    <x v="1"/>
    <m/>
    <x v="28"/>
    <x v="0"/>
    <s v="AA+(tha)"/>
    <x v="20"/>
    <n v="1500000000"/>
    <n v="2157534.25"/>
    <n v="1500000000"/>
    <n v="0.19395499999999999"/>
    <n v="1500000000"/>
    <n v="1.5"/>
    <n v="2.0827189999999999E-2"/>
    <s v="Bond"/>
    <s v="THB"/>
    <d v="2018-09-20T00:00:00"/>
    <x v="14"/>
    <s v="SCBSFF43397"/>
  </r>
  <r>
    <x v="0"/>
    <x v="0"/>
    <x v="0"/>
    <x v="2"/>
    <m/>
    <x v="29"/>
    <x v="10"/>
    <s v="AA+(tha)"/>
    <x v="21"/>
    <n v="997491240"/>
    <m/>
    <n v="997491240"/>
    <n v="0.147587"/>
    <n v="1000000000"/>
    <n v="1.7"/>
    <n v="1.3830067099999999E-2"/>
    <s v="Bond"/>
    <s v="THB"/>
    <d v="2018-09-20T00:00:00"/>
    <x v="15"/>
    <s v="SCBSFF43397"/>
  </r>
  <r>
    <x v="0"/>
    <x v="0"/>
    <x v="0"/>
    <x v="2"/>
    <m/>
    <x v="30"/>
    <x v="11"/>
    <s v="A"/>
    <x v="22"/>
    <n v="149185351.5"/>
    <m/>
    <n v="149203377"/>
    <n v="0.31608199999999997"/>
    <n v="150000000"/>
    <n v="1.68"/>
    <n v="2.0684326E-3"/>
    <s v="Bond"/>
    <s v="THB"/>
    <d v="2018-05-24T00:00:00"/>
    <x v="16"/>
    <s v="SCBSFF43397"/>
  </r>
  <r>
    <x v="0"/>
    <x v="0"/>
    <x v="0"/>
    <x v="3"/>
    <m/>
    <x v="31"/>
    <x v="12"/>
    <s v="BBB+"/>
    <x v="23"/>
    <n v="699540030"/>
    <m/>
    <n v="699540030"/>
    <n v="5.4757E-2"/>
    <n v="700000000"/>
    <n v="1.2"/>
    <n v="9.6990180999999998E-3"/>
    <s v="Bond"/>
    <s v="THB"/>
    <d v="2017-11-15T00:00:00"/>
    <x v="6"/>
    <s v="SCBSFF43397"/>
  </r>
  <r>
    <x v="0"/>
    <x v="0"/>
    <x v="0"/>
    <x v="3"/>
    <m/>
    <x v="32"/>
    <x v="12"/>
    <s v="BBB+"/>
    <x v="24"/>
    <n v="9926513.0999999996"/>
    <m/>
    <n v="9930351.5"/>
    <n v="0.43513499999999999"/>
    <n v="10000000"/>
    <n v="1.6"/>
    <n v="1.3762959999999999E-4"/>
    <s v="Bond"/>
    <s v="THB"/>
    <d v="2018-04-04T00:00:00"/>
    <x v="6"/>
    <s v="SCBSFF43397"/>
  </r>
  <r>
    <x v="0"/>
    <x v="0"/>
    <x v="0"/>
    <x v="4"/>
    <m/>
    <x v="33"/>
    <x v="13"/>
    <m/>
    <x v="25"/>
    <n v="3994025360"/>
    <m/>
    <n v="3993829840"/>
    <n v="0.114895"/>
    <n v="4000000000"/>
    <n v="1.3426089999999999"/>
    <n v="5.53765653E-2"/>
    <s v="Bond"/>
    <s v="THB"/>
    <d v="2018-09-06T00:00:00"/>
    <x v="17"/>
    <s v="SCBSFF43397"/>
  </r>
  <r>
    <x v="0"/>
    <x v="0"/>
    <x v="0"/>
    <x v="4"/>
    <m/>
    <x v="34"/>
    <x v="13"/>
    <m/>
    <x v="26"/>
    <n v="6000712686.8999996"/>
    <m/>
    <n v="6000620613.6999998"/>
    <n v="0.13397899999999999"/>
    <n v="6010000000"/>
    <n v="1.1643289999999999"/>
    <n v="8.3198985599999997E-2"/>
    <s v="Bond"/>
    <s v="THB"/>
    <d v="2018-09-13T00:00:00"/>
    <x v="17"/>
    <s v="SCBSFF43397"/>
  </r>
  <r>
    <x v="0"/>
    <x v="0"/>
    <x v="0"/>
    <x v="4"/>
    <m/>
    <x v="35"/>
    <x v="13"/>
    <m/>
    <x v="27"/>
    <n v="2495195550"/>
    <m/>
    <n v="2494729675"/>
    <n v="0.153085"/>
    <n v="2500000000"/>
    <n v="1.376952"/>
    <n v="3.4595513799999998E-2"/>
    <s v="Bond"/>
    <s v="THB"/>
    <d v="2018-09-20T00:00:00"/>
    <x v="17"/>
    <s v="SCBSFF43397"/>
  </r>
  <r>
    <x v="0"/>
    <x v="0"/>
    <x v="0"/>
    <x v="4"/>
    <m/>
    <x v="36"/>
    <x v="13"/>
    <m/>
    <x v="28"/>
    <n v="51987562.119999997"/>
    <m/>
    <n v="51987562.119999997"/>
    <n v="1.9174E-2"/>
    <n v="52000000"/>
    <n v="1.2475000000000001"/>
    <n v="7.207998E-4"/>
    <s v="Bond"/>
    <s v="THB"/>
    <d v="2018-05-03T00:00:00"/>
    <x v="18"/>
    <s v="SCBSFF43397"/>
  </r>
  <r>
    <x v="0"/>
    <x v="0"/>
    <x v="0"/>
    <x v="4"/>
    <m/>
    <x v="37"/>
    <x v="13"/>
    <m/>
    <x v="28"/>
    <n v="3280191528.79"/>
    <m/>
    <n v="3280187033.8200002"/>
    <n v="1.9174E-2"/>
    <n v="3281000000"/>
    <n v="1.292341"/>
    <n v="4.5479365799999998E-2"/>
    <s v="Bond"/>
    <s v="THB"/>
    <d v="2018-08-02T00:00:00"/>
    <x v="17"/>
    <s v="SCBSFF43397"/>
  </r>
  <r>
    <x v="0"/>
    <x v="0"/>
    <x v="0"/>
    <x v="4"/>
    <m/>
    <x v="38"/>
    <x v="13"/>
    <m/>
    <x v="5"/>
    <n v="2598967904"/>
    <m/>
    <n v="2598967904"/>
    <n v="3.2863999999999997E-2"/>
    <n v="2600000000"/>
    <n v="1.207911"/>
    <n v="3.6034301999999997E-2"/>
    <s v="Bond"/>
    <s v="THB"/>
    <d v="2018-10-24T00:00:00"/>
    <x v="19"/>
    <s v="SCBSFF43397"/>
  </r>
  <r>
    <x v="0"/>
    <x v="0"/>
    <x v="0"/>
    <x v="4"/>
    <m/>
    <x v="39"/>
    <x v="13"/>
    <m/>
    <x v="29"/>
    <n v="950578992.29999995"/>
    <m/>
    <n v="950578992.29999995"/>
    <n v="3.8337999999999997E-2"/>
    <n v="951000000"/>
    <n v="1.1546920000000001"/>
    <n v="1.3179635800000001E-2"/>
    <s v="Bond"/>
    <s v="THB"/>
    <d v="2018-05-10T00:00:00"/>
    <x v="18"/>
    <s v="SCBSFF43397"/>
  </r>
  <r>
    <x v="0"/>
    <x v="0"/>
    <x v="0"/>
    <x v="4"/>
    <m/>
    <x v="40"/>
    <x v="13"/>
    <m/>
    <x v="29"/>
    <n v="4260919016.5500002"/>
    <m/>
    <n v="4260905886.5100002"/>
    <n v="3.8337999999999997E-2"/>
    <n v="4263000000"/>
    <n v="1.281339"/>
    <n v="5.9077006100000003E-2"/>
    <s v="Bond"/>
    <s v="THB"/>
    <d v="2018-08-09T00:00:00"/>
    <x v="17"/>
    <s v="SCBSFF43397"/>
  </r>
  <r>
    <x v="0"/>
    <x v="0"/>
    <x v="0"/>
    <x v="4"/>
    <m/>
    <x v="41"/>
    <x v="13"/>
    <m/>
    <x v="30"/>
    <n v="166885658.44"/>
    <m/>
    <n v="166885658.44"/>
    <n v="5.7493000000000002E-2"/>
    <n v="167000000"/>
    <n v="1.1908529999999999"/>
    <n v="2.3138447E-3"/>
    <s v="Bond"/>
    <s v="THB"/>
    <d v="2018-05-17T00:00:00"/>
    <x v="18"/>
    <s v="SCBSFF43397"/>
  </r>
  <r>
    <x v="0"/>
    <x v="0"/>
    <x v="0"/>
    <x v="4"/>
    <m/>
    <x v="42"/>
    <x v="13"/>
    <m/>
    <x v="30"/>
    <n v="2008541021.4000001"/>
    <m/>
    <n v="2008539735"/>
    <n v="5.7493000000000002E-2"/>
    <n v="2010000000"/>
    <n v="1.2636369999999999"/>
    <n v="2.7848121399999998E-2"/>
    <s v="Bond"/>
    <s v="THB"/>
    <d v="2018-08-16T00:00:00"/>
    <x v="17"/>
    <s v="SCBSFF43397"/>
  </r>
  <r>
    <x v="0"/>
    <x v="0"/>
    <x v="0"/>
    <x v="4"/>
    <m/>
    <x v="43"/>
    <x v="13"/>
    <m/>
    <x v="31"/>
    <n v="1049016129"/>
    <m/>
    <n v="1049016129"/>
    <n v="7.6638999999999999E-2"/>
    <n v="1050000000"/>
    <n v="1.2226189999999999"/>
    <n v="1.4544451999999999E-2"/>
    <s v="Bond"/>
    <s v="THB"/>
    <d v="2018-05-24T00:00:00"/>
    <x v="18"/>
    <s v="SCBSFF43397"/>
  </r>
  <r>
    <x v="0"/>
    <x v="0"/>
    <x v="0"/>
    <x v="4"/>
    <m/>
    <x v="44"/>
    <x v="13"/>
    <m/>
    <x v="31"/>
    <n v="3996152760"/>
    <m/>
    <n v="3996068880"/>
    <n v="7.664E-2"/>
    <n v="4000000000"/>
    <n v="1.282381"/>
    <n v="5.5406061399999998E-2"/>
    <s v="Bond"/>
    <s v="THB"/>
    <d v="2018-08-23T00:00:00"/>
    <x v="17"/>
    <s v="SCBSFF43397"/>
  </r>
  <r>
    <x v="0"/>
    <x v="0"/>
    <x v="0"/>
    <x v="4"/>
    <m/>
    <x v="45"/>
    <x v="13"/>
    <m/>
    <x v="32"/>
    <n v="1518335235.2"/>
    <m/>
    <n v="1518335235.2"/>
    <n v="9.5772999999999997E-2"/>
    <n v="1520000000"/>
    <n v="1.1434280000000001"/>
    <n v="2.10514914E-2"/>
    <s v="Bond"/>
    <s v="THB"/>
    <d v="2018-05-31T00:00:00"/>
    <x v="18"/>
    <s v="SCBSFF43397"/>
  </r>
  <r>
    <x v="0"/>
    <x v="0"/>
    <x v="0"/>
    <x v="4"/>
    <m/>
    <x v="46"/>
    <x v="13"/>
    <m/>
    <x v="32"/>
    <n v="3126432426"/>
    <m/>
    <n v="3126280026.3000002"/>
    <n v="9.5771999999999996E-2"/>
    <n v="3130000000"/>
    <n v="1.240904"/>
    <n v="4.3347518799999998E-2"/>
    <s v="Bond"/>
    <s v="THB"/>
    <d v="2018-08-30T00:00:00"/>
    <x v="17"/>
    <s v="SCBSFF43397"/>
  </r>
  <r>
    <x v="0"/>
    <x v="0"/>
    <x v="0"/>
    <x v="4"/>
    <m/>
    <x v="47"/>
    <x v="13"/>
    <m/>
    <x v="33"/>
    <n v="758000000"/>
    <m/>
    <n v="758000000"/>
    <n v="2.7399999999999998E-3"/>
    <n v="758000000"/>
    <n v="1.1714910000000001"/>
    <n v="1.05095568E-2"/>
    <s v="Bond"/>
    <s v="THB"/>
    <d v="2018-04-26T00:00:00"/>
    <x v="18"/>
    <s v="SCBSFF43397"/>
  </r>
  <r>
    <x v="0"/>
    <x v="0"/>
    <x v="0"/>
    <x v="4"/>
    <m/>
    <x v="48"/>
    <x v="13"/>
    <m/>
    <x v="33"/>
    <n v="3691000000"/>
    <m/>
    <n v="3691000000"/>
    <n v="2.7399999999999998E-3"/>
    <n v="3691000000"/>
    <n v="1.276985"/>
    <n v="5.1175164000000002E-2"/>
    <s v="Bond"/>
    <s v="THB"/>
    <d v="2018-07-26T00:00:00"/>
    <x v="17"/>
    <s v="SCBSFF43397"/>
  </r>
  <r>
    <x v="0"/>
    <x v="0"/>
    <x v="0"/>
    <x v="4"/>
    <m/>
    <x v="49"/>
    <x v="13"/>
    <m/>
    <x v="34"/>
    <n v="399933920"/>
    <m/>
    <n v="399933920"/>
    <n v="1.3696E-2"/>
    <n v="400000000"/>
    <n v="1.2061550000000001"/>
    <n v="5.5450241000000004E-3"/>
    <s v="Bond"/>
    <s v="THB"/>
    <d v="2018-10-16T00:00:00"/>
    <x v="20"/>
    <s v="SCBSFF43397"/>
  </r>
  <r>
    <x v="0"/>
    <x v="0"/>
    <x v="0"/>
    <x v="4"/>
    <m/>
    <x v="50"/>
    <x v="13"/>
    <m/>
    <x v="20"/>
    <n v="2991566250"/>
    <m/>
    <n v="2991449310"/>
    <n v="0.19125400000000001"/>
    <n v="3000000000"/>
    <n v="1.490442"/>
    <n v="4.1477619399999999E-2"/>
    <s v="Bond"/>
    <s v="THB"/>
    <d v="2018-10-04T00:00:00"/>
    <x v="17"/>
    <s v="SCBSFF43397"/>
  </r>
  <r>
    <x v="0"/>
    <x v="0"/>
    <x v="0"/>
    <x v="4"/>
    <m/>
    <x v="51"/>
    <x v="13"/>
    <m/>
    <x v="35"/>
    <n v="4036885087.5"/>
    <m/>
    <n v="4036762777.5"/>
    <n v="0.21030699999999999"/>
    <n v="4050000000"/>
    <n v="1.554413"/>
    <n v="5.5970809099999998E-2"/>
    <s v="Bond"/>
    <s v="THB"/>
    <d v="2018-10-11T00:00:00"/>
    <x v="17"/>
    <s v="SCBSFF43397"/>
  </r>
  <r>
    <x v="0"/>
    <x v="0"/>
    <x v="0"/>
    <x v="4"/>
    <m/>
    <x v="52"/>
    <x v="13"/>
    <m/>
    <x v="13"/>
    <n v="2491257425"/>
    <m/>
    <n v="2491016475"/>
    <n v="0.22931000000000001"/>
    <n v="2500000000"/>
    <n v="1.567053"/>
    <n v="3.4540912299999997E-2"/>
    <s v="Bond"/>
    <s v="THB"/>
    <d v="2018-10-18T00:00:00"/>
    <x v="17"/>
    <s v="SCBSFF43397"/>
  </r>
  <r>
    <x v="0"/>
    <x v="0"/>
    <x v="0"/>
    <x v="4"/>
    <m/>
    <x v="53"/>
    <x v="13"/>
    <m/>
    <x v="36"/>
    <n v="3486380906.6799998"/>
    <m/>
    <n v="3486380906.6799998"/>
    <n v="0.25205499999999997"/>
    <n v="3500000000"/>
    <n v="1.5668390000000001"/>
    <n v="4.83381508E-2"/>
    <s v="Bond"/>
    <s v="THB"/>
    <d v="2018-10-25T00:00:00"/>
    <x v="17"/>
    <s v="SCBSFF43397"/>
  </r>
  <r>
    <x v="0"/>
    <x v="0"/>
    <x v="0"/>
    <x v="5"/>
    <m/>
    <x v="54"/>
    <x v="14"/>
    <s v="A+"/>
    <x v="37"/>
    <n v="100032805"/>
    <n v="2292055"/>
    <n v="100032805"/>
    <n v="1.6315E-2"/>
    <n v="100000000"/>
    <n v="1.5"/>
    <n v="1.4187188999999999E-3"/>
    <s v="Bond"/>
    <s v="THB"/>
    <d v="2013-10-31T00:00:00"/>
    <x v="21"/>
    <s v="SCBSFF43397"/>
  </r>
  <r>
    <x v="0"/>
    <x v="0"/>
    <x v="1"/>
    <x v="6"/>
    <m/>
    <x v="55"/>
    <x v="0"/>
    <s v="AA+(tha)"/>
    <x v="6"/>
    <n v="79170680.420000002"/>
    <m/>
    <n v="0"/>
    <n v="0"/>
    <n v="0"/>
    <n v="0"/>
    <n v="1.0976897E-3"/>
    <s v="Future"/>
    <s v="THB"/>
    <d v="1900-01-01T00:00:00"/>
    <x v="22"/>
    <s v="SCBSFF43397"/>
  </r>
  <r>
    <x v="0"/>
    <x v="0"/>
    <x v="1"/>
    <x v="6"/>
    <m/>
    <x v="56"/>
    <x v="0"/>
    <s v="AA+(tha)"/>
    <x v="7"/>
    <n v="63917129.609999999"/>
    <m/>
    <n v="0"/>
    <n v="0"/>
    <n v="0"/>
    <n v="0"/>
    <n v="8.8620150000000004E-4"/>
    <s v="Future"/>
    <s v="THB"/>
    <d v="1900-01-01T00:00:00"/>
    <x v="23"/>
    <s v="SCBSFF43397"/>
  </r>
  <r>
    <x v="0"/>
    <x v="0"/>
    <x v="1"/>
    <x v="6"/>
    <m/>
    <x v="57"/>
    <x v="0"/>
    <s v="AA+(tha)"/>
    <x v="17"/>
    <n v="18885407.559999999"/>
    <m/>
    <n v="0"/>
    <n v="0"/>
    <n v="0"/>
    <n v="0"/>
    <n v="2.6184340000000002E-4"/>
    <s v="Future"/>
    <s v="THB"/>
    <d v="1900-01-01T00:00:00"/>
    <x v="24"/>
    <s v="SCBSFF43397"/>
  </r>
  <r>
    <x v="0"/>
    <x v="0"/>
    <x v="1"/>
    <x v="6"/>
    <m/>
    <x v="58"/>
    <x v="15"/>
    <s v="A-"/>
    <x v="16"/>
    <n v="-1039222.18"/>
    <m/>
    <n v="0"/>
    <n v="0"/>
    <n v="0"/>
    <n v="0"/>
    <n v="-1.44087E-5"/>
    <s v="Future"/>
    <s v="THB"/>
    <d v="1900-01-01T00:00:00"/>
    <x v="25"/>
    <s v="SCBSFF43397"/>
  </r>
  <r>
    <x v="0"/>
    <x v="0"/>
    <x v="1"/>
    <x v="6"/>
    <m/>
    <x v="59"/>
    <x v="0"/>
    <s v="AA+(tha)"/>
    <x v="18"/>
    <n v="5305742.7699999996"/>
    <m/>
    <n v="0"/>
    <n v="0"/>
    <n v="0"/>
    <n v="0"/>
    <n v="7.3563299999999994E-5"/>
    <s v="Future"/>
    <s v="THB"/>
    <d v="1900-01-01T00:00:00"/>
    <x v="26"/>
    <s v="SCBSFF43397"/>
  </r>
  <r>
    <x v="0"/>
    <x v="0"/>
    <x v="1"/>
    <x v="6"/>
    <m/>
    <x v="60"/>
    <x v="0"/>
    <s v="AA+(tha)"/>
    <x v="4"/>
    <n v="86764760.760000005"/>
    <m/>
    <n v="0"/>
    <n v="0"/>
    <n v="0"/>
    <n v="0"/>
    <n v="1.2029804999999999E-3"/>
    <s v="Future"/>
    <s v="THB"/>
    <d v="1900-01-01T00:00:00"/>
    <x v="27"/>
    <s v="SCBSFF43397"/>
  </r>
  <r>
    <x v="0"/>
    <x v="0"/>
    <x v="1"/>
    <x v="6"/>
    <m/>
    <x v="61"/>
    <x v="15"/>
    <s v="A-"/>
    <x v="3"/>
    <n v="37623598.600000001"/>
    <m/>
    <n v="0"/>
    <n v="0"/>
    <n v="0"/>
    <n v="0"/>
    <n v="5.2164560000000004E-4"/>
    <s v="Future"/>
    <s v="THB"/>
    <d v="1900-01-01T00:00:00"/>
    <x v="28"/>
    <s v="SCBSFF43397"/>
  </r>
  <r>
    <x v="0"/>
    <x v="0"/>
    <x v="1"/>
    <x v="6"/>
    <m/>
    <x v="62"/>
    <x v="15"/>
    <s v="A-"/>
    <x v="5"/>
    <n v="3048825.5"/>
    <m/>
    <n v="0"/>
    <n v="0"/>
    <n v="0"/>
    <n v="0"/>
    <n v="4.2271499999999997E-5"/>
    <s v="Future"/>
    <s v="THB"/>
    <d v="1900-01-01T00:00:00"/>
    <x v="29"/>
    <s v="SCBSFF43397"/>
  </r>
  <r>
    <x v="0"/>
    <x v="0"/>
    <x v="1"/>
    <x v="6"/>
    <m/>
    <x v="63"/>
    <x v="0"/>
    <s v="AA+(tha)"/>
    <x v="4"/>
    <n v="-47821091.549999997"/>
    <m/>
    <n v="0"/>
    <n v="0"/>
    <n v="0"/>
    <n v="0"/>
    <n v="-6.6303230000000002E-4"/>
    <s v="Future"/>
    <s v="THB"/>
    <d v="1900-01-01T00:00:00"/>
    <x v="27"/>
    <s v="SCBSFF43397"/>
  </r>
  <r>
    <x v="0"/>
    <x v="0"/>
    <x v="2"/>
    <x v="7"/>
    <s v="Settle Date :25/10/2018"/>
    <x v="53"/>
    <x v="16"/>
    <m/>
    <x v="0"/>
    <n v="-3486380906.6799998"/>
    <m/>
    <n v="-3486380906.6799998"/>
    <m/>
    <m/>
    <n v="0"/>
    <n v="-4.83381508E-2"/>
    <s v="Bond"/>
    <s v="THB"/>
    <d v="2018-10-25T00:00:00"/>
    <x v="30"/>
    <s v="SCBSFF43397"/>
  </r>
  <r>
    <x v="0"/>
    <x v="0"/>
    <x v="2"/>
    <x v="8"/>
    <s v="AUDITING FEE"/>
    <x v="64"/>
    <x v="16"/>
    <m/>
    <x v="0"/>
    <n v="-212296.24"/>
    <m/>
    <m/>
    <m/>
    <m/>
    <n v="0"/>
    <n v="-2.9434999999999999E-6"/>
    <m/>
    <m/>
    <m/>
    <x v="31"/>
    <s v="SCBSFF43397"/>
  </r>
  <r>
    <x v="0"/>
    <x v="0"/>
    <x v="2"/>
    <x v="8"/>
    <s v="AUDITING FEE"/>
    <x v="64"/>
    <x v="16"/>
    <m/>
    <x v="0"/>
    <n v="-1526.6"/>
    <m/>
    <m/>
    <m/>
    <m/>
    <n v="0"/>
    <n v="-2.1200000000000001E-8"/>
    <m/>
    <m/>
    <m/>
    <x v="31"/>
    <s v="SCBSFF43397"/>
  </r>
  <r>
    <x v="0"/>
    <x v="0"/>
    <x v="2"/>
    <x v="9"/>
    <m/>
    <x v="65"/>
    <x v="16"/>
    <m/>
    <x v="0"/>
    <n v="-1538751.35"/>
    <n v="0"/>
    <m/>
    <m/>
    <m/>
    <n v="0"/>
    <n v="-2.1334600000000001E-5"/>
    <m/>
    <m/>
    <m/>
    <x v="31"/>
    <s v="SCBSFF43397"/>
  </r>
  <r>
    <x v="0"/>
    <x v="0"/>
    <x v="2"/>
    <x v="10"/>
    <s v="REGISTRAR FEE"/>
    <x v="65"/>
    <x v="16"/>
    <m/>
    <x v="0"/>
    <n v="0"/>
    <m/>
    <n v="0"/>
    <m/>
    <m/>
    <n v="0"/>
    <n v="0"/>
    <m/>
    <m/>
    <m/>
    <x v="31"/>
    <s v="SCBSFF43397"/>
  </r>
  <r>
    <x v="0"/>
    <x v="0"/>
    <x v="2"/>
    <x v="11"/>
    <s v="A NEWSPAPER_NAV"/>
    <x v="66"/>
    <x v="16"/>
    <m/>
    <x v="0"/>
    <n v="-4182.17"/>
    <m/>
    <m/>
    <m/>
    <m/>
    <n v="0"/>
    <n v="-5.8000000000000003E-8"/>
    <m/>
    <m/>
    <m/>
    <x v="31"/>
    <s v="SCBSFF43397"/>
  </r>
  <r>
    <x v="0"/>
    <x v="0"/>
    <x v="2"/>
    <x v="11"/>
    <s v="A NEWSPAPER_NAV"/>
    <x v="66"/>
    <x v="16"/>
    <m/>
    <x v="0"/>
    <n v="-3399.6"/>
    <m/>
    <m/>
    <m/>
    <m/>
    <n v="0"/>
    <n v="-4.7099999999999998E-8"/>
    <m/>
    <m/>
    <m/>
    <x v="31"/>
    <s v="SCBSFF43397"/>
  </r>
  <r>
    <x v="0"/>
    <x v="0"/>
    <x v="2"/>
    <x v="12"/>
    <s v="MANAGEMENT FEE"/>
    <x v="65"/>
    <x v="16"/>
    <m/>
    <x v="0"/>
    <n v="-37520067.020000003"/>
    <m/>
    <n v="-37520067.020000003"/>
    <m/>
    <m/>
    <n v="0"/>
    <n v="-5.2021010000000004E-4"/>
    <m/>
    <m/>
    <m/>
    <x v="31"/>
    <s v="SCBSFF43397"/>
  </r>
  <r>
    <x v="0"/>
    <x v="0"/>
    <x v="2"/>
    <x v="13"/>
    <s v="CUSTODIAN FEE"/>
    <x v="65"/>
    <x v="16"/>
    <m/>
    <x v="0"/>
    <n v="-481779.83"/>
    <m/>
    <n v="-481779.83"/>
    <m/>
    <m/>
    <n v="0"/>
    <n v="-6.6798E-6"/>
    <m/>
    <m/>
    <m/>
    <x v="31"/>
    <s v="SCBSFF43397"/>
  </r>
  <r>
    <x v="0"/>
    <x v="0"/>
    <x v="3"/>
    <x v="13"/>
    <s v="CUSTODIAN FEE"/>
    <x v="65"/>
    <x v="16"/>
    <m/>
    <x v="0"/>
    <n v="-42288.84"/>
    <m/>
    <n v="-42288.84"/>
    <m/>
    <m/>
    <n v="0"/>
    <n v="-5.863E-7"/>
    <m/>
    <m/>
    <m/>
    <x v="31"/>
    <s v="SCBSFF43397"/>
  </r>
  <r>
    <x v="0"/>
    <x v="0"/>
    <x v="3"/>
    <x v="12"/>
    <s v="MANAGEMENT FEE"/>
    <x v="65"/>
    <x v="16"/>
    <m/>
    <x v="0"/>
    <n v="-3293372.04"/>
    <m/>
    <n v="-3293372.04"/>
    <m/>
    <m/>
    <n v="0"/>
    <n v="-4.5662099999999998E-5"/>
    <m/>
    <m/>
    <m/>
    <x v="31"/>
    <s v="SCBSFF43397"/>
  </r>
  <r>
    <x v="0"/>
    <x v="0"/>
    <x v="3"/>
    <x v="10"/>
    <s v="REGISTRAR FEE"/>
    <x v="65"/>
    <x v="16"/>
    <m/>
    <x v="0"/>
    <n v="0"/>
    <m/>
    <n v="0"/>
    <m/>
    <m/>
    <n v="0"/>
    <n v="0"/>
    <m/>
    <m/>
    <m/>
    <x v="31"/>
    <s v="SCBSFF43397"/>
  </r>
  <r>
    <x v="0"/>
    <x v="1"/>
    <x v="0"/>
    <x v="0"/>
    <m/>
    <x v="67"/>
    <x v="17"/>
    <m/>
    <x v="0"/>
    <n v="0"/>
    <m/>
    <n v="0"/>
    <n v="0"/>
    <n v="0"/>
    <n v="0"/>
    <n v="0"/>
    <s v="Cash Bal"/>
    <s v="AEDbb"/>
    <d v="1900-01-01T00:00:00"/>
    <x v="0"/>
    <s v="SCBSFFPLUS43397"/>
  </r>
  <r>
    <x v="0"/>
    <x v="1"/>
    <x v="0"/>
    <x v="0"/>
    <m/>
    <x v="0"/>
    <x v="0"/>
    <s v="AA+(tha)"/>
    <x v="0"/>
    <n v="0"/>
    <m/>
    <n v="0"/>
    <n v="0"/>
    <n v="0"/>
    <n v="0"/>
    <n v="0"/>
    <s v="Cash Bal"/>
    <s v="CNHbb"/>
    <d v="1900-01-01T00:00:00"/>
    <x v="0"/>
    <s v="SCBSFFPLUS43397"/>
  </r>
  <r>
    <x v="0"/>
    <x v="1"/>
    <x v="0"/>
    <x v="0"/>
    <m/>
    <x v="1"/>
    <x v="0"/>
    <s v="AA+(tha)"/>
    <x v="0"/>
    <n v="0"/>
    <m/>
    <n v="0"/>
    <n v="0"/>
    <n v="0"/>
    <n v="0"/>
    <n v="0"/>
    <s v="Cash Bal"/>
    <s v="EURbb"/>
    <d v="1900-01-01T00:00:00"/>
    <x v="0"/>
    <s v="SCBSFFPLUS43397"/>
  </r>
  <r>
    <x v="0"/>
    <x v="1"/>
    <x v="0"/>
    <x v="0"/>
    <m/>
    <x v="68"/>
    <x v="18"/>
    <s v="AA+(tha)"/>
    <x v="0"/>
    <n v="0"/>
    <m/>
    <n v="0"/>
    <n v="0"/>
    <n v="0"/>
    <n v="0"/>
    <n v="0"/>
    <s v="Cash Bal"/>
    <s v="GBPbb"/>
    <d v="1900-01-01T00:00:00"/>
    <x v="0"/>
    <s v="SCBSFFPLUS43397"/>
  </r>
  <r>
    <x v="0"/>
    <x v="1"/>
    <x v="0"/>
    <x v="0"/>
    <m/>
    <x v="2"/>
    <x v="0"/>
    <s v="AA+(tha)"/>
    <x v="0"/>
    <n v="0"/>
    <m/>
    <n v="0"/>
    <n v="0"/>
    <n v="0"/>
    <n v="0"/>
    <n v="0"/>
    <s v="Cash Bal"/>
    <s v="HKDbb"/>
    <d v="1900-01-01T00:00:00"/>
    <x v="0"/>
    <s v="SCBSFFPLUS43397"/>
  </r>
  <r>
    <x v="0"/>
    <x v="1"/>
    <x v="0"/>
    <x v="0"/>
    <m/>
    <x v="69"/>
    <x v="0"/>
    <s v="AA+(tha)"/>
    <x v="0"/>
    <n v="0"/>
    <m/>
    <n v="0"/>
    <n v="0"/>
    <n v="0"/>
    <n v="0"/>
    <n v="0"/>
    <s v="Cash Bal"/>
    <s v="JPYbb"/>
    <d v="1900-01-01T00:00:00"/>
    <x v="0"/>
    <s v="SCBSFFPLUS43397"/>
  </r>
  <r>
    <x v="0"/>
    <x v="1"/>
    <x v="0"/>
    <x v="0"/>
    <m/>
    <x v="4"/>
    <x v="0"/>
    <s v="AA+(tha)"/>
    <x v="0"/>
    <n v="0"/>
    <m/>
    <n v="0"/>
    <n v="0"/>
    <n v="0"/>
    <n v="0"/>
    <n v="0"/>
    <s v="Cash Bal"/>
    <s v="USDbb"/>
    <d v="1900-01-01T00:00:00"/>
    <x v="0"/>
    <s v="SCBSFFPLUS43397"/>
  </r>
  <r>
    <x v="0"/>
    <x v="1"/>
    <x v="0"/>
    <x v="0"/>
    <m/>
    <x v="5"/>
    <x v="1"/>
    <m/>
    <x v="0"/>
    <n v="3424268.39"/>
    <n v="598984.39"/>
    <n v="3424268.39"/>
    <n v="0"/>
    <n v="0"/>
    <n v="0"/>
    <n v="1.9227400000000002E-5"/>
    <s v="Cash Bal"/>
    <s v="THB"/>
    <d v="1900-01-01T00:00:00"/>
    <x v="0"/>
    <s v="SCBSFFPLUS43397"/>
  </r>
  <r>
    <x v="0"/>
    <x v="1"/>
    <x v="0"/>
    <x v="1"/>
    <m/>
    <x v="70"/>
    <x v="19"/>
    <s v="BBB"/>
    <x v="38"/>
    <n v="3753810000"/>
    <m/>
    <n v="3752365339.3400002"/>
    <m/>
    <n v="100000000"/>
    <n v="0.14000000000000001"/>
    <n v="1.7939693E-2"/>
    <s v="Bond"/>
    <s v="EURbb"/>
    <d v="2018-02-05T00:00:00"/>
    <x v="1"/>
    <s v="SCBSFFPLUS43397"/>
  </r>
  <r>
    <x v="0"/>
    <x v="1"/>
    <x v="0"/>
    <x v="1"/>
    <m/>
    <x v="71"/>
    <x v="20"/>
    <s v="A"/>
    <x v="12"/>
    <n v="985702670.39999998"/>
    <n v="19318175"/>
    <n v="985922984.21000004"/>
    <m/>
    <n v="30000000"/>
    <n v="2.6850000000000001"/>
    <n v="4.8030575000000001E-3"/>
    <s v="Bond"/>
    <s v="USDbb"/>
    <d v="2018-01-16T00:00:00"/>
    <x v="3"/>
    <s v="SCBSFFPLUS43397"/>
  </r>
  <r>
    <x v="0"/>
    <x v="1"/>
    <x v="0"/>
    <x v="1"/>
    <m/>
    <x v="72"/>
    <x v="2"/>
    <s v="AA-"/>
    <x v="39"/>
    <n v="2000000000"/>
    <n v="14556164.380000001"/>
    <n v="2000000000"/>
    <n v="0.55652400000000002"/>
    <n v="2000000000"/>
    <n v="1.65"/>
    <n v="9.6276899999999995E-3"/>
    <s v="Bond"/>
    <s v="THB"/>
    <d v="2018-05-17T00:00:00"/>
    <x v="3"/>
    <s v="SCBSFFPLUS43397"/>
  </r>
  <r>
    <x v="0"/>
    <x v="1"/>
    <x v="0"/>
    <x v="1"/>
    <m/>
    <x v="73"/>
    <x v="21"/>
    <s v="A"/>
    <x v="40"/>
    <n v="3753810000"/>
    <m/>
    <n v="3753810000"/>
    <m/>
    <n v="100000000"/>
    <n v="0"/>
    <n v="1.7939693E-2"/>
    <s v="Bond"/>
    <s v="EURbb"/>
    <d v="2018-03-06T00:00:00"/>
    <x v="3"/>
    <s v="SCBSFFPLUS43397"/>
  </r>
  <r>
    <x v="0"/>
    <x v="1"/>
    <x v="0"/>
    <x v="1"/>
    <m/>
    <x v="74"/>
    <x v="21"/>
    <s v="A"/>
    <x v="41"/>
    <n v="1876905000"/>
    <m/>
    <n v="1876927418.8599999"/>
    <m/>
    <n v="50000000"/>
    <n v="-0.01"/>
    <n v="8.9698464999999998E-3"/>
    <s v="Bond"/>
    <s v="EURbb"/>
    <d v="2017-12-07T00:00:00"/>
    <x v="3"/>
    <s v="SCBSFFPLUS43397"/>
  </r>
  <r>
    <x v="0"/>
    <x v="1"/>
    <x v="0"/>
    <x v="1"/>
    <m/>
    <x v="75"/>
    <x v="22"/>
    <s v="A"/>
    <x v="42"/>
    <n v="1644100000"/>
    <n v="32991606.670000002"/>
    <n v="1644100000"/>
    <m/>
    <n v="50000000"/>
    <n v="2.8"/>
    <n v="8.0149257999999994E-3"/>
    <s v="Bond"/>
    <s v="USDbb"/>
    <d v="2018-02-09T00:00:00"/>
    <x v="6"/>
    <s v="SCBSFFPLUS43397"/>
  </r>
  <r>
    <x v="0"/>
    <x v="1"/>
    <x v="0"/>
    <x v="1"/>
    <m/>
    <x v="76"/>
    <x v="3"/>
    <s v="A"/>
    <x v="43"/>
    <n v="3753810000"/>
    <n v="1324260.75"/>
    <n v="3865000000"/>
    <n v="0.31106299999999998"/>
    <n v="100000000"/>
    <n v="0.05"/>
    <n v="1.7946021699999998E-2"/>
    <s v="Bond"/>
    <s v="EURbb"/>
    <d v="2018-02-13T00:00:00"/>
    <x v="3"/>
    <s v="SCBSFFPLUS43397"/>
  </r>
  <r>
    <x v="0"/>
    <x v="1"/>
    <x v="0"/>
    <x v="1"/>
    <m/>
    <x v="77"/>
    <x v="3"/>
    <s v="A"/>
    <x v="44"/>
    <n v="1126143000"/>
    <n v="271525.59000000003"/>
    <n v="1140000000"/>
    <n v="0.41382000000000002"/>
    <n v="30000000"/>
    <n v="0.04"/>
    <n v="5.3832055E-3"/>
    <s v="Bond"/>
    <s v="EURbb"/>
    <d v="2018-03-22T00:00:00"/>
    <x v="3"/>
    <s v="SCBSFFPLUS43397"/>
  </r>
  <r>
    <x v="0"/>
    <x v="1"/>
    <x v="0"/>
    <x v="1"/>
    <m/>
    <x v="78"/>
    <x v="3"/>
    <s v="A"/>
    <x v="45"/>
    <n v="3003048000"/>
    <n v="1798492.08"/>
    <n v="3010400000"/>
    <n v="0.58563100000000001"/>
    <n v="80000000"/>
    <n v="0.14000000000000001"/>
    <n v="1.4360349499999999E-2"/>
    <s v="Bond"/>
    <s v="EURbb"/>
    <d v="2018-05-24T00:00:00"/>
    <x v="6"/>
    <s v="SCBSFFPLUS43397"/>
  </r>
  <r>
    <x v="0"/>
    <x v="1"/>
    <x v="0"/>
    <x v="1"/>
    <m/>
    <x v="79"/>
    <x v="3"/>
    <s v="A"/>
    <x v="46"/>
    <n v="2794970000"/>
    <n v="31446518.02"/>
    <n v="2803725000"/>
    <n v="0.66302300000000003"/>
    <n v="85000000"/>
    <n v="3.32"/>
    <n v="1.3507621500000001E-2"/>
    <s v="Bond"/>
    <s v="USDbb"/>
    <d v="2018-06-25T00:00:00"/>
    <x v="3"/>
    <s v="SCBSFFPLUS43397"/>
  </r>
  <r>
    <x v="0"/>
    <x v="1"/>
    <x v="0"/>
    <x v="1"/>
    <m/>
    <x v="80"/>
    <x v="3"/>
    <s v="A"/>
    <x v="47"/>
    <n v="1972920000"/>
    <n v="31618235.129999999"/>
    <n v="1887600000"/>
    <n v="0.50308799999999998"/>
    <n v="60000000"/>
    <n v="3.17"/>
    <n v="9.5798137000000002E-3"/>
    <s v="Bond"/>
    <s v="USDbb"/>
    <d v="2018-04-26T00:00:00"/>
    <x v="3"/>
    <s v="SCBSFFPLUS43397"/>
  </r>
  <r>
    <x v="0"/>
    <x v="1"/>
    <x v="0"/>
    <x v="1"/>
    <m/>
    <x v="81"/>
    <x v="3"/>
    <s v="A"/>
    <x v="48"/>
    <n v="3003048000"/>
    <n v="1945307.76"/>
    <n v="3051200000"/>
    <n v="0.42757699999999998"/>
    <n v="80000000"/>
    <n v="0.11"/>
    <n v="1.4361051200000001E-2"/>
    <s v="Bond"/>
    <s v="EURbb"/>
    <d v="2018-03-27T00:00:00"/>
    <x v="3"/>
    <s v="SCBSFFPLUS43397"/>
  </r>
  <r>
    <x v="0"/>
    <x v="1"/>
    <x v="0"/>
    <x v="1"/>
    <m/>
    <x v="82"/>
    <x v="3"/>
    <s v="A"/>
    <x v="49"/>
    <n v="3003048000"/>
    <n v="1848125.79"/>
    <n v="3065600000"/>
    <n v="0.43036099999999999"/>
    <n v="80000000"/>
    <n v="0.105"/>
    <n v="1.4360586700000001E-2"/>
    <s v="Bond"/>
    <s v="EURbb"/>
    <d v="2018-03-28T00:00:00"/>
    <x v="3"/>
    <s v="SCBSFFPLUS43397"/>
  </r>
  <r>
    <x v="0"/>
    <x v="1"/>
    <x v="0"/>
    <x v="1"/>
    <m/>
    <x v="83"/>
    <x v="3"/>
    <s v="A"/>
    <x v="50"/>
    <n v="3753810000"/>
    <n v="4176113.63"/>
    <n v="3880000000"/>
    <n v="0.27488699999999999"/>
    <n v="100000000"/>
    <n v="0.15"/>
    <n v="1.7959650899999999E-2"/>
    <s v="Bond"/>
    <s v="EURbb"/>
    <d v="2018-01-31T00:00:00"/>
    <x v="3"/>
    <s v="SCBSFFPLUS43397"/>
  </r>
  <r>
    <x v="0"/>
    <x v="1"/>
    <x v="0"/>
    <x v="1"/>
    <m/>
    <x v="84"/>
    <x v="3"/>
    <s v="A"/>
    <x v="51"/>
    <n v="1876905000"/>
    <n v="1080263.1000000001"/>
    <n v="1855000000"/>
    <n v="0.60781600000000002"/>
    <n v="50000000"/>
    <n v="0.14000000000000001"/>
    <n v="8.9750092E-3"/>
    <s v="Bond"/>
    <s v="EURbb"/>
    <d v="2018-05-30T00:00:00"/>
    <x v="32"/>
    <s v="SCBSFFPLUS43397"/>
  </r>
  <r>
    <x v="0"/>
    <x v="1"/>
    <x v="0"/>
    <x v="1"/>
    <m/>
    <x v="10"/>
    <x v="4"/>
    <s v="A+"/>
    <x v="5"/>
    <n v="1150870000"/>
    <n v="27005538.579999998"/>
    <n v="1158500000"/>
    <n v="3.6080000000000001E-2"/>
    <n v="35000000"/>
    <n v="2.4066999999999998"/>
    <n v="5.6291409000000002E-3"/>
    <s v="Bond"/>
    <s v="USDbb"/>
    <d v="2017-11-08T00:00:00"/>
    <x v="4"/>
    <s v="SCBSFFPLUS43397"/>
  </r>
  <r>
    <x v="0"/>
    <x v="1"/>
    <x v="0"/>
    <x v="1"/>
    <m/>
    <x v="85"/>
    <x v="4"/>
    <s v="A+"/>
    <x v="21"/>
    <n v="3580942000"/>
    <n v="89712544.159999996"/>
    <n v="3542000000"/>
    <n v="0.15212000000000001"/>
    <n v="400000000"/>
    <n v="2.9"/>
    <n v="1.7542287899999998E-2"/>
    <s v="Bond"/>
    <s v="AEDbb"/>
    <d v="2017-12-18T00:00:00"/>
    <x v="3"/>
    <s v="SCBSFFPLUS43397"/>
  </r>
  <r>
    <x v="0"/>
    <x v="1"/>
    <x v="0"/>
    <x v="1"/>
    <m/>
    <x v="86"/>
    <x v="5"/>
    <s v="A"/>
    <x v="52"/>
    <n v="2627667000"/>
    <n v="762023.43"/>
    <n v="2660000000"/>
    <n v="0.52761100000000005"/>
    <n v="70000000"/>
    <n v="0.06"/>
    <n v="1.25614269E-2"/>
    <s v="Bond"/>
    <s v="EURbb"/>
    <d v="2018-05-04T00:00:00"/>
    <x v="4"/>
    <s v="SCBSFFPLUS43397"/>
  </r>
  <r>
    <x v="0"/>
    <x v="1"/>
    <x v="0"/>
    <x v="1"/>
    <m/>
    <x v="87"/>
    <x v="5"/>
    <s v="A"/>
    <x v="53"/>
    <n v="3288200000"/>
    <n v="70723701.670000002"/>
    <n v="3230500000"/>
    <n v="0.209953"/>
    <n v="100000000"/>
    <n v="2.67"/>
    <n v="1.60525067E-2"/>
    <s v="Bond"/>
    <s v="USDbb"/>
    <d v="2018-01-08T00:00:00"/>
    <x v="3"/>
    <s v="SCBSFFPLUS43397"/>
  </r>
  <r>
    <x v="0"/>
    <x v="1"/>
    <x v="0"/>
    <x v="1"/>
    <m/>
    <x v="88"/>
    <x v="5"/>
    <s v="A"/>
    <x v="54"/>
    <n v="3222436000"/>
    <n v="69070230.299999997"/>
    <n v="3155600000"/>
    <n v="0.2127"/>
    <n v="98000000"/>
    <n v="2.67"/>
    <n v="1.5730314400000001E-2"/>
    <s v="Bond"/>
    <s v="USDbb"/>
    <d v="2018-01-09T00:00:00"/>
    <x v="3"/>
    <s v="SCBSFFPLUS43397"/>
  </r>
  <r>
    <x v="0"/>
    <x v="1"/>
    <x v="0"/>
    <x v="1"/>
    <m/>
    <x v="89"/>
    <x v="5"/>
    <s v="A"/>
    <x v="21"/>
    <n v="2959380000"/>
    <n v="68361678"/>
    <n v="2945700000"/>
    <n v="0.15216399999999999"/>
    <n v="90000000"/>
    <n v="2.7"/>
    <n v="1.4469767E-2"/>
    <s v="Bond"/>
    <s v="USDbb"/>
    <d v="2017-12-21T00:00:00"/>
    <x v="33"/>
    <s v="SCBSFFPLUS43397"/>
  </r>
  <r>
    <x v="0"/>
    <x v="1"/>
    <x v="0"/>
    <x v="1"/>
    <m/>
    <x v="90"/>
    <x v="5"/>
    <s v="A"/>
    <x v="55"/>
    <n v="2794970000"/>
    <n v="31412357.280000001"/>
    <n v="2805637500"/>
    <n v="0.67047100000000004"/>
    <n v="85000000"/>
    <n v="3.4"/>
    <n v="1.3507458199999999E-2"/>
    <s v="Bond"/>
    <s v="USDbb"/>
    <d v="2018-06-28T00:00:00"/>
    <x v="3"/>
    <s v="SCBSFFPLUS43397"/>
  </r>
  <r>
    <x v="0"/>
    <x v="1"/>
    <x v="0"/>
    <x v="1"/>
    <m/>
    <x v="91"/>
    <x v="6"/>
    <s v="AAA(tha)"/>
    <x v="56"/>
    <n v="670000000"/>
    <n v="2652465.75"/>
    <n v="670000000"/>
    <n v="0.75995599999999996"/>
    <n v="670000000"/>
    <n v="1.7"/>
    <n v="3.2146482000000001E-3"/>
    <s v="Bond"/>
    <s v="THB"/>
    <d v="2018-08-01T00:00:00"/>
    <x v="3"/>
    <s v="SCBSFFPLUS43397"/>
  </r>
  <r>
    <x v="0"/>
    <x v="1"/>
    <x v="0"/>
    <x v="1"/>
    <m/>
    <x v="92"/>
    <x v="6"/>
    <s v="AAA(tha)"/>
    <x v="8"/>
    <n v="1000000000"/>
    <n v="3912328.77"/>
    <n v="1000000000"/>
    <n v="0.762625"/>
    <n v="1000000000"/>
    <n v="1.7"/>
    <n v="4.7977599000000003E-3"/>
    <s v="Bond"/>
    <s v="THB"/>
    <d v="2018-08-02T00:00:00"/>
    <x v="3"/>
    <s v="SCBSFFPLUS43397"/>
  </r>
  <r>
    <x v="0"/>
    <x v="1"/>
    <x v="0"/>
    <x v="1"/>
    <m/>
    <x v="14"/>
    <x v="6"/>
    <s v="AAA(tha)"/>
    <x v="8"/>
    <n v="700000000"/>
    <n v="2706027.4"/>
    <n v="700000000"/>
    <n v="0.76262399999999997"/>
    <n v="700000000"/>
    <n v="1.7"/>
    <n v="3.3582760999999999E-3"/>
    <s v="Bond"/>
    <s v="THB"/>
    <d v="2018-08-03T00:00:00"/>
    <x v="6"/>
    <s v="SCBSFFPLUS43397"/>
  </r>
  <r>
    <x v="0"/>
    <x v="1"/>
    <x v="0"/>
    <x v="1"/>
    <m/>
    <x v="93"/>
    <x v="6"/>
    <s v="AAA(tha)"/>
    <x v="57"/>
    <n v="160000000"/>
    <n v="678136.99"/>
    <n v="160000000"/>
    <n v="0.74393600000000004"/>
    <n v="160000000"/>
    <n v="1.7"/>
    <n v="7.678909E-4"/>
    <s v="Bond"/>
    <s v="THB"/>
    <d v="2018-07-26T00:00:00"/>
    <x v="3"/>
    <s v="SCBSFFPLUS43397"/>
  </r>
  <r>
    <x v="0"/>
    <x v="1"/>
    <x v="0"/>
    <x v="1"/>
    <m/>
    <x v="94"/>
    <x v="23"/>
    <s v="A+"/>
    <x v="58"/>
    <n v="2959380000"/>
    <n v="8384910"/>
    <n v="2914650000"/>
    <n v="0.92035400000000001"/>
    <n v="90000000"/>
    <n v="3.4"/>
    <n v="1.4183134300000001E-2"/>
    <s v="Bond"/>
    <s v="USDbb"/>
    <d v="2018-09-25T00:00:00"/>
    <x v="34"/>
    <s v="SCBSFFPLUS43397"/>
  </r>
  <r>
    <x v="0"/>
    <x v="1"/>
    <x v="0"/>
    <x v="1"/>
    <m/>
    <x v="95"/>
    <x v="23"/>
    <s v="A+"/>
    <x v="59"/>
    <n v="2959380000"/>
    <n v="8105413"/>
    <n v="2922750000"/>
    <n v="0.92295799999999995"/>
    <n v="90000000"/>
    <n v="3.4"/>
    <n v="1.41817986E-2"/>
    <s v="Bond"/>
    <s v="USDbb"/>
    <d v="2018-09-26T00:00:00"/>
    <x v="34"/>
    <s v="SCBSFFPLUS43397"/>
  </r>
  <r>
    <x v="0"/>
    <x v="1"/>
    <x v="0"/>
    <x v="1"/>
    <m/>
    <x v="96"/>
    <x v="5"/>
    <s v="A"/>
    <x v="12"/>
    <n v="1876905000"/>
    <n v="4692.26"/>
    <n v="1892500000"/>
    <n v="0.23332800000000001"/>
    <n v="50000000"/>
    <n v="0.01"/>
    <n v="8.9698689000000005E-3"/>
    <s v="Bond"/>
    <s v="EURbb"/>
    <d v="2018-10-16T00:00:00"/>
    <x v="8"/>
    <s v="SCBSFFPLUS43397"/>
  </r>
  <r>
    <x v="0"/>
    <x v="1"/>
    <x v="0"/>
    <x v="1"/>
    <m/>
    <x v="22"/>
    <x v="5"/>
    <s v="A"/>
    <x v="16"/>
    <n v="1126143000"/>
    <n v="938.45"/>
    <n v="1124400000"/>
    <n v="0.24999399999999999"/>
    <n v="30000000"/>
    <n v="0.01"/>
    <n v="5.3819124000000001E-3"/>
    <s v="Bond"/>
    <s v="EURbb"/>
    <d v="2018-10-22T00:00:00"/>
    <x v="8"/>
    <s v="SCBSFFPLUS43397"/>
  </r>
  <r>
    <x v="0"/>
    <x v="1"/>
    <x v="0"/>
    <x v="1"/>
    <m/>
    <x v="97"/>
    <x v="3"/>
    <s v="A"/>
    <x v="60"/>
    <n v="1299954000"/>
    <n v="3723566.87"/>
    <n v="1296265000"/>
    <n v="0.37716899999999998"/>
    <n v="310000000"/>
    <n v="2.5499999999999998"/>
    <n v="6.2303567000000001E-3"/>
    <s v="Bond"/>
    <s v="HKDbb"/>
    <d v="2018-09-14T00:00:00"/>
    <x v="35"/>
    <s v="SCBSFFPLUS43397"/>
  </r>
  <r>
    <x v="0"/>
    <x v="1"/>
    <x v="0"/>
    <x v="1"/>
    <m/>
    <x v="98"/>
    <x v="4"/>
    <s v="A+"/>
    <x v="33"/>
    <n v="1315280000"/>
    <n v="20058020"/>
    <n v="1258000000"/>
    <n v="2.7780000000000001E-3"/>
    <n v="40000000"/>
    <n v="3"/>
    <n v="6.3816640000000004E-3"/>
    <s v="Bond"/>
    <s v="USDbb"/>
    <d v="2018-04-25T00:00:00"/>
    <x v="36"/>
    <s v="SCBSFFPLUS43397"/>
  </r>
  <r>
    <x v="0"/>
    <x v="1"/>
    <x v="0"/>
    <x v="1"/>
    <m/>
    <x v="99"/>
    <x v="4"/>
    <s v="A+"/>
    <x v="61"/>
    <n v="1644100000"/>
    <n v="21099283.329999998"/>
    <n v="1603000000"/>
    <n v="9.1417999999999999E-2"/>
    <n v="50000000"/>
    <n v="3"/>
    <n v="7.9580915999999998E-3"/>
    <s v="Bond"/>
    <s v="USDbb"/>
    <d v="2018-05-24T00:00:00"/>
    <x v="9"/>
    <s v="SCBSFFPLUS43397"/>
  </r>
  <r>
    <x v="0"/>
    <x v="1"/>
    <x v="0"/>
    <x v="1"/>
    <m/>
    <x v="23"/>
    <x v="5"/>
    <s v="A"/>
    <x v="17"/>
    <n v="2815357500"/>
    <n v="547430.63"/>
    <n v="2850000000"/>
    <n v="3.3333000000000002E-2"/>
    <n v="75000000"/>
    <n v="0.04"/>
    <n v="1.3457386E-2"/>
    <s v="Bond"/>
    <s v="EURbb"/>
    <d v="2018-05-03T00:00:00"/>
    <x v="9"/>
    <s v="SCBSFFPLUS43397"/>
  </r>
  <r>
    <x v="0"/>
    <x v="1"/>
    <x v="0"/>
    <x v="1"/>
    <m/>
    <x v="100"/>
    <x v="5"/>
    <s v="A"/>
    <x v="62"/>
    <n v="1644100000"/>
    <n v="21470119.219999999"/>
    <n v="1596250000"/>
    <n v="7.2071999999999997E-2"/>
    <n v="50000000"/>
    <n v="2.92"/>
    <n v="7.9598638999999992E-3"/>
    <s v="Bond"/>
    <s v="USDbb"/>
    <d v="2018-05-17T00:00:00"/>
    <x v="9"/>
    <s v="SCBSFFPLUS43397"/>
  </r>
  <r>
    <x v="0"/>
    <x v="1"/>
    <x v="0"/>
    <x v="1"/>
    <m/>
    <x v="101"/>
    <x v="5"/>
    <s v="A"/>
    <x v="63"/>
    <n v="460348000"/>
    <n v="5974294.04"/>
    <n v="449330000"/>
    <n v="7.4838000000000002E-2"/>
    <n v="14000000"/>
    <n v="2.92"/>
    <n v="2.2285833999999998E-3"/>
    <s v="Bond"/>
    <s v="USDbb"/>
    <d v="2018-05-18T00:00:00"/>
    <x v="9"/>
    <s v="SCBSFFPLUS43397"/>
  </r>
  <r>
    <x v="0"/>
    <x v="1"/>
    <x v="0"/>
    <x v="1"/>
    <m/>
    <x v="102"/>
    <x v="8"/>
    <s v="AA+(tha)"/>
    <x v="19"/>
    <n v="9535.0499999999993"/>
    <n v="11.36"/>
    <n v="9535.0499999999993"/>
    <n v="0"/>
    <n v="9535.0499999999993"/>
    <n v="0"/>
    <n v="4.5599999999999998E-8"/>
    <s v="Bond"/>
    <s v="THB"/>
    <d v="2014-11-03T00:00:00"/>
    <x v="37"/>
    <s v="SCBSFFPLUS43397"/>
  </r>
  <r>
    <x v="0"/>
    <x v="1"/>
    <x v="0"/>
    <x v="1"/>
    <m/>
    <x v="103"/>
    <x v="0"/>
    <s v="AA+(tha)"/>
    <x v="19"/>
    <n v="74274358.329999998"/>
    <n v="59832.13"/>
    <n v="85887038.310000002"/>
    <n v="0"/>
    <n v="15694197.34"/>
    <n v="0"/>
    <n v="3.552478E-4"/>
    <s v="Bond"/>
    <s v="CNHbb"/>
    <d v="2013-12-06T00:00:00"/>
    <x v="38"/>
    <s v="SCBSFFPLUS43397"/>
  </r>
  <r>
    <x v="0"/>
    <x v="1"/>
    <x v="0"/>
    <x v="1"/>
    <m/>
    <x v="104"/>
    <x v="0"/>
    <s v="AA+(tha)"/>
    <x v="19"/>
    <n v="123605089.01000001"/>
    <n v="19914"/>
    <n v="129319397.17"/>
    <n v="0"/>
    <n v="3759050.21"/>
    <n v="0"/>
    <n v="5.9081159999999999E-4"/>
    <s v="Bond"/>
    <s v="USDbb"/>
    <d v="2013-12-09T00:00:00"/>
    <x v="39"/>
    <s v="SCBSFFPLUS43397"/>
  </r>
  <r>
    <x v="0"/>
    <x v="1"/>
    <x v="0"/>
    <x v="1"/>
    <m/>
    <x v="105"/>
    <x v="9"/>
    <s v="AAA(tha)"/>
    <x v="19"/>
    <n v="758730392.33000004"/>
    <n v="1644382.65"/>
    <n v="758730392.33000004"/>
    <n v="0"/>
    <n v="758730392.33000004"/>
    <n v="0"/>
    <n v="3.6338786999999999E-3"/>
    <s v="Bond"/>
    <s v="THB"/>
    <d v="2014-01-13T00:00:00"/>
    <x v="40"/>
    <s v="SCBSFFPLUS43397"/>
  </r>
  <r>
    <x v="0"/>
    <x v="1"/>
    <x v="0"/>
    <x v="1"/>
    <m/>
    <x v="28"/>
    <x v="0"/>
    <s v="AA+(tha)"/>
    <x v="20"/>
    <n v="1500000000"/>
    <n v="2157534.25"/>
    <n v="1500000000"/>
    <n v="0.19395499999999999"/>
    <n v="1500000000"/>
    <n v="1.5"/>
    <n v="7.1789048999999997E-3"/>
    <s v="Bond"/>
    <s v="THB"/>
    <d v="2018-09-20T00:00:00"/>
    <x v="14"/>
    <s v="SCBSFFPLUS43397"/>
  </r>
  <r>
    <x v="0"/>
    <x v="1"/>
    <x v="0"/>
    <x v="2"/>
    <m/>
    <x v="106"/>
    <x v="24"/>
    <s v="A+"/>
    <x v="64"/>
    <n v="1353013829.5999999"/>
    <m/>
    <n v="1353444133.5999999"/>
    <n v="0.283468"/>
    <n v="1360000000"/>
    <n v="1.7"/>
    <n v="6.4661377999999997E-3"/>
    <s v="Bond"/>
    <s v="THB"/>
    <d v="2018-08-06T00:00:00"/>
    <x v="41"/>
    <s v="SCBSFFPLUS43397"/>
  </r>
  <r>
    <x v="0"/>
    <x v="1"/>
    <x v="0"/>
    <x v="2"/>
    <m/>
    <x v="107"/>
    <x v="25"/>
    <s v="A"/>
    <x v="63"/>
    <n v="299621037"/>
    <m/>
    <n v="299626494"/>
    <n v="7.1155999999999997E-2"/>
    <n v="300000000"/>
    <n v="1.75"/>
    <n v="1.4319077000000001E-3"/>
    <s v="Bond"/>
    <s v="THB"/>
    <d v="2018-08-16T00:00:00"/>
    <x v="42"/>
    <s v="SCBSFFPLUS43397"/>
  </r>
  <r>
    <x v="0"/>
    <x v="1"/>
    <x v="0"/>
    <x v="2"/>
    <m/>
    <x v="108"/>
    <x v="26"/>
    <s v="A+"/>
    <x v="26"/>
    <n v="1995718440"/>
    <m/>
    <n v="1995753420"/>
    <n v="0.13395099999999999"/>
    <n v="2000000000"/>
    <n v="1.585"/>
    <n v="9.5376634000000002E-3"/>
    <s v="Bond"/>
    <s v="THB"/>
    <d v="2018-04-17T00:00:00"/>
    <x v="43"/>
    <s v="SCBSFFPLUS43397"/>
  </r>
  <r>
    <x v="0"/>
    <x v="1"/>
    <x v="0"/>
    <x v="2"/>
    <m/>
    <x v="109"/>
    <x v="26"/>
    <s v="A+"/>
    <x v="65"/>
    <n v="398075276"/>
    <m/>
    <n v="398063124"/>
    <n v="0.26174799999999998"/>
    <n v="400000000"/>
    <n v="1.85"/>
    <n v="1.9024267000000001E-3"/>
    <s v="Bond"/>
    <s v="THB"/>
    <d v="2018-09-17T00:00:00"/>
    <x v="44"/>
    <s v="SCBSFFPLUS43397"/>
  </r>
  <r>
    <x v="0"/>
    <x v="1"/>
    <x v="0"/>
    <x v="2"/>
    <m/>
    <x v="110"/>
    <x v="27"/>
    <s v="A+"/>
    <x v="25"/>
    <n v="1397490248"/>
    <m/>
    <n v="1397346958"/>
    <n v="0.11486300000000001"/>
    <n v="1400000000"/>
    <n v="1.65"/>
    <n v="6.6786933999999996E-3"/>
    <s v="Bond"/>
    <s v="THB"/>
    <d v="2018-03-15T00:00:00"/>
    <x v="45"/>
    <s v="SCBSFFPLUS43397"/>
  </r>
  <r>
    <x v="0"/>
    <x v="1"/>
    <x v="0"/>
    <x v="2"/>
    <m/>
    <x v="111"/>
    <x v="27"/>
    <s v="A+"/>
    <x v="66"/>
    <n v="992061120"/>
    <m/>
    <n v="992765050"/>
    <n v="0.413132"/>
    <n v="1000000000"/>
    <n v="1.75"/>
    <n v="4.7411221999999996E-3"/>
    <s v="Bond"/>
    <s v="THB"/>
    <d v="2018-08-14T00:00:00"/>
    <x v="46"/>
    <s v="SCBSFFPLUS43397"/>
  </r>
  <r>
    <x v="0"/>
    <x v="1"/>
    <x v="0"/>
    <x v="2"/>
    <m/>
    <x v="112"/>
    <x v="28"/>
    <s v="AA"/>
    <x v="67"/>
    <n v="1498751730"/>
    <m/>
    <n v="1498751730"/>
    <n v="5.2012999999999997E-2"/>
    <n v="1500000000"/>
    <n v="1.6"/>
    <n v="7.1626284E-3"/>
    <s v="Bond"/>
    <s v="THB"/>
    <d v="2018-08-17T00:00:00"/>
    <x v="47"/>
    <s v="SCBSFFPLUS43397"/>
  </r>
  <r>
    <x v="0"/>
    <x v="1"/>
    <x v="0"/>
    <x v="2"/>
    <m/>
    <x v="113"/>
    <x v="29"/>
    <s v="A+"/>
    <x v="68"/>
    <n v="1497308940"/>
    <m/>
    <n v="1497308940"/>
    <n v="0.109393"/>
    <n v="1500000000"/>
    <n v="1.64"/>
    <n v="7.1557332000000001E-3"/>
    <s v="Bond"/>
    <s v="THB"/>
    <d v="2018-10-09T00:00:00"/>
    <x v="48"/>
    <s v="SCBSFFPLUS43397"/>
  </r>
  <r>
    <x v="0"/>
    <x v="1"/>
    <x v="0"/>
    <x v="2"/>
    <m/>
    <x v="114"/>
    <x v="30"/>
    <s v="BBB+"/>
    <x v="16"/>
    <n v="49729593.5"/>
    <m/>
    <n v="49729593.5"/>
    <n v="0.24251700000000001"/>
    <n v="50000000"/>
    <n v="2.23"/>
    <n v="2.376608E-4"/>
    <s v="Bond"/>
    <s v="THB"/>
    <d v="2018-10-24T00:00:00"/>
    <x v="49"/>
    <s v="SCBSFFPLUS43397"/>
  </r>
  <r>
    <x v="0"/>
    <x v="1"/>
    <x v="0"/>
    <x v="2"/>
    <m/>
    <x v="115"/>
    <x v="11"/>
    <s v="A"/>
    <x v="50"/>
    <n v="696873826.12"/>
    <m/>
    <n v="697052328.02999997"/>
    <n v="0.26729399999999998"/>
    <n v="700000000"/>
    <n v="1.575"/>
    <n v="3.3304036000000002E-3"/>
    <s v="Bond"/>
    <s v="THB"/>
    <d v="2018-05-07T00:00:00"/>
    <x v="50"/>
    <s v="SCBSFFPLUS43397"/>
  </r>
  <r>
    <x v="0"/>
    <x v="1"/>
    <x v="0"/>
    <x v="2"/>
    <m/>
    <x v="30"/>
    <x v="11"/>
    <s v="A"/>
    <x v="22"/>
    <n v="845383658.5"/>
    <m/>
    <n v="845485803"/>
    <n v="0.31608199999999997"/>
    <n v="850000000"/>
    <n v="1.68"/>
    <n v="4.0401413999999998E-3"/>
    <s v="Bond"/>
    <s v="THB"/>
    <d v="2018-05-24T00:00:00"/>
    <x v="16"/>
    <s v="SCBSFFPLUS43397"/>
  </r>
  <r>
    <x v="0"/>
    <x v="1"/>
    <x v="0"/>
    <x v="3"/>
    <m/>
    <x v="31"/>
    <x v="12"/>
    <s v="BBB+"/>
    <x v="23"/>
    <n v="1488007938.8599999"/>
    <m/>
    <n v="1487994508.0799999"/>
    <n v="5.4757E-2"/>
    <n v="1489000000"/>
    <n v="1.2332240000000001"/>
    <n v="7.1112831E-3"/>
    <s v="Bond"/>
    <s v="THB"/>
    <d v="2017-11-15T00:00:00"/>
    <x v="6"/>
    <s v="SCBSFFPLUS43397"/>
  </r>
  <r>
    <x v="0"/>
    <x v="1"/>
    <x v="0"/>
    <x v="3"/>
    <m/>
    <x v="32"/>
    <x v="12"/>
    <s v="BBB+"/>
    <x v="24"/>
    <n v="1181255058.9000001"/>
    <m/>
    <n v="1183194758.9000001"/>
    <n v="0.43513499999999999"/>
    <n v="1190000000"/>
    <n v="1.312079"/>
    <n v="5.6452919000000001E-3"/>
    <s v="Bond"/>
    <s v="THB"/>
    <d v="2018-04-04T00:00:00"/>
    <x v="6"/>
    <s v="SCBSFFPLUS43397"/>
  </r>
  <r>
    <x v="0"/>
    <x v="1"/>
    <x v="0"/>
    <x v="4"/>
    <m/>
    <x v="33"/>
    <x v="13"/>
    <m/>
    <x v="25"/>
    <n v="6989544380"/>
    <m/>
    <n v="6989202220"/>
    <n v="0.114895"/>
    <n v="7000000000"/>
    <n v="1.3426100000000001"/>
    <n v="3.34034702E-2"/>
    <s v="Bond"/>
    <s v="THB"/>
    <d v="2018-09-06T00:00:00"/>
    <x v="17"/>
    <s v="SCBSFFPLUS43397"/>
  </r>
  <r>
    <x v="0"/>
    <x v="1"/>
    <x v="0"/>
    <x v="4"/>
    <m/>
    <x v="116"/>
    <x v="13"/>
    <m/>
    <x v="26"/>
    <n v="570031367.01999998"/>
    <m/>
    <n v="570031367.01999998"/>
    <n v="0.133989"/>
    <n v="571000000"/>
    <n v="1.265779"/>
    <n v="2.7242156000000001E-3"/>
    <s v="Bond"/>
    <s v="THB"/>
    <d v="2018-06-14T00:00:00"/>
    <x v="18"/>
    <s v="SCBSFFPLUS43397"/>
  </r>
  <r>
    <x v="0"/>
    <x v="1"/>
    <x v="0"/>
    <x v="4"/>
    <m/>
    <x v="34"/>
    <x v="13"/>
    <m/>
    <x v="26"/>
    <n v="5139037127.7700005"/>
    <m/>
    <n v="5138959150.7200003"/>
    <n v="0.13397899999999999"/>
    <n v="5147000000"/>
    <n v="1.1655310000000001"/>
    <n v="2.4559780199999999E-2"/>
    <s v="Bond"/>
    <s v="THB"/>
    <d v="2018-09-13T00:00:00"/>
    <x v="17"/>
    <s v="SCBSFFPLUS43397"/>
  </r>
  <r>
    <x v="0"/>
    <x v="1"/>
    <x v="0"/>
    <x v="4"/>
    <m/>
    <x v="35"/>
    <x v="13"/>
    <m/>
    <x v="27"/>
    <n v="4490353911.7799997"/>
    <m/>
    <n v="4489515748.0799999"/>
    <n v="0.153085"/>
    <n v="4499000000"/>
    <n v="1.376922"/>
    <n v="2.14596825E-2"/>
    <s v="Bond"/>
    <s v="THB"/>
    <d v="2018-09-20T00:00:00"/>
    <x v="17"/>
    <s v="SCBSFFPLUS43397"/>
  </r>
  <r>
    <x v="0"/>
    <x v="1"/>
    <x v="0"/>
    <x v="4"/>
    <m/>
    <x v="117"/>
    <x v="13"/>
    <m/>
    <x v="69"/>
    <n v="1033494268.24"/>
    <m/>
    <n v="1033327845.2"/>
    <n v="0.172151"/>
    <n v="1036000000"/>
    <n v="1.498219"/>
    <n v="4.9391338000000003E-3"/>
    <s v="Bond"/>
    <s v="THB"/>
    <d v="2018-09-27T00:00:00"/>
    <x v="17"/>
    <s v="SCBSFFPLUS43397"/>
  </r>
  <r>
    <x v="0"/>
    <x v="1"/>
    <x v="0"/>
    <x v="4"/>
    <m/>
    <x v="36"/>
    <x v="13"/>
    <m/>
    <x v="28"/>
    <n v="1062763812.03"/>
    <m/>
    <n v="1062763812.03"/>
    <n v="1.9174E-2"/>
    <n v="1063000000"/>
    <n v="1.158838"/>
    <n v="5.0790148E-3"/>
    <s v="Bond"/>
    <s v="THB"/>
    <d v="2018-05-03T00:00:00"/>
    <x v="18"/>
    <s v="SCBSFFPLUS43397"/>
  </r>
  <r>
    <x v="0"/>
    <x v="1"/>
    <x v="0"/>
    <x v="4"/>
    <m/>
    <x v="37"/>
    <x v="13"/>
    <m/>
    <x v="28"/>
    <n v="3118235564.29"/>
    <m/>
    <n v="3118231291.2600002"/>
    <n v="1.9174E-2"/>
    <n v="3119000000"/>
    <n v="1.285431"/>
    <n v="1.4902243000000001E-2"/>
    <s v="Bond"/>
    <s v="THB"/>
    <d v="2018-08-02T00:00:00"/>
    <x v="17"/>
    <s v="SCBSFFPLUS43397"/>
  </r>
  <r>
    <x v="0"/>
    <x v="1"/>
    <x v="0"/>
    <x v="4"/>
    <m/>
    <x v="38"/>
    <x v="13"/>
    <m/>
    <x v="5"/>
    <n v="58976771.109999999"/>
    <m/>
    <n v="58976771.109999999"/>
    <n v="3.2863999999999997E-2"/>
    <n v="59000000"/>
    <n v="1.198"/>
    <n v="2.8185370000000001E-4"/>
    <s v="Bond"/>
    <s v="THB"/>
    <d v="2018-10-24T00:00:00"/>
    <x v="19"/>
    <s v="SCBSFFPLUS43397"/>
  </r>
  <r>
    <x v="0"/>
    <x v="1"/>
    <x v="0"/>
    <x v="4"/>
    <m/>
    <x v="39"/>
    <x v="13"/>
    <m/>
    <x v="29"/>
    <n v="1860123729.54"/>
    <m/>
    <n v="1860123729.54"/>
    <n v="3.8337999999999997E-2"/>
    <n v="1861000000"/>
    <n v="1.228165"/>
    <n v="8.8896478000000008E-3"/>
    <s v="Bond"/>
    <s v="THB"/>
    <d v="2018-05-10T00:00:00"/>
    <x v="18"/>
    <s v="SCBSFFPLUS43397"/>
  </r>
  <r>
    <x v="0"/>
    <x v="1"/>
    <x v="0"/>
    <x v="4"/>
    <m/>
    <x v="40"/>
    <x v="13"/>
    <m/>
    <x v="29"/>
    <n v="5716234005.6499996"/>
    <m/>
    <n v="5716220680.3800001"/>
    <n v="3.8337999999999997E-2"/>
    <n v="5719000000"/>
    <n v="1.2676259999999999"/>
    <n v="2.73182402E-2"/>
    <s v="Bond"/>
    <s v="THB"/>
    <d v="2018-08-09T00:00:00"/>
    <x v="17"/>
    <s v="SCBSFFPLUS43397"/>
  </r>
  <r>
    <x v="0"/>
    <x v="1"/>
    <x v="0"/>
    <x v="4"/>
    <m/>
    <x v="41"/>
    <x v="13"/>
    <m/>
    <x v="30"/>
    <n v="837428835.96000004"/>
    <m/>
    <n v="837428835.96000004"/>
    <n v="5.7493000000000002E-2"/>
    <n v="838000000"/>
    <n v="1.185459"/>
    <n v="4.0021248000000004E-3"/>
    <s v="Bond"/>
    <s v="THB"/>
    <d v="2018-05-17T00:00:00"/>
    <x v="18"/>
    <s v="SCBSFFPLUS43397"/>
  </r>
  <r>
    <x v="0"/>
    <x v="1"/>
    <x v="0"/>
    <x v="4"/>
    <m/>
    <x v="42"/>
    <x v="13"/>
    <m/>
    <x v="30"/>
    <n v="7958249912.3599997"/>
    <m/>
    <n v="7958244895.04"/>
    <n v="5.7493000000000002E-2"/>
    <n v="7964000000"/>
    <n v="1.256931"/>
    <n v="3.8032974599999998E-2"/>
    <s v="Bond"/>
    <s v="THB"/>
    <d v="2018-08-16T00:00:00"/>
    <x v="17"/>
    <s v="SCBSFFPLUS43397"/>
  </r>
  <r>
    <x v="0"/>
    <x v="1"/>
    <x v="0"/>
    <x v="4"/>
    <m/>
    <x v="43"/>
    <x v="13"/>
    <m/>
    <x v="31"/>
    <n v="2854298277.9499998"/>
    <m/>
    <n v="2854298277.9499998"/>
    <n v="7.6638999999999999E-2"/>
    <n v="2857000000"/>
    <n v="1.233892"/>
    <n v="1.36408702E-2"/>
    <s v="Bond"/>
    <s v="THB"/>
    <d v="2018-05-24T00:00:00"/>
    <x v="18"/>
    <s v="SCBSFFPLUS43397"/>
  </r>
  <r>
    <x v="0"/>
    <x v="1"/>
    <x v="0"/>
    <x v="4"/>
    <m/>
    <x v="44"/>
    <x v="13"/>
    <m/>
    <x v="31"/>
    <n v="4783412712.96"/>
    <m/>
    <n v="4783328827.1999998"/>
    <n v="7.664E-2"/>
    <n v="4788000000"/>
    <n v="1.273002"/>
    <n v="2.28602288E-2"/>
    <s v="Bond"/>
    <s v="THB"/>
    <d v="2018-08-23T00:00:00"/>
    <x v="17"/>
    <s v="SCBSFFPLUS43397"/>
  </r>
  <r>
    <x v="0"/>
    <x v="1"/>
    <x v="0"/>
    <x v="4"/>
    <m/>
    <x v="45"/>
    <x v="13"/>
    <m/>
    <x v="32"/>
    <n v="995844277.60000002"/>
    <m/>
    <n v="995844437.12"/>
    <n v="9.5772999999999997E-2"/>
    <n v="997000000"/>
    <n v="1.2101200000000001"/>
    <n v="4.7592021999999998E-3"/>
    <s v="Bond"/>
    <s v="THB"/>
    <d v="2018-05-31T00:00:00"/>
    <x v="18"/>
    <s v="SCBSFFPLUS43397"/>
  </r>
  <r>
    <x v="0"/>
    <x v="1"/>
    <x v="0"/>
    <x v="4"/>
    <m/>
    <x v="46"/>
    <x v="13"/>
    <m/>
    <x v="32"/>
    <n v="7050948575.1899996"/>
    <m/>
    <n v="7050593931.0299997"/>
    <n v="9.5771999999999996E-2"/>
    <n v="7059000000"/>
    <n v="1.2433479999999999"/>
    <n v="3.3696924699999999E-2"/>
    <s v="Bond"/>
    <s v="THB"/>
    <d v="2018-08-30T00:00:00"/>
    <x v="17"/>
    <s v="SCBSFFPLUS43397"/>
  </r>
  <r>
    <x v="0"/>
    <x v="1"/>
    <x v="0"/>
    <x v="4"/>
    <m/>
    <x v="47"/>
    <x v="13"/>
    <m/>
    <x v="33"/>
    <n v="410000000"/>
    <m/>
    <n v="410000000"/>
    <n v="2.7399999999999998E-3"/>
    <n v="410000000"/>
    <n v="1.1568210000000001"/>
    <n v="1.9594157000000002E-3"/>
    <s v="Bond"/>
    <s v="THB"/>
    <d v="2018-04-26T00:00:00"/>
    <x v="18"/>
    <s v="SCBSFFPLUS43397"/>
  </r>
  <r>
    <x v="0"/>
    <x v="1"/>
    <x v="0"/>
    <x v="4"/>
    <m/>
    <x v="48"/>
    <x v="13"/>
    <m/>
    <x v="33"/>
    <n v="5950000000"/>
    <m/>
    <n v="5950000000"/>
    <n v="2.7399999999999998E-3"/>
    <n v="5950000000"/>
    <n v="1.30081"/>
    <n v="2.8435422500000002E-2"/>
    <s v="Bond"/>
    <s v="THB"/>
    <d v="2018-07-26T00:00:00"/>
    <x v="17"/>
    <s v="SCBSFFPLUS43397"/>
  </r>
  <r>
    <x v="0"/>
    <x v="1"/>
    <x v="0"/>
    <x v="4"/>
    <m/>
    <x v="49"/>
    <x v="13"/>
    <m/>
    <x v="34"/>
    <n v="2389605172"/>
    <m/>
    <n v="2389605172"/>
    <n v="1.3696E-2"/>
    <n v="2390000000"/>
    <n v="1.2061550000000001"/>
    <n v="1.1420072700000001E-2"/>
    <s v="Bond"/>
    <s v="THB"/>
    <d v="2018-10-16T00:00:00"/>
    <x v="20"/>
    <s v="SCBSFFPLUS43397"/>
  </r>
  <r>
    <x v="0"/>
    <x v="1"/>
    <x v="0"/>
    <x v="4"/>
    <m/>
    <x v="118"/>
    <x v="13"/>
    <m/>
    <x v="20"/>
    <n v="302188644.77999997"/>
    <m/>
    <n v="302134383.54000002"/>
    <n v="0.191223"/>
    <n v="303000000"/>
    <n v="1.4938940000000001"/>
    <n v="1.4441784999999999E-3"/>
    <s v="Bond"/>
    <s v="THB"/>
    <d v="2018-07-05T00:00:00"/>
    <x v="18"/>
    <s v="SCBSFFPLUS43397"/>
  </r>
  <r>
    <x v="0"/>
    <x v="1"/>
    <x v="0"/>
    <x v="4"/>
    <m/>
    <x v="50"/>
    <x v="13"/>
    <m/>
    <x v="20"/>
    <n v="6449816835"/>
    <m/>
    <n v="6449566394.04"/>
    <n v="0.19125400000000001"/>
    <n v="6468000000"/>
    <n v="1.4903040000000001"/>
    <n v="3.0824078500000001E-2"/>
    <s v="Bond"/>
    <s v="THB"/>
    <d v="2018-10-04T00:00:00"/>
    <x v="17"/>
    <s v="SCBSFFPLUS43397"/>
  </r>
  <r>
    <x v="0"/>
    <x v="1"/>
    <x v="0"/>
    <x v="4"/>
    <m/>
    <x v="51"/>
    <x v="13"/>
    <m/>
    <x v="35"/>
    <n v="4983808750"/>
    <m/>
    <n v="4983656300"/>
    <n v="0.21030699999999999"/>
    <n v="5000000000"/>
    <n v="1.5545469999999999"/>
    <n v="2.38179341E-2"/>
    <s v="Bond"/>
    <s v="THB"/>
    <d v="2018-10-11T00:00:00"/>
    <x v="17"/>
    <s v="SCBSFFPLUS43397"/>
  </r>
  <r>
    <x v="0"/>
    <x v="1"/>
    <x v="0"/>
    <x v="4"/>
    <m/>
    <x v="119"/>
    <x v="13"/>
    <m/>
    <x v="13"/>
    <n v="398562228"/>
    <m/>
    <n v="398562228"/>
    <n v="0.22931000000000001"/>
    <n v="400000000"/>
    <n v="1.5674999999999999"/>
    <n v="1.9047538E-3"/>
    <s v="Bond"/>
    <s v="THB"/>
    <d v="2018-07-19T00:00:00"/>
    <x v="18"/>
    <s v="SCBSFFPLUS43397"/>
  </r>
  <r>
    <x v="0"/>
    <x v="1"/>
    <x v="0"/>
    <x v="4"/>
    <m/>
    <x v="52"/>
    <x v="13"/>
    <m/>
    <x v="13"/>
    <n v="6391529705.5200005"/>
    <m/>
    <n v="6390951419.2799997"/>
    <n v="0.22931000000000001"/>
    <n v="6414000000"/>
    <n v="1.567083"/>
    <n v="3.0545520600000001E-2"/>
    <s v="Bond"/>
    <s v="THB"/>
    <d v="2018-10-18T00:00:00"/>
    <x v="17"/>
    <s v="SCBSFFPLUS43397"/>
  </r>
  <r>
    <x v="0"/>
    <x v="1"/>
    <x v="0"/>
    <x v="4"/>
    <m/>
    <x v="53"/>
    <x v="13"/>
    <m/>
    <x v="36"/>
    <n v="5976652981.8199997"/>
    <m/>
    <n v="5976652981.8199997"/>
    <n v="0.25205499999999997"/>
    <n v="6000000000"/>
    <n v="1.56684"/>
    <n v="2.8562798800000001E-2"/>
    <s v="Bond"/>
    <s v="THB"/>
    <d v="2018-10-25T00:00:00"/>
    <x v="17"/>
    <s v="SCBSFFPLUS43397"/>
  </r>
  <r>
    <x v="0"/>
    <x v="1"/>
    <x v="0"/>
    <x v="5"/>
    <m/>
    <x v="120"/>
    <x v="31"/>
    <s v="A+"/>
    <x v="27"/>
    <n v="15069532.35"/>
    <n v="239560.2"/>
    <n v="15058608.6"/>
    <n v="0.15220800000000001"/>
    <n v="15000000"/>
    <n v="1.97"/>
    <n v="7.3163099999999998E-5"/>
    <s v="Bond"/>
    <s v="THB"/>
    <d v="2011-12-20T00:00:00"/>
    <x v="51"/>
    <s v="SCBSFFPLUS43397"/>
  </r>
  <r>
    <x v="0"/>
    <x v="1"/>
    <x v="0"/>
    <x v="5"/>
    <m/>
    <x v="121"/>
    <x v="32"/>
    <s v="A+"/>
    <x v="70"/>
    <n v="50074247.5"/>
    <n v="516013.5"/>
    <n v="50725098.5"/>
    <n v="1.5604579999999999"/>
    <n v="50000000"/>
    <n v="1.7949999999999999"/>
    <n v="2.4177399999999999E-4"/>
    <s v="Bond"/>
    <s v="THB"/>
    <d v="2016-12-08T00:00:00"/>
    <x v="52"/>
    <s v="SCBSFFPLUS43397"/>
  </r>
  <r>
    <x v="0"/>
    <x v="1"/>
    <x v="0"/>
    <x v="5"/>
    <m/>
    <x v="122"/>
    <x v="33"/>
    <s v="A"/>
    <x v="71"/>
    <n v="8121348.3200000003"/>
    <n v="126527.12"/>
    <n v="8146133.8399999999"/>
    <n v="1.018888"/>
    <n v="8000000"/>
    <n v="1.75"/>
    <n v="3.9417099999999999E-5"/>
    <s v="Bond"/>
    <s v="THB"/>
    <d v="2014-11-14T00:00:00"/>
    <x v="21"/>
    <s v="SCBSFFPLUS43397"/>
  </r>
  <r>
    <x v="0"/>
    <x v="1"/>
    <x v="0"/>
    <x v="5"/>
    <m/>
    <x v="54"/>
    <x v="14"/>
    <s v="A+"/>
    <x v="37"/>
    <n v="40012823.200000003"/>
    <n v="916822"/>
    <n v="40007125.600000001"/>
    <n v="1.6315E-2"/>
    <n v="40000000"/>
    <n v="2.4"/>
    <n v="1.956053E-4"/>
    <s v="Bond"/>
    <s v="THB"/>
    <d v="2013-10-31T00:00:00"/>
    <x v="21"/>
    <s v="SCBSFFPLUS43397"/>
  </r>
  <r>
    <x v="0"/>
    <x v="1"/>
    <x v="0"/>
    <x v="5"/>
    <m/>
    <x v="123"/>
    <x v="14"/>
    <s v="A+"/>
    <x v="48"/>
    <n v="1009610.61"/>
    <n v="3298.63"/>
    <n v="1007199.83"/>
    <n v="0.41497699999999998"/>
    <n v="1000000"/>
    <n v="2.6"/>
    <n v="4.8408000000000003E-6"/>
    <s v="Bond"/>
    <s v="THB"/>
    <d v="2014-03-27T00:00:00"/>
    <x v="21"/>
    <s v="SCBSFFPLUS43397"/>
  </r>
  <r>
    <x v="0"/>
    <x v="1"/>
    <x v="0"/>
    <x v="5"/>
    <m/>
    <x v="124"/>
    <x v="34"/>
    <s v="BBB+"/>
    <x v="72"/>
    <n v="70024811.5"/>
    <n v="661336.9"/>
    <n v="70000000"/>
    <n v="9.7717999999999999E-2"/>
    <n v="70000000"/>
    <n v="2.33"/>
    <n v="3.3781350000000002E-4"/>
    <s v="Bond"/>
    <s v="THB"/>
    <d v="2017-11-30T00:00:00"/>
    <x v="3"/>
    <s v="SCBSFFPLUS43397"/>
  </r>
  <r>
    <x v="0"/>
    <x v="1"/>
    <x v="0"/>
    <x v="5"/>
    <m/>
    <x v="125"/>
    <x v="34"/>
    <s v="BBB+"/>
    <x v="73"/>
    <n v="68464927.769999996"/>
    <n v="861725.13"/>
    <n v="69000000"/>
    <n v="1.9891380000000001"/>
    <n v="69000000"/>
    <n v="3.08"/>
    <n v="3.3131639999999998E-4"/>
    <s v="Bond"/>
    <s v="THB"/>
    <d v="2017-11-30T00:00:00"/>
    <x v="53"/>
    <s v="SCBSFFPLUS43397"/>
  </r>
  <r>
    <x v="0"/>
    <x v="1"/>
    <x v="0"/>
    <x v="5"/>
    <m/>
    <x v="126"/>
    <x v="35"/>
    <s v="BBB+"/>
    <x v="74"/>
    <n v="314355812.70999998"/>
    <n v="4452747.3899999997"/>
    <n v="313000000"/>
    <n v="1.0397540000000001"/>
    <n v="313000000"/>
    <n v="3.35"/>
    <n v="1.5236061000000001E-3"/>
    <s v="Bond"/>
    <s v="THB"/>
    <d v="2016-11-23T00:00:00"/>
    <x v="54"/>
    <s v="SCBSFFPLUS43397"/>
  </r>
  <r>
    <x v="0"/>
    <x v="1"/>
    <x v="0"/>
    <x v="5"/>
    <m/>
    <x v="127"/>
    <x v="36"/>
    <s v="AAA(tha)"/>
    <x v="75"/>
    <n v="9998037.4000000004"/>
    <n v="89534.2"/>
    <n v="10066762.699999999"/>
    <n v="1.060325"/>
    <n v="10000000"/>
    <n v="1.52"/>
    <n v="4.8209099999999999E-5"/>
    <s v="Bond"/>
    <s v="THB"/>
    <d v="2017-05-26T00:00:00"/>
    <x v="55"/>
    <s v="SCBSFFPLUS43397"/>
  </r>
  <r>
    <x v="0"/>
    <x v="1"/>
    <x v="0"/>
    <x v="5"/>
    <m/>
    <x v="128"/>
    <x v="15"/>
    <s v="A-"/>
    <x v="30"/>
    <n v="500029600"/>
    <n v="5369865"/>
    <n v="500000000"/>
    <n v="5.7488999999999998E-2"/>
    <n v="500000000"/>
    <n v="1.6"/>
    <n v="2.4153357E-3"/>
    <s v="Bond"/>
    <s v="THB"/>
    <d v="2018-02-22T00:00:00"/>
    <x v="45"/>
    <s v="SCBSFFPLUS43397"/>
  </r>
  <r>
    <x v="0"/>
    <x v="1"/>
    <x v="0"/>
    <x v="5"/>
    <m/>
    <x v="129"/>
    <x v="15"/>
    <s v="A-"/>
    <x v="63"/>
    <n v="500037255"/>
    <n v="5282190"/>
    <n v="500000000"/>
    <n v="7.1163000000000004E-2"/>
    <n v="500000000"/>
    <n v="1.6"/>
    <n v="2.4149533000000002E-3"/>
    <s v="Bond"/>
    <s v="THB"/>
    <d v="2018-02-26T00:00:00"/>
    <x v="56"/>
    <s v="SCBSFFPLUS43397"/>
  </r>
  <r>
    <x v="0"/>
    <x v="1"/>
    <x v="0"/>
    <x v="5"/>
    <m/>
    <x v="130"/>
    <x v="15"/>
    <s v="A-"/>
    <x v="31"/>
    <n v="500037330"/>
    <n v="5260275"/>
    <n v="500000000"/>
    <n v="7.6631000000000005E-2"/>
    <n v="500000000"/>
    <n v="1.6"/>
    <n v="2.4148489000000001E-3"/>
    <s v="Bond"/>
    <s v="THB"/>
    <d v="2018-02-27T00:00:00"/>
    <x v="57"/>
    <s v="SCBSFFPLUS43397"/>
  </r>
  <r>
    <x v="0"/>
    <x v="1"/>
    <x v="0"/>
    <x v="5"/>
    <m/>
    <x v="131"/>
    <x v="15"/>
    <s v="A-"/>
    <x v="76"/>
    <n v="500037645"/>
    <n v="5260275"/>
    <n v="500000000"/>
    <n v="7.9364000000000004E-2"/>
    <n v="500000000"/>
    <n v="1.6"/>
    <n v="2.4148504000000002E-3"/>
    <s v="Bond"/>
    <s v="THB"/>
    <d v="2018-02-27T00:00:00"/>
    <x v="50"/>
    <s v="SCBSFFPLUS43397"/>
  </r>
  <r>
    <x v="0"/>
    <x v="1"/>
    <x v="0"/>
    <x v="5"/>
    <m/>
    <x v="132"/>
    <x v="15"/>
    <s v="A-"/>
    <x v="72"/>
    <n v="130014918.8"/>
    <n v="1322081.8"/>
    <n v="130000000"/>
    <n v="9.8490999999999995E-2"/>
    <n v="130000000"/>
    <n v="1.6"/>
    <n v="6.2766769999999996E-4"/>
    <s v="Bond"/>
    <s v="THB"/>
    <d v="2018-03-07T00:00:00"/>
    <x v="57"/>
    <s v="SCBSFFPLUS43397"/>
  </r>
  <r>
    <x v="0"/>
    <x v="1"/>
    <x v="0"/>
    <x v="5"/>
    <m/>
    <x v="133"/>
    <x v="15"/>
    <s v="A-"/>
    <x v="14"/>
    <n v="199944838"/>
    <n v="1613150"/>
    <n v="200000000"/>
    <n v="0.23196600000000001"/>
    <n v="200000000"/>
    <n v="1.6"/>
    <n v="9.632582E-4"/>
    <s v="Bond"/>
    <s v="THB"/>
    <d v="2018-04-24T00:00:00"/>
    <x v="50"/>
    <s v="SCBSFFPLUS43397"/>
  </r>
  <r>
    <x v="0"/>
    <x v="1"/>
    <x v="0"/>
    <x v="5"/>
    <m/>
    <x v="134"/>
    <x v="15"/>
    <s v="A-"/>
    <x v="14"/>
    <n v="849765706"/>
    <n v="6818632"/>
    <n v="850000000"/>
    <n v="0.23196600000000001"/>
    <n v="850000000"/>
    <n v="1.6"/>
    <n v="4.0936701999999998E-3"/>
    <s v="Bond"/>
    <s v="THB"/>
    <d v="2018-04-25T00:00:00"/>
    <x v="57"/>
    <s v="SCBSFFPLUS43397"/>
  </r>
  <r>
    <x v="0"/>
    <x v="1"/>
    <x v="0"/>
    <x v="5"/>
    <m/>
    <x v="135"/>
    <x v="15"/>
    <s v="A-"/>
    <x v="77"/>
    <n v="917515806.5"/>
    <n v="1525621"/>
    <n v="925000000"/>
    <n v="1.37131"/>
    <n v="925000000"/>
    <n v="1.72"/>
    <n v="4.3921565000000001E-3"/>
    <s v="Bond"/>
    <s v="THB"/>
    <d v="2018-03-20T00:00:00"/>
    <x v="58"/>
    <s v="SCBSFFPLUS43397"/>
  </r>
  <r>
    <x v="0"/>
    <x v="1"/>
    <x v="0"/>
    <x v="5"/>
    <m/>
    <x v="136"/>
    <x v="37"/>
    <s v="A-"/>
    <x v="78"/>
    <n v="1153589196.9100001"/>
    <n v="1349516.42"/>
    <n v="1159000000"/>
    <n v="0.913045"/>
    <n v="1159000000"/>
    <n v="1.7"/>
    <n v="5.5195243999999997E-3"/>
    <s v="Bond"/>
    <s v="THB"/>
    <d v="2018-03-30T00:00:00"/>
    <x v="59"/>
    <s v="SCBSFFPLUS43397"/>
  </r>
  <r>
    <x v="0"/>
    <x v="1"/>
    <x v="0"/>
    <x v="5"/>
    <m/>
    <x v="137"/>
    <x v="37"/>
    <s v="A-"/>
    <x v="79"/>
    <n v="158711192"/>
    <n v="191780.8"/>
    <n v="160000000"/>
    <n v="1.3980630000000001"/>
    <n v="160000000"/>
    <n v="1.75"/>
    <n v="7.5940730000000002E-4"/>
    <s v="Bond"/>
    <s v="THB"/>
    <d v="2018-03-30T00:00:00"/>
    <x v="58"/>
    <s v="SCBSFFPLUS43397"/>
  </r>
  <r>
    <x v="0"/>
    <x v="1"/>
    <x v="0"/>
    <x v="5"/>
    <m/>
    <x v="138"/>
    <x v="38"/>
    <s v="A"/>
    <x v="67"/>
    <n v="13507784.640000001"/>
    <n v="72360"/>
    <n v="13502823.93"/>
    <n v="5.1869999999999999E-2"/>
    <n v="13500000"/>
    <n v="2.1649630000000002"/>
    <n v="6.4900400000000006E-5"/>
    <s v="Bond"/>
    <s v="THB"/>
    <d v="2015-05-13T00:00:00"/>
    <x v="60"/>
    <s v="SCBSFFPLUS43397"/>
  </r>
  <r>
    <x v="0"/>
    <x v="1"/>
    <x v="0"/>
    <x v="5"/>
    <m/>
    <x v="139"/>
    <x v="39"/>
    <s v="A-"/>
    <x v="80"/>
    <n v="357825696.36000001"/>
    <n v="1074080.7"/>
    <n v="363000000"/>
    <n v="2.2738260000000001"/>
    <n v="363000000"/>
    <n v="2.16"/>
    <n v="1.7152045000000001E-3"/>
    <s v="Bond"/>
    <s v="THB"/>
    <d v="2018-03-05T00:00:00"/>
    <x v="53"/>
    <s v="SCBSFFPLUS43397"/>
  </r>
  <r>
    <x v="0"/>
    <x v="1"/>
    <x v="0"/>
    <x v="5"/>
    <m/>
    <x v="140"/>
    <x v="0"/>
    <s v="AA+(tha)"/>
    <x v="22"/>
    <n v="615824403.03999996"/>
    <n v="1863190.56"/>
    <n v="616000000"/>
    <n v="0.31611499999999998"/>
    <n v="616000000"/>
    <n v="1.6"/>
    <n v="2.9519677E-3"/>
    <s v="Bond"/>
    <s v="THB"/>
    <d v="2018-08-17T00:00:00"/>
    <x v="61"/>
    <s v="SCBSFFPLUS43397"/>
  </r>
  <r>
    <x v="0"/>
    <x v="1"/>
    <x v="0"/>
    <x v="5"/>
    <m/>
    <x v="141"/>
    <x v="11"/>
    <s v="A"/>
    <x v="81"/>
    <n v="111591790.61"/>
    <n v="258816.33"/>
    <n v="113000000"/>
    <n v="2.3043559999999998"/>
    <n v="113000000"/>
    <n v="2.09"/>
    <n v="5.3454109999999996E-4"/>
    <s v="Bond"/>
    <s v="THB"/>
    <d v="2018-03-15T00:00:00"/>
    <x v="53"/>
    <s v="SCBSFFPLUS43397"/>
  </r>
  <r>
    <x v="0"/>
    <x v="1"/>
    <x v="0"/>
    <x v="5"/>
    <m/>
    <x v="142"/>
    <x v="40"/>
    <s v="AA"/>
    <x v="82"/>
    <n v="446448681"/>
    <n v="728262"/>
    <n v="450000000"/>
    <n v="1.375853"/>
    <n v="450000000"/>
    <n v="1.79"/>
    <n v="2.1370866000000001E-3"/>
    <s v="Bond"/>
    <s v="THB"/>
    <d v="2018-03-22T00:00:00"/>
    <x v="58"/>
    <s v="SCBSFFPLUS43397"/>
  </r>
  <r>
    <x v="0"/>
    <x v="1"/>
    <x v="0"/>
    <x v="5"/>
    <m/>
    <x v="143"/>
    <x v="40"/>
    <s v="AA"/>
    <x v="83"/>
    <n v="1478484595.28"/>
    <n v="2844147.74"/>
    <n v="1498131868.9400001"/>
    <n v="2.3226810000000002"/>
    <n v="1498000000"/>
    <n v="2.0995659999999998"/>
    <n v="7.0793627999999999E-3"/>
    <s v="Bond"/>
    <s v="THB"/>
    <d v="2018-03-22T00:00:00"/>
    <x v="53"/>
    <s v="SCBSFFPLUS43397"/>
  </r>
  <r>
    <x v="0"/>
    <x v="1"/>
    <x v="0"/>
    <x v="5"/>
    <m/>
    <x v="144"/>
    <x v="41"/>
    <s v="A-"/>
    <x v="59"/>
    <n v="165093258.94"/>
    <n v="436642.68"/>
    <n v="165768765.63999999"/>
    <n v="0.91543300000000005"/>
    <n v="161900000"/>
    <n v="1.7"/>
    <n v="7.910778E-4"/>
    <s v="Bond"/>
    <s v="THB"/>
    <d v="2014-10-02T00:00:00"/>
    <x v="21"/>
    <s v="SCBSFFPLUS43397"/>
  </r>
  <r>
    <x v="0"/>
    <x v="1"/>
    <x v="0"/>
    <x v="5"/>
    <m/>
    <x v="145"/>
    <x v="7"/>
    <s v="A"/>
    <x v="32"/>
    <n v="300091527"/>
    <n v="2265615"/>
    <n v="300000000"/>
    <n v="9.5202999999999996E-2"/>
    <n v="300000000"/>
    <n v="1.85"/>
    <n v="1.4449837E-3"/>
    <s v="Bond"/>
    <s v="THB"/>
    <d v="2017-05-29T00:00:00"/>
    <x v="59"/>
    <s v="SCBSFFPLUS43397"/>
  </r>
  <r>
    <x v="0"/>
    <x v="1"/>
    <x v="0"/>
    <x v="5"/>
    <m/>
    <x v="146"/>
    <x v="7"/>
    <s v="A"/>
    <x v="10"/>
    <n v="622995193.75"/>
    <n v="2215068.75"/>
    <n v="625000000"/>
    <n v="0.78085800000000005"/>
    <n v="625000000"/>
    <n v="1.68"/>
    <n v="2.9879189999999999E-3"/>
    <s v="Bond"/>
    <s v="THB"/>
    <d v="2018-02-09T00:00:00"/>
    <x v="62"/>
    <s v="SCBSFFPLUS43397"/>
  </r>
  <r>
    <x v="0"/>
    <x v="1"/>
    <x v="0"/>
    <x v="5"/>
    <m/>
    <x v="147"/>
    <x v="7"/>
    <s v="A"/>
    <x v="84"/>
    <n v="18894364.75"/>
    <n v="143020.6"/>
    <n v="19000000"/>
    <n v="1.5318659999999999"/>
    <n v="19000000"/>
    <n v="1.75"/>
    <n v="9.0980899999999995E-5"/>
    <s v="Bond"/>
    <s v="THB"/>
    <d v="2018-05-21T00:00:00"/>
    <x v="58"/>
    <s v="SCBSFFPLUS43397"/>
  </r>
  <r>
    <x v="0"/>
    <x v="1"/>
    <x v="0"/>
    <x v="5"/>
    <m/>
    <x v="148"/>
    <x v="42"/>
    <s v="BBB+"/>
    <x v="85"/>
    <n v="5448217414"/>
    <n v="102943796.5"/>
    <n v="5450000000"/>
    <n v="0.32573999999999997"/>
    <n v="5450000000"/>
    <n v="2.78"/>
    <n v="2.6529347000000002E-2"/>
    <s v="Bond"/>
    <s v="THB"/>
    <d v="2018-02-19T00:00:00"/>
    <x v="63"/>
    <s v="SCBSFFPLUS43397"/>
  </r>
  <r>
    <x v="0"/>
    <x v="1"/>
    <x v="0"/>
    <x v="5"/>
    <m/>
    <x v="149"/>
    <x v="43"/>
    <s v="BBB+"/>
    <x v="65"/>
    <n v="497958646.07999998"/>
    <n v="4707120.9000000004"/>
    <n v="498000000"/>
    <n v="0.26142500000000002"/>
    <n v="498000000"/>
    <n v="2.2999999999999998"/>
    <n v="2.4022712000000002E-3"/>
    <s v="Bond"/>
    <s v="THB"/>
    <d v="2018-05-28T00:00:00"/>
    <x v="64"/>
    <s v="SCBSFFPLUS43397"/>
  </r>
  <r>
    <x v="0"/>
    <x v="1"/>
    <x v="0"/>
    <x v="5"/>
    <m/>
    <x v="150"/>
    <x v="43"/>
    <s v="BBB+"/>
    <x v="86"/>
    <n v="1366701850.0799999"/>
    <n v="11648612.199999999"/>
    <n v="1368000000"/>
    <n v="2.6247090000000002"/>
    <n v="1368000000"/>
    <n v="3.7"/>
    <n v="6.5872231999999998E-3"/>
    <s v="Bond"/>
    <s v="THB"/>
    <d v="2018-08-02T00:00:00"/>
    <x v="53"/>
    <s v="SCBSFFPLUS43397"/>
  </r>
  <r>
    <x v="0"/>
    <x v="1"/>
    <x v="0"/>
    <x v="5"/>
    <m/>
    <x v="151"/>
    <x v="44"/>
    <s v="A-"/>
    <x v="87"/>
    <n v="69261635.099999994"/>
    <n v="412520.47"/>
    <n v="70000000"/>
    <n v="2.422148"/>
    <n v="70000000"/>
    <n v="2.39"/>
    <n v="3.3297719999999999E-4"/>
    <s v="Bond"/>
    <s v="THB"/>
    <d v="2018-04-27T00:00:00"/>
    <x v="53"/>
    <s v="SCBSFFPLUS43397"/>
  </r>
  <r>
    <x v="0"/>
    <x v="1"/>
    <x v="0"/>
    <x v="5"/>
    <m/>
    <x v="152"/>
    <x v="45"/>
    <s v="A"/>
    <x v="88"/>
    <n v="260097159.5"/>
    <n v="405562.9"/>
    <n v="262000000"/>
    <n v="2.3531439999999999"/>
    <n v="262000000"/>
    <n v="2.2599999999999998"/>
    <n v="1.2449588000000001E-3"/>
    <s v="Bond"/>
    <s v="THB"/>
    <d v="2018-03-30T00:00:00"/>
    <x v="53"/>
    <s v="SCBSFFPLUS43397"/>
  </r>
  <r>
    <x v="0"/>
    <x v="1"/>
    <x v="0"/>
    <x v="5"/>
    <m/>
    <x v="153"/>
    <x v="46"/>
    <s v="A-"/>
    <x v="89"/>
    <n v="393130397.39999998"/>
    <n v="2419497.6"/>
    <n v="390000000"/>
    <n v="1.7444759999999999"/>
    <n v="390000000"/>
    <n v="3.33"/>
    <n v="1.8903577000000001E-3"/>
    <s v="Bond"/>
    <s v="THB"/>
    <d v="2017-08-18T00:00:00"/>
    <x v="53"/>
    <s v="SCBSFFPLUS43397"/>
  </r>
  <r>
    <x v="0"/>
    <x v="1"/>
    <x v="0"/>
    <x v="14"/>
    <m/>
    <x v="154"/>
    <x v="47"/>
    <s v="A"/>
    <x v="90"/>
    <n v="3288200000"/>
    <n v="62088523.109999999"/>
    <n v="3288200000"/>
    <n v="0.36820700000000001"/>
    <n v="100000000"/>
    <n v="2.93"/>
    <n v="1.6011238600000002E-2"/>
    <s v="Bond"/>
    <s v="USDbb"/>
    <d v="2018-03-07T00:00:00"/>
    <x v="3"/>
    <s v="SCBSFFPLUS43397"/>
  </r>
  <r>
    <x v="0"/>
    <x v="1"/>
    <x v="0"/>
    <x v="14"/>
    <m/>
    <x v="155"/>
    <x v="47"/>
    <s v="A"/>
    <x v="91"/>
    <n v="2630560000"/>
    <n v="40744451.560000002"/>
    <n v="2630560000"/>
    <n v="0.53489200000000003"/>
    <n v="80000000"/>
    <n v="3.28"/>
    <n v="1.27663312E-2"/>
    <s v="Bond"/>
    <s v="USDbb"/>
    <d v="2018-05-08T00:00:00"/>
    <x v="3"/>
    <s v="SCBSFFPLUS43397"/>
  </r>
  <r>
    <x v="0"/>
    <x v="1"/>
    <x v="0"/>
    <x v="14"/>
    <m/>
    <x v="156"/>
    <x v="47"/>
    <s v="A"/>
    <x v="92"/>
    <n v="3288200000"/>
    <n v="57437546.890000001"/>
    <n v="3288200000"/>
    <n v="0.45718700000000001"/>
    <n v="100000000"/>
    <n v="3.16"/>
    <n v="1.5989011300000001E-2"/>
    <s v="Bond"/>
    <s v="USDbb"/>
    <d v="2018-04-09T00:00:00"/>
    <x v="3"/>
    <s v="SCBSFFPLUS43397"/>
  </r>
  <r>
    <x v="0"/>
    <x v="1"/>
    <x v="0"/>
    <x v="14"/>
    <m/>
    <x v="157"/>
    <x v="47"/>
    <s v="A"/>
    <x v="93"/>
    <n v="2630560000"/>
    <n v="40510624"/>
    <n v="2630560000"/>
    <n v="0.54823200000000005"/>
    <n v="80000000"/>
    <n v="3.3"/>
    <n v="1.27652137E-2"/>
    <s v="Bond"/>
    <s v="USDbb"/>
    <d v="2018-05-10T00:00:00"/>
    <x v="63"/>
    <s v="SCBSFFPLUS43397"/>
  </r>
  <r>
    <x v="0"/>
    <x v="1"/>
    <x v="0"/>
    <x v="14"/>
    <m/>
    <x v="158"/>
    <x v="47"/>
    <s v="A"/>
    <x v="94"/>
    <n v="3003048000"/>
    <n v="892572.6"/>
    <n v="3003048000"/>
    <n v="0.40825"/>
    <n v="80000000"/>
    <n v="0.05"/>
    <n v="1.43560201E-2"/>
    <s v="Bond"/>
    <s v="EURbb"/>
    <d v="2018-03-21T00:00:00"/>
    <x v="3"/>
    <s v="SCBSFFPLUS43397"/>
  </r>
  <r>
    <x v="0"/>
    <x v="1"/>
    <x v="1"/>
    <x v="6"/>
    <m/>
    <x v="159"/>
    <x v="0"/>
    <s v="AA+(tha)"/>
    <x v="21"/>
    <n v="-68856131.340000004"/>
    <m/>
    <n v="0"/>
    <n v="0"/>
    <n v="0"/>
    <n v="0"/>
    <n v="-3.290678E-4"/>
    <s v="Future"/>
    <s v="THB"/>
    <d v="1900-01-01T00:00:00"/>
    <x v="65"/>
    <s v="SCBSFFPLUS43397"/>
  </r>
  <r>
    <x v="0"/>
    <x v="1"/>
    <x v="1"/>
    <x v="6"/>
    <m/>
    <x v="160"/>
    <x v="0"/>
    <s v="AA+(tha)"/>
    <x v="41"/>
    <n v="98840671.230000004"/>
    <m/>
    <n v="0"/>
    <n v="0"/>
    <n v="0"/>
    <n v="0"/>
    <n v="4.7236579999999998E-4"/>
    <s v="Future"/>
    <s v="THB"/>
    <d v="1900-01-01T00:00:00"/>
    <x v="66"/>
    <s v="SCBSFFPLUS43397"/>
  </r>
  <r>
    <x v="0"/>
    <x v="1"/>
    <x v="1"/>
    <x v="6"/>
    <m/>
    <x v="161"/>
    <x v="0"/>
    <s v="AA+(tha)"/>
    <x v="17"/>
    <n v="56656222.659999996"/>
    <m/>
    <n v="0"/>
    <n v="0"/>
    <n v="0"/>
    <n v="0"/>
    <n v="2.7076360000000002E-4"/>
    <s v="Future"/>
    <s v="THB"/>
    <d v="1900-01-01T00:00:00"/>
    <x v="24"/>
    <s v="SCBSFFPLUS43397"/>
  </r>
  <r>
    <x v="0"/>
    <x v="1"/>
    <x v="1"/>
    <x v="6"/>
    <m/>
    <x v="162"/>
    <x v="15"/>
    <s v="A-"/>
    <x v="12"/>
    <n v="16461181.810000001"/>
    <m/>
    <n v="0"/>
    <n v="0"/>
    <n v="0"/>
    <n v="0"/>
    <n v="7.8669000000000002E-5"/>
    <s v="Future"/>
    <s v="THB"/>
    <d v="1900-01-01T00:00:00"/>
    <x v="67"/>
    <s v="SCBSFFPLUS43397"/>
  </r>
  <r>
    <x v="0"/>
    <x v="1"/>
    <x v="1"/>
    <x v="6"/>
    <m/>
    <x v="163"/>
    <x v="15"/>
    <s v="A-"/>
    <x v="16"/>
    <n v="-1558833.26"/>
    <m/>
    <n v="0"/>
    <n v="0"/>
    <n v="0"/>
    <n v="0"/>
    <n v="-7.4498000000000002E-6"/>
    <s v="Future"/>
    <s v="THB"/>
    <d v="1900-01-01T00:00:00"/>
    <x v="25"/>
    <s v="SCBSFFPLUS43397"/>
  </r>
  <r>
    <x v="0"/>
    <x v="1"/>
    <x v="1"/>
    <x v="6"/>
    <m/>
    <x v="164"/>
    <x v="0"/>
    <s v="AA+(tha)"/>
    <x v="50"/>
    <n v="175394148.41999999"/>
    <m/>
    <n v="0"/>
    <n v="0"/>
    <n v="0"/>
    <n v="0"/>
    <n v="8.3821959999999995E-4"/>
    <s v="Future"/>
    <s v="THB"/>
    <d v="1900-01-01T00:00:00"/>
    <x v="68"/>
    <s v="SCBSFFPLUS43397"/>
  </r>
  <r>
    <x v="0"/>
    <x v="1"/>
    <x v="1"/>
    <x v="6"/>
    <m/>
    <x v="165"/>
    <x v="0"/>
    <s v="AA+(tha)"/>
    <x v="38"/>
    <n v="167065900.28"/>
    <m/>
    <n v="0"/>
    <n v="0"/>
    <n v="0"/>
    <n v="0"/>
    <n v="7.9841839999999999E-4"/>
    <s v="Future"/>
    <s v="THB"/>
    <d v="1900-01-01T00:00:00"/>
    <x v="69"/>
    <s v="SCBSFFPLUS43397"/>
  </r>
  <r>
    <x v="0"/>
    <x v="1"/>
    <x v="1"/>
    <x v="6"/>
    <m/>
    <x v="166"/>
    <x v="0"/>
    <s v="AA+(tha)"/>
    <x v="43"/>
    <n v="158451655.34"/>
    <m/>
    <n v="0"/>
    <n v="0"/>
    <n v="0"/>
    <n v="0"/>
    <n v="7.5725040000000003E-4"/>
    <s v="Future"/>
    <s v="THB"/>
    <d v="1900-01-01T00:00:00"/>
    <x v="70"/>
    <s v="SCBSFFPLUS43397"/>
  </r>
  <r>
    <x v="0"/>
    <x v="1"/>
    <x v="1"/>
    <x v="6"/>
    <m/>
    <x v="167"/>
    <x v="0"/>
    <s v="AA+(tha)"/>
    <x v="40"/>
    <n v="131010657.53"/>
    <m/>
    <n v="0"/>
    <n v="0"/>
    <n v="0"/>
    <n v="0"/>
    <n v="6.2610810000000004E-4"/>
    <s v="Future"/>
    <s v="THB"/>
    <d v="1900-01-01T00:00:00"/>
    <x v="71"/>
    <s v="SCBSFFPLUS43397"/>
  </r>
  <r>
    <x v="0"/>
    <x v="1"/>
    <x v="1"/>
    <x v="6"/>
    <m/>
    <x v="168"/>
    <x v="0"/>
    <s v="AA+(tha)"/>
    <x v="94"/>
    <n v="69563071"/>
    <m/>
    <n v="0"/>
    <n v="0"/>
    <n v="0"/>
    <n v="0"/>
    <n v="3.3244630000000002E-4"/>
    <s v="Future"/>
    <s v="THB"/>
    <d v="1900-01-01T00:00:00"/>
    <x v="72"/>
    <s v="SCBSFFPLUS43397"/>
  </r>
  <r>
    <x v="0"/>
    <x v="1"/>
    <x v="1"/>
    <x v="6"/>
    <m/>
    <x v="169"/>
    <x v="15"/>
    <s v="A-"/>
    <x v="44"/>
    <n v="25076851"/>
    <m/>
    <n v="0"/>
    <n v="0"/>
    <n v="0"/>
    <n v="0"/>
    <n v="1.198438E-4"/>
    <s v="Future"/>
    <s v="THB"/>
    <d v="1900-01-01T00:00:00"/>
    <x v="73"/>
    <s v="SCBSFFPLUS43397"/>
  </r>
  <r>
    <x v="0"/>
    <x v="1"/>
    <x v="1"/>
    <x v="6"/>
    <m/>
    <x v="170"/>
    <x v="0"/>
    <s v="AA+(tha)"/>
    <x v="48"/>
    <n v="78176976.840000004"/>
    <m/>
    <n v="0"/>
    <n v="0"/>
    <n v="0"/>
    <n v="0"/>
    <n v="3.7361270000000002E-4"/>
    <s v="Future"/>
    <s v="THB"/>
    <d v="1900-01-01T00:00:00"/>
    <x v="74"/>
    <s v="SCBSFFPLUS43397"/>
  </r>
  <r>
    <x v="0"/>
    <x v="1"/>
    <x v="1"/>
    <x v="6"/>
    <m/>
    <x v="171"/>
    <x v="0"/>
    <s v="AA+(tha)"/>
    <x v="49"/>
    <n v="92988642.310000002"/>
    <m/>
    <n v="0"/>
    <n v="0"/>
    <n v="0"/>
    <n v="0"/>
    <n v="4.4439849999999999E-4"/>
    <s v="Future"/>
    <s v="THB"/>
    <d v="1900-01-01T00:00:00"/>
    <x v="75"/>
    <s v="SCBSFFPLUS43397"/>
  </r>
  <r>
    <x v="0"/>
    <x v="1"/>
    <x v="1"/>
    <x v="6"/>
    <m/>
    <x v="172"/>
    <x v="15"/>
    <s v="A-"/>
    <x v="52"/>
    <n v="55085530.469999999"/>
    <m/>
    <n v="0"/>
    <n v="0"/>
    <n v="0"/>
    <n v="0"/>
    <n v="2.6325719999999999E-4"/>
    <s v="Future"/>
    <s v="THB"/>
    <d v="1900-01-01T00:00:00"/>
    <x v="76"/>
    <s v="SCBSFFPLUS43397"/>
  </r>
  <r>
    <x v="0"/>
    <x v="1"/>
    <x v="1"/>
    <x v="6"/>
    <m/>
    <x v="173"/>
    <x v="0"/>
    <s v="AA+(tha)"/>
    <x v="45"/>
    <n v="30159555.25"/>
    <m/>
    <n v="0"/>
    <n v="0"/>
    <n v="0"/>
    <n v="0"/>
    <n v="1.441344E-4"/>
    <s v="Future"/>
    <s v="THB"/>
    <d v="1900-01-01T00:00:00"/>
    <x v="77"/>
    <s v="SCBSFFPLUS43397"/>
  </r>
  <r>
    <x v="0"/>
    <x v="1"/>
    <x v="1"/>
    <x v="6"/>
    <m/>
    <x v="174"/>
    <x v="0"/>
    <s v="AA+(tha)"/>
    <x v="51"/>
    <n v="-8886756.5199999996"/>
    <m/>
    <n v="0"/>
    <n v="0"/>
    <n v="0"/>
    <n v="0"/>
    <n v="-4.2470399999999999E-5"/>
    <s v="Future"/>
    <s v="THB"/>
    <d v="1900-01-01T00:00:00"/>
    <x v="78"/>
    <s v="SCBSFFPLUS43397"/>
  </r>
  <r>
    <x v="0"/>
    <x v="1"/>
    <x v="1"/>
    <x v="6"/>
    <m/>
    <x v="175"/>
    <x v="0"/>
    <s v="AA+(tha)"/>
    <x v="60"/>
    <n v="-4619423.32"/>
    <m/>
    <n v="0"/>
    <n v="0"/>
    <n v="0"/>
    <n v="0"/>
    <n v="-2.2076500000000001E-5"/>
    <s v="Future"/>
    <s v="THB"/>
    <d v="1900-01-01T00:00:00"/>
    <x v="79"/>
    <s v="SCBSFFPLUS43397"/>
  </r>
  <r>
    <x v="0"/>
    <x v="1"/>
    <x v="1"/>
    <x v="6"/>
    <m/>
    <x v="176"/>
    <x v="48"/>
    <s v="AA-(tha)"/>
    <x v="21"/>
    <n v="-36616870.350000001"/>
    <m/>
    <n v="0"/>
    <n v="0"/>
    <n v="0"/>
    <n v="0"/>
    <n v="-1.7499430000000001E-4"/>
    <s v="Future"/>
    <s v="THB"/>
    <d v="1900-01-01T00:00:00"/>
    <x v="65"/>
    <s v="SCBSFFPLUS43397"/>
  </r>
  <r>
    <x v="0"/>
    <x v="1"/>
    <x v="1"/>
    <x v="6"/>
    <m/>
    <x v="177"/>
    <x v="15"/>
    <s v="A-"/>
    <x v="5"/>
    <n v="3048825.5"/>
    <m/>
    <n v="0"/>
    <n v="0"/>
    <n v="0"/>
    <n v="0"/>
    <n v="1.4570500000000001E-5"/>
    <s v="Future"/>
    <s v="THB"/>
    <d v="1900-01-01T00:00:00"/>
    <x v="29"/>
    <s v="SCBSFFPLUS43397"/>
  </r>
  <r>
    <x v="0"/>
    <x v="1"/>
    <x v="1"/>
    <x v="6"/>
    <m/>
    <x v="178"/>
    <x v="0"/>
    <s v="AA+(tha)"/>
    <x v="62"/>
    <n v="-57305680.850000001"/>
    <m/>
    <n v="0"/>
    <n v="0"/>
    <n v="0"/>
    <n v="0"/>
    <n v="-2.7386739999999999E-4"/>
    <s v="Future"/>
    <s v="THB"/>
    <d v="1900-01-01T00:00:00"/>
    <x v="80"/>
    <s v="SCBSFFPLUS43397"/>
  </r>
  <r>
    <x v="0"/>
    <x v="1"/>
    <x v="1"/>
    <x v="6"/>
    <m/>
    <x v="179"/>
    <x v="0"/>
    <s v="AA+(tha)"/>
    <x v="63"/>
    <n v="-13619385.060000001"/>
    <m/>
    <n v="0"/>
    <n v="0"/>
    <n v="0"/>
    <n v="0"/>
    <n v="-6.5087900000000004E-5"/>
    <s v="Future"/>
    <s v="THB"/>
    <d v="1900-01-01T00:00:00"/>
    <x v="81"/>
    <s v="SCBSFFPLUS43397"/>
  </r>
  <r>
    <x v="0"/>
    <x v="1"/>
    <x v="1"/>
    <x v="6"/>
    <m/>
    <x v="180"/>
    <x v="0"/>
    <s v="AA+(tha)"/>
    <x v="61"/>
    <n v="-50039854.439999998"/>
    <m/>
    <n v="0"/>
    <n v="0"/>
    <n v="0"/>
    <n v="0"/>
    <n v="-2.391436E-4"/>
    <s v="Future"/>
    <s v="THB"/>
    <d v="1900-01-01T00:00:00"/>
    <x v="82"/>
    <s v="SCBSFFPLUS43397"/>
  </r>
  <r>
    <x v="0"/>
    <x v="1"/>
    <x v="1"/>
    <x v="6"/>
    <m/>
    <x v="181"/>
    <x v="0"/>
    <s v="AA+(tha)"/>
    <x v="33"/>
    <n v="-66559790"/>
    <m/>
    <n v="0"/>
    <n v="0"/>
    <n v="0"/>
    <n v="0"/>
    <n v="-3.1809340000000001E-4"/>
    <s v="Future"/>
    <s v="THB"/>
    <d v="1900-01-01T00:00:00"/>
    <x v="83"/>
    <s v="SCBSFFPLUS43397"/>
  </r>
  <r>
    <x v="0"/>
    <x v="1"/>
    <x v="1"/>
    <x v="6"/>
    <m/>
    <x v="182"/>
    <x v="0"/>
    <s v="AA+(tha)"/>
    <x v="53"/>
    <n v="-80437936.549999997"/>
    <m/>
    <n v="0"/>
    <n v="0"/>
    <n v="0"/>
    <n v="0"/>
    <n v="-3.844179E-4"/>
    <s v="Future"/>
    <s v="THB"/>
    <d v="1900-01-01T00:00:00"/>
    <x v="84"/>
    <s v="SCBSFFPLUS43397"/>
  </r>
  <r>
    <x v="0"/>
    <x v="1"/>
    <x v="1"/>
    <x v="6"/>
    <m/>
    <x v="183"/>
    <x v="0"/>
    <s v="AA+(tha)"/>
    <x v="54"/>
    <n v="-91438095.909999996"/>
    <m/>
    <n v="0"/>
    <n v="0"/>
    <n v="0"/>
    <n v="0"/>
    <n v="-4.369884E-4"/>
    <s v="Future"/>
    <s v="THB"/>
    <d v="1900-01-01T00:00:00"/>
    <x v="85"/>
    <s v="SCBSFFPLUS43397"/>
  </r>
  <r>
    <x v="0"/>
    <x v="1"/>
    <x v="1"/>
    <x v="6"/>
    <m/>
    <x v="184"/>
    <x v="15"/>
    <s v="A-"/>
    <x v="12"/>
    <n v="-27751795.079999998"/>
    <m/>
    <n v="0"/>
    <n v="0"/>
    <n v="0"/>
    <n v="0"/>
    <n v="-1.326276E-4"/>
    <s v="Future"/>
    <s v="THB"/>
    <d v="1900-01-01T00:00:00"/>
    <x v="67"/>
    <s v="SCBSFFPLUS43397"/>
  </r>
  <r>
    <x v="0"/>
    <x v="1"/>
    <x v="1"/>
    <x v="6"/>
    <m/>
    <x v="185"/>
    <x v="15"/>
    <s v="A-"/>
    <x v="42"/>
    <n v="-73762676.530000001"/>
    <m/>
    <n v="0"/>
    <n v="0"/>
    <n v="0"/>
    <n v="0"/>
    <n v="-3.5251640000000001E-4"/>
    <s v="Future"/>
    <s v="THB"/>
    <d v="1900-01-01T00:00:00"/>
    <x v="86"/>
    <s v="SCBSFFPLUS43397"/>
  </r>
  <r>
    <x v="0"/>
    <x v="1"/>
    <x v="1"/>
    <x v="6"/>
    <m/>
    <x v="186"/>
    <x v="15"/>
    <s v="A-"/>
    <x v="90"/>
    <n v="-169630819.81999999"/>
    <m/>
    <n v="0"/>
    <n v="0"/>
    <n v="0"/>
    <n v="0"/>
    <n v="-8.1067629999999997E-4"/>
    <s v="Future"/>
    <s v="THB"/>
    <d v="1900-01-01T00:00:00"/>
    <x v="87"/>
    <s v="SCBSFFPLUS43397"/>
  </r>
  <r>
    <x v="0"/>
    <x v="1"/>
    <x v="1"/>
    <x v="6"/>
    <m/>
    <x v="187"/>
    <x v="0"/>
    <s v="AA+(tha)"/>
    <x v="92"/>
    <n v="-196264675.49000001"/>
    <m/>
    <n v="0"/>
    <n v="0"/>
    <n v="0"/>
    <n v="0"/>
    <n v="-9.3796120000000003E-4"/>
    <s v="Future"/>
    <s v="THB"/>
    <d v="1900-01-01T00:00:00"/>
    <x v="88"/>
    <s v="SCBSFFPLUS43397"/>
  </r>
  <r>
    <x v="0"/>
    <x v="1"/>
    <x v="1"/>
    <x v="6"/>
    <m/>
    <x v="188"/>
    <x v="15"/>
    <s v="A-"/>
    <x v="47"/>
    <n v="-101519440.59999999"/>
    <m/>
    <n v="0"/>
    <n v="0"/>
    <n v="0"/>
    <n v="0"/>
    <n v="-4.851678E-4"/>
    <s v="Future"/>
    <s v="THB"/>
    <d v="1900-01-01T00:00:00"/>
    <x v="89"/>
    <s v="SCBSFFPLUS43397"/>
  </r>
  <r>
    <x v="0"/>
    <x v="1"/>
    <x v="1"/>
    <x v="6"/>
    <m/>
    <x v="189"/>
    <x v="0"/>
    <s v="AA+(tha)"/>
    <x v="91"/>
    <n v="-115227300.13"/>
    <m/>
    <n v="0"/>
    <n v="0"/>
    <n v="0"/>
    <n v="0"/>
    <n v="-5.5067850000000004E-4"/>
    <s v="Future"/>
    <s v="THB"/>
    <d v="1900-01-01T00:00:00"/>
    <x v="90"/>
    <s v="SCBSFFPLUS43397"/>
  </r>
  <r>
    <x v="0"/>
    <x v="1"/>
    <x v="1"/>
    <x v="6"/>
    <m/>
    <x v="190"/>
    <x v="0"/>
    <s v="AA+(tha)"/>
    <x v="93"/>
    <n v="-100451913.05"/>
    <m/>
    <n v="0"/>
    <n v="0"/>
    <n v="0"/>
    <n v="0"/>
    <n v="-4.8006600000000002E-4"/>
    <s v="Future"/>
    <s v="THB"/>
    <d v="1900-01-01T00:00:00"/>
    <x v="91"/>
    <s v="SCBSFFPLUS43397"/>
  </r>
  <r>
    <x v="0"/>
    <x v="1"/>
    <x v="1"/>
    <x v="6"/>
    <m/>
    <x v="191"/>
    <x v="15"/>
    <s v="A-"/>
    <x v="46"/>
    <n v="-4365278.9800000004"/>
    <m/>
    <n v="0"/>
    <n v="0"/>
    <n v="0"/>
    <n v="0"/>
    <n v="-2.0861900000000001E-5"/>
    <s v="Future"/>
    <s v="THB"/>
    <d v="1900-01-01T00:00:00"/>
    <x v="92"/>
    <s v="SCBSFFPLUS43397"/>
  </r>
  <r>
    <x v="0"/>
    <x v="1"/>
    <x v="1"/>
    <x v="6"/>
    <m/>
    <x v="192"/>
    <x v="0"/>
    <s v="AA+(tha)"/>
    <x v="55"/>
    <n v="-2280883.71"/>
    <m/>
    <n v="0"/>
    <n v="0"/>
    <n v="0"/>
    <n v="0"/>
    <n v="-1.09005E-5"/>
    <s v="Future"/>
    <s v="THB"/>
    <d v="1900-01-01T00:00:00"/>
    <x v="93"/>
    <s v="SCBSFFPLUS43397"/>
  </r>
  <r>
    <x v="0"/>
    <x v="1"/>
    <x v="1"/>
    <x v="6"/>
    <m/>
    <x v="193"/>
    <x v="0"/>
    <s v="AA+(tha)"/>
    <x v="58"/>
    <n v="-49558917.439999998"/>
    <m/>
    <n v="0"/>
    <n v="0"/>
    <n v="0"/>
    <n v="0"/>
    <n v="-2.368452E-4"/>
    <s v="Future"/>
    <s v="THB"/>
    <d v="1900-01-01T00:00:00"/>
    <x v="94"/>
    <s v="SCBSFFPLUS43397"/>
  </r>
  <r>
    <x v="0"/>
    <x v="1"/>
    <x v="1"/>
    <x v="6"/>
    <m/>
    <x v="194"/>
    <x v="0"/>
    <s v="AA+(tha)"/>
    <x v="59"/>
    <n v="-41051818.43"/>
    <m/>
    <n v="0"/>
    <n v="0"/>
    <n v="0"/>
    <n v="0"/>
    <n v="-1.961892E-4"/>
    <s v="Future"/>
    <s v="THB"/>
    <d v="1900-01-01T00:00:00"/>
    <x v="95"/>
    <s v="SCBSFFPLUS43397"/>
  </r>
  <r>
    <x v="0"/>
    <x v="1"/>
    <x v="2"/>
    <x v="7"/>
    <s v="Settle Date :25/10/2018"/>
    <x v="36"/>
    <x v="16"/>
    <m/>
    <x v="0"/>
    <n v="-99976800"/>
    <m/>
    <n v="-99976800"/>
    <m/>
    <m/>
    <n v="0"/>
    <n v="-4.7779540000000002E-4"/>
    <s v="Bond"/>
    <s v="THB"/>
    <d v="2018-05-03T00:00:00"/>
    <x v="96"/>
    <s v="SCBSFFPLUS43397"/>
  </r>
  <r>
    <x v="0"/>
    <x v="1"/>
    <x v="2"/>
    <x v="7"/>
    <s v="Settle Date :25/10/2018"/>
    <x v="38"/>
    <x v="16"/>
    <m/>
    <x v="0"/>
    <n v="-58976771.109999999"/>
    <m/>
    <n v="-58976771.109999999"/>
    <m/>
    <m/>
    <n v="0"/>
    <n v="-2.8185370000000001E-4"/>
    <s v="Bond"/>
    <s v="THB"/>
    <d v="2018-10-24T00:00:00"/>
    <x v="97"/>
    <s v="SCBSFFPLUS43397"/>
  </r>
  <r>
    <x v="0"/>
    <x v="1"/>
    <x v="2"/>
    <x v="7"/>
    <s v="Settle Date :25/10/2018"/>
    <x v="119"/>
    <x v="16"/>
    <m/>
    <x v="0"/>
    <n v="-398562228"/>
    <m/>
    <n v="-398562228"/>
    <m/>
    <m/>
    <n v="0"/>
    <n v="-1.9047538E-3"/>
    <s v="Bond"/>
    <s v="THB"/>
    <d v="2018-07-19T00:00:00"/>
    <x v="98"/>
    <s v="SCBSFFPLUS43397"/>
  </r>
  <r>
    <x v="0"/>
    <x v="1"/>
    <x v="2"/>
    <x v="7"/>
    <s v="Settle Date :25/10/2018"/>
    <x v="52"/>
    <x v="16"/>
    <m/>
    <x v="0"/>
    <n v="-412511905.98000002"/>
    <m/>
    <n v="-412511905.98000002"/>
    <m/>
    <m/>
    <n v="0"/>
    <n v="-1.9714201999999998E-3"/>
    <s v="Bond"/>
    <s v="THB"/>
    <d v="2018-10-18T00:00:00"/>
    <x v="99"/>
    <s v="SCBSFFPLUS43397"/>
  </r>
  <r>
    <x v="0"/>
    <x v="1"/>
    <x v="2"/>
    <x v="7"/>
    <s v="Settle Date :25/10/2018"/>
    <x v="53"/>
    <x v="16"/>
    <m/>
    <x v="0"/>
    <n v="-5976652981.8199997"/>
    <m/>
    <n v="-5976652981.8199997"/>
    <m/>
    <m/>
    <n v="0"/>
    <n v="-2.8562798800000001E-2"/>
    <s v="Bond"/>
    <s v="THB"/>
    <d v="2018-10-25T00:00:00"/>
    <x v="30"/>
    <s v="SCBSFFPLUS43397"/>
  </r>
  <r>
    <x v="0"/>
    <x v="1"/>
    <x v="2"/>
    <x v="8"/>
    <s v="AUDITING FEE"/>
    <x v="64"/>
    <x v="16"/>
    <m/>
    <x v="0"/>
    <n v="-39205.620000000003"/>
    <m/>
    <m/>
    <m/>
    <m/>
    <n v="0"/>
    <n v="-1.874E-7"/>
    <m/>
    <m/>
    <m/>
    <x v="31"/>
    <s v="SCBSFFPLUS43397"/>
  </r>
  <r>
    <x v="0"/>
    <x v="1"/>
    <x v="2"/>
    <x v="8"/>
    <s v="AUDITING FEE"/>
    <x v="64"/>
    <x v="16"/>
    <m/>
    <x v="0"/>
    <n v="-255000"/>
    <m/>
    <m/>
    <m/>
    <m/>
    <n v="0"/>
    <n v="-1.2187000000000001E-6"/>
    <m/>
    <m/>
    <m/>
    <x v="31"/>
    <s v="SCBSFFPLUS43397"/>
  </r>
  <r>
    <x v="0"/>
    <x v="1"/>
    <x v="2"/>
    <x v="8"/>
    <s v="AUDITING FEE"/>
    <x v="64"/>
    <x v="16"/>
    <m/>
    <x v="0"/>
    <n v="-10000"/>
    <m/>
    <m/>
    <m/>
    <m/>
    <n v="0"/>
    <n v="-4.7799999999999998E-8"/>
    <m/>
    <m/>
    <m/>
    <x v="31"/>
    <s v="SCBSFFPLUS43397"/>
  </r>
  <r>
    <x v="0"/>
    <x v="1"/>
    <x v="2"/>
    <x v="9"/>
    <m/>
    <x v="65"/>
    <x v="16"/>
    <m/>
    <x v="0"/>
    <n v="-2083810.55"/>
    <n v="0"/>
    <m/>
    <m/>
    <m/>
    <n v="0"/>
    <n v="-9.9587E-6"/>
    <m/>
    <m/>
    <m/>
    <x v="31"/>
    <s v="SCBSFFPLUS43397"/>
  </r>
  <r>
    <x v="0"/>
    <x v="1"/>
    <x v="2"/>
    <x v="11"/>
    <s v="A NEWSPAPER_NAV"/>
    <x v="66"/>
    <x v="16"/>
    <m/>
    <x v="0"/>
    <n v="-4182.17"/>
    <m/>
    <m/>
    <m/>
    <m/>
    <n v="0"/>
    <n v="-2E-8"/>
    <m/>
    <m/>
    <m/>
    <x v="31"/>
    <s v="SCBSFFPLUS43397"/>
  </r>
  <r>
    <x v="0"/>
    <x v="1"/>
    <x v="2"/>
    <x v="11"/>
    <s v="A NEWSPAPER_NAV"/>
    <x v="66"/>
    <x v="16"/>
    <m/>
    <x v="0"/>
    <n v="-3399.6"/>
    <m/>
    <m/>
    <m/>
    <m/>
    <n v="0"/>
    <n v="-1.6199999999999999E-8"/>
    <m/>
    <m/>
    <m/>
    <x v="31"/>
    <s v="SCBSFFPLUS43397"/>
  </r>
  <r>
    <x v="0"/>
    <x v="1"/>
    <x v="2"/>
    <x v="13"/>
    <s v="CUSTODIAN FEE"/>
    <x v="65"/>
    <x v="16"/>
    <m/>
    <x v="0"/>
    <n v="-2412765.19"/>
    <m/>
    <n v="-2412765.19"/>
    <m/>
    <m/>
    <n v="0"/>
    <n v="-1.15308E-5"/>
    <m/>
    <m/>
    <m/>
    <x v="31"/>
    <s v="SCBSFFPLUS43397"/>
  </r>
  <r>
    <x v="0"/>
    <x v="1"/>
    <x v="2"/>
    <x v="12"/>
    <s v="MANAGEMENT FEE"/>
    <x v="65"/>
    <x v="16"/>
    <m/>
    <x v="0"/>
    <n v="-50539220.619999997"/>
    <m/>
    <n v="-50539220.619999997"/>
    <m/>
    <m/>
    <n v="0"/>
    <n v="-2.4153010000000001E-4"/>
    <m/>
    <m/>
    <m/>
    <x v="31"/>
    <s v="SCBSFFPLUS43397"/>
  </r>
  <r>
    <x v="0"/>
    <x v="1"/>
    <x v="3"/>
    <x v="13"/>
    <s v="CUSTODIAN FEE"/>
    <x v="65"/>
    <x v="16"/>
    <m/>
    <x v="0"/>
    <n v="-214697.02"/>
    <m/>
    <n v="-214697.02"/>
    <m/>
    <m/>
    <n v="0"/>
    <n v="-1.0261E-6"/>
    <m/>
    <m/>
    <m/>
    <x v="31"/>
    <s v="SCBSFFPLUS43397"/>
  </r>
  <r>
    <x v="0"/>
    <x v="1"/>
    <x v="3"/>
    <x v="12"/>
    <s v="MANAGEMENT FEE"/>
    <x v="65"/>
    <x v="16"/>
    <m/>
    <x v="0"/>
    <n v="-4496696.92"/>
    <m/>
    <n v="-4496696.92"/>
    <m/>
    <m/>
    <n v="0"/>
    <n v="-2.1489999999999999E-5"/>
    <m/>
    <m/>
    <m/>
    <x v="31"/>
    <s v="SCBSFFPLUS43397"/>
  </r>
  <r>
    <x v="0"/>
    <x v="2"/>
    <x v="0"/>
    <x v="0"/>
    <m/>
    <x v="5"/>
    <x v="18"/>
    <m/>
    <x v="0"/>
    <n v="3539799.75"/>
    <n v="6697.12"/>
    <n v="3539799.75"/>
    <n v="0"/>
    <n v="0"/>
    <n v="0"/>
    <n v="9.9550729999999996E-4"/>
    <s v="Cash Bal"/>
    <s v="THB"/>
    <d v="1900-01-01T00:00:00"/>
    <x v="0"/>
    <s v="SCBTMF43397"/>
  </r>
  <r>
    <x v="0"/>
    <x v="2"/>
    <x v="0"/>
    <x v="1"/>
    <m/>
    <x v="195"/>
    <x v="6"/>
    <s v="AAA(tha)"/>
    <x v="92"/>
    <n v="60000000"/>
    <n v="490684.93"/>
    <n v="60000000"/>
    <n v="0.45444099999999998"/>
    <n v="60000000"/>
    <n v="1.5"/>
    <n v="1.6979831899999999E-2"/>
    <s v="Bond"/>
    <s v="THB"/>
    <d v="2018-04-09T00:00:00"/>
    <x v="3"/>
    <s v="SCBTMF43397"/>
  </r>
  <r>
    <x v="0"/>
    <x v="2"/>
    <x v="0"/>
    <x v="1"/>
    <m/>
    <x v="16"/>
    <x v="6"/>
    <s v="AAA(tha)"/>
    <x v="10"/>
    <n v="20000000"/>
    <n v="71726.03"/>
    <n v="20000000"/>
    <n v="0.78130100000000002"/>
    <n v="20000000"/>
    <n v="1.7"/>
    <n v="5.6341656000000002E-3"/>
    <s v="Bond"/>
    <s v="THB"/>
    <d v="2018-08-09T00:00:00"/>
    <x v="3"/>
    <s v="SCBTMF43397"/>
  </r>
  <r>
    <x v="0"/>
    <x v="2"/>
    <x v="0"/>
    <x v="1"/>
    <m/>
    <x v="17"/>
    <x v="6"/>
    <s v="AAA(tha)"/>
    <x v="11"/>
    <n v="50000000"/>
    <n v="690410.96"/>
    <n v="50000000"/>
    <n v="0.13941400000000001"/>
    <n v="50000000"/>
    <n v="1.6"/>
    <n v="1.42288793E-2"/>
    <s v="Bond"/>
    <s v="THB"/>
    <d v="2017-12-14T00:00:00"/>
    <x v="3"/>
    <s v="SCBTMF43397"/>
  </r>
  <r>
    <x v="0"/>
    <x v="2"/>
    <x v="0"/>
    <x v="1"/>
    <m/>
    <x v="20"/>
    <x v="6"/>
    <s v="AAA(tha)"/>
    <x v="14"/>
    <n v="50000000"/>
    <n v="613698.63"/>
    <n v="50000000"/>
    <n v="0.234732"/>
    <n v="50000000"/>
    <n v="1.6"/>
    <n v="1.4207345999999999E-2"/>
    <s v="Bond"/>
    <s v="THB"/>
    <d v="2018-01-18T00:00:00"/>
    <x v="3"/>
    <s v="SCBTMF43397"/>
  </r>
  <r>
    <x v="0"/>
    <x v="2"/>
    <x v="0"/>
    <x v="1"/>
    <m/>
    <x v="93"/>
    <x v="6"/>
    <s v="AAA(tha)"/>
    <x v="57"/>
    <n v="30000000"/>
    <n v="127150.68"/>
    <n v="30000000"/>
    <n v="0.74393600000000004"/>
    <n v="30000000"/>
    <n v="1.7"/>
    <n v="8.4567393000000001E-3"/>
    <s v="Bond"/>
    <s v="THB"/>
    <d v="2018-07-26T00:00:00"/>
    <x v="3"/>
    <s v="SCBTMF43397"/>
  </r>
  <r>
    <x v="0"/>
    <x v="2"/>
    <x v="0"/>
    <x v="1"/>
    <m/>
    <x v="196"/>
    <x v="9"/>
    <s v="AAA(tha)"/>
    <x v="19"/>
    <n v="5075021.05"/>
    <n v="49782.11"/>
    <n v="5075021.05"/>
    <n v="0"/>
    <n v="5075021.05"/>
    <n v="0"/>
    <n v="1.4385404E-3"/>
    <s v="Bond"/>
    <s v="THB"/>
    <d v="2010-02-03T00:00:00"/>
    <x v="100"/>
    <s v="SCBTMF43397"/>
  </r>
  <r>
    <x v="0"/>
    <x v="2"/>
    <x v="0"/>
    <x v="4"/>
    <m/>
    <x v="33"/>
    <x v="13"/>
    <m/>
    <x v="25"/>
    <n v="149775951"/>
    <m/>
    <n v="149768620.5"/>
    <n v="0.114895"/>
    <n v="150000000"/>
    <n v="1.3426"/>
    <n v="4.2042348700000003E-2"/>
    <s v="Bond"/>
    <s v="THB"/>
    <d v="2018-09-06T00:00:00"/>
    <x v="17"/>
    <s v="SCBTMF43397"/>
  </r>
  <r>
    <x v="0"/>
    <x v="2"/>
    <x v="0"/>
    <x v="4"/>
    <m/>
    <x v="34"/>
    <x v="13"/>
    <m/>
    <x v="26"/>
    <n v="155746606.08000001"/>
    <m/>
    <n v="155744759.03999999"/>
    <n v="0.13397899999999999"/>
    <n v="156000000"/>
    <n v="1.220769"/>
    <n v="4.3718321099999999E-2"/>
    <s v="Bond"/>
    <s v="THB"/>
    <d v="2018-09-13T00:00:00"/>
    <x v="17"/>
    <s v="SCBTMF43397"/>
  </r>
  <r>
    <x v="0"/>
    <x v="2"/>
    <x v="0"/>
    <x v="4"/>
    <m/>
    <x v="35"/>
    <x v="13"/>
    <m/>
    <x v="27"/>
    <n v="200613722.22"/>
    <m/>
    <n v="200576430.69"/>
    <n v="0.153085"/>
    <n v="201000000"/>
    <n v="1.3764179999999999"/>
    <n v="5.6312592199999997E-2"/>
    <s v="Bond"/>
    <s v="THB"/>
    <d v="2018-09-20T00:00:00"/>
    <x v="17"/>
    <s v="SCBTMF43397"/>
  </r>
  <r>
    <x v="0"/>
    <x v="2"/>
    <x v="0"/>
    <x v="4"/>
    <m/>
    <x v="117"/>
    <x v="13"/>
    <m/>
    <x v="69"/>
    <n v="89786136.599999994"/>
    <m/>
    <n v="89768515.5"/>
    <n v="0.172151"/>
    <n v="90000000"/>
    <n v="1.494"/>
    <n v="2.5203111899999998E-2"/>
    <s v="Bond"/>
    <s v="THB"/>
    <d v="2018-09-27T00:00:00"/>
    <x v="17"/>
    <s v="SCBTMF43397"/>
  </r>
  <r>
    <x v="0"/>
    <x v="2"/>
    <x v="0"/>
    <x v="4"/>
    <m/>
    <x v="36"/>
    <x v="13"/>
    <m/>
    <x v="28"/>
    <n v="49989214.5"/>
    <m/>
    <n v="49989214.5"/>
    <n v="1.9174E-2"/>
    <n v="50000000"/>
    <n v="1.125"/>
    <n v="1.40320523E-2"/>
    <s v="Bond"/>
    <s v="THB"/>
    <d v="2018-05-03T00:00:00"/>
    <x v="18"/>
    <s v="SCBTMF43397"/>
  </r>
  <r>
    <x v="0"/>
    <x v="2"/>
    <x v="0"/>
    <x v="4"/>
    <m/>
    <x v="37"/>
    <x v="13"/>
    <m/>
    <x v="28"/>
    <n v="154961662.30000001"/>
    <m/>
    <n v="154961422.05000001"/>
    <n v="1.9174E-2"/>
    <n v="155000000"/>
    <n v="1.298095"/>
    <n v="4.3497986099999997E-2"/>
    <s v="Bond"/>
    <s v="THB"/>
    <d v="2018-08-02T00:00:00"/>
    <x v="17"/>
    <s v="SCBTMF43397"/>
  </r>
  <r>
    <x v="0"/>
    <x v="2"/>
    <x v="0"/>
    <x v="4"/>
    <m/>
    <x v="38"/>
    <x v="13"/>
    <m/>
    <x v="5"/>
    <n v="99960305"/>
    <m/>
    <n v="99960305"/>
    <n v="3.2863999999999997E-2"/>
    <n v="100000000"/>
    <n v="1.20787"/>
    <n v="2.8059017299999999E-2"/>
    <s v="Bond"/>
    <s v="THB"/>
    <d v="2018-10-24T00:00:00"/>
    <x v="19"/>
    <s v="SCBTMF43397"/>
  </r>
  <r>
    <x v="0"/>
    <x v="2"/>
    <x v="0"/>
    <x v="4"/>
    <m/>
    <x v="39"/>
    <x v="13"/>
    <m/>
    <x v="29"/>
    <n v="19990300.600000001"/>
    <m/>
    <n v="19990300.600000001"/>
    <n v="3.8337999999999997E-2"/>
    <n v="20000000"/>
    <n v="1.2649999999999999"/>
    <n v="5.6113092999999998E-3"/>
    <s v="Bond"/>
    <s v="THB"/>
    <d v="2018-05-10T00:00:00"/>
    <x v="18"/>
    <s v="SCBTMF43397"/>
  </r>
  <r>
    <x v="0"/>
    <x v="2"/>
    <x v="0"/>
    <x v="4"/>
    <m/>
    <x v="40"/>
    <x v="13"/>
    <m/>
    <x v="29"/>
    <n v="239884449.59999999"/>
    <m/>
    <n v="239883792"/>
    <n v="3.8337999999999997E-2"/>
    <n v="240000000"/>
    <n v="1.2629790000000001"/>
    <n v="6.7335948100000001E-2"/>
    <s v="Bond"/>
    <s v="THB"/>
    <d v="2018-08-09T00:00:00"/>
    <x v="17"/>
    <s v="SCBTMF43397"/>
  </r>
  <r>
    <x v="0"/>
    <x v="2"/>
    <x v="0"/>
    <x v="4"/>
    <m/>
    <x v="42"/>
    <x v="13"/>
    <m/>
    <x v="30"/>
    <n v="359740134"/>
    <m/>
    <n v="359740029.60000002"/>
    <n v="5.7493000000000002E-2"/>
    <n v="360000000"/>
    <n v="1.256049"/>
    <n v="0.1009796302"/>
    <s v="Bond"/>
    <s v="THB"/>
    <d v="2018-08-16T00:00:00"/>
    <x v="17"/>
    <s v="SCBTMF43397"/>
  </r>
  <r>
    <x v="0"/>
    <x v="2"/>
    <x v="0"/>
    <x v="4"/>
    <m/>
    <x v="44"/>
    <x v="13"/>
    <m/>
    <x v="31"/>
    <n v="447568947.83999997"/>
    <m/>
    <n v="447564754.56"/>
    <n v="7.664E-2"/>
    <n v="448000000"/>
    <n v="1.267692"/>
    <n v="0.12563331850000001"/>
    <s v="Bond"/>
    <s v="THB"/>
    <d v="2018-08-23T00:00:00"/>
    <x v="17"/>
    <s v="SCBTMF43397"/>
  </r>
  <r>
    <x v="0"/>
    <x v="2"/>
    <x v="0"/>
    <x v="4"/>
    <m/>
    <x v="45"/>
    <x v="13"/>
    <m/>
    <x v="32"/>
    <n v="69926912.299999997"/>
    <m/>
    <n v="69926912.299999997"/>
    <n v="9.5772999999999997E-2"/>
    <n v="70000000"/>
    <n v="1.0900000000000001"/>
    <n v="1.9628596000000002E-2"/>
    <s v="Bond"/>
    <s v="THB"/>
    <d v="2018-05-31T00:00:00"/>
    <x v="18"/>
    <s v="SCBTMF43397"/>
  </r>
  <r>
    <x v="0"/>
    <x v="2"/>
    <x v="0"/>
    <x v="4"/>
    <m/>
    <x v="46"/>
    <x v="13"/>
    <m/>
    <x v="32"/>
    <n v="199772040"/>
    <m/>
    <n v="199761880"/>
    <n v="9.5771999999999996E-2"/>
    <n v="200000000"/>
    <n v="1.2431099999999999"/>
    <n v="5.6076330700000003E-2"/>
    <s v="Bond"/>
    <s v="THB"/>
    <d v="2018-08-30T00:00:00"/>
    <x v="17"/>
    <s v="SCBTMF43397"/>
  </r>
  <r>
    <x v="0"/>
    <x v="2"/>
    <x v="0"/>
    <x v="4"/>
    <m/>
    <x v="47"/>
    <x v="13"/>
    <m/>
    <x v="33"/>
    <n v="184000000"/>
    <m/>
    <n v="184000000"/>
    <n v="2.7399999999999998E-3"/>
    <n v="184000000"/>
    <n v="1.2276400000000001"/>
    <n v="5.1649093899999998E-2"/>
    <s v="Bond"/>
    <s v="THB"/>
    <d v="2018-04-26T00:00:00"/>
    <x v="18"/>
    <s v="SCBTMF43397"/>
  </r>
  <r>
    <x v="0"/>
    <x v="2"/>
    <x v="0"/>
    <x v="4"/>
    <m/>
    <x v="48"/>
    <x v="13"/>
    <m/>
    <x v="33"/>
    <n v="143000000"/>
    <m/>
    <n v="143000000"/>
    <n v="2.7399999999999998E-3"/>
    <n v="143000000"/>
    <n v="1.2329760000000001"/>
    <n v="4.0140328400000001E-2"/>
    <s v="Bond"/>
    <s v="THB"/>
    <d v="2018-07-26T00:00:00"/>
    <x v="17"/>
    <s v="SCBTMF43397"/>
  </r>
  <r>
    <x v="0"/>
    <x v="2"/>
    <x v="0"/>
    <x v="4"/>
    <m/>
    <x v="49"/>
    <x v="13"/>
    <m/>
    <x v="34"/>
    <n v="220963490.80000001"/>
    <m/>
    <n v="220963490.80000001"/>
    <n v="1.3696E-2"/>
    <n v="221000000"/>
    <n v="1.2061470000000001"/>
    <n v="6.20248048E-2"/>
    <s v="Bond"/>
    <s v="THB"/>
    <d v="2018-10-16T00:00:00"/>
    <x v="20"/>
    <s v="SCBTMF43397"/>
  </r>
  <r>
    <x v="0"/>
    <x v="2"/>
    <x v="0"/>
    <x v="4"/>
    <m/>
    <x v="50"/>
    <x v="13"/>
    <m/>
    <x v="20"/>
    <n v="149578312.5"/>
    <m/>
    <n v="149572410"/>
    <n v="0.19125400000000001"/>
    <n v="150000000"/>
    <n v="1.4906330000000001"/>
    <n v="4.1986871199999998E-2"/>
    <s v="Bond"/>
    <s v="THB"/>
    <d v="2018-10-04T00:00:00"/>
    <x v="17"/>
    <s v="SCBTMF43397"/>
  </r>
  <r>
    <x v="0"/>
    <x v="2"/>
    <x v="0"/>
    <x v="4"/>
    <m/>
    <x v="51"/>
    <x v="13"/>
    <m/>
    <x v="35"/>
    <n v="199352350"/>
    <m/>
    <n v="199346276"/>
    <n v="0.21030699999999999"/>
    <n v="200000000"/>
    <n v="1.5544899999999999"/>
    <n v="5.5958523000000003E-2"/>
    <s v="Bond"/>
    <s v="THB"/>
    <d v="2018-10-11T00:00:00"/>
    <x v="17"/>
    <s v="SCBTMF43397"/>
  </r>
  <r>
    <x v="0"/>
    <x v="2"/>
    <x v="0"/>
    <x v="4"/>
    <m/>
    <x v="52"/>
    <x v="13"/>
    <m/>
    <x v="13"/>
    <n v="209265623.69999999"/>
    <m/>
    <n v="209245388.09999999"/>
    <n v="0.22931000000000001"/>
    <n v="210000000"/>
    <n v="1.567043"/>
    <n v="5.87411948E-2"/>
    <s v="Bond"/>
    <s v="THB"/>
    <d v="2018-10-18T00:00:00"/>
    <x v="17"/>
    <s v="SCBTMF43397"/>
  </r>
  <r>
    <x v="0"/>
    <x v="2"/>
    <x v="0"/>
    <x v="4"/>
    <m/>
    <x v="53"/>
    <x v="13"/>
    <m/>
    <x v="36"/>
    <n v="199221763.34"/>
    <m/>
    <n v="199221763.34"/>
    <n v="0.25205499999999997"/>
    <n v="200000000"/>
    <n v="1.566845"/>
    <n v="5.5921867100000001E-2"/>
    <s v="Bond"/>
    <s v="THB"/>
    <d v="2018-10-25T00:00:00"/>
    <x v="17"/>
    <s v="SCBTMF43397"/>
  </r>
  <r>
    <x v="0"/>
    <x v="2"/>
    <x v="2"/>
    <x v="7"/>
    <s v="Settle Date :25/10/2018"/>
    <x v="53"/>
    <x v="16"/>
    <m/>
    <x v="0"/>
    <n v="-199221763.34"/>
    <m/>
    <n v="-199221763.34"/>
    <m/>
    <m/>
    <n v="0"/>
    <n v="-5.5921867100000001E-2"/>
    <s v="Bond"/>
    <s v="THB"/>
    <d v="2018-10-25T00:00:00"/>
    <x v="30"/>
    <s v="SCBTMF43397"/>
  </r>
  <r>
    <x v="0"/>
    <x v="2"/>
    <x v="2"/>
    <x v="8"/>
    <s v="AUDITING FEE"/>
    <x v="64"/>
    <x v="16"/>
    <m/>
    <x v="0"/>
    <n v="-26780.95"/>
    <m/>
    <m/>
    <m/>
    <m/>
    <n v="0"/>
    <n v="-7.5174999999999996E-6"/>
    <m/>
    <m/>
    <m/>
    <x v="31"/>
    <s v="SCBTMF43397"/>
  </r>
  <r>
    <x v="0"/>
    <x v="2"/>
    <x v="2"/>
    <x v="9"/>
    <m/>
    <x v="65"/>
    <x v="16"/>
    <m/>
    <x v="0"/>
    <n v="-70594.44"/>
    <n v="0"/>
    <m/>
    <m/>
    <m/>
    <n v="0"/>
    <n v="-1.9816000000000001E-5"/>
    <m/>
    <m/>
    <m/>
    <x v="31"/>
    <s v="SCBTMF43397"/>
  </r>
  <r>
    <x v="0"/>
    <x v="2"/>
    <x v="2"/>
    <x v="11"/>
    <s v="A NEWSPAPER_NAV"/>
    <x v="66"/>
    <x v="16"/>
    <m/>
    <x v="0"/>
    <n v="-4182.17"/>
    <m/>
    <m/>
    <m/>
    <m/>
    <n v="0"/>
    <n v="-1.1739000000000001E-6"/>
    <m/>
    <m/>
    <m/>
    <x v="31"/>
    <s v="SCBTMF43397"/>
  </r>
  <r>
    <x v="0"/>
    <x v="2"/>
    <x v="2"/>
    <x v="11"/>
    <s v="A NEWSPAPER_NAV"/>
    <x v="66"/>
    <x v="16"/>
    <m/>
    <x v="0"/>
    <n v="-3399.6"/>
    <m/>
    <m/>
    <m/>
    <m/>
    <n v="0"/>
    <n v="-9.5429999999999991E-7"/>
    <m/>
    <m/>
    <m/>
    <x v="31"/>
    <s v="SCBTMF43397"/>
  </r>
  <r>
    <x v="0"/>
    <x v="2"/>
    <x v="2"/>
    <x v="13"/>
    <s v="CUSTODIAN FEE"/>
    <x v="65"/>
    <x v="16"/>
    <m/>
    <x v="0"/>
    <n v="-59448.43"/>
    <m/>
    <n v="-59448.43"/>
    <m/>
    <m/>
    <n v="0"/>
    <n v="-1.6687299999999999E-5"/>
    <m/>
    <m/>
    <m/>
    <x v="31"/>
    <s v="SCBTMF43397"/>
  </r>
  <r>
    <x v="0"/>
    <x v="2"/>
    <x v="2"/>
    <x v="12"/>
    <s v="MANAGEMENT FEE"/>
    <x v="65"/>
    <x v="16"/>
    <m/>
    <x v="0"/>
    <n v="-1718548.51"/>
    <m/>
    <n v="-1718548.51"/>
    <m/>
    <m/>
    <n v="0"/>
    <n v="-4.8239929999999999E-4"/>
    <m/>
    <m/>
    <m/>
    <x v="31"/>
    <s v="SCBTMF43397"/>
  </r>
  <r>
    <x v="0"/>
    <x v="2"/>
    <x v="2"/>
    <x v="10"/>
    <s v="REGISTRAR FEE"/>
    <x v="65"/>
    <x v="16"/>
    <m/>
    <x v="0"/>
    <n v="0"/>
    <m/>
    <n v="0"/>
    <m/>
    <m/>
    <n v="0"/>
    <n v="0"/>
    <m/>
    <m/>
    <m/>
    <x v="31"/>
    <s v="SCBTMF43397"/>
  </r>
  <r>
    <x v="0"/>
    <x v="2"/>
    <x v="3"/>
    <x v="13"/>
    <s v="CUSTODIAN FEE"/>
    <x v="65"/>
    <x v="16"/>
    <m/>
    <x v="0"/>
    <n v="-5221.9799999999996"/>
    <m/>
    <n v="-5221.9799999999996"/>
    <m/>
    <m/>
    <n v="0"/>
    <n v="-1.4658E-6"/>
    <m/>
    <m/>
    <m/>
    <x v="31"/>
    <s v="SCBTMF43397"/>
  </r>
  <r>
    <x v="0"/>
    <x v="2"/>
    <x v="3"/>
    <x v="12"/>
    <s v="MANAGEMENT FEE"/>
    <x v="65"/>
    <x v="16"/>
    <m/>
    <x v="0"/>
    <n v="-150958.12"/>
    <m/>
    <n v="-150958.12"/>
    <m/>
    <m/>
    <n v="0"/>
    <n v="-4.2374199999999998E-5"/>
    <m/>
    <m/>
    <m/>
    <x v="31"/>
    <s v="SCBTMF43397"/>
  </r>
  <r>
    <x v="0"/>
    <x v="2"/>
    <x v="3"/>
    <x v="10"/>
    <s v="REGISTRAR FEE"/>
    <x v="65"/>
    <x v="16"/>
    <m/>
    <x v="0"/>
    <n v="0"/>
    <m/>
    <n v="0"/>
    <m/>
    <m/>
    <n v="0"/>
    <n v="0"/>
    <m/>
    <m/>
    <m/>
    <x v="31"/>
    <s v="SCBTMF43397"/>
  </r>
  <r>
    <x v="0"/>
    <x v="3"/>
    <x v="0"/>
    <x v="0"/>
    <m/>
    <x v="5"/>
    <x v="18"/>
    <m/>
    <x v="0"/>
    <n v="2440005.86"/>
    <n v="6782.49"/>
    <n v="2440005.86"/>
    <n v="0"/>
    <n v="0"/>
    <n v="0"/>
    <n v="2.0727699999999999E-4"/>
    <s v="Cash Bal"/>
    <s v="THB"/>
    <d v="1900-01-01T00:00:00"/>
    <x v="0"/>
    <s v="SCBTMFPLUS43397"/>
  </r>
  <r>
    <x v="0"/>
    <x v="3"/>
    <x v="0"/>
    <x v="1"/>
    <m/>
    <x v="197"/>
    <x v="6"/>
    <s v="AAA(tha)"/>
    <x v="41"/>
    <n v="150000000"/>
    <n v="2110684.9300000002"/>
    <n v="150000000"/>
    <n v="0.12031600000000001"/>
    <n v="150000000"/>
    <n v="1.6"/>
    <n v="1.2885890800000001E-2"/>
    <s v="Bond"/>
    <s v="THB"/>
    <d v="2017-12-08T00:00:00"/>
    <x v="6"/>
    <s v="SCBTMFPLUS43397"/>
  </r>
  <r>
    <x v="0"/>
    <x v="3"/>
    <x v="0"/>
    <x v="1"/>
    <m/>
    <x v="195"/>
    <x v="6"/>
    <s v="AAA(tha)"/>
    <x v="92"/>
    <n v="120000000"/>
    <n v="981369.86"/>
    <n v="120000000"/>
    <n v="0.45444099999999998"/>
    <n v="120000000"/>
    <n v="1.5"/>
    <n v="1.0248804800000001E-2"/>
    <s v="Bond"/>
    <s v="THB"/>
    <d v="2018-04-09T00:00:00"/>
    <x v="3"/>
    <s v="SCBTMFPLUS43397"/>
  </r>
  <r>
    <x v="0"/>
    <x v="3"/>
    <x v="0"/>
    <x v="1"/>
    <m/>
    <x v="16"/>
    <x v="6"/>
    <s v="AAA(tha)"/>
    <x v="10"/>
    <n v="60000000"/>
    <n v="215178.08"/>
    <n v="60000000"/>
    <n v="0.78130100000000002"/>
    <n v="60000000"/>
    <n v="1.7"/>
    <n v="5.1010630999999999E-3"/>
    <s v="Bond"/>
    <s v="THB"/>
    <d v="2018-08-09T00:00:00"/>
    <x v="3"/>
    <s v="SCBTMFPLUS43397"/>
  </r>
  <r>
    <x v="0"/>
    <x v="3"/>
    <x v="0"/>
    <x v="1"/>
    <m/>
    <x v="20"/>
    <x v="6"/>
    <s v="AAA(tha)"/>
    <x v="14"/>
    <n v="50000000"/>
    <n v="613698.63"/>
    <n v="50000000"/>
    <n v="0.234732"/>
    <n v="50000000"/>
    <n v="1.6"/>
    <n v="4.2876842999999996E-3"/>
    <s v="Bond"/>
    <s v="THB"/>
    <d v="2018-01-18T00:00:00"/>
    <x v="3"/>
    <s v="SCBTMFPLUS43397"/>
  </r>
  <r>
    <x v="0"/>
    <x v="3"/>
    <x v="0"/>
    <x v="1"/>
    <m/>
    <x v="93"/>
    <x v="6"/>
    <s v="AAA(tha)"/>
    <x v="57"/>
    <n v="200000000"/>
    <n v="847671.23"/>
    <n v="200000000"/>
    <n v="0.74393600000000004"/>
    <n v="200000000"/>
    <n v="1.7"/>
    <n v="1.7014591400000001E-2"/>
    <s v="Bond"/>
    <s v="THB"/>
    <d v="2018-07-26T00:00:00"/>
    <x v="3"/>
    <s v="SCBTMFPLUS43397"/>
  </r>
  <r>
    <x v="0"/>
    <x v="3"/>
    <x v="0"/>
    <x v="1"/>
    <m/>
    <x v="198"/>
    <x v="8"/>
    <s v="AA+(tha)"/>
    <x v="95"/>
    <n v="2041"/>
    <n v="2.4300000000000002"/>
    <n v="2041"/>
    <n v="0"/>
    <n v="2041"/>
    <n v="0"/>
    <n v="1.7310000000000001E-7"/>
    <s v="Bond"/>
    <s v="THB"/>
    <d v="2012-12-04T00:00:00"/>
    <x v="101"/>
    <s v="SCBTMFPLUS43397"/>
  </r>
  <r>
    <x v="0"/>
    <x v="3"/>
    <x v="0"/>
    <x v="1"/>
    <m/>
    <x v="199"/>
    <x v="9"/>
    <s v="AAA(tha)"/>
    <x v="19"/>
    <n v="20816728.559999999"/>
    <n v="146729.57"/>
    <n v="20816728.559999999"/>
    <n v="0"/>
    <n v="20816728.559999999"/>
    <n v="0"/>
    <n v="1.7758965000000001E-3"/>
    <s v="Bond"/>
    <s v="THB"/>
    <d v="2012-09-12T00:00:00"/>
    <x v="102"/>
    <s v="SCBTMFPLUS43397"/>
  </r>
  <r>
    <x v="0"/>
    <x v="3"/>
    <x v="0"/>
    <x v="3"/>
    <m/>
    <x v="31"/>
    <x v="12"/>
    <s v="BBB+"/>
    <x v="23"/>
    <n v="67954572.599999994"/>
    <m/>
    <n v="67954572.599999994"/>
    <n v="5.4757E-2"/>
    <n v="68000000"/>
    <n v="1.22"/>
    <n v="5.7566974999999996E-3"/>
    <s v="Bond"/>
    <s v="THB"/>
    <d v="2017-11-15T00:00:00"/>
    <x v="6"/>
    <s v="SCBTMFPLUS43397"/>
  </r>
  <r>
    <x v="0"/>
    <x v="3"/>
    <x v="0"/>
    <x v="4"/>
    <m/>
    <x v="200"/>
    <x v="13"/>
    <m/>
    <x v="25"/>
    <n v="49924743.5"/>
    <m/>
    <n v="49924743.5"/>
    <n v="0.114866"/>
    <n v="50000000"/>
    <n v="1.31"/>
    <n v="4.2293202E-3"/>
    <s v="Bond"/>
    <s v="THB"/>
    <d v="2017-12-07T00:00:00"/>
    <x v="6"/>
    <s v="SCBTMFPLUS43397"/>
  </r>
  <r>
    <x v="0"/>
    <x v="3"/>
    <x v="0"/>
    <x v="4"/>
    <m/>
    <x v="33"/>
    <x v="13"/>
    <m/>
    <x v="25"/>
    <n v="998506340"/>
    <m/>
    <n v="998457460"/>
    <n v="0.114895"/>
    <n v="1000000000"/>
    <n v="1.3426119999999999"/>
    <n v="8.4587375500000006E-2"/>
    <s v="Bond"/>
    <s v="THB"/>
    <d v="2018-09-06T00:00:00"/>
    <x v="17"/>
    <s v="SCBTMFPLUS43397"/>
  </r>
  <r>
    <x v="0"/>
    <x v="3"/>
    <x v="0"/>
    <x v="4"/>
    <m/>
    <x v="34"/>
    <x v="13"/>
    <m/>
    <x v="26"/>
    <n v="958476643.20000005"/>
    <m/>
    <n v="958464672"/>
    <n v="0.13397899999999999"/>
    <n v="960000000"/>
    <n v="1.193222"/>
    <n v="8.1196303400000003E-2"/>
    <s v="Bond"/>
    <s v="THB"/>
    <d v="2018-09-13T00:00:00"/>
    <x v="17"/>
    <s v="SCBTMFPLUS43397"/>
  </r>
  <r>
    <x v="0"/>
    <x v="3"/>
    <x v="0"/>
    <x v="4"/>
    <m/>
    <x v="35"/>
    <x v="13"/>
    <m/>
    <x v="27"/>
    <n v="598846932"/>
    <m/>
    <n v="598735092"/>
    <n v="0.153085"/>
    <n v="600000000"/>
    <n v="1.3769830000000001"/>
    <n v="5.0730664699999997E-2"/>
    <s v="Bond"/>
    <s v="THB"/>
    <d v="2018-09-20T00:00:00"/>
    <x v="17"/>
    <s v="SCBTMFPLUS43397"/>
  </r>
  <r>
    <x v="0"/>
    <x v="3"/>
    <x v="0"/>
    <x v="4"/>
    <m/>
    <x v="117"/>
    <x v="13"/>
    <m/>
    <x v="69"/>
    <n v="847980179"/>
    <m/>
    <n v="847876266.5"/>
    <n v="0.172151"/>
    <n v="850000000"/>
    <n v="1.451176"/>
    <n v="7.18357159E-2"/>
    <s v="Bond"/>
    <s v="THB"/>
    <d v="2018-09-27T00:00:00"/>
    <x v="17"/>
    <s v="SCBTMFPLUS43397"/>
  </r>
  <r>
    <x v="0"/>
    <x v="3"/>
    <x v="0"/>
    <x v="4"/>
    <m/>
    <x v="36"/>
    <x v="13"/>
    <m/>
    <x v="28"/>
    <n v="245942123.58000001"/>
    <m/>
    <n v="245942123.58000001"/>
    <n v="1.9174E-2"/>
    <n v="246000000"/>
    <n v="1.227033"/>
    <n v="2.0834718700000001E-2"/>
    <s v="Bond"/>
    <s v="THB"/>
    <d v="2018-05-03T00:00:00"/>
    <x v="18"/>
    <s v="SCBTMFPLUS43397"/>
  </r>
  <r>
    <x v="0"/>
    <x v="3"/>
    <x v="0"/>
    <x v="4"/>
    <m/>
    <x v="37"/>
    <x v="13"/>
    <m/>
    <x v="28"/>
    <n v="1139724507.5999999"/>
    <m/>
    <n v="1139723208"/>
    <n v="1.9174E-2"/>
    <n v="1140000000"/>
    <n v="1.266359"/>
    <n v="9.6550518500000002E-2"/>
    <s v="Bond"/>
    <s v="THB"/>
    <d v="2018-08-02T00:00:00"/>
    <x v="17"/>
    <s v="SCBTMFPLUS43397"/>
  </r>
  <r>
    <x v="0"/>
    <x v="3"/>
    <x v="0"/>
    <x v="4"/>
    <m/>
    <x v="38"/>
    <x v="13"/>
    <m/>
    <x v="5"/>
    <n v="969614948.79999995"/>
    <m/>
    <n v="969614948.79999995"/>
    <n v="3.2863999999999997E-2"/>
    <n v="970000000"/>
    <n v="1.2079139999999999"/>
    <n v="8.2139872799999999E-2"/>
    <s v="Bond"/>
    <s v="THB"/>
    <d v="2018-10-24T00:00:00"/>
    <x v="19"/>
    <s v="SCBTMFPLUS43397"/>
  </r>
  <r>
    <x v="0"/>
    <x v="3"/>
    <x v="0"/>
    <x v="4"/>
    <m/>
    <x v="39"/>
    <x v="13"/>
    <m/>
    <x v="29"/>
    <n v="138934144.58000001"/>
    <m/>
    <n v="138934144.58000001"/>
    <n v="3.8337999999999997E-2"/>
    <n v="139000000"/>
    <n v="1.2357910000000001"/>
    <n v="1.1769654500000001E-2"/>
    <s v="Bond"/>
    <s v="THB"/>
    <d v="2018-05-10T00:00:00"/>
    <x v="18"/>
    <s v="SCBTMFPLUS43397"/>
  </r>
  <r>
    <x v="0"/>
    <x v="3"/>
    <x v="0"/>
    <x v="4"/>
    <m/>
    <x v="40"/>
    <x v="13"/>
    <m/>
    <x v="29"/>
    <n v="671696739.84000003"/>
    <m/>
    <n v="671696410.55999994"/>
    <n v="3.8337999999999997E-2"/>
    <n v="672000000"/>
    <n v="1.1783650000000001"/>
    <n v="5.6902056700000002E-2"/>
    <s v="Bond"/>
    <s v="THB"/>
    <d v="2018-08-09T00:00:00"/>
    <x v="17"/>
    <s v="SCBTMFPLUS43397"/>
  </r>
  <r>
    <x v="0"/>
    <x v="3"/>
    <x v="0"/>
    <x v="4"/>
    <m/>
    <x v="41"/>
    <x v="13"/>
    <m/>
    <x v="30"/>
    <n v="30979057.329999998"/>
    <m/>
    <n v="30979057.329999998"/>
    <n v="5.7493000000000002E-2"/>
    <n v="31000000"/>
    <n v="1.175"/>
    <n v="2.6243570999999999E-3"/>
    <s v="Bond"/>
    <s v="THB"/>
    <d v="2018-05-17T00:00:00"/>
    <x v="18"/>
    <s v="SCBTMFPLUS43397"/>
  </r>
  <r>
    <x v="0"/>
    <x v="3"/>
    <x v="0"/>
    <x v="4"/>
    <m/>
    <x v="42"/>
    <x v="13"/>
    <m/>
    <x v="30"/>
    <n v="1003292752.28"/>
    <m/>
    <n v="1003292300.48"/>
    <n v="5.7493000000000002E-2"/>
    <n v="1004000000"/>
    <n v="1.22601"/>
    <n v="8.4992851199999997E-2"/>
    <s v="Bond"/>
    <s v="THB"/>
    <d v="2018-08-16T00:00:00"/>
    <x v="17"/>
    <s v="SCBTMFPLUS43397"/>
  </r>
  <r>
    <x v="0"/>
    <x v="3"/>
    <x v="0"/>
    <x v="4"/>
    <m/>
    <x v="44"/>
    <x v="13"/>
    <m/>
    <x v="31"/>
    <n v="338675885.49000001"/>
    <m/>
    <n v="338670603.87"/>
    <n v="7.664E-2"/>
    <n v="339000000"/>
    <n v="1.267868"/>
    <n v="2.8690558200000001E-2"/>
    <s v="Bond"/>
    <s v="THB"/>
    <d v="2018-08-23T00:00:00"/>
    <x v="17"/>
    <s v="SCBTMFPLUS43397"/>
  </r>
  <r>
    <x v="0"/>
    <x v="3"/>
    <x v="0"/>
    <x v="4"/>
    <m/>
    <x v="45"/>
    <x v="13"/>
    <m/>
    <x v="32"/>
    <n v="20974256.309999999"/>
    <m/>
    <n v="20974256.309999999"/>
    <n v="9.5772999999999997E-2"/>
    <n v="21000000"/>
    <n v="1.28"/>
    <n v="1.7768112E-3"/>
    <s v="Bond"/>
    <s v="THB"/>
    <d v="2018-05-31T00:00:00"/>
    <x v="18"/>
    <s v="SCBTMFPLUS43397"/>
  </r>
  <r>
    <x v="0"/>
    <x v="3"/>
    <x v="0"/>
    <x v="4"/>
    <m/>
    <x v="46"/>
    <x v="13"/>
    <m/>
    <x v="32"/>
    <n v="665240893.20000005"/>
    <m/>
    <n v="665207872.91999996"/>
    <n v="9.5771999999999996E-2"/>
    <n v="666000000"/>
    <n v="1.241832"/>
    <n v="5.6355156699999999E-2"/>
    <s v="Bond"/>
    <s v="THB"/>
    <d v="2018-08-30T00:00:00"/>
    <x v="17"/>
    <s v="SCBTMFPLUS43397"/>
  </r>
  <r>
    <x v="0"/>
    <x v="3"/>
    <x v="0"/>
    <x v="4"/>
    <m/>
    <x v="47"/>
    <x v="13"/>
    <m/>
    <x v="33"/>
    <n v="265000000"/>
    <m/>
    <n v="265000000"/>
    <n v="2.7399999999999998E-3"/>
    <n v="265000000"/>
    <n v="1.2160530000000001"/>
    <n v="2.2449185999999999E-2"/>
    <s v="Bond"/>
    <s v="THB"/>
    <d v="2018-04-26T00:00:00"/>
    <x v="18"/>
    <s v="SCBTMFPLUS43397"/>
  </r>
  <r>
    <x v="0"/>
    <x v="3"/>
    <x v="0"/>
    <x v="4"/>
    <m/>
    <x v="48"/>
    <x v="13"/>
    <m/>
    <x v="33"/>
    <n v="5000000"/>
    <m/>
    <n v="5000000"/>
    <n v="2.7399999999999998E-3"/>
    <n v="5000000"/>
    <n v="1.222683"/>
    <n v="4.235695E-4"/>
    <s v="Bond"/>
    <s v="THB"/>
    <d v="2018-07-26T00:00:00"/>
    <x v="17"/>
    <s v="SCBTMFPLUS43397"/>
  </r>
  <r>
    <x v="0"/>
    <x v="3"/>
    <x v="0"/>
    <x v="4"/>
    <m/>
    <x v="49"/>
    <x v="13"/>
    <m/>
    <x v="34"/>
    <n v="88985297.200000003"/>
    <m/>
    <n v="88985297.200000003"/>
    <n v="1.3696E-2"/>
    <n v="89000000"/>
    <n v="1.2061470000000001"/>
    <n v="7.5382924000000004E-3"/>
    <s v="Bond"/>
    <s v="THB"/>
    <d v="2018-10-16T00:00:00"/>
    <x v="20"/>
    <s v="SCBTMFPLUS43397"/>
  </r>
  <r>
    <x v="0"/>
    <x v="3"/>
    <x v="0"/>
    <x v="4"/>
    <m/>
    <x v="118"/>
    <x v="13"/>
    <m/>
    <x v="20"/>
    <n v="12962710.02"/>
    <m/>
    <n v="12962710.02"/>
    <n v="0.191223"/>
    <n v="13000000"/>
    <n v="1.5"/>
    <n v="1.0981217999999999E-3"/>
    <s v="Bond"/>
    <s v="THB"/>
    <d v="2018-07-05T00:00:00"/>
    <x v="18"/>
    <s v="SCBTMFPLUS43397"/>
  </r>
  <r>
    <x v="0"/>
    <x v="3"/>
    <x v="0"/>
    <x v="4"/>
    <m/>
    <x v="50"/>
    <x v="13"/>
    <m/>
    <x v="20"/>
    <n v="448734937.5"/>
    <m/>
    <n v="448717198.5"/>
    <n v="0.19125400000000001"/>
    <n v="450000000"/>
    <n v="1.490669"/>
    <n v="3.8014090799999997E-2"/>
    <s v="Bond"/>
    <s v="THB"/>
    <d v="2018-10-04T00:00:00"/>
    <x v="17"/>
    <s v="SCBTMFPLUS43397"/>
  </r>
  <r>
    <x v="0"/>
    <x v="3"/>
    <x v="0"/>
    <x v="4"/>
    <m/>
    <x v="51"/>
    <x v="13"/>
    <m/>
    <x v="35"/>
    <n v="847247487.5"/>
    <m/>
    <n v="847221579.5"/>
    <n v="0.21030699999999999"/>
    <n v="850000000"/>
    <n v="1.554543"/>
    <n v="7.1773646799999993E-2"/>
    <s v="Bond"/>
    <s v="THB"/>
    <d v="2018-10-11T00:00:00"/>
    <x v="17"/>
    <s v="SCBTMFPLUS43397"/>
  </r>
  <r>
    <x v="0"/>
    <x v="3"/>
    <x v="0"/>
    <x v="4"/>
    <m/>
    <x v="52"/>
    <x v="13"/>
    <m/>
    <x v="13"/>
    <n v="448426336.5"/>
    <m/>
    <n v="448382956.5"/>
    <n v="0.22931000000000001"/>
    <n v="450000000"/>
    <n v="1.5670599999999999"/>
    <n v="3.7987948000000001E-2"/>
    <s v="Bond"/>
    <s v="THB"/>
    <d v="2018-10-18T00:00:00"/>
    <x v="17"/>
    <s v="SCBTMFPLUS43397"/>
  </r>
  <r>
    <x v="0"/>
    <x v="3"/>
    <x v="0"/>
    <x v="4"/>
    <m/>
    <x v="53"/>
    <x v="13"/>
    <m/>
    <x v="36"/>
    <n v="249027209.74000001"/>
    <m/>
    <n v="249027209.74000001"/>
    <n v="0.25205499999999997"/>
    <n v="250000000"/>
    <n v="1.5668359999999999"/>
    <n v="2.1096068400000001E-2"/>
    <s v="Bond"/>
    <s v="THB"/>
    <d v="2018-10-25T00:00:00"/>
    <x v="17"/>
    <s v="SCBTMFPLUS43397"/>
  </r>
  <r>
    <x v="0"/>
    <x v="3"/>
    <x v="0"/>
    <x v="15"/>
    <m/>
    <x v="201"/>
    <x v="6"/>
    <s v="AAA(tha)"/>
    <x v="96"/>
    <n v="100201341"/>
    <n v="913863"/>
    <n v="100197979"/>
    <n v="0.16039700000000001"/>
    <n v="100000000"/>
    <n v="1.43"/>
    <n v="8.5658642000000004E-3"/>
    <s v="Bond"/>
    <s v="THB"/>
    <d v="2015-06-23T00:00:00"/>
    <x v="103"/>
    <s v="SCBTMFPLUS43397"/>
  </r>
  <r>
    <x v="0"/>
    <x v="3"/>
    <x v="0"/>
    <x v="5"/>
    <m/>
    <x v="202"/>
    <x v="1"/>
    <s v="AAA"/>
    <x v="97"/>
    <n v="30011982"/>
    <n v="82553.399999999994"/>
    <n v="30041494.199999999"/>
    <n v="0.34490300000000002"/>
    <n v="30000000"/>
    <n v="1.48"/>
    <n v="2.5494256999999999E-3"/>
    <s v="Bond"/>
    <s v="THB"/>
    <d v="2016-02-29T00:00:00"/>
    <x v="53"/>
    <s v="SCBTMFPLUS43397"/>
  </r>
  <r>
    <x v="0"/>
    <x v="3"/>
    <x v="0"/>
    <x v="5"/>
    <m/>
    <x v="145"/>
    <x v="7"/>
    <s v="A"/>
    <x v="32"/>
    <n v="4001220.36"/>
    <n v="30208.2"/>
    <n v="4000895.88"/>
    <n v="9.5202999999999996E-2"/>
    <n v="4000000"/>
    <n v="1.53"/>
    <n v="3.415181E-4"/>
    <s v="Bond"/>
    <s v="THB"/>
    <d v="2017-05-29T00:00:00"/>
    <x v="59"/>
    <s v="SCBTMFPLUS43397"/>
  </r>
  <r>
    <x v="0"/>
    <x v="3"/>
    <x v="4"/>
    <x v="16"/>
    <s v="Settle Date :25/10/2018"/>
    <x v="37"/>
    <x v="16"/>
    <m/>
    <x v="0"/>
    <n v="199953216"/>
    <m/>
    <n v="199953216"/>
    <m/>
    <m/>
    <n v="0"/>
    <n v="1.6938818599999999E-2"/>
    <s v="Bond"/>
    <s v="THB"/>
    <d v="2018-08-02T00:00:00"/>
    <x v="104"/>
    <s v="SCBTMFPLUS43397"/>
  </r>
  <r>
    <x v="0"/>
    <x v="3"/>
    <x v="2"/>
    <x v="7"/>
    <s v="Settle Date :25/10/2018"/>
    <x v="53"/>
    <x v="16"/>
    <m/>
    <x v="0"/>
    <n v="-249027209.74000001"/>
    <m/>
    <n v="-249027209.74000001"/>
    <m/>
    <m/>
    <n v="0"/>
    <n v="-2.1096068400000001E-2"/>
    <s v="Bond"/>
    <s v="THB"/>
    <d v="2018-10-25T00:00:00"/>
    <x v="30"/>
    <s v="SCBTMFPLUS43397"/>
  </r>
  <r>
    <x v="0"/>
    <x v="3"/>
    <x v="2"/>
    <x v="8"/>
    <s v="AUDITING FEE"/>
    <x v="64"/>
    <x v="16"/>
    <m/>
    <x v="0"/>
    <n v="-229000"/>
    <m/>
    <m/>
    <m/>
    <m/>
    <n v="0"/>
    <n v="-1.93995E-5"/>
    <m/>
    <m/>
    <m/>
    <x v="31"/>
    <s v="SCBTMFPLUS43397"/>
  </r>
  <r>
    <x v="0"/>
    <x v="3"/>
    <x v="2"/>
    <x v="8"/>
    <s v="AUDITING FEE"/>
    <x v="64"/>
    <x v="16"/>
    <m/>
    <x v="0"/>
    <n v="-11000"/>
    <m/>
    <m/>
    <m/>
    <m/>
    <n v="0"/>
    <n v="-9.3190000000000003E-7"/>
    <m/>
    <m/>
    <m/>
    <x v="31"/>
    <s v="SCBTMFPLUS43397"/>
  </r>
  <r>
    <x v="0"/>
    <x v="3"/>
    <x v="2"/>
    <x v="8"/>
    <s v="AUDITING FEE"/>
    <x v="64"/>
    <x v="16"/>
    <m/>
    <x v="0"/>
    <n v="-35506.620000000003"/>
    <m/>
    <m/>
    <m/>
    <m/>
    <n v="0"/>
    <n v="-3.0079E-6"/>
    <m/>
    <m/>
    <m/>
    <x v="31"/>
    <s v="SCBTMFPLUS43397"/>
  </r>
  <r>
    <x v="0"/>
    <x v="3"/>
    <x v="2"/>
    <x v="9"/>
    <m/>
    <x v="65"/>
    <x v="16"/>
    <m/>
    <x v="0"/>
    <n v="-61485.279999999999"/>
    <n v="0"/>
    <m/>
    <m/>
    <m/>
    <n v="0"/>
    <n v="-5.2086999999999998E-6"/>
    <m/>
    <m/>
    <m/>
    <x v="31"/>
    <s v="SCBTMFPLUS43397"/>
  </r>
  <r>
    <x v="0"/>
    <x v="3"/>
    <x v="2"/>
    <x v="13"/>
    <s v="CUSTODIAN FEE"/>
    <x v="65"/>
    <x v="16"/>
    <m/>
    <x v="0"/>
    <n v="-201989.91"/>
    <m/>
    <n v="-201989.91"/>
    <m/>
    <m/>
    <n v="0"/>
    <n v="-1.71114E-5"/>
    <m/>
    <m/>
    <m/>
    <x v="31"/>
    <s v="SCBTMFPLUS43397"/>
  </r>
  <r>
    <x v="0"/>
    <x v="3"/>
    <x v="2"/>
    <x v="12"/>
    <s v="MANAGEMENT FEE"/>
    <x v="65"/>
    <x v="16"/>
    <m/>
    <x v="0"/>
    <n v="-1384864.51"/>
    <m/>
    <n v="-1384864.51"/>
    <m/>
    <m/>
    <n v="0"/>
    <n v="-1.173173E-4"/>
    <m/>
    <m/>
    <m/>
    <x v="31"/>
    <s v="SCBTMFPLUS43397"/>
  </r>
  <r>
    <x v="0"/>
    <x v="3"/>
    <x v="3"/>
    <x v="13"/>
    <s v="CUSTODIAN FEE"/>
    <x v="65"/>
    <x v="16"/>
    <m/>
    <x v="0"/>
    <n v="-17302.59"/>
    <m/>
    <n v="-17302.59"/>
    <m/>
    <m/>
    <n v="0"/>
    <n v="-1.4658E-6"/>
    <m/>
    <m/>
    <m/>
    <x v="31"/>
    <s v="SCBTMFPLUS43397"/>
  </r>
  <r>
    <x v="0"/>
    <x v="3"/>
    <x v="3"/>
    <x v="12"/>
    <s v="MANAGEMENT FEE"/>
    <x v="65"/>
    <x v="16"/>
    <m/>
    <x v="0"/>
    <n v="-118671.95"/>
    <m/>
    <n v="-118671.95"/>
    <m/>
    <m/>
    <n v="0"/>
    <n v="-1.0053200000000001E-5"/>
    <m/>
    <m/>
    <m/>
    <x v="31"/>
    <s v="SCBTMFPLUS43397"/>
  </r>
  <r>
    <x v="0"/>
    <x v="4"/>
    <x v="0"/>
    <x v="0"/>
    <m/>
    <x v="67"/>
    <x v="17"/>
    <m/>
    <x v="0"/>
    <n v="0"/>
    <m/>
    <n v="0"/>
    <n v="0"/>
    <n v="0"/>
    <n v="0"/>
    <n v="0"/>
    <s v="Cash Bal"/>
    <s v="AEDbb"/>
    <d v="1900-01-01T00:00:00"/>
    <x v="0"/>
    <s v="SCBRF43397"/>
  </r>
  <r>
    <x v="0"/>
    <x v="4"/>
    <x v="0"/>
    <x v="0"/>
    <m/>
    <x v="0"/>
    <x v="0"/>
    <s v="AA+(tha)"/>
    <x v="0"/>
    <n v="0"/>
    <m/>
    <n v="0"/>
    <n v="0"/>
    <n v="0"/>
    <n v="0"/>
    <n v="0"/>
    <s v="Cash Bal"/>
    <s v="CNHbb"/>
    <d v="1900-01-01T00:00:00"/>
    <x v="0"/>
    <s v="SCBRF43397"/>
  </r>
  <r>
    <x v="0"/>
    <x v="4"/>
    <x v="0"/>
    <x v="0"/>
    <m/>
    <x v="4"/>
    <x v="0"/>
    <s v="AA+(tha)"/>
    <x v="0"/>
    <n v="0"/>
    <m/>
    <n v="0"/>
    <n v="0"/>
    <n v="0"/>
    <n v="0"/>
    <n v="0"/>
    <s v="Cash Bal"/>
    <s v="USDbb"/>
    <d v="1900-01-01T00:00:00"/>
    <x v="0"/>
    <s v="SCBRF43397"/>
  </r>
  <r>
    <x v="0"/>
    <x v="4"/>
    <x v="0"/>
    <x v="0"/>
    <m/>
    <x v="5"/>
    <x v="1"/>
    <m/>
    <x v="0"/>
    <n v="693017.86"/>
    <n v="905.44"/>
    <n v="693017.86"/>
    <n v="0"/>
    <n v="0"/>
    <n v="0"/>
    <n v="1.1763520999999999E-3"/>
    <s v="Cash Bal"/>
    <s v="THB"/>
    <d v="1900-01-01T00:00:00"/>
    <x v="0"/>
    <s v="SCBRF43397"/>
  </r>
  <r>
    <x v="0"/>
    <x v="4"/>
    <x v="0"/>
    <x v="1"/>
    <m/>
    <x v="203"/>
    <x v="7"/>
    <s v="A"/>
    <x v="19"/>
    <n v="195888.14"/>
    <n v="491.06"/>
    <n v="195888.14"/>
    <n v="0"/>
    <n v="195888.14"/>
    <n v="0"/>
    <n v="3.3290579999999999E-4"/>
    <s v="Bond"/>
    <s v="THB"/>
    <d v="2006-01-11T00:00:00"/>
    <x v="105"/>
    <s v="SCBRF43397"/>
  </r>
  <r>
    <x v="0"/>
    <x v="4"/>
    <x v="0"/>
    <x v="1"/>
    <m/>
    <x v="204"/>
    <x v="8"/>
    <s v="AA+(tha)"/>
    <x v="19"/>
    <n v="43832.959999999999"/>
    <n v="52.24"/>
    <n v="43832.959999999999"/>
    <n v="0"/>
    <n v="43832.959999999999"/>
    <n v="0"/>
    <n v="7.4394999999999995E-5"/>
    <s v="Bond"/>
    <s v="THB"/>
    <d v="2008-03-28T00:00:00"/>
    <x v="12"/>
    <s v="SCBRF43397"/>
  </r>
  <r>
    <x v="0"/>
    <x v="4"/>
    <x v="0"/>
    <x v="1"/>
    <m/>
    <x v="205"/>
    <x v="9"/>
    <s v="AAA(tha)"/>
    <x v="19"/>
    <n v="1434247.11"/>
    <n v="29712.1"/>
    <n v="1434247.11"/>
    <n v="0"/>
    <n v="1434247.11"/>
    <n v="0"/>
    <n v="2.4817316999999998E-3"/>
    <s v="Bond"/>
    <s v="THB"/>
    <d v="2005-09-01T00:00:00"/>
    <x v="106"/>
    <s v="SCBRF43397"/>
  </r>
  <r>
    <x v="0"/>
    <x v="4"/>
    <x v="0"/>
    <x v="2"/>
    <m/>
    <x v="206"/>
    <x v="49"/>
    <m/>
    <x v="19"/>
    <n v="24185.75"/>
    <m/>
    <n v="24185.75"/>
    <m/>
    <n v="24185.75"/>
    <n v="0"/>
    <n v="4.1000100000000001E-5"/>
    <s v="Bond"/>
    <s v="THB"/>
    <d v="2017-10-16T00:00:00"/>
    <x v="107"/>
    <s v="SCBRF43397"/>
  </r>
  <r>
    <x v="0"/>
    <x v="4"/>
    <x v="0"/>
    <x v="4"/>
    <m/>
    <x v="36"/>
    <x v="13"/>
    <m/>
    <x v="28"/>
    <n v="13996778.880000001"/>
    <m/>
    <n v="13996778.880000001"/>
    <n v="1.9174E-2"/>
    <n v="14000000"/>
    <n v="1.2"/>
    <n v="2.3727608099999999E-2"/>
    <s v="Bond"/>
    <s v="THB"/>
    <d v="2018-05-03T00:00:00"/>
    <x v="18"/>
    <s v="SCBRF43397"/>
  </r>
  <r>
    <x v="0"/>
    <x v="4"/>
    <x v="0"/>
    <x v="4"/>
    <m/>
    <x v="40"/>
    <x v="13"/>
    <m/>
    <x v="29"/>
    <n v="6996725.8899999997"/>
    <m/>
    <n v="6996725.8899999997"/>
    <n v="3.8337999999999997E-2"/>
    <n v="7000000"/>
    <n v="1.22"/>
    <n v="1.1860984E-2"/>
    <s v="Bond"/>
    <s v="THB"/>
    <d v="2018-08-09T00:00:00"/>
    <x v="17"/>
    <s v="SCBRF43397"/>
  </r>
  <r>
    <x v="0"/>
    <x v="4"/>
    <x v="0"/>
    <x v="5"/>
    <m/>
    <x v="207"/>
    <x v="50"/>
    <m/>
    <x v="98"/>
    <n v="9969870.0999999996"/>
    <n v="113643.84"/>
    <n v="10000000"/>
    <n v="1.5005010000000001"/>
    <n v="10000000"/>
    <n v="2.44"/>
    <n v="1.70937663E-2"/>
    <s v="Bond"/>
    <s v="THB"/>
    <d v="2017-05-08T00:00:00"/>
    <x v="53"/>
    <s v="SCBRF43397"/>
  </r>
  <r>
    <x v="0"/>
    <x v="4"/>
    <x v="0"/>
    <x v="5"/>
    <m/>
    <x v="208"/>
    <x v="51"/>
    <s v="A"/>
    <x v="99"/>
    <n v="4971527.2"/>
    <n v="6246.6"/>
    <n v="5000000"/>
    <n v="1.8857999999999999"/>
    <n v="5000000"/>
    <n v="2.2799999999999998"/>
    <n v="8.4384177000000008E-3"/>
    <s v="Bond"/>
    <s v="THB"/>
    <d v="2017-10-05T00:00:00"/>
    <x v="53"/>
    <s v="SCBRF43397"/>
  </r>
  <r>
    <x v="0"/>
    <x v="4"/>
    <x v="0"/>
    <x v="5"/>
    <m/>
    <x v="209"/>
    <x v="24"/>
    <s v="A+"/>
    <x v="100"/>
    <n v="14916356.140000001"/>
    <n v="49709.52"/>
    <n v="14699335.140000001"/>
    <n v="2.2798660000000002"/>
    <n v="14000000"/>
    <n v="3.25"/>
    <n v="2.5370761700000001E-2"/>
    <s v="Bond"/>
    <s v="THB"/>
    <d v="2011-04-01T00:00:00"/>
    <x v="108"/>
    <s v="SCBRF43397"/>
  </r>
  <r>
    <x v="0"/>
    <x v="4"/>
    <x v="0"/>
    <x v="5"/>
    <m/>
    <x v="210"/>
    <x v="24"/>
    <s v="A+"/>
    <x v="101"/>
    <n v="10679798.699999999"/>
    <n v="148602.70000000001"/>
    <n v="10993880.9"/>
    <n v="4.9223530000000002"/>
    <n v="10000000"/>
    <n v="2.89"/>
    <n v="1.8356513800000002E-2"/>
    <s v="Bond"/>
    <s v="THB"/>
    <d v="2014-07-04T00:00:00"/>
    <x v="108"/>
    <s v="SCBRF43397"/>
  </r>
  <r>
    <x v="0"/>
    <x v="4"/>
    <x v="0"/>
    <x v="5"/>
    <m/>
    <x v="211"/>
    <x v="24"/>
    <s v="A+"/>
    <x v="102"/>
    <n v="10426385.199999999"/>
    <n v="4569.8999999999996"/>
    <n v="10481362.1"/>
    <n v="7.1346020000000001"/>
    <n v="10000000"/>
    <n v="3.51"/>
    <n v="1.7682755200000001E-2"/>
    <s v="Bond"/>
    <s v="THB"/>
    <d v="2017-04-21T00:00:00"/>
    <x v="109"/>
    <s v="SCBRF43397"/>
  </r>
  <r>
    <x v="0"/>
    <x v="4"/>
    <x v="0"/>
    <x v="5"/>
    <m/>
    <x v="212"/>
    <x v="52"/>
    <s v="A"/>
    <x v="103"/>
    <n v="42852804.280000001"/>
    <n v="59309.8"/>
    <n v="44000000"/>
    <n v="4.1632870000000004"/>
    <n v="44000000"/>
    <n v="2.46"/>
    <n v="7.2745439100000003E-2"/>
    <s v="Bond"/>
    <s v="THB"/>
    <d v="2018-04-05T00:00:00"/>
    <x v="21"/>
    <s v="SCBRF43397"/>
  </r>
  <r>
    <x v="0"/>
    <x v="4"/>
    <x v="0"/>
    <x v="5"/>
    <m/>
    <x v="213"/>
    <x v="32"/>
    <s v="A+"/>
    <x v="104"/>
    <n v="10555499.5"/>
    <n v="37497.82"/>
    <n v="10799206.859999999"/>
    <n v="2.7275"/>
    <n v="10600000"/>
    <n v="2.0150000000000001"/>
    <n v="1.7957452299999999E-2"/>
    <s v="Bond"/>
    <s v="THB"/>
    <d v="2016-09-07T00:00:00"/>
    <x v="21"/>
    <s v="SCBRF43397"/>
  </r>
  <r>
    <x v="0"/>
    <x v="4"/>
    <x v="0"/>
    <x v="5"/>
    <m/>
    <x v="214"/>
    <x v="32"/>
    <s v="A+"/>
    <x v="105"/>
    <n v="1992713.44"/>
    <n v="8074.52"/>
    <n v="2030077.62"/>
    <n v="4.4663839999999997"/>
    <n v="2000000"/>
    <n v="2.74"/>
    <n v="3.3917741000000002E-3"/>
    <s v="Bond"/>
    <s v="THB"/>
    <d v="2016-09-07T00:00:00"/>
    <x v="110"/>
    <s v="SCBRF43397"/>
  </r>
  <r>
    <x v="0"/>
    <x v="4"/>
    <x v="0"/>
    <x v="5"/>
    <m/>
    <x v="215"/>
    <x v="33"/>
    <s v="A"/>
    <x v="106"/>
    <n v="14878406.25"/>
    <n v="144616.5"/>
    <n v="15000000"/>
    <n v="2.4681129999999998"/>
    <n v="15000000"/>
    <n v="2.2999999999999998"/>
    <n v="2.5467316399999999E-2"/>
    <s v="Bond"/>
    <s v="THB"/>
    <d v="2016-05-25T00:00:00"/>
    <x v="21"/>
    <s v="SCBRF43397"/>
  </r>
  <r>
    <x v="0"/>
    <x v="4"/>
    <x v="0"/>
    <x v="5"/>
    <m/>
    <x v="216"/>
    <x v="33"/>
    <s v="A"/>
    <x v="107"/>
    <n v="7013578.5300000003"/>
    <n v="54312.3"/>
    <n v="7000000"/>
    <n v="3.4931860000000001"/>
    <n v="7000000"/>
    <n v="2.95"/>
    <n v="1.1981624099999999E-2"/>
    <s v="Bond"/>
    <s v="THB"/>
    <d v="2017-07-21T00:00:00"/>
    <x v="21"/>
    <s v="SCBRF43397"/>
  </r>
  <r>
    <x v="0"/>
    <x v="4"/>
    <x v="0"/>
    <x v="5"/>
    <m/>
    <x v="217"/>
    <x v="33"/>
    <s v="A"/>
    <x v="108"/>
    <n v="10754306.09"/>
    <n v="20505.21"/>
    <n v="11000000"/>
    <n v="4.1377689999999996"/>
    <n v="11000000"/>
    <n v="2.52"/>
    <n v="1.8265666900000001E-2"/>
    <s v="Bond"/>
    <s v="THB"/>
    <d v="2018-03-28T00:00:00"/>
    <x v="21"/>
    <s v="SCBRF43397"/>
  </r>
  <r>
    <x v="0"/>
    <x v="4"/>
    <x v="0"/>
    <x v="5"/>
    <m/>
    <x v="218"/>
    <x v="53"/>
    <s v="A"/>
    <x v="109"/>
    <n v="25115930.25"/>
    <n v="283068.5"/>
    <n v="25174995"/>
    <n v="1.0156019999999999"/>
    <n v="25000000"/>
    <n v="1.77"/>
    <n v="4.3056869999999997E-2"/>
    <s v="Bond"/>
    <s v="THB"/>
    <d v="2016-11-10T00:00:00"/>
    <x v="54"/>
    <s v="SCBRF43397"/>
  </r>
  <r>
    <x v="0"/>
    <x v="4"/>
    <x v="0"/>
    <x v="5"/>
    <m/>
    <x v="219"/>
    <x v="25"/>
    <s v="A"/>
    <x v="110"/>
    <n v="20826763.649999999"/>
    <n v="155940.75"/>
    <n v="21000000"/>
    <n v="2.0873219999999999"/>
    <n v="21000000"/>
    <n v="2.2400000000000002"/>
    <n v="3.5570283100000002E-2"/>
    <s v="Bond"/>
    <s v="THB"/>
    <d v="2017-12-26T00:00:00"/>
    <x v="53"/>
    <s v="SCBRF43397"/>
  </r>
  <r>
    <x v="0"/>
    <x v="4"/>
    <x v="0"/>
    <x v="5"/>
    <m/>
    <x v="220"/>
    <x v="54"/>
    <s v="A-"/>
    <x v="111"/>
    <n v="29854829.699999999"/>
    <n v="241939.8"/>
    <n v="30000000"/>
    <n v="1.5867020000000001"/>
    <n v="30000000"/>
    <n v="2.23"/>
    <n v="5.1020621100000003E-2"/>
    <s v="Bond"/>
    <s v="THB"/>
    <d v="2018-06-15T00:00:00"/>
    <x v="58"/>
    <s v="SCBRF43397"/>
  </r>
  <r>
    <x v="0"/>
    <x v="4"/>
    <x v="0"/>
    <x v="5"/>
    <m/>
    <x v="221"/>
    <x v="55"/>
    <s v="A-"/>
    <x v="112"/>
    <n v="10948591.279999999"/>
    <n v="118136.97"/>
    <n v="11039495.060000001"/>
    <n v="1.967209"/>
    <n v="11000000"/>
    <n v="2.058182"/>
    <n v="1.8760530099999999E-2"/>
    <s v="Bond"/>
    <s v="THB"/>
    <d v="2017-11-03T00:00:00"/>
    <x v="53"/>
    <s v="SCBRF43397"/>
  </r>
  <r>
    <x v="0"/>
    <x v="4"/>
    <x v="0"/>
    <x v="5"/>
    <m/>
    <x v="222"/>
    <x v="26"/>
    <s v="A+"/>
    <x v="86"/>
    <n v="10605237.699999999"/>
    <n v="112767.1"/>
    <n v="10742766.1"/>
    <n v="2.5730089999999999"/>
    <n v="10000000"/>
    <n v="2.12"/>
    <n v="1.8169367400000001E-2"/>
    <s v="Bond"/>
    <s v="THB"/>
    <d v="2013-08-02T00:00:00"/>
    <x v="111"/>
    <s v="SCBRF43397"/>
  </r>
  <r>
    <x v="0"/>
    <x v="4"/>
    <x v="0"/>
    <x v="5"/>
    <m/>
    <x v="223"/>
    <x v="26"/>
    <s v="A+"/>
    <x v="113"/>
    <n v="27573089.600000001"/>
    <n v="217594.44"/>
    <n v="28000000"/>
    <n v="5.5962709999999998"/>
    <n v="28000000"/>
    <n v="3.05"/>
    <n v="4.7111300799999999E-2"/>
    <s v="Bond"/>
    <s v="THB"/>
    <d v="2018-01-24T00:00:00"/>
    <x v="51"/>
    <s v="SCBRF43397"/>
  </r>
  <r>
    <x v="0"/>
    <x v="4"/>
    <x v="0"/>
    <x v="5"/>
    <m/>
    <x v="125"/>
    <x v="34"/>
    <s v="BBB+"/>
    <x v="73"/>
    <n v="7937962.6399999997"/>
    <n v="99910.16"/>
    <n v="8000000"/>
    <n v="1.9891380000000001"/>
    <n v="8000000"/>
    <n v="3.08"/>
    <n v="1.3625956200000001E-2"/>
    <s v="Bond"/>
    <s v="THB"/>
    <d v="2017-11-30T00:00:00"/>
    <x v="53"/>
    <s v="SCBRF43397"/>
  </r>
  <r>
    <x v="0"/>
    <x v="4"/>
    <x v="0"/>
    <x v="5"/>
    <m/>
    <x v="126"/>
    <x v="35"/>
    <s v="BBB+"/>
    <x v="74"/>
    <n v="17073638.390000001"/>
    <n v="241842.51"/>
    <n v="17000000"/>
    <n v="1.0397540000000001"/>
    <n v="17000000"/>
    <n v="3.35"/>
    <n v="2.93535355E-2"/>
    <s v="Bond"/>
    <s v="THB"/>
    <d v="2016-11-23T00:00:00"/>
    <x v="54"/>
    <s v="SCBRF43397"/>
  </r>
  <r>
    <x v="0"/>
    <x v="4"/>
    <x v="0"/>
    <x v="5"/>
    <m/>
    <x v="224"/>
    <x v="56"/>
    <s v="A+(tha)"/>
    <x v="114"/>
    <n v="8933136.6600000001"/>
    <n v="14168.25"/>
    <n v="9000000"/>
    <n v="2.8086980000000001"/>
    <n v="9000000"/>
    <n v="2.21"/>
    <n v="1.5167643E-2"/>
    <s v="Bond"/>
    <s v="THB"/>
    <d v="2017-09-29T00:00:00"/>
    <x v="112"/>
    <s v="SCBRF43397"/>
  </r>
  <r>
    <x v="0"/>
    <x v="4"/>
    <x v="0"/>
    <x v="5"/>
    <m/>
    <x v="225"/>
    <x v="57"/>
    <s v="A-(tha)"/>
    <x v="115"/>
    <n v="4206729.16"/>
    <n v="91861.92"/>
    <n v="4252660.8"/>
    <n v="2.3383229999999999"/>
    <n v="4000000"/>
    <n v="2.375"/>
    <n v="7.2870540999999999E-3"/>
    <s v="Bond"/>
    <s v="THB"/>
    <d v="2014-05-09T00:00:00"/>
    <x v="51"/>
    <s v="SCBRF43397"/>
  </r>
  <r>
    <x v="0"/>
    <x v="4"/>
    <x v="0"/>
    <x v="5"/>
    <m/>
    <x v="226"/>
    <x v="58"/>
    <s v="AA-"/>
    <x v="116"/>
    <n v="4011782.56"/>
    <n v="49578.080000000002"/>
    <n v="4000000"/>
    <n v="1.490356"/>
    <n v="4000000"/>
    <n v="2.6"/>
    <n v="6.8848965000000003E-3"/>
    <s v="Bond"/>
    <s v="THB"/>
    <d v="2017-05-04T00:00:00"/>
    <x v="53"/>
    <s v="SCBRF43397"/>
  </r>
  <r>
    <x v="0"/>
    <x v="4"/>
    <x v="0"/>
    <x v="5"/>
    <m/>
    <x v="137"/>
    <x v="37"/>
    <s v="A-"/>
    <x v="79"/>
    <n v="39677798"/>
    <n v="47945.2"/>
    <n v="40000000"/>
    <n v="1.3980630000000001"/>
    <n v="40000000"/>
    <n v="1.75"/>
    <n v="6.7343842099999995E-2"/>
    <s v="Bond"/>
    <s v="THB"/>
    <d v="2018-03-30T00:00:00"/>
    <x v="58"/>
    <s v="SCBRF43397"/>
  </r>
  <r>
    <x v="0"/>
    <x v="4"/>
    <x v="0"/>
    <x v="5"/>
    <m/>
    <x v="227"/>
    <x v="59"/>
    <s v="A"/>
    <x v="117"/>
    <n v="2992090.38"/>
    <n v="21644.37"/>
    <n v="3000000"/>
    <n v="1.1100220000000001"/>
    <n v="3000000"/>
    <n v="1.98"/>
    <n v="5.1089409999999997E-3"/>
    <s v="Bond"/>
    <s v="THB"/>
    <d v="2017-12-14T00:00:00"/>
    <x v="113"/>
    <s v="SCBRF43397"/>
  </r>
  <r>
    <x v="0"/>
    <x v="4"/>
    <x v="0"/>
    <x v="5"/>
    <m/>
    <x v="228"/>
    <x v="39"/>
    <s v="A-"/>
    <x v="118"/>
    <n v="4937168.3499999996"/>
    <n v="47315.05"/>
    <n v="5000000"/>
    <n v="1.991565"/>
    <n v="5000000"/>
    <n v="2.2000000000000002"/>
    <n v="8.4497918999999998E-3"/>
    <s v="Bond"/>
    <s v="THB"/>
    <d v="2017-11-21T00:00:00"/>
    <x v="53"/>
    <s v="SCBRF43397"/>
  </r>
  <r>
    <x v="0"/>
    <x v="4"/>
    <x v="0"/>
    <x v="5"/>
    <m/>
    <x v="139"/>
    <x v="39"/>
    <s v="A-"/>
    <x v="80"/>
    <n v="10843202.92"/>
    <n v="32547.9"/>
    <n v="11000000"/>
    <n v="2.2738260000000001"/>
    <n v="11000000"/>
    <n v="2.16"/>
    <n v="1.8436781499999999E-2"/>
    <s v="Bond"/>
    <s v="THB"/>
    <d v="2018-03-05T00:00:00"/>
    <x v="53"/>
    <s v="SCBRF43397"/>
  </r>
  <r>
    <x v="0"/>
    <x v="4"/>
    <x v="0"/>
    <x v="5"/>
    <m/>
    <x v="229"/>
    <x v="11"/>
    <s v="A"/>
    <x v="116"/>
    <n v="4014733.64"/>
    <n v="49387.39"/>
    <n v="4038958.36"/>
    <n v="1.490872"/>
    <n v="4000000"/>
    <n v="1.94"/>
    <n v="6.8895759000000001E-3"/>
    <s v="Bond"/>
    <s v="THB"/>
    <d v="2017-05-04T00:00:00"/>
    <x v="53"/>
    <s v="SCBRF43397"/>
  </r>
  <r>
    <x v="0"/>
    <x v="4"/>
    <x v="0"/>
    <x v="5"/>
    <m/>
    <x v="141"/>
    <x v="11"/>
    <s v="A"/>
    <x v="81"/>
    <n v="8887841.7300000004"/>
    <n v="20613.689999999999"/>
    <n v="9000000"/>
    <n v="2.3043559999999998"/>
    <n v="9000000"/>
    <n v="2.09"/>
    <n v="1.5101784599999999E-2"/>
    <s v="Bond"/>
    <s v="THB"/>
    <d v="2018-03-15T00:00:00"/>
    <x v="53"/>
    <s v="SCBRF43397"/>
  </r>
  <r>
    <x v="0"/>
    <x v="4"/>
    <x v="0"/>
    <x v="5"/>
    <m/>
    <x v="230"/>
    <x v="41"/>
    <s v="A-"/>
    <x v="119"/>
    <n v="10483149.800000001"/>
    <n v="29490.400000000001"/>
    <n v="10573090.1"/>
    <n v="2.7336140000000002"/>
    <n v="10000000"/>
    <n v="2.64"/>
    <n v="1.7821229399999999E-2"/>
    <s v="Bond"/>
    <s v="THB"/>
    <d v="2014-10-02T00:00:00"/>
    <x v="51"/>
    <s v="SCBRF43397"/>
  </r>
  <r>
    <x v="0"/>
    <x v="4"/>
    <x v="0"/>
    <x v="5"/>
    <m/>
    <x v="231"/>
    <x v="60"/>
    <s v="A"/>
    <x v="120"/>
    <n v="5072307.95"/>
    <n v="31758.9"/>
    <n v="5070412.3499999996"/>
    <n v="1.739471"/>
    <n v="5000000"/>
    <n v="2.41"/>
    <n v="8.6525121000000007E-3"/>
    <s v="Bond"/>
    <s v="THB"/>
    <d v="2015-08-14T00:00:00"/>
    <x v="114"/>
    <s v="SCBRF43397"/>
  </r>
  <r>
    <x v="0"/>
    <x v="4"/>
    <x v="0"/>
    <x v="5"/>
    <m/>
    <x v="232"/>
    <x v="60"/>
    <s v="A"/>
    <x v="121"/>
    <n v="1983566.08"/>
    <n v="4942.46"/>
    <n v="2000000"/>
    <n v="2.3000180000000001"/>
    <n v="2000000"/>
    <n v="2.2000000000000002"/>
    <n v="3.3709577999999998E-3"/>
    <s v="Bond"/>
    <s v="THB"/>
    <d v="2018-03-14T00:00:00"/>
    <x v="53"/>
    <s v="SCBRF43397"/>
  </r>
  <r>
    <x v="0"/>
    <x v="4"/>
    <x v="0"/>
    <x v="5"/>
    <m/>
    <x v="233"/>
    <x v="7"/>
    <s v="A"/>
    <x v="122"/>
    <n v="4993232.7"/>
    <n v="40513.699999999997"/>
    <n v="5003651.95"/>
    <n v="0.53146899999999997"/>
    <n v="5000000"/>
    <n v="1.6"/>
    <n v="8.5333035000000005E-3"/>
    <s v="Bond"/>
    <s v="THB"/>
    <d v="2017-11-09T00:00:00"/>
    <x v="62"/>
    <s v="SCBRF43397"/>
  </r>
  <r>
    <x v="0"/>
    <x v="4"/>
    <x v="0"/>
    <x v="5"/>
    <m/>
    <x v="146"/>
    <x v="7"/>
    <s v="A"/>
    <x v="10"/>
    <n v="9967923.0999999996"/>
    <n v="35441.1"/>
    <n v="10000000"/>
    <n v="0.78085800000000005"/>
    <n v="10000000"/>
    <n v="1.68"/>
    <n v="1.6957894899999999E-2"/>
    <s v="Bond"/>
    <s v="THB"/>
    <d v="2018-02-09T00:00:00"/>
    <x v="62"/>
    <s v="SCBRF43397"/>
  </r>
  <r>
    <x v="0"/>
    <x v="4"/>
    <x v="0"/>
    <x v="5"/>
    <m/>
    <x v="234"/>
    <x v="42"/>
    <s v="BBB+"/>
    <x v="123"/>
    <n v="12002926.92"/>
    <n v="177652.56"/>
    <n v="12000000"/>
    <n v="9.0255000000000002E-2"/>
    <n v="12000000"/>
    <n v="2.2799999999999998"/>
    <n v="2.0648751999999999E-2"/>
    <s v="Bond"/>
    <s v="THB"/>
    <d v="2018-03-02T00:00:00"/>
    <x v="16"/>
    <s v="SCBRF43397"/>
  </r>
  <r>
    <x v="0"/>
    <x v="4"/>
    <x v="0"/>
    <x v="5"/>
    <m/>
    <x v="235"/>
    <x v="42"/>
    <s v="BBB+"/>
    <x v="65"/>
    <n v="10999542.949999999"/>
    <n v="103972.55"/>
    <n v="11000000"/>
    <n v="0.261436"/>
    <n v="11000000"/>
    <n v="2.2999999999999998"/>
    <n v="1.8822892500000001E-2"/>
    <s v="Bond"/>
    <s v="THB"/>
    <d v="2018-05-28T00:00:00"/>
    <x v="64"/>
    <s v="SCBRF43397"/>
  </r>
  <r>
    <x v="0"/>
    <x v="4"/>
    <x v="0"/>
    <x v="5"/>
    <m/>
    <x v="236"/>
    <x v="43"/>
    <s v="BBB+"/>
    <x v="27"/>
    <n v="12004938.24"/>
    <n v="158794.56"/>
    <n v="12000000"/>
    <n v="0.15293799999999999"/>
    <n v="12000000"/>
    <n v="2.2999999999999998"/>
    <n v="2.0620193200000001E-2"/>
    <s v="Bond"/>
    <s v="THB"/>
    <d v="2018-03-29T00:00:00"/>
    <x v="45"/>
    <s v="SCBRF43397"/>
  </r>
  <r>
    <x v="0"/>
    <x v="4"/>
    <x v="0"/>
    <x v="5"/>
    <m/>
    <x v="150"/>
    <x v="43"/>
    <s v="BBB+"/>
    <x v="86"/>
    <n v="18981970.140000001"/>
    <n v="161786.28"/>
    <n v="19000000"/>
    <n v="2.6247090000000002"/>
    <n v="19000000"/>
    <n v="3.7"/>
    <n v="3.2452863200000001E-2"/>
    <s v="Bond"/>
    <s v="THB"/>
    <d v="2018-08-02T00:00:00"/>
    <x v="53"/>
    <s v="SCBRF43397"/>
  </r>
  <r>
    <x v="0"/>
    <x v="4"/>
    <x v="0"/>
    <x v="5"/>
    <m/>
    <x v="237"/>
    <x v="9"/>
    <s v="AAA(tha)"/>
    <x v="124"/>
    <n v="1599437.5"/>
    <n v="3243.84"/>
    <n v="1601553.36"/>
    <n v="0.38255299999999998"/>
    <n v="1600000"/>
    <n v="1.615"/>
    <n v="2.7168962E-3"/>
    <s v="Bond"/>
    <s v="THB"/>
    <d v="2016-03-15T00:00:00"/>
    <x v="54"/>
    <s v="SCBRF43397"/>
  </r>
  <r>
    <x v="0"/>
    <x v="4"/>
    <x v="0"/>
    <x v="5"/>
    <m/>
    <x v="151"/>
    <x v="44"/>
    <s v="A-"/>
    <x v="87"/>
    <n v="20778490.530000001"/>
    <n v="123756.14"/>
    <n v="21000000"/>
    <n v="2.422148"/>
    <n v="21000000"/>
    <n v="2.39"/>
    <n v="3.5433889599999997E-2"/>
    <s v="Bond"/>
    <s v="THB"/>
    <d v="2018-04-27T00:00:00"/>
    <x v="53"/>
    <s v="SCBRF43397"/>
  </r>
  <r>
    <x v="0"/>
    <x v="4"/>
    <x v="0"/>
    <x v="5"/>
    <m/>
    <x v="152"/>
    <x v="45"/>
    <s v="A"/>
    <x v="88"/>
    <n v="49636862.5"/>
    <n v="77397.5"/>
    <n v="50000000"/>
    <n v="2.3531439999999999"/>
    <n v="50000000"/>
    <n v="2.2599999999999998"/>
    <n v="8.4276567400000002E-2"/>
    <s v="Bond"/>
    <s v="THB"/>
    <d v="2018-03-30T00:00:00"/>
    <x v="53"/>
    <s v="SCBRF43397"/>
  </r>
  <r>
    <x v="0"/>
    <x v="4"/>
    <x v="0"/>
    <x v="5"/>
    <m/>
    <x v="153"/>
    <x v="46"/>
    <s v="A-"/>
    <x v="89"/>
    <n v="20160533.199999999"/>
    <n v="124076.8"/>
    <n v="20000000"/>
    <n v="1.7444759999999999"/>
    <n v="20000000"/>
    <n v="3.33"/>
    <n v="3.43868601E-2"/>
    <s v="Bond"/>
    <s v="THB"/>
    <d v="2017-08-18T00:00:00"/>
    <x v="53"/>
    <s v="SCBRF43397"/>
  </r>
  <r>
    <x v="0"/>
    <x v="4"/>
    <x v="4"/>
    <x v="16"/>
    <s v="Settle Date :25/10/2018"/>
    <x v="238"/>
    <x v="16"/>
    <m/>
    <x v="0"/>
    <n v="7046914.8399999999"/>
    <m/>
    <n v="7046914.8399999999"/>
    <m/>
    <m/>
    <n v="0"/>
    <n v="1.19460652E-2"/>
    <s v="Bond"/>
    <s v="THB"/>
    <d v="2017-06-15T00:00:00"/>
    <x v="115"/>
    <s v="SCBRF43397"/>
  </r>
  <r>
    <x v="0"/>
    <x v="4"/>
    <x v="2"/>
    <x v="8"/>
    <s v="AUDITING FEE"/>
    <x v="64"/>
    <x v="16"/>
    <m/>
    <x v="0"/>
    <n v="-36548.120000000003"/>
    <m/>
    <m/>
    <m/>
    <m/>
    <n v="0"/>
    <n v="-6.1957099999999997E-5"/>
    <m/>
    <m/>
    <m/>
    <x v="31"/>
    <s v="SCBRF43397"/>
  </r>
  <r>
    <x v="0"/>
    <x v="4"/>
    <x v="2"/>
    <x v="8"/>
    <s v="AUDITING FEE"/>
    <x v="64"/>
    <x v="16"/>
    <m/>
    <x v="0"/>
    <n v="-1018.3"/>
    <m/>
    <m/>
    <m/>
    <m/>
    <n v="0"/>
    <n v="-1.7262000000000001E-6"/>
    <m/>
    <m/>
    <m/>
    <x v="31"/>
    <s v="SCBRF43397"/>
  </r>
  <r>
    <x v="0"/>
    <x v="4"/>
    <x v="2"/>
    <x v="9"/>
    <m/>
    <x v="65"/>
    <x v="16"/>
    <m/>
    <x v="0"/>
    <n v="-7887.31"/>
    <n v="0"/>
    <m/>
    <m/>
    <m/>
    <n v="0"/>
    <n v="-1.3370700000000001E-5"/>
    <m/>
    <m/>
    <m/>
    <x v="31"/>
    <s v="SCBRF43397"/>
  </r>
  <r>
    <x v="0"/>
    <x v="4"/>
    <x v="2"/>
    <x v="13"/>
    <s v="CUSTODIAN FEE"/>
    <x v="65"/>
    <x v="16"/>
    <m/>
    <x v="0"/>
    <n v="-12113.56"/>
    <m/>
    <n v="-12113.56"/>
    <m/>
    <m/>
    <n v="0"/>
    <n v="-2.0535099999999999E-5"/>
    <m/>
    <m/>
    <m/>
    <x v="31"/>
    <s v="SCBRF43397"/>
  </r>
  <r>
    <x v="0"/>
    <x v="4"/>
    <x v="2"/>
    <x v="12"/>
    <s v="MANAGEMENT FEE"/>
    <x v="65"/>
    <x v="16"/>
    <m/>
    <x v="0"/>
    <n v="-177550.42"/>
    <m/>
    <n v="-177550.42"/>
    <m/>
    <m/>
    <n v="0"/>
    <n v="-3.0098689999999998E-4"/>
    <m/>
    <m/>
    <m/>
    <x v="31"/>
    <s v="SCBRF43397"/>
  </r>
  <r>
    <x v="0"/>
    <x v="4"/>
    <x v="2"/>
    <x v="10"/>
    <s v="REGISTRAR FEE"/>
    <x v="65"/>
    <x v="16"/>
    <m/>
    <x v="0"/>
    <n v="0"/>
    <m/>
    <n v="0"/>
    <m/>
    <m/>
    <n v="0"/>
    <n v="0"/>
    <m/>
    <m/>
    <m/>
    <x v="31"/>
    <s v="SCBRF43397"/>
  </r>
  <r>
    <x v="0"/>
    <x v="4"/>
    <x v="3"/>
    <x v="13"/>
    <s v="CUSTODIAN FEE"/>
    <x v="65"/>
    <x v="16"/>
    <m/>
    <x v="0"/>
    <n v="-1037.5999999999999"/>
    <m/>
    <m/>
    <m/>
    <m/>
    <n v="0"/>
    <n v="-1.759E-6"/>
    <m/>
    <m/>
    <m/>
    <x v="31"/>
    <s v="SCBRF43397"/>
  </r>
  <r>
    <x v="0"/>
    <x v="4"/>
    <x v="3"/>
    <x v="12"/>
    <s v="MANAGEMENT FEE"/>
    <x v="65"/>
    <x v="16"/>
    <m/>
    <x v="0"/>
    <n v="-15208.22"/>
    <m/>
    <m/>
    <m/>
    <m/>
    <n v="0"/>
    <n v="-2.57813E-5"/>
    <m/>
    <m/>
    <m/>
    <x v="31"/>
    <s v="SCBRF43397"/>
  </r>
  <r>
    <x v="0"/>
    <x v="4"/>
    <x v="3"/>
    <x v="10"/>
    <s v="REGISTRAR FEE"/>
    <x v="65"/>
    <x v="16"/>
    <m/>
    <x v="0"/>
    <n v="0"/>
    <m/>
    <m/>
    <m/>
    <m/>
    <n v="0"/>
    <n v="0"/>
    <m/>
    <m/>
    <m/>
    <x v="31"/>
    <s v="SCBRF43397"/>
  </r>
  <r>
    <x v="0"/>
    <x v="5"/>
    <x v="0"/>
    <x v="0"/>
    <m/>
    <x v="5"/>
    <x v="1"/>
    <m/>
    <x v="0"/>
    <n v="3097722.44"/>
    <n v="2473.4699999999998"/>
    <n v="3097722.44"/>
    <n v="0"/>
    <n v="0"/>
    <n v="0"/>
    <n v="3.1814899999999999E-4"/>
    <s v="Cash Bal"/>
    <s v="THB"/>
    <d v="1900-01-01T00:00:00"/>
    <x v="0"/>
    <s v="SCBRM143397"/>
  </r>
  <r>
    <x v="0"/>
    <x v="5"/>
    <x v="0"/>
    <x v="1"/>
    <m/>
    <x v="72"/>
    <x v="2"/>
    <s v="AA-"/>
    <x v="39"/>
    <n v="400000000"/>
    <n v="2911232.88"/>
    <n v="400000000"/>
    <n v="0.55652400000000002"/>
    <n v="400000000"/>
    <n v="1.65"/>
    <n v="4.1347648700000003E-2"/>
    <s v="Bond"/>
    <s v="THB"/>
    <d v="2018-05-17T00:00:00"/>
    <x v="3"/>
    <s v="SCBRM143397"/>
  </r>
  <r>
    <x v="0"/>
    <x v="5"/>
    <x v="0"/>
    <x v="1"/>
    <m/>
    <x v="93"/>
    <x v="6"/>
    <s v="AAA(tha)"/>
    <x v="57"/>
    <n v="200000000"/>
    <n v="847671.23"/>
    <n v="200000000"/>
    <n v="0.74393600000000004"/>
    <n v="200000000"/>
    <n v="1.7"/>
    <n v="2.0611435599999998E-2"/>
    <s v="Bond"/>
    <s v="THB"/>
    <d v="2018-07-26T00:00:00"/>
    <x v="3"/>
    <s v="SCBRM143397"/>
  </r>
  <r>
    <x v="0"/>
    <x v="5"/>
    <x v="0"/>
    <x v="1"/>
    <m/>
    <x v="239"/>
    <x v="6"/>
    <s v="AAA(tha)"/>
    <x v="72"/>
    <n v="202000000"/>
    <n v="2904372.6"/>
    <n v="202000000"/>
    <n v="0.101206"/>
    <n v="202000000"/>
    <n v="1.6"/>
    <n v="2.10277434E-2"/>
    <s v="Bond"/>
    <s v="THB"/>
    <d v="2017-12-01T00:00:00"/>
    <x v="6"/>
    <s v="SCBRM143397"/>
  </r>
  <r>
    <x v="0"/>
    <x v="5"/>
    <x v="0"/>
    <x v="1"/>
    <m/>
    <x v="240"/>
    <x v="8"/>
    <s v="AA+(tha)"/>
    <x v="19"/>
    <n v="102113.28"/>
    <n v="121.7"/>
    <n v="102113.28"/>
    <n v="0"/>
    <n v="102113.28"/>
    <n v="0"/>
    <n v="1.04916E-5"/>
    <s v="Bond"/>
    <s v="THB"/>
    <d v="2010-01-05T00:00:00"/>
    <x v="116"/>
    <s v="SCBRM143397"/>
  </r>
  <r>
    <x v="0"/>
    <x v="5"/>
    <x v="0"/>
    <x v="1"/>
    <m/>
    <x v="241"/>
    <x v="9"/>
    <s v="AAA(tha)"/>
    <x v="19"/>
    <n v="310271.09000000003"/>
    <n v="72936.789999999994"/>
    <n v="310271.09000000003"/>
    <n v="0"/>
    <n v="310271.09000000003"/>
    <n v="0"/>
    <n v="3.9325600000000002E-5"/>
    <s v="Bond"/>
    <s v="THB"/>
    <d v="2005-08-30T00:00:00"/>
    <x v="13"/>
    <s v="SCBRM143397"/>
  </r>
  <r>
    <x v="0"/>
    <x v="5"/>
    <x v="0"/>
    <x v="2"/>
    <m/>
    <x v="106"/>
    <x v="24"/>
    <s v="A+"/>
    <x v="64"/>
    <n v="99486311"/>
    <m/>
    <n v="99517951"/>
    <n v="0.283468"/>
    <n v="100000000"/>
    <n v="1.7"/>
    <n v="1.0209507E-2"/>
    <s v="Bond"/>
    <s v="THB"/>
    <d v="2018-08-06T00:00:00"/>
    <x v="41"/>
    <s v="SCBRM143397"/>
  </r>
  <r>
    <x v="0"/>
    <x v="5"/>
    <x v="0"/>
    <x v="2"/>
    <m/>
    <x v="115"/>
    <x v="11"/>
    <s v="A"/>
    <x v="50"/>
    <n v="298660211.19"/>
    <m/>
    <n v="298736712.00999999"/>
    <n v="0.26729399999999998"/>
    <n v="300000000"/>
    <n v="1.575"/>
    <n v="3.06491765E-2"/>
    <s v="Bond"/>
    <s v="THB"/>
    <d v="2018-05-07T00:00:00"/>
    <x v="50"/>
    <s v="SCBRM143397"/>
  </r>
  <r>
    <x v="0"/>
    <x v="5"/>
    <x v="0"/>
    <x v="2"/>
    <m/>
    <x v="242"/>
    <x v="43"/>
    <s v="BBB+"/>
    <x v="66"/>
    <n v="57401300.799999997"/>
    <m/>
    <n v="57449741.82"/>
    <n v="0.41214000000000001"/>
    <n v="58000000"/>
    <n v="2.2999999999999998"/>
    <n v="5.8906493999999997E-3"/>
    <s v="Bond"/>
    <s v="THB"/>
    <d v="2018-06-29T00:00:00"/>
    <x v="16"/>
    <s v="SCBRM143397"/>
  </r>
  <r>
    <x v="0"/>
    <x v="5"/>
    <x v="0"/>
    <x v="3"/>
    <m/>
    <x v="31"/>
    <x v="12"/>
    <s v="BBB+"/>
    <x v="23"/>
    <n v="39973278"/>
    <m/>
    <n v="39973278"/>
    <n v="5.4757E-2"/>
    <n v="40000000"/>
    <n v="1.22"/>
    <n v="4.1021469E-3"/>
    <s v="Bond"/>
    <s v="THB"/>
    <d v="2017-11-15T00:00:00"/>
    <x v="6"/>
    <s v="SCBRM143397"/>
  </r>
  <r>
    <x v="0"/>
    <x v="5"/>
    <x v="0"/>
    <x v="4"/>
    <m/>
    <x v="33"/>
    <x v="13"/>
    <m/>
    <x v="25"/>
    <n v="149775951"/>
    <m/>
    <n v="149768620.5"/>
    <n v="0.114895"/>
    <n v="150000000"/>
    <n v="1.3426"/>
    <n v="1.5370341900000001E-2"/>
    <s v="Bond"/>
    <s v="THB"/>
    <d v="2018-09-06T00:00:00"/>
    <x v="17"/>
    <s v="SCBRM143397"/>
  </r>
  <r>
    <x v="0"/>
    <x v="5"/>
    <x v="0"/>
    <x v="4"/>
    <m/>
    <x v="34"/>
    <x v="13"/>
    <m/>
    <x v="26"/>
    <n v="149768280"/>
    <m/>
    <n v="149765980.5"/>
    <n v="0.13397899999999999"/>
    <n v="150000000"/>
    <n v="1.163953"/>
    <n v="1.5369554699999999E-2"/>
    <s v="Bond"/>
    <s v="THB"/>
    <d v="2018-09-13T00:00:00"/>
    <x v="17"/>
    <s v="SCBRM143397"/>
  </r>
  <r>
    <x v="0"/>
    <x v="5"/>
    <x v="0"/>
    <x v="4"/>
    <m/>
    <x v="243"/>
    <x v="13"/>
    <m/>
    <x v="27"/>
    <n v="107765219.88"/>
    <m/>
    <n v="107765219.88"/>
    <n v="0.153084"/>
    <n v="108000000"/>
    <n v="1.42"/>
    <n v="1.1059107E-2"/>
    <s v="Bond"/>
    <s v="THB"/>
    <d v="2018-06-21T00:00:00"/>
    <x v="18"/>
    <s v="SCBRM143397"/>
  </r>
  <r>
    <x v="0"/>
    <x v="5"/>
    <x v="0"/>
    <x v="4"/>
    <m/>
    <x v="117"/>
    <x v="13"/>
    <m/>
    <x v="69"/>
    <n v="278337023.45999998"/>
    <m/>
    <n v="278332230.24000001"/>
    <n v="0.172151"/>
    <n v="279000000"/>
    <n v="1.39"/>
    <n v="2.8563565700000002E-2"/>
    <s v="Bond"/>
    <s v="THB"/>
    <d v="2018-09-27T00:00:00"/>
    <x v="17"/>
    <s v="SCBRM143397"/>
  </r>
  <r>
    <x v="0"/>
    <x v="5"/>
    <x v="0"/>
    <x v="4"/>
    <m/>
    <x v="36"/>
    <x v="13"/>
    <m/>
    <x v="28"/>
    <n v="64984671.049999997"/>
    <m/>
    <n v="64984671.049999997"/>
    <n v="1.9174E-2"/>
    <n v="65000000"/>
    <n v="1.23"/>
    <n v="6.6688718000000001E-3"/>
    <s v="Bond"/>
    <s v="THB"/>
    <d v="2018-05-03T00:00:00"/>
    <x v="18"/>
    <s v="SCBRM143397"/>
  </r>
  <r>
    <x v="0"/>
    <x v="5"/>
    <x v="0"/>
    <x v="4"/>
    <m/>
    <x v="38"/>
    <x v="13"/>
    <m/>
    <x v="5"/>
    <n v="269892820.80000001"/>
    <m/>
    <n v="269892820.80000001"/>
    <n v="3.2863999999999997E-2"/>
    <n v="270000000"/>
    <n v="1.2079029999999999"/>
    <n v="2.7697002799999999E-2"/>
    <s v="Bond"/>
    <s v="THB"/>
    <d v="2018-10-24T00:00:00"/>
    <x v="19"/>
    <s v="SCBRM143397"/>
  </r>
  <r>
    <x v="0"/>
    <x v="5"/>
    <x v="0"/>
    <x v="4"/>
    <m/>
    <x v="39"/>
    <x v="13"/>
    <m/>
    <x v="29"/>
    <n v="128941777.14"/>
    <m/>
    <n v="128941777.14"/>
    <n v="3.8337999999999997E-2"/>
    <n v="129000000"/>
    <n v="1.1772480000000001"/>
    <n v="1.3232292499999999E-2"/>
    <s v="Bond"/>
    <s v="THB"/>
    <d v="2018-05-10T00:00:00"/>
    <x v="18"/>
    <s v="SCBRM143397"/>
  </r>
  <r>
    <x v="0"/>
    <x v="5"/>
    <x v="0"/>
    <x v="4"/>
    <m/>
    <x v="40"/>
    <x v="13"/>
    <m/>
    <x v="29"/>
    <n v="249881592.5"/>
    <m/>
    <n v="249881362.5"/>
    <n v="3.8337999999999997E-2"/>
    <n v="250000000"/>
    <n v="1.237797"/>
    <n v="2.5643405899999999E-2"/>
    <s v="Bond"/>
    <s v="THB"/>
    <d v="2018-08-09T00:00:00"/>
    <x v="17"/>
    <s v="SCBRM143397"/>
  </r>
  <r>
    <x v="0"/>
    <x v="5"/>
    <x v="0"/>
    <x v="4"/>
    <m/>
    <x v="42"/>
    <x v="13"/>
    <m/>
    <x v="30"/>
    <n v="49965626.5"/>
    <m/>
    <n v="49965626.5"/>
    <n v="5.7493000000000002E-2"/>
    <n v="50000000"/>
    <n v="1.1957139999999999"/>
    <n v="5.1275838999999997E-3"/>
    <s v="Bond"/>
    <s v="THB"/>
    <d v="2018-08-16T00:00:00"/>
    <x v="17"/>
    <s v="SCBRM143397"/>
  </r>
  <r>
    <x v="0"/>
    <x v="5"/>
    <x v="0"/>
    <x v="4"/>
    <m/>
    <x v="43"/>
    <x v="13"/>
    <m/>
    <x v="31"/>
    <n v="99905733"/>
    <m/>
    <n v="99905733"/>
    <n v="7.6638999999999999E-2"/>
    <n v="100000000"/>
    <n v="1.23"/>
    <n v="1.0252549E-2"/>
    <s v="Bond"/>
    <s v="THB"/>
    <d v="2018-05-24T00:00:00"/>
    <x v="18"/>
    <s v="SCBRM143397"/>
  </r>
  <r>
    <x v="0"/>
    <x v="5"/>
    <x v="0"/>
    <x v="4"/>
    <m/>
    <x v="45"/>
    <x v="13"/>
    <m/>
    <x v="32"/>
    <n v="224760300.75"/>
    <m/>
    <n v="224760300.75"/>
    <n v="9.5772999999999997E-2"/>
    <n v="225000000"/>
    <n v="1.112174"/>
    <n v="2.3065403000000002E-2"/>
    <s v="Bond"/>
    <s v="THB"/>
    <d v="2018-05-31T00:00:00"/>
    <x v="18"/>
    <s v="SCBRM143397"/>
  </r>
  <r>
    <x v="0"/>
    <x v="5"/>
    <x v="0"/>
    <x v="4"/>
    <m/>
    <x v="47"/>
    <x v="13"/>
    <m/>
    <x v="33"/>
    <n v="25000000"/>
    <m/>
    <n v="25000000"/>
    <n v="2.7399999999999998E-3"/>
    <n v="25000000"/>
    <n v="1.18"/>
    <n v="2.5655557E-3"/>
    <s v="Bond"/>
    <s v="THB"/>
    <d v="2018-04-26T00:00:00"/>
    <x v="18"/>
    <s v="SCBRM143397"/>
  </r>
  <r>
    <x v="0"/>
    <x v="5"/>
    <x v="0"/>
    <x v="4"/>
    <m/>
    <x v="48"/>
    <x v="13"/>
    <m/>
    <x v="33"/>
    <n v="158000000"/>
    <m/>
    <n v="158000000"/>
    <n v="2.7399999999999998E-3"/>
    <n v="158000000"/>
    <n v="1.1427849999999999"/>
    <n v="1.6214312099999999E-2"/>
    <s v="Bond"/>
    <s v="THB"/>
    <d v="2018-07-26T00:00:00"/>
    <x v="17"/>
    <s v="SCBRM143397"/>
  </r>
  <r>
    <x v="0"/>
    <x v="5"/>
    <x v="0"/>
    <x v="4"/>
    <m/>
    <x v="50"/>
    <x v="13"/>
    <m/>
    <x v="20"/>
    <n v="89746987.5"/>
    <m/>
    <n v="89743440.599999994"/>
    <n v="0.19125400000000001"/>
    <n v="90000000"/>
    <n v="1.490667"/>
    <n v="9.2100359E-3"/>
    <s v="Bond"/>
    <s v="THB"/>
    <d v="2018-10-04T00:00:00"/>
    <x v="17"/>
    <s v="SCBRM143397"/>
  </r>
  <r>
    <x v="0"/>
    <x v="5"/>
    <x v="0"/>
    <x v="4"/>
    <m/>
    <x v="51"/>
    <x v="13"/>
    <m/>
    <x v="35"/>
    <n v="199352350"/>
    <m/>
    <n v="199346250"/>
    <n v="0.21030699999999999"/>
    <n v="200000000"/>
    <n v="1.554554"/>
    <n v="2.0457982400000001E-2"/>
    <s v="Bond"/>
    <s v="THB"/>
    <d v="2018-10-11T00:00:00"/>
    <x v="17"/>
    <s v="SCBRM143397"/>
  </r>
  <r>
    <x v="0"/>
    <x v="5"/>
    <x v="0"/>
    <x v="4"/>
    <m/>
    <x v="53"/>
    <x v="13"/>
    <m/>
    <x v="36"/>
    <n v="179299592.19999999"/>
    <m/>
    <n v="179299592.19999999"/>
    <n v="0.25205499999999997"/>
    <n v="180000000"/>
    <n v="1.5668329999999999"/>
    <n v="1.84001237E-2"/>
    <s v="Bond"/>
    <s v="THB"/>
    <d v="2018-10-25T00:00:00"/>
    <x v="17"/>
    <s v="SCBRM143397"/>
  </r>
  <r>
    <x v="0"/>
    <x v="5"/>
    <x v="0"/>
    <x v="4"/>
    <m/>
    <x v="244"/>
    <x v="13"/>
    <m/>
    <x v="125"/>
    <n v="49674191.5"/>
    <m/>
    <n v="49708003"/>
    <n v="0.38106200000000001"/>
    <n v="50000000"/>
    <n v="1.5315000000000001"/>
    <n v="5.0976761999999998E-3"/>
    <s v="Bond"/>
    <s v="THB"/>
    <d v="2018-03-15T00:00:00"/>
    <x v="6"/>
    <s v="SCBRM143397"/>
  </r>
  <r>
    <x v="0"/>
    <x v="5"/>
    <x v="0"/>
    <x v="15"/>
    <m/>
    <x v="245"/>
    <x v="13"/>
    <m/>
    <x v="126"/>
    <n v="49978691"/>
    <n v="143753.5"/>
    <n v="50027822.5"/>
    <n v="0.32056299999999999"/>
    <n v="50000000"/>
    <n v="1.3946000000000001"/>
    <n v="5.1436770000000001E-3"/>
    <s v="Bond"/>
    <s v="THB"/>
    <d v="2017-02-20T00:00:00"/>
    <x v="113"/>
    <s v="SCBRM143397"/>
  </r>
  <r>
    <x v="0"/>
    <x v="5"/>
    <x v="0"/>
    <x v="15"/>
    <m/>
    <x v="246"/>
    <x v="13"/>
    <m/>
    <x v="127"/>
    <n v="199717338"/>
    <n v="388768"/>
    <n v="200325384"/>
    <n v="0.86610600000000004"/>
    <n v="200000000"/>
    <n v="1.47"/>
    <n v="2.05353346E-2"/>
    <s v="Bond"/>
    <s v="THB"/>
    <d v="2016-09-12T00:00:00"/>
    <x v="54"/>
    <s v="SCBRM143397"/>
  </r>
  <r>
    <x v="0"/>
    <x v="5"/>
    <x v="0"/>
    <x v="15"/>
    <m/>
    <x v="247"/>
    <x v="13"/>
    <m/>
    <x v="128"/>
    <n v="108959290"/>
    <n v="141945.1"/>
    <n v="110109981.3"/>
    <n v="1.8708610000000001"/>
    <n v="110000000"/>
    <n v="1.52"/>
    <n v="1.1196211899999999E-2"/>
    <s v="Bond"/>
    <s v="THB"/>
    <d v="2017-09-25T00:00:00"/>
    <x v="53"/>
    <s v="SCBRM143397"/>
  </r>
  <r>
    <x v="0"/>
    <x v="5"/>
    <x v="0"/>
    <x v="15"/>
    <m/>
    <x v="248"/>
    <x v="12"/>
    <s v="BBB+"/>
    <x v="129"/>
    <n v="90863766.900000006"/>
    <n v="760807.8"/>
    <n v="91516166.099999994"/>
    <n v="1.6168119999999999"/>
    <n v="90000000"/>
    <n v="1.5216670000000001"/>
    <n v="9.4027181000000005E-3"/>
    <s v="Bond"/>
    <s v="THB"/>
    <d v="2015-06-26T00:00:00"/>
    <x v="114"/>
    <s v="SCBRM143397"/>
  </r>
  <r>
    <x v="0"/>
    <x v="5"/>
    <x v="0"/>
    <x v="5"/>
    <m/>
    <x v="208"/>
    <x v="51"/>
    <s v="A"/>
    <x v="99"/>
    <n v="19886108.800000001"/>
    <n v="24986.400000000001"/>
    <n v="20000000"/>
    <n v="1.8857999999999999"/>
    <n v="20000000"/>
    <n v="2.2799999999999998"/>
    <n v="2.0433209999999999E-3"/>
    <s v="Bond"/>
    <s v="THB"/>
    <d v="2017-10-05T00:00:00"/>
    <x v="53"/>
    <s v="SCBRM143397"/>
  </r>
  <r>
    <x v="0"/>
    <x v="5"/>
    <x v="0"/>
    <x v="5"/>
    <m/>
    <x v="249"/>
    <x v="61"/>
    <s v="AA+(tha)"/>
    <x v="130"/>
    <n v="6301677.9000000004"/>
    <n v="10494.24"/>
    <n v="6367289.4000000004"/>
    <n v="2.3259789999999998"/>
    <n v="6000000"/>
    <n v="2"/>
    <n v="6.4776920000000004E-4"/>
    <s v="Bond"/>
    <s v="THB"/>
    <d v="2014-04-11T00:00:00"/>
    <x v="51"/>
    <s v="SCBRM143397"/>
  </r>
  <r>
    <x v="0"/>
    <x v="5"/>
    <x v="0"/>
    <x v="5"/>
    <m/>
    <x v="250"/>
    <x v="24"/>
    <s v="A+"/>
    <x v="131"/>
    <n v="149756698.90000001"/>
    <n v="1957221.6"/>
    <n v="148082233.09999999"/>
    <n v="1.6137319999999999"/>
    <n v="145000000"/>
    <n v="3.05"/>
    <n v="1.5569220599999999E-2"/>
    <s v="Bond"/>
    <s v="THB"/>
    <d v="2014-07-04T00:00:00"/>
    <x v="117"/>
    <s v="SCBRM143397"/>
  </r>
  <r>
    <x v="0"/>
    <x v="5"/>
    <x v="0"/>
    <x v="5"/>
    <m/>
    <x v="251"/>
    <x v="1"/>
    <s v="AAA"/>
    <x v="132"/>
    <n v="117000331.11"/>
    <n v="1125571.5900000001"/>
    <n v="116999960.22"/>
    <n v="5.4450000000000002E-3"/>
    <n v="117000000"/>
    <n v="1.452564"/>
    <n v="1.2122343400000001E-2"/>
    <s v="Bond"/>
    <s v="THB"/>
    <d v="2016-10-27T00:00:00"/>
    <x v="113"/>
    <s v="SCBRM143397"/>
  </r>
  <r>
    <x v="0"/>
    <x v="5"/>
    <x v="0"/>
    <x v="5"/>
    <m/>
    <x v="252"/>
    <x v="52"/>
    <s v="A"/>
    <x v="133"/>
    <n v="10008445"/>
    <n v="74811"/>
    <n v="10024562.5"/>
    <n v="0.65210100000000004"/>
    <n v="10000000"/>
    <n v="1.84"/>
    <n v="1.0347662E-3"/>
    <s v="Bond"/>
    <s v="THB"/>
    <d v="2016-06-24T00:00:00"/>
    <x v="54"/>
    <s v="SCBRM143397"/>
  </r>
  <r>
    <x v="0"/>
    <x v="5"/>
    <x v="0"/>
    <x v="5"/>
    <m/>
    <x v="253"/>
    <x v="32"/>
    <s v="A+"/>
    <x v="134"/>
    <n v="32065171.52"/>
    <n v="69304"/>
    <n v="32087817.600000001"/>
    <n v="0.40674300000000002"/>
    <n v="32000000"/>
    <n v="1.9"/>
    <n v="3.2977115000000002E-3"/>
    <s v="Bond"/>
    <s v="THB"/>
    <d v="2017-03-24T00:00:00"/>
    <x v="113"/>
    <s v="SCBRM143397"/>
  </r>
  <r>
    <x v="0"/>
    <x v="5"/>
    <x v="0"/>
    <x v="5"/>
    <m/>
    <x v="254"/>
    <x v="32"/>
    <s v="A+"/>
    <x v="135"/>
    <n v="80101359.200000003"/>
    <n v="246180.8"/>
    <n v="80516580.799999997"/>
    <n v="0.84925899999999999"/>
    <n v="80000000"/>
    <n v="1.595"/>
    <n v="8.2454435999999992E-3"/>
    <s v="Bond"/>
    <s v="THB"/>
    <d v="2016-09-07T00:00:00"/>
    <x v="54"/>
    <s v="SCBRM143397"/>
  </r>
  <r>
    <x v="0"/>
    <x v="5"/>
    <x v="0"/>
    <x v="5"/>
    <m/>
    <x v="121"/>
    <x v="32"/>
    <s v="A+"/>
    <x v="70"/>
    <n v="245363812.75"/>
    <n v="2528466.15"/>
    <n v="245316892.80000001"/>
    <n v="1.5604579999999999"/>
    <n v="245000000"/>
    <n v="2.6245720000000001"/>
    <n v="2.5439258100000001E-2"/>
    <s v="Bond"/>
    <s v="THB"/>
    <d v="2016-12-08T00:00:00"/>
    <x v="52"/>
    <s v="SCBRM143397"/>
  </r>
  <r>
    <x v="0"/>
    <x v="5"/>
    <x v="0"/>
    <x v="5"/>
    <m/>
    <x v="213"/>
    <x v="32"/>
    <s v="A+"/>
    <x v="104"/>
    <n v="19916036.800000001"/>
    <n v="70750.600000000006"/>
    <n v="20303183.800000001"/>
    <n v="2.7275"/>
    <n v="20000000"/>
    <n v="2.145"/>
    <n v="2.0510887000000002E-3"/>
    <s v="Bond"/>
    <s v="THB"/>
    <d v="2016-09-07T00:00:00"/>
    <x v="21"/>
    <s v="SCBRM143397"/>
  </r>
  <r>
    <x v="0"/>
    <x v="5"/>
    <x v="0"/>
    <x v="5"/>
    <m/>
    <x v="218"/>
    <x v="53"/>
    <s v="A"/>
    <x v="109"/>
    <n v="130602837.3"/>
    <n v="1471956.2"/>
    <n v="130997509.5"/>
    <n v="1.0156019999999999"/>
    <n v="130000000"/>
    <n v="1.7050000000000001"/>
    <n v="1.3553809700000001E-2"/>
    <s v="Bond"/>
    <s v="THB"/>
    <d v="2016-11-10T00:00:00"/>
    <x v="54"/>
    <s v="SCBRM143397"/>
  </r>
  <r>
    <x v="0"/>
    <x v="5"/>
    <x v="0"/>
    <x v="5"/>
    <m/>
    <x v="219"/>
    <x v="25"/>
    <s v="A"/>
    <x v="110"/>
    <n v="51571033.799999997"/>
    <n v="386139"/>
    <n v="52000000"/>
    <n v="2.0873219999999999"/>
    <n v="52000000"/>
    <n v="2.2400000000000002"/>
    <n v="5.3319609E-3"/>
    <s v="Bond"/>
    <s v="THB"/>
    <d v="2017-12-26T00:00:00"/>
    <x v="53"/>
    <s v="SCBRM143397"/>
  </r>
  <r>
    <x v="0"/>
    <x v="5"/>
    <x v="0"/>
    <x v="5"/>
    <m/>
    <x v="220"/>
    <x v="54"/>
    <s v="A-"/>
    <x v="111"/>
    <n v="376170854.22000003"/>
    <n v="3048441.48"/>
    <n v="378000000"/>
    <n v="1.5867020000000001"/>
    <n v="378000000"/>
    <n v="2.23"/>
    <n v="3.8916329299999997E-2"/>
    <s v="Bond"/>
    <s v="THB"/>
    <d v="2018-06-15T00:00:00"/>
    <x v="58"/>
    <s v="SCBRM143397"/>
  </r>
  <r>
    <x v="0"/>
    <x v="5"/>
    <x v="0"/>
    <x v="5"/>
    <m/>
    <x v="255"/>
    <x v="14"/>
    <s v="A+"/>
    <x v="48"/>
    <n v="42504606.68"/>
    <n v="138872.32000000001"/>
    <n v="42443107.840000004"/>
    <n v="0.41497699999999998"/>
    <n v="42100000"/>
    <n v="2.3730410000000002"/>
    <n v="4.3761688999999996E-3"/>
    <s v="Bond"/>
    <s v="THB"/>
    <d v="2014-03-27T00:00:00"/>
    <x v="21"/>
    <s v="SCBRM143397"/>
  </r>
  <r>
    <x v="0"/>
    <x v="5"/>
    <x v="0"/>
    <x v="5"/>
    <m/>
    <x v="256"/>
    <x v="14"/>
    <s v="A+"/>
    <x v="136"/>
    <n v="101555489"/>
    <n v="745205"/>
    <n v="101381412"/>
    <n v="0.80907700000000005"/>
    <n v="100000000"/>
    <n v="2.5299999999999998"/>
    <n v="1.04983252E-2"/>
    <s v="Bond"/>
    <s v="THB"/>
    <d v="2014-08-22T00:00:00"/>
    <x v="21"/>
    <s v="SCBRM143397"/>
  </r>
  <r>
    <x v="0"/>
    <x v="5"/>
    <x v="0"/>
    <x v="5"/>
    <m/>
    <x v="257"/>
    <x v="14"/>
    <s v="A+"/>
    <x v="137"/>
    <n v="5261563.5999999996"/>
    <n v="124356.15"/>
    <n v="5194050.5999999996"/>
    <n v="1.9218420000000001"/>
    <n v="5000000"/>
    <n v="3.1"/>
    <n v="5.5271509999999999E-4"/>
    <s v="Bond"/>
    <s v="THB"/>
    <d v="2013-10-31T00:00:00"/>
    <x v="51"/>
    <s v="SCBRM143397"/>
  </r>
  <r>
    <x v="0"/>
    <x v="5"/>
    <x v="0"/>
    <x v="5"/>
    <m/>
    <x v="258"/>
    <x v="26"/>
    <s v="A+"/>
    <x v="8"/>
    <n v="23421948.109999999"/>
    <n v="240309.06"/>
    <n v="23399546.57"/>
    <n v="0.75504000000000004"/>
    <n v="23000000"/>
    <n v="2.2349999999999999"/>
    <n v="2.4282736000000001E-3"/>
    <s v="Bond"/>
    <s v="THB"/>
    <d v="2013-08-02T00:00:00"/>
    <x v="118"/>
    <s v="SCBRM143397"/>
  </r>
  <r>
    <x v="0"/>
    <x v="5"/>
    <x v="0"/>
    <x v="5"/>
    <m/>
    <x v="259"/>
    <x v="26"/>
    <s v="A+"/>
    <x v="138"/>
    <n v="269794867.5"/>
    <n v="219253.5"/>
    <n v="270000000"/>
    <n v="1.429473"/>
    <n v="270000000"/>
    <n v="2.2799999999999998"/>
    <n v="2.7709450900000002E-2"/>
    <s v="Bond"/>
    <s v="THB"/>
    <d v="2016-04-12T00:00:00"/>
    <x v="112"/>
    <s v="SCBRM143397"/>
  </r>
  <r>
    <x v="0"/>
    <x v="5"/>
    <x v="0"/>
    <x v="5"/>
    <m/>
    <x v="260"/>
    <x v="27"/>
    <s v="A+"/>
    <x v="139"/>
    <n v="25034626.5"/>
    <n v="175356.25"/>
    <n v="25186683.25"/>
    <n v="1.667637"/>
    <n v="25000000"/>
    <n v="2.06"/>
    <n v="2.5871046E-3"/>
    <s v="Bond"/>
    <s v="THB"/>
    <d v="2016-07-15T00:00:00"/>
    <x v="112"/>
    <s v="SCBRM143397"/>
  </r>
  <r>
    <x v="0"/>
    <x v="5"/>
    <x v="0"/>
    <x v="5"/>
    <m/>
    <x v="125"/>
    <x v="34"/>
    <s v="BBB+"/>
    <x v="73"/>
    <n v="25798378.579999998"/>
    <n v="324708.02"/>
    <n v="26000000"/>
    <n v="1.9891380000000001"/>
    <n v="26000000"/>
    <n v="3.08"/>
    <n v="2.6808093999999998E-3"/>
    <s v="Bond"/>
    <s v="THB"/>
    <d v="2017-11-30T00:00:00"/>
    <x v="53"/>
    <s v="SCBRM143397"/>
  </r>
  <r>
    <x v="0"/>
    <x v="5"/>
    <x v="0"/>
    <x v="5"/>
    <m/>
    <x v="226"/>
    <x v="58"/>
    <s v="AA-"/>
    <x v="116"/>
    <n v="58170847.119999997"/>
    <n v="718882.12"/>
    <n v="58000000"/>
    <n v="1.490356"/>
    <n v="58000000"/>
    <n v="2.6"/>
    <n v="6.0433952999999997E-3"/>
    <s v="Bond"/>
    <s v="THB"/>
    <d v="2017-05-04T00:00:00"/>
    <x v="53"/>
    <s v="SCBRM143397"/>
  </r>
  <r>
    <x v="0"/>
    <x v="5"/>
    <x v="0"/>
    <x v="5"/>
    <m/>
    <x v="261"/>
    <x v="62"/>
    <s v="AAA"/>
    <x v="140"/>
    <n v="9989425.1999999993"/>
    <n v="17139.7"/>
    <n v="10005149.699999999"/>
    <n v="0.88943399999999995"/>
    <n v="10000000"/>
    <n v="1.79"/>
    <n v="1.026896E-3"/>
    <s v="Bond"/>
    <s v="THB"/>
    <d v="2017-09-21T00:00:00"/>
    <x v="113"/>
    <s v="SCBRM143397"/>
  </r>
  <r>
    <x v="0"/>
    <x v="5"/>
    <x v="0"/>
    <x v="5"/>
    <m/>
    <x v="262"/>
    <x v="62"/>
    <s v="AAA"/>
    <x v="141"/>
    <n v="162809476.44"/>
    <n v="305804.24"/>
    <n v="164000000"/>
    <n v="1.3562749999999999"/>
    <n v="164000000"/>
    <n v="1.66"/>
    <n v="1.67392536E-2"/>
    <s v="Bond"/>
    <s v="THB"/>
    <d v="2018-03-14T00:00:00"/>
    <x v="58"/>
    <s v="SCBRM143397"/>
  </r>
  <r>
    <x v="0"/>
    <x v="5"/>
    <x v="0"/>
    <x v="5"/>
    <m/>
    <x v="263"/>
    <x v="63"/>
    <s v="A"/>
    <x v="142"/>
    <n v="10137735.6"/>
    <n v="40043.800000000003"/>
    <n v="10178518.800000001"/>
    <n v="1.3389930000000001"/>
    <n v="10000000"/>
    <n v="2.17"/>
    <n v="1.0444664000000001E-3"/>
    <s v="Bond"/>
    <s v="THB"/>
    <d v="2015-03-13T00:00:00"/>
    <x v="114"/>
    <s v="SCBRM143397"/>
  </r>
  <r>
    <x v="0"/>
    <x v="5"/>
    <x v="0"/>
    <x v="5"/>
    <m/>
    <x v="264"/>
    <x v="64"/>
    <s v="A+"/>
    <x v="143"/>
    <n v="350389651.5"/>
    <n v="3831779.34"/>
    <n v="350000000"/>
    <n v="0.50319000000000003"/>
    <n v="350000000"/>
    <n v="2.2000000000000002"/>
    <n v="3.6350992700000001E-2"/>
    <s v="Bond"/>
    <s v="THB"/>
    <d v="2017-04-28T00:00:00"/>
    <x v="113"/>
    <s v="SCBRM143397"/>
  </r>
  <r>
    <x v="0"/>
    <x v="5"/>
    <x v="0"/>
    <x v="5"/>
    <m/>
    <x v="136"/>
    <x v="37"/>
    <s v="A-"/>
    <x v="78"/>
    <n v="299594778.49000001"/>
    <n v="350478.38"/>
    <n v="301000000"/>
    <n v="0.913045"/>
    <n v="301000000"/>
    <n v="1.7"/>
    <n v="3.07810507E-2"/>
    <s v="Bond"/>
    <s v="THB"/>
    <d v="2018-03-30T00:00:00"/>
    <x v="59"/>
    <s v="SCBRM143397"/>
  </r>
  <r>
    <x v="0"/>
    <x v="5"/>
    <x v="0"/>
    <x v="5"/>
    <m/>
    <x v="265"/>
    <x v="65"/>
    <s v="A-"/>
    <x v="144"/>
    <n v="49774750"/>
    <n v="164931.5"/>
    <n v="50713545.5"/>
    <n v="3.636282"/>
    <n v="50000000"/>
    <n v="2.415"/>
    <n v="5.1249214000000003E-3"/>
    <s v="Bond"/>
    <s v="THB"/>
    <d v="2017-09-12T00:00:00"/>
    <x v="21"/>
    <s v="SCBRM143397"/>
  </r>
  <r>
    <x v="0"/>
    <x v="5"/>
    <x v="0"/>
    <x v="5"/>
    <m/>
    <x v="234"/>
    <x v="42"/>
    <s v="BBB+"/>
    <x v="123"/>
    <n v="22005366.02"/>
    <n v="325696.36"/>
    <n v="22000000"/>
    <n v="9.0255000000000002E-2"/>
    <n v="22000000"/>
    <n v="2.2799999999999998"/>
    <n v="2.2916633999999999E-3"/>
    <s v="Bond"/>
    <s v="THB"/>
    <d v="2018-03-02T00:00:00"/>
    <x v="16"/>
    <s v="SCBRM143397"/>
  </r>
  <r>
    <x v="0"/>
    <x v="5"/>
    <x v="0"/>
    <x v="5"/>
    <m/>
    <x v="266"/>
    <x v="42"/>
    <s v="BBB+"/>
    <x v="65"/>
    <n v="46997620.859999999"/>
    <n v="515325.86"/>
    <n v="47000000"/>
    <n v="0.261436"/>
    <n v="47000000"/>
    <n v="2.2999999999999998"/>
    <n v="4.8758845000000002E-3"/>
    <s v="Bond"/>
    <s v="THB"/>
    <d v="2018-05-04T00:00:00"/>
    <x v="16"/>
    <s v="SCBRM143397"/>
  </r>
  <r>
    <x v="0"/>
    <x v="5"/>
    <x v="0"/>
    <x v="5"/>
    <m/>
    <x v="235"/>
    <x v="42"/>
    <s v="BBB+"/>
    <x v="65"/>
    <n v="22999044.350000001"/>
    <n v="217397.15"/>
    <n v="23000000"/>
    <n v="0.261436"/>
    <n v="23000000"/>
    <n v="2.2999999999999998"/>
    <n v="2.3825230000000001E-3"/>
    <s v="Bond"/>
    <s v="THB"/>
    <d v="2018-05-28T00:00:00"/>
    <x v="64"/>
    <s v="SCBRM143397"/>
  </r>
  <r>
    <x v="0"/>
    <x v="5"/>
    <x v="0"/>
    <x v="5"/>
    <m/>
    <x v="148"/>
    <x v="42"/>
    <s v="BBB+"/>
    <x v="85"/>
    <n v="349885522"/>
    <n v="6611069.5"/>
    <n v="350000000"/>
    <n v="0.32573999999999997"/>
    <n v="350000000"/>
    <n v="2.78"/>
    <n v="3.6584474700000001E-2"/>
    <s v="Bond"/>
    <s v="THB"/>
    <d v="2018-02-19T00:00:00"/>
    <x v="63"/>
    <s v="SCBRM143397"/>
  </r>
  <r>
    <x v="0"/>
    <x v="5"/>
    <x v="0"/>
    <x v="5"/>
    <m/>
    <x v="150"/>
    <x v="43"/>
    <s v="BBB+"/>
    <x v="86"/>
    <n v="306708675.42000002"/>
    <n v="2614125.69"/>
    <n v="307000000"/>
    <n v="2.6247090000000002"/>
    <n v="307000000"/>
    <n v="3.7"/>
    <n v="3.1743395200000003E-2"/>
    <s v="Bond"/>
    <s v="THB"/>
    <d v="2018-08-02T00:00:00"/>
    <x v="53"/>
    <s v="SCBRM143397"/>
  </r>
  <r>
    <x v="0"/>
    <x v="5"/>
    <x v="0"/>
    <x v="5"/>
    <m/>
    <x v="267"/>
    <x v="66"/>
    <s v="A"/>
    <x v="125"/>
    <n v="75613164.099999994"/>
    <n v="375238.51"/>
    <n v="75716836.180000007"/>
    <n v="0.37976599999999999"/>
    <n v="74900000"/>
    <n v="1.64"/>
    <n v="7.7980992000000002E-3"/>
    <s v="Bond"/>
    <s v="THB"/>
    <d v="2014-03-14T00:00:00"/>
    <x v="21"/>
    <s v="SCBRM143397"/>
  </r>
  <r>
    <x v="0"/>
    <x v="5"/>
    <x v="0"/>
    <x v="5"/>
    <m/>
    <x v="268"/>
    <x v="59"/>
    <s v="A"/>
    <x v="145"/>
    <n v="70053858.700000003"/>
    <n v="645534.4"/>
    <n v="70232719.900000006"/>
    <n v="0.57361600000000001"/>
    <n v="70000000"/>
    <n v="1.61"/>
    <n v="7.2553293000000001E-3"/>
    <s v="Bond"/>
    <s v="THB"/>
    <d v="2016-05-25T00:00:00"/>
    <x v="54"/>
    <s v="SCBRM143397"/>
  </r>
  <r>
    <x v="0"/>
    <x v="5"/>
    <x v="0"/>
    <x v="5"/>
    <m/>
    <x v="227"/>
    <x v="59"/>
    <s v="A"/>
    <x v="117"/>
    <n v="67820715.280000001"/>
    <n v="490605.72"/>
    <n v="68000000"/>
    <n v="1.1100220000000001"/>
    <n v="68000000"/>
    <n v="1.98"/>
    <n v="7.0102599999999999E-3"/>
    <s v="Bond"/>
    <s v="THB"/>
    <d v="2017-12-14T00:00:00"/>
    <x v="113"/>
    <s v="SCBRM143397"/>
  </r>
  <r>
    <x v="0"/>
    <x v="5"/>
    <x v="0"/>
    <x v="5"/>
    <m/>
    <x v="269"/>
    <x v="38"/>
    <s v="A"/>
    <x v="94"/>
    <n v="30005857.5"/>
    <n v="64027.5"/>
    <n v="30038775.899999999"/>
    <n v="0.399426"/>
    <n v="30000000"/>
    <n v="1.73"/>
    <n v="3.0858385999999998E-3"/>
    <s v="Bond"/>
    <s v="THB"/>
    <d v="2016-03-17T00:00:00"/>
    <x v="119"/>
    <s v="SCBRM143397"/>
  </r>
  <r>
    <x v="0"/>
    <x v="5"/>
    <x v="0"/>
    <x v="5"/>
    <m/>
    <x v="270"/>
    <x v="38"/>
    <s v="A"/>
    <x v="146"/>
    <n v="140476709.80000001"/>
    <n v="837277.15"/>
    <n v="140000000"/>
    <n v="1.080533"/>
    <n v="140000000"/>
    <n v="2.63"/>
    <n v="1.45019563E-2"/>
    <s v="Bond"/>
    <s v="THB"/>
    <d v="2017-02-03T00:00:00"/>
    <x v="120"/>
    <s v="SCBRM143397"/>
  </r>
  <r>
    <x v="0"/>
    <x v="5"/>
    <x v="0"/>
    <x v="5"/>
    <m/>
    <x v="271"/>
    <x v="67"/>
    <s v="AAA(tha)"/>
    <x v="147"/>
    <n v="10177739.699999999"/>
    <n v="227753.4"/>
    <n v="10168801.4"/>
    <n v="0.54032100000000005"/>
    <n v="10000000"/>
    <n v="2"/>
    <n v="1.0678349E-3"/>
    <s v="Bond"/>
    <s v="THB"/>
    <d v="2012-05-21T00:00:00"/>
    <x v="121"/>
    <s v="SCBRM143397"/>
  </r>
  <r>
    <x v="0"/>
    <x v="5"/>
    <x v="0"/>
    <x v="5"/>
    <m/>
    <x v="272"/>
    <x v="39"/>
    <s v="A-"/>
    <x v="4"/>
    <n v="219355314.80000001"/>
    <n v="2156010.7400000002"/>
    <n v="219430163.11000001"/>
    <n v="0.49367699999999998"/>
    <n v="219400000"/>
    <n v="1.9375720000000001"/>
    <n v="2.2731985900000001E-2"/>
    <s v="Bond"/>
    <s v="THB"/>
    <d v="2016-04-25T00:00:00"/>
    <x v="54"/>
    <s v="SCBRM143397"/>
  </r>
  <r>
    <x v="0"/>
    <x v="5"/>
    <x v="0"/>
    <x v="5"/>
    <m/>
    <x v="273"/>
    <x v="39"/>
    <s v="A-"/>
    <x v="148"/>
    <n v="50848304.5"/>
    <n v="468000"/>
    <n v="50694908"/>
    <n v="0.77141400000000004"/>
    <n v="50000000"/>
    <n v="2.5649999999999999"/>
    <n v="5.2661935000000003E-3"/>
    <s v="Bond"/>
    <s v="THB"/>
    <d v="2014-08-08T00:00:00"/>
    <x v="21"/>
    <s v="SCBRM143397"/>
  </r>
  <r>
    <x v="0"/>
    <x v="5"/>
    <x v="0"/>
    <x v="5"/>
    <m/>
    <x v="139"/>
    <x v="39"/>
    <s v="A-"/>
    <x v="80"/>
    <n v="42387065.960000001"/>
    <n v="127232.7"/>
    <n v="43000000"/>
    <n v="2.2738260000000001"/>
    <n v="43000000"/>
    <n v="2.16"/>
    <n v="4.3629120999999996E-3"/>
    <s v="Bond"/>
    <s v="THB"/>
    <d v="2018-03-05T00:00:00"/>
    <x v="53"/>
    <s v="SCBRM143397"/>
  </r>
  <r>
    <x v="0"/>
    <x v="5"/>
    <x v="0"/>
    <x v="5"/>
    <m/>
    <x v="274"/>
    <x v="68"/>
    <s v="A(tha)"/>
    <x v="149"/>
    <n v="9997027.5999999996"/>
    <n v="115290.4"/>
    <n v="10000000"/>
    <n v="1.485908"/>
    <n v="10000000"/>
    <n v="2.4900000000000002"/>
    <n v="1.0377486E-3"/>
    <s v="Bond"/>
    <s v="THB"/>
    <d v="2017-05-09T00:00:00"/>
    <x v="53"/>
    <s v="SCBRM143397"/>
  </r>
  <r>
    <x v="0"/>
    <x v="5"/>
    <x v="0"/>
    <x v="5"/>
    <m/>
    <x v="143"/>
    <x v="40"/>
    <s v="AA"/>
    <x v="83"/>
    <n v="49348618"/>
    <n v="94931.5"/>
    <n v="50000000"/>
    <n v="2.3226810000000002"/>
    <n v="50000000"/>
    <n v="2.1"/>
    <n v="5.0740072000000002E-3"/>
    <s v="Bond"/>
    <s v="THB"/>
    <d v="2018-03-22T00:00:00"/>
    <x v="53"/>
    <s v="SCBRM143397"/>
  </r>
  <r>
    <x v="0"/>
    <x v="5"/>
    <x v="0"/>
    <x v="5"/>
    <m/>
    <x v="275"/>
    <x v="40"/>
    <s v="AA"/>
    <x v="150"/>
    <n v="400546844"/>
    <n v="1262464"/>
    <n v="400000000"/>
    <n v="3.1859549999999999"/>
    <n v="400000000"/>
    <n v="3.2"/>
    <n v="4.1234566700000003E-2"/>
    <s v="Bond"/>
    <s v="THB"/>
    <d v="2018-09-19T00:00:00"/>
    <x v="122"/>
    <s v="SCBRM143397"/>
  </r>
  <r>
    <x v="0"/>
    <x v="5"/>
    <x v="0"/>
    <x v="5"/>
    <m/>
    <x v="145"/>
    <x v="7"/>
    <s v="A"/>
    <x v="32"/>
    <n v="220067119.80000001"/>
    <n v="1661451"/>
    <n v="220000000"/>
    <n v="9.5202999999999996E-2"/>
    <n v="220000000"/>
    <n v="1.85"/>
    <n v="2.27542801E-2"/>
    <s v="Bond"/>
    <s v="THB"/>
    <d v="2017-05-29T00:00:00"/>
    <x v="59"/>
    <s v="SCBRM143397"/>
  </r>
  <r>
    <x v="0"/>
    <x v="5"/>
    <x v="0"/>
    <x v="5"/>
    <m/>
    <x v="233"/>
    <x v="7"/>
    <s v="A"/>
    <x v="122"/>
    <n v="649120251"/>
    <n v="5266781"/>
    <n v="650000000"/>
    <n v="0.53146899999999997"/>
    <n v="650000000"/>
    <n v="1.75"/>
    <n v="6.7154655600000002E-2"/>
    <s v="Bond"/>
    <s v="THB"/>
    <d v="2017-11-09T00:00:00"/>
    <x v="62"/>
    <s v="SCBRM143397"/>
  </r>
  <r>
    <x v="0"/>
    <x v="5"/>
    <x v="0"/>
    <x v="5"/>
    <m/>
    <x v="207"/>
    <x v="50"/>
    <m/>
    <x v="98"/>
    <n v="124623376.25"/>
    <n v="1420548"/>
    <n v="125000000"/>
    <n v="1.5005010000000001"/>
    <n v="125000000"/>
    <n v="2.44"/>
    <n v="1.29349084E-2"/>
    <s v="Bond"/>
    <s v="THB"/>
    <d v="2017-05-08T00:00:00"/>
    <x v="53"/>
    <s v="SCBRM143397"/>
  </r>
  <r>
    <x v="0"/>
    <x v="5"/>
    <x v="0"/>
    <x v="5"/>
    <m/>
    <x v="276"/>
    <x v="69"/>
    <m/>
    <x v="151"/>
    <n v="800579.14"/>
    <n v="6817.31"/>
    <n v="800177.52"/>
    <n v="0.106096"/>
    <n v="800000"/>
    <n v="1.9151210000000001"/>
    <n v="8.2856799999999996E-5"/>
    <s v="Bond"/>
    <s v="THB"/>
    <d v="2015-12-03T00:00:00"/>
    <x v="53"/>
    <s v="SCBRM143397"/>
  </r>
  <r>
    <x v="0"/>
    <x v="5"/>
    <x v="0"/>
    <x v="5"/>
    <m/>
    <x v="277"/>
    <x v="70"/>
    <m/>
    <x v="152"/>
    <n v="34871987.149999999"/>
    <n v="120630.3"/>
    <n v="35027041"/>
    <n v="1.211735"/>
    <n v="35000000"/>
    <n v="1.78"/>
    <n v="3.5910204E-3"/>
    <s v="Bond"/>
    <s v="THB"/>
    <d v="2017-08-18T00:00:00"/>
    <x v="123"/>
    <s v="SCBRM143397"/>
  </r>
  <r>
    <x v="0"/>
    <x v="5"/>
    <x v="4"/>
    <x v="16"/>
    <s v="Settle Date :25/10/2018"/>
    <x v="38"/>
    <x v="16"/>
    <m/>
    <x v="0"/>
    <n v="29987922.600000001"/>
    <m/>
    <n v="29987922.600000001"/>
    <m/>
    <m/>
    <n v="0"/>
    <n v="3.0774273999999999E-3"/>
    <s v="Bond"/>
    <s v="THB"/>
    <d v="2018-10-24T00:00:00"/>
    <x v="97"/>
    <s v="SCBRM143397"/>
  </r>
  <r>
    <x v="0"/>
    <x v="5"/>
    <x v="4"/>
    <x v="17"/>
    <s v="Settle Date :25/10/2018"/>
    <x v="5"/>
    <x v="16"/>
    <m/>
    <x v="0"/>
    <n v="1561425.32"/>
    <m/>
    <n v="1561425.32"/>
    <n v="0"/>
    <m/>
    <n v="0"/>
    <n v="1.602369E-4"/>
    <s v="Cash Bal"/>
    <s v="THB"/>
    <d v="1900-01-01T00:00:00"/>
    <x v="0"/>
    <s v="SCBRM143397"/>
  </r>
  <r>
    <x v="0"/>
    <x v="5"/>
    <x v="4"/>
    <x v="17"/>
    <s v="Settle Date :26/10/2018"/>
    <x v="5"/>
    <x v="16"/>
    <m/>
    <x v="0"/>
    <n v="1287532.7"/>
    <m/>
    <n v="1287532.7"/>
    <n v="0"/>
    <m/>
    <n v="0"/>
    <n v="1.3212949999999999E-4"/>
    <s v="Cash Bal"/>
    <s v="THB"/>
    <d v="1900-01-01T00:00:00"/>
    <x v="0"/>
    <s v="SCBRM143397"/>
  </r>
  <r>
    <x v="0"/>
    <x v="5"/>
    <x v="2"/>
    <x v="7"/>
    <s v="Settle Date :25/10/2018"/>
    <x v="53"/>
    <x v="16"/>
    <m/>
    <x v="0"/>
    <n v="-179299592.19999999"/>
    <m/>
    <n v="-179299592.19999999"/>
    <m/>
    <m/>
    <n v="0"/>
    <n v="-1.84001237E-2"/>
    <s v="Bond"/>
    <s v="THB"/>
    <d v="2018-10-25T00:00:00"/>
    <x v="30"/>
    <s v="SCBRM143397"/>
  </r>
  <r>
    <x v="0"/>
    <x v="5"/>
    <x v="2"/>
    <x v="8"/>
    <s v="AUDITING FEE"/>
    <x v="64"/>
    <x v="16"/>
    <m/>
    <x v="0"/>
    <n v="-68055.39"/>
    <m/>
    <m/>
    <m/>
    <m/>
    <n v="0"/>
    <n v="-6.9840000000000004E-6"/>
    <m/>
    <m/>
    <m/>
    <x v="31"/>
    <s v="SCBRM143397"/>
  </r>
  <r>
    <x v="0"/>
    <x v="5"/>
    <x v="2"/>
    <x v="18"/>
    <s v="Settle Date :25/10/2018"/>
    <x v="5"/>
    <x v="16"/>
    <m/>
    <x v="0"/>
    <n v="-4.3899999999999997"/>
    <m/>
    <n v="-4.3899999999999997"/>
    <n v="0"/>
    <m/>
    <n v="0"/>
    <n v="-5.0000000000000003E-10"/>
    <s v="Cash Bal"/>
    <s v="THB"/>
    <d v="1900-01-01T00:00:00"/>
    <x v="0"/>
    <s v="SCBRM143397"/>
  </r>
  <r>
    <x v="0"/>
    <x v="5"/>
    <x v="2"/>
    <x v="9"/>
    <m/>
    <x v="65"/>
    <x v="16"/>
    <m/>
    <x v="0"/>
    <n v="-168407.79"/>
    <n v="0"/>
    <m/>
    <m/>
    <m/>
    <n v="0"/>
    <n v="-1.7282399999999999E-5"/>
    <m/>
    <m/>
    <m/>
    <x v="31"/>
    <s v="SCBRM143397"/>
  </r>
  <r>
    <x v="0"/>
    <x v="5"/>
    <x v="2"/>
    <x v="19"/>
    <m/>
    <x v="65"/>
    <x v="16"/>
    <m/>
    <x v="0"/>
    <n v="-4182.17"/>
    <n v="0"/>
    <m/>
    <m/>
    <m/>
    <n v="0"/>
    <n v="-4.2920000000000001E-7"/>
    <m/>
    <m/>
    <m/>
    <x v="31"/>
    <s v="SCBRM143397"/>
  </r>
  <r>
    <x v="0"/>
    <x v="5"/>
    <x v="2"/>
    <x v="13"/>
    <s v="CUSTODIAN FEE"/>
    <x v="65"/>
    <x v="16"/>
    <m/>
    <x v="0"/>
    <n v="-189281.61"/>
    <m/>
    <n v="-189281.61"/>
    <m/>
    <m/>
    <n v="0"/>
    <n v="-1.94245E-5"/>
    <m/>
    <m/>
    <m/>
    <x v="31"/>
    <s v="SCBRM143397"/>
  </r>
  <r>
    <x v="0"/>
    <x v="5"/>
    <x v="2"/>
    <x v="12"/>
    <s v="MANAGEMENT FEE"/>
    <x v="65"/>
    <x v="16"/>
    <m/>
    <x v="0"/>
    <n v="-3145229.3"/>
    <m/>
    <n v="-3145229.3"/>
    <m/>
    <m/>
    <n v="0"/>
    <n v="-3.2277039999999998E-4"/>
    <m/>
    <m/>
    <m/>
    <x v="31"/>
    <s v="SCBRM143397"/>
  </r>
  <r>
    <x v="0"/>
    <x v="5"/>
    <x v="2"/>
    <x v="20"/>
    <s v="OPERATION FEE"/>
    <x v="65"/>
    <x v="16"/>
    <m/>
    <x v="0"/>
    <n v="-630938.67000000004"/>
    <m/>
    <n v="-630938.67000000004"/>
    <m/>
    <m/>
    <n v="0"/>
    <n v="-6.4748300000000005E-5"/>
    <m/>
    <m/>
    <m/>
    <x v="31"/>
    <s v="SCBRM143397"/>
  </r>
  <r>
    <x v="0"/>
    <x v="5"/>
    <x v="2"/>
    <x v="10"/>
    <s v="REGISTRAR FEE"/>
    <x v="65"/>
    <x v="16"/>
    <m/>
    <x v="0"/>
    <n v="0"/>
    <m/>
    <n v="0"/>
    <m/>
    <m/>
    <n v="0"/>
    <n v="0"/>
    <m/>
    <m/>
    <m/>
    <x v="31"/>
    <s v="SCBRM143397"/>
  </r>
  <r>
    <x v="0"/>
    <x v="5"/>
    <x v="3"/>
    <x v="13"/>
    <s v="CUSTODIAN FEE"/>
    <x v="65"/>
    <x v="16"/>
    <m/>
    <x v="0"/>
    <n v="-17140.23"/>
    <m/>
    <n v="-17140.23"/>
    <m/>
    <m/>
    <n v="0"/>
    <n v="-1.759E-6"/>
    <m/>
    <m/>
    <m/>
    <x v="31"/>
    <s v="SCBRM143397"/>
  </r>
  <r>
    <x v="0"/>
    <x v="5"/>
    <x v="3"/>
    <x v="12"/>
    <s v="MANAGEMENT FEE"/>
    <x v="65"/>
    <x v="16"/>
    <m/>
    <x v="0"/>
    <n v="-284813.53999999998"/>
    <m/>
    <n v="-284813.53999999998"/>
    <m/>
    <m/>
    <n v="0"/>
    <n v="-2.9228199999999999E-5"/>
    <m/>
    <m/>
    <m/>
    <x v="31"/>
    <s v="SCBRM143397"/>
  </r>
  <r>
    <x v="0"/>
    <x v="5"/>
    <x v="3"/>
    <x v="20"/>
    <s v="OPERATION FEE"/>
    <x v="65"/>
    <x v="16"/>
    <m/>
    <x v="0"/>
    <n v="-57134.11"/>
    <m/>
    <n v="-57134.11"/>
    <m/>
    <m/>
    <n v="0"/>
    <n v="-5.8632E-6"/>
    <m/>
    <m/>
    <m/>
    <x v="31"/>
    <s v="SCBRM143397"/>
  </r>
  <r>
    <x v="0"/>
    <x v="5"/>
    <x v="3"/>
    <x v="10"/>
    <s v="REGISTRAR FEE"/>
    <x v="65"/>
    <x v="16"/>
    <m/>
    <x v="0"/>
    <n v="0"/>
    <m/>
    <n v="0"/>
    <m/>
    <m/>
    <n v="0"/>
    <n v="0"/>
    <m/>
    <m/>
    <m/>
    <x v="31"/>
    <s v="SCBRM143397"/>
  </r>
  <r>
    <x v="0"/>
    <x v="6"/>
    <x v="0"/>
    <x v="0"/>
    <m/>
    <x v="5"/>
    <x v="1"/>
    <m/>
    <x v="0"/>
    <n v="5100876.18"/>
    <n v="3488.96"/>
    <n v="5100876.18"/>
    <n v="0"/>
    <n v="0"/>
    <n v="0"/>
    <n v="8.2849539999999998E-4"/>
    <s v="Cash Bal"/>
    <s v="THB"/>
    <d v="1900-01-01T00:00:00"/>
    <x v="0"/>
    <s v="SCBRM243397"/>
  </r>
  <r>
    <x v="0"/>
    <x v="6"/>
    <x v="0"/>
    <x v="1"/>
    <m/>
    <x v="278"/>
    <x v="2"/>
    <s v="AA-"/>
    <x v="153"/>
    <n v="120000000"/>
    <n v="607561.64"/>
    <n v="120000000"/>
    <n v="0.68803000000000003"/>
    <n v="120000000"/>
    <n v="1.65"/>
    <n v="1.9575951800000001E-2"/>
    <s v="Bond"/>
    <s v="THB"/>
    <d v="2018-07-05T00:00:00"/>
    <x v="3"/>
    <s v="SCBRM243397"/>
  </r>
  <r>
    <x v="0"/>
    <x v="6"/>
    <x v="0"/>
    <x v="1"/>
    <m/>
    <x v="279"/>
    <x v="9"/>
    <s v="AAA(tha)"/>
    <x v="19"/>
    <n v="64128950.960000001"/>
    <n v="75288.070000000007"/>
    <n v="64128950.960000001"/>
    <n v="0"/>
    <n v="64128950.960000001"/>
    <n v="0"/>
    <n v="1.04210638E-2"/>
    <s v="Bond"/>
    <s v="THB"/>
    <d v="2005-09-16T00:00:00"/>
    <x v="124"/>
    <s v="SCBRM243397"/>
  </r>
  <r>
    <x v="0"/>
    <x v="6"/>
    <x v="0"/>
    <x v="2"/>
    <m/>
    <x v="242"/>
    <x v="43"/>
    <s v="BBB+"/>
    <x v="66"/>
    <n v="38597426.399999999"/>
    <m/>
    <n v="38629998.810000002"/>
    <n v="0.41214000000000001"/>
    <n v="39000000"/>
    <n v="2.2999999999999998"/>
    <n v="6.2647926000000001E-3"/>
    <s v="Bond"/>
    <s v="THB"/>
    <d v="2018-06-29T00:00:00"/>
    <x v="16"/>
    <s v="SCBRM243397"/>
  </r>
  <r>
    <x v="0"/>
    <x v="6"/>
    <x v="0"/>
    <x v="4"/>
    <m/>
    <x v="200"/>
    <x v="13"/>
    <m/>
    <x v="25"/>
    <n v="232609394.13999999"/>
    <m/>
    <n v="232603988.53999999"/>
    <n v="0.114866"/>
    <n v="233000000"/>
    <n v="1.479563"/>
    <n v="3.7755097799999998E-2"/>
    <s v="Bond"/>
    <s v="THB"/>
    <d v="2017-12-07T00:00:00"/>
    <x v="6"/>
    <s v="SCBRM243397"/>
  </r>
  <r>
    <x v="0"/>
    <x v="6"/>
    <x v="0"/>
    <x v="4"/>
    <m/>
    <x v="116"/>
    <x v="13"/>
    <m/>
    <x v="26"/>
    <n v="9981508.1999999993"/>
    <m/>
    <n v="9981508.1999999993"/>
    <n v="0.133989"/>
    <n v="10000000"/>
    <n v="1.38"/>
    <n v="1.6201100999999999E-3"/>
    <s v="Bond"/>
    <s v="THB"/>
    <d v="2018-06-14T00:00:00"/>
    <x v="18"/>
    <s v="SCBRM243397"/>
  </r>
  <r>
    <x v="0"/>
    <x v="6"/>
    <x v="0"/>
    <x v="4"/>
    <m/>
    <x v="243"/>
    <x v="13"/>
    <m/>
    <x v="27"/>
    <n v="119762967.59999999"/>
    <m/>
    <n v="119762967.59999999"/>
    <n v="0.153084"/>
    <n v="120000000"/>
    <n v="1.29"/>
    <n v="1.94388648E-2"/>
    <s v="Bond"/>
    <s v="THB"/>
    <d v="2018-06-21T00:00:00"/>
    <x v="18"/>
    <s v="SCBRM243397"/>
  </r>
  <r>
    <x v="0"/>
    <x v="6"/>
    <x v="0"/>
    <x v="4"/>
    <m/>
    <x v="280"/>
    <x v="13"/>
    <m/>
    <x v="69"/>
    <n v="3990494.96"/>
    <m/>
    <n v="3989876.64"/>
    <n v="0.172185"/>
    <n v="4000000"/>
    <n v="1.47"/>
    <n v="6.4770180000000004E-4"/>
    <s v="Bond"/>
    <s v="THB"/>
    <d v="2018-06-28T00:00:00"/>
    <x v="18"/>
    <s v="SCBRM243397"/>
  </r>
  <r>
    <x v="0"/>
    <x v="6"/>
    <x v="0"/>
    <x v="4"/>
    <m/>
    <x v="117"/>
    <x v="13"/>
    <m/>
    <x v="69"/>
    <n v="460902167.88"/>
    <m/>
    <n v="460902726.89999998"/>
    <n v="0.172151"/>
    <n v="462000000"/>
    <n v="1.379297"/>
    <n v="7.4809559999999997E-2"/>
    <s v="Bond"/>
    <s v="THB"/>
    <d v="2018-09-27T00:00:00"/>
    <x v="17"/>
    <s v="SCBRM243397"/>
  </r>
  <r>
    <x v="0"/>
    <x v="6"/>
    <x v="0"/>
    <x v="4"/>
    <m/>
    <x v="36"/>
    <x v="13"/>
    <m/>
    <x v="28"/>
    <n v="99977758"/>
    <m/>
    <n v="99977758"/>
    <n v="1.9174E-2"/>
    <n v="100000000"/>
    <n v="1.1599999999999999"/>
    <n v="1.6227504699999999E-2"/>
    <s v="Bond"/>
    <s v="THB"/>
    <d v="2018-05-03T00:00:00"/>
    <x v="18"/>
    <s v="SCBRM243397"/>
  </r>
  <r>
    <x v="0"/>
    <x v="6"/>
    <x v="0"/>
    <x v="4"/>
    <m/>
    <x v="38"/>
    <x v="13"/>
    <m/>
    <x v="5"/>
    <n v="7996845.1200000001"/>
    <m/>
    <n v="7996845.1200000001"/>
    <n v="3.2863999999999997E-2"/>
    <n v="8000000"/>
    <n v="1.2"/>
    <n v="1.2979771000000001E-3"/>
    <s v="Bond"/>
    <s v="THB"/>
    <d v="2018-10-24T00:00:00"/>
    <x v="19"/>
    <s v="SCBRM243397"/>
  </r>
  <r>
    <x v="0"/>
    <x v="6"/>
    <x v="0"/>
    <x v="4"/>
    <m/>
    <x v="45"/>
    <x v="13"/>
    <m/>
    <x v="32"/>
    <n v="5992635.0599999996"/>
    <m/>
    <n v="5992242.9000000004"/>
    <n v="9.5772999999999997E-2"/>
    <n v="6000000"/>
    <n v="1.35"/>
    <n v="9.7267149999999999E-4"/>
    <s v="Bond"/>
    <s v="THB"/>
    <d v="2018-05-31T00:00:00"/>
    <x v="18"/>
    <s v="SCBRM243397"/>
  </r>
  <r>
    <x v="0"/>
    <x v="6"/>
    <x v="0"/>
    <x v="4"/>
    <m/>
    <x v="118"/>
    <x v="13"/>
    <m/>
    <x v="20"/>
    <n v="534564731.36000001"/>
    <m/>
    <n v="534552451.60000002"/>
    <n v="0.191223"/>
    <n v="536000000"/>
    <n v="1.4120109999999999"/>
    <n v="8.6765815299999993E-2"/>
    <s v="Bond"/>
    <s v="THB"/>
    <d v="2018-07-05T00:00:00"/>
    <x v="18"/>
    <s v="SCBRM243397"/>
  </r>
  <r>
    <x v="0"/>
    <x v="6"/>
    <x v="0"/>
    <x v="4"/>
    <m/>
    <x v="281"/>
    <x v="13"/>
    <m/>
    <x v="35"/>
    <n v="36880184.75"/>
    <m/>
    <n v="36889105.450000003"/>
    <n v="0.21026800000000001"/>
    <n v="37000000"/>
    <n v="1.425"/>
    <n v="5.9860651000000001E-3"/>
    <s v="Bond"/>
    <s v="THB"/>
    <d v="2018-07-12T00:00:00"/>
    <x v="18"/>
    <s v="SCBRM243397"/>
  </r>
  <r>
    <x v="0"/>
    <x v="6"/>
    <x v="0"/>
    <x v="4"/>
    <m/>
    <x v="282"/>
    <x v="13"/>
    <m/>
    <x v="50"/>
    <n v="86625540.689999998"/>
    <m/>
    <n v="86655656.609999999"/>
    <n v="0.26733800000000002"/>
    <n v="87000000"/>
    <n v="1.48"/>
    <n v="1.4060291000000001E-2"/>
    <s v="Bond"/>
    <s v="THB"/>
    <d v="2018-08-02T00:00:00"/>
    <x v="18"/>
    <s v="SCBRM243397"/>
  </r>
  <r>
    <x v="0"/>
    <x v="6"/>
    <x v="0"/>
    <x v="4"/>
    <m/>
    <x v="283"/>
    <x v="13"/>
    <m/>
    <x v="154"/>
    <n v="68662893.599999994"/>
    <m/>
    <n v="68685796.769999996"/>
    <n v="0.30535000000000001"/>
    <n v="69000000"/>
    <n v="1.4907969999999999"/>
    <n v="1.11447531E-2"/>
    <s v="Bond"/>
    <s v="THB"/>
    <d v="2018-08-16T00:00:00"/>
    <x v="18"/>
    <s v="SCBRM243397"/>
  </r>
  <r>
    <x v="0"/>
    <x v="6"/>
    <x v="0"/>
    <x v="4"/>
    <m/>
    <x v="284"/>
    <x v="13"/>
    <m/>
    <x v="155"/>
    <n v="126297041.03"/>
    <m/>
    <n v="126366385.56999999"/>
    <n v="0.34329500000000002"/>
    <n v="127000000"/>
    <n v="1.4524999999999999"/>
    <n v="2.0499417700000001E-2"/>
    <s v="Bond"/>
    <s v="THB"/>
    <d v="2018-08-30T00:00:00"/>
    <x v="18"/>
    <s v="SCBRM243397"/>
  </r>
  <r>
    <x v="0"/>
    <x v="6"/>
    <x v="0"/>
    <x v="4"/>
    <m/>
    <x v="285"/>
    <x v="13"/>
    <m/>
    <x v="90"/>
    <n v="17892100.800000001"/>
    <m/>
    <n v="17898259.5"/>
    <n v="0.36219899999999999"/>
    <n v="18000000"/>
    <n v="1.56"/>
    <n v="2.9040874000000002E-3"/>
    <s v="Bond"/>
    <s v="THB"/>
    <d v="2018-09-06T00:00:00"/>
    <x v="18"/>
    <s v="SCBRM243397"/>
  </r>
  <r>
    <x v="0"/>
    <x v="6"/>
    <x v="0"/>
    <x v="4"/>
    <m/>
    <x v="244"/>
    <x v="13"/>
    <m/>
    <x v="125"/>
    <n v="251351408.99000001"/>
    <m/>
    <n v="251566808.13"/>
    <n v="0.38106200000000001"/>
    <n v="253000000"/>
    <n v="1.485306"/>
    <n v="4.0797135800000002E-2"/>
    <s v="Bond"/>
    <s v="THB"/>
    <d v="2018-03-15T00:00:00"/>
    <x v="6"/>
    <s v="SCBRM243397"/>
  </r>
  <r>
    <x v="0"/>
    <x v="6"/>
    <x v="0"/>
    <x v="4"/>
    <m/>
    <x v="286"/>
    <x v="13"/>
    <m/>
    <x v="94"/>
    <n v="86422368.719999999"/>
    <m/>
    <n v="86435342.159999996"/>
    <n v="0.40006599999999998"/>
    <n v="87000000"/>
    <n v="1.622069"/>
    <n v="1.4027313899999999E-2"/>
    <s v="Bond"/>
    <s v="THB"/>
    <d v="2018-09-20T00:00:00"/>
    <x v="18"/>
    <s v="SCBRM243397"/>
  </r>
  <r>
    <x v="0"/>
    <x v="6"/>
    <x v="0"/>
    <x v="4"/>
    <m/>
    <x v="287"/>
    <x v="13"/>
    <m/>
    <x v="49"/>
    <n v="259141283.28"/>
    <m/>
    <n v="259282484.28"/>
    <n v="0.41891299999999998"/>
    <n v="261000000"/>
    <n v="1.57"/>
    <n v="4.2061519200000001E-2"/>
    <s v="Bond"/>
    <s v="THB"/>
    <d v="2018-09-27T00:00:00"/>
    <x v="18"/>
    <s v="SCBRM243397"/>
  </r>
  <r>
    <x v="0"/>
    <x v="6"/>
    <x v="0"/>
    <x v="4"/>
    <m/>
    <x v="288"/>
    <x v="13"/>
    <m/>
    <x v="6"/>
    <n v="192563612.36000001"/>
    <m/>
    <n v="192642543.19999999"/>
    <n v="0.43783"/>
    <n v="194000000"/>
    <n v="1.5974999999999999"/>
    <n v="3.1255221E-2"/>
    <s v="Bond"/>
    <s v="THB"/>
    <d v="2018-10-04T00:00:00"/>
    <x v="18"/>
    <s v="SCBRM243397"/>
  </r>
  <r>
    <x v="0"/>
    <x v="6"/>
    <x v="0"/>
    <x v="4"/>
    <m/>
    <x v="289"/>
    <x v="13"/>
    <m/>
    <x v="156"/>
    <n v="131578804.56"/>
    <m/>
    <n v="131726731.15000001"/>
    <n v="0.60714100000000004"/>
    <n v="133000000"/>
    <n v="1.5750379999999999"/>
    <n v="2.13567068E-2"/>
    <s v="Bond"/>
    <s v="THB"/>
    <d v="2018-06-07T00:00:00"/>
    <x v="6"/>
    <s v="SCBRM243397"/>
  </r>
  <r>
    <x v="0"/>
    <x v="6"/>
    <x v="0"/>
    <x v="4"/>
    <m/>
    <x v="290"/>
    <x v="13"/>
    <m/>
    <x v="157"/>
    <n v="614454902.88"/>
    <m/>
    <n v="614804055.84000003"/>
    <n v="0.84981300000000004"/>
    <n v="624000000"/>
    <n v="1.7331730000000001"/>
    <n v="9.9732880800000007E-2"/>
    <s v="Bond"/>
    <s v="THB"/>
    <d v="2018-09-06T00:00:00"/>
    <x v="6"/>
    <s v="SCBRM243397"/>
  </r>
  <r>
    <x v="0"/>
    <x v="6"/>
    <x v="0"/>
    <x v="15"/>
    <m/>
    <x v="291"/>
    <x v="13"/>
    <m/>
    <x v="94"/>
    <n v="29976521.100000001"/>
    <n v="41917.800000000003"/>
    <n v="30013432.199999999"/>
    <n v="0.39932499999999999"/>
    <n v="30000000"/>
    <n v="1.4025000000000001"/>
    <n v="4.8723272999999998E-3"/>
    <s v="Bond"/>
    <s v="THB"/>
    <d v="2016-03-21T00:00:00"/>
    <x v="54"/>
    <s v="SCBRM243397"/>
  </r>
  <r>
    <x v="0"/>
    <x v="6"/>
    <x v="0"/>
    <x v="15"/>
    <m/>
    <x v="246"/>
    <x v="13"/>
    <m/>
    <x v="127"/>
    <n v="176749844.13"/>
    <n v="344059.68"/>
    <n v="176966704.53"/>
    <n v="0.86610600000000004"/>
    <n v="177000000"/>
    <n v="1.67875"/>
    <n v="2.8744314900000002E-2"/>
    <s v="Bond"/>
    <s v="THB"/>
    <d v="2016-09-12T00:00:00"/>
    <x v="54"/>
    <s v="SCBRM243397"/>
  </r>
  <r>
    <x v="0"/>
    <x v="6"/>
    <x v="0"/>
    <x v="15"/>
    <m/>
    <x v="292"/>
    <x v="13"/>
    <m/>
    <x v="158"/>
    <n v="392095538.00999999"/>
    <n v="533619.32999999996"/>
    <n v="393117298.70999998"/>
    <n v="1.3925320000000001"/>
    <n v="393000000"/>
    <n v="1.7534510000000001"/>
    <n v="6.3728089299999999E-2"/>
    <s v="Bond"/>
    <s v="THB"/>
    <d v="2017-03-27T00:00:00"/>
    <x v="53"/>
    <s v="SCBRM243397"/>
  </r>
  <r>
    <x v="0"/>
    <x v="6"/>
    <x v="0"/>
    <x v="15"/>
    <m/>
    <x v="247"/>
    <x v="13"/>
    <m/>
    <x v="128"/>
    <n v="341240685.5"/>
    <n v="444546.25"/>
    <n v="344961271.72000003"/>
    <n v="1.8708610000000001"/>
    <n v="344500000"/>
    <n v="1.50197"/>
    <n v="5.5459322300000002E-2"/>
    <s v="Bond"/>
    <s v="THB"/>
    <d v="2017-09-25T00:00:00"/>
    <x v="53"/>
    <s v="SCBRM243397"/>
  </r>
  <r>
    <x v="0"/>
    <x v="6"/>
    <x v="0"/>
    <x v="15"/>
    <m/>
    <x v="293"/>
    <x v="12"/>
    <s v="BBB+"/>
    <x v="159"/>
    <n v="88891841.700000003"/>
    <n v="301398.38"/>
    <n v="89034647.159999996"/>
    <n v="2.66093"/>
    <n v="82000000"/>
    <n v="1.185627"/>
    <n v="1.4477057200000001E-2"/>
    <s v="Bond"/>
    <s v="THB"/>
    <d v="2011-07-14T00:00:00"/>
    <x v="108"/>
    <s v="SCBRM243397"/>
  </r>
  <r>
    <x v="0"/>
    <x v="6"/>
    <x v="0"/>
    <x v="15"/>
    <m/>
    <x v="294"/>
    <x v="12"/>
    <s v="BBB+"/>
    <x v="160"/>
    <n v="139920625.84"/>
    <n v="948287.36"/>
    <n v="140157053"/>
    <n v="3.4763980000000001"/>
    <n v="142000000"/>
    <n v="2.246769"/>
    <n v="2.2864595000000001E-2"/>
    <s v="Bond"/>
    <s v="THB"/>
    <d v="2016-07-15T00:00:00"/>
    <x v="125"/>
    <s v="SCBRM243397"/>
  </r>
  <r>
    <x v="0"/>
    <x v="6"/>
    <x v="0"/>
    <x v="15"/>
    <m/>
    <x v="295"/>
    <x v="12"/>
    <s v="BBB+"/>
    <x v="161"/>
    <n v="110948998.5"/>
    <n v="801370.13"/>
    <n v="113304331.13"/>
    <n v="3.9233220000000002"/>
    <n v="112500000"/>
    <n v="1.819229"/>
    <n v="1.8138330599999999E-2"/>
    <s v="Bond"/>
    <s v="THB"/>
    <d v="2017-08-04T00:00:00"/>
    <x v="126"/>
    <s v="SCBRM243397"/>
  </r>
  <r>
    <x v="0"/>
    <x v="6"/>
    <x v="0"/>
    <x v="15"/>
    <m/>
    <x v="296"/>
    <x v="12"/>
    <s v="BBB+"/>
    <x v="162"/>
    <n v="56890322.310000002"/>
    <n v="258608.43"/>
    <n v="57155014.920000002"/>
    <n v="4.7901300000000004"/>
    <n v="57000000"/>
    <n v="2.3435640000000002"/>
    <n v="9.2759086000000004E-3"/>
    <s v="Bond"/>
    <s v="THB"/>
    <d v="2018-08-17T00:00:00"/>
    <x v="127"/>
    <s v="SCBRM243397"/>
  </r>
  <r>
    <x v="0"/>
    <x v="6"/>
    <x v="0"/>
    <x v="15"/>
    <m/>
    <x v="297"/>
    <x v="12"/>
    <s v="BBB+"/>
    <x v="163"/>
    <n v="178075571.68000001"/>
    <n v="1472157.9"/>
    <n v="178075571.68000001"/>
    <n v="8.6756609999999998"/>
    <n v="178000000"/>
    <n v="2.87"/>
    <n v="2.91425981E-2"/>
    <s v="Bond"/>
    <s v="THB"/>
    <d v="2018-07-13T00:00:00"/>
    <x v="128"/>
    <s v="SCBRM243397"/>
  </r>
  <r>
    <x v="0"/>
    <x v="6"/>
    <x v="0"/>
    <x v="15"/>
    <m/>
    <x v="298"/>
    <x v="71"/>
    <m/>
    <x v="164"/>
    <n v="105540127"/>
    <n v="164589"/>
    <n v="103364891"/>
    <n v="3.2268669999999999"/>
    <n v="100000000"/>
    <n v="2.9750000000000001"/>
    <n v="1.7157053799999999E-2"/>
    <s v="Bond"/>
    <s v="THB"/>
    <d v="2012-04-10T00:00:00"/>
    <x v="109"/>
    <s v="SCBRM243397"/>
  </r>
  <r>
    <x v="0"/>
    <x v="6"/>
    <x v="0"/>
    <x v="5"/>
    <m/>
    <x v="250"/>
    <x v="24"/>
    <s v="A+"/>
    <x v="131"/>
    <n v="10328048.199999999"/>
    <n v="134980.79999999999"/>
    <n v="10355277.199999999"/>
    <n v="1.6137319999999999"/>
    <n v="10000000"/>
    <n v="2.2000000000000002"/>
    <n v="1.6982663E-3"/>
    <s v="Bond"/>
    <s v="THB"/>
    <d v="2014-07-04T00:00:00"/>
    <x v="117"/>
    <s v="SCBRM243397"/>
  </r>
  <r>
    <x v="0"/>
    <x v="6"/>
    <x v="0"/>
    <x v="5"/>
    <m/>
    <x v="211"/>
    <x v="24"/>
    <s v="A+"/>
    <x v="102"/>
    <n v="62558311.200000003"/>
    <n v="27419.4"/>
    <n v="60000000"/>
    <n v="7.1346020000000001"/>
    <n v="60000000"/>
    <n v="4.17"/>
    <n v="1.01583618E-2"/>
    <s v="Bond"/>
    <s v="THB"/>
    <d v="2017-04-21T00:00:00"/>
    <x v="109"/>
    <s v="SCBRM243397"/>
  </r>
  <r>
    <x v="0"/>
    <x v="6"/>
    <x v="0"/>
    <x v="5"/>
    <m/>
    <x v="299"/>
    <x v="52"/>
    <s v="A"/>
    <x v="165"/>
    <n v="25072694"/>
    <n v="7178"/>
    <n v="25000000"/>
    <n v="1.9254880000000001"/>
    <n v="25000000"/>
    <n v="2.62"/>
    <n v="4.0707427999999999E-3"/>
    <s v="Bond"/>
    <s v="THB"/>
    <d v="2016-10-21T00:00:00"/>
    <x v="112"/>
    <s v="SCBRM243397"/>
  </r>
  <r>
    <x v="0"/>
    <x v="6"/>
    <x v="0"/>
    <x v="5"/>
    <m/>
    <x v="300"/>
    <x v="52"/>
    <s v="A"/>
    <x v="166"/>
    <n v="15779284.960000001"/>
    <n v="55758.879999999997"/>
    <n v="16000000"/>
    <n v="3.6293859999999998"/>
    <n v="16000000"/>
    <n v="2.65"/>
    <n v="2.5702041E-3"/>
    <s v="Bond"/>
    <s v="THB"/>
    <d v="2017-09-07T00:00:00"/>
    <x v="21"/>
    <s v="SCBRM243397"/>
  </r>
  <r>
    <x v="0"/>
    <x v="6"/>
    <x v="0"/>
    <x v="5"/>
    <m/>
    <x v="301"/>
    <x v="32"/>
    <s v="A+"/>
    <x v="167"/>
    <n v="95599101.349999994"/>
    <n v="242055.25"/>
    <n v="96315392.799999997"/>
    <n v="1.3714930000000001"/>
    <n v="95000000"/>
    <n v="2.007895"/>
    <n v="1.55560882E-2"/>
    <s v="Bond"/>
    <s v="THB"/>
    <d v="2017-03-24T00:00:00"/>
    <x v="53"/>
    <s v="SCBRM243397"/>
  </r>
  <r>
    <x v="0"/>
    <x v="6"/>
    <x v="0"/>
    <x v="5"/>
    <m/>
    <x v="302"/>
    <x v="32"/>
    <s v="A+"/>
    <x v="168"/>
    <n v="13372657.35"/>
    <n v="42508.18"/>
    <n v="13000000"/>
    <n v="4.8491309999999999"/>
    <n v="13000000"/>
    <n v="3.85"/>
    <n v="2.1774309E-3"/>
    <s v="Bond"/>
    <s v="THB"/>
    <d v="2017-03-24T00:00:00"/>
    <x v="51"/>
    <s v="SCBRM243397"/>
  </r>
  <r>
    <x v="0"/>
    <x v="6"/>
    <x v="0"/>
    <x v="5"/>
    <m/>
    <x v="303"/>
    <x v="55"/>
    <s v="A-"/>
    <x v="169"/>
    <n v="139741408.80000001"/>
    <n v="917478.8"/>
    <n v="140000000"/>
    <n v="2.622385"/>
    <n v="140000000"/>
    <n v="2.6"/>
    <n v="2.2830505500000001E-2"/>
    <s v="Bond"/>
    <s v="THB"/>
    <d v="2018-07-25T00:00:00"/>
    <x v="53"/>
    <s v="SCBRM243397"/>
  </r>
  <r>
    <x v="0"/>
    <x v="6"/>
    <x v="0"/>
    <x v="5"/>
    <m/>
    <x v="304"/>
    <x v="14"/>
    <s v="A+"/>
    <x v="170"/>
    <n v="10230650.199999999"/>
    <n v="34465.800000000003"/>
    <n v="10070299.699999999"/>
    <n v="4.0516059999999996"/>
    <n v="10000000"/>
    <n v="3.23"/>
    <n v="1.6661428000000001E-3"/>
    <s v="Bond"/>
    <s v="THB"/>
    <d v="2016-03-18T00:00:00"/>
    <x v="110"/>
    <s v="SCBRM243397"/>
  </r>
  <r>
    <x v="0"/>
    <x v="6"/>
    <x v="0"/>
    <x v="5"/>
    <m/>
    <x v="259"/>
    <x v="26"/>
    <s v="A+"/>
    <x v="138"/>
    <n v="29977207.5"/>
    <n v="24361.5"/>
    <n v="30000000"/>
    <n v="1.429473"/>
    <n v="30000000"/>
    <n v="2.2799999999999998"/>
    <n v="4.8695891000000002E-3"/>
    <s v="Bond"/>
    <s v="THB"/>
    <d v="2016-04-12T00:00:00"/>
    <x v="112"/>
    <s v="SCBRM243397"/>
  </r>
  <r>
    <x v="0"/>
    <x v="6"/>
    <x v="0"/>
    <x v="5"/>
    <m/>
    <x v="305"/>
    <x v="26"/>
    <s v="A+"/>
    <x v="171"/>
    <n v="33273909.440000001"/>
    <n v="575736.96"/>
    <n v="33737826.880000003"/>
    <n v="4.0839059999999998"/>
    <n v="32000000"/>
    <n v="2.7"/>
    <n v="5.4941749999999996E-3"/>
    <s v="Bond"/>
    <s v="THB"/>
    <d v="2015-05-13T00:00:00"/>
    <x v="111"/>
    <s v="SCBRM243397"/>
  </r>
  <r>
    <x v="0"/>
    <x v="6"/>
    <x v="0"/>
    <x v="5"/>
    <m/>
    <x v="306"/>
    <x v="26"/>
    <s v="A+"/>
    <x v="172"/>
    <n v="32862106.530000001"/>
    <n v="36553.11"/>
    <n v="33000000"/>
    <n v="4.9800950000000004"/>
    <n v="33000000"/>
    <n v="3.11"/>
    <n v="5.3398192000000001E-3"/>
    <s v="Bond"/>
    <s v="THB"/>
    <d v="2016-04-12T00:00:00"/>
    <x v="111"/>
    <s v="SCBRM243397"/>
  </r>
  <r>
    <x v="0"/>
    <x v="6"/>
    <x v="0"/>
    <x v="5"/>
    <m/>
    <x v="223"/>
    <x v="26"/>
    <s v="A+"/>
    <x v="113"/>
    <n v="41359634.399999999"/>
    <n v="326391.65999999997"/>
    <n v="42000000"/>
    <n v="5.5962709999999998"/>
    <n v="42000000"/>
    <n v="3.05"/>
    <n v="6.7661068000000003E-3"/>
    <s v="Bond"/>
    <s v="THB"/>
    <d v="2018-01-24T00:00:00"/>
    <x v="51"/>
    <s v="SCBRM243397"/>
  </r>
  <r>
    <x v="0"/>
    <x v="6"/>
    <x v="0"/>
    <x v="5"/>
    <m/>
    <x v="260"/>
    <x v="27"/>
    <s v="A+"/>
    <x v="139"/>
    <n v="25034626.5"/>
    <n v="175356.25"/>
    <n v="25000000"/>
    <n v="1.667637"/>
    <n v="25000000"/>
    <n v="2.5099999999999998"/>
    <n v="4.0918611999999997E-3"/>
    <s v="Bond"/>
    <s v="THB"/>
    <d v="2016-07-15T00:00:00"/>
    <x v="112"/>
    <s v="SCBRM243397"/>
  </r>
  <r>
    <x v="0"/>
    <x v="6"/>
    <x v="0"/>
    <x v="5"/>
    <m/>
    <x v="307"/>
    <x v="27"/>
    <s v="A+"/>
    <x v="173"/>
    <n v="60776367.600000001"/>
    <n v="494301.6"/>
    <n v="60000000"/>
    <n v="2.1371730000000002"/>
    <n v="60000000"/>
    <n v="3.1"/>
    <n v="9.9449126999999991E-3"/>
    <s v="Bond"/>
    <s v="THB"/>
    <d v="2016-01-20T00:00:00"/>
    <x v="114"/>
    <s v="SCBRM243397"/>
  </r>
  <r>
    <x v="0"/>
    <x v="6"/>
    <x v="0"/>
    <x v="5"/>
    <m/>
    <x v="308"/>
    <x v="27"/>
    <s v="A+"/>
    <x v="174"/>
    <n v="40791371.200000003"/>
    <n v="368865.6"/>
    <n v="40000000"/>
    <n v="3.8893659999999999"/>
    <n v="40000000"/>
    <n v="3.47"/>
    <n v="6.6807652999999996E-3"/>
    <s v="Bond"/>
    <s v="THB"/>
    <d v="2016-01-20T00:00:00"/>
    <x v="51"/>
    <s v="SCBRM243397"/>
  </r>
  <r>
    <x v="0"/>
    <x v="6"/>
    <x v="0"/>
    <x v="5"/>
    <m/>
    <x v="309"/>
    <x v="64"/>
    <s v="A+"/>
    <x v="175"/>
    <n v="33969076.659999996"/>
    <n v="303466.37"/>
    <n v="34000000"/>
    <n v="0.50590000000000002"/>
    <n v="34000000"/>
    <n v="1.82"/>
    <n v="5.5628157999999999E-3"/>
    <s v="Bond"/>
    <s v="THB"/>
    <d v="2016-04-29T00:00:00"/>
    <x v="54"/>
    <s v="SCBRM243397"/>
  </r>
  <r>
    <x v="0"/>
    <x v="6"/>
    <x v="0"/>
    <x v="5"/>
    <m/>
    <x v="310"/>
    <x v="66"/>
    <s v="A"/>
    <x v="176"/>
    <n v="10080546.699999999"/>
    <n v="130356.2"/>
    <n v="10148339.9"/>
    <n v="1.5133190000000001"/>
    <n v="10000000"/>
    <n v="2.08"/>
    <n v="1.6573434000000001E-3"/>
    <s v="Bond"/>
    <s v="THB"/>
    <d v="2015-05-22T00:00:00"/>
    <x v="114"/>
    <s v="SCBRM243397"/>
  </r>
  <r>
    <x v="0"/>
    <x v="6"/>
    <x v="0"/>
    <x v="5"/>
    <m/>
    <x v="311"/>
    <x v="66"/>
    <s v="A"/>
    <x v="81"/>
    <n v="9903365.6999999993"/>
    <n v="24876.7"/>
    <n v="10000000"/>
    <n v="2.2994979999999998"/>
    <n v="10000000"/>
    <n v="2.27"/>
    <n v="1.6114644000000001E-3"/>
    <s v="Bond"/>
    <s v="THB"/>
    <d v="2016-03-15T00:00:00"/>
    <x v="21"/>
    <s v="SCBRM243397"/>
  </r>
  <r>
    <x v="0"/>
    <x v="6"/>
    <x v="0"/>
    <x v="5"/>
    <m/>
    <x v="312"/>
    <x v="38"/>
    <s v="A"/>
    <x v="177"/>
    <n v="50191825"/>
    <n v="324041.08"/>
    <n v="50000000"/>
    <n v="1.7208239999999999"/>
    <n v="50000000"/>
    <n v="2.85"/>
    <n v="8.1992882E-3"/>
    <s v="Bond"/>
    <s v="THB"/>
    <d v="2017-02-03T00:00:00"/>
    <x v="129"/>
    <s v="SCBRM243397"/>
  </r>
  <r>
    <x v="0"/>
    <x v="6"/>
    <x v="0"/>
    <x v="5"/>
    <m/>
    <x v="238"/>
    <x v="38"/>
    <s v="A"/>
    <x v="178"/>
    <n v="6980083.04"/>
    <n v="66831.8"/>
    <n v="7000000"/>
    <n v="1.9840409999999999"/>
    <n v="7000000"/>
    <n v="2.64"/>
    <n v="1.1437928000000001E-3"/>
    <s v="Bond"/>
    <s v="THB"/>
    <d v="2017-06-15T00:00:00"/>
    <x v="130"/>
    <s v="SCBRM243397"/>
  </r>
  <r>
    <x v="0"/>
    <x v="6"/>
    <x v="0"/>
    <x v="5"/>
    <m/>
    <x v="313"/>
    <x v="39"/>
    <s v="A-"/>
    <x v="179"/>
    <n v="75016086.75"/>
    <n v="923075.25"/>
    <n v="75649752"/>
    <n v="1.487282"/>
    <n v="75000000"/>
    <n v="2.11"/>
    <n v="1.23257726E-2"/>
    <s v="Bond"/>
    <s v="THB"/>
    <d v="2017-05-11T00:00:00"/>
    <x v="53"/>
    <s v="SCBRM243397"/>
  </r>
  <r>
    <x v="0"/>
    <x v="6"/>
    <x v="0"/>
    <x v="5"/>
    <m/>
    <x v="314"/>
    <x v="68"/>
    <s v="A(tha)"/>
    <x v="180"/>
    <n v="13286100.359999999"/>
    <n v="219700"/>
    <n v="13000000"/>
    <n v="4.9127349999999996"/>
    <n v="13000000"/>
    <n v="3.65"/>
    <n v="2.1921419999999998E-3"/>
    <s v="Bond"/>
    <s v="THB"/>
    <d v="2017-05-09T00:00:00"/>
    <x v="51"/>
    <s v="SCBRM243397"/>
  </r>
  <r>
    <x v="0"/>
    <x v="6"/>
    <x v="0"/>
    <x v="5"/>
    <m/>
    <x v="315"/>
    <x v="11"/>
    <s v="A"/>
    <x v="181"/>
    <n v="1004179.37"/>
    <n v="4915.07"/>
    <n v="1000000"/>
    <n v="1.281434"/>
    <n v="1000000"/>
    <n v="2.6"/>
    <n v="1.637873E-4"/>
    <s v="Bond"/>
    <s v="THB"/>
    <d v="2017-02-17T00:00:00"/>
    <x v="54"/>
    <s v="SCBRM243397"/>
  </r>
  <r>
    <x v="0"/>
    <x v="6"/>
    <x v="0"/>
    <x v="5"/>
    <m/>
    <x v="275"/>
    <x v="40"/>
    <s v="AA"/>
    <x v="150"/>
    <n v="100136711"/>
    <n v="315616"/>
    <n v="100000000"/>
    <n v="3.1859549999999999"/>
    <n v="100000000"/>
    <n v="3.2"/>
    <n v="1.63045325E-2"/>
    <s v="Bond"/>
    <s v="THB"/>
    <d v="2018-09-19T00:00:00"/>
    <x v="122"/>
    <s v="SCBRM243397"/>
  </r>
  <r>
    <x v="0"/>
    <x v="6"/>
    <x v="0"/>
    <x v="5"/>
    <m/>
    <x v="316"/>
    <x v="40"/>
    <s v="AA"/>
    <x v="182"/>
    <n v="20488369.649999999"/>
    <n v="52402.14"/>
    <n v="21000000"/>
    <n v="4.0955199999999996"/>
    <n v="21000000"/>
    <n v="2.76"/>
    <n v="3.3339963000000002E-3"/>
    <s v="Bond"/>
    <s v="THB"/>
    <d v="2018-03-22T00:00:00"/>
    <x v="21"/>
    <s v="SCBRM243397"/>
  </r>
  <r>
    <x v="0"/>
    <x v="6"/>
    <x v="0"/>
    <x v="5"/>
    <m/>
    <x v="234"/>
    <x v="42"/>
    <s v="BBB+"/>
    <x v="123"/>
    <n v="20004878.199999999"/>
    <n v="296087.59999999998"/>
    <n v="20000000"/>
    <n v="9.0255000000000002E-2"/>
    <n v="20000000"/>
    <n v="2.2799999999999998"/>
    <n v="3.2950731E-3"/>
    <s v="Bond"/>
    <s v="THB"/>
    <d v="2018-03-02T00:00:00"/>
    <x v="16"/>
    <s v="SCBRM243397"/>
  </r>
  <r>
    <x v="0"/>
    <x v="6"/>
    <x v="0"/>
    <x v="5"/>
    <m/>
    <x v="266"/>
    <x v="42"/>
    <s v="BBB+"/>
    <x v="65"/>
    <n v="9999493.8000000007"/>
    <n v="109643.8"/>
    <n v="10000000"/>
    <n v="0.261436"/>
    <n v="10000000"/>
    <n v="2.2999999999999998"/>
    <n v="1.6408257000000001E-3"/>
    <s v="Bond"/>
    <s v="THB"/>
    <d v="2018-05-04T00:00:00"/>
    <x v="16"/>
    <s v="SCBRM243397"/>
  </r>
  <r>
    <x v="0"/>
    <x v="6"/>
    <x v="0"/>
    <x v="5"/>
    <m/>
    <x v="317"/>
    <x v="42"/>
    <s v="BBB+"/>
    <x v="183"/>
    <n v="60018340.799999997"/>
    <n v="34520.400000000001"/>
    <n v="60000000"/>
    <n v="0.70552599999999999"/>
    <n v="60000000"/>
    <n v="3"/>
    <n v="9.7472488999999999E-3"/>
    <s v="Bond"/>
    <s v="THB"/>
    <d v="2018-10-18T00:00:00"/>
    <x v="16"/>
    <s v="SCBRM243397"/>
  </r>
  <r>
    <x v="0"/>
    <x v="6"/>
    <x v="0"/>
    <x v="5"/>
    <m/>
    <x v="149"/>
    <x v="43"/>
    <s v="BBB+"/>
    <x v="65"/>
    <n v="41996512.32"/>
    <n v="396986.1"/>
    <n v="42000000"/>
    <n v="0.26142500000000002"/>
    <n v="42000000"/>
    <n v="2.2999999999999998"/>
    <n v="6.8809374000000003E-3"/>
    <s v="Bond"/>
    <s v="THB"/>
    <d v="2018-05-28T00:00:00"/>
    <x v="64"/>
    <s v="SCBRM243397"/>
  </r>
  <r>
    <x v="0"/>
    <x v="6"/>
    <x v="0"/>
    <x v="5"/>
    <m/>
    <x v="152"/>
    <x v="45"/>
    <s v="A"/>
    <x v="88"/>
    <n v="25811168.5"/>
    <n v="40246.699999999997"/>
    <n v="26000000"/>
    <n v="2.3531439999999999"/>
    <n v="26000000"/>
    <n v="2.2599999999999998"/>
    <n v="4.1959728999999999E-3"/>
    <s v="Bond"/>
    <s v="THB"/>
    <d v="2018-03-30T00:00:00"/>
    <x v="53"/>
    <s v="SCBRM243397"/>
  </r>
  <r>
    <x v="0"/>
    <x v="6"/>
    <x v="0"/>
    <x v="5"/>
    <m/>
    <x v="153"/>
    <x v="46"/>
    <s v="A-"/>
    <x v="89"/>
    <n v="18144479.879999999"/>
    <n v="111669.12"/>
    <n v="18000000"/>
    <n v="1.7444759999999999"/>
    <n v="18000000"/>
    <n v="3.33"/>
    <n v="2.9631764999999998E-3"/>
    <s v="Bond"/>
    <s v="THB"/>
    <d v="2017-08-18T00:00:00"/>
    <x v="53"/>
    <s v="SCBRM243397"/>
  </r>
  <r>
    <x v="0"/>
    <x v="6"/>
    <x v="1"/>
    <x v="21"/>
    <m/>
    <x v="318"/>
    <x v="0"/>
    <s v="AA+(tha)"/>
    <x v="184"/>
    <n v="-1080557.96"/>
    <m/>
    <n v="0"/>
    <n v="0"/>
    <n v="0"/>
    <n v="0"/>
    <n v="-1.7538659999999999E-4"/>
    <s v="Swap"/>
    <s v="THB"/>
    <d v="1900-01-01T00:00:00"/>
    <x v="131"/>
    <s v="SCBRM243397"/>
  </r>
  <r>
    <x v="0"/>
    <x v="6"/>
    <x v="1"/>
    <x v="21"/>
    <m/>
    <x v="319"/>
    <x v="48"/>
    <s v="AA-(tha)"/>
    <x v="185"/>
    <n v="-250147.05"/>
    <m/>
    <n v="0"/>
    <n v="4.9808219999999999"/>
    <n v="0"/>
    <n v="0"/>
    <n v="-4.0601700000000001E-5"/>
    <s v="Swap"/>
    <s v="THB"/>
    <d v="1900-01-01T00:00:00"/>
    <x v="132"/>
    <s v="SCBRM243397"/>
  </r>
  <r>
    <x v="0"/>
    <x v="6"/>
    <x v="1"/>
    <x v="21"/>
    <m/>
    <x v="320"/>
    <x v="0"/>
    <s v="AA+(tha)"/>
    <x v="185"/>
    <n v="-178099.41"/>
    <m/>
    <n v="0"/>
    <n v="4.9808219999999999"/>
    <n v="0"/>
    <n v="0"/>
    <n v="-2.8907500000000001E-5"/>
    <s v="Swap"/>
    <s v="THB"/>
    <d v="1900-01-01T00:00:00"/>
    <x v="132"/>
    <s v="SCBRM243397"/>
  </r>
  <r>
    <x v="0"/>
    <x v="6"/>
    <x v="1"/>
    <x v="21"/>
    <m/>
    <x v="321"/>
    <x v="8"/>
    <s v="AA+(tha)"/>
    <x v="186"/>
    <n v="-235059.96"/>
    <m/>
    <n v="0"/>
    <n v="4.983562"/>
    <n v="0"/>
    <n v="0"/>
    <n v="-3.8152899999999999E-5"/>
    <s v="Swap"/>
    <s v="THB"/>
    <d v="1900-01-01T00:00:00"/>
    <x v="133"/>
    <s v="SCBRM243397"/>
  </r>
  <r>
    <x v="0"/>
    <x v="6"/>
    <x v="1"/>
    <x v="21"/>
    <m/>
    <x v="322"/>
    <x v="48"/>
    <s v="AA-(tha)"/>
    <x v="186"/>
    <n v="-226301.14"/>
    <m/>
    <n v="0"/>
    <n v="4.983562"/>
    <n v="0"/>
    <n v="0"/>
    <n v="-3.6731199999999998E-5"/>
    <s v="Swap"/>
    <s v="THB"/>
    <d v="1900-01-01T00:00:00"/>
    <x v="133"/>
    <s v="SCBRM243397"/>
  </r>
  <r>
    <x v="0"/>
    <x v="6"/>
    <x v="4"/>
    <x v="17"/>
    <s v="Settle Date :25/10/2018"/>
    <x v="5"/>
    <x v="16"/>
    <m/>
    <x v="0"/>
    <n v="3275172.56"/>
    <m/>
    <n v="3275172.56"/>
    <n v="0"/>
    <m/>
    <n v="0"/>
    <n v="5.3159699999999997E-4"/>
    <s v="Cash Bal"/>
    <s v="THB"/>
    <d v="1900-01-01T00:00:00"/>
    <x v="0"/>
    <s v="SCBRM243397"/>
  </r>
  <r>
    <x v="0"/>
    <x v="6"/>
    <x v="4"/>
    <x v="17"/>
    <s v="Settle Date :26/10/2018"/>
    <x v="5"/>
    <x v="16"/>
    <m/>
    <x v="0"/>
    <n v="50000"/>
    <m/>
    <n v="50000"/>
    <n v="0"/>
    <m/>
    <n v="0"/>
    <n v="8.1156000000000007E-6"/>
    <s v="Cash Bal"/>
    <s v="THB"/>
    <d v="1900-01-01T00:00:00"/>
    <x v="0"/>
    <s v="SCBRM243397"/>
  </r>
  <r>
    <x v="0"/>
    <x v="6"/>
    <x v="2"/>
    <x v="7"/>
    <s v="Settle Date :26/10/2018"/>
    <x v="297"/>
    <x v="16"/>
    <m/>
    <x v="0"/>
    <n v="-179547726.02000001"/>
    <m/>
    <n v="-179547726.02000001"/>
    <m/>
    <m/>
    <n v="0"/>
    <n v="-2.91425976E-2"/>
    <s v="Bond"/>
    <s v="THB"/>
    <d v="2018-07-13T00:00:00"/>
    <x v="134"/>
    <s v="SCBRM243397"/>
  </r>
  <r>
    <x v="0"/>
    <x v="6"/>
    <x v="2"/>
    <x v="8"/>
    <s v="AUDITING FEE"/>
    <x v="64"/>
    <x v="16"/>
    <m/>
    <x v="0"/>
    <n v="-62383.59"/>
    <m/>
    <m/>
    <m/>
    <m/>
    <n v="0"/>
    <n v="-1.01256E-5"/>
    <m/>
    <m/>
    <m/>
    <x v="31"/>
    <s v="SCBRM243397"/>
  </r>
  <r>
    <x v="0"/>
    <x v="6"/>
    <x v="2"/>
    <x v="9"/>
    <m/>
    <x v="65"/>
    <x v="16"/>
    <m/>
    <x v="0"/>
    <n v="-115701.54"/>
    <n v="0"/>
    <m/>
    <m/>
    <m/>
    <n v="0"/>
    <n v="-1.8779599999999999E-5"/>
    <m/>
    <m/>
    <m/>
    <x v="31"/>
    <s v="SCBRM243397"/>
  </r>
  <r>
    <x v="0"/>
    <x v="6"/>
    <x v="2"/>
    <x v="19"/>
    <m/>
    <x v="65"/>
    <x v="16"/>
    <m/>
    <x v="0"/>
    <n v="-4182.17"/>
    <n v="0"/>
    <m/>
    <m/>
    <m/>
    <n v="0"/>
    <n v="-6.7879999999999996E-7"/>
    <m/>
    <m/>
    <m/>
    <x v="31"/>
    <s v="SCBRM243397"/>
  </r>
  <r>
    <x v="0"/>
    <x v="6"/>
    <x v="2"/>
    <x v="13"/>
    <s v="CUSTODIAN FEE"/>
    <x v="65"/>
    <x v="16"/>
    <m/>
    <x v="0"/>
    <n v="-119215.67999999999"/>
    <m/>
    <n v="-119215.67999999999"/>
    <m/>
    <m/>
    <n v="0"/>
    <n v="-1.9349999999999999E-5"/>
    <m/>
    <m/>
    <m/>
    <x v="31"/>
    <s v="SCBRM243397"/>
  </r>
  <r>
    <x v="0"/>
    <x v="6"/>
    <x v="2"/>
    <x v="12"/>
    <s v="MANAGEMENT FEE"/>
    <x v="65"/>
    <x v="16"/>
    <m/>
    <x v="0"/>
    <n v="-2259137.33"/>
    <m/>
    <n v="-2259137.33"/>
    <m/>
    <m/>
    <n v="0"/>
    <n v="-3.6668319999999999E-4"/>
    <m/>
    <m/>
    <m/>
    <x v="31"/>
    <s v="SCBRM243397"/>
  </r>
  <r>
    <x v="0"/>
    <x v="6"/>
    <x v="2"/>
    <x v="20"/>
    <s v="OPERATION FEE"/>
    <x v="65"/>
    <x v="16"/>
    <m/>
    <x v="0"/>
    <n v="-397385.62"/>
    <m/>
    <n v="-397385.62"/>
    <m/>
    <m/>
    <n v="0"/>
    <n v="-6.4500100000000003E-5"/>
    <m/>
    <m/>
    <m/>
    <x v="31"/>
    <s v="SCBRM243397"/>
  </r>
  <r>
    <x v="0"/>
    <x v="6"/>
    <x v="2"/>
    <x v="10"/>
    <s v="REGISTRAR FEE"/>
    <x v="65"/>
    <x v="16"/>
    <m/>
    <x v="0"/>
    <n v="0"/>
    <m/>
    <n v="0"/>
    <m/>
    <m/>
    <n v="0"/>
    <n v="0"/>
    <m/>
    <m/>
    <m/>
    <x v="31"/>
    <s v="SCBRM243397"/>
  </r>
  <r>
    <x v="0"/>
    <x v="6"/>
    <x v="3"/>
    <x v="13"/>
    <s v="CUSTODIAN FEE"/>
    <x v="65"/>
    <x v="16"/>
    <m/>
    <x v="0"/>
    <n v="-10837.06"/>
    <m/>
    <n v="-10837.06"/>
    <m/>
    <m/>
    <n v="0"/>
    <n v="-1.759E-6"/>
    <m/>
    <m/>
    <m/>
    <x v="31"/>
    <s v="SCBRM243397"/>
  </r>
  <r>
    <x v="0"/>
    <x v="6"/>
    <x v="3"/>
    <x v="12"/>
    <s v="MANAGEMENT FEE"/>
    <x v="65"/>
    <x v="16"/>
    <m/>
    <x v="0"/>
    <n v="-205362.34"/>
    <m/>
    <n v="-205362.34"/>
    <m/>
    <m/>
    <n v="0"/>
    <n v="-3.33326E-5"/>
    <m/>
    <m/>
    <m/>
    <x v="31"/>
    <s v="SCBRM243397"/>
  </r>
  <r>
    <x v="0"/>
    <x v="6"/>
    <x v="3"/>
    <x v="20"/>
    <s v="OPERATION FEE"/>
    <x v="65"/>
    <x v="16"/>
    <m/>
    <x v="0"/>
    <n v="-36123.54"/>
    <m/>
    <n v="-36123.54"/>
    <m/>
    <m/>
    <n v="0"/>
    <n v="-5.8633000000000003E-6"/>
    <m/>
    <m/>
    <m/>
    <x v="31"/>
    <s v="SCBRM243397"/>
  </r>
  <r>
    <x v="0"/>
    <x v="6"/>
    <x v="3"/>
    <x v="10"/>
    <s v="REGISTRAR FEE"/>
    <x v="65"/>
    <x v="16"/>
    <m/>
    <x v="0"/>
    <n v="0"/>
    <m/>
    <n v="0"/>
    <m/>
    <m/>
    <n v="0"/>
    <n v="0"/>
    <m/>
    <m/>
    <m/>
    <x v="31"/>
    <s v="SCBRM243397"/>
  </r>
  <r>
    <x v="0"/>
    <x v="7"/>
    <x v="0"/>
    <x v="0"/>
    <m/>
    <x v="5"/>
    <x v="18"/>
    <m/>
    <x v="0"/>
    <n v="9904558.8399999999"/>
    <n v="17943.43"/>
    <n v="9904558.8399999999"/>
    <n v="0"/>
    <n v="0"/>
    <n v="0"/>
    <n v="1.7905840000000001E-4"/>
    <s v="Cash Bal"/>
    <s v="THB"/>
    <d v="1900-01-01T00:00:00"/>
    <x v="0"/>
    <s v="SCBFPFUND43397"/>
  </r>
  <r>
    <x v="0"/>
    <x v="7"/>
    <x v="0"/>
    <x v="0"/>
    <m/>
    <x v="67"/>
    <x v="17"/>
    <m/>
    <x v="0"/>
    <n v="0"/>
    <m/>
    <n v="0"/>
    <n v="0"/>
    <n v="0"/>
    <n v="0"/>
    <n v="0"/>
    <s v="Cash Bal"/>
    <s v="AEDbb"/>
    <d v="1900-01-01T00:00:00"/>
    <x v="0"/>
    <s v="SCBFPFUND43397"/>
  </r>
  <r>
    <x v="0"/>
    <x v="7"/>
    <x v="0"/>
    <x v="0"/>
    <m/>
    <x v="0"/>
    <x v="0"/>
    <s v="AA+(tha)"/>
    <x v="0"/>
    <n v="0"/>
    <m/>
    <n v="0"/>
    <n v="0"/>
    <n v="0"/>
    <n v="0"/>
    <n v="0"/>
    <s v="Cash Bal"/>
    <s v="CNHbb"/>
    <d v="1900-01-01T00:00:00"/>
    <x v="0"/>
    <s v="SCBFPFUND43397"/>
  </r>
  <r>
    <x v="0"/>
    <x v="7"/>
    <x v="0"/>
    <x v="0"/>
    <m/>
    <x v="1"/>
    <x v="0"/>
    <s v="AA+(tha)"/>
    <x v="0"/>
    <n v="0"/>
    <m/>
    <n v="0"/>
    <n v="0"/>
    <n v="0"/>
    <n v="0"/>
    <n v="0"/>
    <s v="Cash Bal"/>
    <s v="EURbb"/>
    <d v="1900-01-01T00:00:00"/>
    <x v="0"/>
    <s v="SCBFPFUND43397"/>
  </r>
  <r>
    <x v="0"/>
    <x v="7"/>
    <x v="0"/>
    <x v="0"/>
    <m/>
    <x v="68"/>
    <x v="18"/>
    <s v="AA+(tha)"/>
    <x v="0"/>
    <n v="0"/>
    <m/>
    <n v="0"/>
    <n v="0"/>
    <n v="0"/>
    <n v="0"/>
    <n v="0"/>
    <s v="Cash Bal"/>
    <s v="GBPbb"/>
    <d v="1900-01-01T00:00:00"/>
    <x v="0"/>
    <s v="SCBFPFUND43397"/>
  </r>
  <r>
    <x v="0"/>
    <x v="7"/>
    <x v="0"/>
    <x v="0"/>
    <m/>
    <x v="2"/>
    <x v="0"/>
    <s v="AA+(tha)"/>
    <x v="0"/>
    <n v="0"/>
    <m/>
    <n v="0"/>
    <n v="0"/>
    <n v="0"/>
    <n v="0"/>
    <n v="0"/>
    <s v="Cash Bal"/>
    <s v="HKDbb"/>
    <d v="1900-01-01T00:00:00"/>
    <x v="0"/>
    <s v="SCBFPFUND43397"/>
  </r>
  <r>
    <x v="0"/>
    <x v="7"/>
    <x v="0"/>
    <x v="0"/>
    <m/>
    <x v="69"/>
    <x v="0"/>
    <s v="AA+(tha)"/>
    <x v="0"/>
    <n v="0"/>
    <m/>
    <n v="0"/>
    <n v="0"/>
    <n v="0"/>
    <n v="0"/>
    <n v="0"/>
    <s v="Cash Bal"/>
    <s v="JPYbb"/>
    <d v="1900-01-01T00:00:00"/>
    <x v="0"/>
    <s v="SCBFPFUND43397"/>
  </r>
  <r>
    <x v="0"/>
    <x v="7"/>
    <x v="0"/>
    <x v="0"/>
    <m/>
    <x v="4"/>
    <x v="0"/>
    <s v="AA+(tha)"/>
    <x v="0"/>
    <n v="0"/>
    <m/>
    <n v="0"/>
    <n v="0"/>
    <n v="0"/>
    <n v="0"/>
    <n v="0"/>
    <s v="Cash Bal"/>
    <s v="USDbb"/>
    <d v="1900-01-01T00:00:00"/>
    <x v="0"/>
    <s v="SCBFPFUND43397"/>
  </r>
  <r>
    <x v="0"/>
    <x v="7"/>
    <x v="0"/>
    <x v="1"/>
    <m/>
    <x v="71"/>
    <x v="20"/>
    <s v="A"/>
    <x v="12"/>
    <n v="657135113.60000002"/>
    <n v="12878783.33"/>
    <n v="657281989.47000003"/>
    <m/>
    <n v="20000000"/>
    <n v="2.6850000000000001"/>
    <n v="1.20908604E-2"/>
    <s v="Bond"/>
    <s v="USDbb"/>
    <d v="2018-01-16T00:00:00"/>
    <x v="3"/>
    <s v="SCBFPFUND43397"/>
  </r>
  <r>
    <x v="0"/>
    <x v="7"/>
    <x v="0"/>
    <x v="1"/>
    <m/>
    <x v="72"/>
    <x v="2"/>
    <s v="AA-"/>
    <x v="39"/>
    <n v="1500000000"/>
    <n v="10917123.289999999"/>
    <n v="1500000000"/>
    <n v="0.55652400000000002"/>
    <n v="1500000000"/>
    <n v="1.65"/>
    <n v="2.7265535899999999E-2"/>
    <s v="Bond"/>
    <s v="THB"/>
    <d v="2018-05-17T00:00:00"/>
    <x v="3"/>
    <s v="SCBFPFUND43397"/>
  </r>
  <r>
    <x v="0"/>
    <x v="7"/>
    <x v="0"/>
    <x v="1"/>
    <m/>
    <x v="323"/>
    <x v="2"/>
    <s v="AA-"/>
    <x v="47"/>
    <n v="400000000"/>
    <n v="2975342.47"/>
    <n v="400000000"/>
    <n v="0.50035399999999997"/>
    <n v="400000000"/>
    <n v="1.5"/>
    <n v="7.2719665000000001E-3"/>
    <s v="Bond"/>
    <s v="THB"/>
    <d v="2018-04-27T00:00:00"/>
    <x v="6"/>
    <s v="SCBFPFUND43397"/>
  </r>
  <r>
    <x v="0"/>
    <x v="7"/>
    <x v="0"/>
    <x v="1"/>
    <m/>
    <x v="74"/>
    <x v="21"/>
    <s v="A"/>
    <x v="41"/>
    <n v="1126143000"/>
    <m/>
    <n v="1126156451.3099999"/>
    <m/>
    <n v="30000000"/>
    <n v="-0.01"/>
    <n v="2.03220229E-2"/>
    <s v="Bond"/>
    <s v="EURbb"/>
    <d v="2017-12-07T00:00:00"/>
    <x v="3"/>
    <s v="SCBFPFUND43397"/>
  </r>
  <r>
    <x v="0"/>
    <x v="7"/>
    <x v="0"/>
    <x v="1"/>
    <m/>
    <x v="324"/>
    <x v="21"/>
    <s v="A"/>
    <x v="72"/>
    <n v="1126143000"/>
    <m/>
    <n v="1126154261.54"/>
    <m/>
    <n v="30000000"/>
    <n v="-0.01"/>
    <n v="2.03220229E-2"/>
    <s v="Bond"/>
    <s v="EURbb"/>
    <d v="2017-12-01T00:00:00"/>
    <x v="6"/>
    <s v="SCBFPFUND43397"/>
  </r>
  <r>
    <x v="0"/>
    <x v="7"/>
    <x v="0"/>
    <x v="1"/>
    <m/>
    <x v="325"/>
    <x v="3"/>
    <s v="A"/>
    <x v="42"/>
    <n v="1876905000"/>
    <n v="945230.21"/>
    <n v="1950000000"/>
    <n v="0.29715999999999998"/>
    <n v="50000000"/>
    <n v="7.0000000000000007E-2"/>
    <n v="3.3887095499999999E-2"/>
    <s v="Bond"/>
    <s v="EURbb"/>
    <d v="2018-02-08T00:00:00"/>
    <x v="3"/>
    <s v="SCBFPFUND43397"/>
  </r>
  <r>
    <x v="0"/>
    <x v="7"/>
    <x v="0"/>
    <x v="1"/>
    <m/>
    <x v="326"/>
    <x v="3"/>
    <s v="A"/>
    <x v="187"/>
    <n v="563071500"/>
    <n v="135762.79999999999"/>
    <n v="575550000"/>
    <n v="0.422151"/>
    <n v="15000000"/>
    <n v="0.04"/>
    <n v="1.0163461400000001E-2"/>
    <s v="Bond"/>
    <s v="EURbb"/>
    <d v="2018-03-22T00:00:00"/>
    <x v="63"/>
    <s v="SCBFPFUND43397"/>
  </r>
  <r>
    <x v="0"/>
    <x v="7"/>
    <x v="0"/>
    <x v="1"/>
    <m/>
    <x v="327"/>
    <x v="4"/>
    <s v="A+"/>
    <x v="5"/>
    <n v="986460000"/>
    <n v="23148928"/>
    <n v="994800000"/>
    <n v="3.6080000000000001E-2"/>
    <n v="30000000"/>
    <n v="2.4"/>
    <n v="1.8219085600000001E-2"/>
    <s v="Bond"/>
    <s v="USDbb"/>
    <d v="2017-11-07T00:00:00"/>
    <x v="6"/>
    <s v="SCBFPFUND43397"/>
  </r>
  <r>
    <x v="0"/>
    <x v="7"/>
    <x v="0"/>
    <x v="1"/>
    <m/>
    <x v="328"/>
    <x v="5"/>
    <s v="A"/>
    <x v="52"/>
    <n v="1126143000"/>
    <n v="383201.44"/>
    <n v="1146000000"/>
    <n v="0.52758300000000002"/>
    <n v="30000000"/>
    <n v="7.0000000000000007E-2"/>
    <n v="2.0328938000000001E-2"/>
    <s v="Bond"/>
    <s v="EURbb"/>
    <d v="2018-05-03T00:00:00"/>
    <x v="6"/>
    <s v="SCBFPFUND43397"/>
  </r>
  <r>
    <x v="0"/>
    <x v="7"/>
    <x v="0"/>
    <x v="1"/>
    <m/>
    <x v="89"/>
    <x v="5"/>
    <s v="A"/>
    <x v="21"/>
    <n v="328820000"/>
    <n v="7595742"/>
    <n v="327400000"/>
    <n v="0.15216399999999999"/>
    <n v="10000000"/>
    <n v="2.7"/>
    <n v="6.0708528000000001E-3"/>
    <s v="Bond"/>
    <s v="USDbb"/>
    <d v="2017-12-21T00:00:00"/>
    <x v="33"/>
    <s v="SCBFPFUND43397"/>
  </r>
  <r>
    <x v="0"/>
    <x v="7"/>
    <x v="0"/>
    <x v="1"/>
    <m/>
    <x v="329"/>
    <x v="5"/>
    <s v="A"/>
    <x v="188"/>
    <n v="657640000"/>
    <n v="2109928.33"/>
    <n v="651600000"/>
    <n v="0.89244999999999997"/>
    <n v="20000000"/>
    <n v="3.3"/>
    <n v="1.190564E-2"/>
    <s v="Bond"/>
    <s v="USDbb"/>
    <d v="2018-09-20T00:00:00"/>
    <x v="3"/>
    <s v="SCBFPFUND43397"/>
  </r>
  <r>
    <x v="0"/>
    <x v="7"/>
    <x v="0"/>
    <x v="1"/>
    <m/>
    <x v="330"/>
    <x v="6"/>
    <s v="AAA(tha)"/>
    <x v="148"/>
    <n v="230000000"/>
    <n v="835561.64"/>
    <n v="230000000"/>
    <n v="0.77863400000000005"/>
    <n v="230000000"/>
    <n v="1.7"/>
    <n v="4.1655859999999998E-3"/>
    <s v="Bond"/>
    <s v="THB"/>
    <d v="2018-08-08T00:00:00"/>
    <x v="3"/>
    <s v="SCBFPFUND43397"/>
  </r>
  <r>
    <x v="0"/>
    <x v="7"/>
    <x v="0"/>
    <x v="1"/>
    <m/>
    <x v="195"/>
    <x v="6"/>
    <s v="AAA(tha)"/>
    <x v="92"/>
    <n v="1000000000"/>
    <n v="8178082.1900000004"/>
    <n v="1000000000"/>
    <n v="0.45444099999999998"/>
    <n v="1000000000"/>
    <n v="1.5"/>
    <n v="1.8193265E-2"/>
    <s v="Bond"/>
    <s v="THB"/>
    <d v="2018-04-09T00:00:00"/>
    <x v="3"/>
    <s v="SCBFPFUND43397"/>
  </r>
  <r>
    <x v="0"/>
    <x v="7"/>
    <x v="0"/>
    <x v="1"/>
    <m/>
    <x v="331"/>
    <x v="6"/>
    <s v="AAA(tha)"/>
    <x v="189"/>
    <n v="1000000000"/>
    <n v="8054794.5199999996"/>
    <n v="1000000000"/>
    <n v="0.46254800000000001"/>
    <n v="1000000000"/>
    <n v="1.5"/>
    <n v="1.8191040200000001E-2"/>
    <s v="Bond"/>
    <s v="THB"/>
    <d v="2018-04-12T00:00:00"/>
    <x v="3"/>
    <s v="SCBFPFUND43397"/>
  </r>
  <r>
    <x v="0"/>
    <x v="7"/>
    <x v="0"/>
    <x v="1"/>
    <m/>
    <x v="332"/>
    <x v="6"/>
    <s v="AAA(tha)"/>
    <x v="190"/>
    <n v="1000000000"/>
    <n v="7767123.29"/>
    <n v="1000000000"/>
    <n v="0.481456"/>
    <n v="1000000000"/>
    <n v="1.5"/>
    <n v="1.8185849E-2"/>
    <s v="Bond"/>
    <s v="THB"/>
    <d v="2018-04-19T00:00:00"/>
    <x v="3"/>
    <s v="SCBFPFUND43397"/>
  </r>
  <r>
    <x v="0"/>
    <x v="7"/>
    <x v="0"/>
    <x v="1"/>
    <m/>
    <x v="333"/>
    <x v="6"/>
    <s v="AAA(tha)"/>
    <x v="191"/>
    <n v="280000000"/>
    <n v="3375342.47"/>
    <n v="280000000"/>
    <n v="0.24832399999999999"/>
    <n v="280000000"/>
    <n v="1.6"/>
    <n v="5.1137023999999996E-3"/>
    <s v="Bond"/>
    <s v="THB"/>
    <d v="2018-01-23T00:00:00"/>
    <x v="3"/>
    <s v="SCBFPFUND43397"/>
  </r>
  <r>
    <x v="0"/>
    <x v="7"/>
    <x v="0"/>
    <x v="1"/>
    <m/>
    <x v="239"/>
    <x v="6"/>
    <s v="AAA(tha)"/>
    <x v="72"/>
    <n v="90000000"/>
    <n v="1294027.3999999999"/>
    <n v="90000000"/>
    <n v="0.101206"/>
    <n v="90000000"/>
    <n v="1.6"/>
    <n v="1.6474632999999999E-3"/>
    <s v="Bond"/>
    <s v="THB"/>
    <d v="2017-12-01T00:00:00"/>
    <x v="6"/>
    <s v="SCBFPFUND43397"/>
  </r>
  <r>
    <x v="0"/>
    <x v="7"/>
    <x v="0"/>
    <x v="1"/>
    <m/>
    <x v="334"/>
    <x v="23"/>
    <s v="A+"/>
    <x v="59"/>
    <n v="328820000"/>
    <n v="931656.67"/>
    <n v="324100000"/>
    <n v="0.92296100000000003"/>
    <n v="10000000"/>
    <n v="3.4"/>
    <n v="5.9505948000000003E-3"/>
    <s v="Bond"/>
    <s v="USDbb"/>
    <d v="2018-09-25T00:00:00"/>
    <x v="135"/>
    <s v="SCBFPFUND43397"/>
  </r>
  <r>
    <x v="0"/>
    <x v="7"/>
    <x v="0"/>
    <x v="1"/>
    <m/>
    <x v="335"/>
    <x v="5"/>
    <s v="A"/>
    <x v="192"/>
    <n v="563071500"/>
    <n v="1407.68"/>
    <n v="567975000"/>
    <n v="0.23055"/>
    <n v="15000000"/>
    <n v="0.01"/>
    <n v="1.01610369E-2"/>
    <s v="Bond"/>
    <s v="EURbb"/>
    <d v="2018-10-16T00:00:00"/>
    <x v="17"/>
    <s v="SCBFPFUND43397"/>
  </r>
  <r>
    <x v="0"/>
    <x v="7"/>
    <x v="0"/>
    <x v="1"/>
    <m/>
    <x v="336"/>
    <x v="9"/>
    <s v="AAA(tha)"/>
    <x v="19"/>
    <n v="10640424.210000001"/>
    <n v="195064.27"/>
    <n v="10640424.210000001"/>
    <n v="0"/>
    <n v="10640424.210000001"/>
    <n v="0"/>
    <n v="1.9553379999999999E-4"/>
    <s v="Bond"/>
    <s v="THB"/>
    <d v="2010-12-24T00:00:00"/>
    <x v="136"/>
    <s v="SCBFPFUND43397"/>
  </r>
  <r>
    <x v="0"/>
    <x v="7"/>
    <x v="0"/>
    <x v="2"/>
    <m/>
    <x v="242"/>
    <x v="43"/>
    <s v="BBB+"/>
    <x v="66"/>
    <n v="989677600"/>
    <m/>
    <n v="990586340"/>
    <n v="0.41214000000000001"/>
    <n v="1000000000"/>
    <n v="2.282"/>
    <n v="1.7859411200000001E-2"/>
    <s v="Bond"/>
    <s v="THB"/>
    <d v="2018-06-29T00:00:00"/>
    <x v="16"/>
    <s v="SCBFPFUND43397"/>
  </r>
  <r>
    <x v="0"/>
    <x v="7"/>
    <x v="0"/>
    <x v="4"/>
    <m/>
    <x v="117"/>
    <x v="13"/>
    <m/>
    <x v="69"/>
    <n v="884892257.38"/>
    <m/>
    <n v="884893570.13999999"/>
    <n v="0.172151"/>
    <n v="887000000"/>
    <n v="1.379141"/>
    <n v="1.59684878E-2"/>
    <s v="Bond"/>
    <s v="THB"/>
    <d v="2018-09-27T00:00:00"/>
    <x v="17"/>
    <s v="SCBFPFUND43397"/>
  </r>
  <r>
    <x v="0"/>
    <x v="7"/>
    <x v="0"/>
    <x v="4"/>
    <m/>
    <x v="38"/>
    <x v="13"/>
    <m/>
    <x v="5"/>
    <n v="522793749.72000003"/>
    <m/>
    <n v="522793749.72000003"/>
    <n v="3.2863999999999997E-2"/>
    <n v="523000000"/>
    <n v="1.2"/>
    <n v="9.4341718000000001E-3"/>
    <s v="Bond"/>
    <s v="THB"/>
    <d v="2018-10-24T00:00:00"/>
    <x v="19"/>
    <s v="SCBFPFUND43397"/>
  </r>
  <r>
    <x v="0"/>
    <x v="7"/>
    <x v="0"/>
    <x v="4"/>
    <m/>
    <x v="43"/>
    <x v="13"/>
    <m/>
    <x v="31"/>
    <n v="70933070.430000007"/>
    <m/>
    <n v="70933070.430000007"/>
    <n v="7.6638999999999999E-2"/>
    <n v="71000000"/>
    <n v="1.23"/>
    <n v="1.2800359E-3"/>
    <s v="Bond"/>
    <s v="THB"/>
    <d v="2018-05-24T00:00:00"/>
    <x v="18"/>
    <s v="SCBFPFUND43397"/>
  </r>
  <r>
    <x v="0"/>
    <x v="7"/>
    <x v="0"/>
    <x v="4"/>
    <m/>
    <x v="118"/>
    <x v="13"/>
    <m/>
    <x v="20"/>
    <n v="32911634.579999998"/>
    <m/>
    <n v="32909745.989999998"/>
    <n v="0.191223"/>
    <n v="33000000"/>
    <n v="1.43"/>
    <n v="5.9391299999999995E-4"/>
    <s v="Bond"/>
    <s v="THB"/>
    <d v="2018-07-05T00:00:00"/>
    <x v="18"/>
    <s v="SCBFPFUND43397"/>
  </r>
  <r>
    <x v="0"/>
    <x v="7"/>
    <x v="0"/>
    <x v="4"/>
    <m/>
    <x v="337"/>
    <x v="13"/>
    <m/>
    <x v="193"/>
    <n v="16911780.710000001"/>
    <m/>
    <n v="16912329.300000001"/>
    <n v="0.32433600000000001"/>
    <n v="17000000"/>
    <n v="1.59"/>
    <n v="3.0518469999999998E-4"/>
    <s v="Bond"/>
    <s v="THB"/>
    <d v="2018-08-23T00:00:00"/>
    <x v="18"/>
    <s v="SCBFPFUND43397"/>
  </r>
  <r>
    <x v="0"/>
    <x v="7"/>
    <x v="0"/>
    <x v="4"/>
    <m/>
    <x v="285"/>
    <x v="13"/>
    <m/>
    <x v="90"/>
    <n v="1988011.2"/>
    <m/>
    <n v="1988695.5"/>
    <n v="0.36219899999999999"/>
    <n v="2000000"/>
    <n v="1.56"/>
    <n v="3.5874999999999998E-5"/>
    <s v="Bond"/>
    <s v="THB"/>
    <d v="2018-09-06T00:00:00"/>
    <x v="18"/>
    <s v="SCBFPFUND43397"/>
  </r>
  <r>
    <x v="0"/>
    <x v="7"/>
    <x v="0"/>
    <x v="4"/>
    <m/>
    <x v="286"/>
    <x v="13"/>
    <m/>
    <x v="94"/>
    <n v="88409089.840000004"/>
    <m/>
    <n v="88437480.840000004"/>
    <n v="0.40006599999999998"/>
    <n v="89000000"/>
    <n v="1.5793440000000001"/>
    <n v="1.5954026999999999E-3"/>
    <s v="Bond"/>
    <s v="THB"/>
    <d v="2018-09-20T00:00:00"/>
    <x v="18"/>
    <s v="SCBFPFUND43397"/>
  </r>
  <r>
    <x v="0"/>
    <x v="7"/>
    <x v="0"/>
    <x v="4"/>
    <m/>
    <x v="287"/>
    <x v="13"/>
    <m/>
    <x v="49"/>
    <n v="24821962"/>
    <m/>
    <n v="24835487"/>
    <n v="0.41891299999999998"/>
    <n v="25000000"/>
    <n v="1.57"/>
    <n v="4.4792930000000001E-4"/>
    <s v="Bond"/>
    <s v="THB"/>
    <d v="2018-09-27T00:00:00"/>
    <x v="18"/>
    <s v="SCBFPFUND43397"/>
  </r>
  <r>
    <x v="0"/>
    <x v="7"/>
    <x v="0"/>
    <x v="4"/>
    <m/>
    <x v="288"/>
    <x v="13"/>
    <m/>
    <x v="6"/>
    <n v="864551063.74000001"/>
    <m/>
    <n v="864905438.79999995"/>
    <n v="0.43783"/>
    <n v="871000000"/>
    <n v="1.5974999999999999"/>
    <n v="1.5601416999999999E-2"/>
    <s v="Bond"/>
    <s v="THB"/>
    <d v="2018-10-04T00:00:00"/>
    <x v="18"/>
    <s v="SCBFPFUND43397"/>
  </r>
  <r>
    <x v="0"/>
    <x v="7"/>
    <x v="0"/>
    <x v="4"/>
    <m/>
    <x v="290"/>
    <x v="13"/>
    <m/>
    <x v="157"/>
    <n v="308212154.81"/>
    <m/>
    <n v="308381888.44999999"/>
    <n v="0.84981300000000004"/>
    <n v="313000000"/>
    <n v="1.735233"/>
    <n v="5.5618997000000002E-3"/>
    <s v="Bond"/>
    <s v="THB"/>
    <d v="2018-09-06T00:00:00"/>
    <x v="6"/>
    <s v="SCBFPFUND43397"/>
  </r>
  <r>
    <x v="0"/>
    <x v="7"/>
    <x v="0"/>
    <x v="15"/>
    <m/>
    <x v="291"/>
    <x v="13"/>
    <m/>
    <x v="94"/>
    <n v="743417723.27999997"/>
    <n v="1039561.44"/>
    <n v="744331347.84000003"/>
    <n v="0.39932499999999999"/>
    <n v="744000000"/>
    <n v="1.403095"/>
    <n v="1.3434242399999999E-2"/>
    <s v="Bond"/>
    <s v="THB"/>
    <d v="2016-03-21T00:00:00"/>
    <x v="54"/>
    <s v="SCBFPFUND43397"/>
  </r>
  <r>
    <x v="0"/>
    <x v="7"/>
    <x v="0"/>
    <x v="15"/>
    <m/>
    <x v="338"/>
    <x v="13"/>
    <m/>
    <x v="194"/>
    <n v="196450014.41999999"/>
    <n v="436142.52"/>
    <n v="197599485.59999999"/>
    <n v="1.317008"/>
    <n v="198000000"/>
    <n v="1.4884820000000001"/>
    <n v="3.5529457999999999E-3"/>
    <s v="Bond"/>
    <s v="THB"/>
    <d v="2018-02-26T00:00:00"/>
    <x v="113"/>
    <s v="SCBFPFUND43397"/>
  </r>
  <r>
    <x v="0"/>
    <x v="7"/>
    <x v="0"/>
    <x v="15"/>
    <m/>
    <x v="292"/>
    <x v="13"/>
    <m/>
    <x v="158"/>
    <n v="895933315.86000001"/>
    <n v="1219313.3799999999"/>
    <n v="898681043.20000005"/>
    <n v="1.3925320000000001"/>
    <n v="898000000"/>
    <n v="1.7205189999999999"/>
    <n v="1.6189734599999998E-2"/>
    <s v="Bond"/>
    <s v="THB"/>
    <d v="2017-03-27T00:00:00"/>
    <x v="53"/>
    <s v="SCBFPFUND43397"/>
  </r>
  <r>
    <x v="0"/>
    <x v="7"/>
    <x v="0"/>
    <x v="15"/>
    <m/>
    <x v="293"/>
    <x v="12"/>
    <s v="BBB+"/>
    <x v="159"/>
    <n v="776177544.60000002"/>
    <n v="2631722.44"/>
    <n v="777026298.15999997"/>
    <n v="2.66093"/>
    <n v="716000000"/>
    <n v="1.2048099999999999"/>
    <n v="1.40541474E-2"/>
    <s v="Bond"/>
    <s v="THB"/>
    <d v="2011-07-14T00:00:00"/>
    <x v="108"/>
    <s v="SCBFPFUND43397"/>
  </r>
  <r>
    <x v="0"/>
    <x v="7"/>
    <x v="0"/>
    <x v="15"/>
    <m/>
    <x v="339"/>
    <x v="12"/>
    <s v="BBB+"/>
    <x v="195"/>
    <n v="784718084.46000004"/>
    <n v="12589214.779999999"/>
    <n v="784861026.39999998"/>
    <n v="0.21477399999999999"/>
    <n v="778000000"/>
    <n v="1.4112880000000001"/>
    <n v="1.4387957099999999E-2"/>
    <s v="Bond"/>
    <s v="THB"/>
    <d v="2007-01-12T00:00:00"/>
    <x v="137"/>
    <s v="SCBFPFUND43397"/>
  </r>
  <r>
    <x v="0"/>
    <x v="7"/>
    <x v="0"/>
    <x v="15"/>
    <m/>
    <x v="340"/>
    <x v="12"/>
    <s v="BBB+"/>
    <x v="196"/>
    <n v="160317360.58000001"/>
    <n v="707507.77"/>
    <n v="160421492.74000001"/>
    <n v="0.364095"/>
    <n v="159260000"/>
    <n v="1.486116"/>
    <n v="2.9058042000000002E-3"/>
    <s v="Bond"/>
    <s v="THB"/>
    <d v="2011-11-04T00:00:00"/>
    <x v="138"/>
    <s v="SCBFPFUND43397"/>
  </r>
  <r>
    <x v="0"/>
    <x v="7"/>
    <x v="0"/>
    <x v="15"/>
    <m/>
    <x v="248"/>
    <x v="12"/>
    <s v="BBB+"/>
    <x v="129"/>
    <n v="3544696506.5100002"/>
    <n v="29679957.620000001"/>
    <n v="3559858549.3499999"/>
    <n v="1.6168119999999999"/>
    <n v="3511000000"/>
    <n v="1.6983729999999999"/>
    <n v="6.45020751E-2"/>
    <s v="Bond"/>
    <s v="THB"/>
    <d v="2015-06-26T00:00:00"/>
    <x v="114"/>
    <s v="SCBFPFUND43397"/>
  </r>
  <r>
    <x v="0"/>
    <x v="7"/>
    <x v="0"/>
    <x v="15"/>
    <m/>
    <x v="341"/>
    <x v="12"/>
    <s v="BBB+"/>
    <x v="197"/>
    <n v="609507966.42999995"/>
    <n v="7579000"/>
    <n v="618317638.62"/>
    <n v="2.936391"/>
    <n v="583000000"/>
    <n v="1.662968"/>
    <n v="1.1135757600000001E-2"/>
    <s v="Bond"/>
    <s v="THB"/>
    <d v="2010-11-19T00:00:00"/>
    <x v="139"/>
    <s v="SCBFPFUND43397"/>
  </r>
  <r>
    <x v="0"/>
    <x v="7"/>
    <x v="0"/>
    <x v="15"/>
    <m/>
    <x v="294"/>
    <x v="12"/>
    <s v="BBB+"/>
    <x v="160"/>
    <n v="1670179301.4000001"/>
    <n v="11319345.6"/>
    <n v="1688491759.3499999"/>
    <n v="3.4763980000000001"/>
    <n v="1695000000"/>
    <n v="1.9837039999999999"/>
    <n v="3.0343796499999999E-2"/>
    <s v="Bond"/>
    <s v="THB"/>
    <d v="2016-07-15T00:00:00"/>
    <x v="125"/>
    <s v="SCBFPFUND43397"/>
  </r>
  <r>
    <x v="0"/>
    <x v="7"/>
    <x v="0"/>
    <x v="15"/>
    <m/>
    <x v="295"/>
    <x v="12"/>
    <s v="BBB+"/>
    <x v="161"/>
    <n v="233732556.84"/>
    <n v="1688219.73"/>
    <n v="238200796.05000001"/>
    <n v="3.9233220000000002"/>
    <n v="237000000"/>
    <n v="1.8714660000000001"/>
    <n v="4.2483293999999996E-3"/>
    <s v="Bond"/>
    <s v="THB"/>
    <d v="2017-08-04T00:00:00"/>
    <x v="126"/>
    <s v="SCBFPFUND43397"/>
  </r>
  <r>
    <x v="0"/>
    <x v="7"/>
    <x v="0"/>
    <x v="15"/>
    <m/>
    <x v="296"/>
    <x v="12"/>
    <s v="BBB+"/>
    <x v="162"/>
    <n v="205603620.97999999"/>
    <n v="934619.94"/>
    <n v="206594635.47999999"/>
    <n v="4.7901300000000004"/>
    <n v="206000000"/>
    <n v="2.3401049999999999"/>
    <n v="3.7271242000000001E-3"/>
    <s v="Bond"/>
    <s v="THB"/>
    <d v="2018-08-17T00:00:00"/>
    <x v="127"/>
    <s v="SCBFPFUND43397"/>
  </r>
  <r>
    <x v="0"/>
    <x v="7"/>
    <x v="0"/>
    <x v="15"/>
    <m/>
    <x v="297"/>
    <x v="12"/>
    <s v="BBB+"/>
    <x v="163"/>
    <n v="602255585.12"/>
    <n v="4978871.0999999996"/>
    <n v="602255585.12"/>
    <n v="8.6756609999999998"/>
    <n v="602000000"/>
    <n v="2.87"/>
    <n v="1.09579623E-2"/>
    <s v="Bond"/>
    <s v="THB"/>
    <d v="2018-07-13T00:00:00"/>
    <x v="128"/>
    <s v="SCBFPFUND43397"/>
  </r>
  <r>
    <x v="0"/>
    <x v="7"/>
    <x v="0"/>
    <x v="15"/>
    <m/>
    <x v="342"/>
    <x v="72"/>
    <m/>
    <x v="198"/>
    <n v="97372852"/>
    <n v="140384"/>
    <n v="100000000"/>
    <n v="3.7448389999999998"/>
    <n v="100000000"/>
    <n v="1.83"/>
    <n v="1.7596932E-3"/>
    <s v="Bond"/>
    <s v="THB"/>
    <d v="2017-09-27T00:00:00"/>
    <x v="21"/>
    <s v="SCBFPFUND43397"/>
  </r>
  <r>
    <x v="0"/>
    <x v="7"/>
    <x v="0"/>
    <x v="5"/>
    <m/>
    <x v="343"/>
    <x v="73"/>
    <s v="A-"/>
    <x v="199"/>
    <n v="148623262.5"/>
    <n v="925273.5"/>
    <n v="150000000"/>
    <n v="2.6212599999999999"/>
    <n v="150000000"/>
    <n v="2.37"/>
    <n v="2.6987058999999999E-3"/>
    <s v="Bond"/>
    <s v="THB"/>
    <d v="2016-07-22T00:00:00"/>
    <x v="21"/>
    <s v="SCBFPFUND43397"/>
  </r>
  <r>
    <x v="0"/>
    <x v="7"/>
    <x v="0"/>
    <x v="5"/>
    <m/>
    <x v="344"/>
    <x v="74"/>
    <m/>
    <x v="200"/>
    <n v="1498513605"/>
    <n v="5835615"/>
    <n v="1499893365"/>
    <n v="0.79622700000000002"/>
    <n v="1500000000"/>
    <n v="1.9971460000000001"/>
    <n v="2.7147013599999999E-2"/>
    <s v="Bond"/>
    <s v="THB"/>
    <d v="2016-08-15T00:00:00"/>
    <x v="54"/>
    <s v="SCBFPFUND43397"/>
  </r>
  <r>
    <x v="0"/>
    <x v="7"/>
    <x v="0"/>
    <x v="5"/>
    <m/>
    <x v="345"/>
    <x v="70"/>
    <m/>
    <x v="201"/>
    <n v="599468664"/>
    <n v="3130848"/>
    <n v="599992356"/>
    <n v="1.312268"/>
    <n v="600000000"/>
    <n v="2.1338140000000001"/>
    <n v="1.0874321500000001E-2"/>
    <s v="Bond"/>
    <s v="THB"/>
    <d v="2016-01-28T00:00:00"/>
    <x v="140"/>
    <s v="SCBFPFUND43397"/>
  </r>
  <r>
    <x v="0"/>
    <x v="7"/>
    <x v="0"/>
    <x v="5"/>
    <m/>
    <x v="346"/>
    <x v="70"/>
    <m/>
    <x v="202"/>
    <n v="248228100"/>
    <n v="2068492.5"/>
    <n v="250000000"/>
    <n v="2.0174949999999998"/>
    <n v="250000000"/>
    <n v="2"/>
    <n v="4.5167736999999998E-3"/>
    <s v="Bond"/>
    <s v="THB"/>
    <d v="2016-05-27T00:00:00"/>
    <x v="141"/>
    <s v="SCBFPFUND43397"/>
  </r>
  <r>
    <x v="0"/>
    <x v="7"/>
    <x v="0"/>
    <x v="5"/>
    <m/>
    <x v="347"/>
    <x v="30"/>
    <s v="BBB+"/>
    <x v="203"/>
    <n v="0"/>
    <n v="85698.63"/>
    <n v="0"/>
    <n v="1.4627810000000001"/>
    <n v="0"/>
    <n v="0"/>
    <n v="1.5464999999999999E-6"/>
    <s v="Bond"/>
    <s v="THB"/>
    <d v="2017-04-27T00:00:00"/>
    <x v="53"/>
    <s v="SCBFPFUND43397"/>
  </r>
  <r>
    <x v="0"/>
    <x v="7"/>
    <x v="0"/>
    <x v="5"/>
    <m/>
    <x v="348"/>
    <x v="75"/>
    <s v="A-"/>
    <x v="204"/>
    <n v="120502735.2"/>
    <n v="35244"/>
    <n v="119934624"/>
    <n v="1.4506060000000001"/>
    <n v="120000000"/>
    <n v="2.72"/>
    <n v="2.1751905000000002E-3"/>
    <s v="Bond"/>
    <s v="THB"/>
    <d v="2017-04-21T00:00:00"/>
    <x v="53"/>
    <s v="SCBFPFUND43397"/>
  </r>
  <r>
    <x v="0"/>
    <x v="7"/>
    <x v="0"/>
    <x v="5"/>
    <m/>
    <x v="349"/>
    <x v="75"/>
    <s v="A-"/>
    <x v="205"/>
    <n v="70548828"/>
    <n v="23013.9"/>
    <n v="70000000"/>
    <n v="2.383337"/>
    <n v="70000000"/>
    <n v="3"/>
    <n v="1.2735172999999999E-3"/>
    <s v="Bond"/>
    <s v="THB"/>
    <d v="2017-04-21T00:00:00"/>
    <x v="112"/>
    <s v="SCBFPFUND43397"/>
  </r>
  <r>
    <x v="0"/>
    <x v="7"/>
    <x v="0"/>
    <x v="5"/>
    <m/>
    <x v="350"/>
    <x v="75"/>
    <s v="A-"/>
    <x v="206"/>
    <n v="50463617"/>
    <n v="17808"/>
    <n v="50000000"/>
    <n v="3.2764419999999999"/>
    <n v="50000000"/>
    <n v="3.25"/>
    <n v="9.1097189999999998E-4"/>
    <s v="Bond"/>
    <s v="THB"/>
    <d v="2017-04-21T00:00:00"/>
    <x v="21"/>
    <s v="SCBFPFUND43397"/>
  </r>
  <r>
    <x v="0"/>
    <x v="7"/>
    <x v="0"/>
    <x v="5"/>
    <m/>
    <x v="351"/>
    <x v="76"/>
    <s v="A+"/>
    <x v="207"/>
    <n v="10355546.4"/>
    <n v="137819.20000000001"/>
    <n v="10563110.800000001"/>
    <n v="3.3473229999999998"/>
    <n v="10000000"/>
    <n v="2.2200000000000002"/>
    <n v="1.8935999999999999E-4"/>
    <s v="Bond"/>
    <s v="THB"/>
    <d v="2015-06-16T00:00:00"/>
    <x v="51"/>
    <s v="SCBFPFUND43397"/>
  </r>
  <r>
    <x v="0"/>
    <x v="7"/>
    <x v="0"/>
    <x v="5"/>
    <m/>
    <x v="352"/>
    <x v="77"/>
    <s v="A"/>
    <x v="208"/>
    <n v="966519358.70000005"/>
    <n v="7906159.5999999996"/>
    <n v="969949627.89999998"/>
    <n v="2.5504060000000002"/>
    <n v="970000000"/>
    <n v="2.5"/>
    <n v="1.7584176900000002E-2"/>
    <s v="Bond"/>
    <s v="THB"/>
    <d v="2018-06-28T00:00:00"/>
    <x v="53"/>
    <s v="SCBFPFUND43397"/>
  </r>
  <r>
    <x v="0"/>
    <x v="7"/>
    <x v="0"/>
    <x v="5"/>
    <m/>
    <x v="234"/>
    <x v="42"/>
    <s v="BBB+"/>
    <x v="123"/>
    <n v="359087563.69"/>
    <n v="5314772.42"/>
    <n v="359000000"/>
    <n v="9.0255000000000002E-2"/>
    <n v="359000000"/>
    <n v="2.2799999999999998"/>
    <n v="6.5758900999999996E-3"/>
    <s v="Bond"/>
    <s v="THB"/>
    <d v="2018-03-02T00:00:00"/>
    <x v="16"/>
    <s v="SCBFPFUND43397"/>
  </r>
  <r>
    <x v="0"/>
    <x v="7"/>
    <x v="0"/>
    <x v="5"/>
    <m/>
    <x v="266"/>
    <x v="42"/>
    <s v="BBB+"/>
    <x v="65"/>
    <n v="340982738.57999998"/>
    <n v="3738853.58"/>
    <n v="341000000"/>
    <n v="0.261436"/>
    <n v="341000000"/>
    <n v="2.2999999999999998"/>
    <n v="6.2207375999999998E-3"/>
    <s v="Bond"/>
    <s v="THB"/>
    <d v="2018-05-04T00:00:00"/>
    <x v="16"/>
    <s v="SCBFPFUND43397"/>
  </r>
  <r>
    <x v="0"/>
    <x v="7"/>
    <x v="0"/>
    <x v="5"/>
    <m/>
    <x v="235"/>
    <x v="42"/>
    <s v="BBB+"/>
    <x v="65"/>
    <n v="1417941082.0999999"/>
    <n v="13403006.9"/>
    <n v="1417956382.3199999"/>
    <n v="0.261436"/>
    <n v="1418000000"/>
    <n v="2.2901199999999999"/>
    <n v="2.58295859E-2"/>
    <s v="Bond"/>
    <s v="THB"/>
    <d v="2018-05-28T00:00:00"/>
    <x v="64"/>
    <s v="SCBFPFUND43397"/>
  </r>
  <r>
    <x v="0"/>
    <x v="7"/>
    <x v="0"/>
    <x v="5"/>
    <m/>
    <x v="317"/>
    <x v="42"/>
    <s v="BBB+"/>
    <x v="183"/>
    <n v="740226203.20000005"/>
    <n v="425751.6"/>
    <n v="740000000"/>
    <n v="0.70552599999999999"/>
    <n v="740000000"/>
    <n v="3"/>
    <n v="1.33655726E-2"/>
    <s v="Bond"/>
    <s v="THB"/>
    <d v="2018-10-18T00:00:00"/>
    <x v="16"/>
    <s v="SCBFPFUND43397"/>
  </r>
  <r>
    <x v="0"/>
    <x v="7"/>
    <x v="0"/>
    <x v="5"/>
    <m/>
    <x v="353"/>
    <x v="42"/>
    <s v="BBB+"/>
    <x v="209"/>
    <n v="20244549.800000001"/>
    <n v="378345.2"/>
    <n v="20264152.600000001"/>
    <n v="3.63218"/>
    <n v="20000000"/>
    <n v="3.75"/>
    <n v="3.7215430000000002E-4"/>
    <s v="Bond"/>
    <s v="THB"/>
    <d v="2015-11-10T00:00:00"/>
    <x v="51"/>
    <s v="SCBFPFUND43397"/>
  </r>
  <r>
    <x v="0"/>
    <x v="7"/>
    <x v="0"/>
    <x v="5"/>
    <m/>
    <x v="236"/>
    <x v="43"/>
    <s v="BBB+"/>
    <x v="27"/>
    <n v="119048970.88"/>
    <n v="1574712.72"/>
    <n v="119000000"/>
    <n v="0.15293799999999999"/>
    <n v="119000000"/>
    <n v="2.2999999999999998"/>
    <n v="2.1767370999999998E-3"/>
    <s v="Bond"/>
    <s v="THB"/>
    <d v="2018-03-29T00:00:00"/>
    <x v="45"/>
    <s v="SCBFPFUND43397"/>
  </r>
  <r>
    <x v="0"/>
    <x v="7"/>
    <x v="0"/>
    <x v="5"/>
    <m/>
    <x v="149"/>
    <x v="43"/>
    <s v="BBB+"/>
    <x v="65"/>
    <n v="423964791.04000002"/>
    <n v="4007669.2"/>
    <n v="424000000"/>
    <n v="0.26142500000000002"/>
    <n v="424000000"/>
    <n v="2.2999999999999998"/>
    <n v="7.7230566E-3"/>
    <s v="Bond"/>
    <s v="THB"/>
    <d v="2018-05-28T00:00:00"/>
    <x v="64"/>
    <s v="SCBFPFUND43397"/>
  </r>
  <r>
    <x v="0"/>
    <x v="7"/>
    <x v="0"/>
    <x v="5"/>
    <m/>
    <x v="150"/>
    <x v="43"/>
    <s v="BBB+"/>
    <x v="86"/>
    <n v="717318661.08000004"/>
    <n v="6113818.3899999997"/>
    <n v="718000000"/>
    <n v="2.6247090000000002"/>
    <n v="718000000"/>
    <n v="3.7"/>
    <n v="1.30548353E-2"/>
    <s v="Bond"/>
    <s v="THB"/>
    <d v="2018-08-02T00:00:00"/>
    <x v="53"/>
    <s v="SCBFPFUND43397"/>
  </r>
  <r>
    <x v="0"/>
    <x v="7"/>
    <x v="0"/>
    <x v="5"/>
    <m/>
    <x v="354"/>
    <x v="9"/>
    <s v="AAA(tha)"/>
    <x v="81"/>
    <n v="119304973.2"/>
    <n v="284054.40000000002"/>
    <n v="120000000"/>
    <n v="2.3054190000000001"/>
    <n v="120000000"/>
    <n v="2.16"/>
    <n v="2.1580660000000002E-3"/>
    <s v="Bond"/>
    <s v="THB"/>
    <d v="2016-03-15T00:00:00"/>
    <x v="21"/>
    <s v="SCBFPFUND43397"/>
  </r>
  <r>
    <x v="0"/>
    <x v="7"/>
    <x v="0"/>
    <x v="5"/>
    <m/>
    <x v="151"/>
    <x v="44"/>
    <s v="A-"/>
    <x v="87"/>
    <n v="144459981.78"/>
    <n v="860399.84"/>
    <n v="146000000"/>
    <n v="2.422148"/>
    <n v="146000000"/>
    <n v="2.39"/>
    <n v="2.6224059999999999E-3"/>
    <s v="Bond"/>
    <s v="THB"/>
    <d v="2018-04-27T00:00:00"/>
    <x v="53"/>
    <s v="SCBFPFUND43397"/>
  </r>
  <r>
    <x v="0"/>
    <x v="7"/>
    <x v="0"/>
    <x v="5"/>
    <m/>
    <x v="152"/>
    <x v="45"/>
    <s v="A"/>
    <x v="88"/>
    <n v="597627824.5"/>
    <n v="931865.9"/>
    <n v="602000000"/>
    <n v="2.3531439999999999"/>
    <n v="602000000"/>
    <n v="2.2599999999999998"/>
    <n v="1.08014202E-2"/>
    <s v="Bond"/>
    <s v="THB"/>
    <d v="2018-03-30T00:00:00"/>
    <x v="53"/>
    <s v="SCBFPFUND43397"/>
  </r>
  <r>
    <x v="0"/>
    <x v="7"/>
    <x v="0"/>
    <x v="5"/>
    <m/>
    <x v="153"/>
    <x v="46"/>
    <s v="A-"/>
    <x v="89"/>
    <n v="59473572.939999998"/>
    <n v="366026.56"/>
    <n v="59000000"/>
    <n v="1.7444759999999999"/>
    <n v="59000000"/>
    <n v="3.33"/>
    <n v="1.0798466E-3"/>
    <s v="Bond"/>
    <s v="THB"/>
    <d v="2017-08-18T00:00:00"/>
    <x v="53"/>
    <s v="SCBFPFUND43397"/>
  </r>
  <r>
    <x v="0"/>
    <x v="7"/>
    <x v="0"/>
    <x v="5"/>
    <m/>
    <x v="208"/>
    <x v="51"/>
    <s v="A"/>
    <x v="99"/>
    <n v="51206730.159999996"/>
    <n v="64339.98"/>
    <n v="51538739.329999998"/>
    <n v="1.8857999999999999"/>
    <n v="51500000"/>
    <n v="2.2415530000000001"/>
    <n v="9.2522160000000004E-4"/>
    <s v="Bond"/>
    <s v="THB"/>
    <d v="2017-10-05T00:00:00"/>
    <x v="53"/>
    <s v="SCBFPFUND43397"/>
  </r>
  <r>
    <x v="0"/>
    <x v="7"/>
    <x v="0"/>
    <x v="5"/>
    <m/>
    <x v="355"/>
    <x v="78"/>
    <s v="AA"/>
    <x v="210"/>
    <n v="134790448.94999999"/>
    <n v="655064.55000000005"/>
    <n v="135000000"/>
    <n v="0.74718300000000004"/>
    <n v="135000000"/>
    <n v="1.99"/>
    <n v="2.4442072E-3"/>
    <s v="Bond"/>
    <s v="THB"/>
    <d v="2016-07-28T00:00:00"/>
    <x v="54"/>
    <s v="SCBFPFUND43397"/>
  </r>
  <r>
    <x v="0"/>
    <x v="7"/>
    <x v="0"/>
    <x v="5"/>
    <m/>
    <x v="250"/>
    <x v="24"/>
    <s v="A+"/>
    <x v="131"/>
    <n v="49574631.359999999"/>
    <n v="647907.83999999997"/>
    <n v="48121320.960000001"/>
    <n v="1.6137319999999999"/>
    <n v="48000000"/>
    <n v="4.1895449999999999"/>
    <n v="9.0630020000000003E-4"/>
    <s v="Bond"/>
    <s v="THB"/>
    <d v="2014-07-04T00:00:00"/>
    <x v="117"/>
    <s v="SCBFPFUND43397"/>
  </r>
  <r>
    <x v="0"/>
    <x v="7"/>
    <x v="0"/>
    <x v="5"/>
    <m/>
    <x v="356"/>
    <x v="1"/>
    <s v="AAA"/>
    <x v="133"/>
    <n v="49970187.5"/>
    <n v="330246.5"/>
    <n v="50000000"/>
    <n v="0.65285400000000005"/>
    <n v="50000000"/>
    <n v="1.96"/>
    <n v="9.0770580000000003E-4"/>
    <s v="Bond"/>
    <s v="THB"/>
    <d v="2016-06-24T00:00:00"/>
    <x v="54"/>
    <s v="SCBFPFUND43397"/>
  </r>
  <r>
    <x v="0"/>
    <x v="7"/>
    <x v="0"/>
    <x v="5"/>
    <m/>
    <x v="357"/>
    <x v="1"/>
    <s v="AAA"/>
    <x v="112"/>
    <n v="504401068.63999999"/>
    <n v="4532502.24"/>
    <n v="511000000"/>
    <n v="1.9723889999999999"/>
    <n v="511000000"/>
    <n v="1.85"/>
    <n v="9.1840554000000001E-3"/>
    <s v="Bond"/>
    <s v="THB"/>
    <d v="2017-11-03T00:00:00"/>
    <x v="53"/>
    <s v="SCBFPFUND43397"/>
  </r>
  <r>
    <x v="0"/>
    <x v="7"/>
    <x v="0"/>
    <x v="5"/>
    <m/>
    <x v="358"/>
    <x v="1"/>
    <s v="AAA"/>
    <x v="211"/>
    <n v="587260704.10000002"/>
    <n v="2833342.4"/>
    <n v="595000000"/>
    <n v="2.1802579999999998"/>
    <n v="595000000"/>
    <n v="1.91"/>
    <n v="1.0648651800000001E-2"/>
    <s v="Bond"/>
    <s v="THB"/>
    <d v="2018-01-26T00:00:00"/>
    <x v="53"/>
    <s v="SCBFPFUND43397"/>
  </r>
  <r>
    <x v="0"/>
    <x v="7"/>
    <x v="0"/>
    <x v="5"/>
    <m/>
    <x v="359"/>
    <x v="1"/>
    <s v="AAA"/>
    <x v="212"/>
    <n v="993093900"/>
    <n v="6386300"/>
    <n v="1000000000"/>
    <n v="2.602652"/>
    <n v="1000000000"/>
    <n v="2.2200000000000002"/>
    <n v="1.8036305799999999E-2"/>
    <s v="Bond"/>
    <s v="THB"/>
    <d v="2018-07-12T00:00:00"/>
    <x v="53"/>
    <s v="SCBFPFUND43397"/>
  </r>
  <r>
    <x v="0"/>
    <x v="7"/>
    <x v="0"/>
    <x v="5"/>
    <m/>
    <x v="360"/>
    <x v="79"/>
    <s v="A-"/>
    <x v="213"/>
    <n v="12108786.6"/>
    <n v="84920.52"/>
    <n v="12113632.199999999"/>
    <n v="2.1617449999999998"/>
    <n v="12000000"/>
    <n v="2.4300000000000002"/>
    <n v="2.2004380000000001E-4"/>
    <s v="Bond"/>
    <s v="THB"/>
    <d v="2016-01-27T00:00:00"/>
    <x v="114"/>
    <s v="SCBFPFUND43397"/>
  </r>
  <r>
    <x v="0"/>
    <x v="7"/>
    <x v="0"/>
    <x v="5"/>
    <m/>
    <x v="361"/>
    <x v="79"/>
    <s v="A-"/>
    <x v="214"/>
    <n v="230819413.5"/>
    <n v="2035479.42"/>
    <n v="234000000"/>
    <n v="3.8816130000000002"/>
    <n v="234000000"/>
    <n v="2.54"/>
    <n v="4.2020262999999999E-3"/>
    <s v="Bond"/>
    <s v="THB"/>
    <d v="2017-12-22T00:00:00"/>
    <x v="21"/>
    <s v="SCBFPFUND43397"/>
  </r>
  <r>
    <x v="0"/>
    <x v="7"/>
    <x v="0"/>
    <x v="5"/>
    <m/>
    <x v="362"/>
    <x v="52"/>
    <s v="A"/>
    <x v="215"/>
    <n v="208974087"/>
    <n v="1783330.5"/>
    <n v="209986467.59999999"/>
    <n v="2.5379139999999998"/>
    <n v="210000000"/>
    <n v="2.5204879999999998"/>
    <n v="3.8032622E-3"/>
    <s v="Bond"/>
    <s v="THB"/>
    <d v="2016-06-24T00:00:00"/>
    <x v="21"/>
    <s v="SCBFPFUND43397"/>
  </r>
  <r>
    <x v="0"/>
    <x v="7"/>
    <x v="0"/>
    <x v="5"/>
    <m/>
    <x v="300"/>
    <x v="52"/>
    <s v="A"/>
    <x v="166"/>
    <n v="142999769.94999999"/>
    <n v="505314.85"/>
    <n v="145000000"/>
    <n v="3.6293859999999998"/>
    <n v="145000000"/>
    <n v="2.65"/>
    <n v="2.5896476999999998E-3"/>
    <s v="Bond"/>
    <s v="THB"/>
    <d v="2017-09-07T00:00:00"/>
    <x v="21"/>
    <s v="SCBFPFUND43397"/>
  </r>
  <r>
    <x v="0"/>
    <x v="7"/>
    <x v="0"/>
    <x v="5"/>
    <m/>
    <x v="212"/>
    <x v="52"/>
    <s v="A"/>
    <x v="103"/>
    <n v="224977222.47"/>
    <n v="311376.45"/>
    <n v="231000000"/>
    <n v="4.1632870000000004"/>
    <n v="231000000"/>
    <n v="2.46"/>
    <n v="4.0654873000000001E-3"/>
    <s v="Bond"/>
    <s v="THB"/>
    <d v="2018-04-05T00:00:00"/>
    <x v="21"/>
    <s v="SCBFPFUND43397"/>
  </r>
  <r>
    <x v="0"/>
    <x v="7"/>
    <x v="0"/>
    <x v="5"/>
    <m/>
    <x v="254"/>
    <x v="32"/>
    <s v="A+"/>
    <x v="135"/>
    <n v="812027528.88999999"/>
    <n v="2495657.86"/>
    <n v="815364510.03999996"/>
    <n v="0.84925899999999999"/>
    <n v="811000000"/>
    <n v="1.7201850000000001"/>
    <n v="1.4698629600000001E-2"/>
    <s v="Bond"/>
    <s v="THB"/>
    <d v="2016-09-07T00:00:00"/>
    <x v="54"/>
    <s v="SCBFPFUND43397"/>
  </r>
  <r>
    <x v="0"/>
    <x v="7"/>
    <x v="0"/>
    <x v="5"/>
    <m/>
    <x v="121"/>
    <x v="32"/>
    <s v="A+"/>
    <x v="70"/>
    <n v="489726140.55000001"/>
    <n v="5046612.03"/>
    <n v="494617284.81"/>
    <n v="1.5604579999999999"/>
    <n v="489000000"/>
    <n v="1.9830779999999999"/>
    <n v="8.9285136999999997E-3"/>
    <s v="Bond"/>
    <s v="THB"/>
    <d v="2016-12-08T00:00:00"/>
    <x v="52"/>
    <s v="SCBFPFUND43397"/>
  </r>
  <r>
    <x v="0"/>
    <x v="7"/>
    <x v="0"/>
    <x v="5"/>
    <m/>
    <x v="213"/>
    <x v="32"/>
    <s v="A+"/>
    <x v="104"/>
    <n v="139412257.59999999"/>
    <n v="495254.2"/>
    <n v="142381981"/>
    <n v="2.7275"/>
    <n v="140000000"/>
    <n v="2.0785710000000002"/>
    <n v="2.524727E-3"/>
    <s v="Bond"/>
    <s v="THB"/>
    <d v="2016-09-07T00:00:00"/>
    <x v="21"/>
    <s v="SCBFPFUND43397"/>
  </r>
  <r>
    <x v="0"/>
    <x v="7"/>
    <x v="0"/>
    <x v="5"/>
    <m/>
    <x v="363"/>
    <x v="32"/>
    <s v="A+"/>
    <x v="216"/>
    <n v="46024049.899999999"/>
    <n v="126255.91"/>
    <n v="47246430.859999999"/>
    <n v="3.2003080000000002"/>
    <n v="45600000"/>
    <n v="2.16"/>
    <n v="8.3281390000000005E-4"/>
    <s v="Bond"/>
    <s v="THB"/>
    <d v="2017-03-24T00:00:00"/>
    <x v="21"/>
    <s v="SCBFPFUND43397"/>
  </r>
  <r>
    <x v="0"/>
    <x v="7"/>
    <x v="0"/>
    <x v="5"/>
    <m/>
    <x v="122"/>
    <x v="33"/>
    <s v="A"/>
    <x v="71"/>
    <n v="50758427"/>
    <n v="790794.5"/>
    <n v="50000000"/>
    <n v="1.018888"/>
    <n v="50000000"/>
    <n v="3.52"/>
    <n v="9.3024109999999998E-4"/>
    <s v="Bond"/>
    <s v="THB"/>
    <d v="2014-11-14T00:00:00"/>
    <x v="21"/>
    <s v="SCBFPFUND43397"/>
  </r>
  <r>
    <x v="0"/>
    <x v="7"/>
    <x v="0"/>
    <x v="5"/>
    <m/>
    <x v="364"/>
    <x v="33"/>
    <s v="A"/>
    <x v="217"/>
    <n v="59840343"/>
    <n v="378739.8"/>
    <n v="60401854.200000003"/>
    <n v="1.684267"/>
    <n v="60000000"/>
    <n v="2"/>
    <n v="1.0866947E-3"/>
    <s v="Bond"/>
    <s v="THB"/>
    <d v="2017-07-21T00:00:00"/>
    <x v="53"/>
    <s v="SCBFPFUND43397"/>
  </r>
  <r>
    <x v="0"/>
    <x v="7"/>
    <x v="0"/>
    <x v="5"/>
    <m/>
    <x v="215"/>
    <x v="33"/>
    <s v="A"/>
    <x v="106"/>
    <n v="555460500"/>
    <n v="5399016"/>
    <n v="560175935.20000005"/>
    <n v="2.4681129999999998"/>
    <n v="560000000"/>
    <n v="2.2832590000000001"/>
    <n v="1.01210947E-2"/>
    <s v="Bond"/>
    <s v="THB"/>
    <d v="2016-05-25T00:00:00"/>
    <x v="21"/>
    <s v="SCBFPFUND43397"/>
  </r>
  <r>
    <x v="0"/>
    <x v="7"/>
    <x v="0"/>
    <x v="5"/>
    <m/>
    <x v="216"/>
    <x v="33"/>
    <s v="A"/>
    <x v="107"/>
    <n v="98190099.420000002"/>
    <n v="760372.2"/>
    <n v="98000000"/>
    <n v="3.4931860000000001"/>
    <n v="98000000"/>
    <n v="2.95"/>
    <n v="1.7856291E-3"/>
    <s v="Bond"/>
    <s v="THB"/>
    <d v="2017-07-21T00:00:00"/>
    <x v="21"/>
    <s v="SCBFPFUND43397"/>
  </r>
  <r>
    <x v="0"/>
    <x v="7"/>
    <x v="0"/>
    <x v="5"/>
    <m/>
    <x v="217"/>
    <x v="33"/>
    <s v="A"/>
    <x v="108"/>
    <n v="45950216.93"/>
    <n v="87613.17"/>
    <n v="47000000"/>
    <n v="4.1377689999999996"/>
    <n v="47000000"/>
    <n v="2.52"/>
    <n v="8.3078419999999995E-4"/>
    <s v="Bond"/>
    <s v="THB"/>
    <d v="2018-03-28T00:00:00"/>
    <x v="21"/>
    <s v="SCBFPFUND43397"/>
  </r>
  <r>
    <x v="0"/>
    <x v="7"/>
    <x v="0"/>
    <x v="5"/>
    <m/>
    <x v="219"/>
    <x v="25"/>
    <s v="A"/>
    <x v="110"/>
    <n v="85290555.900000006"/>
    <n v="638614.5"/>
    <n v="86000000"/>
    <n v="2.0873219999999999"/>
    <n v="86000000"/>
    <n v="2.2400000000000002"/>
    <n v="1.5506508E-3"/>
    <s v="Bond"/>
    <s v="THB"/>
    <d v="2017-12-26T00:00:00"/>
    <x v="53"/>
    <s v="SCBFPFUND43397"/>
  </r>
  <r>
    <x v="0"/>
    <x v="7"/>
    <x v="0"/>
    <x v="5"/>
    <m/>
    <x v="220"/>
    <x v="54"/>
    <s v="A-"/>
    <x v="111"/>
    <n v="574207891.23000002"/>
    <n v="4653308.82"/>
    <n v="577000000"/>
    <n v="1.5867020000000001"/>
    <n v="577000000"/>
    <n v="2.23"/>
    <n v="1.0445947400000001E-2"/>
    <s v="Bond"/>
    <s v="THB"/>
    <d v="2018-06-15T00:00:00"/>
    <x v="58"/>
    <s v="SCBFPFUND43397"/>
  </r>
  <r>
    <x v="0"/>
    <x v="7"/>
    <x v="0"/>
    <x v="5"/>
    <m/>
    <x v="365"/>
    <x v="80"/>
    <s v="A"/>
    <x v="218"/>
    <n v="59299365.600000001"/>
    <n v="542860.19999999995"/>
    <n v="60000000"/>
    <n v="2.516006"/>
    <n v="60000000"/>
    <n v="2.56"/>
    <n v="1.0798940000000001E-3"/>
    <s v="Bond"/>
    <s v="THB"/>
    <d v="2018-06-18T00:00:00"/>
    <x v="53"/>
    <s v="SCBFPFUND43397"/>
  </r>
  <r>
    <x v="0"/>
    <x v="7"/>
    <x v="0"/>
    <x v="5"/>
    <m/>
    <x v="256"/>
    <x v="14"/>
    <s v="A+"/>
    <x v="136"/>
    <n v="521995213.45999998"/>
    <n v="3830353.7"/>
    <n v="517217886.72000003"/>
    <n v="0.80907700000000005"/>
    <n v="514000000"/>
    <n v="3.4506480000000002"/>
    <n v="9.488883E-3"/>
    <s v="Bond"/>
    <s v="THB"/>
    <d v="2014-08-22T00:00:00"/>
    <x v="21"/>
    <s v="SCBFPFUND43397"/>
  </r>
  <r>
    <x v="0"/>
    <x v="7"/>
    <x v="0"/>
    <x v="5"/>
    <m/>
    <x v="366"/>
    <x v="14"/>
    <s v="A+"/>
    <x v="137"/>
    <n v="26312588.25"/>
    <n v="621780.73"/>
    <n v="26432609.75"/>
    <n v="1.9219390000000001"/>
    <n v="25000000"/>
    <n v="2.1800000000000002"/>
    <n v="4.8604920000000002E-4"/>
    <s v="Bond"/>
    <s v="THB"/>
    <d v="2013-10-31T00:00:00"/>
    <x v="51"/>
    <s v="SCBFPFUND43397"/>
  </r>
  <r>
    <x v="0"/>
    <x v="7"/>
    <x v="0"/>
    <x v="5"/>
    <m/>
    <x v="367"/>
    <x v="26"/>
    <s v="A+"/>
    <x v="219"/>
    <n v="243799307.52000001"/>
    <n v="2713985.58"/>
    <n v="242804649.40000001"/>
    <n v="0.75643499999999997"/>
    <n v="238700000"/>
    <n v="2.7152810000000001"/>
    <n v="4.4485015000000003E-3"/>
    <s v="Bond"/>
    <s v="THB"/>
    <d v="2012-08-03T00:00:00"/>
    <x v="110"/>
    <s v="SCBFPFUND43397"/>
  </r>
  <r>
    <x v="0"/>
    <x v="7"/>
    <x v="0"/>
    <x v="5"/>
    <m/>
    <x v="259"/>
    <x v="26"/>
    <s v="A+"/>
    <x v="138"/>
    <n v="159878440"/>
    <n v="129928"/>
    <n v="160091281.59999999"/>
    <n v="1.429473"/>
    <n v="160000000"/>
    <n v="2.242022"/>
    <n v="2.8874608E-3"/>
    <s v="Bond"/>
    <s v="THB"/>
    <d v="2016-04-12T00:00:00"/>
    <x v="112"/>
    <s v="SCBFPFUND43397"/>
  </r>
  <r>
    <x v="0"/>
    <x v="7"/>
    <x v="0"/>
    <x v="5"/>
    <m/>
    <x v="368"/>
    <x v="26"/>
    <s v="A+"/>
    <x v="220"/>
    <n v="281352604.94"/>
    <n v="4034046.88"/>
    <n v="283088264.57999998"/>
    <n v="1.4876940000000001"/>
    <n v="278000000"/>
    <n v="1.9973019999999999"/>
    <n v="5.1499978999999998E-3"/>
    <s v="Bond"/>
    <s v="THB"/>
    <d v="2015-05-13T00:00:00"/>
    <x v="114"/>
    <s v="SCBFPFUND43397"/>
  </r>
  <r>
    <x v="0"/>
    <x v="7"/>
    <x v="0"/>
    <x v="5"/>
    <m/>
    <x v="222"/>
    <x v="26"/>
    <s v="A+"/>
    <x v="86"/>
    <n v="31815713.100000001"/>
    <n v="338301.3"/>
    <n v="31498957.199999999"/>
    <n v="2.5730089999999999"/>
    <n v="30000000"/>
    <n v="3"/>
    <n v="5.8024119999999996E-4"/>
    <s v="Bond"/>
    <s v="THB"/>
    <d v="2013-08-02T00:00:00"/>
    <x v="111"/>
    <s v="SCBFPFUND43397"/>
  </r>
  <r>
    <x v="0"/>
    <x v="7"/>
    <x v="0"/>
    <x v="5"/>
    <m/>
    <x v="369"/>
    <x v="26"/>
    <s v="A+"/>
    <x v="221"/>
    <n v="64972242"/>
    <n v="682191.6"/>
    <n v="64467760.200000003"/>
    <n v="3.4165009999999998"/>
    <n v="60000000"/>
    <n v="3.14"/>
    <n v="1.1847793000000001E-3"/>
    <s v="Bond"/>
    <s v="THB"/>
    <d v="2012-08-03T00:00:00"/>
    <x v="109"/>
    <s v="SCBFPFUND43397"/>
  </r>
  <r>
    <x v="0"/>
    <x v="7"/>
    <x v="0"/>
    <x v="5"/>
    <m/>
    <x v="306"/>
    <x v="26"/>
    <s v="A+"/>
    <x v="172"/>
    <n v="61740927.420000002"/>
    <n v="68675.539999999994"/>
    <n v="62000000"/>
    <n v="4.9800950000000004"/>
    <n v="62000000"/>
    <n v="3.11"/>
    <n v="1.1153967000000001E-3"/>
    <s v="Bond"/>
    <s v="THB"/>
    <d v="2016-04-12T00:00:00"/>
    <x v="111"/>
    <s v="SCBFPFUND43397"/>
  </r>
  <r>
    <x v="0"/>
    <x v="7"/>
    <x v="0"/>
    <x v="5"/>
    <m/>
    <x v="223"/>
    <x v="26"/>
    <s v="A+"/>
    <x v="113"/>
    <n v="375190969.19999999"/>
    <n v="2960838.63"/>
    <n v="381000000"/>
    <n v="5.5962709999999998"/>
    <n v="381000000"/>
    <n v="3.05"/>
    <n v="6.8240087999999997E-3"/>
    <s v="Bond"/>
    <s v="THB"/>
    <d v="2018-01-24T00:00:00"/>
    <x v="51"/>
    <s v="SCBFPFUND43397"/>
  </r>
  <r>
    <x v="0"/>
    <x v="7"/>
    <x v="0"/>
    <x v="5"/>
    <m/>
    <x v="307"/>
    <x v="27"/>
    <s v="A+"/>
    <x v="173"/>
    <n v="675630619.82000005"/>
    <n v="5494986.1200000001"/>
    <n v="667131459.02999997"/>
    <n v="2.1371730000000002"/>
    <n v="667000000"/>
    <n v="3.0835080000000001"/>
    <n v="1.2291378800000001E-2"/>
    <s v="Bond"/>
    <s v="THB"/>
    <d v="2016-01-20T00:00:00"/>
    <x v="114"/>
    <s v="SCBFPFUND43397"/>
  </r>
  <r>
    <x v="0"/>
    <x v="7"/>
    <x v="0"/>
    <x v="5"/>
    <m/>
    <x v="370"/>
    <x v="27"/>
    <s v="A+"/>
    <x v="222"/>
    <n v="20000364.199999999"/>
    <n v="172701.4"/>
    <n v="20000000"/>
    <n v="4.3290870000000004"/>
    <n v="20000000"/>
    <n v="3.09"/>
    <n v="3.6403679999999998E-4"/>
    <s v="Bond"/>
    <s v="THB"/>
    <d v="2016-07-15T00:00:00"/>
    <x v="110"/>
    <s v="SCBFPFUND43397"/>
  </r>
  <r>
    <x v="0"/>
    <x v="7"/>
    <x v="0"/>
    <x v="5"/>
    <m/>
    <x v="371"/>
    <x v="28"/>
    <s v="AA"/>
    <x v="223"/>
    <n v="304528293"/>
    <n v="5115944.71"/>
    <n v="300593724"/>
    <n v="1.0157780000000001"/>
    <n v="300000000"/>
    <n v="3.4449999999999998"/>
    <n v="5.5877427000000004E-3"/>
    <s v="Bond"/>
    <s v="THB"/>
    <d v="2014-11-07T00:00:00"/>
    <x v="21"/>
    <s v="SCBFPFUND43397"/>
  </r>
  <r>
    <x v="0"/>
    <x v="7"/>
    <x v="0"/>
    <x v="5"/>
    <m/>
    <x v="372"/>
    <x v="28"/>
    <s v="AA"/>
    <x v="224"/>
    <n v="50070382.5"/>
    <n v="504260.5"/>
    <n v="50000000"/>
    <n v="2.0461870000000002"/>
    <n v="50000000"/>
    <n v="2.81"/>
    <n v="9.1265409999999997E-4"/>
    <s v="Bond"/>
    <s v="THB"/>
    <d v="2015-12-16T00:00:00"/>
    <x v="114"/>
    <s v="SCBFPFUND43397"/>
  </r>
  <r>
    <x v="0"/>
    <x v="7"/>
    <x v="0"/>
    <x v="5"/>
    <m/>
    <x v="373"/>
    <x v="81"/>
    <s v="AA+"/>
    <x v="225"/>
    <n v="60514362"/>
    <n v="422400"/>
    <n v="60084780.600000001"/>
    <n v="1.699994"/>
    <n v="60000000"/>
    <n v="2.8287499999999999"/>
    <n v="1.0996457E-3"/>
    <s v="Bond"/>
    <s v="THB"/>
    <d v="2015-07-29T00:00:00"/>
    <x v="114"/>
    <s v="SCBFPFUND43397"/>
  </r>
  <r>
    <x v="0"/>
    <x v="7"/>
    <x v="0"/>
    <x v="5"/>
    <m/>
    <x v="374"/>
    <x v="82"/>
    <s v="AA-"/>
    <x v="226"/>
    <n v="15388430.1"/>
    <n v="33324.6"/>
    <n v="15245996.550000001"/>
    <n v="0.93117399999999995"/>
    <n v="15000000"/>
    <n v="3.0150000000000001"/>
    <n v="2.7829610000000001E-4"/>
    <s v="Bond"/>
    <s v="THB"/>
    <d v="2010-04-08T00:00:00"/>
    <x v="142"/>
    <s v="SCBFPFUND43397"/>
  </r>
  <r>
    <x v="0"/>
    <x v="7"/>
    <x v="0"/>
    <x v="5"/>
    <m/>
    <x v="224"/>
    <x v="56"/>
    <s v="A+(tha)"/>
    <x v="114"/>
    <n v="135982191.38"/>
    <n v="215672.25"/>
    <n v="137000000"/>
    <n v="2.8086980000000001"/>
    <n v="137000000"/>
    <n v="2.21"/>
    <n v="2.4577839000000001E-3"/>
    <s v="Bond"/>
    <s v="THB"/>
    <d v="2017-09-29T00:00:00"/>
    <x v="112"/>
    <s v="SCBFPFUND43397"/>
  </r>
  <r>
    <x v="0"/>
    <x v="7"/>
    <x v="0"/>
    <x v="5"/>
    <m/>
    <x v="375"/>
    <x v="83"/>
    <s v="A+"/>
    <x v="227"/>
    <n v="298939285.06"/>
    <n v="1393420.73"/>
    <n v="299245667.37"/>
    <n v="0.76887099999999997"/>
    <n v="299000000"/>
    <n v="1.9808030000000001"/>
    <n v="5.4197096999999998E-3"/>
    <s v="Bond"/>
    <s v="THB"/>
    <d v="2016-08-05T00:00:00"/>
    <x v="54"/>
    <s v="SCBFPFUND43397"/>
  </r>
  <r>
    <x v="0"/>
    <x v="7"/>
    <x v="0"/>
    <x v="5"/>
    <m/>
    <x v="376"/>
    <x v="83"/>
    <s v="A+"/>
    <x v="228"/>
    <n v="68923717.439999998"/>
    <n v="782223.72"/>
    <n v="68633179.280000001"/>
    <n v="1.1317619999999999"/>
    <n v="68000000"/>
    <n v="2.65"/>
    <n v="1.2578915000000001E-3"/>
    <s v="Bond"/>
    <s v="THB"/>
    <d v="2014-12-26T00:00:00"/>
    <x v="21"/>
    <s v="SCBFPFUND43397"/>
  </r>
  <r>
    <x v="0"/>
    <x v="7"/>
    <x v="0"/>
    <x v="5"/>
    <m/>
    <x v="377"/>
    <x v="58"/>
    <s v="AA-"/>
    <x v="229"/>
    <n v="146134491.08000001"/>
    <n v="1301954.52"/>
    <n v="148000000"/>
    <n v="2.5003329999999999"/>
    <n v="148000000"/>
    <n v="2.31"/>
    <n v="2.6605918000000002E-3"/>
    <s v="Bond"/>
    <s v="THB"/>
    <d v="2018-06-08T00:00:00"/>
    <x v="53"/>
    <s v="SCBFPFUND43397"/>
  </r>
  <r>
    <x v="0"/>
    <x v="7"/>
    <x v="0"/>
    <x v="5"/>
    <m/>
    <x v="378"/>
    <x v="63"/>
    <s v="A"/>
    <x v="230"/>
    <n v="1087273979"/>
    <n v="11339037.779999999"/>
    <n v="1100000000"/>
    <n v="2.4396390000000001"/>
    <n v="1100000000"/>
    <n v="2.15"/>
    <n v="1.9825225500000002E-2"/>
    <s v="Bond"/>
    <s v="THB"/>
    <d v="2018-05-03T00:00:00"/>
    <x v="53"/>
    <s v="SCBFPFUND43397"/>
  </r>
  <r>
    <x v="0"/>
    <x v="7"/>
    <x v="0"/>
    <x v="5"/>
    <m/>
    <x v="379"/>
    <x v="64"/>
    <s v="A+"/>
    <x v="231"/>
    <n v="28971925.969999999"/>
    <n v="318920.48"/>
    <n v="29141433.289999999"/>
    <n v="0.99116700000000002"/>
    <n v="29000000"/>
    <n v="1.74"/>
    <n v="5.2857339999999998E-4"/>
    <s v="Bond"/>
    <s v="THB"/>
    <d v="2016-10-28T00:00:00"/>
    <x v="54"/>
    <s v="SCBFPFUND43397"/>
  </r>
  <r>
    <x v="0"/>
    <x v="7"/>
    <x v="0"/>
    <x v="5"/>
    <m/>
    <x v="380"/>
    <x v="64"/>
    <s v="A+"/>
    <x v="232"/>
    <n v="20200708.199999999"/>
    <n v="41715"/>
    <n v="20120742.399999999"/>
    <n v="1.3933819999999999"/>
    <n v="20000000"/>
    <n v="2.88"/>
    <n v="3.6528839999999999E-4"/>
    <s v="Bond"/>
    <s v="THB"/>
    <d v="2015-04-02T00:00:00"/>
    <x v="114"/>
    <s v="SCBFPFUND43397"/>
  </r>
  <r>
    <x v="0"/>
    <x v="7"/>
    <x v="0"/>
    <x v="5"/>
    <m/>
    <x v="381"/>
    <x v="64"/>
    <s v="A+"/>
    <x v="233"/>
    <n v="129769888.3"/>
    <n v="1589917.24"/>
    <n v="130000000"/>
    <n v="1.47078"/>
    <n v="130000000"/>
    <n v="2.48"/>
    <n v="2.3704778E-3"/>
    <s v="Bond"/>
    <s v="THB"/>
    <d v="2017-04-28T00:00:00"/>
    <x v="53"/>
    <s v="SCBFPFUND43397"/>
  </r>
  <r>
    <x v="0"/>
    <x v="7"/>
    <x v="0"/>
    <x v="5"/>
    <m/>
    <x v="382"/>
    <x v="64"/>
    <s v="A+"/>
    <x v="234"/>
    <n v="127192483.77"/>
    <n v="176163.9"/>
    <n v="127682143.77"/>
    <n v="1.8829990000000001"/>
    <n v="126500000"/>
    <n v="2.4982609999999998"/>
    <n v="2.2984545999999999E-3"/>
    <s v="Bond"/>
    <s v="THB"/>
    <d v="2015-10-08T00:00:00"/>
    <x v="114"/>
    <s v="SCBFPFUND43397"/>
  </r>
  <r>
    <x v="0"/>
    <x v="7"/>
    <x v="0"/>
    <x v="5"/>
    <m/>
    <x v="383"/>
    <x v="64"/>
    <s v="A+"/>
    <x v="99"/>
    <n v="143418573.44999999"/>
    <n v="169232.4"/>
    <n v="145168360.94999999"/>
    <n v="1.886665"/>
    <n v="145000000"/>
    <n v="2.0699999999999998"/>
    <n v="2.5911404000000002E-3"/>
    <s v="Bond"/>
    <s v="THB"/>
    <d v="2017-10-05T00:00:00"/>
    <x v="53"/>
    <s v="SCBFPFUND43397"/>
  </r>
  <r>
    <x v="0"/>
    <x v="7"/>
    <x v="0"/>
    <x v="5"/>
    <m/>
    <x v="384"/>
    <x v="84"/>
    <s v="A"/>
    <x v="235"/>
    <n v="382370679.39999998"/>
    <n v="2230026.2000000002"/>
    <n v="380000000"/>
    <n v="6.3782030000000001"/>
    <n v="380000000"/>
    <n v="3.57"/>
    <n v="6.9403835000000002E-3"/>
    <s v="Bond"/>
    <s v="THB"/>
    <d v="2016-02-26T00:00:00"/>
    <x v="108"/>
    <s v="SCBFPFUND43397"/>
  </r>
  <r>
    <x v="0"/>
    <x v="7"/>
    <x v="0"/>
    <x v="5"/>
    <m/>
    <x v="310"/>
    <x v="66"/>
    <s v="A"/>
    <x v="176"/>
    <n v="206651207.34999999"/>
    <n v="2672302.1"/>
    <n v="205071766.40000001"/>
    <n v="1.5133190000000001"/>
    <n v="205000000"/>
    <n v="3.017925"/>
    <n v="3.7773862999999999E-3"/>
    <s v="Bond"/>
    <s v="THB"/>
    <d v="2015-05-22T00:00:00"/>
    <x v="114"/>
    <s v="SCBFPFUND43397"/>
  </r>
  <r>
    <x v="0"/>
    <x v="7"/>
    <x v="0"/>
    <x v="5"/>
    <m/>
    <x v="311"/>
    <x v="66"/>
    <s v="A"/>
    <x v="81"/>
    <n v="193115631.15000001"/>
    <n v="485095.65"/>
    <n v="194372451"/>
    <n v="2.2994979999999998"/>
    <n v="195000000"/>
    <n v="2.413122"/>
    <n v="3.4936579000000001E-3"/>
    <s v="Bond"/>
    <s v="THB"/>
    <d v="2016-03-15T00:00:00"/>
    <x v="21"/>
    <s v="SCBFPFUND43397"/>
  </r>
  <r>
    <x v="0"/>
    <x v="7"/>
    <x v="0"/>
    <x v="5"/>
    <m/>
    <x v="385"/>
    <x v="29"/>
    <s v="A+"/>
    <x v="236"/>
    <n v="104134194.40000001"/>
    <n v="316794.7"/>
    <n v="103653773.83"/>
    <n v="0.89737699999999998"/>
    <n v="102500000"/>
    <n v="2.6543899999999998"/>
    <n v="1.8848897000000001E-3"/>
    <s v="Bond"/>
    <s v="THB"/>
    <d v="2014-09-26T00:00:00"/>
    <x v="21"/>
    <s v="SCBFPFUND43397"/>
  </r>
  <r>
    <x v="0"/>
    <x v="7"/>
    <x v="0"/>
    <x v="5"/>
    <m/>
    <x v="386"/>
    <x v="29"/>
    <s v="A+"/>
    <x v="237"/>
    <n v="493109068.80000001"/>
    <n v="11470027.130000001"/>
    <n v="488880844.80000001"/>
    <n v="0.99385699999999999"/>
    <n v="480000000"/>
    <n v="3.0383330000000002"/>
    <n v="9.1054758999999999E-3"/>
    <s v="Bond"/>
    <s v="THB"/>
    <d v="2012-05-17T00:00:00"/>
    <x v="143"/>
    <s v="SCBFPFUND43397"/>
  </r>
  <r>
    <x v="0"/>
    <x v="7"/>
    <x v="0"/>
    <x v="5"/>
    <m/>
    <x v="387"/>
    <x v="29"/>
    <s v="A+"/>
    <x v="238"/>
    <n v="201925482"/>
    <n v="711232"/>
    <n v="200128976"/>
    <n v="1.810433"/>
    <n v="200000000"/>
    <n v="2.92"/>
    <n v="3.6567184999999999E-3"/>
    <s v="Bond"/>
    <s v="THB"/>
    <d v="2015-09-11T00:00:00"/>
    <x v="114"/>
    <s v="SCBFPFUND43397"/>
  </r>
  <r>
    <x v="0"/>
    <x v="7"/>
    <x v="0"/>
    <x v="5"/>
    <m/>
    <x v="388"/>
    <x v="29"/>
    <s v="A+"/>
    <x v="137"/>
    <n v="21099552.600000001"/>
    <n v="516931.56"/>
    <n v="20833902.399999999"/>
    <n v="1.9187160000000001"/>
    <n v="20000000"/>
    <n v="3.15"/>
    <n v="3.9008430000000001E-4"/>
    <s v="Bond"/>
    <s v="THB"/>
    <d v="2012-03-30T00:00:00"/>
    <x v="144"/>
    <s v="SCBFPFUND43397"/>
  </r>
  <r>
    <x v="0"/>
    <x v="7"/>
    <x v="0"/>
    <x v="5"/>
    <m/>
    <x v="389"/>
    <x v="29"/>
    <s v="A+"/>
    <x v="239"/>
    <n v="20971046.399999999"/>
    <n v="22005.4"/>
    <n v="20660094.399999999"/>
    <n v="1.8829450000000001"/>
    <n v="20000000"/>
    <n v="3.2850000000000001"/>
    <n v="3.7883399999999998E-4"/>
    <s v="Bond"/>
    <s v="THB"/>
    <d v="2013-10-17T00:00:00"/>
    <x v="51"/>
    <s v="SCBFPFUND43397"/>
  </r>
  <r>
    <x v="0"/>
    <x v="7"/>
    <x v="0"/>
    <x v="5"/>
    <m/>
    <x v="227"/>
    <x v="59"/>
    <s v="A"/>
    <x v="117"/>
    <n v="22939359.579999998"/>
    <n v="165940.17000000001"/>
    <n v="23000000"/>
    <n v="1.1100220000000001"/>
    <n v="23000000"/>
    <n v="1.98"/>
    <n v="4.1695099999999999E-4"/>
    <s v="Bond"/>
    <s v="THB"/>
    <d v="2017-12-14T00:00:00"/>
    <x v="113"/>
    <s v="SCBFPFUND43397"/>
  </r>
  <r>
    <x v="0"/>
    <x v="7"/>
    <x v="0"/>
    <x v="5"/>
    <m/>
    <x v="270"/>
    <x v="38"/>
    <s v="A"/>
    <x v="146"/>
    <n v="100340507"/>
    <n v="598055.11"/>
    <n v="100954522"/>
    <n v="1.080533"/>
    <n v="100000000"/>
    <n v="1.75"/>
    <n v="1.8215055999999999E-3"/>
    <s v="Bond"/>
    <s v="THB"/>
    <d v="2017-02-03T00:00:00"/>
    <x v="120"/>
    <s v="SCBFPFUND43397"/>
  </r>
  <r>
    <x v="0"/>
    <x v="7"/>
    <x v="0"/>
    <x v="5"/>
    <m/>
    <x v="238"/>
    <x v="38"/>
    <s v="A"/>
    <x v="178"/>
    <n v="84758151.200000003"/>
    <n v="811529"/>
    <n v="85110602"/>
    <n v="1.9840409999999999"/>
    <n v="85000000"/>
    <n v="2.5729410000000001"/>
    <n v="1.5441636000000001E-3"/>
    <s v="Bond"/>
    <s v="THB"/>
    <d v="2017-06-15T00:00:00"/>
    <x v="130"/>
    <s v="SCBFPFUND43397"/>
  </r>
  <r>
    <x v="0"/>
    <x v="7"/>
    <x v="0"/>
    <x v="5"/>
    <m/>
    <x v="390"/>
    <x v="38"/>
    <s v="A"/>
    <x v="240"/>
    <n v="98858123"/>
    <n v="223890"/>
    <n v="100000000"/>
    <n v="2.3094000000000001"/>
    <n v="100000000"/>
    <n v="2.27"/>
    <n v="1.7880029E-3"/>
    <s v="Bond"/>
    <s v="THB"/>
    <d v="2017-09-19T00:00:00"/>
    <x v="122"/>
    <s v="SCBFPFUND43397"/>
  </r>
  <r>
    <x v="0"/>
    <x v="7"/>
    <x v="0"/>
    <x v="5"/>
    <m/>
    <x v="391"/>
    <x v="85"/>
    <s v="A"/>
    <x v="241"/>
    <n v="1111930568"/>
    <n v="10690321.6"/>
    <n v="1119487689.5999999"/>
    <n v="2.4787940000000002"/>
    <n v="1120000000"/>
    <n v="2.3865180000000001"/>
    <n v="2.0258464E-2"/>
    <s v="Bond"/>
    <s v="THB"/>
    <d v="2018-05-31T00:00:00"/>
    <x v="53"/>
    <s v="SCBFPFUND43397"/>
  </r>
  <r>
    <x v="0"/>
    <x v="7"/>
    <x v="0"/>
    <x v="5"/>
    <m/>
    <x v="392"/>
    <x v="67"/>
    <s v="AAA(tha)"/>
    <x v="242"/>
    <n v="30679035.600000001"/>
    <n v="766191.9"/>
    <n v="30610170"/>
    <n v="0.55206599999999995"/>
    <n v="30000000"/>
    <n v="2.25"/>
    <n v="5.6745069999999996E-4"/>
    <s v="Bond"/>
    <s v="THB"/>
    <d v="2004-05-20T00:00:00"/>
    <x v="145"/>
    <s v="SCBFPFUND43397"/>
  </r>
  <r>
    <x v="0"/>
    <x v="7"/>
    <x v="0"/>
    <x v="5"/>
    <m/>
    <x v="393"/>
    <x v="67"/>
    <s v="AAA(tha)"/>
    <x v="243"/>
    <n v="235432257.75"/>
    <n v="4772774.25"/>
    <n v="234501734.25"/>
    <n v="1.924525"/>
    <n v="225000000"/>
    <n v="2.6177779999999999"/>
    <n v="4.3346646000000004E-3"/>
    <s v="Bond"/>
    <s v="THB"/>
    <d v="2013-11-27T00:00:00"/>
    <x v="146"/>
    <s v="SCBFPFUND43397"/>
  </r>
  <r>
    <x v="0"/>
    <x v="7"/>
    <x v="0"/>
    <x v="5"/>
    <m/>
    <x v="394"/>
    <x v="67"/>
    <s v="AAA(tha)"/>
    <x v="244"/>
    <n v="20900773.800000001"/>
    <n v="357260.2"/>
    <n v="20802351.600000001"/>
    <n v="2.8294359999999998"/>
    <n v="20000000"/>
    <n v="2.62"/>
    <n v="3.8361580000000002E-4"/>
    <s v="Bond"/>
    <s v="THB"/>
    <d v="2014-12-15T00:00:00"/>
    <x v="147"/>
    <s v="SCBFPFUND43397"/>
  </r>
  <r>
    <x v="0"/>
    <x v="7"/>
    <x v="0"/>
    <x v="5"/>
    <m/>
    <x v="395"/>
    <x v="39"/>
    <s v="A-"/>
    <x v="245"/>
    <n v="412550704.30000001"/>
    <n v="4172676.6"/>
    <n v="411239315.19999999"/>
    <n v="0.65539000000000003"/>
    <n v="410000000"/>
    <n v="2.6021339999999999"/>
    <n v="7.5200592999999996E-3"/>
    <s v="Bond"/>
    <s v="THB"/>
    <d v="2015-06-26T00:00:00"/>
    <x v="112"/>
    <s v="SCBFPFUND43397"/>
  </r>
  <r>
    <x v="0"/>
    <x v="7"/>
    <x v="0"/>
    <x v="5"/>
    <m/>
    <x v="228"/>
    <x v="39"/>
    <s v="A-"/>
    <x v="118"/>
    <n v="11849204.039999999"/>
    <n v="113556.12"/>
    <n v="12000000"/>
    <n v="1.991565"/>
    <n v="12000000"/>
    <n v="2.2000000000000002"/>
    <n v="2.1587620000000001E-4"/>
    <s v="Bond"/>
    <s v="THB"/>
    <d v="2017-11-21T00:00:00"/>
    <x v="53"/>
    <s v="SCBFPFUND43397"/>
  </r>
  <r>
    <x v="0"/>
    <x v="7"/>
    <x v="0"/>
    <x v="5"/>
    <m/>
    <x v="139"/>
    <x v="39"/>
    <s v="A-"/>
    <x v="80"/>
    <n v="7885965.7599999998"/>
    <n v="23671.200000000001"/>
    <n v="8000000"/>
    <n v="2.2738260000000001"/>
    <n v="8000000"/>
    <n v="2.16"/>
    <n v="1.4273479999999999E-4"/>
    <s v="Bond"/>
    <s v="THB"/>
    <d v="2018-03-05T00:00:00"/>
    <x v="53"/>
    <s v="SCBFPFUND43397"/>
  </r>
  <r>
    <x v="0"/>
    <x v="7"/>
    <x v="0"/>
    <x v="5"/>
    <m/>
    <x v="396"/>
    <x v="86"/>
    <s v="A+(tha)"/>
    <x v="246"/>
    <n v="45514638.899999999"/>
    <n v="205051.95"/>
    <n v="45763686.450000003"/>
    <n v="5.315143"/>
    <n v="45000000"/>
    <n v="2.6549999999999998"/>
    <n v="8.2504319999999998E-4"/>
    <s v="Bond"/>
    <s v="THB"/>
    <d v="2017-08-30T00:00:00"/>
    <x v="51"/>
    <s v="SCBFPFUND43397"/>
  </r>
  <r>
    <x v="0"/>
    <x v="7"/>
    <x v="0"/>
    <x v="5"/>
    <m/>
    <x v="274"/>
    <x v="68"/>
    <s v="A(tha)"/>
    <x v="149"/>
    <n v="24992569"/>
    <n v="288226"/>
    <n v="25268845.75"/>
    <n v="1.485908"/>
    <n v="25000000"/>
    <n v="1.7725"/>
    <n v="4.562093E-4"/>
    <s v="Bond"/>
    <s v="THB"/>
    <d v="2017-05-09T00:00:00"/>
    <x v="53"/>
    <s v="SCBFPFUND43397"/>
  </r>
  <r>
    <x v="0"/>
    <x v="7"/>
    <x v="0"/>
    <x v="5"/>
    <m/>
    <x v="397"/>
    <x v="68"/>
    <s v="A(tha)"/>
    <x v="247"/>
    <n v="96031091"/>
    <n v="1206410.8600000001"/>
    <n v="100000000"/>
    <n v="5.097607"/>
    <n v="100000000"/>
    <n v="2.46"/>
    <n v="1.7547174E-3"/>
    <s v="Bond"/>
    <s v="THB"/>
    <d v="2016-04-29T00:00:00"/>
    <x v="111"/>
    <s v="SCBFPFUND43397"/>
  </r>
  <r>
    <x v="0"/>
    <x v="7"/>
    <x v="0"/>
    <x v="5"/>
    <m/>
    <x v="398"/>
    <x v="11"/>
    <s v="A"/>
    <x v="248"/>
    <n v="387180112.55000001"/>
    <n v="3643682.35"/>
    <n v="385003880.80000001"/>
    <n v="1.1210519999999999"/>
    <n v="385000000"/>
    <n v="2.7140740000000001"/>
    <n v="7.0526835000000003E-3"/>
    <s v="Bond"/>
    <s v="THB"/>
    <d v="2015-12-28T00:00:00"/>
    <x v="148"/>
    <s v="SCBFPFUND43397"/>
  </r>
  <r>
    <x v="0"/>
    <x v="7"/>
    <x v="0"/>
    <x v="5"/>
    <m/>
    <x v="143"/>
    <x v="40"/>
    <s v="AA"/>
    <x v="83"/>
    <n v="470785815.72000003"/>
    <n v="905646.51"/>
    <n v="477000000"/>
    <n v="2.3226810000000002"/>
    <n v="477000000"/>
    <n v="2.1"/>
    <n v="8.5119960000000008E-3"/>
    <s v="Bond"/>
    <s v="THB"/>
    <d v="2018-03-22T00:00:00"/>
    <x v="53"/>
    <s v="SCBFPFUND43397"/>
  </r>
  <r>
    <x v="0"/>
    <x v="7"/>
    <x v="0"/>
    <x v="5"/>
    <m/>
    <x v="275"/>
    <x v="40"/>
    <s v="AA"/>
    <x v="150"/>
    <n v="480656212.80000001"/>
    <n v="1514956.8"/>
    <n v="480000000"/>
    <n v="3.1859549999999999"/>
    <n v="480000000"/>
    <n v="3.2"/>
    <n v="8.7011095E-3"/>
    <s v="Bond"/>
    <s v="THB"/>
    <d v="2018-09-19T00:00:00"/>
    <x v="122"/>
    <s v="SCBFPFUND43397"/>
  </r>
  <r>
    <x v="0"/>
    <x v="7"/>
    <x v="0"/>
    <x v="5"/>
    <m/>
    <x v="144"/>
    <x v="41"/>
    <s v="A-"/>
    <x v="59"/>
    <n v="45887564.25"/>
    <n v="121364.55"/>
    <n v="45000000"/>
    <n v="0.91543300000000005"/>
    <n v="45000000"/>
    <n v="4.28"/>
    <n v="8.3026270000000004E-4"/>
    <s v="Bond"/>
    <s v="THB"/>
    <d v="2014-10-02T00:00:00"/>
    <x v="21"/>
    <s v="SCBFPFUND43397"/>
  </r>
  <r>
    <x v="0"/>
    <x v="7"/>
    <x v="0"/>
    <x v="5"/>
    <m/>
    <x v="147"/>
    <x v="7"/>
    <s v="A"/>
    <x v="84"/>
    <n v="772680074.25"/>
    <n v="5848789.7999999998"/>
    <n v="777000000"/>
    <n v="1.5318659999999999"/>
    <n v="777000000"/>
    <n v="1.75"/>
    <n v="1.40490874E-2"/>
    <s v="Bond"/>
    <s v="THB"/>
    <d v="2018-05-21T00:00:00"/>
    <x v="58"/>
    <s v="SCBFPFUND43397"/>
  </r>
  <r>
    <x v="0"/>
    <x v="7"/>
    <x v="0"/>
    <x v="14"/>
    <m/>
    <x v="399"/>
    <x v="3"/>
    <s v="A"/>
    <x v="249"/>
    <n v="65737867.359999999"/>
    <n v="709018.13"/>
    <n v="65819908.609999999"/>
    <n v="0.125169"/>
    <n v="2000000"/>
    <n v="2.1696460000000002"/>
    <n v="1.1990796E-3"/>
    <s v="Bond"/>
    <s v="USDbb"/>
    <d v="2013-12-10T00:00:00"/>
    <x v="21"/>
    <s v="SCBFPFUND43397"/>
  </r>
  <r>
    <x v="0"/>
    <x v="7"/>
    <x v="1"/>
    <x v="6"/>
    <m/>
    <x v="400"/>
    <x v="48"/>
    <s v="AA-(tha)"/>
    <x v="41"/>
    <n v="60098566.859999999"/>
    <m/>
    <n v="0"/>
    <n v="0"/>
    <n v="0"/>
    <n v="0"/>
    <n v="1.0845199E-3"/>
    <s v="Future"/>
    <s v="THB"/>
    <d v="1900-01-01T00:00:00"/>
    <x v="66"/>
    <s v="SCBFPFUND43397"/>
  </r>
  <r>
    <x v="0"/>
    <x v="7"/>
    <x v="1"/>
    <x v="6"/>
    <m/>
    <x v="401"/>
    <x v="87"/>
    <s v="A+"/>
    <x v="72"/>
    <n v="60996030"/>
    <m/>
    <n v="0"/>
    <n v="0"/>
    <n v="0"/>
    <n v="0"/>
    <n v="1.1007152E-3"/>
    <s v="Future"/>
    <s v="THB"/>
    <d v="1900-01-01T00:00:00"/>
    <x v="149"/>
    <s v="SCBFPFUND43397"/>
  </r>
  <r>
    <x v="0"/>
    <x v="7"/>
    <x v="1"/>
    <x v="6"/>
    <m/>
    <x v="402"/>
    <x v="8"/>
    <s v="AA+(tha)"/>
    <x v="192"/>
    <n v="5067998.1100000003"/>
    <m/>
    <n v="0"/>
    <n v="0"/>
    <n v="0"/>
    <n v="0"/>
    <n v="9.1455500000000006E-5"/>
    <s v="Future"/>
    <s v="THB"/>
    <d v="1900-01-01T00:00:00"/>
    <x v="150"/>
    <s v="SCBFPFUND43397"/>
  </r>
  <r>
    <x v="0"/>
    <x v="7"/>
    <x v="1"/>
    <x v="6"/>
    <m/>
    <x v="403"/>
    <x v="8"/>
    <s v="AA+(tha)"/>
    <x v="42"/>
    <n v="97510756.469999999"/>
    <m/>
    <n v="0"/>
    <n v="0"/>
    <n v="0"/>
    <n v="0"/>
    <n v="1.7596484999999999E-3"/>
    <s v="Future"/>
    <s v="THB"/>
    <d v="1900-01-01T00:00:00"/>
    <x v="86"/>
    <s v="SCBFPFUND43397"/>
  </r>
  <r>
    <x v="0"/>
    <x v="7"/>
    <x v="1"/>
    <x v="6"/>
    <m/>
    <x v="404"/>
    <x v="87"/>
    <s v="A+"/>
    <x v="187"/>
    <n v="17558211.420000002"/>
    <m/>
    <n v="0"/>
    <n v="0"/>
    <n v="0"/>
    <n v="0"/>
    <n v="3.1684999999999998E-4"/>
    <s v="Future"/>
    <s v="THB"/>
    <d v="1900-01-01T00:00:00"/>
    <x v="151"/>
    <s v="SCBFPFUND43397"/>
  </r>
  <r>
    <x v="0"/>
    <x v="7"/>
    <x v="1"/>
    <x v="6"/>
    <m/>
    <x v="405"/>
    <x v="48"/>
    <s v="AA-(tha)"/>
    <x v="52"/>
    <n v="29656384.52"/>
    <m/>
    <n v="0"/>
    <n v="0"/>
    <n v="0"/>
    <n v="0"/>
    <n v="5.351698E-4"/>
    <s v="Future"/>
    <s v="THB"/>
    <d v="1900-01-01T00:00:00"/>
    <x v="76"/>
    <s v="SCBFPFUND43397"/>
  </r>
  <r>
    <x v="0"/>
    <x v="7"/>
    <x v="1"/>
    <x v="6"/>
    <m/>
    <x v="406"/>
    <x v="48"/>
    <s v="AA-(tha)"/>
    <x v="21"/>
    <n v="-3873382.65"/>
    <m/>
    <n v="0"/>
    <n v="0"/>
    <n v="0"/>
    <n v="0"/>
    <n v="-6.98978E-5"/>
    <s v="Future"/>
    <s v="THB"/>
    <d v="1900-01-01T00:00:00"/>
    <x v="65"/>
    <s v="SCBFPFUND43397"/>
  </r>
  <r>
    <x v="0"/>
    <x v="7"/>
    <x v="1"/>
    <x v="6"/>
    <m/>
    <x v="407"/>
    <x v="48"/>
    <s v="AA-(tha)"/>
    <x v="5"/>
    <n v="5234002.67"/>
    <m/>
    <n v="0"/>
    <n v="0"/>
    <n v="0"/>
    <n v="0"/>
    <n v="9.4451199999999994E-5"/>
    <s v="Future"/>
    <s v="THB"/>
    <d v="1900-01-01T00:00:00"/>
    <x v="29"/>
    <s v="SCBFPFUND43397"/>
  </r>
  <r>
    <x v="0"/>
    <x v="7"/>
    <x v="1"/>
    <x v="6"/>
    <m/>
    <x v="408"/>
    <x v="87"/>
    <s v="A+"/>
    <x v="12"/>
    <n v="-17678196.02"/>
    <m/>
    <n v="0"/>
    <n v="0"/>
    <n v="0"/>
    <n v="0"/>
    <n v="-3.1901519999999998E-4"/>
    <s v="Future"/>
    <s v="THB"/>
    <d v="1900-01-01T00:00:00"/>
    <x v="67"/>
    <s v="SCBFPFUND43397"/>
  </r>
  <r>
    <x v="0"/>
    <x v="7"/>
    <x v="1"/>
    <x v="6"/>
    <m/>
    <x v="409"/>
    <x v="18"/>
    <s v="AA+(tha)"/>
    <x v="188"/>
    <n v="-5556816.6900000004"/>
    <m/>
    <n v="0"/>
    <n v="0"/>
    <n v="0"/>
    <n v="0"/>
    <n v="-1.002766E-4"/>
    <s v="Future"/>
    <s v="THB"/>
    <d v="1900-01-01T00:00:00"/>
    <x v="152"/>
    <s v="SCBFPFUND43397"/>
  </r>
  <r>
    <x v="0"/>
    <x v="7"/>
    <x v="1"/>
    <x v="6"/>
    <m/>
    <x v="410"/>
    <x v="48"/>
    <s v="AA-(tha)"/>
    <x v="59"/>
    <n v="-4546900.25"/>
    <m/>
    <n v="0"/>
    <n v="0"/>
    <n v="0"/>
    <n v="0"/>
    <n v="-8.20519E-5"/>
    <s v="Future"/>
    <s v="THB"/>
    <d v="1900-01-01T00:00:00"/>
    <x v="95"/>
    <s v="SCBFPFUND43397"/>
  </r>
  <r>
    <x v="0"/>
    <x v="7"/>
    <x v="1"/>
    <x v="21"/>
    <m/>
    <x v="411"/>
    <x v="0"/>
    <s v="AA+(tha)"/>
    <x v="250"/>
    <n v="-19396248.370000001"/>
    <m/>
    <n v="0"/>
    <n v="0"/>
    <n v="0"/>
    <n v="0"/>
    <n v="-3.500186E-4"/>
    <s v="Swap"/>
    <s v="THB"/>
    <d v="1900-01-01T00:00:00"/>
    <x v="153"/>
    <s v="SCBFPFUND43397"/>
  </r>
  <r>
    <x v="0"/>
    <x v="7"/>
    <x v="1"/>
    <x v="21"/>
    <m/>
    <x v="412"/>
    <x v="0"/>
    <s v="AA+(tha)"/>
    <x v="251"/>
    <n v="-4001650.74"/>
    <m/>
    <n v="0"/>
    <n v="0"/>
    <n v="0"/>
    <n v="0"/>
    <n v="-7.22125E-5"/>
    <s v="Swap"/>
    <s v="THB"/>
    <d v="1900-01-01T00:00:00"/>
    <x v="154"/>
    <s v="SCBFPFUND43397"/>
  </r>
  <r>
    <x v="0"/>
    <x v="7"/>
    <x v="1"/>
    <x v="21"/>
    <m/>
    <x v="413"/>
    <x v="0"/>
    <s v="AA+(tha)"/>
    <x v="252"/>
    <n v="-7426412.04"/>
    <m/>
    <n v="0"/>
    <n v="0"/>
    <n v="0"/>
    <n v="0"/>
    <n v="-1.340147E-4"/>
    <s v="Swap"/>
    <s v="THB"/>
    <d v="1900-01-01T00:00:00"/>
    <x v="155"/>
    <s v="SCBFPFUND43397"/>
  </r>
  <r>
    <x v="0"/>
    <x v="7"/>
    <x v="1"/>
    <x v="21"/>
    <m/>
    <x v="414"/>
    <x v="0"/>
    <s v="AA+(tha)"/>
    <x v="249"/>
    <n v="7053521.25"/>
    <m/>
    <n v="0"/>
    <n v="0"/>
    <n v="0"/>
    <n v="0"/>
    <n v="1.272856E-4"/>
    <s v="Swap"/>
    <s v="THB"/>
    <d v="1900-01-01T00:00:00"/>
    <x v="156"/>
    <s v="SCBFPFUND43397"/>
  </r>
  <r>
    <x v="0"/>
    <x v="7"/>
    <x v="1"/>
    <x v="21"/>
    <m/>
    <x v="415"/>
    <x v="0"/>
    <s v="AA+(tha)"/>
    <x v="184"/>
    <n v="-1309742.1200000001"/>
    <m/>
    <n v="0"/>
    <n v="0"/>
    <n v="0"/>
    <n v="0"/>
    <n v="-2.36352E-5"/>
    <s v="Swap"/>
    <s v="THB"/>
    <d v="1900-01-01T00:00:00"/>
    <x v="131"/>
    <s v="SCBFPFUND43397"/>
  </r>
  <r>
    <x v="0"/>
    <x v="7"/>
    <x v="1"/>
    <x v="21"/>
    <m/>
    <x v="416"/>
    <x v="0"/>
    <s v="AA+(tha)"/>
    <x v="169"/>
    <n v="-805969.25"/>
    <m/>
    <n v="0"/>
    <n v="0"/>
    <n v="0"/>
    <n v="0"/>
    <n v="-1.4544300000000001E-5"/>
    <s v="Swap"/>
    <s v="THB"/>
    <d v="1900-01-01T00:00:00"/>
    <x v="157"/>
    <s v="SCBFPFUND43397"/>
  </r>
  <r>
    <x v="0"/>
    <x v="7"/>
    <x v="1"/>
    <x v="21"/>
    <m/>
    <x v="417"/>
    <x v="0"/>
    <s v="AA+(tha)"/>
    <x v="253"/>
    <n v="-527110.1"/>
    <m/>
    <n v="0"/>
    <n v="0"/>
    <n v="0"/>
    <n v="0"/>
    <n v="-9.5120999999999999E-6"/>
    <s v="Swap"/>
    <s v="THB"/>
    <d v="1900-01-01T00:00:00"/>
    <x v="158"/>
    <s v="SCBFPFUND43397"/>
  </r>
  <r>
    <x v="0"/>
    <x v="7"/>
    <x v="1"/>
    <x v="21"/>
    <m/>
    <x v="418"/>
    <x v="48"/>
    <s v="AA-(tha)"/>
    <x v="254"/>
    <n v="-1358049.56"/>
    <m/>
    <n v="0"/>
    <n v="0"/>
    <n v="0"/>
    <n v="0"/>
    <n v="-2.4506900000000001E-5"/>
    <s v="Swap"/>
    <s v="THB"/>
    <d v="1900-01-01T00:00:00"/>
    <x v="159"/>
    <s v="SCBFPFUND43397"/>
  </r>
  <r>
    <x v="0"/>
    <x v="7"/>
    <x v="1"/>
    <x v="21"/>
    <m/>
    <x v="419"/>
    <x v="48"/>
    <s v="AA-(tha)"/>
    <x v="255"/>
    <n v="-783108.77"/>
    <m/>
    <n v="0"/>
    <n v="0"/>
    <n v="0"/>
    <n v="0"/>
    <n v="-1.4131700000000001E-5"/>
    <s v="Swap"/>
    <s v="THB"/>
    <d v="1900-01-01T00:00:00"/>
    <x v="160"/>
    <s v="SCBFPFUND43397"/>
  </r>
  <r>
    <x v="0"/>
    <x v="7"/>
    <x v="1"/>
    <x v="21"/>
    <m/>
    <x v="420"/>
    <x v="48"/>
    <s v="AA-(tha)"/>
    <x v="185"/>
    <n v="-2501470.46"/>
    <m/>
    <n v="0"/>
    <n v="0"/>
    <n v="0"/>
    <n v="0"/>
    <n v="-4.51408E-5"/>
    <s v="Swap"/>
    <s v="THB"/>
    <d v="1900-01-01T00:00:00"/>
    <x v="132"/>
    <s v="SCBFPFUND43397"/>
  </r>
  <r>
    <x v="0"/>
    <x v="7"/>
    <x v="1"/>
    <x v="21"/>
    <m/>
    <x v="421"/>
    <x v="0"/>
    <s v="AA+(tha)"/>
    <x v="185"/>
    <n v="-1780994.06"/>
    <m/>
    <n v="0"/>
    <n v="0"/>
    <n v="0"/>
    <n v="0"/>
    <n v="-3.2139299999999999E-5"/>
    <s v="Swap"/>
    <s v="THB"/>
    <d v="1900-01-01T00:00:00"/>
    <x v="132"/>
    <s v="SCBFPFUND43397"/>
  </r>
  <r>
    <x v="0"/>
    <x v="7"/>
    <x v="1"/>
    <x v="21"/>
    <m/>
    <x v="422"/>
    <x v="8"/>
    <s v="AA+(tha)"/>
    <x v="186"/>
    <n v="-2350599.39"/>
    <m/>
    <n v="0"/>
    <n v="0"/>
    <n v="0"/>
    <n v="0"/>
    <n v="-4.24182E-5"/>
    <s v="Swap"/>
    <s v="THB"/>
    <d v="1900-01-01T00:00:00"/>
    <x v="133"/>
    <s v="SCBFPFUND43397"/>
  </r>
  <r>
    <x v="0"/>
    <x v="7"/>
    <x v="1"/>
    <x v="21"/>
    <m/>
    <x v="423"/>
    <x v="48"/>
    <s v="AA-(tha)"/>
    <x v="186"/>
    <n v="-2263011.37"/>
    <m/>
    <n v="0"/>
    <n v="0"/>
    <n v="0"/>
    <n v="0"/>
    <n v="-4.0837599999999997E-5"/>
    <s v="Swap"/>
    <s v="THB"/>
    <d v="1900-01-01T00:00:00"/>
    <x v="133"/>
    <s v="SCBFPFUND43397"/>
  </r>
  <r>
    <x v="0"/>
    <x v="7"/>
    <x v="4"/>
    <x v="16"/>
    <s v="Settle Date :25/10/2018"/>
    <x v="38"/>
    <x v="16"/>
    <m/>
    <x v="0"/>
    <n v="59975746.799999997"/>
    <m/>
    <n v="59975746.799999997"/>
    <m/>
    <m/>
    <n v="0"/>
    <n v="1.0823034999999999E-3"/>
    <s v="Bond"/>
    <s v="THB"/>
    <d v="2018-10-24T00:00:00"/>
    <x v="97"/>
    <s v="SCBFPFUND43397"/>
  </r>
  <r>
    <x v="0"/>
    <x v="7"/>
    <x v="4"/>
    <x v="16"/>
    <s v="Settle Date :25/10/2018"/>
    <x v="347"/>
    <x v="16"/>
    <m/>
    <x v="0"/>
    <n v="10034762.300000001"/>
    <m/>
    <n v="10034762.300000001"/>
    <m/>
    <m/>
    <n v="0"/>
    <n v="1.8108419999999999E-4"/>
    <s v="Bond"/>
    <s v="THB"/>
    <d v="2017-04-27T00:00:00"/>
    <x v="161"/>
    <s v="SCBFPFUND43397"/>
  </r>
  <r>
    <x v="0"/>
    <x v="7"/>
    <x v="2"/>
    <x v="7"/>
    <s v="Settle Date :26/10/2018"/>
    <x v="297"/>
    <x v="16"/>
    <m/>
    <x v="0"/>
    <n v="-607234444.17999995"/>
    <m/>
    <n v="-607234444.17999995"/>
    <m/>
    <m/>
    <n v="0"/>
    <n v="-1.09579621E-2"/>
    <s v="Bond"/>
    <s v="THB"/>
    <d v="2018-07-13T00:00:00"/>
    <x v="134"/>
    <s v="SCBFPFUND43397"/>
  </r>
  <r>
    <x v="0"/>
    <x v="7"/>
    <x v="2"/>
    <x v="8"/>
    <s v="AUDITING FEE"/>
    <x v="64"/>
    <x v="16"/>
    <m/>
    <x v="0"/>
    <n v="-147123.68"/>
    <m/>
    <m/>
    <m/>
    <m/>
    <n v="0"/>
    <n v="-2.6549000000000002E-6"/>
    <m/>
    <m/>
    <m/>
    <x v="31"/>
    <s v="SCBFPFUND43397"/>
  </r>
  <r>
    <x v="0"/>
    <x v="7"/>
    <x v="2"/>
    <x v="9"/>
    <m/>
    <x v="65"/>
    <x v="16"/>
    <m/>
    <x v="0"/>
    <n v="-663656.07999999996"/>
    <n v="0"/>
    <m/>
    <m/>
    <m/>
    <n v="0"/>
    <n v="-1.19761E-5"/>
    <m/>
    <m/>
    <m/>
    <x v="31"/>
    <s v="SCBFPFUND43397"/>
  </r>
  <r>
    <x v="0"/>
    <x v="7"/>
    <x v="2"/>
    <x v="11"/>
    <s v="A NEWSPAPER_NAV"/>
    <x v="66"/>
    <x v="16"/>
    <m/>
    <x v="0"/>
    <n v="-4182.17"/>
    <m/>
    <m/>
    <m/>
    <m/>
    <n v="0"/>
    <n v="-7.5499999999999994E-8"/>
    <m/>
    <m/>
    <m/>
    <x v="31"/>
    <s v="SCBFPFUND43397"/>
  </r>
  <r>
    <x v="0"/>
    <x v="7"/>
    <x v="2"/>
    <x v="11"/>
    <s v="A NEWSPAPER_NAV"/>
    <x v="66"/>
    <x v="16"/>
    <m/>
    <x v="0"/>
    <n v="-3399.6"/>
    <m/>
    <m/>
    <m/>
    <m/>
    <n v="0"/>
    <n v="-6.13E-8"/>
    <m/>
    <m/>
    <m/>
    <x v="31"/>
    <s v="SCBFPFUND43397"/>
  </r>
  <r>
    <x v="0"/>
    <x v="7"/>
    <x v="2"/>
    <x v="13"/>
    <s v="CUSTODIAN FEE"/>
    <x v="65"/>
    <x v="16"/>
    <m/>
    <x v="0"/>
    <n v="-1102541.54"/>
    <m/>
    <n v="-1102541.54"/>
    <m/>
    <m/>
    <n v="0"/>
    <n v="-1.9896100000000001E-5"/>
    <m/>
    <m/>
    <m/>
    <x v="31"/>
    <s v="SCBFPFUND43397"/>
  </r>
  <r>
    <x v="0"/>
    <x v="7"/>
    <x v="2"/>
    <x v="12"/>
    <s v="MANAGEMENT FEE"/>
    <x v="65"/>
    <x v="16"/>
    <m/>
    <x v="0"/>
    <n v="-14988638.279999999"/>
    <m/>
    <n v="-14988638.279999999"/>
    <m/>
    <m/>
    <n v="0"/>
    <n v="-2.7048030000000002E-4"/>
    <m/>
    <m/>
    <m/>
    <x v="31"/>
    <s v="SCBFPFUND43397"/>
  </r>
  <r>
    <x v="0"/>
    <x v="7"/>
    <x v="2"/>
    <x v="10"/>
    <s v="REGISTRAR FEE"/>
    <x v="65"/>
    <x v="16"/>
    <m/>
    <x v="0"/>
    <n v="0"/>
    <m/>
    <n v="0"/>
    <m/>
    <m/>
    <n v="0"/>
    <n v="0"/>
    <m/>
    <m/>
    <m/>
    <x v="31"/>
    <s v="SCBFPFUND43397"/>
  </r>
  <r>
    <x v="0"/>
    <x v="7"/>
    <x v="3"/>
    <x v="13"/>
    <s v="CUSTODIAN FEE"/>
    <x v="65"/>
    <x v="16"/>
    <m/>
    <x v="0"/>
    <n v="-97472.01"/>
    <m/>
    <n v="-97472.01"/>
    <m/>
    <m/>
    <n v="0"/>
    <n v="-1.7589E-6"/>
    <m/>
    <m/>
    <m/>
    <x v="31"/>
    <s v="SCBFPFUND43397"/>
  </r>
  <r>
    <x v="0"/>
    <x v="7"/>
    <x v="3"/>
    <x v="12"/>
    <s v="MANAGEMENT FEE"/>
    <x v="65"/>
    <x v="16"/>
    <m/>
    <x v="0"/>
    <n v="-1325121.1499999999"/>
    <m/>
    <n v="-1325121.1499999999"/>
    <m/>
    <m/>
    <n v="0"/>
    <n v="-2.3912699999999999E-5"/>
    <m/>
    <m/>
    <m/>
    <x v="31"/>
    <s v="SCBFPFUND43397"/>
  </r>
  <r>
    <x v="0"/>
    <x v="7"/>
    <x v="3"/>
    <x v="10"/>
    <s v="REGISTRAR FEE"/>
    <x v="65"/>
    <x v="16"/>
    <m/>
    <x v="0"/>
    <n v="0"/>
    <m/>
    <n v="0"/>
    <m/>
    <m/>
    <n v="0"/>
    <n v="0"/>
    <m/>
    <m/>
    <m/>
    <x v="31"/>
    <s v="SCBFPFUND43397"/>
  </r>
  <r>
    <x v="0"/>
    <x v="8"/>
    <x v="5"/>
    <x v="22"/>
    <s v="UNIT TRUST"/>
    <x v="424"/>
    <x v="88"/>
    <m/>
    <x v="0"/>
    <n v="14964320"/>
    <m/>
    <n v="13361000"/>
    <n v="0"/>
    <n v="1336100"/>
    <n v="0"/>
    <n v="7.0344449999999996E-4"/>
    <s v="Stock"/>
    <s v="THB"/>
    <d v="1900-01-01T00:00:00"/>
    <x v="0"/>
    <s v="SCBPLUS43397"/>
  </r>
  <r>
    <x v="0"/>
    <x v="8"/>
    <x v="5"/>
    <x v="22"/>
    <s v="UNIT TRUST"/>
    <x v="425"/>
    <x v="89"/>
    <m/>
    <x v="0"/>
    <n v="56584140"/>
    <m/>
    <n v="43224549.200000003"/>
    <n v="0"/>
    <n v="4319400"/>
    <n v="0"/>
    <n v="2.6599139000000002E-3"/>
    <s v="Stock"/>
    <s v="THB"/>
    <d v="1900-01-01T00:00:00"/>
    <x v="0"/>
    <s v="SCBPLUS43397"/>
  </r>
  <r>
    <x v="0"/>
    <x v="8"/>
    <x v="5"/>
    <x v="22"/>
    <s v="UNIT TRUST"/>
    <x v="426"/>
    <x v="88"/>
    <m/>
    <x v="0"/>
    <n v="534993600"/>
    <m/>
    <n v="537468633.83000004"/>
    <n v="0"/>
    <n v="44582800"/>
    <n v="0"/>
    <n v="2.51490423E-2"/>
    <s v="Stock"/>
    <s v="THB"/>
    <d v="1900-01-01T00:00:00"/>
    <x v="0"/>
    <s v="SCBPLUS43397"/>
  </r>
  <r>
    <x v="0"/>
    <x v="8"/>
    <x v="5"/>
    <x v="22"/>
    <s v="UNIT TRUST"/>
    <x v="427"/>
    <x v="90"/>
    <m/>
    <x v="0"/>
    <n v="261050400"/>
    <m/>
    <n v="225886295.06999999"/>
    <n v="0"/>
    <n v="10040400"/>
    <n v="0"/>
    <n v="1.2271488000000001E-2"/>
    <s v="Stock"/>
    <s v="THB"/>
    <d v="1900-01-01T00:00:00"/>
    <x v="0"/>
    <s v="SCBPLUS43397"/>
  </r>
  <r>
    <x v="0"/>
    <x v="8"/>
    <x v="5"/>
    <x v="22"/>
    <s v="UNIT TRUST"/>
    <x v="428"/>
    <x v="91"/>
    <m/>
    <x v="0"/>
    <n v="778860000"/>
    <m/>
    <n v="759407448.86000001"/>
    <n v="0"/>
    <n v="51924000"/>
    <n v="0"/>
    <n v="3.6612742900000002E-2"/>
    <s v="Stock"/>
    <s v="THB"/>
    <d v="1900-01-01T00:00:00"/>
    <x v="0"/>
    <s v="SCBPLUS43397"/>
  </r>
  <r>
    <x v="0"/>
    <x v="8"/>
    <x v="5"/>
    <x v="22"/>
    <s v="UNIT TRUST"/>
    <x v="429"/>
    <x v="92"/>
    <m/>
    <x v="0"/>
    <n v="135694720"/>
    <m/>
    <n v="131762374.98"/>
    <n v="0"/>
    <n v="12115600"/>
    <n v="0"/>
    <n v="6.3787534000000002E-3"/>
    <s v="Stock"/>
    <s v="THB"/>
    <d v="1900-01-01T00:00:00"/>
    <x v="0"/>
    <s v="SCBPLUS43397"/>
  </r>
  <r>
    <x v="0"/>
    <x v="8"/>
    <x v="5"/>
    <x v="22"/>
    <s v="UNIT TRUST"/>
    <x v="430"/>
    <x v="93"/>
    <m/>
    <x v="0"/>
    <n v="304120760"/>
    <m/>
    <n v="292567638.68000001"/>
    <n v="0"/>
    <n v="20548700"/>
    <n v="0"/>
    <n v="1.42961446E-2"/>
    <s v="Stock"/>
    <s v="THB"/>
    <d v="1900-01-01T00:00:00"/>
    <x v="0"/>
    <s v="SCBPLUS43397"/>
  </r>
  <r>
    <x v="0"/>
    <x v="8"/>
    <x v="5"/>
    <x v="22"/>
    <s v="UNIT TRUST"/>
    <x v="431"/>
    <x v="94"/>
    <m/>
    <x v="0"/>
    <n v="35248484.600000001"/>
    <m/>
    <n v="40454063.770000003"/>
    <n v="0"/>
    <n v="5300524"/>
    <n v="0"/>
    <n v="1.6569649E-3"/>
    <s v="Stock"/>
    <s v="THB"/>
    <d v="1900-01-01T00:00:00"/>
    <x v="0"/>
    <s v="SCBPLUS43397"/>
  </r>
  <r>
    <x v="0"/>
    <x v="8"/>
    <x v="5"/>
    <x v="22"/>
    <s v="UNIT TRUST"/>
    <x v="432"/>
    <x v="95"/>
    <m/>
    <x v="0"/>
    <n v="108771390"/>
    <m/>
    <n v="82992841.569999993"/>
    <n v="0"/>
    <n v="5755100"/>
    <n v="0"/>
    <n v="5.1131383000000002E-3"/>
    <s v="Stock"/>
    <s v="THB"/>
    <d v="1900-01-01T00:00:00"/>
    <x v="0"/>
    <s v="SCBPLUS43397"/>
  </r>
  <r>
    <x v="0"/>
    <x v="8"/>
    <x v="5"/>
    <x v="22"/>
    <s v="UNIT TRUST"/>
    <x v="433"/>
    <x v="88"/>
    <m/>
    <x v="0"/>
    <n v="793054020"/>
    <m/>
    <n v="868629810.92999995"/>
    <n v="0"/>
    <n v="78520200"/>
    <n v="0"/>
    <n v="3.7279976999999999E-2"/>
    <s v="Stock"/>
    <s v="THB"/>
    <d v="1900-01-01T00:00:00"/>
    <x v="0"/>
    <s v="SCBPLUS43397"/>
  </r>
  <r>
    <x v="0"/>
    <x v="8"/>
    <x v="5"/>
    <x v="22"/>
    <s v="UNIT TRUST"/>
    <x v="434"/>
    <x v="96"/>
    <m/>
    <x v="0"/>
    <n v="64304896"/>
    <m/>
    <n v="63200453.380000003"/>
    <n v="0"/>
    <n v="4019056"/>
    <n v="0"/>
    <n v="3.0228521E-3"/>
    <s v="Stock"/>
    <s v="THB"/>
    <d v="1900-01-01T00:00:00"/>
    <x v="0"/>
    <s v="SCBPLUS43397"/>
  </r>
  <r>
    <x v="0"/>
    <x v="8"/>
    <x v="5"/>
    <x v="22"/>
    <s v="UNIT TRUST"/>
    <x v="435"/>
    <x v="96"/>
    <m/>
    <x v="0"/>
    <n v="143357220"/>
    <m/>
    <n v="125769011.56999999"/>
    <n v="0"/>
    <n v="10698300"/>
    <n v="0"/>
    <n v="6.7389531000000003E-3"/>
    <s v="Stock"/>
    <s v="THB"/>
    <d v="1900-01-01T00:00:00"/>
    <x v="0"/>
    <s v="SCBPLUS43397"/>
  </r>
  <r>
    <x v="0"/>
    <x v="8"/>
    <x v="5"/>
    <x v="22"/>
    <s v="UNIT TRUST"/>
    <x v="436"/>
    <x v="97"/>
    <m/>
    <x v="0"/>
    <n v="31016790"/>
    <m/>
    <n v="32450126.739999998"/>
    <n v="0"/>
    <n v="3282200"/>
    <n v="0"/>
    <n v="1.4580408999999999E-3"/>
    <s v="Stock"/>
    <s v="THB"/>
    <d v="1900-01-01T00:00:00"/>
    <x v="0"/>
    <s v="SCBPLUS43397"/>
  </r>
  <r>
    <x v="0"/>
    <x v="8"/>
    <x v="5"/>
    <x v="22"/>
    <s v="UNIT TRUST"/>
    <x v="437"/>
    <x v="98"/>
    <m/>
    <x v="0"/>
    <n v="152504820"/>
    <m/>
    <n v="151124972.58000001"/>
    <n v="0"/>
    <n v="6517300"/>
    <n v="0"/>
    <n v="7.1689646000000001E-3"/>
    <s v="Stock"/>
    <s v="THB"/>
    <d v="1900-01-01T00:00:00"/>
    <x v="0"/>
    <s v="SCBPLUS43397"/>
  </r>
  <r>
    <x v="0"/>
    <x v="8"/>
    <x v="5"/>
    <x v="22"/>
    <s v="UNIT TRUST"/>
    <x v="438"/>
    <x v="99"/>
    <m/>
    <x v="0"/>
    <n v="363053000"/>
    <m/>
    <n v="363053000"/>
    <n v="0"/>
    <n v="36305300"/>
    <n v="0"/>
    <n v="1.70664383E-2"/>
    <s v="Stock"/>
    <s v="THB"/>
    <d v="1900-01-01T00:00:00"/>
    <x v="0"/>
    <s v="SCBPLUS43397"/>
  </r>
  <r>
    <x v="0"/>
    <x v="8"/>
    <x v="5"/>
    <x v="22"/>
    <s v="UNIT TRUST"/>
    <x v="439"/>
    <x v="92"/>
    <m/>
    <x v="0"/>
    <n v="320086800"/>
    <m/>
    <n v="272606356"/>
    <n v="0"/>
    <n v="16166000"/>
    <n v="0"/>
    <n v="1.50466781E-2"/>
    <s v="Stock"/>
    <s v="THB"/>
    <d v="1900-01-01T00:00:00"/>
    <x v="0"/>
    <s v="SCBPLUS43397"/>
  </r>
  <r>
    <x v="0"/>
    <x v="8"/>
    <x v="5"/>
    <x v="22"/>
    <s v="UNIT TRUST"/>
    <x v="440"/>
    <x v="100"/>
    <m/>
    <x v="0"/>
    <n v="325445569.39999998"/>
    <m/>
    <n v="280619096.83999997"/>
    <n v="0"/>
    <n v="27580133"/>
    <n v="0"/>
    <n v="1.52985838E-2"/>
    <s v="Stock"/>
    <s v="THB"/>
    <d v="1900-01-01T00:00:00"/>
    <x v="0"/>
    <s v="SCBPLUS43397"/>
  </r>
  <r>
    <x v="0"/>
    <x v="8"/>
    <x v="5"/>
    <x v="22"/>
    <s v="UNIT TRUST"/>
    <x v="441"/>
    <x v="101"/>
    <m/>
    <x v="0"/>
    <n v="369112194"/>
    <m/>
    <n v="352375211.10000002"/>
    <n v="0"/>
    <n v="33555654"/>
    <n v="0"/>
    <n v="1.73512696E-2"/>
    <s v="Stock"/>
    <s v="THB"/>
    <d v="1900-01-01T00:00:00"/>
    <x v="0"/>
    <s v="SCBPLUS43397"/>
  </r>
  <r>
    <x v="0"/>
    <x v="8"/>
    <x v="0"/>
    <x v="0"/>
    <m/>
    <x v="5"/>
    <x v="18"/>
    <m/>
    <x v="0"/>
    <n v="3252442.31"/>
    <n v="11840.02"/>
    <n v="3252442.31"/>
    <n v="0"/>
    <n v="0"/>
    <n v="0"/>
    <n v="1.534478E-4"/>
    <s v="Cash Bal"/>
    <s v="THB"/>
    <d v="1900-01-01T00:00:00"/>
    <x v="0"/>
    <s v="SCBPLUS43397"/>
  </r>
  <r>
    <x v="0"/>
    <x v="8"/>
    <x v="0"/>
    <x v="0"/>
    <m/>
    <x v="67"/>
    <x v="17"/>
    <m/>
    <x v="0"/>
    <n v="0"/>
    <m/>
    <n v="0"/>
    <n v="0"/>
    <n v="0"/>
    <n v="0"/>
    <n v="0"/>
    <s v="Cash Bal"/>
    <s v="AEDbb"/>
    <d v="1900-01-01T00:00:00"/>
    <x v="0"/>
    <s v="SCBPLUS43397"/>
  </r>
  <r>
    <x v="0"/>
    <x v="8"/>
    <x v="0"/>
    <x v="0"/>
    <m/>
    <x v="0"/>
    <x v="0"/>
    <s v="AA+(tha)"/>
    <x v="0"/>
    <n v="0"/>
    <m/>
    <n v="0"/>
    <n v="0"/>
    <n v="0"/>
    <n v="0"/>
    <n v="0"/>
    <s v="Cash Bal"/>
    <s v="CNHbb"/>
    <d v="1900-01-01T00:00:00"/>
    <x v="0"/>
    <s v="SCBPLUS43397"/>
  </r>
  <r>
    <x v="0"/>
    <x v="8"/>
    <x v="0"/>
    <x v="0"/>
    <m/>
    <x v="1"/>
    <x v="0"/>
    <s v="AA+(tha)"/>
    <x v="0"/>
    <n v="0"/>
    <m/>
    <n v="0"/>
    <n v="0"/>
    <n v="0"/>
    <n v="0"/>
    <n v="0"/>
    <s v="Cash Bal"/>
    <s v="EURbb"/>
    <d v="1900-01-01T00:00:00"/>
    <x v="0"/>
    <s v="SCBPLUS43397"/>
  </r>
  <r>
    <x v="0"/>
    <x v="8"/>
    <x v="0"/>
    <x v="0"/>
    <m/>
    <x v="2"/>
    <x v="0"/>
    <s v="AA+(tha)"/>
    <x v="0"/>
    <n v="0"/>
    <m/>
    <n v="0"/>
    <n v="0"/>
    <n v="0"/>
    <n v="0"/>
    <n v="0"/>
    <s v="Cash Bal"/>
    <s v="HKDbb"/>
    <d v="1900-01-01T00:00:00"/>
    <x v="0"/>
    <s v="SCBPLUS43397"/>
  </r>
  <r>
    <x v="0"/>
    <x v="8"/>
    <x v="0"/>
    <x v="0"/>
    <m/>
    <x v="69"/>
    <x v="0"/>
    <s v="AA+(tha)"/>
    <x v="0"/>
    <n v="0"/>
    <m/>
    <n v="0"/>
    <n v="0"/>
    <n v="0"/>
    <n v="0"/>
    <n v="0"/>
    <s v="Cash Bal"/>
    <s v="JPYbb"/>
    <d v="1900-01-01T00:00:00"/>
    <x v="0"/>
    <s v="SCBPLUS43397"/>
  </r>
  <r>
    <x v="0"/>
    <x v="8"/>
    <x v="0"/>
    <x v="0"/>
    <m/>
    <x v="4"/>
    <x v="0"/>
    <s v="AA+(tha)"/>
    <x v="0"/>
    <n v="0"/>
    <m/>
    <n v="0"/>
    <n v="0"/>
    <n v="0"/>
    <n v="0"/>
    <n v="0"/>
    <s v="Cash Bal"/>
    <s v="USDbb"/>
    <d v="1900-01-01T00:00:00"/>
    <x v="0"/>
    <s v="SCBPLUS43397"/>
  </r>
  <r>
    <x v="0"/>
    <x v="8"/>
    <x v="0"/>
    <x v="1"/>
    <m/>
    <x v="442"/>
    <x v="102"/>
    <s v="Baa2"/>
    <x v="256"/>
    <n v="558994000"/>
    <n v="7771569.3600000003"/>
    <n v="544867000"/>
    <n v="0.59135099999999996"/>
    <n v="17000000"/>
    <n v="3.25"/>
    <n v="2.6642582800000002E-2"/>
    <s v="Bond"/>
    <s v="USDbb"/>
    <d v="2018-05-24T00:00:00"/>
    <x v="162"/>
    <s v="SCBPLUS43397"/>
  </r>
  <r>
    <x v="0"/>
    <x v="8"/>
    <x v="0"/>
    <x v="1"/>
    <m/>
    <x v="443"/>
    <x v="23"/>
    <s v="A+"/>
    <x v="257"/>
    <n v="1029520825"/>
    <n v="11839489.49"/>
    <n v="1029514267.01"/>
    <n v="0.68102499999999999"/>
    <n v="115000000"/>
    <n v="3.45"/>
    <n v="4.8952388700000002E-2"/>
    <s v="Bond"/>
    <s v="AEDbb"/>
    <d v="2018-06-27T00:00:00"/>
    <x v="162"/>
    <s v="SCBPLUS43397"/>
  </r>
  <r>
    <x v="0"/>
    <x v="8"/>
    <x v="0"/>
    <x v="1"/>
    <m/>
    <x v="444"/>
    <x v="18"/>
    <s v="AA+(tha)"/>
    <x v="19"/>
    <n v="16193310.75"/>
    <n v="2195.1999999999998"/>
    <n v="15789807.15"/>
    <n v="0"/>
    <n v="492467.33"/>
    <n v="0"/>
    <n v="7.613203E-4"/>
    <s v="Bond"/>
    <s v="USDbb"/>
    <d v="2016-03-21T00:00:00"/>
    <x v="163"/>
    <s v="SCBPLUS43397"/>
  </r>
  <r>
    <x v="0"/>
    <x v="8"/>
    <x v="0"/>
    <x v="1"/>
    <m/>
    <x v="445"/>
    <x v="9"/>
    <s v="AAA(tha)"/>
    <x v="19"/>
    <n v="50153570.5"/>
    <n v="120532.66"/>
    <n v="50153570.5"/>
    <n v="0"/>
    <n v="50153570.5"/>
    <n v="0"/>
    <n v="2.363291E-3"/>
    <s v="Bond"/>
    <s v="THB"/>
    <d v="2016-03-21T00:00:00"/>
    <x v="163"/>
    <s v="SCBPLUS43397"/>
  </r>
  <r>
    <x v="0"/>
    <x v="8"/>
    <x v="0"/>
    <x v="2"/>
    <m/>
    <x v="242"/>
    <x v="43"/>
    <s v="BBB+"/>
    <x v="66"/>
    <n v="163296804"/>
    <m/>
    <n v="163434610.34999999"/>
    <n v="0.41214000000000001"/>
    <n v="165000000"/>
    <n v="2.2999999999999998"/>
    <n v="7.6762755000000004E-3"/>
    <s v="Bond"/>
    <s v="THB"/>
    <d v="2018-06-29T00:00:00"/>
    <x v="16"/>
    <s v="SCBPLUS43397"/>
  </r>
  <r>
    <x v="0"/>
    <x v="8"/>
    <x v="0"/>
    <x v="4"/>
    <m/>
    <x v="200"/>
    <x v="13"/>
    <m/>
    <x v="25"/>
    <n v="396407016.98000002"/>
    <m/>
    <n v="396369611.63999999"/>
    <n v="0.114866"/>
    <n v="397000000"/>
    <n v="1.3821349999999999"/>
    <n v="1.8634347900000001E-2"/>
    <s v="Bond"/>
    <s v="THB"/>
    <d v="2017-12-07T00:00:00"/>
    <x v="6"/>
    <s v="SCBPLUS43397"/>
  </r>
  <r>
    <x v="0"/>
    <x v="8"/>
    <x v="0"/>
    <x v="4"/>
    <m/>
    <x v="33"/>
    <x v="13"/>
    <m/>
    <x v="25"/>
    <n v="189716204.59999999"/>
    <m/>
    <n v="189706921.19999999"/>
    <n v="0.114895"/>
    <n v="190000000"/>
    <n v="1.342595"/>
    <n v="8.9182017999999991E-3"/>
    <s v="Bond"/>
    <s v="THB"/>
    <d v="2018-09-06T00:00:00"/>
    <x v="17"/>
    <s v="SCBPLUS43397"/>
  </r>
  <r>
    <x v="0"/>
    <x v="8"/>
    <x v="0"/>
    <x v="4"/>
    <m/>
    <x v="116"/>
    <x v="13"/>
    <m/>
    <x v="26"/>
    <n v="9981508.1999999993"/>
    <m/>
    <n v="9981508.1999999993"/>
    <n v="0.133989"/>
    <n v="10000000"/>
    <n v="1.38"/>
    <n v="4.6921190000000001E-4"/>
    <s v="Bond"/>
    <s v="THB"/>
    <d v="2018-06-14T00:00:00"/>
    <x v="18"/>
    <s v="SCBPLUS43397"/>
  </r>
  <r>
    <x v="0"/>
    <x v="8"/>
    <x v="0"/>
    <x v="4"/>
    <m/>
    <x v="34"/>
    <x v="13"/>
    <m/>
    <x v="26"/>
    <n v="69876175.599999994"/>
    <m/>
    <n v="69876175.599999994"/>
    <n v="0.13397899999999999"/>
    <n v="70000000"/>
    <n v="1.32"/>
    <n v="3.2847474999999999E-3"/>
    <s v="Bond"/>
    <s v="THB"/>
    <d v="2018-09-13T00:00:00"/>
    <x v="17"/>
    <s v="SCBPLUS43397"/>
  </r>
  <r>
    <x v="0"/>
    <x v="8"/>
    <x v="0"/>
    <x v="4"/>
    <m/>
    <x v="117"/>
    <x v="13"/>
    <m/>
    <x v="69"/>
    <n v="29928712.199999999"/>
    <m/>
    <n v="29929098.899999999"/>
    <n v="0.172151"/>
    <n v="30000000"/>
    <n v="1.3725000000000001"/>
    <n v="1.4068924E-3"/>
    <s v="Bond"/>
    <s v="THB"/>
    <d v="2018-09-27T00:00:00"/>
    <x v="17"/>
    <s v="SCBPLUS43397"/>
  </r>
  <r>
    <x v="0"/>
    <x v="8"/>
    <x v="0"/>
    <x v="4"/>
    <m/>
    <x v="36"/>
    <x v="13"/>
    <m/>
    <x v="28"/>
    <n v="195952885.52000001"/>
    <m/>
    <n v="195951842.80000001"/>
    <n v="1.9174E-2"/>
    <n v="196000000"/>
    <n v="1.281463"/>
    <n v="9.2113764000000004E-3"/>
    <s v="Bond"/>
    <s v="THB"/>
    <d v="2018-05-03T00:00:00"/>
    <x v="18"/>
    <s v="SCBPLUS43397"/>
  </r>
  <r>
    <x v="0"/>
    <x v="8"/>
    <x v="0"/>
    <x v="4"/>
    <m/>
    <x v="38"/>
    <x v="13"/>
    <m/>
    <x v="5"/>
    <n v="219912928.40000001"/>
    <m/>
    <n v="219912928.40000001"/>
    <n v="3.2863999999999997E-2"/>
    <n v="220000000"/>
    <n v="1.204305"/>
    <n v="1.0337692900000001E-2"/>
    <s v="Bond"/>
    <s v="THB"/>
    <d v="2018-10-24T00:00:00"/>
    <x v="19"/>
    <s v="SCBPLUS43397"/>
  </r>
  <r>
    <x v="0"/>
    <x v="8"/>
    <x v="0"/>
    <x v="4"/>
    <m/>
    <x v="39"/>
    <x v="13"/>
    <m/>
    <x v="29"/>
    <n v="174915226.5"/>
    <m/>
    <n v="174906257.75"/>
    <n v="3.8337999999999997E-2"/>
    <n v="175000000"/>
    <n v="1.397308"/>
    <n v="8.2224355999999995E-3"/>
    <s v="Bond"/>
    <s v="THB"/>
    <d v="2018-05-10T00:00:00"/>
    <x v="18"/>
    <s v="SCBPLUS43397"/>
  </r>
  <r>
    <x v="0"/>
    <x v="8"/>
    <x v="0"/>
    <x v="4"/>
    <m/>
    <x v="41"/>
    <x v="13"/>
    <m/>
    <x v="30"/>
    <n v="39971138.799999997"/>
    <m/>
    <n v="39967426"/>
    <n v="5.7493000000000002E-2"/>
    <n v="40000000"/>
    <n v="1.416563"/>
    <n v="1.878968E-3"/>
    <s v="Bond"/>
    <s v="THB"/>
    <d v="2018-05-17T00:00:00"/>
    <x v="18"/>
    <s v="SCBPLUS43397"/>
  </r>
  <r>
    <x v="0"/>
    <x v="8"/>
    <x v="0"/>
    <x v="4"/>
    <m/>
    <x v="43"/>
    <x v="13"/>
    <m/>
    <x v="31"/>
    <n v="279721562.39999998"/>
    <m/>
    <n v="279725334"/>
    <n v="7.6638999999999999E-2"/>
    <n v="280000000"/>
    <n v="1.28"/>
    <n v="1.31491842E-2"/>
    <s v="Bond"/>
    <s v="THB"/>
    <d v="2018-05-24T00:00:00"/>
    <x v="18"/>
    <s v="SCBPLUS43397"/>
  </r>
  <r>
    <x v="0"/>
    <x v="8"/>
    <x v="0"/>
    <x v="4"/>
    <m/>
    <x v="45"/>
    <x v="13"/>
    <m/>
    <x v="32"/>
    <n v="89889525.900000006"/>
    <m/>
    <n v="89875897.200000003"/>
    <n v="9.5772999999999997E-2"/>
    <n v="90000000"/>
    <n v="1.44"/>
    <n v="4.2255375000000003E-3"/>
    <s v="Bond"/>
    <s v="THB"/>
    <d v="2018-05-31T00:00:00"/>
    <x v="18"/>
    <s v="SCBPLUS43397"/>
  </r>
  <r>
    <x v="0"/>
    <x v="8"/>
    <x v="0"/>
    <x v="4"/>
    <m/>
    <x v="48"/>
    <x v="13"/>
    <m/>
    <x v="33"/>
    <n v="180000000"/>
    <m/>
    <n v="180000000"/>
    <n v="2.7399999999999998E-3"/>
    <n v="180000000"/>
    <n v="1.19"/>
    <n v="8.4614613000000005E-3"/>
    <s v="Bond"/>
    <s v="THB"/>
    <d v="2018-07-26T00:00:00"/>
    <x v="17"/>
    <s v="SCBPLUS43397"/>
  </r>
  <r>
    <x v="0"/>
    <x v="8"/>
    <x v="0"/>
    <x v="4"/>
    <m/>
    <x v="49"/>
    <x v="13"/>
    <m/>
    <x v="34"/>
    <n v="49991713.5"/>
    <m/>
    <n v="49991713.5"/>
    <n v="1.3696E-2"/>
    <n v="50000000"/>
    <n v="1.21"/>
    <n v="2.3500164E-3"/>
    <s v="Bond"/>
    <s v="THB"/>
    <d v="2018-10-16T00:00:00"/>
    <x v="20"/>
    <s v="SCBPLUS43397"/>
  </r>
  <r>
    <x v="0"/>
    <x v="8"/>
    <x v="0"/>
    <x v="4"/>
    <m/>
    <x v="118"/>
    <x v="13"/>
    <m/>
    <x v="20"/>
    <n v="24933056.5"/>
    <m/>
    <n v="24934725.75"/>
    <n v="0.191223"/>
    <n v="25000000"/>
    <n v="1.365"/>
    <n v="1.1720560999999999E-3"/>
    <s v="Bond"/>
    <s v="THB"/>
    <d v="2018-07-05T00:00:00"/>
    <x v="18"/>
    <s v="SCBPLUS43397"/>
  </r>
  <r>
    <x v="0"/>
    <x v="8"/>
    <x v="0"/>
    <x v="4"/>
    <m/>
    <x v="119"/>
    <x v="13"/>
    <m/>
    <x v="13"/>
    <n v="129540893.3"/>
    <m/>
    <n v="129531981.8"/>
    <n v="0.22931000000000001"/>
    <n v="130000000"/>
    <n v="1.57"/>
    <n v="6.0894736E-3"/>
    <s v="Bond"/>
    <s v="THB"/>
    <d v="2018-07-19T00:00:00"/>
    <x v="18"/>
    <s v="SCBPLUS43397"/>
  </r>
  <r>
    <x v="0"/>
    <x v="8"/>
    <x v="0"/>
    <x v="4"/>
    <m/>
    <x v="53"/>
    <x v="13"/>
    <m/>
    <x v="36"/>
    <n v="179299592.19999999"/>
    <m/>
    <n v="179299592.19999999"/>
    <n v="0.25205499999999997"/>
    <n v="180000000"/>
    <n v="1.5668329999999999"/>
    <n v="8.4285364000000005E-3"/>
    <s v="Bond"/>
    <s v="THB"/>
    <d v="2018-10-25T00:00:00"/>
    <x v="17"/>
    <s v="SCBPLUS43397"/>
  </r>
  <r>
    <x v="0"/>
    <x v="8"/>
    <x v="0"/>
    <x v="4"/>
    <m/>
    <x v="337"/>
    <x v="13"/>
    <m/>
    <x v="193"/>
    <n v="39792425.200000003"/>
    <m/>
    <n v="39805335.600000001"/>
    <n v="0.32433600000000001"/>
    <n v="40000000"/>
    <n v="1.5"/>
    <n v="1.8705670000000001E-3"/>
    <s v="Bond"/>
    <s v="THB"/>
    <d v="2018-08-23T00:00:00"/>
    <x v="18"/>
    <s v="SCBPLUS43397"/>
  </r>
  <r>
    <x v="0"/>
    <x v="8"/>
    <x v="0"/>
    <x v="4"/>
    <m/>
    <x v="284"/>
    <x v="13"/>
    <m/>
    <x v="155"/>
    <n v="89501840.099999994"/>
    <m/>
    <n v="89547820.200000003"/>
    <n v="0.34329500000000002"/>
    <n v="90000000"/>
    <n v="1.4627779999999999"/>
    <n v="4.2073131000000003E-3"/>
    <s v="Bond"/>
    <s v="THB"/>
    <d v="2018-08-30T00:00:00"/>
    <x v="18"/>
    <s v="SCBPLUS43397"/>
  </r>
  <r>
    <x v="0"/>
    <x v="8"/>
    <x v="0"/>
    <x v="4"/>
    <m/>
    <x v="285"/>
    <x v="13"/>
    <m/>
    <x v="90"/>
    <n v="63616358.399999999"/>
    <m/>
    <n v="63639264.640000001"/>
    <n v="0.36219899999999999"/>
    <n v="64000000"/>
    <n v="1.555625"/>
    <n v="2.9904852999999999E-3"/>
    <s v="Bond"/>
    <s v="THB"/>
    <d v="2018-09-06T00:00:00"/>
    <x v="18"/>
    <s v="SCBPLUS43397"/>
  </r>
  <r>
    <x v="0"/>
    <x v="8"/>
    <x v="0"/>
    <x v="4"/>
    <m/>
    <x v="244"/>
    <x v="13"/>
    <m/>
    <x v="125"/>
    <n v="752067259.30999994"/>
    <m/>
    <n v="752868029.04999995"/>
    <n v="0.38106200000000001"/>
    <n v="757000000"/>
    <n v="1.430879"/>
    <n v="3.5353266600000002E-2"/>
    <s v="Bond"/>
    <s v="THB"/>
    <d v="2018-03-15T00:00:00"/>
    <x v="6"/>
    <s v="SCBPLUS43397"/>
  </r>
  <r>
    <x v="0"/>
    <x v="8"/>
    <x v="0"/>
    <x v="4"/>
    <m/>
    <x v="286"/>
    <x v="13"/>
    <m/>
    <x v="94"/>
    <n v="114236464.40000001"/>
    <m/>
    <n v="114240845.90000001"/>
    <n v="0.40006599999999998"/>
    <n v="115000000"/>
    <n v="1.65"/>
    <n v="5.3700411999999999E-3"/>
    <s v="Bond"/>
    <s v="THB"/>
    <d v="2018-09-20T00:00:00"/>
    <x v="18"/>
    <s v="SCBPLUS43397"/>
  </r>
  <r>
    <x v="0"/>
    <x v="8"/>
    <x v="0"/>
    <x v="4"/>
    <m/>
    <x v="287"/>
    <x v="13"/>
    <m/>
    <x v="49"/>
    <n v="232333564.31999999"/>
    <m/>
    <n v="232458410.34"/>
    <n v="0.41891299999999998"/>
    <n v="234000000"/>
    <n v="1.5717950000000001"/>
    <n v="1.09215636E-2"/>
    <s v="Bond"/>
    <s v="THB"/>
    <d v="2018-09-27T00:00:00"/>
    <x v="18"/>
    <s v="SCBPLUS43397"/>
  </r>
  <r>
    <x v="0"/>
    <x v="8"/>
    <x v="0"/>
    <x v="4"/>
    <m/>
    <x v="288"/>
    <x v="13"/>
    <m/>
    <x v="6"/>
    <n v="49629797"/>
    <m/>
    <n v="49650140"/>
    <n v="0.43783"/>
    <n v="50000000"/>
    <n v="1.5974999999999999"/>
    <n v="2.3330033999999999E-3"/>
    <s v="Bond"/>
    <s v="THB"/>
    <d v="2018-10-04T00:00:00"/>
    <x v="18"/>
    <s v="SCBPLUS43397"/>
  </r>
  <r>
    <x v="0"/>
    <x v="8"/>
    <x v="0"/>
    <x v="4"/>
    <m/>
    <x v="446"/>
    <x v="13"/>
    <m/>
    <x v="7"/>
    <n v="198441032"/>
    <m/>
    <n v="198429094"/>
    <n v="0.45668599999999998"/>
    <n v="200000000"/>
    <n v="1.72"/>
    <n v="9.3283394999999995E-3"/>
    <s v="Bond"/>
    <s v="THB"/>
    <d v="2018-10-11T00:00:00"/>
    <x v="18"/>
    <s v="SCBPLUS43397"/>
  </r>
  <r>
    <x v="0"/>
    <x v="8"/>
    <x v="0"/>
    <x v="4"/>
    <m/>
    <x v="289"/>
    <x v="13"/>
    <m/>
    <x v="156"/>
    <n v="168183434.40000001"/>
    <m/>
    <n v="168364426.59999999"/>
    <n v="0.60714100000000004"/>
    <n v="170000000"/>
    <n v="1.5829409999999999"/>
    <n v="7.9059866999999992E-3"/>
    <s v="Bond"/>
    <s v="THB"/>
    <d v="2018-06-07T00:00:00"/>
    <x v="6"/>
    <s v="SCBPLUS43397"/>
  </r>
  <r>
    <x v="0"/>
    <x v="8"/>
    <x v="0"/>
    <x v="4"/>
    <m/>
    <x v="290"/>
    <x v="13"/>
    <m/>
    <x v="157"/>
    <n v="174292496.49000001"/>
    <m/>
    <n v="174355552.74000001"/>
    <n v="0.84981300000000004"/>
    <n v="177000000"/>
    <n v="1.757444"/>
    <n v="8.1931622999999992E-3"/>
    <s v="Bond"/>
    <s v="THB"/>
    <d v="2018-09-06T00:00:00"/>
    <x v="6"/>
    <s v="SCBPLUS43397"/>
  </r>
  <r>
    <x v="0"/>
    <x v="8"/>
    <x v="0"/>
    <x v="15"/>
    <m/>
    <x v="291"/>
    <x v="13"/>
    <m/>
    <x v="94"/>
    <n v="144886518.65000001"/>
    <n v="202602.7"/>
    <n v="145086712.90000001"/>
    <n v="0.39932499999999999"/>
    <n v="145000000"/>
    <n v="1.365"/>
    <n v="6.8203665999999998E-3"/>
    <s v="Bond"/>
    <s v="THB"/>
    <d v="2016-03-21T00:00:00"/>
    <x v="54"/>
    <s v="SCBPLUS43397"/>
  </r>
  <r>
    <x v="0"/>
    <x v="8"/>
    <x v="0"/>
    <x v="15"/>
    <m/>
    <x v="292"/>
    <x v="13"/>
    <m/>
    <x v="158"/>
    <n v="49884928.5"/>
    <n v="67890.5"/>
    <n v="50143223"/>
    <n v="1.3925320000000001"/>
    <n v="50000000"/>
    <n v="1.5699799999999999"/>
    <n v="2.3481880000000002E-3"/>
    <s v="Bond"/>
    <s v="THB"/>
    <d v="2017-03-27T00:00:00"/>
    <x v="53"/>
    <s v="SCBPLUS43397"/>
  </r>
  <r>
    <x v="0"/>
    <x v="8"/>
    <x v="0"/>
    <x v="15"/>
    <m/>
    <x v="447"/>
    <x v="13"/>
    <m/>
    <x v="258"/>
    <n v="179207616.59999999"/>
    <n v="529545.6"/>
    <n v="179519808.59999999"/>
    <n v="1.7969919999999999"/>
    <n v="180000000"/>
    <n v="1.9634499999999999"/>
    <n v="8.4491058000000004E-3"/>
    <s v="Bond"/>
    <s v="THB"/>
    <d v="2018-08-27T00:00:00"/>
    <x v="58"/>
    <s v="SCBPLUS43397"/>
  </r>
  <r>
    <x v="0"/>
    <x v="8"/>
    <x v="0"/>
    <x v="15"/>
    <m/>
    <x v="247"/>
    <x v="13"/>
    <m/>
    <x v="128"/>
    <n v="277350920"/>
    <n v="361314.8"/>
    <n v="280323682.80000001"/>
    <n v="1.8708610000000001"/>
    <n v="280000000"/>
    <n v="1.5116959999999999"/>
    <n v="1.3054729500000001E-2"/>
    <s v="Bond"/>
    <s v="THB"/>
    <d v="2017-09-25T00:00:00"/>
    <x v="53"/>
    <s v="SCBPLUS43397"/>
  </r>
  <r>
    <x v="0"/>
    <x v="8"/>
    <x v="0"/>
    <x v="15"/>
    <m/>
    <x v="448"/>
    <x v="103"/>
    <s v="AAA"/>
    <x v="259"/>
    <n v="18886607.620000001"/>
    <n v="202550.45"/>
    <n v="19322883.149999999"/>
    <n v="3.3464779999999998"/>
    <n v="19000000"/>
    <n v="1.83"/>
    <n v="8.9734540000000005E-4"/>
    <s v="Bond"/>
    <s v="THB"/>
    <d v="2017-05-11T00:00:00"/>
    <x v="21"/>
    <s v="SCBPLUS43397"/>
  </r>
  <r>
    <x v="0"/>
    <x v="8"/>
    <x v="0"/>
    <x v="15"/>
    <m/>
    <x v="248"/>
    <x v="12"/>
    <s v="BBB+"/>
    <x v="129"/>
    <n v="129228468.48"/>
    <n v="1082037.76"/>
    <n v="130180160"/>
    <n v="1.6168119999999999"/>
    <n v="128000000"/>
    <n v="1.5104610000000001"/>
    <n v="6.1256517E-3"/>
    <s v="Bond"/>
    <s v="THB"/>
    <d v="2015-06-26T00:00:00"/>
    <x v="114"/>
    <s v="SCBPLUS43397"/>
  </r>
  <r>
    <x v="0"/>
    <x v="8"/>
    <x v="0"/>
    <x v="15"/>
    <m/>
    <x v="341"/>
    <x v="12"/>
    <s v="BBB+"/>
    <x v="197"/>
    <n v="70046370.069999993"/>
    <n v="871000"/>
    <n v="71180651.930000007"/>
    <n v="2.936391"/>
    <n v="67000000"/>
    <n v="1.605507"/>
    <n v="3.3336921000000001E-3"/>
    <s v="Bond"/>
    <s v="THB"/>
    <d v="2010-11-19T00:00:00"/>
    <x v="139"/>
    <s v="SCBPLUS43397"/>
  </r>
  <r>
    <x v="0"/>
    <x v="8"/>
    <x v="0"/>
    <x v="15"/>
    <m/>
    <x v="295"/>
    <x v="12"/>
    <s v="BBB+"/>
    <x v="161"/>
    <n v="384623194.80000001"/>
    <n v="2778083.1"/>
    <n v="393180789.30000001"/>
    <n v="3.9233220000000002"/>
    <n v="390000000"/>
    <n v="1.794038"/>
    <n v="1.8211004999999999E-2"/>
    <s v="Bond"/>
    <s v="THB"/>
    <d v="2017-08-04T00:00:00"/>
    <x v="126"/>
    <s v="SCBPLUS43397"/>
  </r>
  <r>
    <x v="0"/>
    <x v="8"/>
    <x v="0"/>
    <x v="15"/>
    <m/>
    <x v="296"/>
    <x v="12"/>
    <s v="BBB+"/>
    <x v="162"/>
    <n v="126755630.41"/>
    <n v="576197.73"/>
    <n v="127350436.18000001"/>
    <n v="4.7901300000000004"/>
    <n v="127000000"/>
    <n v="2.34274"/>
    <n v="5.9856296000000003E-3"/>
    <s v="Bond"/>
    <s v="THB"/>
    <d v="2018-08-17T00:00:00"/>
    <x v="127"/>
    <s v="SCBPLUS43397"/>
  </r>
  <r>
    <x v="0"/>
    <x v="8"/>
    <x v="0"/>
    <x v="5"/>
    <m/>
    <x v="361"/>
    <x v="79"/>
    <s v="A-"/>
    <x v="214"/>
    <n v="29592232.5"/>
    <n v="260958.9"/>
    <n v="30000000"/>
    <n v="3.8816130000000002"/>
    <n v="30000000"/>
    <n v="2.54"/>
    <n v="1.4033423E-3"/>
    <s v="Bond"/>
    <s v="THB"/>
    <d v="2017-12-22T00:00:00"/>
    <x v="21"/>
    <s v="SCBPLUS43397"/>
  </r>
  <r>
    <x v="0"/>
    <x v="8"/>
    <x v="0"/>
    <x v="5"/>
    <m/>
    <x v="362"/>
    <x v="52"/>
    <s v="A"/>
    <x v="215"/>
    <n v="59706882"/>
    <n v="509523"/>
    <n v="59931286.799999997"/>
    <n v="2.5379139999999998"/>
    <n v="60000000"/>
    <n v="2.5627010000000001"/>
    <n v="2.8306599E-3"/>
    <s v="Bond"/>
    <s v="THB"/>
    <d v="2016-06-24T00:00:00"/>
    <x v="21"/>
    <s v="SCBPLUS43397"/>
  </r>
  <r>
    <x v="0"/>
    <x v="8"/>
    <x v="0"/>
    <x v="5"/>
    <m/>
    <x v="212"/>
    <x v="52"/>
    <s v="A"/>
    <x v="103"/>
    <n v="85705608.560000002"/>
    <n v="118619.6"/>
    <n v="88000000"/>
    <n v="4.1632870000000004"/>
    <n v="88000000"/>
    <n v="2.46"/>
    <n v="4.0344355E-3"/>
    <s v="Bond"/>
    <s v="THB"/>
    <d v="2018-04-05T00:00:00"/>
    <x v="21"/>
    <s v="SCBPLUS43397"/>
  </r>
  <r>
    <x v="0"/>
    <x v="8"/>
    <x v="0"/>
    <x v="5"/>
    <m/>
    <x v="215"/>
    <x v="33"/>
    <s v="A"/>
    <x v="106"/>
    <n v="188459812.5"/>
    <n v="1831809"/>
    <n v="189273343.09999999"/>
    <n v="2.4681129999999998"/>
    <n v="190000000"/>
    <n v="2.449398"/>
    <n v="8.9452509999999995E-3"/>
    <s v="Bond"/>
    <s v="THB"/>
    <d v="2016-05-25T00:00:00"/>
    <x v="21"/>
    <s v="SCBPLUS43397"/>
  </r>
  <r>
    <x v="0"/>
    <x v="8"/>
    <x v="0"/>
    <x v="5"/>
    <m/>
    <x v="217"/>
    <x v="33"/>
    <s v="A"/>
    <x v="108"/>
    <n v="13687298.66"/>
    <n v="26097.54"/>
    <n v="14000000"/>
    <n v="4.1377689999999996"/>
    <n v="14000000"/>
    <n v="2.52"/>
    <n v="6.4464090000000002E-4"/>
    <s v="Bond"/>
    <s v="THB"/>
    <d v="2018-03-28T00:00:00"/>
    <x v="21"/>
    <s v="SCBPLUS43397"/>
  </r>
  <r>
    <x v="0"/>
    <x v="8"/>
    <x v="0"/>
    <x v="5"/>
    <m/>
    <x v="449"/>
    <x v="25"/>
    <s v="A"/>
    <x v="260"/>
    <n v="99938709"/>
    <n v="339288"/>
    <n v="100000000"/>
    <n v="1.8028759999999999"/>
    <n v="100000000"/>
    <n v="2.58"/>
    <n v="4.7138798999999997E-3"/>
    <s v="Bond"/>
    <s v="THB"/>
    <d v="2018-09-07T00:00:00"/>
    <x v="58"/>
    <s v="SCBPLUS43397"/>
  </r>
  <r>
    <x v="0"/>
    <x v="8"/>
    <x v="0"/>
    <x v="5"/>
    <m/>
    <x v="220"/>
    <x v="54"/>
    <s v="A-"/>
    <x v="111"/>
    <n v="99516099"/>
    <n v="806466"/>
    <n v="100000000"/>
    <n v="1.5867020000000001"/>
    <n v="100000000"/>
    <n v="2.23"/>
    <n v="4.7159749999999999E-3"/>
    <s v="Bond"/>
    <s v="THB"/>
    <d v="2018-06-15T00:00:00"/>
    <x v="58"/>
    <s v="SCBPLUS43397"/>
  </r>
  <r>
    <x v="0"/>
    <x v="8"/>
    <x v="0"/>
    <x v="5"/>
    <m/>
    <x v="365"/>
    <x v="80"/>
    <s v="A"/>
    <x v="218"/>
    <n v="33602973.840000004"/>
    <n v="307620.78000000003"/>
    <n v="34000000"/>
    <n v="2.516006"/>
    <n v="34000000"/>
    <n v="2.56"/>
    <n v="1.5940732E-3"/>
    <s v="Bond"/>
    <s v="THB"/>
    <d v="2018-06-18T00:00:00"/>
    <x v="53"/>
    <s v="SCBPLUS43397"/>
  </r>
  <r>
    <x v="0"/>
    <x v="8"/>
    <x v="0"/>
    <x v="5"/>
    <m/>
    <x v="450"/>
    <x v="14"/>
    <s v="A+"/>
    <x v="261"/>
    <n v="10105798.800000001"/>
    <n v="29904.1"/>
    <n v="10012522"/>
    <n v="2.2947039999999999"/>
    <n v="10000000"/>
    <n v="2.9"/>
    <n v="4.764603E-4"/>
    <s v="Bond"/>
    <s v="THB"/>
    <d v="2016-03-18T00:00:00"/>
    <x v="21"/>
    <s v="SCBPLUS43397"/>
  </r>
  <r>
    <x v="0"/>
    <x v="8"/>
    <x v="0"/>
    <x v="5"/>
    <m/>
    <x v="305"/>
    <x v="26"/>
    <s v="A+"/>
    <x v="171"/>
    <n v="98781918.650000006"/>
    <n v="1709219.1"/>
    <n v="99003587.849999994"/>
    <n v="4.0839059999999998"/>
    <n v="95000000"/>
    <n v="2.9789469999999998"/>
    <n v="4.7238992999999998E-3"/>
    <s v="Bond"/>
    <s v="THB"/>
    <d v="2015-05-13T00:00:00"/>
    <x v="111"/>
    <s v="SCBPLUS43397"/>
  </r>
  <r>
    <x v="0"/>
    <x v="8"/>
    <x v="0"/>
    <x v="5"/>
    <m/>
    <x v="306"/>
    <x v="26"/>
    <s v="A+"/>
    <x v="172"/>
    <n v="812590270.55999994"/>
    <n v="903858.72"/>
    <n v="810824821.91999996"/>
    <n v="4.9800950000000004"/>
    <n v="816000000"/>
    <n v="3.2382840000000002"/>
    <n v="3.8240828099999999E-2"/>
    <s v="Bond"/>
    <s v="THB"/>
    <d v="2016-04-12T00:00:00"/>
    <x v="111"/>
    <s v="SCBPLUS43397"/>
  </r>
  <r>
    <x v="0"/>
    <x v="8"/>
    <x v="0"/>
    <x v="5"/>
    <m/>
    <x v="223"/>
    <x v="26"/>
    <s v="A+"/>
    <x v="113"/>
    <n v="37420621.600000001"/>
    <n v="295306.74"/>
    <n v="38000000"/>
    <n v="5.5962709999999998"/>
    <n v="38000000"/>
    <n v="3.05"/>
    <n v="1.7729548E-3"/>
    <s v="Bond"/>
    <s v="THB"/>
    <d v="2018-01-24T00:00:00"/>
    <x v="51"/>
    <s v="SCBPLUS43397"/>
  </r>
  <r>
    <x v="0"/>
    <x v="8"/>
    <x v="0"/>
    <x v="5"/>
    <m/>
    <x v="370"/>
    <x v="27"/>
    <s v="A+"/>
    <x v="222"/>
    <n v="510009287.10000002"/>
    <n v="4403885.7"/>
    <n v="510256479"/>
    <n v="4.3290870000000004"/>
    <n v="510000000"/>
    <n v="3.0749059999999999"/>
    <n v="2.4181595199999999E-2"/>
    <s v="Bond"/>
    <s v="THB"/>
    <d v="2016-07-15T00:00:00"/>
    <x v="110"/>
    <s v="SCBPLUS43397"/>
  </r>
  <r>
    <x v="0"/>
    <x v="8"/>
    <x v="0"/>
    <x v="5"/>
    <m/>
    <x v="451"/>
    <x v="104"/>
    <s v="A"/>
    <x v="262"/>
    <n v="470541420"/>
    <n v="35950986.670000002"/>
    <n v="493230000"/>
    <n v="2.4475669999999998"/>
    <n v="15000000"/>
    <n v="3.2"/>
    <n v="2.38092549E-2"/>
    <s v="Bond"/>
    <s v="USDbb"/>
    <d v="2016-07-15T00:00:00"/>
    <x v="164"/>
    <s v="SCBPLUS43397"/>
  </r>
  <r>
    <x v="0"/>
    <x v="8"/>
    <x v="0"/>
    <x v="5"/>
    <m/>
    <x v="452"/>
    <x v="104"/>
    <s v="A"/>
    <x v="262"/>
    <n v="313628516"/>
    <n v="24565594.170000002"/>
    <n v="328820000"/>
    <n v="2.4415909999999998"/>
    <n v="10000000"/>
    <n v="3.3"/>
    <n v="1.5897868700000001E-2"/>
    <s v="Bond"/>
    <s v="USDbb"/>
    <d v="2016-07-20T00:00:00"/>
    <x v="165"/>
    <s v="SCBPLUS43397"/>
  </r>
  <r>
    <x v="0"/>
    <x v="8"/>
    <x v="0"/>
    <x v="5"/>
    <m/>
    <x v="453"/>
    <x v="105"/>
    <s v="A"/>
    <x v="263"/>
    <n v="680213710.01999998"/>
    <n v="48809049.740000002"/>
    <n v="657640000"/>
    <n v="2.450669"/>
    <n v="20000000"/>
    <n v="3.2268910000000002"/>
    <n v="3.4269988000000001E-2"/>
    <s v="Bond"/>
    <s v="USDbb"/>
    <d v="2016-07-07T00:00:00"/>
    <x v="166"/>
    <s v="SCBPLUS43397"/>
  </r>
  <r>
    <x v="0"/>
    <x v="8"/>
    <x v="0"/>
    <x v="5"/>
    <m/>
    <x v="382"/>
    <x v="64"/>
    <s v="A+"/>
    <x v="234"/>
    <n v="150821127"/>
    <n v="208890"/>
    <n v="151625619"/>
    <n v="1.8829990000000001"/>
    <n v="150000000"/>
    <n v="2.42"/>
    <n v="7.0996369000000002E-3"/>
    <s v="Bond"/>
    <s v="THB"/>
    <d v="2015-10-08T00:00:00"/>
    <x v="114"/>
    <s v="SCBPLUS43397"/>
  </r>
  <r>
    <x v="0"/>
    <x v="8"/>
    <x v="0"/>
    <x v="5"/>
    <m/>
    <x v="454"/>
    <x v="29"/>
    <s v="A+"/>
    <x v="264"/>
    <n v="255868470"/>
    <n v="2924657.5"/>
    <n v="256819317.5"/>
    <n v="3.8188610000000001"/>
    <n v="250000000"/>
    <n v="2.8"/>
    <n v="1.21653779E-2"/>
    <s v="Bond"/>
    <s v="THB"/>
    <d v="2015-12-25T00:00:00"/>
    <x v="51"/>
    <s v="SCBPLUS43397"/>
  </r>
  <r>
    <x v="0"/>
    <x v="8"/>
    <x v="0"/>
    <x v="5"/>
    <m/>
    <x v="455"/>
    <x v="29"/>
    <s v="A+"/>
    <x v="265"/>
    <n v="384666859.5"/>
    <n v="9387671.0899999999"/>
    <n v="386366074.5"/>
    <n v="3.6284839999999998"/>
    <n v="350000000"/>
    <n v="2.75"/>
    <n v="1.8523761900000001E-2"/>
    <s v="Bond"/>
    <s v="THB"/>
    <d v="2012-03-30T00:00:00"/>
    <x v="167"/>
    <s v="SCBPLUS43397"/>
  </r>
  <r>
    <x v="0"/>
    <x v="8"/>
    <x v="0"/>
    <x v="5"/>
    <m/>
    <x v="456"/>
    <x v="29"/>
    <s v="A+"/>
    <x v="266"/>
    <n v="106932002"/>
    <n v="529315"/>
    <n v="107388643"/>
    <n v="3.954761"/>
    <n v="100000000"/>
    <n v="2.8"/>
    <n v="5.0515543000000003E-3"/>
    <s v="Bond"/>
    <s v="THB"/>
    <d v="2013-03-13T00:00:00"/>
    <x v="109"/>
    <s v="SCBPLUS43397"/>
  </r>
  <r>
    <x v="0"/>
    <x v="8"/>
    <x v="0"/>
    <x v="5"/>
    <m/>
    <x v="457"/>
    <x v="29"/>
    <s v="A+"/>
    <x v="267"/>
    <n v="237415732.09"/>
    <n v="2024792.88"/>
    <n v="239495308.19999999"/>
    <n v="4.3166679999999999"/>
    <n v="239500000"/>
    <n v="2.78"/>
    <n v="1.12556485E-2"/>
    <s v="Bond"/>
    <s v="THB"/>
    <d v="2018-07-06T00:00:00"/>
    <x v="168"/>
    <s v="SCBPLUS43397"/>
  </r>
  <r>
    <x v="0"/>
    <x v="8"/>
    <x v="0"/>
    <x v="5"/>
    <m/>
    <x v="227"/>
    <x v="59"/>
    <s v="A"/>
    <x v="117"/>
    <n v="17952542.280000001"/>
    <n v="129866.22"/>
    <n v="18000000"/>
    <n v="1.1100220000000001"/>
    <n v="18000000"/>
    <n v="1.98"/>
    <n v="8.5002000000000005E-4"/>
    <s v="Bond"/>
    <s v="THB"/>
    <d v="2017-12-14T00:00:00"/>
    <x v="113"/>
    <s v="SCBPLUS43397"/>
  </r>
  <r>
    <x v="0"/>
    <x v="8"/>
    <x v="0"/>
    <x v="5"/>
    <m/>
    <x v="391"/>
    <x v="85"/>
    <s v="A"/>
    <x v="241"/>
    <n v="173739151.25"/>
    <n v="1670362.75"/>
    <n v="174867122.5"/>
    <n v="2.4787940000000002"/>
    <n v="175000000"/>
    <n v="2.398571"/>
    <n v="8.2456712000000005E-3"/>
    <s v="Bond"/>
    <s v="THB"/>
    <d v="2018-05-31T00:00:00"/>
    <x v="53"/>
    <s v="SCBPLUS43397"/>
  </r>
  <r>
    <x v="0"/>
    <x v="8"/>
    <x v="0"/>
    <x v="5"/>
    <m/>
    <x v="395"/>
    <x v="39"/>
    <s v="A-"/>
    <x v="245"/>
    <n v="75466592.25"/>
    <n v="763294.5"/>
    <n v="75402011.25"/>
    <n v="0.65539000000000003"/>
    <n v="75000000"/>
    <n v="2.25"/>
    <n v="3.5834234999999998E-3"/>
    <s v="Bond"/>
    <s v="THB"/>
    <d v="2015-06-26T00:00:00"/>
    <x v="112"/>
    <s v="SCBPLUS43397"/>
  </r>
  <r>
    <x v="0"/>
    <x v="8"/>
    <x v="0"/>
    <x v="5"/>
    <m/>
    <x v="139"/>
    <x v="39"/>
    <s v="A-"/>
    <x v="80"/>
    <n v="5914474.3200000003"/>
    <n v="17753.400000000001"/>
    <n v="6000000"/>
    <n v="2.2738260000000001"/>
    <n v="6000000"/>
    <n v="2.16"/>
    <n v="2.7886289999999998E-4"/>
    <s v="Bond"/>
    <s v="THB"/>
    <d v="2018-03-05T00:00:00"/>
    <x v="53"/>
    <s v="SCBPLUS43397"/>
  </r>
  <r>
    <x v="0"/>
    <x v="8"/>
    <x v="0"/>
    <x v="5"/>
    <m/>
    <x v="141"/>
    <x v="11"/>
    <s v="A"/>
    <x v="81"/>
    <n v="22713373.309999999"/>
    <n v="52679.43"/>
    <n v="23000000"/>
    <n v="2.3043559999999998"/>
    <n v="23000000"/>
    <n v="2.09"/>
    <n v="1.0701892999999999E-3"/>
    <s v="Bond"/>
    <s v="THB"/>
    <d v="2018-03-15T00:00:00"/>
    <x v="53"/>
    <s v="SCBPLUS43397"/>
  </r>
  <r>
    <x v="0"/>
    <x v="8"/>
    <x v="0"/>
    <x v="5"/>
    <m/>
    <x v="458"/>
    <x v="106"/>
    <s v="A"/>
    <x v="268"/>
    <n v="98101095"/>
    <n v="663699"/>
    <n v="100000000"/>
    <n v="4.3909039999999999"/>
    <n v="100000000"/>
    <n v="2.85"/>
    <n v="4.6427470999999996E-3"/>
    <s v="Bond"/>
    <s v="THB"/>
    <d v="2016-08-01T00:00:00"/>
    <x v="110"/>
    <s v="SCBPLUS43397"/>
  </r>
  <r>
    <x v="0"/>
    <x v="8"/>
    <x v="0"/>
    <x v="5"/>
    <m/>
    <x v="275"/>
    <x v="40"/>
    <s v="AA"/>
    <x v="150"/>
    <n v="500683555"/>
    <n v="1578080"/>
    <n v="500000000"/>
    <n v="3.1859549999999999"/>
    <n v="500000000"/>
    <n v="3.2"/>
    <n v="2.36103743E-2"/>
    <s v="Bond"/>
    <s v="THB"/>
    <d v="2018-09-19T00:00:00"/>
    <x v="122"/>
    <s v="SCBPLUS43397"/>
  </r>
  <r>
    <x v="0"/>
    <x v="8"/>
    <x v="0"/>
    <x v="5"/>
    <m/>
    <x v="316"/>
    <x v="40"/>
    <s v="AA"/>
    <x v="182"/>
    <n v="11707639.800000001"/>
    <n v="29944.080000000002"/>
    <n v="12000000"/>
    <n v="4.0955199999999996"/>
    <n v="12000000"/>
    <n v="2.76"/>
    <n v="5.5176170000000003E-4"/>
    <s v="Bond"/>
    <s v="THB"/>
    <d v="2018-03-22T00:00:00"/>
    <x v="21"/>
    <s v="SCBPLUS43397"/>
  </r>
  <r>
    <x v="0"/>
    <x v="8"/>
    <x v="0"/>
    <x v="5"/>
    <m/>
    <x v="459"/>
    <x v="40"/>
    <s v="AA"/>
    <x v="269"/>
    <n v="60773689.799999997"/>
    <n v="195287.4"/>
    <n v="60000000"/>
    <n v="7.9096149999999996"/>
    <n v="60000000"/>
    <n v="3.6"/>
    <n v="2.8660369000000001E-3"/>
    <s v="Bond"/>
    <s v="THB"/>
    <d v="2018-03-22T00:00:00"/>
    <x v="108"/>
    <s v="SCBPLUS43397"/>
  </r>
  <r>
    <x v="0"/>
    <x v="8"/>
    <x v="0"/>
    <x v="5"/>
    <m/>
    <x v="232"/>
    <x v="60"/>
    <s v="A"/>
    <x v="121"/>
    <n v="1983566.08"/>
    <n v="4942.46"/>
    <n v="2000000"/>
    <n v="2.3000180000000001"/>
    <n v="2000000"/>
    <n v="2.2000000000000002"/>
    <n v="9.3475999999999997E-5"/>
    <s v="Bond"/>
    <s v="THB"/>
    <d v="2018-03-14T00:00:00"/>
    <x v="53"/>
    <s v="SCBPLUS43397"/>
  </r>
  <r>
    <x v="0"/>
    <x v="8"/>
    <x v="0"/>
    <x v="5"/>
    <m/>
    <x v="460"/>
    <x v="107"/>
    <s v="AA-(tha)"/>
    <x v="270"/>
    <n v="48053425.979999997"/>
    <n v="456922.79"/>
    <n v="50252841.140000001"/>
    <n v="3.869605"/>
    <n v="1500000"/>
    <n v="3.14615"/>
    <n v="2.2803801999999999E-3"/>
    <s v="Bond"/>
    <s v="USDbb"/>
    <d v="2013-01-23T00:00:00"/>
    <x v="109"/>
    <s v="SCBPLUS43397"/>
  </r>
  <r>
    <x v="0"/>
    <x v="8"/>
    <x v="0"/>
    <x v="5"/>
    <m/>
    <x v="352"/>
    <x v="77"/>
    <s v="A"/>
    <x v="208"/>
    <n v="96651935.870000005"/>
    <n v="790615.96"/>
    <n v="97000000"/>
    <n v="2.5504060000000002"/>
    <n v="97000000"/>
    <n v="2.5"/>
    <n v="4.5805910000000002E-3"/>
    <s v="Bond"/>
    <s v="THB"/>
    <d v="2018-06-28T00:00:00"/>
    <x v="53"/>
    <s v="SCBPLUS43397"/>
  </r>
  <r>
    <x v="0"/>
    <x v="8"/>
    <x v="0"/>
    <x v="5"/>
    <m/>
    <x v="234"/>
    <x v="42"/>
    <s v="BBB+"/>
    <x v="123"/>
    <n v="42010244.219999999"/>
    <n v="621783.96"/>
    <n v="42000000"/>
    <n v="9.0255000000000002E-2"/>
    <n v="42000000"/>
    <n v="2.2799999999999998"/>
    <n v="2.0040513999999999E-3"/>
    <s v="Bond"/>
    <s v="THB"/>
    <d v="2018-03-02T00:00:00"/>
    <x v="16"/>
    <s v="SCBPLUS43397"/>
  </r>
  <r>
    <x v="0"/>
    <x v="8"/>
    <x v="0"/>
    <x v="5"/>
    <m/>
    <x v="266"/>
    <x v="42"/>
    <s v="BBB+"/>
    <x v="65"/>
    <n v="21998886.359999999"/>
    <n v="241216.36"/>
    <n v="22000000"/>
    <n v="0.261436"/>
    <n v="22000000"/>
    <n v="2.2999999999999998"/>
    <n v="1.0454653999999999E-3"/>
    <s v="Bond"/>
    <s v="THB"/>
    <d v="2018-05-04T00:00:00"/>
    <x v="16"/>
    <s v="SCBPLUS43397"/>
  </r>
  <r>
    <x v="0"/>
    <x v="8"/>
    <x v="0"/>
    <x v="5"/>
    <m/>
    <x v="235"/>
    <x v="42"/>
    <s v="BBB+"/>
    <x v="65"/>
    <n v="155393543.13"/>
    <n v="1468848.57"/>
    <n v="155400000"/>
    <n v="0.261436"/>
    <n v="155400000"/>
    <n v="2.2999999999999998"/>
    <n v="7.3738058E-3"/>
    <s v="Bond"/>
    <s v="THB"/>
    <d v="2018-05-28T00:00:00"/>
    <x v="64"/>
    <s v="SCBPLUS43397"/>
  </r>
  <r>
    <x v="0"/>
    <x v="8"/>
    <x v="0"/>
    <x v="5"/>
    <m/>
    <x v="317"/>
    <x v="42"/>
    <s v="BBB+"/>
    <x v="183"/>
    <n v="240073363.19999999"/>
    <n v="138081.60000000001"/>
    <n v="240000000"/>
    <n v="0.70552599999999999"/>
    <n v="240000000"/>
    <n v="3"/>
    <n v="1.1291888E-2"/>
    <s v="Bond"/>
    <s v="THB"/>
    <d v="2018-10-18T00:00:00"/>
    <x v="16"/>
    <s v="SCBPLUS43397"/>
  </r>
  <r>
    <x v="0"/>
    <x v="8"/>
    <x v="0"/>
    <x v="5"/>
    <m/>
    <x v="353"/>
    <x v="42"/>
    <s v="BBB+"/>
    <x v="209"/>
    <n v="131589573.7"/>
    <n v="2459243.7999999998"/>
    <n v="129975862.90000001"/>
    <n v="3.63218"/>
    <n v="130000000"/>
    <n v="4.1100000000000003"/>
    <n v="6.3013825999999997E-3"/>
    <s v="Bond"/>
    <s v="THB"/>
    <d v="2015-11-10T00:00:00"/>
    <x v="51"/>
    <s v="SCBPLUS43397"/>
  </r>
  <r>
    <x v="0"/>
    <x v="8"/>
    <x v="0"/>
    <x v="5"/>
    <m/>
    <x v="461"/>
    <x v="108"/>
    <s v="AA-"/>
    <x v="271"/>
    <n v="38691898"/>
    <n v="217041.2"/>
    <n v="40056009.200000003"/>
    <n v="4.0019749999999998"/>
    <n v="40000000"/>
    <n v="2.2926250000000001"/>
    <n v="1.829036E-3"/>
    <s v="Bond"/>
    <s v="THB"/>
    <d v="2018-02-01T00:00:00"/>
    <x v="21"/>
    <s v="SCBPLUS43397"/>
  </r>
  <r>
    <x v="0"/>
    <x v="8"/>
    <x v="0"/>
    <x v="5"/>
    <m/>
    <x v="236"/>
    <x v="43"/>
    <s v="BBB+"/>
    <x v="27"/>
    <n v="35014403.200000003"/>
    <n v="463150.8"/>
    <n v="35000000"/>
    <n v="0.15293799999999999"/>
    <n v="35000000"/>
    <n v="2.2999999999999998"/>
    <n v="1.667733E-3"/>
    <s v="Bond"/>
    <s v="THB"/>
    <d v="2018-03-29T00:00:00"/>
    <x v="45"/>
    <s v="SCBPLUS43397"/>
  </r>
  <r>
    <x v="0"/>
    <x v="8"/>
    <x v="0"/>
    <x v="5"/>
    <m/>
    <x v="149"/>
    <x v="43"/>
    <s v="BBB+"/>
    <x v="65"/>
    <n v="66994436.32"/>
    <n v="633287.35"/>
    <n v="67000000"/>
    <n v="0.26142500000000002"/>
    <n v="67000000"/>
    <n v="2.2999999999999998"/>
    <n v="3.1790519999999999E-3"/>
    <s v="Bond"/>
    <s v="THB"/>
    <d v="2018-05-28T00:00:00"/>
    <x v="64"/>
    <s v="SCBPLUS43397"/>
  </r>
  <r>
    <x v="0"/>
    <x v="8"/>
    <x v="0"/>
    <x v="5"/>
    <m/>
    <x v="150"/>
    <x v="43"/>
    <s v="BBB+"/>
    <x v="86"/>
    <n v="137869046.28"/>
    <n v="1175079.3"/>
    <n v="138000000"/>
    <n v="2.6247090000000002"/>
    <n v="138000000"/>
    <n v="3.7"/>
    <n v="6.5362027000000003E-3"/>
    <s v="Bond"/>
    <s v="THB"/>
    <d v="2018-08-02T00:00:00"/>
    <x v="53"/>
    <s v="SCBPLUS43397"/>
  </r>
  <r>
    <x v="0"/>
    <x v="8"/>
    <x v="0"/>
    <x v="5"/>
    <m/>
    <x v="151"/>
    <x v="44"/>
    <s v="A-"/>
    <x v="87"/>
    <n v="30673009.829999998"/>
    <n v="182687.64"/>
    <n v="31000000"/>
    <n v="2.422148"/>
    <n v="31000000"/>
    <n v="2.39"/>
    <n v="1.4504683E-3"/>
    <s v="Bond"/>
    <s v="THB"/>
    <d v="2018-04-27T00:00:00"/>
    <x v="53"/>
    <s v="SCBPLUS43397"/>
  </r>
  <r>
    <x v="0"/>
    <x v="8"/>
    <x v="0"/>
    <x v="5"/>
    <m/>
    <x v="152"/>
    <x v="45"/>
    <s v="A"/>
    <x v="88"/>
    <n v="61549709.5"/>
    <n v="95972.9"/>
    <n v="62024356.079999998"/>
    <n v="2.3531439999999999"/>
    <n v="62000000"/>
    <n v="2.2438709999999999"/>
    <n v="2.8978475E-3"/>
    <s v="Bond"/>
    <s v="THB"/>
    <d v="2018-03-30T00:00:00"/>
    <x v="53"/>
    <s v="SCBPLUS43397"/>
  </r>
  <r>
    <x v="0"/>
    <x v="8"/>
    <x v="0"/>
    <x v="5"/>
    <m/>
    <x v="351"/>
    <x v="76"/>
    <s v="A+"/>
    <x v="207"/>
    <n v="2071109.28"/>
    <n v="27563.84"/>
    <n v="2106878.2599999998"/>
    <n v="3.3473229999999998"/>
    <n v="2000000"/>
    <n v="2.2999999999999998"/>
    <n v="9.8654700000000003E-5"/>
    <s v="Bond"/>
    <s v="THB"/>
    <d v="2015-06-16T00:00:00"/>
    <x v="51"/>
    <s v="SCBPLUS43397"/>
  </r>
  <r>
    <x v="0"/>
    <x v="8"/>
    <x v="0"/>
    <x v="5"/>
    <m/>
    <x v="377"/>
    <x v="58"/>
    <s v="AA-"/>
    <x v="229"/>
    <n v="31596646.719999999"/>
    <n v="281503.68"/>
    <n v="32000000"/>
    <n v="2.5003329999999999"/>
    <n v="32000000"/>
    <n v="2.31"/>
    <n v="1.4985319000000001E-3"/>
    <s v="Bond"/>
    <s v="THB"/>
    <d v="2018-06-08T00:00:00"/>
    <x v="53"/>
    <s v="SCBPLUS43397"/>
  </r>
  <r>
    <x v="0"/>
    <x v="8"/>
    <x v="0"/>
    <x v="5"/>
    <m/>
    <x v="462"/>
    <x v="109"/>
    <m/>
    <x v="272"/>
    <n v="129046390.2"/>
    <n v="1709588.4"/>
    <n v="130000000"/>
    <n v="2.8670230000000001"/>
    <n v="130000000"/>
    <n v="3"/>
    <n v="6.1465924999999999E-3"/>
    <s v="Bond"/>
    <s v="THB"/>
    <d v="2016-11-18T00:00:00"/>
    <x v="21"/>
    <s v="SCBPLUS43397"/>
  </r>
  <r>
    <x v="0"/>
    <x v="8"/>
    <x v="0"/>
    <x v="5"/>
    <m/>
    <x v="343"/>
    <x v="73"/>
    <s v="A-"/>
    <x v="199"/>
    <n v="297246525"/>
    <n v="1850547"/>
    <n v="300000000"/>
    <n v="2.6212599999999999"/>
    <n v="300000000"/>
    <n v="2.37"/>
    <n v="1.4059990499999999E-2"/>
    <s v="Bond"/>
    <s v="THB"/>
    <d v="2016-07-22T00:00:00"/>
    <x v="21"/>
    <s v="SCBPLUS43397"/>
  </r>
  <r>
    <x v="0"/>
    <x v="8"/>
    <x v="0"/>
    <x v="14"/>
    <m/>
    <x v="463"/>
    <x v="110"/>
    <s v="BBB-"/>
    <x v="273"/>
    <n v="367049447.61000001"/>
    <n v="4557445.2"/>
    <n v="368278400"/>
    <n v="0.62836099999999995"/>
    <n v="11200000"/>
    <n v="3.3"/>
    <n v="1.74685407E-2"/>
    <s v="Bond"/>
    <s v="USDbb"/>
    <d v="2018-06-12T00:00:00"/>
    <x v="3"/>
    <s v="SCBPLUS43397"/>
  </r>
  <r>
    <x v="0"/>
    <x v="8"/>
    <x v="0"/>
    <x v="14"/>
    <m/>
    <x v="464"/>
    <x v="47"/>
    <s v="A"/>
    <x v="274"/>
    <n v="634163932.86000001"/>
    <n v="10639800.460000001"/>
    <n v="634622600"/>
    <n v="0.47875699999999999"/>
    <n v="19300000"/>
    <n v="3.16"/>
    <n v="3.0311010100000001E-2"/>
    <s v="Bond"/>
    <s v="USDbb"/>
    <d v="2018-04-17T00:00:00"/>
    <x v="3"/>
    <s v="SCBPLUS43397"/>
  </r>
  <r>
    <x v="0"/>
    <x v="8"/>
    <x v="0"/>
    <x v="14"/>
    <m/>
    <x v="465"/>
    <x v="111"/>
    <s v="A+"/>
    <x v="275"/>
    <n v="95711692.849999994"/>
    <n v="204394.51"/>
    <n v="99124954.939999998"/>
    <n v="2.7804509999999998"/>
    <n v="3000000"/>
    <n v="2.9335770000000001"/>
    <n v="4.5088348E-3"/>
    <s v="Bond"/>
    <s v="USDbb"/>
    <d v="2016-04-01T00:00:00"/>
    <x v="169"/>
    <s v="SCBPLUS43397"/>
  </r>
  <r>
    <x v="0"/>
    <x v="8"/>
    <x v="0"/>
    <x v="22"/>
    <s v="UNIT TRUST"/>
    <x v="466"/>
    <x v="112"/>
    <m/>
    <x v="276"/>
    <n v="484278116.07999998"/>
    <m/>
    <n v="467514130.23000002"/>
    <n v="0"/>
    <n v="1501300.44"/>
    <n v="0"/>
    <n v="2.2765002900000001E-2"/>
    <s v="Bond"/>
    <s v="USDbb"/>
    <d v="2017-12-01T00:00:00"/>
    <x v="170"/>
    <s v="SCBPLUS43397"/>
  </r>
  <r>
    <x v="0"/>
    <x v="8"/>
    <x v="0"/>
    <x v="22"/>
    <s v="UNIT TRUST"/>
    <x v="467"/>
    <x v="112"/>
    <m/>
    <x v="276"/>
    <n v="486410488.64999998"/>
    <m/>
    <n v="471305087.43000001"/>
    <n v="0"/>
    <n v="1172133.1599999999"/>
    <n v="0"/>
    <n v="2.28652417E-2"/>
    <s v="Bond"/>
    <s v="HKDbb"/>
    <d v="2017-06-19T00:00:00"/>
    <x v="171"/>
    <s v="SCBPLUS43397"/>
  </r>
  <r>
    <x v="0"/>
    <x v="8"/>
    <x v="1"/>
    <x v="6"/>
    <m/>
    <x v="468"/>
    <x v="1"/>
    <s v="AAA"/>
    <x v="29"/>
    <n v="-11198736.76"/>
    <m/>
    <n v="0"/>
    <n v="0"/>
    <n v="0"/>
    <n v="0"/>
    <n v="-5.2643150000000001E-4"/>
    <s v="Future"/>
    <s v="THB"/>
    <d v="1900-01-01T00:00:00"/>
    <x v="172"/>
    <s v="SCBPLUS43397"/>
  </r>
  <r>
    <x v="0"/>
    <x v="8"/>
    <x v="1"/>
    <x v="6"/>
    <m/>
    <x v="469"/>
    <x v="1"/>
    <s v="AAA"/>
    <x v="33"/>
    <n v="11032741.27"/>
    <m/>
    <n v="0"/>
    <n v="0"/>
    <n v="0"/>
    <n v="0"/>
    <n v="5.1862839999999996E-4"/>
    <s v="Future"/>
    <s v="THB"/>
    <d v="1900-01-01T00:00:00"/>
    <x v="83"/>
    <s v="SCBPLUS43397"/>
  </r>
  <r>
    <x v="0"/>
    <x v="8"/>
    <x v="1"/>
    <x v="6"/>
    <m/>
    <x v="470"/>
    <x v="8"/>
    <s v="AA+(tha)"/>
    <x v="33"/>
    <n v="-18332277.57"/>
    <m/>
    <n v="0"/>
    <n v="0"/>
    <n v="0"/>
    <n v="0"/>
    <n v="-8.617659E-4"/>
    <s v="Future"/>
    <s v="THB"/>
    <d v="1900-01-01T00:00:00"/>
    <x v="83"/>
    <s v="SCBPLUS43397"/>
  </r>
  <r>
    <x v="0"/>
    <x v="8"/>
    <x v="1"/>
    <x v="6"/>
    <m/>
    <x v="471"/>
    <x v="87"/>
    <s v="A+"/>
    <x v="274"/>
    <n v="-37254466.630000003"/>
    <m/>
    <n v="0"/>
    <n v="0"/>
    <n v="0"/>
    <n v="0"/>
    <n v="-1.7512624000000001E-3"/>
    <s v="Future"/>
    <s v="THB"/>
    <d v="1900-01-01T00:00:00"/>
    <x v="173"/>
    <s v="SCBPLUS43397"/>
  </r>
  <r>
    <x v="0"/>
    <x v="8"/>
    <x v="1"/>
    <x v="6"/>
    <m/>
    <x v="472"/>
    <x v="87"/>
    <s v="A+"/>
    <x v="256"/>
    <n v="-19601782.300000001"/>
    <m/>
    <n v="0"/>
    <n v="0"/>
    <n v="0"/>
    <n v="0"/>
    <n v="-9.2144289999999995E-4"/>
    <s v="Future"/>
    <s v="THB"/>
    <d v="1900-01-01T00:00:00"/>
    <x v="174"/>
    <s v="SCBPLUS43397"/>
  </r>
  <r>
    <x v="0"/>
    <x v="8"/>
    <x v="1"/>
    <x v="6"/>
    <m/>
    <x v="473"/>
    <x v="0"/>
    <s v="AA+(tha)"/>
    <x v="273"/>
    <n v="-13373238.539999999"/>
    <m/>
    <n v="0"/>
    <n v="0"/>
    <n v="0"/>
    <n v="0"/>
    <n v="-6.2865079999999997E-4"/>
    <s v="Future"/>
    <s v="THB"/>
    <d v="1900-01-01T00:00:00"/>
    <x v="175"/>
    <s v="SCBPLUS43397"/>
  </r>
  <r>
    <x v="0"/>
    <x v="8"/>
    <x v="1"/>
    <x v="6"/>
    <m/>
    <x v="474"/>
    <x v="113"/>
    <s v="AA-"/>
    <x v="277"/>
    <n v="-2555409.7799999998"/>
    <m/>
    <n v="0"/>
    <n v="0"/>
    <n v="0"/>
    <n v="0"/>
    <n v="-1.2012500000000001E-4"/>
    <s v="Future"/>
    <s v="THB"/>
    <d v="1900-01-01T00:00:00"/>
    <x v="176"/>
    <s v="SCBPLUS43397"/>
  </r>
  <r>
    <x v="0"/>
    <x v="8"/>
    <x v="1"/>
    <x v="6"/>
    <m/>
    <x v="475"/>
    <x v="8"/>
    <s v="AA+(tha)"/>
    <x v="257"/>
    <n v="-4537418.83"/>
    <m/>
    <n v="0"/>
    <n v="0"/>
    <n v="0"/>
    <n v="0"/>
    <n v="-2.1329549999999999E-4"/>
    <s v="Future"/>
    <s v="THB"/>
    <d v="1900-01-01T00:00:00"/>
    <x v="177"/>
    <s v="SCBPLUS43397"/>
  </r>
  <r>
    <x v="0"/>
    <x v="8"/>
    <x v="1"/>
    <x v="6"/>
    <m/>
    <x v="476"/>
    <x v="1"/>
    <s v="AAA"/>
    <x v="278"/>
    <n v="-11568579.67"/>
    <m/>
    <n v="0"/>
    <n v="0"/>
    <n v="0"/>
    <n v="0"/>
    <n v="-5.438172E-4"/>
    <s v="Future"/>
    <s v="THB"/>
    <d v="1900-01-01T00:00:00"/>
    <x v="178"/>
    <s v="SCBPLUS43397"/>
  </r>
  <r>
    <x v="0"/>
    <x v="8"/>
    <x v="1"/>
    <x v="21"/>
    <m/>
    <x v="477"/>
    <x v="0"/>
    <s v="AA+(tha)"/>
    <x v="275"/>
    <n v="10271950.49"/>
    <m/>
    <n v="0"/>
    <n v="0"/>
    <n v="0"/>
    <n v="0"/>
    <n v="4.828651E-4"/>
    <s v="Swap"/>
    <s v="THB"/>
    <d v="1900-01-01T00:00:00"/>
    <x v="179"/>
    <s v="SCBPLUS43397"/>
  </r>
  <r>
    <x v="0"/>
    <x v="8"/>
    <x v="1"/>
    <x v="21"/>
    <m/>
    <x v="478"/>
    <x v="0"/>
    <s v="AA+(tha)"/>
    <x v="270"/>
    <n v="5291808.5599999996"/>
    <m/>
    <n v="0"/>
    <n v="0"/>
    <n v="0"/>
    <n v="0"/>
    <n v="2.4875800000000002E-4"/>
    <s v="Swap"/>
    <s v="THB"/>
    <d v="1900-01-01T00:00:00"/>
    <x v="180"/>
    <s v="SCBPLUS43397"/>
  </r>
  <r>
    <x v="0"/>
    <x v="8"/>
    <x v="4"/>
    <x v="16"/>
    <s v="Settle Date :25/10/2018"/>
    <x v="39"/>
    <x v="16"/>
    <m/>
    <x v="0"/>
    <n v="249880912.5"/>
    <m/>
    <n v="249880912.5"/>
    <m/>
    <m/>
    <n v="0"/>
    <n v="1.17464314E-2"/>
    <s v="Bond"/>
    <s v="THB"/>
    <d v="2018-05-10T00:00:00"/>
    <x v="181"/>
    <s v="SCBPLUS43397"/>
  </r>
  <r>
    <x v="0"/>
    <x v="8"/>
    <x v="4"/>
    <x v="16"/>
    <s v="Settle Date :25/10/2018"/>
    <x v="431"/>
    <x v="16"/>
    <m/>
    <x v="0"/>
    <n v="34084183.890000001"/>
    <m/>
    <n v="34084183.890000001"/>
    <m/>
    <m/>
    <n v="0"/>
    <n v="1.6022333000000001E-3"/>
    <s v="Stock"/>
    <s v="THB"/>
    <d v="1900-01-01T00:00:00"/>
    <x v="0"/>
    <s v="SCBPLUS43397"/>
  </r>
  <r>
    <x v="0"/>
    <x v="8"/>
    <x v="4"/>
    <x v="16"/>
    <s v="Settle Date :26/10/2018"/>
    <x v="424"/>
    <x v="16"/>
    <m/>
    <x v="0"/>
    <n v="15790615.609999999"/>
    <m/>
    <n v="15790615.609999999"/>
    <m/>
    <m/>
    <n v="0"/>
    <n v="7.4228710000000004E-4"/>
    <s v="Stock"/>
    <s v="THB"/>
    <d v="1900-01-01T00:00:00"/>
    <x v="0"/>
    <s v="SCBPLUS43397"/>
  </r>
  <r>
    <x v="0"/>
    <x v="8"/>
    <x v="4"/>
    <x v="23"/>
    <s v="PAYMENT DATE :02/11/2018"/>
    <x v="435"/>
    <x v="16"/>
    <m/>
    <x v="0"/>
    <n v="1594046.7"/>
    <m/>
    <n v="1594046.7"/>
    <m/>
    <m/>
    <n v="0"/>
    <n v="7.4933100000000003E-5"/>
    <s v="Stock"/>
    <s v="THB"/>
    <d v="1900-01-01T00:00:00"/>
    <x v="0"/>
    <s v="SCBPLUS43397"/>
  </r>
  <r>
    <x v="0"/>
    <x v="8"/>
    <x v="2"/>
    <x v="7"/>
    <s v="Settle Date :25/10/2018"/>
    <x v="53"/>
    <x v="16"/>
    <m/>
    <x v="0"/>
    <n v="-179299592.19999999"/>
    <m/>
    <n v="-179299592.19999999"/>
    <m/>
    <m/>
    <n v="0"/>
    <n v="-8.4285364000000005E-3"/>
    <s v="Bond"/>
    <s v="THB"/>
    <d v="2018-10-25T00:00:00"/>
    <x v="30"/>
    <s v="SCBPLUS43397"/>
  </r>
  <r>
    <x v="0"/>
    <x v="8"/>
    <x v="2"/>
    <x v="7"/>
    <s v="Settle Date :25/10/2018"/>
    <x v="438"/>
    <x v="16"/>
    <m/>
    <x v="0"/>
    <n v="-363053000"/>
    <m/>
    <n v="-363053000"/>
    <m/>
    <m/>
    <n v="0"/>
    <n v="-1.70664383E-2"/>
    <s v="Stock"/>
    <s v="THB"/>
    <d v="1900-01-01T00:00:00"/>
    <x v="0"/>
    <s v="SCBPLUS43397"/>
  </r>
  <r>
    <x v="0"/>
    <x v="8"/>
    <x v="2"/>
    <x v="8"/>
    <s v="AUDITING FEE"/>
    <x v="64"/>
    <x v="16"/>
    <m/>
    <x v="0"/>
    <n v="-78247.259999999995"/>
    <m/>
    <m/>
    <m/>
    <m/>
    <n v="0"/>
    <n v="-3.6783E-6"/>
    <m/>
    <m/>
    <m/>
    <x v="31"/>
    <s v="SCBPLUS43397"/>
  </r>
  <r>
    <x v="0"/>
    <x v="8"/>
    <x v="2"/>
    <x v="9"/>
    <m/>
    <x v="65"/>
    <x v="16"/>
    <m/>
    <x v="0"/>
    <n v="-325225.84000000003"/>
    <n v="0"/>
    <m/>
    <m/>
    <m/>
    <n v="0"/>
    <n v="-1.5288300000000001E-5"/>
    <m/>
    <m/>
    <m/>
    <x v="31"/>
    <s v="SCBPLUS43397"/>
  </r>
  <r>
    <x v="0"/>
    <x v="8"/>
    <x v="2"/>
    <x v="13"/>
    <s v="CUSTODIAN FEE"/>
    <x v="65"/>
    <x v="16"/>
    <m/>
    <x v="0"/>
    <n v="-405342.87"/>
    <m/>
    <n v="-405342.87"/>
    <m/>
    <m/>
    <n v="0"/>
    <n v="-1.9054399999999998E-5"/>
    <m/>
    <m/>
    <m/>
    <x v="31"/>
    <s v="SCBPLUS43397"/>
  </r>
  <r>
    <x v="0"/>
    <x v="8"/>
    <x v="2"/>
    <x v="12"/>
    <s v="MANAGEMENT FEE"/>
    <x v="65"/>
    <x v="16"/>
    <m/>
    <x v="0"/>
    <n v="-7422296.4199999999"/>
    <m/>
    <n v="-7422296.4199999999"/>
    <m/>
    <m/>
    <n v="0"/>
    <n v="-3.489082E-4"/>
    <m/>
    <m/>
    <m/>
    <x v="31"/>
    <s v="SCBPLUS43397"/>
  </r>
  <r>
    <x v="0"/>
    <x v="8"/>
    <x v="3"/>
    <x v="13"/>
    <s v="CUSTODIAN FEE"/>
    <x v="65"/>
    <x v="16"/>
    <m/>
    <x v="0"/>
    <n v="-37418.29"/>
    <m/>
    <m/>
    <m/>
    <m/>
    <n v="0"/>
    <n v="-1.759E-6"/>
    <m/>
    <m/>
    <m/>
    <x v="31"/>
    <s v="SCBPLUS43397"/>
  </r>
  <r>
    <x v="0"/>
    <x v="8"/>
    <x v="3"/>
    <x v="12"/>
    <s v="MANAGEMENT FEE"/>
    <x v="65"/>
    <x v="16"/>
    <m/>
    <x v="0"/>
    <n v="-678910.57"/>
    <m/>
    <m/>
    <m/>
    <m/>
    <n v="0"/>
    <n v="-3.19143E-5"/>
    <m/>
    <m/>
    <m/>
    <x v="31"/>
    <s v="SCBPLUS43397"/>
  </r>
  <r>
    <x v="0"/>
    <x v="9"/>
    <x v="0"/>
    <x v="0"/>
    <m/>
    <x v="5"/>
    <x v="18"/>
    <m/>
    <x v="0"/>
    <n v="6088582.5700000003"/>
    <n v="5313.15"/>
    <n v="6088582.5700000003"/>
    <n v="0"/>
    <n v="0"/>
    <n v="0"/>
    <n v="4.0686352999999998E-3"/>
    <s v="Cash Bal"/>
    <s v="THB"/>
    <d v="1900-01-01T00:00:00"/>
    <x v="0"/>
    <s v="SCBFIXED43397"/>
  </r>
  <r>
    <x v="0"/>
    <x v="9"/>
    <x v="0"/>
    <x v="0"/>
    <m/>
    <x v="1"/>
    <x v="0"/>
    <s v="AA+(tha)"/>
    <x v="0"/>
    <n v="0"/>
    <m/>
    <n v="0"/>
    <n v="0"/>
    <n v="0"/>
    <n v="0"/>
    <n v="0"/>
    <s v="Cash Bal"/>
    <s v="EURbb"/>
    <d v="1900-01-01T00:00:00"/>
    <x v="0"/>
    <s v="SCBFIXED43397"/>
  </r>
  <r>
    <x v="0"/>
    <x v="9"/>
    <x v="0"/>
    <x v="1"/>
    <m/>
    <x v="24"/>
    <x v="5"/>
    <s v="A"/>
    <x v="18"/>
    <n v="75076200"/>
    <n v="3649.54"/>
    <n v="76000000"/>
    <n v="0.40547299999999997"/>
    <n v="2000000"/>
    <n v="0.05"/>
    <n v="5.0127626500000001E-2"/>
    <s v="Bond"/>
    <s v="EURbb"/>
    <d v="2018-09-20T00:00:00"/>
    <x v="10"/>
    <s v="SCBFIXED43397"/>
  </r>
  <r>
    <x v="0"/>
    <x v="9"/>
    <x v="0"/>
    <x v="1"/>
    <m/>
    <x v="479"/>
    <x v="9"/>
    <s v="AAA(tha)"/>
    <x v="19"/>
    <n v="11007009.58"/>
    <n v="22864.14"/>
    <n v="11007009.58"/>
    <n v="0"/>
    <n v="11007009.58"/>
    <n v="0"/>
    <n v="7.3641781999999999E-3"/>
    <s v="Bond"/>
    <s v="THB"/>
    <d v="2018-06-07T00:00:00"/>
    <x v="182"/>
    <s v="SCBFIXED43397"/>
  </r>
  <r>
    <x v="0"/>
    <x v="9"/>
    <x v="0"/>
    <x v="2"/>
    <m/>
    <x v="480"/>
    <x v="73"/>
    <s v="A-"/>
    <x v="154"/>
    <n v="49703055"/>
    <m/>
    <n v="49719283.5"/>
    <n v="0.30502699999999999"/>
    <n v="50000000"/>
    <n v="1.84"/>
    <n v="3.3184618700000001E-2"/>
    <s v="Bond"/>
    <s v="THB"/>
    <d v="2018-08-14T00:00:00"/>
    <x v="41"/>
    <s v="SCBFIXED43397"/>
  </r>
  <r>
    <x v="0"/>
    <x v="9"/>
    <x v="0"/>
    <x v="4"/>
    <m/>
    <x v="280"/>
    <x v="13"/>
    <m/>
    <x v="69"/>
    <n v="54869305.700000003"/>
    <m/>
    <n v="54860223.549999997"/>
    <n v="0.172185"/>
    <n v="55000000"/>
    <n v="1.476143"/>
    <n v="3.6633904799999999E-2"/>
    <s v="Bond"/>
    <s v="THB"/>
    <d v="2018-06-28T00:00:00"/>
    <x v="18"/>
    <s v="SCBFIXED43397"/>
  </r>
  <r>
    <x v="0"/>
    <x v="9"/>
    <x v="0"/>
    <x v="4"/>
    <m/>
    <x v="36"/>
    <x v="13"/>
    <m/>
    <x v="28"/>
    <n v="85980048"/>
    <m/>
    <n v="85980048"/>
    <n v="1.9174E-2"/>
    <n v="86000000"/>
    <n v="1.21"/>
    <n v="5.7405225999999997E-2"/>
    <s v="Bond"/>
    <s v="THB"/>
    <d v="2018-05-03T00:00:00"/>
    <x v="18"/>
    <s v="SCBFIXED43397"/>
  </r>
  <r>
    <x v="0"/>
    <x v="9"/>
    <x v="0"/>
    <x v="4"/>
    <m/>
    <x v="40"/>
    <x v="13"/>
    <m/>
    <x v="29"/>
    <n v="9995514.3000000007"/>
    <m/>
    <n v="9995514.3000000007"/>
    <n v="3.8337999999999997E-2"/>
    <n v="10000000"/>
    <n v="1.17"/>
    <n v="6.6735802999999998E-3"/>
    <s v="Bond"/>
    <s v="THB"/>
    <d v="2018-08-09T00:00:00"/>
    <x v="17"/>
    <s v="SCBFIXED43397"/>
  </r>
  <r>
    <x v="0"/>
    <x v="9"/>
    <x v="0"/>
    <x v="4"/>
    <m/>
    <x v="41"/>
    <x v="13"/>
    <m/>
    <x v="30"/>
    <n v="59957914.200000003"/>
    <m/>
    <n v="59957914.200000003"/>
    <n v="5.7493000000000002E-2"/>
    <n v="60000000"/>
    <n v="1.22"/>
    <n v="4.00313526E-2"/>
    <s v="Bond"/>
    <s v="THB"/>
    <d v="2018-05-17T00:00:00"/>
    <x v="18"/>
    <s v="SCBFIXED43397"/>
  </r>
  <r>
    <x v="0"/>
    <x v="9"/>
    <x v="0"/>
    <x v="4"/>
    <m/>
    <x v="47"/>
    <x v="13"/>
    <m/>
    <x v="33"/>
    <n v="95000000"/>
    <m/>
    <n v="95000000"/>
    <n v="2.7399999999999998E-3"/>
    <n v="95000000"/>
    <n v="1.21"/>
    <n v="6.3427464899999994E-2"/>
    <s v="Bond"/>
    <s v="THB"/>
    <d v="2018-04-26T00:00:00"/>
    <x v="18"/>
    <s v="SCBFIXED43397"/>
  </r>
  <r>
    <x v="0"/>
    <x v="9"/>
    <x v="0"/>
    <x v="4"/>
    <m/>
    <x v="48"/>
    <x v="13"/>
    <m/>
    <x v="33"/>
    <n v="10000000"/>
    <m/>
    <n v="10000000"/>
    <n v="2.7399999999999998E-3"/>
    <n v="10000000"/>
    <n v="1.1599999999999999"/>
    <n v="6.6765751999999998E-3"/>
    <s v="Bond"/>
    <s v="THB"/>
    <d v="2018-07-26T00:00:00"/>
    <x v="17"/>
    <s v="SCBFIXED43397"/>
  </r>
  <r>
    <x v="0"/>
    <x v="9"/>
    <x v="0"/>
    <x v="4"/>
    <m/>
    <x v="281"/>
    <x v="13"/>
    <m/>
    <x v="35"/>
    <n v="89708557.5"/>
    <m/>
    <n v="89714594.700000003"/>
    <n v="0.21026800000000001"/>
    <n v="90000000"/>
    <n v="1.508"/>
    <n v="5.9894593500000003E-2"/>
    <s v="Bond"/>
    <s v="THB"/>
    <d v="2018-07-12T00:00:00"/>
    <x v="18"/>
    <s v="SCBFIXED43397"/>
  </r>
  <r>
    <x v="0"/>
    <x v="9"/>
    <x v="0"/>
    <x v="4"/>
    <m/>
    <x v="119"/>
    <x v="13"/>
    <m/>
    <x v="13"/>
    <n v="49823420.5"/>
    <m/>
    <n v="49826962.5"/>
    <n v="0.22931000000000001"/>
    <n v="50000000"/>
    <n v="1.5089999999999999"/>
    <n v="3.32649816E-2"/>
    <s v="Bond"/>
    <s v="THB"/>
    <d v="2018-07-19T00:00:00"/>
    <x v="18"/>
    <s v="SCBFIXED43397"/>
  </r>
  <r>
    <x v="0"/>
    <x v="9"/>
    <x v="0"/>
    <x v="4"/>
    <m/>
    <x v="53"/>
    <x v="13"/>
    <m/>
    <x v="36"/>
    <n v="29883260.420000002"/>
    <m/>
    <n v="29883260.420000002"/>
    <n v="0.25205499999999997"/>
    <n v="30000000"/>
    <n v="1.5669"/>
    <n v="1.99517837E-2"/>
    <s v="Bond"/>
    <s v="THB"/>
    <d v="2018-10-25T00:00:00"/>
    <x v="17"/>
    <s v="SCBFIXED43397"/>
  </r>
  <r>
    <x v="0"/>
    <x v="9"/>
    <x v="0"/>
    <x v="4"/>
    <m/>
    <x v="282"/>
    <x v="13"/>
    <m/>
    <x v="50"/>
    <n v="99569587"/>
    <m/>
    <n v="99598876"/>
    <n v="0.26733800000000002"/>
    <n v="100000000"/>
    <n v="1.5"/>
    <n v="6.6478384000000001E-2"/>
    <s v="Bond"/>
    <s v="THB"/>
    <d v="2018-08-02T00:00:00"/>
    <x v="18"/>
    <s v="SCBFIXED43397"/>
  </r>
  <r>
    <x v="0"/>
    <x v="9"/>
    <x v="0"/>
    <x v="4"/>
    <m/>
    <x v="337"/>
    <x v="13"/>
    <m/>
    <x v="193"/>
    <n v="99481063"/>
    <m/>
    <n v="99513339"/>
    <n v="0.32433600000000001"/>
    <n v="100000000"/>
    <n v="1.5"/>
    <n v="6.6419280299999994E-2"/>
    <s v="Bond"/>
    <s v="THB"/>
    <d v="2018-08-23T00:00:00"/>
    <x v="18"/>
    <s v="SCBFIXED43397"/>
  </r>
  <r>
    <x v="0"/>
    <x v="9"/>
    <x v="0"/>
    <x v="4"/>
    <m/>
    <x v="284"/>
    <x v="13"/>
    <m/>
    <x v="155"/>
    <n v="59667893.399999999"/>
    <m/>
    <n v="59692965.600000001"/>
    <n v="0.34329500000000002"/>
    <n v="60000000"/>
    <n v="1.49"/>
    <n v="3.9837718000000001E-2"/>
    <s v="Bond"/>
    <s v="THB"/>
    <d v="2018-08-30T00:00:00"/>
    <x v="18"/>
    <s v="SCBFIXED43397"/>
  </r>
  <r>
    <x v="0"/>
    <x v="9"/>
    <x v="0"/>
    <x v="5"/>
    <m/>
    <x v="481"/>
    <x v="24"/>
    <s v="A+"/>
    <x v="279"/>
    <n v="50835868.5"/>
    <n v="1018931.5"/>
    <n v="50877515.5"/>
    <n v="0.56521999999999994"/>
    <n v="50000000"/>
    <n v="1.75"/>
    <n v="3.4621247399999999E-2"/>
    <s v="Bond"/>
    <s v="THB"/>
    <d v="2012-05-24T00:00:00"/>
    <x v="110"/>
    <s v="SCBFIXED43397"/>
  </r>
  <r>
    <x v="0"/>
    <x v="9"/>
    <x v="0"/>
    <x v="5"/>
    <m/>
    <x v="250"/>
    <x v="24"/>
    <s v="A+"/>
    <x v="131"/>
    <n v="10328048.199999999"/>
    <n v="134980.79999999999"/>
    <n v="10363753.300000001"/>
    <n v="1.6137319999999999"/>
    <n v="10000000"/>
    <n v="2.15"/>
    <n v="6.98572E-3"/>
    <s v="Bond"/>
    <s v="THB"/>
    <d v="2014-07-04T00:00:00"/>
    <x v="117"/>
    <s v="SCBFIXED43397"/>
  </r>
  <r>
    <x v="0"/>
    <x v="9"/>
    <x v="0"/>
    <x v="5"/>
    <m/>
    <x v="252"/>
    <x v="52"/>
    <s v="A"/>
    <x v="133"/>
    <n v="40033780"/>
    <n v="299244"/>
    <n v="40103525.600000001"/>
    <n v="0.65210100000000004"/>
    <n v="40000000"/>
    <n v="1.82"/>
    <n v="2.6928647E-2"/>
    <s v="Bond"/>
    <s v="THB"/>
    <d v="2016-06-24T00:00:00"/>
    <x v="54"/>
    <s v="SCBFIXED43397"/>
  </r>
  <r>
    <x v="0"/>
    <x v="9"/>
    <x v="0"/>
    <x v="5"/>
    <m/>
    <x v="122"/>
    <x v="33"/>
    <s v="A"/>
    <x v="71"/>
    <n v="7106179.7800000003"/>
    <n v="110711.23"/>
    <n v="7127867.1100000003"/>
    <n v="1.018888"/>
    <n v="7000000"/>
    <n v="1.75"/>
    <n v="4.8184116000000001E-3"/>
    <s v="Bond"/>
    <s v="THB"/>
    <d v="2014-11-14T00:00:00"/>
    <x v="21"/>
    <s v="SCBFIXED43397"/>
  </r>
  <r>
    <x v="0"/>
    <x v="9"/>
    <x v="0"/>
    <x v="5"/>
    <m/>
    <x v="220"/>
    <x v="54"/>
    <s v="A-"/>
    <x v="111"/>
    <n v="49758049.5"/>
    <n v="403233"/>
    <n v="50000000"/>
    <n v="1.5867020000000001"/>
    <n v="50000000"/>
    <n v="2.23"/>
    <n v="3.34905577E-2"/>
    <s v="Bond"/>
    <s v="THB"/>
    <d v="2018-06-15T00:00:00"/>
    <x v="58"/>
    <s v="SCBFIXED43397"/>
  </r>
  <r>
    <x v="0"/>
    <x v="9"/>
    <x v="0"/>
    <x v="5"/>
    <m/>
    <x v="255"/>
    <x v="14"/>
    <s v="A+"/>
    <x v="48"/>
    <n v="45432477.450000003"/>
    <n v="148438.35"/>
    <n v="45494034.75"/>
    <n v="0.41497699999999998"/>
    <n v="45000000"/>
    <n v="1.7"/>
    <n v="3.0432441399999999E-2"/>
    <s v="Bond"/>
    <s v="THB"/>
    <d v="2014-03-27T00:00:00"/>
    <x v="21"/>
    <s v="SCBFIXED43397"/>
  </r>
  <r>
    <x v="0"/>
    <x v="9"/>
    <x v="0"/>
    <x v="5"/>
    <m/>
    <x v="482"/>
    <x v="14"/>
    <s v="A+"/>
    <x v="280"/>
    <n v="20031735"/>
    <n v="81863"/>
    <n v="20105539.199999999"/>
    <n v="0.82417200000000002"/>
    <n v="20000000"/>
    <n v="1.84"/>
    <n v="1.34289951E-2"/>
    <s v="Bond"/>
    <s v="THB"/>
    <d v="2016-08-26T00:00:00"/>
    <x v="54"/>
    <s v="SCBFIXED43397"/>
  </r>
  <r>
    <x v="0"/>
    <x v="9"/>
    <x v="0"/>
    <x v="5"/>
    <m/>
    <x v="262"/>
    <x v="62"/>
    <s v="AAA"/>
    <x v="141"/>
    <n v="19854814.199999999"/>
    <n v="37293.199999999997"/>
    <n v="19944125.199999999"/>
    <n v="1.3562749999999999"/>
    <n v="20000000"/>
    <n v="1.87"/>
    <n v="1.3281115200000001E-2"/>
    <s v="Bond"/>
    <s v="THB"/>
    <d v="2018-03-14T00:00:00"/>
    <x v="58"/>
    <s v="SCBFIXED43397"/>
  </r>
  <r>
    <x v="0"/>
    <x v="9"/>
    <x v="0"/>
    <x v="5"/>
    <m/>
    <x v="483"/>
    <x v="69"/>
    <m/>
    <x v="281"/>
    <n v="50049639.5"/>
    <n v="415890.5"/>
    <n v="50186133.5"/>
    <n v="1.0955010000000001"/>
    <n v="50000000"/>
    <n v="1.86"/>
    <n v="3.3693690900000003E-2"/>
    <s v="Bond"/>
    <s v="THB"/>
    <d v="2016-12-09T00:00:00"/>
    <x v="54"/>
    <s v="SCBFIXED43397"/>
  </r>
  <r>
    <x v="0"/>
    <x v="9"/>
    <x v="0"/>
    <x v="5"/>
    <m/>
    <x v="484"/>
    <x v="59"/>
    <s v="A"/>
    <x v="57"/>
    <n v="49990769.5"/>
    <n v="258041"/>
    <n v="50077225.5"/>
    <n v="0.74195"/>
    <n v="50000000"/>
    <n v="1.85"/>
    <n v="3.3548996499999997E-2"/>
    <s v="Bond"/>
    <s v="THB"/>
    <d v="2017-07-26T00:00:00"/>
    <x v="113"/>
    <s v="SCBFIXED43397"/>
  </r>
  <r>
    <x v="0"/>
    <x v="9"/>
    <x v="0"/>
    <x v="5"/>
    <m/>
    <x v="269"/>
    <x v="38"/>
    <s v="A"/>
    <x v="94"/>
    <n v="45008786.25"/>
    <n v="96041.25"/>
    <n v="45058163.850000001"/>
    <n v="0.399426"/>
    <n v="45000000"/>
    <n v="1.73"/>
    <n v="3.01145775E-2"/>
    <s v="Bond"/>
    <s v="THB"/>
    <d v="2016-03-17T00:00:00"/>
    <x v="119"/>
    <s v="SCBFIXED43397"/>
  </r>
  <r>
    <x v="0"/>
    <x v="9"/>
    <x v="0"/>
    <x v="5"/>
    <m/>
    <x v="272"/>
    <x v="39"/>
    <s v="A-"/>
    <x v="4"/>
    <n v="44990834.850000001"/>
    <n v="442208.22"/>
    <n v="45052369.200000003"/>
    <n v="0.49367699999999998"/>
    <n v="45000000"/>
    <n v="1.73"/>
    <n v="3.03337131E-2"/>
    <s v="Bond"/>
    <s v="THB"/>
    <d v="2016-04-25T00:00:00"/>
    <x v="54"/>
    <s v="SCBFIXED43397"/>
  </r>
  <r>
    <x v="0"/>
    <x v="9"/>
    <x v="0"/>
    <x v="5"/>
    <m/>
    <x v="275"/>
    <x v="40"/>
    <s v="AA"/>
    <x v="150"/>
    <n v="120164053.2"/>
    <n v="378739.20000000001"/>
    <n v="120000000"/>
    <n v="3.1859549999999999"/>
    <n v="120000000"/>
    <n v="3.2"/>
    <n v="8.0481302399999996E-2"/>
    <s v="Bond"/>
    <s v="THB"/>
    <d v="2018-09-19T00:00:00"/>
    <x v="122"/>
    <s v="SCBFIXED43397"/>
  </r>
  <r>
    <x v="0"/>
    <x v="9"/>
    <x v="0"/>
    <x v="5"/>
    <m/>
    <x v="485"/>
    <x v="70"/>
    <m/>
    <x v="136"/>
    <n v="5578658.4699999997"/>
    <n v="37128.74"/>
    <n v="5594196.3600000003"/>
    <n v="0.81097699999999995"/>
    <n v="5500000"/>
    <n v="1.738"/>
    <n v="3.7494225999999999E-3"/>
    <s v="Bond"/>
    <s v="THB"/>
    <d v="2014-08-22T00:00:00"/>
    <x v="21"/>
    <s v="SCBFIXED43397"/>
  </r>
  <r>
    <x v="0"/>
    <x v="9"/>
    <x v="0"/>
    <x v="5"/>
    <m/>
    <x v="486"/>
    <x v="107"/>
    <s v="AA-(tha)"/>
    <x v="60"/>
    <n v="6351695.4699999997"/>
    <n v="30652.52"/>
    <n v="6358419.7699999996"/>
    <n v="0.37437399999999998"/>
    <n v="6300000"/>
    <n v="1.7"/>
    <n v="4.2612227000000001E-3"/>
    <s v="Bond"/>
    <s v="THB"/>
    <d v="2014-03-12T00:00:00"/>
    <x v="21"/>
    <s v="SCBFIXED43397"/>
  </r>
  <r>
    <x v="0"/>
    <x v="9"/>
    <x v="0"/>
    <x v="5"/>
    <m/>
    <x v="352"/>
    <x v="77"/>
    <s v="A"/>
    <x v="208"/>
    <n v="43842115.240000002"/>
    <n v="358629.92"/>
    <n v="44000000"/>
    <n v="2.5504060000000002"/>
    <n v="44000000"/>
    <n v="2.5"/>
    <n v="2.9510960100000001E-2"/>
    <s v="Bond"/>
    <s v="THB"/>
    <d v="2018-06-28T00:00:00"/>
    <x v="53"/>
    <s v="SCBFIXED43397"/>
  </r>
  <r>
    <x v="0"/>
    <x v="9"/>
    <x v="0"/>
    <x v="5"/>
    <m/>
    <x v="487"/>
    <x v="42"/>
    <s v="BBB+"/>
    <x v="14"/>
    <n v="30001401.300000001"/>
    <n v="13233"/>
    <n v="30000000"/>
    <n v="0.231658"/>
    <n v="30000000"/>
    <n v="2.2999999999999998"/>
    <n v="2.00394965E-2"/>
    <s v="Bond"/>
    <s v="THB"/>
    <d v="2018-10-18T00:00:00"/>
    <x v="8"/>
    <s v="SCBFIXED43397"/>
  </r>
  <r>
    <x v="0"/>
    <x v="9"/>
    <x v="0"/>
    <x v="5"/>
    <m/>
    <x v="235"/>
    <x v="42"/>
    <s v="BBB+"/>
    <x v="65"/>
    <n v="32998628.850000001"/>
    <n v="311917.65000000002"/>
    <n v="33000737.219999999"/>
    <n v="0.261436"/>
    <n v="33000000"/>
    <n v="2.27"/>
    <n v="2.2240037000000001E-2"/>
    <s v="Bond"/>
    <s v="THB"/>
    <d v="2018-05-28T00:00:00"/>
    <x v="64"/>
    <s v="SCBFIXED43397"/>
  </r>
  <r>
    <x v="0"/>
    <x v="9"/>
    <x v="0"/>
    <x v="5"/>
    <m/>
    <x v="150"/>
    <x v="43"/>
    <s v="BBB+"/>
    <x v="86"/>
    <n v="45956348.759999998"/>
    <n v="391693.1"/>
    <n v="46000000"/>
    <n v="2.6247090000000002"/>
    <n v="46000000"/>
    <n v="3.7"/>
    <n v="3.0944618900000002E-2"/>
    <s v="Bond"/>
    <s v="THB"/>
    <d v="2018-08-02T00:00:00"/>
    <x v="53"/>
    <s v="SCBFIXED43397"/>
  </r>
  <r>
    <x v="0"/>
    <x v="9"/>
    <x v="0"/>
    <x v="5"/>
    <m/>
    <x v="152"/>
    <x v="45"/>
    <s v="A"/>
    <x v="88"/>
    <n v="3970949"/>
    <n v="6191.8"/>
    <n v="3984514.2"/>
    <n v="2.3531439999999999"/>
    <n v="4000000"/>
    <n v="2.4249999999999998"/>
    <n v="2.655368E-3"/>
    <s v="Bond"/>
    <s v="THB"/>
    <d v="2018-03-30T00:00:00"/>
    <x v="53"/>
    <s v="SCBFIXED43397"/>
  </r>
  <r>
    <x v="0"/>
    <x v="9"/>
    <x v="1"/>
    <x v="6"/>
    <m/>
    <x v="488"/>
    <x v="18"/>
    <s v="AA+(tha)"/>
    <x v="18"/>
    <n v="1040582.9"/>
    <m/>
    <n v="0"/>
    <n v="0"/>
    <n v="0"/>
    <n v="0"/>
    <n v="6.9475299999999999E-4"/>
    <s v="Future"/>
    <s v="THB"/>
    <d v="1900-01-01T00:00:00"/>
    <x v="26"/>
    <s v="SCBFIXED43397"/>
  </r>
  <r>
    <x v="0"/>
    <x v="9"/>
    <x v="6"/>
    <x v="24"/>
    <s v="D SEC FEE"/>
    <x v="489"/>
    <x v="16"/>
    <m/>
    <x v="0"/>
    <n v="59869.4"/>
    <m/>
    <m/>
    <m/>
    <m/>
    <n v="0"/>
    <n v="3.9972299999999997E-5"/>
    <m/>
    <m/>
    <m/>
    <x v="31"/>
    <s v="SCBFIXED43397"/>
  </r>
  <r>
    <x v="0"/>
    <x v="9"/>
    <x v="2"/>
    <x v="7"/>
    <s v="Settle Date :25/10/2018"/>
    <x v="36"/>
    <x v="16"/>
    <m/>
    <x v="0"/>
    <n v="-85980048"/>
    <m/>
    <n v="-85980048"/>
    <m/>
    <m/>
    <n v="0"/>
    <n v="-5.7405225999999997E-2"/>
    <s v="Bond"/>
    <s v="THB"/>
    <d v="2018-05-03T00:00:00"/>
    <x v="96"/>
    <s v="SCBFIXED43397"/>
  </r>
  <r>
    <x v="0"/>
    <x v="9"/>
    <x v="2"/>
    <x v="7"/>
    <s v="Settle Date :25/10/2018"/>
    <x v="53"/>
    <x v="16"/>
    <m/>
    <x v="0"/>
    <n v="-29883260.420000002"/>
    <m/>
    <n v="-29883260.420000002"/>
    <m/>
    <m/>
    <n v="0"/>
    <n v="-1.99517837E-2"/>
    <s v="Bond"/>
    <s v="THB"/>
    <d v="2018-10-25T00:00:00"/>
    <x v="30"/>
    <s v="SCBFIXED43397"/>
  </r>
  <r>
    <x v="0"/>
    <x v="9"/>
    <x v="2"/>
    <x v="8"/>
    <s v="AUDITING FEE"/>
    <x v="64"/>
    <x v="16"/>
    <m/>
    <x v="0"/>
    <n v="-26428.36"/>
    <m/>
    <m/>
    <m/>
    <m/>
    <n v="0"/>
    <n v="-1.7645100000000002E-5"/>
    <m/>
    <m/>
    <m/>
    <x v="31"/>
    <s v="SCBFIXED43397"/>
  </r>
  <r>
    <x v="0"/>
    <x v="9"/>
    <x v="2"/>
    <x v="9"/>
    <m/>
    <x v="65"/>
    <x v="16"/>
    <m/>
    <x v="0"/>
    <n v="-18913.11"/>
    <n v="0"/>
    <m/>
    <m/>
    <m/>
    <n v="0"/>
    <n v="-1.2627500000000001E-5"/>
    <m/>
    <m/>
    <m/>
    <x v="31"/>
    <s v="SCBFIXED43397"/>
  </r>
  <r>
    <x v="0"/>
    <x v="9"/>
    <x v="2"/>
    <x v="13"/>
    <s v="CUSTODIAN FEE"/>
    <x v="65"/>
    <x v="16"/>
    <m/>
    <x v="0"/>
    <n v="-29202.01"/>
    <m/>
    <n v="-29202.01"/>
    <m/>
    <m/>
    <n v="0"/>
    <n v="-1.94969E-5"/>
    <m/>
    <m/>
    <m/>
    <x v="31"/>
    <s v="SCBFIXED43397"/>
  </r>
  <r>
    <x v="0"/>
    <x v="9"/>
    <x v="2"/>
    <x v="12"/>
    <s v="MANAGEMENT FEE"/>
    <x v="65"/>
    <x v="16"/>
    <m/>
    <x v="0"/>
    <n v="-389360.27"/>
    <m/>
    <n v="-389360.27"/>
    <m/>
    <m/>
    <n v="0"/>
    <n v="-2.5995929999999998E-4"/>
    <m/>
    <m/>
    <m/>
    <x v="31"/>
    <s v="SCBFIXED43397"/>
  </r>
  <r>
    <x v="0"/>
    <x v="9"/>
    <x v="2"/>
    <x v="10"/>
    <s v="REGISTRAR FEE"/>
    <x v="65"/>
    <x v="16"/>
    <m/>
    <x v="0"/>
    <n v="-59377.46"/>
    <m/>
    <n v="-59377.46"/>
    <m/>
    <m/>
    <n v="0"/>
    <n v="-3.9643800000000001E-5"/>
    <m/>
    <m/>
    <m/>
    <x v="31"/>
    <s v="SCBFIXED43397"/>
  </r>
  <r>
    <x v="0"/>
    <x v="9"/>
    <x v="3"/>
    <x v="13"/>
    <s v="CUSTODIAN FEE"/>
    <x v="65"/>
    <x v="16"/>
    <m/>
    <x v="0"/>
    <n v="-2634.52"/>
    <m/>
    <n v="-2634.52"/>
    <m/>
    <m/>
    <n v="0"/>
    <n v="-1.759E-6"/>
    <m/>
    <m/>
    <m/>
    <x v="31"/>
    <s v="SCBFIXED43397"/>
  </r>
  <r>
    <x v="0"/>
    <x v="9"/>
    <x v="3"/>
    <x v="12"/>
    <s v="MANAGEMENT FEE"/>
    <x v="65"/>
    <x v="16"/>
    <m/>
    <x v="0"/>
    <n v="-35126.89"/>
    <m/>
    <n v="-35126.89"/>
    <m/>
    <m/>
    <n v="0"/>
    <n v="-2.34527E-5"/>
    <m/>
    <m/>
    <m/>
    <x v="31"/>
    <s v="SCBFIXED43397"/>
  </r>
  <r>
    <x v="0"/>
    <x v="9"/>
    <x v="3"/>
    <x v="10"/>
    <s v="REGISTRAR FEE"/>
    <x v="65"/>
    <x v="16"/>
    <m/>
    <x v="0"/>
    <n v="-5356.85"/>
    <m/>
    <n v="-5356.85"/>
    <m/>
    <m/>
    <n v="0"/>
    <n v="-3.5765E-6"/>
    <m/>
    <m/>
    <m/>
    <x v="31"/>
    <s v="SCBFIXED4339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13069E5-E0C8-46EE-9CC5-ED62B6123F2A}" name="PortAtt" cacheId="18" applyNumberFormats="0" applyBorderFormats="0" applyFontFormats="0" applyPatternFormats="0" applyAlignmentFormats="0" applyWidthHeightFormats="1" dataCaption="Values" updatedVersion="6" minRefreshableVersion="3" useAutoFormatting="1" pageWrap="1" pageOverThenDown="1" rowGrandTotals="0" colGrandTotals="0" itemPrintTitles="1" mergeItem="1" createdVersion="6" indent="127" compact="0" compactData="0" multipleFieldFilters="0">
  <location ref="A4:W110" firstHeaderRow="1" firstDataRow="3" firstDataCol="3" rowPageCount="2" colPageCount="1"/>
  <pivotFields count="22">
    <pivotField compact="0" numFmtId="14" outline="0" showAll="0" defaultSubtotal="0">
      <extLst>
        <ext xmlns:x14="http://schemas.microsoft.com/office/spreadsheetml/2009/9/main" uri="{2946ED86-A175-432a-8AC1-64E0C546D7DE}">
          <x14:pivotField fillDownLabels="1"/>
        </ext>
      </extLst>
    </pivotField>
    <pivotField axis="axisCol" compact="0" outline="0" showAll="0" defaultSubtotal="0">
      <items count="10">
        <item x="9"/>
        <item x="7"/>
        <item x="8"/>
        <item x="4"/>
        <item x="5"/>
        <item x="6"/>
        <item x="0"/>
        <item x="1"/>
        <item x="2"/>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showAll="0" defaultSubtotal="0">
      <items count="26">
        <item x="11"/>
        <item x="17"/>
        <item x="8"/>
        <item x="2"/>
        <item x="15"/>
        <item x="4"/>
        <item x="7"/>
        <item x="14"/>
        <item x="0"/>
        <item x="13"/>
        <item x="24"/>
        <item x="5"/>
        <item x="6"/>
        <item x="12"/>
        <item x="20"/>
        <item x="10"/>
        <item x="16"/>
        <item x="21"/>
        <item x="9"/>
        <item x="18"/>
        <item x="1"/>
        <item x="3"/>
        <item x="22"/>
        <item m="1" x="25"/>
        <item x="23"/>
        <item x="19"/>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14">
        <item x="419"/>
        <item x="418"/>
        <item x="412"/>
        <item x="416"/>
        <item x="417"/>
        <item x="413"/>
        <item x="411"/>
        <item x="415"/>
        <item x="318"/>
        <item x="414"/>
        <item x="477"/>
        <item x="478"/>
        <item x="66"/>
        <item x="348"/>
        <item x="349"/>
        <item x="350"/>
        <item x="67"/>
        <item x="208"/>
        <item x="64"/>
        <item x="249"/>
        <item x="355"/>
        <item x="106"/>
        <item x="481"/>
        <item x="250"/>
        <item x="209"/>
        <item x="210"/>
        <item x="211"/>
        <item x="206"/>
        <item x="251"/>
        <item x="202"/>
        <item x="356"/>
        <item x="357"/>
        <item x="358"/>
        <item x="359"/>
        <item x="360"/>
        <item x="361"/>
        <item x="466"/>
        <item x="467"/>
        <item x="252"/>
        <item x="299"/>
        <item x="362"/>
        <item x="300"/>
        <item x="212"/>
        <item x="120"/>
        <item x="253"/>
        <item x="254"/>
        <item x="301"/>
        <item x="121"/>
        <item x="213"/>
        <item x="363"/>
        <item x="214"/>
        <item x="302"/>
        <item x="425"/>
        <item x="245"/>
        <item x="291"/>
        <item x="246"/>
        <item x="338"/>
        <item x="292"/>
        <item x="447"/>
        <item x="247"/>
        <item x="122"/>
        <item x="364"/>
        <item x="215"/>
        <item x="216"/>
        <item x="217"/>
        <item x="218"/>
        <item x="107"/>
        <item x="449"/>
        <item x="219"/>
        <item x="426"/>
        <item x="424"/>
        <item x="207"/>
        <item x="5"/>
        <item x="200"/>
        <item x="33"/>
        <item x="116"/>
        <item x="34"/>
        <item x="243"/>
        <item x="35"/>
        <item x="280"/>
        <item x="117"/>
        <item x="36"/>
        <item x="37"/>
        <item x="39"/>
        <item x="40"/>
        <item x="41"/>
        <item x="42"/>
        <item x="43"/>
        <item x="44"/>
        <item x="45"/>
        <item x="46"/>
        <item m="1" x="503"/>
        <item m="1" x="510"/>
        <item m="1" x="504"/>
        <item m="1" x="505"/>
        <item m="1" x="511"/>
        <item m="1" x="490"/>
        <item x="47"/>
        <item x="48"/>
        <item x="118"/>
        <item x="50"/>
        <item x="281"/>
        <item x="51"/>
        <item x="119"/>
        <item x="282"/>
        <item x="283"/>
        <item x="337"/>
        <item x="284"/>
        <item x="285"/>
        <item x="244"/>
        <item x="286"/>
        <item x="287"/>
        <item x="288"/>
        <item x="446"/>
        <item x="289"/>
        <item x="290"/>
        <item x="220"/>
        <item x="70"/>
        <item x="71"/>
        <item x="278"/>
        <item x="6"/>
        <item x="72"/>
        <item x="323"/>
        <item x="73"/>
        <item x="74"/>
        <item x="324"/>
        <item x="75"/>
        <item m="1" x="498"/>
        <item x="7"/>
        <item x="221"/>
        <item x="303"/>
        <item x="365"/>
        <item x="0"/>
        <item x="54"/>
        <item x="123"/>
        <item x="255"/>
        <item x="256"/>
        <item x="482"/>
        <item x="257"/>
        <item x="366"/>
        <item x="450"/>
        <item x="304"/>
        <item x="108"/>
        <item x="109"/>
        <item x="367"/>
        <item x="258"/>
        <item x="259"/>
        <item x="368"/>
        <item x="222"/>
        <item x="369"/>
        <item x="305"/>
        <item x="306"/>
        <item x="223"/>
        <item x="110"/>
        <item x="111"/>
        <item x="260"/>
        <item x="307"/>
        <item x="308"/>
        <item x="370"/>
        <item x="112"/>
        <item x="371"/>
        <item x="372"/>
        <item x="427"/>
        <item x="451"/>
        <item x="452"/>
        <item x="453"/>
        <item x="489"/>
        <item x="428"/>
        <item x="124"/>
        <item x="125"/>
        <item x="373"/>
        <item x="480"/>
        <item x="343"/>
        <item x="351"/>
        <item x="429"/>
        <item x="399"/>
        <item x="463"/>
        <item x="154"/>
        <item x="155"/>
        <item x="156"/>
        <item x="157"/>
        <item x="464"/>
        <item x="158"/>
        <item x="465"/>
        <item x="1"/>
        <item x="342"/>
        <item x="325"/>
        <item x="8"/>
        <item x="76"/>
        <item x="77"/>
        <item x="78"/>
        <item x="326"/>
        <item x="9"/>
        <item x="79"/>
        <item x="80"/>
        <item x="81"/>
        <item x="82"/>
        <item x="83"/>
        <item x="84"/>
        <item x="327"/>
        <item x="10"/>
        <item m="1" x="513"/>
        <item x="85"/>
        <item x="328"/>
        <item x="86"/>
        <item x="11"/>
        <item x="87"/>
        <item x="88"/>
        <item x="12"/>
        <item x="89"/>
        <item x="329"/>
        <item x="13"/>
        <item x="90"/>
        <item x="91"/>
        <item x="92"/>
        <item x="14"/>
        <item x="15"/>
        <item x="197"/>
        <item x="330"/>
        <item x="195"/>
        <item x="16"/>
        <item x="331"/>
        <item x="17"/>
        <item x="18"/>
        <item x="19"/>
        <item x="20"/>
        <item x="332"/>
        <item x="21"/>
        <item x="333"/>
        <item x="93"/>
        <item x="239"/>
        <item x="442"/>
        <item x="94"/>
        <item x="443"/>
        <item x="334"/>
        <item x="95"/>
        <item m="1" x="491"/>
        <item m="1" x="494"/>
        <item x="97"/>
        <item m="1" x="512"/>
        <item x="98"/>
        <item x="99"/>
        <item x="23"/>
        <item x="24"/>
        <item x="100"/>
        <item x="101"/>
        <item x="159"/>
        <item x="55"/>
        <item x="56"/>
        <item x="400"/>
        <item x="160"/>
        <item x="161"/>
        <item x="57"/>
        <item x="401"/>
        <item x="164"/>
        <item x="165"/>
        <item x="403"/>
        <item x="166"/>
        <item x="167"/>
        <item x="488"/>
        <item x="59"/>
        <item x="168"/>
        <item x="169"/>
        <item x="404"/>
        <item x="170"/>
        <item x="171"/>
        <item x="60"/>
        <item x="405"/>
        <item x="172"/>
        <item x="61"/>
        <item x="173"/>
        <item x="174"/>
        <item x="468"/>
        <item m="1" x="493"/>
        <item x="175"/>
        <item x="406"/>
        <item x="176"/>
        <item x="407"/>
        <item x="62"/>
        <item x="177"/>
        <item x="178"/>
        <item x="179"/>
        <item x="180"/>
        <item m="1" x="492"/>
        <item m="1" x="508"/>
        <item m="1" x="506"/>
        <item m="1" x="502"/>
        <item m="1" x="501"/>
        <item m="1" x="509"/>
        <item x="181"/>
        <item x="470"/>
        <item x="182"/>
        <item x="183"/>
        <item x="408"/>
        <item x="184"/>
        <item x="185"/>
        <item x="186"/>
        <item x="187"/>
        <item x="471"/>
        <item x="63"/>
        <item x="188"/>
        <item x="189"/>
        <item x="190"/>
        <item x="472"/>
        <item x="473"/>
        <item x="474"/>
        <item x="191"/>
        <item x="192"/>
        <item x="475"/>
        <item x="409"/>
        <item x="193"/>
        <item x="410"/>
        <item x="194"/>
        <item x="68"/>
        <item x="344"/>
        <item x="201"/>
        <item x="374"/>
        <item x="126"/>
        <item x="224"/>
        <item x="448"/>
        <item x="430"/>
        <item x="2"/>
        <item x="375"/>
        <item x="376"/>
        <item x="431"/>
        <item x="127"/>
        <item x="293"/>
        <item x="432"/>
        <item x="203"/>
        <item x="25"/>
        <item x="444"/>
        <item x="204"/>
        <item x="240"/>
        <item x="26"/>
        <item x="102"/>
        <item x="198"/>
        <item x="103"/>
        <item x="104"/>
        <item x="479"/>
        <item x="336"/>
        <item x="445"/>
        <item x="205"/>
        <item x="241"/>
        <item x="279"/>
        <item x="27"/>
        <item x="105"/>
        <item x="196"/>
        <item x="199"/>
        <item x="225"/>
        <item x="226"/>
        <item x="377"/>
        <item x="433"/>
        <item x="69"/>
        <item x="261"/>
        <item x="262"/>
        <item x="128"/>
        <item x="129"/>
        <item x="130"/>
        <item x="131"/>
        <item x="132"/>
        <item x="133"/>
        <item x="134"/>
        <item x="135"/>
        <item x="462"/>
        <item x="263"/>
        <item x="378"/>
        <item x="339"/>
        <item x="340"/>
        <item x="248"/>
        <item x="341"/>
        <item x="294"/>
        <item x="295"/>
        <item x="296"/>
        <item x="309"/>
        <item x="264"/>
        <item x="379"/>
        <item x="380"/>
        <item x="381"/>
        <item x="382"/>
        <item x="383"/>
        <item x="136"/>
        <item x="137"/>
        <item x="434"/>
        <item x="265"/>
        <item x="384"/>
        <item x="29"/>
        <item x="276"/>
        <item x="483"/>
        <item x="267"/>
        <item x="310"/>
        <item x="311"/>
        <item x="113"/>
        <item m="1" x="500"/>
        <item x="385"/>
        <item x="386"/>
        <item x="387"/>
        <item x="388"/>
        <item x="389"/>
        <item x="454"/>
        <item x="455"/>
        <item x="456"/>
        <item x="457"/>
        <item x="268"/>
        <item x="484"/>
        <item x="227"/>
        <item m="1" x="496"/>
        <item x="138"/>
        <item x="269"/>
        <item x="270"/>
        <item x="312"/>
        <item x="238"/>
        <item x="390"/>
        <item x="391"/>
        <item x="392"/>
        <item x="271"/>
        <item x="393"/>
        <item x="394"/>
        <item x="272"/>
        <item x="395"/>
        <item x="273"/>
        <item x="313"/>
        <item x="228"/>
        <item x="139"/>
        <item x="435"/>
        <item x="28"/>
        <item x="3"/>
        <item m="1" x="497"/>
        <item x="140"/>
        <item x="396"/>
        <item x="274"/>
        <item x="397"/>
        <item x="314"/>
        <item x="436"/>
        <item m="1" x="507"/>
        <item x="347"/>
        <item x="115"/>
        <item x="30"/>
        <item x="398"/>
        <item x="315"/>
        <item x="229"/>
        <item x="141"/>
        <item x="437"/>
        <item x="458"/>
        <item x="298"/>
        <item x="31"/>
        <item x="32"/>
        <item x="142"/>
        <item x="143"/>
        <item x="275"/>
        <item x="316"/>
        <item x="459"/>
        <item x="144"/>
        <item x="230"/>
        <item x="231"/>
        <item x="232"/>
        <item x="145"/>
        <item x="233"/>
        <item x="146"/>
        <item x="147"/>
        <item x="439"/>
        <item x="485"/>
        <item x="277"/>
        <item x="345"/>
        <item x="346"/>
        <item x="486"/>
        <item x="460"/>
        <item x="440"/>
        <item x="352"/>
        <item x="234"/>
        <item m="1" x="495"/>
        <item x="266"/>
        <item x="235"/>
        <item x="148"/>
        <item x="353"/>
        <item x="461"/>
        <item x="236"/>
        <item x="149"/>
        <item x="242"/>
        <item x="150"/>
        <item m="1" x="499"/>
        <item x="237"/>
        <item x="354"/>
        <item x="4"/>
        <item x="151"/>
        <item x="441"/>
        <item x="152"/>
        <item x="153"/>
        <item x="65"/>
        <item x="49"/>
        <item x="52"/>
        <item x="96"/>
        <item x="162"/>
        <item x="319"/>
        <item x="320"/>
        <item x="321"/>
        <item x="322"/>
        <item x="335"/>
        <item x="402"/>
        <item x="420"/>
        <item x="421"/>
        <item x="422"/>
        <item x="423"/>
        <item x="22"/>
        <item x="38"/>
        <item x="53"/>
        <item x="58"/>
        <item x="163"/>
        <item x="317"/>
        <item x="438"/>
        <item x="469"/>
        <item x="476"/>
        <item x="487"/>
        <item x="114"/>
        <item x="297"/>
      </items>
      <extLst>
        <ext xmlns:x14="http://schemas.microsoft.com/office/spreadsheetml/2009/9/main" uri="{2946ED86-A175-432a-8AC1-64E0C546D7DE}">
          <x14:pivotField fillDownLabels="1"/>
        </ext>
      </extLst>
    </pivotField>
    <pivotField axis="axisPage" compact="0" outline="0" multipleItemSelectionAllowed="1" showAll="0" defaultSubtotal="0">
      <items count="116">
        <item h="1" x="3"/>
        <item h="1" x="75"/>
        <item h="1" x="4"/>
        <item h="1" x="51"/>
        <item h="1" x="113"/>
        <item h="1" x="61"/>
        <item h="1" x="78"/>
        <item h="1" x="24"/>
        <item h="1" x="49"/>
        <item h="1" x="1"/>
        <item h="1" x="88"/>
        <item h="1" x="79"/>
        <item h="1" x="112"/>
        <item h="1" x="52"/>
        <item h="1" x="31"/>
        <item h="1" x="89"/>
        <item h="1" x="32"/>
        <item h="1" x="21"/>
        <item h="1" x="5"/>
        <item x="13"/>
        <item h="1" x="33"/>
        <item h="1" x="25"/>
        <item h="1" x="53"/>
        <item h="1" x="50"/>
        <item h="1" x="17"/>
        <item h="1" x="54"/>
        <item h="1" x="48"/>
        <item h="1" x="55"/>
        <item h="1" x="80"/>
        <item h="1" x="19"/>
        <item h="1" x="14"/>
        <item h="1" x="26"/>
        <item h="1" x="27"/>
        <item h="1" x="28"/>
        <item h="1" x="90"/>
        <item h="1" x="34"/>
        <item h="1" x="81"/>
        <item h="1" x="73"/>
        <item h="1" x="76"/>
        <item h="1" x="72"/>
        <item h="1" x="74"/>
        <item h="1" x="6"/>
        <item h="1" x="82"/>
        <item h="1" x="35"/>
        <item x="12"/>
        <item h="1" x="56"/>
        <item h="1" x="103"/>
        <item h="1" x="94"/>
        <item h="1" x="83"/>
        <item h="1" x="20"/>
        <item h="1" x="22"/>
        <item h="1" x="36"/>
        <item h="1" x="110"/>
        <item h="1" x="57"/>
        <item h="1" x="58"/>
        <item h="1" x="18"/>
        <item h="1" x="62"/>
        <item h="1" x="15"/>
        <item h="1" x="109"/>
        <item h="1" x="63"/>
        <item h="1" x="92"/>
        <item h="1" x="8"/>
        <item h="1" x="64"/>
        <item h="1" x="37"/>
        <item h="1" x="96"/>
        <item h="1" x="65"/>
        <item h="1" x="47"/>
        <item h="1" x="84"/>
        <item h="1" x="10"/>
        <item h="1" x="69"/>
        <item h="1" x="66"/>
        <item h="1" x="29"/>
        <item h="1" x="59"/>
        <item h="1" x="98"/>
        <item h="1" m="1" x="114"/>
        <item h="1" x="38"/>
        <item h="1" x="85"/>
        <item h="1" x="67"/>
        <item h="1" x="39"/>
        <item h="1" x="95"/>
        <item h="1" x="104"/>
        <item h="1" x="0"/>
        <item h="1" x="91"/>
        <item h="1" x="86"/>
        <item h="1" x="68"/>
        <item h="1" x="102"/>
        <item h="1" x="30"/>
        <item h="1" x="105"/>
        <item h="1" x="11"/>
        <item h="1" x="106"/>
        <item h="1" x="71"/>
        <item h="1" x="97"/>
        <item h="1" x="2"/>
        <item h="1" x="40"/>
        <item h="1" x="41"/>
        <item h="1" x="60"/>
        <item h="1" x="100"/>
        <item h="1" x="7"/>
        <item h="1" x="70"/>
        <item h="1" x="87"/>
        <item h="1" x="111"/>
        <item h="1" x="107"/>
        <item h="1" x="77"/>
        <item h="1" x="42"/>
        <item h="1" x="108"/>
        <item h="1" x="43"/>
        <item h="1" x="23"/>
        <item h="1" x="9"/>
        <item h="1" x="93"/>
        <item h="1" x="44"/>
        <item h="1" x="101"/>
        <item h="1" x="45"/>
        <item h="1" x="46"/>
        <item h="1" m="1" x="115"/>
        <item h="1" x="16"/>
        <item h="1" x="99"/>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insertBlankRow="1" defaultSubtotal="0">
      <items count="289">
        <item m="1" x="286"/>
        <item m="1" x="282"/>
        <item m="1" x="287"/>
        <item m="1" x="283"/>
        <item m="1" x="288"/>
        <item m="1" x="284"/>
        <item m="1" x="285"/>
        <item x="33"/>
        <item x="132"/>
        <item x="37"/>
        <item x="28"/>
        <item x="17"/>
        <item x="5"/>
        <item x="29"/>
        <item x="67"/>
        <item x="23"/>
        <item x="30"/>
        <item x="62"/>
        <item x="63"/>
        <item x="31"/>
        <item x="76"/>
        <item x="61"/>
        <item x="123"/>
        <item x="32"/>
        <item x="72"/>
        <item x="151"/>
        <item x="68"/>
        <item x="25"/>
        <item x="41"/>
        <item x="249"/>
        <item x="26"/>
        <item x="11"/>
        <item x="21"/>
        <item x="27"/>
        <item x="96"/>
        <item x="69"/>
        <item x="20"/>
        <item x="53"/>
        <item x="54"/>
        <item x="35"/>
        <item x="195"/>
        <item x="12"/>
        <item x="13"/>
        <item x="14"/>
        <item x="15"/>
        <item x="191"/>
        <item x="65"/>
        <item x="50"/>
        <item x="38"/>
        <item x="64"/>
        <item x="42"/>
        <item x="43"/>
        <item x="154"/>
        <item x="22"/>
        <item x="126"/>
        <item x="193"/>
        <item x="85"/>
        <item x="155"/>
        <item x="97"/>
        <item x="40"/>
        <item x="90"/>
        <item x="196"/>
        <item x="60"/>
        <item x="125"/>
        <item x="124"/>
        <item x="18"/>
        <item x="94"/>
        <item x="44"/>
        <item x="134"/>
        <item x="187"/>
        <item x="66"/>
        <item x="48"/>
        <item x="49"/>
        <item x="24"/>
        <item x="6"/>
        <item x="92"/>
        <item x="7"/>
        <item x="189"/>
        <item x="274"/>
        <item x="190"/>
        <item x="4"/>
        <item x="47"/>
        <item x="143"/>
        <item x="175"/>
        <item x="52"/>
        <item x="91"/>
        <item x="122"/>
        <item x="3"/>
        <item x="93"/>
        <item x="1"/>
        <item x="147"/>
        <item x="39"/>
        <item x="242"/>
        <item x="45"/>
        <item x="279"/>
        <item x="145"/>
        <item x="256"/>
        <item x="51"/>
        <item x="156"/>
        <item x="2"/>
        <item x="273"/>
        <item x="251"/>
        <item x="277"/>
        <item x="133"/>
        <item x="46"/>
        <item x="245"/>
        <item x="55"/>
        <item x="257"/>
        <item x="153"/>
        <item x="57"/>
        <item x="210"/>
        <item x="56"/>
        <item x="8"/>
        <item x="219"/>
        <item x="227"/>
        <item x="9"/>
        <item x="148"/>
        <item x="10"/>
        <item x="200"/>
        <item x="136"/>
        <item x="280"/>
        <item x="157"/>
        <item x="135"/>
        <item x="127"/>
        <item x="188"/>
        <item x="140"/>
        <item x="236"/>
        <item x="78"/>
        <item x="58"/>
        <item x="59"/>
        <item x="226"/>
        <item x="231"/>
        <item x="237"/>
        <item x="223"/>
        <item x="109"/>
        <item x="71"/>
        <item x="74"/>
        <item x="75"/>
        <item x="146"/>
        <item x="281"/>
        <item x="117"/>
        <item x="248"/>
        <item x="228"/>
        <item x="152"/>
        <item x="181"/>
        <item x="194"/>
        <item x="201"/>
        <item x="142"/>
        <item x="141"/>
        <item x="77"/>
        <item x="82"/>
        <item x="167"/>
        <item x="158"/>
        <item x="79"/>
        <item x="232"/>
        <item x="138"/>
        <item x="204"/>
        <item x="203"/>
        <item x="233"/>
        <item x="116"/>
        <item x="98"/>
        <item x="149"/>
        <item x="179"/>
        <item x="220"/>
        <item x="84"/>
        <item x="176"/>
        <item x="70"/>
        <item x="111"/>
        <item x="129"/>
        <item x="131"/>
        <item x="139"/>
        <item x="217"/>
        <item x="225"/>
        <item x="177"/>
        <item x="120"/>
        <item x="89"/>
        <item x="258"/>
        <item x="260"/>
        <item x="238"/>
        <item x="128"/>
        <item x="99"/>
        <item x="234"/>
        <item x="239"/>
        <item x="165"/>
        <item x="137"/>
        <item x="112"/>
        <item x="243"/>
        <item x="178"/>
        <item x="118"/>
        <item x="202"/>
        <item x="73"/>
        <item x="224"/>
        <item x="110"/>
        <item x="19"/>
        <item x="173"/>
        <item x="211"/>
        <item x="213"/>
        <item x="80"/>
        <item x="121"/>
        <item x="81"/>
        <item x="261"/>
        <item x="240"/>
        <item x="83"/>
        <item x="88"/>
        <item x="100"/>
        <item x="130"/>
        <item x="205"/>
        <item x="87"/>
        <item x="230"/>
        <item x="115"/>
        <item x="106"/>
        <item x="241"/>
        <item x="229"/>
        <item x="218"/>
        <item x="262"/>
        <item x="263"/>
        <item x="215"/>
        <item x="208"/>
        <item x="212"/>
        <item x="159"/>
        <item x="199"/>
        <item x="169"/>
        <item x="86"/>
        <item x="253"/>
        <item x="255"/>
        <item x="104"/>
        <item x="114"/>
        <item x="275"/>
        <item x="119"/>
        <item x="244"/>
        <item x="272"/>
        <item x="197"/>
        <item x="150"/>
        <item x="216"/>
        <item x="164"/>
        <item x="206"/>
        <item x="259"/>
        <item x="207"/>
        <item x="160"/>
        <item x="107"/>
        <item x="221"/>
        <item x="166"/>
        <item x="144"/>
        <item x="198"/>
        <item x="265"/>
        <item x="209"/>
        <item x="161"/>
        <item x="214"/>
        <item x="264"/>
        <item x="174"/>
        <item x="270"/>
        <item x="271"/>
        <item x="266"/>
        <item x="170"/>
        <item x="182"/>
        <item x="108"/>
        <item x="103"/>
        <item x="171"/>
        <item x="252"/>
        <item x="267"/>
        <item x="222"/>
        <item x="268"/>
        <item x="254"/>
        <item x="105"/>
        <item x="162"/>
        <item x="168"/>
        <item x="172"/>
        <item x="247"/>
        <item x="180"/>
        <item x="101"/>
        <item x="246"/>
        <item x="113"/>
        <item x="250"/>
        <item x="235"/>
        <item x="184"/>
        <item x="102"/>
        <item x="269"/>
        <item x="276"/>
        <item x="95"/>
        <item x="0"/>
        <item x="34"/>
        <item x="185"/>
        <item x="186"/>
        <item x="192"/>
        <item x="16"/>
        <item x="36"/>
        <item x="183"/>
        <item x="278"/>
        <item x="16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13">
        <item m="1" x="206"/>
        <item m="1" x="198"/>
        <item m="1" x="211"/>
        <item m="1" x="204"/>
        <item m="1" x="210"/>
        <item m="1" x="195"/>
        <item x="104"/>
        <item m="1" x="185"/>
        <item x="98"/>
        <item m="1" x="193"/>
        <item m="1" x="203"/>
        <item m="1" x="183"/>
        <item x="181"/>
        <item x="96"/>
        <item m="1" x="192"/>
        <item m="1" x="202"/>
        <item m="1" x="205"/>
        <item x="0"/>
        <item x="31"/>
        <item x="20"/>
        <item m="1" x="199"/>
        <item x="48"/>
        <item x="47"/>
        <item x="15"/>
        <item x="17"/>
        <item m="1" x="189"/>
        <item x="42"/>
        <item x="14"/>
        <item x="44"/>
        <item m="1" x="188"/>
        <item m="1" x="208"/>
        <item x="35"/>
        <item x="10"/>
        <item x="18"/>
        <item x="36"/>
        <item x="41"/>
        <item x="61"/>
        <item x="9"/>
        <item m="1" x="196"/>
        <item x="46"/>
        <item x="43"/>
        <item x="64"/>
        <item x="45"/>
        <item x="56"/>
        <item x="57"/>
        <item x="50"/>
        <item x="16"/>
        <item x="2"/>
        <item x="5"/>
        <item x="1"/>
        <item x="33"/>
        <item x="4"/>
        <item x="6"/>
        <item x="3"/>
        <item x="32"/>
        <item x="7"/>
        <item x="63"/>
        <item x="162"/>
        <item x="34"/>
        <item x="135"/>
        <item x="62"/>
        <item x="59"/>
        <item x="113"/>
        <item x="58"/>
        <item x="123"/>
        <item x="55"/>
        <item x="182"/>
        <item x="120"/>
        <item x="54"/>
        <item x="53"/>
        <item x="119"/>
        <item x="107"/>
        <item x="130"/>
        <item x="129"/>
        <item m="1" x="212"/>
        <item x="122"/>
        <item x="52"/>
        <item x="103"/>
        <item x="60"/>
        <item x="148"/>
        <item x="112"/>
        <item x="140"/>
        <item x="141"/>
        <item x="163"/>
        <item x="165"/>
        <item x="164"/>
        <item x="166"/>
        <item x="168"/>
        <item x="21"/>
        <item x="114"/>
        <item x="127"/>
        <item x="126"/>
        <item x="169"/>
        <item x="11"/>
        <item x="125"/>
        <item x="118"/>
        <item x="117"/>
        <item x="37"/>
        <item x="147"/>
        <item x="40"/>
        <item x="146"/>
        <item x="121"/>
        <item x="110"/>
        <item x="51"/>
        <item x="39"/>
        <item x="38"/>
        <item x="138"/>
        <item x="143"/>
        <item x="111"/>
        <item x="102"/>
        <item x="144"/>
        <item x="142"/>
        <item x="109"/>
        <item x="108"/>
        <item x="136"/>
        <item x="167"/>
        <item x="100"/>
        <item x="116"/>
        <item x="139"/>
        <item x="137"/>
        <item x="12"/>
        <item x="170"/>
        <item x="171"/>
        <item x="105"/>
        <item x="145"/>
        <item x="124"/>
        <item x="106"/>
        <item x="13"/>
        <item x="101"/>
        <item m="1" x="207"/>
        <item m="1" x="191"/>
        <item m="1" x="200"/>
        <item m="1" x="209"/>
        <item x="83"/>
        <item x="24"/>
        <item x="29"/>
        <item x="172"/>
        <item x="80"/>
        <item x="81"/>
        <item x="82"/>
        <item x="149"/>
        <item x="66"/>
        <item x="156"/>
        <item x="65"/>
        <item x="84"/>
        <item x="85"/>
        <item x="67"/>
        <item x="68"/>
        <item x="69"/>
        <item x="86"/>
        <item x="70"/>
        <item x="71"/>
        <item x="87"/>
        <item x="79"/>
        <item x="26"/>
        <item x="72"/>
        <item x="73"/>
        <item x="151"/>
        <item x="74"/>
        <item x="75"/>
        <item x="22"/>
        <item x="88"/>
        <item x="23"/>
        <item x="173"/>
        <item x="27"/>
        <item x="89"/>
        <item x="76"/>
        <item x="90"/>
        <item x="28"/>
        <item x="91"/>
        <item x="77"/>
        <item x="174"/>
        <item x="78"/>
        <item x="175"/>
        <item x="154"/>
        <item x="176"/>
        <item x="92"/>
        <item x="93"/>
        <item x="177"/>
        <item x="152"/>
        <item x="94"/>
        <item x="95"/>
        <item x="157"/>
        <item x="158"/>
        <item x="160"/>
        <item x="179"/>
        <item x="180"/>
        <item x="155"/>
        <item x="159"/>
        <item x="153"/>
        <item x="131"/>
        <item x="99"/>
        <item x="8"/>
        <item m="1" x="194"/>
        <item m="1" x="201"/>
        <item m="1" x="184"/>
        <item x="132"/>
        <item x="133"/>
        <item x="150"/>
        <item m="1" x="186"/>
        <item m="1" x="187"/>
        <item x="19"/>
        <item x="25"/>
        <item m="1" x="190"/>
        <item x="97"/>
        <item x="30"/>
        <item x="161"/>
        <item m="1" x="197"/>
        <item x="178"/>
        <item x="49"/>
        <item x="115"/>
        <item x="128"/>
        <item x="13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ubtotalTop="0" dragToRow="0" dragToCol="0" dragToPage="0" showAll="0" defaultSubtotal="0">
      <extLst>
        <ext xmlns:x14="http://schemas.microsoft.com/office/spreadsheetml/2009/9/main" uri="{2946ED86-A175-432a-8AC1-64E0C546D7DE}">
          <x14:pivotField fillDownLabels="1"/>
        </ext>
      </extLst>
    </pivotField>
  </pivotFields>
  <rowFields count="3">
    <field x="8"/>
    <field x="5"/>
    <field x="19"/>
  </rowFields>
  <rowItems count="104">
    <i>
      <x v="7"/>
      <x v="97"/>
      <x v="33"/>
    </i>
    <i r="1">
      <x v="98"/>
      <x v="24"/>
    </i>
    <i t="blank">
      <x v="7"/>
    </i>
    <i>
      <x v="10"/>
      <x v="81"/>
      <x v="33"/>
    </i>
    <i r="1">
      <x v="82"/>
      <x v="24"/>
    </i>
    <i t="blank">
      <x v="10"/>
    </i>
    <i>
      <x v="12"/>
      <x v="503"/>
      <x v="201"/>
    </i>
    <i t="blank">
      <x v="12"/>
    </i>
    <i>
      <x v="13"/>
      <x v="83"/>
      <x v="33"/>
    </i>
    <i r="1">
      <x v="84"/>
      <x v="24"/>
    </i>
    <i t="blank">
      <x v="13"/>
    </i>
    <i>
      <x v="15"/>
      <x v="444"/>
      <x v="52"/>
    </i>
    <i t="blank">
      <x v="15"/>
    </i>
    <i>
      <x v="16"/>
      <x v="85"/>
      <x v="33"/>
    </i>
    <i r="1">
      <x v="86"/>
      <x v="24"/>
    </i>
    <i t="blank">
      <x v="16"/>
    </i>
    <i>
      <x v="19"/>
      <x v="87"/>
      <x v="33"/>
    </i>
    <i r="1">
      <x v="88"/>
      <x v="24"/>
    </i>
    <i t="blank">
      <x v="19"/>
    </i>
    <i>
      <x v="23"/>
      <x v="89"/>
      <x v="33"/>
    </i>
    <i r="1">
      <x v="90"/>
      <x v="24"/>
    </i>
    <i t="blank">
      <x v="23"/>
    </i>
    <i>
      <x v="27"/>
      <x v="73"/>
      <x v="52"/>
    </i>
    <i r="1">
      <x v="74"/>
      <x v="24"/>
    </i>
    <i t="blank">
      <x v="27"/>
    </i>
    <i>
      <x v="30"/>
      <x v="75"/>
      <x v="33"/>
    </i>
    <i r="1">
      <x v="76"/>
      <x v="24"/>
    </i>
    <i t="blank">
      <x v="30"/>
    </i>
    <i>
      <x v="33"/>
      <x v="77"/>
      <x v="33"/>
    </i>
    <i r="1">
      <x v="78"/>
      <x v="24"/>
    </i>
    <i t="blank">
      <x v="33"/>
    </i>
    <i>
      <x v="35"/>
      <x v="79"/>
      <x v="33"/>
    </i>
    <i r="1">
      <x v="80"/>
      <x v="24"/>
    </i>
    <i t="blank">
      <x v="35"/>
    </i>
    <i>
      <x v="36"/>
      <x v="99"/>
      <x v="33"/>
    </i>
    <i r="1">
      <x v="100"/>
      <x v="24"/>
    </i>
    <i t="blank">
      <x v="36"/>
    </i>
    <i>
      <x v="39"/>
      <x v="101"/>
      <x v="33"/>
    </i>
    <i r="1">
      <x v="102"/>
      <x v="24"/>
    </i>
    <i t="blank">
      <x v="39"/>
    </i>
    <i>
      <x v="40"/>
      <x v="366"/>
      <x v="119"/>
    </i>
    <i t="blank">
      <x v="40"/>
    </i>
    <i>
      <x v="42"/>
      <x v="103"/>
      <x v="33"/>
    </i>
    <i r="1">
      <x v="489"/>
      <x v="24"/>
    </i>
    <i t="blank">
      <x v="42"/>
    </i>
    <i>
      <x v="47"/>
      <x v="104"/>
      <x v="33"/>
    </i>
    <i t="blank">
      <x v="47"/>
    </i>
    <i>
      <x v="52"/>
      <x v="105"/>
      <x v="33"/>
    </i>
    <i t="blank">
      <x v="52"/>
    </i>
    <i>
      <x v="54"/>
      <x v="53"/>
      <x v="62"/>
    </i>
    <i t="blank">
      <x v="54"/>
    </i>
    <i>
      <x v="55"/>
      <x v="106"/>
      <x v="33"/>
    </i>
    <i t="blank">
      <x v="55"/>
    </i>
    <i>
      <x v="57"/>
      <x v="107"/>
      <x v="33"/>
    </i>
    <i t="blank">
      <x v="57"/>
    </i>
    <i>
      <x v="60"/>
      <x v="108"/>
      <x v="33"/>
    </i>
    <i t="blank">
      <x v="60"/>
    </i>
    <i>
      <x v="61"/>
      <x v="367"/>
      <x v="106"/>
    </i>
    <i t="blank">
      <x v="61"/>
    </i>
    <i>
      <x v="63"/>
      <x v="109"/>
      <x v="52"/>
    </i>
    <i t="blank">
      <x v="63"/>
    </i>
    <i>
      <x v="66"/>
      <x v="54"/>
      <x v="68"/>
    </i>
    <i r="1">
      <x v="110"/>
      <x v="33"/>
    </i>
    <i t="blank">
      <x v="66"/>
    </i>
    <i>
      <x v="72"/>
      <x v="111"/>
      <x v="33"/>
    </i>
    <i t="blank">
      <x v="72"/>
    </i>
    <i>
      <x v="73"/>
      <x v="445"/>
      <x v="52"/>
    </i>
    <i t="blank">
      <x v="73"/>
    </i>
    <i>
      <x v="74"/>
      <x v="112"/>
      <x v="33"/>
    </i>
    <i t="blank">
      <x v="74"/>
    </i>
    <i>
      <x v="76"/>
      <x v="113"/>
      <x v="33"/>
    </i>
    <i t="blank">
      <x v="76"/>
    </i>
    <i>
      <x v="98"/>
      <x v="114"/>
      <x v="52"/>
    </i>
    <i t="blank">
      <x v="98"/>
    </i>
    <i>
      <x v="121"/>
      <x v="115"/>
      <x v="52"/>
    </i>
    <i t="blank">
      <x v="121"/>
    </i>
    <i>
      <x v="123"/>
      <x v="55"/>
      <x v="68"/>
    </i>
    <i t="blank">
      <x v="123"/>
    </i>
    <i>
      <x v="145"/>
      <x v="56"/>
      <x v="62"/>
    </i>
    <i t="blank">
      <x v="145"/>
    </i>
    <i>
      <x v="152"/>
      <x v="57"/>
      <x v="69"/>
    </i>
    <i t="blank">
      <x v="152"/>
    </i>
    <i>
      <x v="168"/>
      <x v="368"/>
      <x v="89"/>
    </i>
    <i t="blank">
      <x v="168"/>
    </i>
    <i>
      <x v="176"/>
      <x v="58"/>
      <x v="63"/>
    </i>
    <i t="blank">
      <x v="176"/>
    </i>
    <i>
      <x v="179"/>
      <x v="59"/>
      <x v="69"/>
    </i>
    <i t="blank">
      <x v="179"/>
    </i>
    <i>
      <x v="219"/>
      <x v="326"/>
      <x v="113"/>
    </i>
    <i t="blank">
      <x v="219"/>
    </i>
    <i>
      <x v="231"/>
      <x v="369"/>
      <x v="118"/>
    </i>
    <i t="blank">
      <x v="231"/>
    </i>
    <i>
      <x v="238"/>
      <x v="370"/>
      <x v="94"/>
    </i>
    <i t="blank">
      <x v="238"/>
    </i>
    <i>
      <x v="246"/>
      <x v="371"/>
      <x v="91"/>
    </i>
    <i t="blank">
      <x v="246"/>
    </i>
    <i>
      <x v="264"/>
      <x v="372"/>
      <x v="90"/>
    </i>
    <i t="blank">
      <x v="264"/>
    </i>
    <i>
      <x v="280"/>
      <x v="488"/>
      <x v="19"/>
    </i>
    <i t="blank">
      <x v="280"/>
    </i>
    <i>
      <x v="285"/>
      <x v="504"/>
      <x v="24"/>
    </i>
    <i t="blank">
      <x v="285"/>
    </i>
    <i>
      <x v="288"/>
      <x v="513"/>
      <x v="211"/>
    </i>
    <i t="blank">
      <x v="288"/>
    </i>
  </rowItems>
  <colFields count="2">
    <field x="1"/>
    <field x="-2"/>
  </colFields>
  <colItems count="20">
    <i>
      <x/>
      <x/>
    </i>
    <i r="1" i="1">
      <x v="1"/>
    </i>
    <i>
      <x v="1"/>
      <x/>
    </i>
    <i r="1" i="1">
      <x v="1"/>
    </i>
    <i>
      <x v="2"/>
      <x/>
    </i>
    <i r="1" i="1">
      <x v="1"/>
    </i>
    <i>
      <x v="3"/>
      <x/>
    </i>
    <i r="1" i="1">
      <x v="1"/>
    </i>
    <i>
      <x v="4"/>
      <x/>
    </i>
    <i r="1" i="1">
      <x v="1"/>
    </i>
    <i>
      <x v="5"/>
      <x/>
    </i>
    <i r="1" i="1">
      <x v="1"/>
    </i>
    <i>
      <x v="6"/>
      <x/>
    </i>
    <i r="1" i="1">
      <x v="1"/>
    </i>
    <i>
      <x v="7"/>
      <x/>
    </i>
    <i r="1" i="1">
      <x v="1"/>
    </i>
    <i>
      <x v="8"/>
      <x/>
    </i>
    <i r="1" i="1">
      <x v="1"/>
    </i>
    <i>
      <x v="9"/>
      <x/>
    </i>
    <i r="1" i="1">
      <x v="1"/>
    </i>
  </colItems>
  <pageFields count="2">
    <pageField fld="3" hier="-1"/>
    <pageField fld="6" hier="-1"/>
  </pageFields>
  <dataFields count="2">
    <dataField name="Average of HLD_YieldCost" fld="14" subtotal="average" baseField="18" baseItem="20" numFmtId="190"/>
    <dataField name="Sum of Principal/1000" fld="21" baseField="8" baseItem="13" numFmtId="3"/>
  </dataFields>
  <formats count="66">
    <format dxfId="661">
      <pivotArea dataOnly="0" labelOnly="1" outline="0" fieldPosition="0">
        <references count="1">
          <reference field="8" count="1">
            <x v="0"/>
          </reference>
        </references>
      </pivotArea>
    </format>
    <format dxfId="660">
      <pivotArea dataOnly="0" labelOnly="1" outline="0" fieldPosition="0">
        <references count="1">
          <reference field="8" count="1">
            <x v="1"/>
          </reference>
        </references>
      </pivotArea>
    </format>
    <format dxfId="659">
      <pivotArea dataOnly="0" labelOnly="1" outline="0" fieldPosition="0">
        <references count="1">
          <reference field="8" count="1">
            <x v="3"/>
          </reference>
        </references>
      </pivotArea>
    </format>
    <format dxfId="658">
      <pivotArea dataOnly="0" labelOnly="1" outline="0" fieldPosition="0">
        <references count="1">
          <reference field="8" count="1">
            <x v="4"/>
          </reference>
        </references>
      </pivotArea>
    </format>
    <format dxfId="657">
      <pivotArea dataOnly="0" labelOnly="1" outline="0" fieldPosition="0">
        <references count="1">
          <reference field="8" count="1">
            <x v="6"/>
          </reference>
        </references>
      </pivotArea>
    </format>
    <format dxfId="656">
      <pivotArea dataOnly="0" labelOnly="1" outline="0" fieldPosition="0">
        <references count="1">
          <reference field="8" count="1">
            <x v="7"/>
          </reference>
        </references>
      </pivotArea>
    </format>
    <format dxfId="655">
      <pivotArea dataOnly="0" labelOnly="1" outline="0" fieldPosition="0">
        <references count="1">
          <reference field="8" count="1">
            <x v="10"/>
          </reference>
        </references>
      </pivotArea>
    </format>
    <format dxfId="654">
      <pivotArea dataOnly="0" labelOnly="1" outline="0" fieldPosition="0">
        <references count="1">
          <reference field="8" count="1">
            <x v="13"/>
          </reference>
        </references>
      </pivotArea>
    </format>
    <format dxfId="653">
      <pivotArea dataOnly="0" labelOnly="1" outline="0" fieldPosition="0">
        <references count="1">
          <reference field="8" count="1">
            <x v="15"/>
          </reference>
        </references>
      </pivotArea>
    </format>
    <format dxfId="652">
      <pivotArea dataOnly="0" labelOnly="1" outline="0" fieldPosition="0">
        <references count="1">
          <reference field="8" count="1">
            <x v="16"/>
          </reference>
        </references>
      </pivotArea>
    </format>
    <format dxfId="651">
      <pivotArea dataOnly="0" labelOnly="1" outline="0" fieldPosition="0">
        <references count="1">
          <reference field="8" count="1">
            <x v="19"/>
          </reference>
        </references>
      </pivotArea>
    </format>
    <format dxfId="650">
      <pivotArea dataOnly="0" labelOnly="1" outline="0" fieldPosition="0">
        <references count="1">
          <reference field="8" count="1">
            <x v="23"/>
          </reference>
        </references>
      </pivotArea>
    </format>
    <format dxfId="649">
      <pivotArea dataOnly="0" labelOnly="1" outline="0" fieldPosition="0">
        <references count="1">
          <reference field="8" count="1">
            <x v="27"/>
          </reference>
        </references>
      </pivotArea>
    </format>
    <format dxfId="648">
      <pivotArea dataOnly="0" labelOnly="1" outline="0" fieldPosition="0">
        <references count="1">
          <reference field="8" count="1">
            <x v="30"/>
          </reference>
        </references>
      </pivotArea>
    </format>
    <format dxfId="647">
      <pivotArea dataOnly="0" labelOnly="1" outline="0" fieldPosition="0">
        <references count="1">
          <reference field="8" count="1">
            <x v="33"/>
          </reference>
        </references>
      </pivotArea>
    </format>
    <format dxfId="646">
      <pivotArea dataOnly="0" labelOnly="1" outline="0" fieldPosition="0">
        <references count="1">
          <reference field="8" count="1">
            <x v="35"/>
          </reference>
        </references>
      </pivotArea>
    </format>
    <format dxfId="645">
      <pivotArea dataOnly="0" labelOnly="1" outline="0" fieldPosition="0">
        <references count="1">
          <reference field="8" count="1">
            <x v="36"/>
          </reference>
        </references>
      </pivotArea>
    </format>
    <format dxfId="644">
      <pivotArea dataOnly="0" labelOnly="1" outline="0" fieldPosition="0">
        <references count="1">
          <reference field="8" count="1">
            <x v="39"/>
          </reference>
        </references>
      </pivotArea>
    </format>
    <format dxfId="643">
      <pivotArea dataOnly="0" labelOnly="1" outline="0" fieldPosition="0">
        <references count="1">
          <reference field="8" count="1">
            <x v="40"/>
          </reference>
        </references>
      </pivotArea>
    </format>
    <format dxfId="642">
      <pivotArea dataOnly="0" labelOnly="1" outline="0" fieldPosition="0">
        <references count="1">
          <reference field="8" count="1">
            <x v="42"/>
          </reference>
        </references>
      </pivotArea>
    </format>
    <format dxfId="641">
      <pivotArea dataOnly="0" labelOnly="1" outline="0" fieldPosition="0">
        <references count="1">
          <reference field="8" count="1">
            <x v="47"/>
          </reference>
        </references>
      </pivotArea>
    </format>
    <format dxfId="640">
      <pivotArea dataOnly="0" labelOnly="1" outline="0" fieldPosition="0">
        <references count="1">
          <reference field="8" count="1">
            <x v="52"/>
          </reference>
        </references>
      </pivotArea>
    </format>
    <format dxfId="639">
      <pivotArea dataOnly="0" labelOnly="1" outline="0" fieldPosition="0">
        <references count="1">
          <reference field="8" count="1">
            <x v="54"/>
          </reference>
        </references>
      </pivotArea>
    </format>
    <format dxfId="638">
      <pivotArea dataOnly="0" labelOnly="1" outline="0" fieldPosition="0">
        <references count="1">
          <reference field="8" count="1">
            <x v="55"/>
          </reference>
        </references>
      </pivotArea>
    </format>
    <format dxfId="637">
      <pivotArea dataOnly="0" labelOnly="1" outline="0" fieldPosition="0">
        <references count="1">
          <reference field="8" count="1">
            <x v="57"/>
          </reference>
        </references>
      </pivotArea>
    </format>
    <format dxfId="636">
      <pivotArea dataOnly="0" labelOnly="1" outline="0" fieldPosition="0">
        <references count="1">
          <reference field="8" count="1">
            <x v="60"/>
          </reference>
        </references>
      </pivotArea>
    </format>
    <format dxfId="635">
      <pivotArea dataOnly="0" labelOnly="1" outline="0" fieldPosition="0">
        <references count="1">
          <reference field="8" count="1">
            <x v="61"/>
          </reference>
        </references>
      </pivotArea>
    </format>
    <format dxfId="634">
      <pivotArea dataOnly="0" labelOnly="1" outline="0" fieldPosition="0">
        <references count="1">
          <reference field="8" count="1">
            <x v="63"/>
          </reference>
        </references>
      </pivotArea>
    </format>
    <format dxfId="633">
      <pivotArea dataOnly="0" labelOnly="1" outline="0" fieldPosition="0">
        <references count="1">
          <reference field="8" count="1">
            <x v="66"/>
          </reference>
        </references>
      </pivotArea>
    </format>
    <format dxfId="632">
      <pivotArea dataOnly="0" labelOnly="1" outline="0" fieldPosition="0">
        <references count="1">
          <reference field="8" count="1">
            <x v="72"/>
          </reference>
        </references>
      </pivotArea>
    </format>
    <format dxfId="631">
      <pivotArea dataOnly="0" labelOnly="1" outline="0" fieldPosition="0">
        <references count="1">
          <reference field="8" count="1">
            <x v="73"/>
          </reference>
        </references>
      </pivotArea>
    </format>
    <format dxfId="630">
      <pivotArea dataOnly="0" labelOnly="1" outline="0" fieldPosition="0">
        <references count="1">
          <reference field="8" count="1">
            <x v="74"/>
          </reference>
        </references>
      </pivotArea>
    </format>
    <format dxfId="629">
      <pivotArea dataOnly="0" labelOnly="1" outline="0" fieldPosition="0">
        <references count="1">
          <reference field="8" count="1">
            <x v="76"/>
          </reference>
        </references>
      </pivotArea>
    </format>
    <format dxfId="628">
      <pivotArea dataOnly="0" labelOnly="1" outline="0" fieldPosition="0">
        <references count="1">
          <reference field="8" count="1">
            <x v="98"/>
          </reference>
        </references>
      </pivotArea>
    </format>
    <format dxfId="627">
      <pivotArea dataOnly="0" labelOnly="1" outline="0" fieldPosition="0">
        <references count="1">
          <reference field="8" count="1">
            <x v="121"/>
          </reference>
        </references>
      </pivotArea>
    </format>
    <format dxfId="626">
      <pivotArea dataOnly="0" labelOnly="1" outline="0" fieldPosition="0">
        <references count="1">
          <reference field="8" count="1">
            <x v="123"/>
          </reference>
        </references>
      </pivotArea>
    </format>
    <format dxfId="625">
      <pivotArea dataOnly="0" labelOnly="1" outline="0" fieldPosition="0">
        <references count="1">
          <reference field="8" count="1">
            <x v="145"/>
          </reference>
        </references>
      </pivotArea>
    </format>
    <format dxfId="624">
      <pivotArea dataOnly="0" labelOnly="1" outline="0" fieldPosition="0">
        <references count="1">
          <reference field="8" count="1">
            <x v="152"/>
          </reference>
        </references>
      </pivotArea>
    </format>
    <format dxfId="623">
      <pivotArea dataOnly="0" labelOnly="1" outline="0" fieldPosition="0">
        <references count="1">
          <reference field="8" count="1">
            <x v="168"/>
          </reference>
        </references>
      </pivotArea>
    </format>
    <format dxfId="622">
      <pivotArea dataOnly="0" labelOnly="1" outline="0" fieldPosition="0">
        <references count="1">
          <reference field="8" count="1">
            <x v="176"/>
          </reference>
        </references>
      </pivotArea>
    </format>
    <format dxfId="621">
      <pivotArea dataOnly="0" labelOnly="1" outline="0" fieldPosition="0">
        <references count="1">
          <reference field="8" count="1">
            <x v="179"/>
          </reference>
        </references>
      </pivotArea>
    </format>
    <format dxfId="620">
      <pivotArea dataOnly="0" labelOnly="1" outline="0" fieldPosition="0">
        <references count="1">
          <reference field="8" count="1">
            <x v="219"/>
          </reference>
        </references>
      </pivotArea>
    </format>
    <format dxfId="619">
      <pivotArea dataOnly="0" labelOnly="1" outline="0" fieldPosition="0">
        <references count="1">
          <reference field="8" count="1">
            <x v="231"/>
          </reference>
        </references>
      </pivotArea>
    </format>
    <format dxfId="618">
      <pivotArea dataOnly="0" labelOnly="1" outline="0" fieldPosition="0">
        <references count="1">
          <reference field="8" count="1">
            <x v="238"/>
          </reference>
        </references>
      </pivotArea>
    </format>
    <format dxfId="617">
      <pivotArea dataOnly="0" labelOnly="1" outline="0" fieldPosition="0">
        <references count="1">
          <reference field="8" count="1">
            <x v="246"/>
          </reference>
        </references>
      </pivotArea>
    </format>
    <format dxfId="616">
      <pivotArea dataOnly="0" labelOnly="1" outline="0" fieldPosition="0">
        <references count="1">
          <reference field="8" count="1">
            <x v="264"/>
          </reference>
        </references>
      </pivotArea>
    </format>
    <format dxfId="615">
      <pivotArea type="origin" dataOnly="0" labelOnly="1" outline="0" fieldPosition="0"/>
    </format>
    <format dxfId="614">
      <pivotArea field="1" type="button" dataOnly="0" labelOnly="1" outline="0" axis="axisCol" fieldPosition="0"/>
    </format>
    <format dxfId="613">
      <pivotArea field="-2" type="button" dataOnly="0" labelOnly="1" outline="0" axis="axisCol" fieldPosition="1"/>
    </format>
    <format dxfId="612">
      <pivotArea type="topRight" dataOnly="0" labelOnly="1" outline="0" fieldPosition="0"/>
    </format>
    <format dxfId="611">
      <pivotArea field="8" type="button" dataOnly="0" labelOnly="1" outline="0" axis="axisRow" fieldPosition="0"/>
    </format>
    <format dxfId="610">
      <pivotArea field="5" type="button" dataOnly="0" labelOnly="1" outline="0" axis="axisRow" fieldPosition="1"/>
    </format>
    <format dxfId="609">
      <pivotArea field="19" type="button" dataOnly="0" labelOnly="1" outline="0" axis="axisRow" fieldPosition="2"/>
    </format>
    <format dxfId="608">
      <pivotArea dataOnly="0" labelOnly="1" outline="0" fieldPosition="0">
        <references count="1">
          <reference field="1" count="0"/>
        </references>
      </pivotArea>
    </format>
    <format dxfId="607">
      <pivotArea dataOnly="0" labelOnly="1" outline="0" fieldPosition="0">
        <references count="2">
          <reference field="4294967294" count="2">
            <x v="0"/>
            <x v="1"/>
          </reference>
          <reference field="1" count="1" selected="0">
            <x v="0"/>
          </reference>
        </references>
      </pivotArea>
    </format>
    <format dxfId="606">
      <pivotArea dataOnly="0" labelOnly="1" outline="0" fieldPosition="0">
        <references count="2">
          <reference field="4294967294" count="2">
            <x v="0"/>
            <x v="1"/>
          </reference>
          <reference field="1" count="1" selected="0">
            <x v="1"/>
          </reference>
        </references>
      </pivotArea>
    </format>
    <format dxfId="605">
      <pivotArea dataOnly="0" labelOnly="1" outline="0" fieldPosition="0">
        <references count="2">
          <reference field="4294967294" count="2">
            <x v="0"/>
            <x v="1"/>
          </reference>
          <reference field="1" count="1" selected="0">
            <x v="2"/>
          </reference>
        </references>
      </pivotArea>
    </format>
    <format dxfId="604">
      <pivotArea dataOnly="0" labelOnly="1" outline="0" fieldPosition="0">
        <references count="2">
          <reference field="4294967294" count="2">
            <x v="0"/>
            <x v="1"/>
          </reference>
          <reference field="1" count="1" selected="0">
            <x v="3"/>
          </reference>
        </references>
      </pivotArea>
    </format>
    <format dxfId="603">
      <pivotArea dataOnly="0" labelOnly="1" outline="0" fieldPosition="0">
        <references count="2">
          <reference field="4294967294" count="2">
            <x v="0"/>
            <x v="1"/>
          </reference>
          <reference field="1" count="1" selected="0">
            <x v="4"/>
          </reference>
        </references>
      </pivotArea>
    </format>
    <format dxfId="602">
      <pivotArea dataOnly="0" labelOnly="1" outline="0" fieldPosition="0">
        <references count="2">
          <reference field="4294967294" count="2">
            <x v="0"/>
            <x v="1"/>
          </reference>
          <reference field="1" count="1" selected="0">
            <x v="5"/>
          </reference>
        </references>
      </pivotArea>
    </format>
    <format dxfId="601">
      <pivotArea dataOnly="0" labelOnly="1" outline="0" fieldPosition="0">
        <references count="2">
          <reference field="4294967294" count="2">
            <x v="0"/>
            <x v="1"/>
          </reference>
          <reference field="1" count="1" selected="0">
            <x v="6"/>
          </reference>
        </references>
      </pivotArea>
    </format>
    <format dxfId="600">
      <pivotArea dataOnly="0" labelOnly="1" outline="0" fieldPosition="0">
        <references count="2">
          <reference field="4294967294" count="2">
            <x v="0"/>
            <x v="1"/>
          </reference>
          <reference field="1" count="1" selected="0">
            <x v="7"/>
          </reference>
        </references>
      </pivotArea>
    </format>
    <format dxfId="599">
      <pivotArea dataOnly="0" labelOnly="1" outline="0" fieldPosition="0">
        <references count="2">
          <reference field="4294967294" count="2">
            <x v="0"/>
            <x v="1"/>
          </reference>
          <reference field="1" count="1" selected="0">
            <x v="8"/>
          </reference>
        </references>
      </pivotArea>
    </format>
    <format dxfId="598">
      <pivotArea dataOnly="0" labelOnly="1" outline="0" fieldPosition="0">
        <references count="2">
          <reference field="4294967294" count="2">
            <x v="0"/>
            <x v="1"/>
          </reference>
          <reference field="1" count="1" selected="0">
            <x v="9"/>
          </reference>
        </references>
      </pivotArea>
    </format>
    <format dxfId="597">
      <pivotArea outline="0" fieldPosition="0">
        <references count="1">
          <reference field="4294967294" count="1">
            <x v="1"/>
          </reference>
        </references>
      </pivotArea>
    </format>
    <format dxfId="596">
      <pivotArea outline="0" fieldPosition="0">
        <references count="1">
          <reference field="4294967294" count="1">
            <x v="0"/>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521E33C-B08C-4715-9934-889400436571}" name="IntraTrans" displayName="IntraTrans" ref="D37:V47" totalsRowShown="0" headerRowDxfId="662">
  <autoFilter ref="D37:V47" xr:uid="{61A0D734-FAB3-44E2-925B-8DF88BFBC997}"/>
  <tableColumns count="19">
    <tableColumn id="1" xr3:uid="{8C876275-0F5A-4DC3-9E4B-5192FEDE1BEA}" name="Portfolio" dataDxfId="18"/>
    <tableColumn id="2" xr3:uid="{A1AEA8D8-1FAA-434C-9506-FD5BFC623201}" name="Trans. Date" dataDxfId="17"/>
    <tableColumn id="3" xr3:uid="{E2F3DCD5-800E-441E-A07C-7188022FAB8E}" name="Settle Date" dataDxfId="16"/>
    <tableColumn id="4" xr3:uid="{C3907B05-AFA4-4989-9F83-060941425BF5}" name="B/S" dataDxfId="15"/>
    <tableColumn id="5" xr3:uid="{BFD29884-C8A5-4C34-BEA7-632D0E831811}" name="F/S" dataDxfId="14"/>
    <tableColumn id="6" xr3:uid="{254BC94B-014B-4449-9BB5-9F139FD6F227}" name="Type" dataDxfId="13"/>
    <tableColumn id="7" xr3:uid="{6FE1F75B-479D-42B6-B6D4-595598655B4B}" name="Name" dataDxfId="12"/>
    <tableColumn id="8" xr3:uid="{5FA7AC06-22E5-498C-9183-86EB66FBA416}" name="Counter-Party" dataDxfId="11"/>
    <tableColumn id="9" xr3:uid="{04ADDEFC-3DFF-4727-A20C-9E1664FF965C}" name="Maturity Date" dataDxfId="10"/>
    <tableColumn id="10" xr3:uid="{B389422A-9620-4C65-8879-D09CA4F25DBD}" name="Days" dataDxfId="9"/>
    <tableColumn id="11" xr3:uid="{47E0D20C-0C50-4AE6-AD74-72350322F087}" name="Yield" dataDxfId="8"/>
    <tableColumn id="12" xr3:uid="{AA3C9752-7F45-4EB6-9D88-33A33F1CE02A}" name="Unit" dataDxfId="7" dataCellStyle="Comma 3"/>
    <tableColumn id="13" xr3:uid="{628B2C3D-B789-4250-A411-9570722B177A}" name="Par" dataDxfId="6" dataCellStyle="Comma 3"/>
    <tableColumn id="14" xr3:uid="{42232D33-A19B-4325-98EC-B735A0D7E909}" name="CP" dataDxfId="5" dataCellStyle="Comma 3"/>
    <tableColumn id="15" xr3:uid="{AB6D2231-8510-45BC-8C11-42D489AD00F8}" name="AI" dataDxfId="4" dataCellStyle="Comma 3"/>
    <tableColumn id="16" xr3:uid="{360FD80A-3B11-4B61-82FC-E51E092E7D2E}" name="DP" dataDxfId="3"/>
    <tableColumn id="17" xr3:uid="{BDE1A185-A7F5-4F37-9FBC-3E841C064F29}" name="Adj." dataDxfId="2" dataCellStyle="Comma 3"/>
    <tableColumn id="18" xr3:uid="{87B21139-E5BE-4C72-B2F0-522B49FB3558}" name="Net Settlement" dataDxfId="1" dataCellStyle="Comma 3"/>
    <tableColumn id="19" xr3:uid="{B9E78CBE-6F3D-474C-A1C1-F131A1E8CEBA}" name="Payment" dataDxfId="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D9EA97B-DAFA-48CD-9FF1-71113865415C}" name="DataTable" displayName="DataTable" ref="A1:V956" totalsRowShown="0">
  <autoFilter ref="A1:V956" xr:uid="{88CDA6E2-D2C3-4AEE-BE69-9394722F0455}"/>
  <tableColumns count="22">
    <tableColumn id="1" xr3:uid="{73593C56-B5E0-4429-ABEC-FC4D9810025C}" name="HLD_Date" dataDxfId="589"/>
    <tableColumn id="2" xr3:uid="{B7C53A23-6082-4834-B84B-6FBAB7528E41}" name="HLD_Portfolio"/>
    <tableColumn id="3" xr3:uid="{492238F6-6913-41F2-8E41-990EEC2DC1A7}" name="Group1"/>
    <tableColumn id="4" xr3:uid="{36A6DAD3-909C-4182-B52D-4AE69B84DF84}" name="Group2"/>
    <tableColumn id="5" xr3:uid="{F2001132-773E-449F-8A01-1A23302C2670}" name="Group3"/>
    <tableColumn id="6" xr3:uid="{B2DE208E-EE2F-49B0-9C33-2E68D6DAD332}" name="HLD_SecCode"/>
    <tableColumn id="7" xr3:uid="{33DDB40B-D77A-45CE-A696-6CDBDB9C6C83}" name="HLD_Issuer"/>
    <tableColumn id="8" xr3:uid="{13853DAF-1C98-45F2-A123-3C6699B66C15}" name="HLD_Rating"/>
    <tableColumn id="9" xr3:uid="{6DF99013-113B-4E8F-883E-86AFC0D833F7}" name="HLD_MaturityDate" dataDxfId="588"/>
    <tableColumn id="10" xr3:uid="{96CBFC27-3314-44A5-8658-FEA5E3049E26}" name="HLD_MarketValue" dataDxfId="587"/>
    <tableColumn id="11" xr3:uid="{E9C93296-83CC-4A82-9104-8BBC6526CF5B}" name="HLD_AI"/>
    <tableColumn id="12" xr3:uid="{2EEAF628-172B-41EF-BC69-C6A8FE2D92FA}" name="HLD_Cost"/>
    <tableColumn id="13" xr3:uid="{8E2E860B-BB1D-482E-BA74-CB95115860FF}" name="HLD_ModDuration"/>
    <tableColumn id="19" xr3:uid="{E32DAFA0-A5CE-4BF9-90B2-8E9FC18F503A}" name="HLD_Principal"/>
    <tableColumn id="14" xr3:uid="{E34BF21A-DF2C-43BA-BBC0-8C162459F4BE}" name="HLD_YieldCost"/>
    <tableColumn id="21" xr3:uid="{D8DE28D0-ABE4-4A4F-9DEE-5740EA089CD1}" name="HLD_Ratio"/>
    <tableColumn id="15" xr3:uid="{6D775B87-EF2D-4485-B38D-D3114AE75057}" name="SEC_Class"/>
    <tableColumn id="16" xr3:uid="{01940705-488B-45A2-BE5A-20AF929AF698}" name="SEC_Currency"/>
    <tableColumn id="17" xr3:uid="{BDD355A4-71C5-4AED-88A1-C185BE7C4573}" name="SEC_Issue_Date" dataDxfId="586"/>
    <tableColumn id="20" xr3:uid="{E4B987B0-F5F1-44A0-9A37-8B93A7258433}" name="IssTerm" dataDxfId="585">
      <calculatedColumnFormula>DataTable[HLD_MaturityDate] - DataTable[SEC_Issue_Date]</calculatedColumnFormula>
    </tableColumn>
    <tableColumn id="18" xr3:uid="{7BC0F2D7-F74F-4BBF-93F2-719A85DAA733}" name="RefRng" dataDxfId="584">
      <calculatedColumnFormula>DataTable[HLD_Portfolio]&amp;DataTable[HLD_Date]</calculatedColumnFormula>
    </tableColumn>
    <tableColumn id="22" xr3:uid="{E4F59F7E-8123-40AE-976C-31F6275C9AC5}" name="RefCB" dataDxfId="583">
      <calculatedColumnFormula>DataTable[[#This Row],[RefRng]]&amp;DataTable[[#This Row],[HLD_SecCode]]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4A8AAE4-D0C1-43B3-961F-4BBD119DA245}" name="TermFund" displayName="TermFund" ref="A1:P193" totalsRowShown="0" headerRowDxfId="595">
  <autoFilter ref="A1:P193" xr:uid="{D97CACAA-210B-4208-B2C4-5C48BA75EEDB}"/>
  <tableColumns count="16">
    <tableColumn id="1" xr3:uid="{D9DD4FC2-4DD9-47B1-9240-5D6CFBF38DA2}" name="PortCode"/>
    <tableColumn id="2" xr3:uid="{F2365BA4-074B-4ADD-A277-6000A99DB079}" name="PortCode1"/>
    <tableColumn id="3" xr3:uid="{D69F480E-67BA-46AA-89A1-25398AF5C507}" name="PortCode2"/>
    <tableColumn id="4" xr3:uid="{EA18015B-1AFC-4630-B309-9A99C8D07FFA}" name="DescTh"/>
    <tableColumn id="5" xr3:uid="{0C4F65FF-2C8A-4B28-9B7F-AB9021755CB2}" name="DescEng"/>
    <tableColumn id="6" xr3:uid="{EF785545-3BD9-4644-9436-ED687E02FDA1}" name="PortClass"/>
    <tableColumn id="7" xr3:uid="{6AC06FFF-81F6-4AB3-BE09-FAEC494DB29C}" name="InceptionDate" dataDxfId="594"/>
    <tableColumn id="8" xr3:uid="{5BF9CE19-56B4-4037-804C-D0E5818D4496}" name="FundManager"/>
    <tableColumn id="9" xr3:uid="{C951B2BE-4CE0-4C48-9613-5106F430C5FE}" name="AIMCPolicyCode_Month"/>
    <tableColumn id="10" xr3:uid="{C26C366D-C446-4ECD-87F1-82325E1B12E5}" name="MaturityDate" dataDxfId="593"/>
    <tableColumn id="11" xr3:uid="{03C6DAC0-64DF-4626-B08F-9C3665439DC6}" name="CashPortfolio"/>
    <tableColumn id="12" xr3:uid="{CF0FEB25-483F-4D2D-9F83-EEF7896D4986}" name="Status"/>
    <tableColumn id="13" xr3:uid="{482EC37E-D6DD-4E1A-B4D1-80211618B1D3}" name="InvestPolicy"/>
    <tableColumn id="14" xr3:uid="{3E3EFCD6-1DA8-446D-BC3B-7E2A5987E36B}" name="Custodian"/>
    <tableColumn id="16" xr3:uid="{F826D8CC-8AD4-45E2-A76B-A4FB0B7CC3A6}" name="RegistNo2" dataDxfId="592"/>
    <tableColumn id="15" xr3:uid="{DA8EE5D5-2752-473B-913F-AC1CBA5AFFB7}" name="NAV_AI">
      <calculatedColumnFormula>SCBAM_GetGroup1Dtl(TermFund[[#This Row],[PortCode]],"NET ASSET VALUE",$S$1,"Marketval") + SCBAM_GetGroup1Dtl(TermFund[[#This Row],[PortCode]],"NET ASSET VALUE", $S$1, "AI")</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F9DE5EE-6BEA-4028-A3B4-58FBE37E202F}" name="CashIntraTable" displayName="CashIntraTable" ref="A1:I870" totalsRowShown="0">
  <autoFilter ref="A1:I870" xr:uid="{3C59359B-F8C2-417C-865F-3E9D13692A7F}"/>
  <tableColumns count="9">
    <tableColumn id="1" xr3:uid="{88EB0948-85E1-4C35-B1DA-351931275ADC}" name="Portfolio"/>
    <tableColumn id="2" xr3:uid="{94E6B2CA-22C2-48FC-BB2F-5AF54FD79E36}" name="Cur"/>
    <tableColumn id="3" xr3:uid="{9964455B-A891-488C-923E-A1440A7CD09B}" name="Cash Date" dataDxfId="54"/>
    <tableColumn id="4" xr3:uid="{3D2E7043-0458-4BCC-B4AA-2FB54068517D}" name="Type"/>
    <tableColumn id="5" xr3:uid="{5EFBC911-2C62-4F30-9F26-5A3A10CA6438}" name="Amount"/>
    <tableColumn id="6" xr3:uid="{A7319921-AA01-4D98-8C65-D8304059B886}" name="Detail"/>
    <tableColumn id="7" xr3:uid="{E1E6CCD9-F334-4DC4-8C7E-44F077C52011}" name="Mode"/>
    <tableColumn id="8" xr3:uid="{541CEEB3-061F-47B7-83B6-1B1E245DAADB}" name="ID"/>
    <tableColumn id="9" xr3:uid="{34BAE64D-DF7F-461A-86AF-DECF558D7B83}" name="RefRng">
      <calculatedColumnFormula>CashIntraTable[Portfolio]&amp;VALUE(CashIntraTable[Cash Date])&amp;CashIntraTable[Detail]</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0F8FCF-D376-4B6A-AD61-50A74690AEA8}" name="CashProjTable" displayName="CashProjTable" ref="A1:AA161" totalsRowShown="0">
  <autoFilter ref="A1:AA161" xr:uid="{9077A6B0-A50B-4568-B45F-2BBD7E6355A4}"/>
  <tableColumns count="27">
    <tableColumn id="1" xr3:uid="{B45DA52B-F60E-4A60-A97D-743F219953E9}" name="Portfolio"/>
    <tableColumn id="2" xr3:uid="{6C079AE6-B7C9-4EC6-94DF-77D8E337FDCB}" name="Custodian"/>
    <tableColumn id="3" xr3:uid="{AFE982E6-1A3D-47B0-A2B5-E682E1FFFADD}" name="ProjDate" dataDxfId="591"/>
    <tableColumn id="4" xr3:uid="{A6496386-429A-4FC7-B75B-51830D4C9DFA}" name="DebtBuy"/>
    <tableColumn id="5" xr3:uid="{B0FB8A8B-1B49-4604-9A05-0CA39C63FE62}" name="DebtSell"/>
    <tableColumn id="6" xr3:uid="{C2A3FBF7-DA0C-472E-BF06-3448BC2E9349}" name="DebtInterest"/>
    <tableColumn id="7" xr3:uid="{4BC3F1D2-108E-4728-9BE2-FA06EF81A940}" name="CashEqBuy"/>
    <tableColumn id="8" xr3:uid="{E2487DCE-49A2-4250-9C14-A193D9A62433}" name="CashEqSell"/>
    <tableColumn id="9" xr3:uid="{CA8F419A-DF8E-4785-892B-6F6D05ECC121}" name="CashEqInterest"/>
    <tableColumn id="10" xr3:uid="{6B6B0E9A-B4C1-4B84-AFB1-241FDE54BF55}" name="Expense"/>
    <tableColumn id="11" xr3:uid="{2F2D8A77-E945-4595-90EE-CB9BF065F4E9}" name="Application"/>
    <tableColumn id="12" xr3:uid="{68F7B3AD-6292-41AF-92D4-8DAB19CE84A9}" name="Redemtion"/>
    <tableColumn id="13" xr3:uid="{66882AA2-A94C-48B9-873B-76B1AC5F9C60}" name="SwitchIn"/>
    <tableColumn id="14" xr3:uid="{4ACBB8F7-5C8F-4319-910C-AFD6A172836A}" name="SwitchOut"/>
    <tableColumn id="15" xr3:uid="{82089495-8B65-446B-B063-A1AE759BB79C}" name="CashBal"/>
    <tableColumn id="16" xr3:uid="{E28B219E-316C-4F33-82EC-19C8B67642A2}" name="CashEqBal" dataDxfId="590" dataCellStyle="Comma"/>
    <tableColumn id="17" xr3:uid="{90AAE8A0-7E24-4D69-97F7-57890E85FC14}" name="DebtBuy_BahtNet"/>
    <tableColumn id="18" xr3:uid="{321BC403-B12D-4C58-A5CE-83643A405857}" name="DebtSell_BahtNet"/>
    <tableColumn id="19" xr3:uid="{0F75505F-F48C-4BC6-986F-77D503737315}" name="CashEqBuy_BahtNet"/>
    <tableColumn id="20" xr3:uid="{2B674010-A9D2-44CD-A766-A4ECB96AB4D6}" name="CashEqSell_BahtNet"/>
    <tableColumn id="21" xr3:uid="{364DB900-CCEA-4FEF-8B8B-2C7EFEC73023}" name="App_SCB_BahtNet"/>
    <tableColumn id="22" xr3:uid="{C26FFFA4-0675-419C-8700-F818EEF7FB8C}" name="App_Other_BahtNet"/>
    <tableColumn id="23" xr3:uid="{F0566C95-B4AD-4A2A-B835-56A6487A5A20}" name="App_SCB_Cheque"/>
    <tableColumn id="24" xr3:uid="{47E745F3-25A9-469E-B360-F2243B33A972}" name="App_Other_Cheque"/>
    <tableColumn id="25" xr3:uid="{103E7C3E-DA8F-45B4-AE71-7B188417F105}" name="CashForUse"/>
    <tableColumn id="26" xr3:uid="{3BE3B8CF-8F26-4C2D-A0B3-1CEC8CFCB59B}" name="CashForBahtNet"/>
    <tableColumn id="27" xr3:uid="{9DB01920-187B-4423-8337-ECB5E19D6AF8}" name="RefRng">
      <calculatedColumnFormula>CashProjTable[Portfolio]&amp;CashProjTable[ProjDate]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F0689C-8678-46E1-BC5A-DD4783CB7976}">
  <sheetPr codeName="Sheet4"/>
  <dimension ref="A1:AA47"/>
  <sheetViews>
    <sheetView topLeftCell="B23" zoomScale="85" zoomScaleNormal="85" workbookViewId="0">
      <selection activeCell="J47" sqref="J47"/>
    </sheetView>
  </sheetViews>
  <sheetFormatPr defaultRowHeight="14.25" outlineLevelCol="1" x14ac:dyDescent="0.2"/>
  <cols>
    <col min="1" max="1" width="13.75" hidden="1" customWidth="1"/>
    <col min="2" max="2" width="25.25" customWidth="1"/>
    <col min="3" max="3" width="2.875" customWidth="1"/>
    <col min="4" max="4" width="17.75" customWidth="1"/>
    <col min="5" max="5" width="16.125" customWidth="1"/>
    <col min="6" max="6" width="21.125" customWidth="1"/>
    <col min="7" max="7" width="19.375" customWidth="1"/>
    <col min="8" max="8" width="17.375" customWidth="1"/>
    <col min="9" max="9" width="17.25" customWidth="1"/>
    <col min="10" max="10" width="19.75" customWidth="1"/>
    <col min="11" max="11" width="18.625" customWidth="1"/>
    <col min="12" max="12" width="13.875" customWidth="1"/>
    <col min="13" max="13" width="17.75" customWidth="1"/>
    <col min="14" max="14" width="9.75" customWidth="1"/>
    <col min="15" max="15" width="19.125" customWidth="1"/>
    <col min="16" max="16" width="23" customWidth="1" outlineLevel="1"/>
    <col min="17" max="19" width="17.125" customWidth="1" outlineLevel="1"/>
    <col min="20" max="20" width="10.875" customWidth="1" outlineLevel="1"/>
    <col min="21" max="21" width="19.375" customWidth="1" outlineLevel="1"/>
    <col min="22" max="22" width="22.625" customWidth="1" outlineLevel="1"/>
    <col min="23" max="25" width="20" customWidth="1" outlineLevel="1"/>
    <col min="27" max="27" width="17.375" bestFit="1" customWidth="1"/>
    <col min="28" max="28" width="23.25" bestFit="1" customWidth="1"/>
    <col min="29" max="29" width="14.375" bestFit="1" customWidth="1"/>
    <col min="30" max="30" width="16.625" bestFit="1" customWidth="1"/>
    <col min="31" max="31" width="15.625" bestFit="1" customWidth="1"/>
  </cols>
  <sheetData>
    <row r="1" spans="1:27" hidden="1" x14ac:dyDescent="0.2">
      <c r="A1" t="s">
        <v>129</v>
      </c>
      <c r="D1">
        <f ca="1">MATCH($D$3,SCBSFF!$5:$5,0)</f>
        <v>12</v>
      </c>
    </row>
    <row r="2" spans="1:27" x14ac:dyDescent="0.2">
      <c r="A2" t="s">
        <v>17</v>
      </c>
      <c r="B2" s="113" t="s">
        <v>1216</v>
      </c>
      <c r="D2" s="8" t="s">
        <v>812</v>
      </c>
    </row>
    <row r="3" spans="1:27" x14ac:dyDescent="0.2">
      <c r="A3" t="s">
        <v>130</v>
      </c>
      <c r="B3" s="114"/>
      <c r="D3" s="70">
        <f ca="1">TODAY()</f>
        <v>43398</v>
      </c>
      <c r="G3" s="7"/>
      <c r="H3" s="7"/>
      <c r="I3" s="7"/>
      <c r="O3" s="93" t="s">
        <v>1212</v>
      </c>
      <c r="U3" s="93" t="s">
        <v>1211</v>
      </c>
      <c r="AA3" s="93" t="s">
        <v>1288</v>
      </c>
    </row>
    <row r="4" spans="1:27" x14ac:dyDescent="0.2">
      <c r="A4" t="s">
        <v>131</v>
      </c>
      <c r="B4" s="114"/>
      <c r="D4" s="64" t="s">
        <v>303</v>
      </c>
      <c r="E4" s="64" t="s">
        <v>1219</v>
      </c>
      <c r="F4" s="64" t="s">
        <v>813</v>
      </c>
      <c r="G4" s="64" t="s">
        <v>814</v>
      </c>
      <c r="H4" s="64" t="s">
        <v>815</v>
      </c>
      <c r="I4" s="64" t="s">
        <v>1220</v>
      </c>
      <c r="J4" s="64" t="s">
        <v>816</v>
      </c>
      <c r="K4" s="64" t="s">
        <v>817</v>
      </c>
      <c r="L4" s="64" t="s">
        <v>1208</v>
      </c>
      <c r="M4" s="74" t="s">
        <v>818</v>
      </c>
      <c r="O4" s="64" t="s">
        <v>329</v>
      </c>
      <c r="P4" s="64" t="s">
        <v>333</v>
      </c>
      <c r="Q4" s="64" t="s">
        <v>330</v>
      </c>
      <c r="R4" s="64" t="s">
        <v>331</v>
      </c>
      <c r="S4" s="64" t="s">
        <v>332</v>
      </c>
      <c r="U4" s="64" t="s">
        <v>329</v>
      </c>
      <c r="V4" s="64" t="s">
        <v>333</v>
      </c>
      <c r="W4" s="64" t="s">
        <v>330</v>
      </c>
      <c r="X4" s="64" t="s">
        <v>331</v>
      </c>
      <c r="Y4" s="64" t="s">
        <v>332</v>
      </c>
      <c r="AA4" t="s">
        <v>1289</v>
      </c>
    </row>
    <row r="5" spans="1:27" x14ac:dyDescent="0.2">
      <c r="A5" t="s">
        <v>132</v>
      </c>
      <c r="B5" s="114"/>
      <c r="D5" s="65" t="str">
        <f t="array" ref="D5:D14">A2:A11</f>
        <v>SCBSFF</v>
      </c>
      <c r="E5" s="68">
        <f ca="1">INDIRECT("'"&amp;$D5&amp;"'!"&amp;ADDRESS(15,$D$1+1))</f>
        <v>497966.31</v>
      </c>
      <c r="F5" s="68">
        <f ca="1">INDIRECT("'"&amp;$D5&amp;"'!"&amp;ADDRESS(16,$D$1+1))</f>
        <v>0</v>
      </c>
      <c r="G5" s="68">
        <f ca="1">INDIRECT("'"&amp;$D5&amp;"'!"&amp;ADDRESS(48,($D$1)+1))</f>
        <v>197458571.05000019</v>
      </c>
      <c r="H5" s="68">
        <f ca="1">INDIRECT("'"&amp;$D5&amp;"'!"&amp;ADDRESS(48,($D$1)+2))</f>
        <v>211742010.8800002</v>
      </c>
      <c r="I5" s="68">
        <f ca="1">INDIRECT("'"&amp;$D5&amp;"'!"&amp;ADDRESS(48,($D$1)+3))</f>
        <v>621399351.21000016</v>
      </c>
      <c r="J5" s="68">
        <f ca="1">E5+F5+G5</f>
        <v>197956537.36000019</v>
      </c>
      <c r="K5" s="68">
        <f ca="1">INDIRECT("'"&amp;$D5&amp;"'!"&amp;ADDRESS(51,$D$1))</f>
        <v>71793470824.020004</v>
      </c>
      <c r="L5" s="69">
        <f ca="1">J5/K5</f>
        <v>2.7573055751160271E-3</v>
      </c>
      <c r="M5" s="68">
        <f ca="1">(SUM(OFFSET(INDIRECT("'"&amp;$D5&amp;"'!"&amp;ADDRESS(23,($D$1))),,,4))-SUM(U5:W5)) + (-SUM(OFFSET(INDIRECT("'"&amp;$D5&amp;"'!"&amp;ADDRESS(37,($D$1))),,,2))-SUM(X5:Y5))</f>
        <v>6107.5100000202656</v>
      </c>
      <c r="O5" s="94">
        <f ca="1">IFERROR(INDEX(CashIntraTable[Amount],MATCH($D5&amp;$D$3&amp;O$4,CashIntraTable[RefRng],0)),0)</f>
        <v>119371213.12</v>
      </c>
      <c r="P5" s="68">
        <f ca="1">IFERROR(INDEX(CashIntraTable[Amount],MATCH($D5&amp;$D$3&amp;P$4,CashIntraTable[RefRng],0)),0)</f>
        <v>13800000</v>
      </c>
      <c r="Q5" s="68">
        <f ca="1">IFERROR(INDEX(CashIntraTable[Amount],MATCH($D5&amp;$D$3&amp;Q$4,CashIntraTable[RefRng],0)),0)</f>
        <v>10652881.9</v>
      </c>
      <c r="R5" s="68">
        <f ca="1">IFERROR(INDEX(CashIntraTable[Amount],MATCH($D5&amp;$D$3&amp;R$4,CashIntraTable[RefRng],0)),0)</f>
        <v>-231111779.02000001</v>
      </c>
      <c r="S5" s="68">
        <f ca="1">IFERROR(INDEX(CashIntraTable[Amount],MATCH($D5&amp;$D$3&amp;S$4,CashIntraTable[RefRng],0)),0)</f>
        <v>-244077567.19</v>
      </c>
      <c r="U5" s="94">
        <v>119371213.12</v>
      </c>
      <c r="V5" s="68">
        <v>13800000</v>
      </c>
      <c r="W5" s="68">
        <v>10652881.9</v>
      </c>
      <c r="X5" s="68">
        <v>-231111779.02000001</v>
      </c>
      <c r="Y5" s="68">
        <v>-244077567.19</v>
      </c>
    </row>
    <row r="6" spans="1:27" x14ac:dyDescent="0.2">
      <c r="A6" t="s">
        <v>337</v>
      </c>
      <c r="B6" s="114"/>
      <c r="D6" s="66" t="str">
        <v>SCBSFFPLUS</v>
      </c>
      <c r="E6" s="68">
        <f ca="1">INDIRECT("'"&amp;$D6&amp;"'!"&amp;ADDRESS(9,$D$1+1))</f>
        <v>308730392.32999992</v>
      </c>
      <c r="F6" s="68">
        <f ca="1">INDIRECT("'"&amp;$D6&amp;"'!"&amp;ADDRESS(10,$D$1+1))</f>
        <v>-80000000</v>
      </c>
      <c r="G6" s="68">
        <f ca="1">INDIRECT("'"&amp;$D6&amp;"'!"&amp;ADDRESS(41,($D$1)+1))</f>
        <v>8610945.4800004959</v>
      </c>
      <c r="H6" s="68">
        <f ca="1">INDIRECT("'"&amp;$D6&amp;"'!"&amp;ADDRESS(41,($D$1)+2))</f>
        <v>104169096.2900005</v>
      </c>
      <c r="I6" s="68">
        <f ca="1">INDIRECT("'"&amp;$D6&amp;"'!"&amp;ADDRESS(41,($D$1)+3))</f>
        <v>2528941333.2900004</v>
      </c>
      <c r="J6" s="68">
        <f t="shared" ref="J6:J14" ca="1" si="0">E6+F6+G6</f>
        <v>237341337.81000042</v>
      </c>
      <c r="K6" s="68">
        <f ca="1">INDIRECT("'"&amp;$D6&amp;"'!"&amp;ADDRESS(44,$D$1))</f>
        <v>208136626390.62</v>
      </c>
      <c r="L6" s="69">
        <f ca="1">J6/K6</f>
        <v>1.1403150993932732E-3</v>
      </c>
      <c r="M6" s="68">
        <f ca="1">(SUM(OFFSET(INDIRECT("'"&amp;$D6&amp;"'!"&amp;ADDRESS(16,($D$1))),,,4))-SUM(U6:W6)) + (-SUM(OFFSET(INDIRECT("'"&amp;$D6&amp;"'!"&amp;ADDRESS(30,($D$1))),,,2))-SUM(X6:Y6))</f>
        <v>519617.98999989033</v>
      </c>
      <c r="O6" s="94">
        <f ca="1">IFERROR(INDEX(CashIntraTable[Amount],MATCH($D6&amp;$D$3&amp;O$4,CashIntraTable[RefRng],0)),0)</f>
        <v>314141437.80000001</v>
      </c>
      <c r="P6" s="68">
        <f ca="1">IFERROR(INDEX(CashIntraTable[Amount],MATCH($D6&amp;$D$3&amp;P$4,CashIntraTable[RefRng],0)),0)</f>
        <v>25727031.899999999</v>
      </c>
      <c r="Q6" s="68">
        <f ca="1">IFERROR(INDEX(CashIntraTable[Amount],MATCH($D6&amp;$D$3&amp;Q$4,CashIntraTable[RefRng],0)),0)</f>
        <v>98517550.469999999</v>
      </c>
      <c r="R6" s="68">
        <f ca="1">IFERROR(INDEX(CashIntraTable[Amount],MATCH($D6&amp;$D$3&amp;R$4,CashIntraTable[RefRng],0)),0)</f>
        <v>-1178648647.5899999</v>
      </c>
      <c r="S6" s="68">
        <f ca="1">IFERROR(INDEX(CashIntraTable[Amount],MATCH($D6&amp;$D$3&amp;S$4,CashIntraTable[RefRng],0)),0)</f>
        <v>-369686073.77999997</v>
      </c>
      <c r="U6" s="94">
        <v>314141437.80000001</v>
      </c>
      <c r="V6" s="68">
        <v>25727031.899999999</v>
      </c>
      <c r="W6" s="68">
        <v>98517550.469999999</v>
      </c>
      <c r="X6" s="68">
        <v>-1178648647.5899999</v>
      </c>
      <c r="Y6" s="68">
        <v>-369686073.77999997</v>
      </c>
    </row>
    <row r="7" spans="1:27" x14ac:dyDescent="0.2">
      <c r="A7" t="s">
        <v>338</v>
      </c>
      <c r="B7" s="114"/>
      <c r="D7" s="67" t="str">
        <v>SCBTMF</v>
      </c>
      <c r="E7" s="68">
        <f ca="1">INDIRECT("'"&amp;$D7&amp;"'!"&amp;ADDRESS(9,$D$1+1))</f>
        <v>105075021.05</v>
      </c>
      <c r="F7" s="68">
        <f t="shared" ref="F7:F14" ca="1" si="1">INDIRECT("'"&amp;$D7&amp;"'!"&amp;ADDRESS(10,$D$1+1))</f>
        <v>-98000000</v>
      </c>
      <c r="G7" s="68">
        <f t="shared" ref="G7:G14" ca="1" si="2">INDIRECT("'"&amp;$D7&amp;"'!"&amp;ADDRESS(41,($D$1)+1))</f>
        <v>3442272.3400000185</v>
      </c>
      <c r="H7" s="68">
        <f t="shared" ref="H7:H14" ca="1" si="3">INDIRECT("'"&amp;$D7&amp;"'!"&amp;ADDRESS(41,($D$1)+2))</f>
        <v>3897544.6600000183</v>
      </c>
      <c r="I7" s="68">
        <f t="shared" ref="I7:I14" ca="1" si="4">INDIRECT("'"&amp;$D7&amp;"'!"&amp;ADDRESS(41,($D$1)+3))</f>
        <v>226397544.66000003</v>
      </c>
      <c r="J7" s="68">
        <f t="shared" ca="1" si="0"/>
        <v>10517293.390000015</v>
      </c>
      <c r="K7" s="68">
        <f t="shared" ref="K7:K14" ca="1" si="5">INDIRECT("'"&amp;$D7&amp;"'!"&amp;ADDRESS(44,$D$1))</f>
        <v>3546765833</v>
      </c>
      <c r="L7" s="69">
        <f t="shared" ref="L7:L14" ca="1" si="6">J7/K7</f>
        <v>2.965319360005241E-3</v>
      </c>
      <c r="M7" s="68">
        <f t="shared" ref="M7:M14" ca="1" si="7">(SUM(OFFSET(INDIRECT("'"&amp;$D7&amp;"'!"&amp;ADDRESS(16,($D$1))),,,4))-SUM(U7:W7)) + (-SUM(OFFSET(INDIRECT("'"&amp;$D7&amp;"'!"&amp;ADDRESS(30,($D$1))),,,2))-SUM(X7:Y7))</f>
        <v>21.77000000141561</v>
      </c>
      <c r="O7" s="94">
        <f ca="1">IFERROR(INDEX(CashIntraTable[Amount],MATCH($D7&amp;$D$3&amp;O$4,CashIntraTable[RefRng],0)),0)</f>
        <v>3333077.79</v>
      </c>
      <c r="P7" s="68">
        <f ca="1">IFERROR(INDEX(CashIntraTable[Amount],MATCH($D7&amp;$D$3&amp;P$4,CashIntraTable[RefRng],0)),0)</f>
        <v>3500000</v>
      </c>
      <c r="Q7" s="68">
        <f ca="1">IFERROR(INDEX(CashIntraTable[Amount],MATCH($D7&amp;$D$3&amp;Q$4,CashIntraTable[RefRng],0)),0)</f>
        <v>15865.09</v>
      </c>
      <c r="R7" s="68">
        <f ca="1">IFERROR(INDEX(CashIntraTable[Amount],MATCH($D7&amp;$D$3&amp;R$4,CashIntraTable[RefRng],0)),0)</f>
        <v>-21003955.82</v>
      </c>
      <c r="S7" s="68">
        <f ca="1">IFERROR(INDEX(CashIntraTable[Amount],MATCH($D7&amp;$D$3&amp;S$4,CashIntraTable[RefRng],0)),0)</f>
        <v>-1581171.93</v>
      </c>
      <c r="U7" s="94">
        <v>3333077.79</v>
      </c>
      <c r="V7" s="68">
        <v>3500000</v>
      </c>
      <c r="W7" s="68">
        <v>15865.09</v>
      </c>
      <c r="X7" s="68">
        <v>-21003955.82</v>
      </c>
      <c r="Y7" s="68">
        <v>-1581171.93</v>
      </c>
    </row>
    <row r="8" spans="1:27" x14ac:dyDescent="0.2">
      <c r="A8" t="s">
        <v>339</v>
      </c>
      <c r="C8" s="4"/>
      <c r="D8" s="66" t="str">
        <v>SCBTMFPLUS</v>
      </c>
      <c r="E8" s="68">
        <f t="shared" ref="E7:E14" ca="1" si="8">INDIRECT("'"&amp;$D8&amp;"'!"&amp;ADDRESS(9,$D$1+1))</f>
        <v>110816728.56</v>
      </c>
      <c r="F8" s="68">
        <f t="shared" ca="1" si="1"/>
        <v>-82000000</v>
      </c>
      <c r="G8" s="68">
        <f t="shared" ca="1" si="2"/>
        <v>3626721.7799999714</v>
      </c>
      <c r="H8" s="68">
        <f t="shared" ca="1" si="3"/>
        <v>3681879.9099999713</v>
      </c>
      <c r="I8" s="68">
        <f t="shared" ca="1" si="4"/>
        <v>92681879.909999967</v>
      </c>
      <c r="J8" s="68">
        <f t="shared" ca="1" si="0"/>
        <v>32443450.339999974</v>
      </c>
      <c r="K8" s="68">
        <f t="shared" ca="1" si="5"/>
        <v>11693279360.700001</v>
      </c>
      <c r="L8" s="69">
        <f t="shared" ca="1" si="6"/>
        <v>2.7745382060262174E-3</v>
      </c>
      <c r="M8" s="68">
        <f t="shared" ca="1" si="7"/>
        <v>132.89999997615814</v>
      </c>
      <c r="O8" s="94">
        <f ca="1">IFERROR(INDEX(CashIntraTable[Amount],MATCH($D8&amp;$D$3&amp;O$4,CashIntraTable[RefRng],0)),0)</f>
        <v>122094293.97</v>
      </c>
      <c r="P8" s="68">
        <f ca="1">IFERROR(INDEX(CashIntraTable[Amount],MATCH($D8&amp;$D$3&amp;P$4,CashIntraTable[RefRng],0)),0)</f>
        <v>640000</v>
      </c>
      <c r="Q8" s="68">
        <f ca="1">IFERROR(INDEX(CashIntraTable[Amount],MATCH($D8&amp;$D$3&amp;Q$4,CashIntraTable[RefRng],0)),0)</f>
        <v>942858.7</v>
      </c>
      <c r="R8" s="68">
        <f ca="1">IFERROR(INDEX(CashIntraTable[Amount],MATCH($D8&amp;$D$3&amp;R$4,CashIntraTable[RefRng],0)),0)</f>
        <v>-234074868.63999999</v>
      </c>
      <c r="S8" s="68">
        <f ca="1">IFERROR(INDEX(CashIntraTable[Amount],MATCH($D8&amp;$D$3&amp;S$4,CashIntraTable[RefRng],0)),0)</f>
        <v>-760000</v>
      </c>
      <c r="U8" s="94">
        <v>122094293.97</v>
      </c>
      <c r="V8" s="68">
        <v>640000</v>
      </c>
      <c r="W8" s="68">
        <v>942858.7</v>
      </c>
      <c r="X8" s="68">
        <v>-234074868.63999999</v>
      </c>
      <c r="Y8" s="68">
        <v>-760000</v>
      </c>
    </row>
    <row r="9" spans="1:27" x14ac:dyDescent="0.2">
      <c r="A9" t="s">
        <v>335</v>
      </c>
      <c r="C9" s="4"/>
      <c r="D9" s="66" t="str">
        <v>SCBRF</v>
      </c>
      <c r="E9" s="68">
        <f t="shared" ca="1" si="8"/>
        <v>1434247.1099999994</v>
      </c>
      <c r="F9" s="68">
        <f t="shared" ca="1" si="1"/>
        <v>-1400000</v>
      </c>
      <c r="G9" s="68">
        <f t="shared" ca="1" si="2"/>
        <v>138818.1099999994</v>
      </c>
      <c r="H9" s="68">
        <f t="shared" ca="1" si="3"/>
        <v>265324.40999999939</v>
      </c>
      <c r="I9" s="68">
        <f t="shared" ca="1" si="4"/>
        <v>265324.40999999939</v>
      </c>
      <c r="J9" s="68">
        <f t="shared" ca="1" si="0"/>
        <v>173065.21999999881</v>
      </c>
      <c r="K9" s="68">
        <f t="shared" ca="1" si="5"/>
        <v>590010219.96999991</v>
      </c>
      <c r="L9" s="69">
        <f t="shared" ca="1" si="6"/>
        <v>2.9332580037138781E-4</v>
      </c>
      <c r="M9" s="68">
        <f t="shared" ca="1" si="7"/>
        <v>0</v>
      </c>
      <c r="O9" s="94">
        <f ca="1">IFERROR(INDEX(CashIntraTable[Amount],MATCH($D9&amp;$D$3&amp;O$4,CashIntraTable[RefRng],0)),0)</f>
        <v>116000</v>
      </c>
      <c r="P9" s="68">
        <f ca="1">IFERROR(INDEX(CashIntraTable[Amount],MATCH($D9&amp;$D$3&amp;P$4,CashIntraTable[RefRng],0)),0)</f>
        <v>0</v>
      </c>
      <c r="Q9" s="68">
        <f ca="1">IFERROR(INDEX(CashIntraTable[Amount],MATCH($D9&amp;$D$3&amp;Q$4,CashIntraTable[RefRng],0)),0)</f>
        <v>0</v>
      </c>
      <c r="R9" s="68">
        <f ca="1">IFERROR(INDEX(CashIntraTable[Amount],MATCH($D9&amp;$D$3&amp;R$4,CashIntraTable[RefRng],0)),0)</f>
        <v>0</v>
      </c>
      <c r="S9" s="68">
        <f ca="1">IFERROR(INDEX(CashIntraTable[Amount],MATCH($D9&amp;$D$3&amp;S$4,CashIntraTable[RefRng],0)),0)</f>
        <v>0</v>
      </c>
      <c r="U9" s="94">
        <v>116000</v>
      </c>
      <c r="V9" s="68">
        <v>0</v>
      </c>
      <c r="W9" s="68">
        <v>0</v>
      </c>
      <c r="X9" s="68">
        <v>0</v>
      </c>
      <c r="Y9" s="68">
        <v>0</v>
      </c>
    </row>
    <row r="10" spans="1:27" x14ac:dyDescent="0.2">
      <c r="A10" t="s">
        <v>336</v>
      </c>
      <c r="C10" s="4"/>
      <c r="D10" s="66" t="str">
        <v>SCBRM1</v>
      </c>
      <c r="E10" s="68">
        <f t="shared" ca="1" si="8"/>
        <v>310271.09000000358</v>
      </c>
      <c r="F10" s="68">
        <f t="shared" ca="1" si="1"/>
        <v>22000000</v>
      </c>
      <c r="G10" s="68">
        <f t="shared" ca="1" si="2"/>
        <v>5109316.9099999964</v>
      </c>
      <c r="H10" s="68">
        <f t="shared" ca="1" si="3"/>
        <v>142420918.50999999</v>
      </c>
      <c r="I10" s="68">
        <f t="shared" ca="1" si="4"/>
        <v>142767287.13999999</v>
      </c>
      <c r="J10" s="68">
        <f t="shared" ca="1" si="0"/>
        <v>27419588</v>
      </c>
      <c r="K10" s="68">
        <f t="shared" ca="1" si="5"/>
        <v>9707884972.3400021</v>
      </c>
      <c r="L10" s="69">
        <f t="shared" ca="1" si="6"/>
        <v>2.8244656872351407E-3</v>
      </c>
      <c r="M10" s="68">
        <f t="shared" ca="1" si="7"/>
        <v>3088.0499999970198</v>
      </c>
      <c r="O10" s="94">
        <f ca="1">IFERROR(INDEX(CashIntraTable[Amount],MATCH($D10&amp;$D$3&amp;O$4,CashIntraTable[RefRng],0)),0)</f>
        <v>2689200</v>
      </c>
      <c r="P10" s="68">
        <f ca="1">IFERROR(INDEX(CashIntraTable[Amount],MATCH($D10&amp;$D$3&amp;P$4,CashIntraTable[RefRng],0)),0)</f>
        <v>5596750</v>
      </c>
      <c r="Q10" s="68">
        <f ca="1">IFERROR(INDEX(CashIntraTable[Amount],MATCH($D10&amp;$D$3&amp;Q$4,CashIntraTable[RefRng],0)),0)</f>
        <v>2010938.85</v>
      </c>
      <c r="R10" s="68">
        <f ca="1">IFERROR(INDEX(CashIntraTable[Amount],MATCH($D10&amp;$D$3&amp;R$4,CashIntraTable[RefRng],0)),0)</f>
        <v>-5833350.0800000001</v>
      </c>
      <c r="S10" s="68">
        <f ca="1">IFERROR(INDEX(CashIntraTable[Amount],MATCH($D10&amp;$D$3&amp;S$4,CashIntraTable[RefRng],0)),0)</f>
        <v>-41059173.93</v>
      </c>
      <c r="U10" s="94">
        <v>2689200</v>
      </c>
      <c r="V10" s="68">
        <v>5596750</v>
      </c>
      <c r="W10" s="68">
        <v>2010938.85</v>
      </c>
      <c r="X10" s="68">
        <v>-5833350.0800000001</v>
      </c>
      <c r="Y10" s="68">
        <v>-41059173.93</v>
      </c>
    </row>
    <row r="11" spans="1:27" x14ac:dyDescent="0.2">
      <c r="A11" t="s">
        <v>334</v>
      </c>
      <c r="C11" s="4"/>
      <c r="D11" s="66" t="str">
        <v>SCBRM2</v>
      </c>
      <c r="E11" s="68">
        <f t="shared" ca="1" si="8"/>
        <v>64128950.960000008</v>
      </c>
      <c r="F11" s="68">
        <f t="shared" ca="1" si="1"/>
        <v>80000000</v>
      </c>
      <c r="G11" s="68">
        <f t="shared" ca="1" si="2"/>
        <v>6769890.6399999857</v>
      </c>
      <c r="H11" s="68">
        <f t="shared" ca="1" si="3"/>
        <v>7802215.959999986</v>
      </c>
      <c r="I11" s="68">
        <f t="shared" ca="1" si="4"/>
        <v>8723674.2399999853</v>
      </c>
      <c r="J11" s="68">
        <f t="shared" ca="1" si="0"/>
        <v>150898841.59999999</v>
      </c>
      <c r="K11" s="68">
        <f t="shared" ca="1" si="5"/>
        <v>6159993575.0999994</v>
      </c>
      <c r="L11" s="69">
        <f t="shared" ca="1" si="6"/>
        <v>2.4496590744828878E-2</v>
      </c>
      <c r="M11" s="68">
        <f t="shared" ca="1" si="7"/>
        <v>-869.03000000119209</v>
      </c>
      <c r="O11" s="94">
        <f ca="1">IFERROR(INDEX(CashIntraTable[Amount],MATCH($D11&amp;$D$3&amp;O$4,CashIntraTable[RefRng],0)),0)</f>
        <v>1613200</v>
      </c>
      <c r="P11" s="68">
        <f ca="1">IFERROR(INDEX(CashIntraTable[Amount],MATCH($D11&amp;$D$3&amp;P$4,CashIntraTable[RefRng],0)),0)</f>
        <v>4299520</v>
      </c>
      <c r="Q11" s="68">
        <f ca="1">IFERROR(INDEX(CashIntraTable[Amount],MATCH($D11&amp;$D$3&amp;Q$4,CashIntraTable[RefRng],0)),0)</f>
        <v>3561166.83</v>
      </c>
      <c r="R11" s="68">
        <f ca="1">IFERROR(INDEX(CashIntraTable[Amount],MATCH($D11&amp;$D$3&amp;R$4,CashIntraTable[RefRng],0)),0)</f>
        <v>-732978.36</v>
      </c>
      <c r="S11" s="68">
        <f ca="1">IFERROR(INDEX(CashIntraTable[Amount],MATCH($D11&amp;$D$3&amp;S$4,CashIntraTable[RefRng],0)),0)</f>
        <v>-9752725.7899999991</v>
      </c>
      <c r="U11" s="94">
        <v>1613200</v>
      </c>
      <c r="V11" s="68">
        <v>4299520</v>
      </c>
      <c r="W11" s="68">
        <v>3561166.83</v>
      </c>
      <c r="X11" s="68">
        <v>-732978.36</v>
      </c>
      <c r="Y11" s="68">
        <v>-9752725.7899999991</v>
      </c>
    </row>
    <row r="12" spans="1:27" x14ac:dyDescent="0.2">
      <c r="C12" s="4"/>
      <c r="D12" s="66" t="str">
        <v>SCBFPFUND</v>
      </c>
      <c r="E12" s="68">
        <f t="shared" ca="1" si="8"/>
        <v>10640424.210000008</v>
      </c>
      <c r="F12" s="68">
        <f t="shared" ca="1" si="1"/>
        <v>0</v>
      </c>
      <c r="G12" s="68">
        <f t="shared" ca="1" si="2"/>
        <v>62093060.430000067</v>
      </c>
      <c r="H12" s="68">
        <f t="shared" ca="1" si="3"/>
        <v>66478734.290000066</v>
      </c>
      <c r="I12" s="68">
        <f t="shared" ca="1" si="4"/>
        <v>66792399.040000066</v>
      </c>
      <c r="J12" s="68">
        <f t="shared" ca="1" si="0"/>
        <v>72733484.640000075</v>
      </c>
      <c r="K12" s="68">
        <f t="shared" ca="1" si="5"/>
        <v>55340906214.910004</v>
      </c>
      <c r="L12" s="69">
        <f t="shared" ca="1" si="6"/>
        <v>1.3142806942399534E-3</v>
      </c>
      <c r="M12" s="68">
        <f t="shared" ca="1" si="7"/>
        <v>-8296.3400000035763</v>
      </c>
      <c r="O12" s="94">
        <f ca="1">IFERROR(INDEX(CashIntraTable[Amount],MATCH($D12&amp;$D$3&amp;O$4,CashIntraTable[RefRng],0)),0)</f>
        <v>51323045</v>
      </c>
      <c r="P12" s="68">
        <f ca="1">IFERROR(INDEX(CashIntraTable[Amount],MATCH($D12&amp;$D$3&amp;P$4,CashIntraTable[RefRng],0)),0)</f>
        <v>0</v>
      </c>
      <c r="Q12" s="68">
        <f ca="1">IFERROR(INDEX(CashIntraTable[Amount],MATCH($D12&amp;$D$3&amp;Q$4,CashIntraTable[RefRng],0)),0)</f>
        <v>324690.78999999998</v>
      </c>
      <c r="R12" s="68">
        <f ca="1">IFERROR(INDEX(CashIntraTable[Amount],MATCH($D12&amp;$D$3&amp;R$4,CashIntraTable[RefRng],0)),0)</f>
        <v>-62474967.439999998</v>
      </c>
      <c r="S12" s="68">
        <f ca="1">IFERROR(INDEX(CashIntraTable[Amount],MATCH($D12&amp;$D$3&amp;S$4,CashIntraTable[RefRng],0)),0)</f>
        <v>-63164799.850000001</v>
      </c>
      <c r="U12" s="94">
        <v>51323045</v>
      </c>
      <c r="V12" s="68">
        <v>0</v>
      </c>
      <c r="W12" s="68">
        <v>324690.78999999998</v>
      </c>
      <c r="X12" s="68">
        <v>-62474967.439999998</v>
      </c>
      <c r="Y12" s="68">
        <v>-63164799.850000001</v>
      </c>
    </row>
    <row r="13" spans="1:27" x14ac:dyDescent="0.2">
      <c r="C13" s="4"/>
      <c r="D13" s="66" t="str">
        <v>SCBPLUS</v>
      </c>
      <c r="E13" s="68">
        <f t="shared" ca="1" si="8"/>
        <v>153570.5</v>
      </c>
      <c r="F13" s="68">
        <f t="shared" ca="1" si="1"/>
        <v>30000000</v>
      </c>
      <c r="G13" s="68">
        <f t="shared" ca="1" si="2"/>
        <v>8553802.8399998397</v>
      </c>
      <c r="H13" s="68">
        <f t="shared" ca="1" si="3"/>
        <v>10864825.809999838</v>
      </c>
      <c r="I13" s="68">
        <f t="shared" ca="1" si="4"/>
        <v>60864825.809999838</v>
      </c>
      <c r="J13" s="68">
        <f t="shared" ca="1" si="0"/>
        <v>38707373.33999984</v>
      </c>
      <c r="K13" s="68">
        <f t="shared" ca="1" si="5"/>
        <v>21311055833.629997</v>
      </c>
      <c r="L13" s="69">
        <f t="shared" ca="1" si="6"/>
        <v>1.8163048157809954E-3</v>
      </c>
      <c r="M13" s="68">
        <f t="shared" ca="1" si="7"/>
        <v>-10173.170000001788</v>
      </c>
      <c r="O13" s="94">
        <f ca="1">IFERROR(INDEX(CashIntraTable[Amount],MATCH($D13&amp;$D$3&amp;O$4,CashIntraTable[RefRng],0)),0)</f>
        <v>1911223.79</v>
      </c>
      <c r="P13" s="68">
        <f ca="1">IFERROR(INDEX(CashIntraTable[Amount],MATCH($D13&amp;$D$3&amp;P$4,CashIntraTable[RefRng],0)),0)</f>
        <v>5026615.3099999996</v>
      </c>
      <c r="Q13" s="68">
        <f ca="1">IFERROR(INDEX(CashIntraTable[Amount],MATCH($D13&amp;$D$3&amp;Q$4,CashIntraTable[RefRng],0)),0)</f>
        <v>31233422.140000001</v>
      </c>
      <c r="R13" s="68">
        <f ca="1">IFERROR(INDEX(CashIntraTable[Amount],MATCH($D13&amp;$D$3&amp;R$4,CashIntraTable[RefRng],0)),0)</f>
        <v>0</v>
      </c>
      <c r="S13" s="68">
        <f ca="1">IFERROR(INDEX(CashIntraTable[Amount],MATCH($D13&amp;$D$3&amp;S$4,CashIntraTable[RefRng],0)),0)</f>
        <v>0</v>
      </c>
      <c r="U13" s="94">
        <v>1911223.79</v>
      </c>
      <c r="V13" s="68">
        <v>5000000</v>
      </c>
      <c r="W13" s="68">
        <v>31233422.140000001</v>
      </c>
      <c r="X13" s="68">
        <v>0</v>
      </c>
      <c r="Y13" s="68">
        <v>0</v>
      </c>
    </row>
    <row r="14" spans="1:27" x14ac:dyDescent="0.2">
      <c r="C14" s="4"/>
      <c r="D14" s="66" t="str">
        <v>SCBFIXED</v>
      </c>
      <c r="E14" s="68">
        <f t="shared" ca="1" si="8"/>
        <v>6007009.5800000001</v>
      </c>
      <c r="F14" s="68">
        <f t="shared" ca="1" si="1"/>
        <v>0</v>
      </c>
      <c r="G14" s="68">
        <f t="shared" ca="1" si="2"/>
        <v>3166592.7399999872</v>
      </c>
      <c r="H14" s="68">
        <f t="shared" ca="1" si="3"/>
        <v>3168494.1099999873</v>
      </c>
      <c r="I14" s="68">
        <f t="shared" ca="1" si="4"/>
        <v>3168494.1099999873</v>
      </c>
      <c r="J14" s="68">
        <f t="shared" ca="1" si="0"/>
        <v>9173602.3199999873</v>
      </c>
      <c r="K14" s="68">
        <f t="shared" ca="1" si="5"/>
        <v>1498824058.0999999</v>
      </c>
      <c r="L14" s="69">
        <f t="shared" ca="1" si="6"/>
        <v>6.120533140913818E-3</v>
      </c>
      <c r="M14" s="68">
        <f t="shared" ca="1" si="7"/>
        <v>-12.980000000214204</v>
      </c>
      <c r="O14" s="94">
        <f ca="1">IFERROR(INDEX(CashIntraTable[Amount],MATCH($D14&amp;$D$3&amp;O$4,CashIntraTable[RefRng],0)),0)</f>
        <v>2507000</v>
      </c>
      <c r="P14" s="68">
        <f ca="1">IFERROR(INDEX(CashIntraTable[Amount],MATCH($D14&amp;$D$3&amp;P$4,CashIntraTable[RefRng],0)),0)</f>
        <v>0</v>
      </c>
      <c r="Q14" s="68">
        <f ca="1">IFERROR(INDEX(CashIntraTable[Amount],MATCH($D14&amp;$D$3&amp;Q$4,CashIntraTable[RefRng],0)),0)</f>
        <v>526321.43000000005</v>
      </c>
      <c r="R14" s="68">
        <f ca="1">IFERROR(INDEX(CashIntraTable[Amount],MATCH($D14&amp;$D$3&amp;R$4,CashIntraTable[RefRng],0)),0)</f>
        <v>-1477127.14</v>
      </c>
      <c r="S14" s="68">
        <f ca="1">IFERROR(INDEX(CashIntraTable[Amount],MATCH($D14&amp;$D$3&amp;S$4,CashIntraTable[RefRng],0)),0)</f>
        <v>-506000.62</v>
      </c>
      <c r="U14" s="94">
        <v>2507000</v>
      </c>
      <c r="V14" s="68">
        <v>0</v>
      </c>
      <c r="W14" s="68">
        <v>526321.43000000005</v>
      </c>
      <c r="X14" s="68">
        <v>-1477127.14</v>
      </c>
      <c r="Y14" s="68">
        <v>-506000.62</v>
      </c>
    </row>
    <row r="15" spans="1:27" x14ac:dyDescent="0.2">
      <c r="A15" s="11" t="s">
        <v>329</v>
      </c>
      <c r="C15" s="4"/>
    </row>
    <row r="16" spans="1:27" x14ac:dyDescent="0.2">
      <c r="A16" s="11" t="s">
        <v>333</v>
      </c>
      <c r="C16" s="4"/>
      <c r="O16" s="73"/>
    </row>
    <row r="17" spans="1:15" x14ac:dyDescent="0.2">
      <c r="A17" s="11" t="s">
        <v>330</v>
      </c>
      <c r="C17" s="4"/>
      <c r="D17" t="s">
        <v>1296</v>
      </c>
      <c r="O17" s="73"/>
    </row>
    <row r="18" spans="1:15" x14ac:dyDescent="0.2">
      <c r="A18" s="11" t="s">
        <v>331</v>
      </c>
      <c r="C18" s="4"/>
      <c r="M18" s="5"/>
    </row>
    <row r="19" spans="1:15" x14ac:dyDescent="0.2">
      <c r="A19" s="11" t="s">
        <v>332</v>
      </c>
      <c r="C19" s="4"/>
    </row>
    <row r="20" spans="1:15" x14ac:dyDescent="0.2">
      <c r="C20" s="4"/>
    </row>
    <row r="21" spans="1:15" x14ac:dyDescent="0.2">
      <c r="C21" s="4"/>
    </row>
    <row r="22" spans="1:15" x14ac:dyDescent="0.2">
      <c r="C22" s="4"/>
    </row>
    <row r="23" spans="1:15" x14ac:dyDescent="0.2">
      <c r="C23" s="4"/>
    </row>
    <row r="24" spans="1:15" x14ac:dyDescent="0.2">
      <c r="C24" s="4"/>
    </row>
    <row r="25" spans="1:15" x14ac:dyDescent="0.2">
      <c r="C25" s="4"/>
    </row>
    <row r="26" spans="1:15" x14ac:dyDescent="0.2">
      <c r="C26" s="4"/>
    </row>
    <row r="27" spans="1:15" x14ac:dyDescent="0.2">
      <c r="C27" s="4"/>
    </row>
    <row r="28" spans="1:15" x14ac:dyDescent="0.2">
      <c r="C28" s="4"/>
    </row>
    <row r="36" spans="4:22" x14ac:dyDescent="0.2">
      <c r="D36" s="1" t="s">
        <v>819</v>
      </c>
    </row>
    <row r="37" spans="4:22" x14ac:dyDescent="0.2">
      <c r="D37" s="9" t="s">
        <v>303</v>
      </c>
      <c r="E37" s="9" t="s">
        <v>813</v>
      </c>
      <c r="F37" s="9" t="s">
        <v>820</v>
      </c>
      <c r="G37" s="9" t="s">
        <v>821</v>
      </c>
      <c r="H37" s="9" t="s">
        <v>822</v>
      </c>
      <c r="I37" s="9" t="s">
        <v>375</v>
      </c>
      <c r="J37" s="9" t="s">
        <v>823</v>
      </c>
      <c r="K37" s="9" t="s">
        <v>824</v>
      </c>
      <c r="L37" s="9" t="s">
        <v>825</v>
      </c>
      <c r="M37" s="9" t="s">
        <v>826</v>
      </c>
      <c r="N37" s="9" t="s">
        <v>827</v>
      </c>
      <c r="O37" s="9" t="s">
        <v>828</v>
      </c>
      <c r="P37" s="9" t="s">
        <v>829</v>
      </c>
      <c r="Q37" s="9" t="s">
        <v>830</v>
      </c>
      <c r="R37" s="9" t="s">
        <v>831</v>
      </c>
      <c r="S37" s="9" t="s">
        <v>832</v>
      </c>
      <c r="T37" s="9" t="s">
        <v>833</v>
      </c>
      <c r="U37" s="9" t="s">
        <v>834</v>
      </c>
      <c r="V37" s="9" t="s">
        <v>835</v>
      </c>
    </row>
    <row r="38" spans="4:22" x14ac:dyDescent="0.2">
      <c r="D38" s="132" t="s">
        <v>17</v>
      </c>
      <c r="E38" s="133">
        <v>43398</v>
      </c>
      <c r="F38" s="134">
        <v>43399</v>
      </c>
      <c r="G38" s="135" t="s">
        <v>1272</v>
      </c>
      <c r="H38" s="135" t="s">
        <v>1272</v>
      </c>
      <c r="I38" s="135" t="s">
        <v>1274</v>
      </c>
      <c r="J38" s="132" t="s">
        <v>98</v>
      </c>
      <c r="K38" s="136"/>
      <c r="L38" s="137">
        <v>43433</v>
      </c>
      <c r="M38" s="132">
        <v>34</v>
      </c>
      <c r="N38" s="138">
        <v>1.3</v>
      </c>
      <c r="O38" s="139">
        <v>380000</v>
      </c>
      <c r="P38" s="140">
        <v>1000</v>
      </c>
      <c r="Q38" s="107">
        <v>998.79051000000004</v>
      </c>
      <c r="R38" s="108" t="s">
        <v>4002</v>
      </c>
      <c r="S38" s="109">
        <v>998.79051000000004</v>
      </c>
      <c r="T38" s="110" t="s">
        <v>4003</v>
      </c>
      <c r="U38" s="111">
        <v>379540393.80000001</v>
      </c>
      <c r="V38" s="112" t="s">
        <v>1273</v>
      </c>
    </row>
    <row r="39" spans="4:22" x14ac:dyDescent="0.2">
      <c r="D39" s="132" t="s">
        <v>17</v>
      </c>
      <c r="E39" s="133">
        <v>43398</v>
      </c>
      <c r="F39" s="134">
        <v>43399</v>
      </c>
      <c r="G39" s="135" t="s">
        <v>1272</v>
      </c>
      <c r="H39" s="135" t="s">
        <v>1272</v>
      </c>
      <c r="I39" s="135" t="s">
        <v>1274</v>
      </c>
      <c r="J39" s="132" t="s">
        <v>92</v>
      </c>
      <c r="K39" s="136"/>
      <c r="L39" s="137">
        <v>43412</v>
      </c>
      <c r="M39" s="132">
        <v>13</v>
      </c>
      <c r="N39" s="138">
        <v>1.3</v>
      </c>
      <c r="O39" s="139">
        <v>200000</v>
      </c>
      <c r="P39" s="140">
        <v>1000</v>
      </c>
      <c r="Q39" s="107">
        <v>999.53719999999998</v>
      </c>
      <c r="R39" s="108" t="s">
        <v>4002</v>
      </c>
      <c r="S39" s="109">
        <v>999.53719999999998</v>
      </c>
      <c r="T39" s="110" t="s">
        <v>4003</v>
      </c>
      <c r="U39" s="111">
        <v>199907440</v>
      </c>
      <c r="V39" s="112" t="s">
        <v>1273</v>
      </c>
    </row>
    <row r="40" spans="4:22" x14ac:dyDescent="0.2">
      <c r="D40" s="132" t="s">
        <v>17</v>
      </c>
      <c r="E40" s="133">
        <v>43398</v>
      </c>
      <c r="F40" s="134">
        <v>43399</v>
      </c>
      <c r="G40" s="135" t="s">
        <v>1272</v>
      </c>
      <c r="H40" s="135" t="s">
        <v>1272</v>
      </c>
      <c r="I40" s="135" t="s">
        <v>1274</v>
      </c>
      <c r="J40" s="132" t="s">
        <v>92</v>
      </c>
      <c r="K40" s="136"/>
      <c r="L40" s="137">
        <v>43412</v>
      </c>
      <c r="M40" s="132">
        <v>13</v>
      </c>
      <c r="N40" s="138">
        <v>1.3</v>
      </c>
      <c r="O40" s="139">
        <v>111000</v>
      </c>
      <c r="P40" s="140">
        <v>1000</v>
      </c>
      <c r="Q40" s="107">
        <v>999.53719999999998</v>
      </c>
      <c r="R40" s="108" t="s">
        <v>4002</v>
      </c>
      <c r="S40" s="109">
        <v>999.53719999999998</v>
      </c>
      <c r="T40" s="110" t="s">
        <v>4003</v>
      </c>
      <c r="U40" s="111">
        <v>110948629.2</v>
      </c>
      <c r="V40" s="112" t="s">
        <v>1273</v>
      </c>
    </row>
    <row r="41" spans="4:22" x14ac:dyDescent="0.2">
      <c r="D41" s="132" t="s">
        <v>338</v>
      </c>
      <c r="E41" s="133">
        <v>43398</v>
      </c>
      <c r="F41" s="134">
        <v>43399</v>
      </c>
      <c r="G41" s="135" t="s">
        <v>1272</v>
      </c>
      <c r="H41" s="135" t="s">
        <v>1272</v>
      </c>
      <c r="I41" s="135" t="s">
        <v>1274</v>
      </c>
      <c r="J41" s="132" t="s">
        <v>95</v>
      </c>
      <c r="K41" s="136"/>
      <c r="L41" s="137">
        <v>43426</v>
      </c>
      <c r="M41" s="132">
        <v>27</v>
      </c>
      <c r="N41" s="138">
        <v>1.3</v>
      </c>
      <c r="O41" s="139">
        <v>50000</v>
      </c>
      <c r="P41" s="140">
        <v>1000</v>
      </c>
      <c r="Q41" s="107">
        <v>999.03927999999996</v>
      </c>
      <c r="R41" s="108" t="s">
        <v>4002</v>
      </c>
      <c r="S41" s="109">
        <v>999.03927999999996</v>
      </c>
      <c r="T41" s="110" t="s">
        <v>4003</v>
      </c>
      <c r="U41" s="111">
        <v>49951964</v>
      </c>
      <c r="V41" s="112" t="s">
        <v>1273</v>
      </c>
    </row>
    <row r="42" spans="4:22" x14ac:dyDescent="0.2">
      <c r="D42" s="132" t="s">
        <v>132</v>
      </c>
      <c r="E42" s="133">
        <v>43398</v>
      </c>
      <c r="F42" s="134">
        <v>43399</v>
      </c>
      <c r="G42" s="135" t="s">
        <v>1272</v>
      </c>
      <c r="H42" s="135" t="s">
        <v>1272</v>
      </c>
      <c r="I42" s="135" t="s">
        <v>1274</v>
      </c>
      <c r="J42" s="132" t="s">
        <v>96</v>
      </c>
      <c r="K42" s="136"/>
      <c r="L42" s="137">
        <v>43433</v>
      </c>
      <c r="M42" s="132">
        <v>34</v>
      </c>
      <c r="N42" s="138">
        <v>1.3</v>
      </c>
      <c r="O42" s="139">
        <v>29000</v>
      </c>
      <c r="P42" s="140">
        <v>1000</v>
      </c>
      <c r="Q42" s="107">
        <v>998.79051000000004</v>
      </c>
      <c r="R42" s="108" t="s">
        <v>4002</v>
      </c>
      <c r="S42" s="109">
        <v>998.79051000000004</v>
      </c>
      <c r="T42" s="110" t="s">
        <v>4003</v>
      </c>
      <c r="U42" s="111">
        <v>28964924.789999999</v>
      </c>
      <c r="V42" s="112" t="s">
        <v>1273</v>
      </c>
    </row>
    <row r="43" spans="4:22" x14ac:dyDescent="0.2">
      <c r="D43" s="132" t="s">
        <v>17</v>
      </c>
      <c r="E43" s="133">
        <v>43398</v>
      </c>
      <c r="F43" s="134">
        <v>43399</v>
      </c>
      <c r="G43" s="135" t="s">
        <v>1272</v>
      </c>
      <c r="H43" s="135" t="s">
        <v>1272</v>
      </c>
      <c r="I43" s="135" t="s">
        <v>1274</v>
      </c>
      <c r="J43" s="132" t="s">
        <v>98</v>
      </c>
      <c r="K43" s="136"/>
      <c r="L43" s="137">
        <v>43433</v>
      </c>
      <c r="M43" s="132">
        <v>34</v>
      </c>
      <c r="N43" s="138">
        <v>1.3</v>
      </c>
      <c r="O43" s="139">
        <v>40000</v>
      </c>
      <c r="P43" s="140">
        <v>1000</v>
      </c>
      <c r="Q43" s="107">
        <v>998.79051000000004</v>
      </c>
      <c r="R43" s="108" t="s">
        <v>4002</v>
      </c>
      <c r="S43" s="109">
        <v>998.79051000000004</v>
      </c>
      <c r="T43" s="110" t="s">
        <v>4003</v>
      </c>
      <c r="U43" s="111">
        <v>39951620.399999999</v>
      </c>
      <c r="V43" s="112" t="s">
        <v>1273</v>
      </c>
    </row>
    <row r="44" spans="4:22" x14ac:dyDescent="0.2">
      <c r="D44" s="132" t="s">
        <v>132</v>
      </c>
      <c r="E44" s="133">
        <v>43398</v>
      </c>
      <c r="F44" s="134">
        <v>43399</v>
      </c>
      <c r="G44" s="135" t="s">
        <v>1272</v>
      </c>
      <c r="H44" s="135" t="s">
        <v>1272</v>
      </c>
      <c r="I44" s="135" t="s">
        <v>1274</v>
      </c>
      <c r="J44" s="132" t="s">
        <v>98</v>
      </c>
      <c r="K44" s="136"/>
      <c r="L44" s="137">
        <v>43433</v>
      </c>
      <c r="M44" s="132">
        <v>34</v>
      </c>
      <c r="N44" s="138">
        <v>1.3</v>
      </c>
      <c r="O44" s="139">
        <v>40000</v>
      </c>
      <c r="P44" s="140">
        <v>1000</v>
      </c>
      <c r="Q44" s="107">
        <v>998.79051000000004</v>
      </c>
      <c r="R44" s="108" t="s">
        <v>4002</v>
      </c>
      <c r="S44" s="109">
        <v>998.79051000000004</v>
      </c>
      <c r="T44" s="110" t="s">
        <v>4003</v>
      </c>
      <c r="U44" s="111">
        <v>39951620.399999999</v>
      </c>
      <c r="V44" s="112" t="s">
        <v>1273</v>
      </c>
    </row>
    <row r="45" spans="4:22" x14ac:dyDescent="0.2">
      <c r="D45" s="132" t="s">
        <v>336</v>
      </c>
      <c r="E45" s="133">
        <v>43398</v>
      </c>
      <c r="F45" s="134">
        <v>43399</v>
      </c>
      <c r="G45" s="135" t="s">
        <v>1275</v>
      </c>
      <c r="H45" s="135" t="s">
        <v>1272</v>
      </c>
      <c r="I45" s="135" t="s">
        <v>1274</v>
      </c>
      <c r="J45" s="132" t="s">
        <v>98</v>
      </c>
      <c r="K45" s="136"/>
      <c r="L45" s="137">
        <v>43433</v>
      </c>
      <c r="M45" s="132">
        <v>34</v>
      </c>
      <c r="N45" s="138">
        <v>1.3</v>
      </c>
      <c r="O45" s="139">
        <v>71000</v>
      </c>
      <c r="P45" s="140">
        <v>1000</v>
      </c>
      <c r="Q45" s="107">
        <v>998.79051000000004</v>
      </c>
      <c r="R45" s="108" t="s">
        <v>4002</v>
      </c>
      <c r="S45" s="109">
        <v>998.79051000000004</v>
      </c>
      <c r="T45" s="110" t="s">
        <v>4003</v>
      </c>
      <c r="U45" s="111">
        <v>70914126.209999993</v>
      </c>
      <c r="V45" s="112" t="s">
        <v>1273</v>
      </c>
    </row>
    <row r="46" spans="4:22" x14ac:dyDescent="0.2">
      <c r="D46" s="132" t="s">
        <v>337</v>
      </c>
      <c r="E46" s="133">
        <v>43398</v>
      </c>
      <c r="F46" s="134">
        <v>43399</v>
      </c>
      <c r="G46" s="135" t="s">
        <v>1275</v>
      </c>
      <c r="H46" s="135" t="s">
        <v>1272</v>
      </c>
      <c r="I46" s="135" t="s">
        <v>1274</v>
      </c>
      <c r="J46" s="132" t="s">
        <v>98</v>
      </c>
      <c r="K46" s="136"/>
      <c r="L46" s="137">
        <v>43433</v>
      </c>
      <c r="M46" s="132">
        <v>34</v>
      </c>
      <c r="N46" s="138">
        <v>1.3</v>
      </c>
      <c r="O46" s="139">
        <v>9000</v>
      </c>
      <c r="P46" s="140">
        <v>1000</v>
      </c>
      <c r="Q46" s="107">
        <v>998.79051000000004</v>
      </c>
      <c r="R46" s="108" t="s">
        <v>4002</v>
      </c>
      <c r="S46" s="109">
        <v>998.79051000000004</v>
      </c>
      <c r="T46" s="110" t="s">
        <v>4003</v>
      </c>
      <c r="U46" s="111">
        <v>8989114.5899999999</v>
      </c>
      <c r="V46" s="112" t="s">
        <v>1273</v>
      </c>
    </row>
    <row r="47" spans="4:22" x14ac:dyDescent="0.2">
      <c r="D47" s="132" t="s">
        <v>131</v>
      </c>
      <c r="E47" s="133">
        <v>43398</v>
      </c>
      <c r="F47" s="134">
        <v>43399</v>
      </c>
      <c r="G47" s="135" t="s">
        <v>1275</v>
      </c>
      <c r="H47" s="135" t="s">
        <v>1272</v>
      </c>
      <c r="I47" s="135" t="s">
        <v>1274</v>
      </c>
      <c r="J47" s="132" t="s">
        <v>4004</v>
      </c>
      <c r="K47" s="136"/>
      <c r="L47" s="137">
        <v>43483</v>
      </c>
      <c r="M47" s="132">
        <v>84</v>
      </c>
      <c r="N47" s="138">
        <v>1.3</v>
      </c>
      <c r="O47" s="139">
        <v>90000</v>
      </c>
      <c r="P47" s="140">
        <v>1000</v>
      </c>
      <c r="Q47" s="107">
        <v>997.01714000000004</v>
      </c>
      <c r="R47" s="108" t="s">
        <v>4002</v>
      </c>
      <c r="S47" s="109">
        <v>997.01714000000004</v>
      </c>
      <c r="T47" s="110" t="s">
        <v>4003</v>
      </c>
      <c r="U47" s="111">
        <v>89731542.599999994</v>
      </c>
      <c r="V47" s="112" t="s">
        <v>1273</v>
      </c>
    </row>
  </sheetData>
  <conditionalFormatting sqref="J5:J14">
    <cfRule type="cellIs" dxfId="582" priority="165" operator="lessThan">
      <formula>0</formula>
    </cfRule>
  </conditionalFormatting>
  <conditionalFormatting sqref="G38:G41">
    <cfRule type="cellIs" dxfId="53" priority="35" stopIfTrue="1" operator="equal">
      <formula>"s"</formula>
    </cfRule>
  </conditionalFormatting>
  <conditionalFormatting sqref="G38:G41">
    <cfRule type="cellIs" dxfId="52" priority="34" stopIfTrue="1" operator="equal">
      <formula>"s"</formula>
    </cfRule>
  </conditionalFormatting>
  <conditionalFormatting sqref="G38:G41">
    <cfRule type="cellIs" dxfId="51" priority="33" stopIfTrue="1" operator="equal">
      <formula>"s"</formula>
    </cfRule>
  </conditionalFormatting>
  <conditionalFormatting sqref="G38:G41">
    <cfRule type="cellIs" dxfId="50" priority="32" stopIfTrue="1" operator="equal">
      <formula>"s"</formula>
    </cfRule>
  </conditionalFormatting>
  <conditionalFormatting sqref="G38:G41">
    <cfRule type="cellIs" dxfId="49" priority="31" stopIfTrue="1" operator="equal">
      <formula>"s"</formula>
    </cfRule>
  </conditionalFormatting>
  <conditionalFormatting sqref="G38:G41">
    <cfRule type="cellIs" dxfId="48" priority="30" stopIfTrue="1" operator="equal">
      <formula>"s"</formula>
    </cfRule>
  </conditionalFormatting>
  <conditionalFormatting sqref="G38:G41">
    <cfRule type="cellIs" dxfId="47" priority="29" stopIfTrue="1" operator="equal">
      <formula>"s"</formula>
    </cfRule>
  </conditionalFormatting>
  <conditionalFormatting sqref="G42:G47">
    <cfRule type="cellIs" dxfId="46" priority="28" stopIfTrue="1" operator="equal">
      <formula>"s"</formula>
    </cfRule>
  </conditionalFormatting>
  <conditionalFormatting sqref="G42:G47">
    <cfRule type="cellIs" dxfId="45" priority="27" stopIfTrue="1" operator="equal">
      <formula>"s"</formula>
    </cfRule>
  </conditionalFormatting>
  <conditionalFormatting sqref="G42:G47">
    <cfRule type="cellIs" dxfId="44" priority="26" stopIfTrue="1" operator="equal">
      <formula>"s"</formula>
    </cfRule>
  </conditionalFormatting>
  <conditionalFormatting sqref="G42:G47">
    <cfRule type="cellIs" dxfId="43" priority="25" stopIfTrue="1" operator="equal">
      <formula>"s"</formula>
    </cfRule>
  </conditionalFormatting>
  <conditionalFormatting sqref="G42:G47">
    <cfRule type="cellIs" dxfId="42" priority="24" stopIfTrue="1" operator="equal">
      <formula>"s"</formula>
    </cfRule>
  </conditionalFormatting>
  <conditionalFormatting sqref="G42:G47">
    <cfRule type="cellIs" dxfId="41" priority="23" stopIfTrue="1" operator="equal">
      <formula>"s"</formula>
    </cfRule>
  </conditionalFormatting>
  <conditionalFormatting sqref="G42:G47">
    <cfRule type="cellIs" dxfId="40" priority="22" stopIfTrue="1" operator="equal">
      <formula>"s"</formula>
    </cfRule>
  </conditionalFormatting>
  <conditionalFormatting sqref="G43 G46:G47">
    <cfRule type="cellIs" dxfId="39" priority="21" stopIfTrue="1" operator="equal">
      <formula>"s"</formula>
    </cfRule>
  </conditionalFormatting>
  <conditionalFormatting sqref="G43 G46:G47">
    <cfRule type="cellIs" dxfId="38" priority="20" stopIfTrue="1" operator="equal">
      <formula>"s"</formula>
    </cfRule>
  </conditionalFormatting>
  <conditionalFormatting sqref="G43 G46:G47">
    <cfRule type="cellIs" dxfId="37" priority="19" stopIfTrue="1" operator="equal">
      <formula>"s"</formula>
    </cfRule>
  </conditionalFormatting>
  <conditionalFormatting sqref="G43 G46:G47">
    <cfRule type="cellIs" dxfId="36" priority="18" stopIfTrue="1" operator="equal">
      <formula>"s"</formula>
    </cfRule>
  </conditionalFormatting>
  <conditionalFormatting sqref="G43 G46:G47">
    <cfRule type="cellIs" dxfId="35" priority="17" stopIfTrue="1" operator="equal">
      <formula>"s"</formula>
    </cfRule>
  </conditionalFormatting>
  <conditionalFormatting sqref="G43 G46:G47">
    <cfRule type="cellIs" dxfId="34" priority="16" stopIfTrue="1" operator="equal">
      <formula>"s"</formula>
    </cfRule>
  </conditionalFormatting>
  <conditionalFormatting sqref="G43 G46:G47">
    <cfRule type="cellIs" dxfId="33" priority="15" stopIfTrue="1" operator="equal">
      <formula>"s"</formula>
    </cfRule>
  </conditionalFormatting>
  <conditionalFormatting sqref="G44">
    <cfRule type="cellIs" dxfId="32" priority="14" stopIfTrue="1" operator="equal">
      <formula>"s"</formula>
    </cfRule>
  </conditionalFormatting>
  <conditionalFormatting sqref="G44">
    <cfRule type="cellIs" dxfId="31" priority="13" stopIfTrue="1" operator="equal">
      <formula>"s"</formula>
    </cfRule>
  </conditionalFormatting>
  <conditionalFormatting sqref="G44">
    <cfRule type="cellIs" dxfId="30" priority="12" stopIfTrue="1" operator="equal">
      <formula>"s"</formula>
    </cfRule>
  </conditionalFormatting>
  <conditionalFormatting sqref="G44">
    <cfRule type="cellIs" dxfId="29" priority="11" stopIfTrue="1" operator="equal">
      <formula>"s"</formula>
    </cfRule>
  </conditionalFormatting>
  <conditionalFormatting sqref="G44">
    <cfRule type="cellIs" dxfId="28" priority="10" stopIfTrue="1" operator="equal">
      <formula>"s"</formula>
    </cfRule>
  </conditionalFormatting>
  <conditionalFormatting sqref="G44">
    <cfRule type="cellIs" dxfId="27" priority="9" stopIfTrue="1" operator="equal">
      <formula>"s"</formula>
    </cfRule>
  </conditionalFormatting>
  <conditionalFormatting sqref="G44">
    <cfRule type="cellIs" dxfId="26" priority="8" stopIfTrue="1" operator="equal">
      <formula>"s"</formula>
    </cfRule>
  </conditionalFormatting>
  <conditionalFormatting sqref="G45">
    <cfRule type="cellIs" dxfId="25" priority="7" stopIfTrue="1" operator="equal">
      <formula>"s"</formula>
    </cfRule>
  </conditionalFormatting>
  <conditionalFormatting sqref="G45">
    <cfRule type="cellIs" dxfId="24" priority="6" stopIfTrue="1" operator="equal">
      <formula>"s"</formula>
    </cfRule>
  </conditionalFormatting>
  <conditionalFormatting sqref="G45">
    <cfRule type="cellIs" dxfId="23" priority="5" stopIfTrue="1" operator="equal">
      <formula>"s"</formula>
    </cfRule>
  </conditionalFormatting>
  <conditionalFormatting sqref="G45">
    <cfRule type="cellIs" dxfId="22" priority="4" stopIfTrue="1" operator="equal">
      <formula>"s"</formula>
    </cfRule>
  </conditionalFormatting>
  <conditionalFormatting sqref="G45">
    <cfRule type="cellIs" dxfId="21" priority="3" stopIfTrue="1" operator="equal">
      <formula>"s"</formula>
    </cfRule>
  </conditionalFormatting>
  <conditionalFormatting sqref="G45">
    <cfRule type="cellIs" dxfId="20" priority="2" stopIfTrue="1" operator="equal">
      <formula>"s"</formula>
    </cfRule>
  </conditionalFormatting>
  <conditionalFormatting sqref="G45">
    <cfRule type="cellIs" dxfId="19" priority="1" stopIfTrue="1" operator="equal">
      <formula>"s"</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052" r:id="rId4" name="CashInBtn">
          <controlPr defaultSize="0" autoLine="0" r:id="rId5">
            <anchor moveWithCells="1">
              <from>
                <xdr:col>1</xdr:col>
                <xdr:colOff>66675</xdr:colOff>
                <xdr:row>2</xdr:row>
                <xdr:rowOff>76200</xdr:rowOff>
              </from>
              <to>
                <xdr:col>1</xdr:col>
                <xdr:colOff>1809750</xdr:colOff>
                <xdr:row>4</xdr:row>
                <xdr:rowOff>28575</xdr:rowOff>
              </to>
            </anchor>
          </controlPr>
        </control>
      </mc:Choice>
      <mc:Fallback>
        <control shapeId="2052" r:id="rId4" name="CashInBtn"/>
      </mc:Fallback>
    </mc:AlternateContent>
    <mc:AlternateContent xmlns:mc="http://schemas.openxmlformats.org/markup-compatibility/2006">
      <mc:Choice Requires="x14">
        <control shapeId="2054" r:id="rId6" name="Button 6">
          <controlPr defaultSize="0" print="0" autoFill="0" autoPict="0" macro="[0]!get_term_fund">
            <anchor moveWithCells="1" sizeWithCells="1">
              <from>
                <xdr:col>1</xdr:col>
                <xdr:colOff>66675</xdr:colOff>
                <xdr:row>5</xdr:row>
                <xdr:rowOff>19050</xdr:rowOff>
              </from>
              <to>
                <xdr:col>1</xdr:col>
                <xdr:colOff>1819275</xdr:colOff>
                <xdr:row>6</xdr:row>
                <xdr:rowOff>142875</xdr:rowOff>
              </to>
            </anchor>
          </controlPr>
        </control>
      </mc:Choice>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iconSet" priority="173" id="{B73E37F0-A993-49E1-B104-627C25095221}">
            <x14:iconSet iconSet="3Arrows" custom="1">
              <x14:cfvo type="percent">
                <xm:f>0</xm:f>
              </x14:cfvo>
              <x14:cfvo type="percent">
                <xm:f>0</xm:f>
              </x14:cfvo>
              <x14:cfvo type="num" gte="0">
                <xm:f>0</xm:f>
              </x14:cfvo>
              <x14:cfIcon iconSet="NoIcons" iconId="0"/>
              <x14:cfIcon iconSet="3Triangles" iconId="0"/>
              <x14:cfIcon iconSet="3Triangles" iconId="2"/>
            </x14:iconSet>
          </x14:cfRule>
          <xm:sqref>L5:L14</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15F2-453E-4E86-B384-F357C378B467}">
  <sheetPr codeName="Sheet18"/>
  <dimension ref="B1:R36"/>
  <sheetViews>
    <sheetView zoomScale="85" zoomScaleNormal="85" workbookViewId="0">
      <pane xSplit="4" ySplit="15" topLeftCell="E16" activePane="bottomRight" state="frozen"/>
      <selection activeCell="A2" sqref="A2"/>
      <selection pane="topRight" activeCell="E2" sqref="E2"/>
      <selection pane="bottomLeft" activeCell="A16" sqref="A16"/>
      <selection pane="bottomRight" activeCell="D44" sqref="D44"/>
    </sheetView>
  </sheetViews>
  <sheetFormatPr defaultRowHeight="14.25" x14ac:dyDescent="0.2"/>
  <cols>
    <col min="1" max="1" width="4" customWidth="1"/>
    <col min="2" max="2" width="18.125" customWidth="1"/>
    <col min="3" max="3" width="17.875" customWidth="1"/>
    <col min="4" max="4" width="20.375" customWidth="1"/>
    <col min="5" max="5" width="17.75" customWidth="1"/>
    <col min="6" max="6" width="17.375" customWidth="1"/>
    <col min="7" max="7" width="19.875" customWidth="1"/>
    <col min="8" max="8" width="15.25" customWidth="1"/>
    <col min="9" max="9" width="16.375" customWidth="1"/>
    <col min="10" max="10" width="17.75" customWidth="1"/>
    <col min="11" max="11" width="22.875" customWidth="1"/>
    <col min="12" max="12" width="19.625" customWidth="1"/>
    <col min="13" max="13" width="19.75" customWidth="1"/>
    <col min="14" max="14" width="18.25" customWidth="1"/>
    <col min="15" max="15" width="20.375" customWidth="1"/>
    <col min="16" max="16" width="20.875" customWidth="1"/>
    <col min="17" max="17" width="20.375" customWidth="1"/>
    <col min="18" max="18" width="17.375" bestFit="1" customWidth="1"/>
  </cols>
  <sheetData>
    <row r="1" spans="2:16" hidden="1" x14ac:dyDescent="0.2">
      <c r="B1" s="1" t="s">
        <v>1214</v>
      </c>
      <c r="C1" s="90">
        <f ca="1">MATCH(B4,SCBSFF!$5:$5,0)</f>
        <v>12</v>
      </c>
    </row>
    <row r="3" spans="2:16" x14ac:dyDescent="0.2">
      <c r="B3" s="123" t="s">
        <v>875</v>
      </c>
      <c r="C3" s="124" t="s">
        <v>1222</v>
      </c>
      <c r="D3" s="1"/>
    </row>
    <row r="4" spans="2:16" x14ac:dyDescent="0.2">
      <c r="B4" s="121">
        <f ca="1">TODAY()</f>
        <v>43398</v>
      </c>
      <c r="C4" s="122">
        <v>5.0000000000000001E-4</v>
      </c>
      <c r="D4" s="82">
        <v>0.02</v>
      </c>
      <c r="E4" s="83">
        <v>0.25</v>
      </c>
      <c r="F4" s="75" t="s">
        <v>867</v>
      </c>
      <c r="G4" s="89">
        <f ca="1">INDIRECT("'"&amp;$B$6&amp;"'!"&amp;ADDRESS(5,C1+3))</f>
        <v>43403</v>
      </c>
    </row>
    <row r="5" spans="2:16" x14ac:dyDescent="0.2">
      <c r="B5" s="84" t="s">
        <v>303</v>
      </c>
      <c r="C5" s="84" t="str">
        <f>"PV " &amp; TEXT(C4,"0.00%")</f>
        <v>PV 0.05%</v>
      </c>
      <c r="D5" s="84" t="s">
        <v>872</v>
      </c>
      <c r="E5" s="84" t="str">
        <f>TEXT(D4,"0%")&amp;" NAV"</f>
        <v>2% NAV</v>
      </c>
      <c r="F5" s="84" t="s">
        <v>865</v>
      </c>
      <c r="G5" s="84" t="s">
        <v>877</v>
      </c>
      <c r="H5" s="84" t="s">
        <v>866</v>
      </c>
      <c r="I5" s="84" t="s">
        <v>870</v>
      </c>
      <c r="J5" s="84" t="s">
        <v>869</v>
      </c>
      <c r="K5" s="84" t="s">
        <v>868</v>
      </c>
      <c r="L5" s="84" t="s">
        <v>871</v>
      </c>
      <c r="M5" s="84" t="s">
        <v>1207</v>
      </c>
      <c r="N5" s="84" t="s">
        <v>873</v>
      </c>
      <c r="O5" s="77"/>
      <c r="P5" s="77"/>
    </row>
    <row r="6" spans="2:16" x14ac:dyDescent="0.2">
      <c r="B6" s="65" t="str">
        <f t="array" ref="B6:B15">Main!D5:D14</f>
        <v>SCBSFF</v>
      </c>
      <c r="C6" s="85">
        <f ca="1">IF(M6&gt;E6,$E$4*$C$4*M6,$E$4*$C$4*E6)</f>
        <v>180422.60646912505</v>
      </c>
      <c r="D6" s="86">
        <f ca="1">$E$4*0.01%*E6</f>
        <v>36084.521293825012</v>
      </c>
      <c r="E6" s="87">
        <f t="shared" ref="E6:E15" ca="1" si="0">L6*$D$4</f>
        <v>1443380851.7530003</v>
      </c>
      <c r="F6" s="87">
        <f>1000*10^6</f>
        <v>1000000000</v>
      </c>
      <c r="G6" s="92">
        <v>500000</v>
      </c>
      <c r="H6" s="88">
        <f>(SUMPRODUCT((DataTable[HLD_Ratio])*(DataTable[HLD_Portfolio]=$B6),(DataTable[HLD_YieldCost])*(DataTable[HLD_Portfolio]=$B6))/SUMIF(DataTable[HLD_Portfolio],$B6,DataTable[HLD_Ratio]))/100</f>
        <v>1.53303147364275E-2</v>
      </c>
      <c r="I6" s="86">
        <f ca="1">(H6*(1/365)*L6)-J6</f>
        <v>1372964.5750304586</v>
      </c>
      <c r="J6" s="86">
        <f ca="1">(0.838645%/365)*L6</f>
        <v>1658197.4444087599</v>
      </c>
      <c r="K6" s="87">
        <f ca="1">INDIRECT("'"&amp;$B6&amp;"'!"&amp;ADDRESS(27,$C$1+3))</f>
        <v>400000000</v>
      </c>
      <c r="L6" s="87">
        <f ca="1">INDIRECT("'"&amp;$B6&amp;"'!"&amp;ADDRESS(51,$C$1+3))</f>
        <v>72169042587.650009</v>
      </c>
      <c r="M6" s="86">
        <f t="shared" ref="M6:M15" ca="1" si="1">K6-F6</f>
        <v>-600000000</v>
      </c>
      <c r="N6" s="115">
        <f ca="1">MROUND(IF(C6&lt;G6,M6,G6/($C$4*$E$4)),SIGN(IF(C6&lt;G6,M6,G6/($C$4*$E$4)))*10^6)</f>
        <v>-600000000</v>
      </c>
      <c r="O6" s="77"/>
    </row>
    <row r="7" spans="2:16" x14ac:dyDescent="0.2">
      <c r="B7" s="66" t="str">
        <v>SCBSFFPLUS</v>
      </c>
      <c r="C7" s="85">
        <f t="shared" ref="C7:C15" ca="1" si="2">IF(M7&gt;E7,$E$4*$C$4*M7,$E$4*$C$4*E7)</f>
        <v>520423.88326992502</v>
      </c>
      <c r="D7" s="86">
        <f t="shared" ref="D7:D15" ca="1" si="3">$E$4*0.01%*E7</f>
        <v>104084.776653985</v>
      </c>
      <c r="E7" s="87">
        <f t="shared" ca="1" si="0"/>
        <v>4163391066.1594</v>
      </c>
      <c r="F7" s="87">
        <f>1000*10^6</f>
        <v>1000000000</v>
      </c>
      <c r="G7" s="92">
        <v>800000</v>
      </c>
      <c r="H7" s="88">
        <f>(SUMPRODUCT((DataTable[HLD_Ratio])*(DataTable[HLD_Portfolio]=$B7),(DataTable[HLD_YieldCost])*(DataTable[HLD_Portfolio]=$B7))/SUMIF(DataTable[HLD_Portfolio],$B7,DataTable[HLD_Ratio]))/100</f>
        <v>1.6435218222201096E-2</v>
      </c>
      <c r="I7" s="86">
        <f ca="1">(H7*(1/365)*L7)-J7</f>
        <v>7092147.459185563</v>
      </c>
      <c r="J7" s="86">
        <f ca="1">(0.4%/365)*L7</f>
        <v>2281310.1732380274</v>
      </c>
      <c r="K7" s="87">
        <f t="shared" ref="K7:K15" ca="1" si="4">INDIRECT("'"&amp;$B7&amp;"'!"&amp;ADDRESS(20,$C$1+3))</f>
        <v>2390000000</v>
      </c>
      <c r="L7" s="87">
        <f ca="1">INDIRECT("'"&amp;$B7&amp;"'!"&amp;ADDRESS(44,$C$1+3))</f>
        <v>208169553307.97</v>
      </c>
      <c r="M7" s="86">
        <f ca="1">K7-F7</f>
        <v>1390000000</v>
      </c>
      <c r="N7" s="115">
        <f t="shared" ref="N7:N15" ca="1" si="5">MROUND(IF(C7&lt;G7,M7,G7/($C$4*$E$4)),SIGN(IF(C7&lt;G7,M7,G7/($C$4*$E$4)))*10^6)</f>
        <v>1390000000</v>
      </c>
    </row>
    <row r="8" spans="2:16" x14ac:dyDescent="0.2">
      <c r="B8" s="66" t="str">
        <v>SCBTMF</v>
      </c>
      <c r="C8" s="85">
        <f t="shared" ca="1" si="2"/>
        <v>27625</v>
      </c>
      <c r="D8" s="86">
        <f t="shared" ca="1" si="3"/>
        <v>1764.15652348</v>
      </c>
      <c r="E8" s="87">
        <f t="shared" ca="1" si="0"/>
        <v>70566260.939199999</v>
      </c>
      <c r="F8" s="87">
        <v>0</v>
      </c>
      <c r="G8" s="92">
        <v>30000</v>
      </c>
      <c r="H8" s="88">
        <f>(SUMPRODUCT((DataTable[HLD_Ratio])*(DataTable[HLD_Portfolio]=$B8),(DataTable[HLD_YieldCost])*(DataTable[HLD_Portfolio]=$B8))/SUMIF(DataTable[HLD_Portfolio],$B8,DataTable[HLD_Ratio]))/100</f>
        <v>1.4123441838752002E-2</v>
      </c>
      <c r="I8" s="86">
        <f t="shared" ref="I8:I15" ca="1" si="6">(H8*(1/365)*L8)-J8</f>
        <v>59192.930772518957</v>
      </c>
      <c r="J8" s="86">
        <f ca="1">(0.8%/365)*L8</f>
        <v>77332.88870049316</v>
      </c>
      <c r="K8" s="87">
        <f t="shared" ca="1" si="4"/>
        <v>221000000</v>
      </c>
      <c r="L8" s="87">
        <f t="shared" ref="L8:L15" ca="1" si="7">INDIRECT("'"&amp;$B8&amp;"'!"&amp;ADDRESS(44,$C$1+3))</f>
        <v>3528313046.96</v>
      </c>
      <c r="M8" s="86">
        <f t="shared" ca="1" si="1"/>
        <v>221000000</v>
      </c>
      <c r="N8" s="115">
        <f t="shared" ca="1" si="5"/>
        <v>221000000</v>
      </c>
    </row>
    <row r="9" spans="2:16" x14ac:dyDescent="0.2">
      <c r="B9" s="66" t="str">
        <v>SCBTMFPLUS</v>
      </c>
      <c r="C9" s="85">
        <f t="shared" ca="1" si="2"/>
        <v>28809.59066595</v>
      </c>
      <c r="D9" s="86">
        <f t="shared" ca="1" si="3"/>
        <v>5761.9181331899999</v>
      </c>
      <c r="E9" s="87">
        <f t="shared" ca="1" si="0"/>
        <v>230476725.3276</v>
      </c>
      <c r="F9" s="87">
        <v>0</v>
      </c>
      <c r="G9" s="92">
        <v>100000</v>
      </c>
      <c r="H9" s="88">
        <f>(SUMPRODUCT((DataTable[HLD_Ratio])*(DataTable[HLD_Portfolio]=$B9),(DataTable[HLD_YieldCost])*(DataTable[HLD_Portfolio]=$B9))/SUMIF(DataTable[HLD_Portfolio],$B9,DataTable[HLD_Ratio]))/100</f>
        <v>1.3380587663804955E-2</v>
      </c>
      <c r="I9" s="86">
        <f t="shared" ca="1" si="6"/>
        <v>356152.45267461467</v>
      </c>
      <c r="J9" s="86">
        <f ca="1">(0.21%/365)*L9</f>
        <v>66301.523724378072</v>
      </c>
      <c r="K9" s="87">
        <f t="shared" ca="1" si="4"/>
        <v>89000000</v>
      </c>
      <c r="L9" s="87">
        <f t="shared" ca="1" si="7"/>
        <v>11523836266.379999</v>
      </c>
      <c r="M9" s="86">
        <f t="shared" ca="1" si="1"/>
        <v>89000000</v>
      </c>
      <c r="N9" s="115">
        <f t="shared" ca="1" si="5"/>
        <v>89000000</v>
      </c>
    </row>
    <row r="10" spans="2:16" x14ac:dyDescent="0.2">
      <c r="B10" s="66" t="str">
        <v>SCBRF</v>
      </c>
      <c r="C10" s="85">
        <f t="shared" ca="1" si="2"/>
        <v>1475.2055499249998</v>
      </c>
      <c r="D10" s="86">
        <f t="shared" ca="1" si="3"/>
        <v>295.04110998499993</v>
      </c>
      <c r="E10" s="87">
        <f t="shared" ca="1" si="0"/>
        <v>11801644.399399998</v>
      </c>
      <c r="F10" s="87">
        <v>0</v>
      </c>
      <c r="G10" s="92"/>
      <c r="H10" s="88">
        <f>(SUMPRODUCT((DataTable[HLD_Ratio])*(DataTable[HLD_Portfolio]=$B10),(DataTable[HLD_YieldCost])*(DataTable[HLD_Portfolio]=$B10))/SUMIF(DataTable[HLD_Portfolio],$B10,DataTable[HLD_Ratio]))/100</f>
        <v>2.3660508412982787E-2</v>
      </c>
      <c r="I10" s="86">
        <f t="shared" ca="1" si="6"/>
        <v>30167.76501397738</v>
      </c>
      <c r="J10" s="86">
        <f ca="1">(0.5%/365)*L10</f>
        <v>8083.3180817808206</v>
      </c>
      <c r="K10" s="87">
        <f t="shared" ca="1" si="4"/>
        <v>0</v>
      </c>
      <c r="L10" s="87">
        <f t="shared" ca="1" si="7"/>
        <v>590082219.96999991</v>
      </c>
      <c r="M10" s="86">
        <f t="shared" ca="1" si="1"/>
        <v>0</v>
      </c>
      <c r="N10" s="115">
        <f t="shared" ca="1" si="5"/>
        <v>0</v>
      </c>
    </row>
    <row r="11" spans="2:16" x14ac:dyDescent="0.2">
      <c r="B11" s="66" t="str">
        <v>SCBRM1</v>
      </c>
      <c r="C11" s="85">
        <f t="shared" ca="1" si="2"/>
        <v>24245.792814650002</v>
      </c>
      <c r="D11" s="86">
        <f t="shared" ca="1" si="3"/>
        <v>4849.1585629300007</v>
      </c>
      <c r="E11" s="87">
        <f t="shared" ca="1" si="0"/>
        <v>193966342.51720002</v>
      </c>
      <c r="F11" s="87">
        <f t="shared" ref="F11:F15" si="8">10^6</f>
        <v>1000000</v>
      </c>
      <c r="G11" s="92">
        <v>500000</v>
      </c>
      <c r="H11" s="88">
        <f>(SUMPRODUCT((DataTable[HLD_Ratio])*(DataTable[HLD_Portfolio]=$B11),(DataTable[HLD_YieldCost])*(DataTable[HLD_Portfolio]=$B11))/SUMIF(DataTable[HLD_Portfolio],$B11,DataTable[HLD_Ratio]))/100</f>
        <v>1.9542441870287447E-2</v>
      </c>
      <c r="I11" s="86">
        <f t="shared" ca="1" si="6"/>
        <v>370460.88429292128</v>
      </c>
      <c r="J11" s="86">
        <f ca="1">(0.56%/365)*L11</f>
        <v>148796.09836935892</v>
      </c>
      <c r="K11" s="87">
        <f t="shared" ca="1" si="4"/>
        <v>0</v>
      </c>
      <c r="L11" s="87">
        <f t="shared" ca="1" si="7"/>
        <v>9698317125.8600006</v>
      </c>
      <c r="M11" s="86">
        <f t="shared" ca="1" si="1"/>
        <v>-1000000</v>
      </c>
      <c r="N11" s="115">
        <f t="shared" ca="1" si="5"/>
        <v>-1000000</v>
      </c>
    </row>
    <row r="12" spans="2:16" x14ac:dyDescent="0.2">
      <c r="B12" s="66" t="str">
        <v>SCBRM2</v>
      </c>
      <c r="C12" s="85">
        <f t="shared" ca="1" si="2"/>
        <v>15374.067294249997</v>
      </c>
      <c r="D12" s="86">
        <f t="shared" ca="1" si="3"/>
        <v>3074.8134588499993</v>
      </c>
      <c r="E12" s="87">
        <f t="shared" ca="1" si="0"/>
        <v>122992538.35399997</v>
      </c>
      <c r="F12" s="87">
        <f t="shared" si="8"/>
        <v>1000000</v>
      </c>
      <c r="G12" s="92"/>
      <c r="H12" s="88">
        <f>(SUMPRODUCT((DataTable[HLD_Ratio])*(DataTable[HLD_Portfolio]=$B12),(DataTable[HLD_YieldCost])*(DataTable[HLD_Portfolio]=$B12))/SUMIF(DataTable[HLD_Portfolio],$B12,DataTable[HLD_Ratio]))/100</f>
        <v>1.8829073224131167E-2</v>
      </c>
      <c r="I12" s="86">
        <f t="shared" ca="1" si="6"/>
        <v>317237.74119030504</v>
      </c>
      <c r="J12" s="86"/>
      <c r="K12" s="87">
        <f t="shared" ca="1" si="4"/>
        <v>0</v>
      </c>
      <c r="L12" s="87">
        <f t="shared" ca="1" si="7"/>
        <v>6149626917.6999989</v>
      </c>
      <c r="M12" s="86">
        <f t="shared" ca="1" si="1"/>
        <v>-1000000</v>
      </c>
      <c r="N12" s="115">
        <f t="shared" ca="1" si="5"/>
        <v>0</v>
      </c>
    </row>
    <row r="13" spans="2:16" x14ac:dyDescent="0.2">
      <c r="B13" s="66" t="str">
        <v>SCBFPFUND</v>
      </c>
      <c r="C13" s="85">
        <f t="shared" ca="1" si="2"/>
        <v>138043.04457312505</v>
      </c>
      <c r="D13" s="86">
        <f t="shared" ca="1" si="3"/>
        <v>27608.608914625009</v>
      </c>
      <c r="E13" s="87">
        <f t="shared" ca="1" si="0"/>
        <v>1104344356.5850003</v>
      </c>
      <c r="F13" s="87">
        <f t="shared" si="8"/>
        <v>1000000</v>
      </c>
      <c r="G13" s="92"/>
      <c r="H13" s="88">
        <f>(SUMPRODUCT((DataTable[HLD_Ratio])*(DataTable[HLD_Portfolio]=$B13),(DataTable[HLD_YieldCost])*(DataTable[HLD_Portfolio]=$B13))/SUMIF(DataTable[HLD_Portfolio],$B13,DataTable[HLD_Ratio]))/100</f>
        <v>1.92469137177529E-2</v>
      </c>
      <c r="I13" s="86">
        <f t="shared" ca="1" si="6"/>
        <v>2911674.047380663</v>
      </c>
      <c r="J13" s="86"/>
      <c r="K13" s="87">
        <f t="shared" ca="1" si="4"/>
        <v>0</v>
      </c>
      <c r="L13" s="87">
        <f t="shared" ca="1" si="7"/>
        <v>55217217829.250008</v>
      </c>
      <c r="M13" s="86">
        <f t="shared" ca="1" si="1"/>
        <v>-1000000</v>
      </c>
      <c r="N13" s="115">
        <f t="shared" ca="1" si="5"/>
        <v>0</v>
      </c>
    </row>
    <row r="14" spans="2:16" x14ac:dyDescent="0.2">
      <c r="B14" s="98" t="str">
        <v>SCBPLUS</v>
      </c>
      <c r="C14" s="99">
        <f t="shared" ca="1" si="2"/>
        <v>52421.785693425001</v>
      </c>
      <c r="D14" s="100">
        <f t="shared" si="3"/>
        <v>10484.357138685</v>
      </c>
      <c r="E14" s="101">
        <v>419374285.5474</v>
      </c>
      <c r="F14" s="101">
        <f t="shared" si="8"/>
        <v>1000000</v>
      </c>
      <c r="G14" s="102"/>
      <c r="H14" s="103">
        <f>(SUMPRODUCT((DataTable[HLD_Ratio])*(DataTable[HLD_Portfolio]=$B14),(DataTable[HLD_YieldCost])*(DataTable[HLD_Portfolio]=$B14))/SUMIF(DataTable[HLD_Portfolio],$B14,DataTable[HLD_Ratio]))/100</f>
        <v>1.8496202984357998E-2</v>
      </c>
      <c r="I14" s="100">
        <f t="shared" ca="1" si="6"/>
        <v>1084478.3143927259</v>
      </c>
      <c r="J14" s="100"/>
      <c r="K14" s="101">
        <f t="shared" ca="1" si="4"/>
        <v>50000000</v>
      </c>
      <c r="L14" s="87">
        <f t="shared" ca="1" si="7"/>
        <v>21400856439.999996</v>
      </c>
      <c r="M14" s="100">
        <f t="shared" ca="1" si="1"/>
        <v>49000000</v>
      </c>
      <c r="N14" s="115">
        <f t="shared" ca="1" si="5"/>
        <v>0</v>
      </c>
    </row>
    <row r="15" spans="2:16" x14ac:dyDescent="0.2">
      <c r="B15" s="66" t="str">
        <v>SCBFIXED</v>
      </c>
      <c r="C15" s="85">
        <f t="shared" ca="1" si="2"/>
        <v>3750.6872228749994</v>
      </c>
      <c r="D15" s="86">
        <f t="shared" ca="1" si="3"/>
        <v>750.1374445749999</v>
      </c>
      <c r="E15" s="87">
        <f t="shared" ca="1" si="0"/>
        <v>30005497.782999996</v>
      </c>
      <c r="F15" s="87">
        <f t="shared" si="8"/>
        <v>1000000</v>
      </c>
      <c r="G15" s="104">
        <v>5000000</v>
      </c>
      <c r="H15" s="88">
        <f>(SUMPRODUCT((DataTable[HLD_Ratio])*(DataTable[HLD_Portfolio]=$B15),(DataTable[HLD_YieldCost])*(DataTable[HLD_Portfolio]=$B15))/SUMIF(DataTable[HLD_Portfolio],$B15,DataTable[HLD_Ratio]))/100</f>
        <v>1.8596393814469175E-2</v>
      </c>
      <c r="I15" s="86">
        <f t="shared" ca="1" si="6"/>
        <v>55063.762315102693</v>
      </c>
      <c r="J15" s="86">
        <f ca="1">(0.52%/365)*L15</f>
        <v>21373.77924268493</v>
      </c>
      <c r="K15" s="87">
        <f t="shared" ca="1" si="4"/>
        <v>0</v>
      </c>
      <c r="L15" s="87">
        <f t="shared" ca="1" si="7"/>
        <v>1500274889.1499999</v>
      </c>
      <c r="M15" s="86">
        <f t="shared" ca="1" si="1"/>
        <v>-1000000</v>
      </c>
      <c r="N15" s="115">
        <f t="shared" ca="1" si="5"/>
        <v>-1000000</v>
      </c>
    </row>
    <row r="17" spans="2:18" hidden="1" x14ac:dyDescent="0.2">
      <c r="B17" s="1" t="s">
        <v>1214</v>
      </c>
      <c r="C17" s="90">
        <f ca="1">MATCH(B23,SCBSFF!$5:$5,0)</f>
        <v>12</v>
      </c>
    </row>
    <row r="19" spans="2:18" x14ac:dyDescent="0.2">
      <c r="B19" s="105" t="s">
        <v>1213</v>
      </c>
      <c r="C19" s="97" t="s">
        <v>1251</v>
      </c>
    </row>
    <row r="20" spans="2:18" x14ac:dyDescent="0.2">
      <c r="B20" s="105" t="s">
        <v>1221</v>
      </c>
      <c r="C20" s="97">
        <v>43410</v>
      </c>
      <c r="D20" s="126">
        <f>[1]!SCBAM_PreviousBusinessDay(C20)</f>
        <v>43409</v>
      </c>
    </row>
    <row r="21" spans="2:18" x14ac:dyDescent="0.2">
      <c r="B21" s="119" t="s">
        <v>1217</v>
      </c>
      <c r="C21" s="120">
        <f>[1]!SCBAM_PreviousBusinessDay(C20)</f>
        <v>43409</v>
      </c>
      <c r="D21" s="126">
        <f>[1]!SCBAM_PreviousBusinessDay(C21)</f>
        <v>43406</v>
      </c>
      <c r="E21" s="126">
        <f>[1]!SCBAM_PreviousBusinessDay(D21)</f>
        <v>43405</v>
      </c>
      <c r="F21" s="126">
        <f>[1]!SCBAM_PreviousBusinessDay(E21)</f>
        <v>43404</v>
      </c>
      <c r="G21" s="126">
        <f>[1]!SCBAM_PreviousBusinessDay(F21)</f>
        <v>43403</v>
      </c>
      <c r="H21" s="126">
        <f>[1]!SCBAM_PreviousBusinessDay(G21)</f>
        <v>43402</v>
      </c>
    </row>
    <row r="22" spans="2:18" x14ac:dyDescent="0.2">
      <c r="B22" s="123" t="s">
        <v>875</v>
      </c>
      <c r="C22" s="124" t="s">
        <v>876</v>
      </c>
      <c r="K22" s="76"/>
      <c r="L22" s="76"/>
      <c r="M22" s="76"/>
      <c r="N22" s="76"/>
      <c r="O22" s="76"/>
    </row>
    <row r="23" spans="2:18" x14ac:dyDescent="0.2">
      <c r="B23" s="121">
        <f ca="1">TODAY()</f>
        <v>43398</v>
      </c>
      <c r="C23" s="122">
        <v>5.0000000000000001E-4</v>
      </c>
      <c r="D23" s="82">
        <v>0.02</v>
      </c>
      <c r="E23" s="83">
        <v>1.6435000000000002E-2</v>
      </c>
      <c r="F23" s="80" t="s">
        <v>867</v>
      </c>
      <c r="G23" s="89">
        <f ca="1">INDIRECT("'"&amp;$B$25&amp;"'!"&amp;ADDRESS(5,C17+3))</f>
        <v>43403</v>
      </c>
      <c r="K23" s="76"/>
      <c r="L23" s="76"/>
      <c r="O23" s="80"/>
      <c r="P23" s="89"/>
    </row>
    <row r="24" spans="2:18" x14ac:dyDescent="0.2">
      <c r="B24" s="84" t="s">
        <v>303</v>
      </c>
      <c r="C24" s="84" t="str">
        <f>"PV " &amp; TEXT(C23,"0.00%")</f>
        <v>PV 0.05%</v>
      </c>
      <c r="D24" s="84" t="s">
        <v>872</v>
      </c>
      <c r="E24" s="84" t="str">
        <f>TEXT(D23,"0%")&amp;" NAV"</f>
        <v>2% NAV</v>
      </c>
      <c r="F24" s="84" t="s">
        <v>865</v>
      </c>
      <c r="G24" s="84" t="s">
        <v>877</v>
      </c>
      <c r="H24" s="84" t="s">
        <v>866</v>
      </c>
      <c r="I24" s="84" t="s">
        <v>870</v>
      </c>
      <c r="J24" s="84" t="s">
        <v>869</v>
      </c>
      <c r="K24" s="84" t="s">
        <v>868</v>
      </c>
      <c r="L24" s="84" t="s">
        <v>871</v>
      </c>
      <c r="M24" s="84" t="s">
        <v>1218</v>
      </c>
      <c r="N24" s="84" t="s">
        <v>873</v>
      </c>
      <c r="O24" s="84" t="s">
        <v>1252</v>
      </c>
      <c r="P24" s="84" t="s">
        <v>1209</v>
      </c>
    </row>
    <row r="25" spans="2:18" x14ac:dyDescent="0.2">
      <c r="B25" s="65" t="str">
        <f t="array" ref="B25:B34">Main!D5:D14</f>
        <v>SCBSFF</v>
      </c>
      <c r="C25" s="85">
        <f ca="1">IF(M25&gt;E25,$E$4*$C$4*M25,$E$4*$C$4*E25)</f>
        <v>180422.60646912505</v>
      </c>
      <c r="D25" s="86">
        <f ca="1">$E$23*0.01%*E25</f>
        <v>2372.1964298560561</v>
      </c>
      <c r="E25" s="87">
        <f t="shared" ref="E25:E32" ca="1" si="9">L25*$D$4</f>
        <v>1443380851.7530003</v>
      </c>
      <c r="F25" s="87">
        <f>1000*10^6</f>
        <v>1000000000</v>
      </c>
      <c r="G25" s="92">
        <v>500000</v>
      </c>
      <c r="H25" s="88">
        <f>(SUMPRODUCT((DataTable[HLD_Ratio])*(DataTable[HLD_Portfolio]=$B25),(DataTable[HLD_YieldCost])*(DataTable[HLD_Portfolio]=$B25))/SUMIF(DataTable[HLD_Portfolio],$B25,DataTable[HLD_Ratio]))/100</f>
        <v>1.53303147364275E-2</v>
      </c>
      <c r="I25" s="86">
        <f ca="1">(H25*(1/365)*L25)-J25</f>
        <v>1372964.5750304586</v>
      </c>
      <c r="J25" s="86">
        <f ca="1">(0.838645%/365)*L25</f>
        <v>1658197.4444087599</v>
      </c>
      <c r="K25" s="87">
        <f t="shared" ref="K25:K34" ca="1" si="10">INDIRECT("'"&amp;$B25&amp;"'!"&amp;ADDRESS(27,$C$17+3))</f>
        <v>400000000</v>
      </c>
      <c r="L25" s="87">
        <f ca="1">INDIRECT("'"&amp;$B25&amp;"'!"&amp;ADDRESS(51,$C$1+3))</f>
        <v>72169042587.650009</v>
      </c>
      <c r="M25" s="86">
        <f t="shared" ref="M25" ca="1" si="11">K25-F25</f>
        <v>-600000000</v>
      </c>
      <c r="N25" s="115">
        <f ca="1">MROUND(IF($P25&gt;$O25,$P25-$O25,$O25-$F25),10^6)</f>
        <v>59000000</v>
      </c>
      <c r="O25" s="85">
        <f>SUMIFS(DataTable[HLD_MarketValue],DataTable[HLD_Portfolio],$B25,DataTable[HLD_MaturityDate],$C$20)+SUMIFS(DataTable[HLD_MarketValue],DataTable[HLD_Portfolio],$B25,DataTable[HLD_MaturityDate],$D$20)</f>
        <v>4710224637.0599995</v>
      </c>
      <c r="P25" s="85">
        <f ca="1">SUMIFS(TermFund[NAV_AI],TermFund[MaturityDate],$C$21)+SUMIFS(TermFund[NAV_AI],TermFund[MaturityDate],$D$21)+SUMIFS(TermFund[NAV_AI],TermFund[MaturityDate],$E$21)+SUMIFS(TermFund[NAV_AI],TermFund[MaturityDate],$F$21)+SUMIFS(TermFund[NAV_AI],TermFund[MaturityDate],$G$21)+SUMIFS(TermFund[NAV_AI],TermFund[MaturityDate],$H$21)</f>
        <v>4769219781.6499996</v>
      </c>
    </row>
    <row r="26" spans="2:18" x14ac:dyDescent="0.2">
      <c r="B26" s="66" t="str">
        <v>SCBSFFPLUS</v>
      </c>
      <c r="C26" s="85">
        <f t="shared" ref="C26:C34" ca="1" si="12">IF(M26&gt;E26,$E$4*$C$4*M26,$E$4*$C$4*E26)</f>
        <v>520423.88326992502</v>
      </c>
      <c r="D26" s="86">
        <f t="shared" ref="D26:D34" ca="1" si="13">$E$23*0.01%*E26</f>
        <v>6842.5332172329745</v>
      </c>
      <c r="E26" s="87">
        <f t="shared" ca="1" si="9"/>
        <v>4163391066.1594</v>
      </c>
      <c r="F26" s="87">
        <f>1000*10^6</f>
        <v>1000000000</v>
      </c>
      <c r="G26" s="92">
        <v>800000</v>
      </c>
      <c r="H26" s="88">
        <f>(SUMPRODUCT((DataTable[HLD_Ratio])*(DataTable[HLD_Portfolio]=$B26),(DataTable[HLD_YieldCost])*(DataTable[HLD_Portfolio]=$B26))/SUMIF(DataTable[HLD_Portfolio],$B26,DataTable[HLD_Ratio]))/100</f>
        <v>1.6435218222201096E-2</v>
      </c>
      <c r="I26" s="86">
        <f ca="1">(H26*(1/365)*L26)-J26</f>
        <v>7092147.459185563</v>
      </c>
      <c r="J26" s="86">
        <f ca="1">(0.4%/365)*L26</f>
        <v>2281310.1732380274</v>
      </c>
      <c r="K26" s="87">
        <f t="shared" ca="1" si="10"/>
        <v>2424772237</v>
      </c>
      <c r="L26" s="87">
        <f t="shared" ref="L26:L34" ca="1" si="14">INDIRECT("'"&amp;$B26&amp;"'!"&amp;ADDRESS(44,$C$1+3))</f>
        <v>208169553307.97</v>
      </c>
      <c r="M26" s="86">
        <f ca="1">K26-F26</f>
        <v>1424772237</v>
      </c>
      <c r="N26" s="115">
        <f ca="1">MROUND(K26,10^6)</f>
        <v>2425000000</v>
      </c>
      <c r="O26" s="85">
        <f>SUMIFS(DataTable[HLD_MarketValue],DataTable[HLD_Portfolio],$B26,DataTable[HLD_MaturityDate],$C$20)+SUMIFS(DataTable[HLD_MarketValue],DataTable[HLD_Portfolio],$B26,DataTable[HLD_MaturityDate],$D$20)</f>
        <v>4084909319.2699995</v>
      </c>
      <c r="P26" s="85"/>
      <c r="R26" s="77"/>
    </row>
    <row r="27" spans="2:18" x14ac:dyDescent="0.2">
      <c r="B27" s="66" t="str">
        <v>SCBTMF</v>
      </c>
      <c r="C27" s="85">
        <f t="shared" ca="1" si="12"/>
        <v>27812.5</v>
      </c>
      <c r="D27" s="86">
        <f t="shared" ca="1" si="13"/>
        <v>115.97564985357522</v>
      </c>
      <c r="E27" s="87">
        <f t="shared" ca="1" si="9"/>
        <v>70566260.939199999</v>
      </c>
      <c r="F27" s="87">
        <v>0</v>
      </c>
      <c r="G27" s="92">
        <v>30000</v>
      </c>
      <c r="H27" s="88">
        <f>(SUMPRODUCT((DataTable[HLD_Ratio])*(DataTable[HLD_Portfolio]=$B27),(DataTable[HLD_YieldCost])*(DataTable[HLD_Portfolio]=$B27))/SUMIF(DataTable[HLD_Portfolio],$B27,DataTable[HLD_Ratio]))/100</f>
        <v>1.4123441838752002E-2</v>
      </c>
      <c r="I27" s="86">
        <f t="shared" ref="I27:I34" ca="1" si="15">(H27*(1/365)*L27)-J27</f>
        <v>59192.930772518957</v>
      </c>
      <c r="J27" s="86">
        <f ca="1">(0.8%/365)*L27</f>
        <v>77332.88870049316</v>
      </c>
      <c r="K27" s="87">
        <f t="shared" ca="1" si="10"/>
        <v>222500000</v>
      </c>
      <c r="L27" s="87">
        <f t="shared" ca="1" si="14"/>
        <v>3528313046.96</v>
      </c>
      <c r="M27" s="86">
        <f t="shared" ref="M27:M34" ca="1" si="16">K27-F27</f>
        <v>222500000</v>
      </c>
      <c r="N27" s="115">
        <f ca="1">MROUND(K27,10^6)</f>
        <v>223000000</v>
      </c>
      <c r="O27" s="85">
        <f>SUMIFS(DataTable[HLD_MarketValue],DataTable[HLD_Portfolio],$B27,DataTable[HLD_MaturityDate],$C$20)+SUMIFS(DataTable[HLD_MarketValue],DataTable[HLD_Portfolio],$B27,DataTable[HLD_MaturityDate],$D$20)</f>
        <v>99960305</v>
      </c>
      <c r="P27" s="85"/>
    </row>
    <row r="28" spans="2:18" x14ac:dyDescent="0.2">
      <c r="B28" s="66" t="str">
        <v>SCBTMFPLUS</v>
      </c>
      <c r="C28" s="85">
        <f t="shared" ca="1" si="12"/>
        <v>28809.59066595</v>
      </c>
      <c r="D28" s="86">
        <f t="shared" ca="1" si="13"/>
        <v>378.78849807591064</v>
      </c>
      <c r="E28" s="87">
        <f t="shared" ca="1" si="9"/>
        <v>230476725.3276</v>
      </c>
      <c r="F28" s="87">
        <v>0</v>
      </c>
      <c r="G28" s="92">
        <v>100000</v>
      </c>
      <c r="H28" s="88">
        <f>(SUMPRODUCT((DataTable[HLD_Ratio])*(DataTable[HLD_Portfolio]=$B28),(DataTable[HLD_YieldCost])*(DataTable[HLD_Portfolio]=$B28))/SUMIF(DataTable[HLD_Portfolio],$B28,DataTable[HLD_Ratio]))/100</f>
        <v>1.3380587663804955E-2</v>
      </c>
      <c r="I28" s="86">
        <f t="shared" ca="1" si="15"/>
        <v>356152.45267461467</v>
      </c>
      <c r="J28" s="86">
        <f ca="1">(0.21%/365)*L28</f>
        <v>66301.523724378072</v>
      </c>
      <c r="K28" s="87">
        <f t="shared" ca="1" si="10"/>
        <v>89000000</v>
      </c>
      <c r="L28" s="87">
        <f t="shared" ca="1" si="14"/>
        <v>11523836266.379999</v>
      </c>
      <c r="M28" s="86">
        <f t="shared" ca="1" si="16"/>
        <v>89000000</v>
      </c>
      <c r="N28" s="115">
        <f t="shared" ref="N28:N34" ca="1" si="17">MROUND(K28,10^6)</f>
        <v>89000000</v>
      </c>
      <c r="O28" s="85">
        <f>SUMIFS(DataTable[HLD_MarketValue],DataTable[HLD_Portfolio],$B28,DataTable[HLD_MaturityDate],$C$20)+SUMIFS(DataTable[HLD_MarketValue],DataTable[HLD_Portfolio],$B28,DataTable[HLD_MaturityDate],$D$20)</f>
        <v>969614948.79999995</v>
      </c>
      <c r="P28" s="85"/>
    </row>
    <row r="29" spans="2:18" x14ac:dyDescent="0.2">
      <c r="B29" s="66" t="str">
        <v>SCBRF</v>
      </c>
      <c r="C29" s="85">
        <f t="shared" ca="1" si="12"/>
        <v>1475.2055499249998</v>
      </c>
      <c r="D29" s="86">
        <f t="shared" ca="1" si="13"/>
        <v>19.396002570413899</v>
      </c>
      <c r="E29" s="87">
        <f t="shared" ca="1" si="9"/>
        <v>11801644.399399998</v>
      </c>
      <c r="F29" s="87">
        <v>0</v>
      </c>
      <c r="G29" s="92"/>
      <c r="H29" s="88">
        <f>(SUMPRODUCT((DataTable[HLD_Ratio])*(DataTable[HLD_Portfolio]=$B29),(DataTable[HLD_YieldCost])*(DataTable[HLD_Portfolio]=$B29))/SUMIF(DataTable[HLD_Portfolio],$B29,DataTable[HLD_Ratio]))/100</f>
        <v>2.3660508412982787E-2</v>
      </c>
      <c r="I29" s="86">
        <f t="shared" ca="1" si="15"/>
        <v>30167.76501397738</v>
      </c>
      <c r="J29" s="86">
        <f ca="1">(0.5%/365)*L29</f>
        <v>8083.3180817808206</v>
      </c>
      <c r="K29" s="87">
        <f t="shared" ca="1" si="10"/>
        <v>0</v>
      </c>
      <c r="L29" s="87">
        <f t="shared" ca="1" si="14"/>
        <v>590082219.96999991</v>
      </c>
      <c r="M29" s="86">
        <f t="shared" ca="1" si="16"/>
        <v>0</v>
      </c>
      <c r="N29" s="115">
        <f t="shared" ca="1" si="17"/>
        <v>0</v>
      </c>
      <c r="O29" s="85">
        <f>SUMIFS(DataTable[HLD_MarketValue],DataTable[HLD_Portfolio],$B29,DataTable[HLD_MaturityDate],$C$20)+SUMIFS(DataTable[HLD_MarketValue],DataTable[HLD_Portfolio],$B29,DataTable[HLD_MaturityDate],$D$20)</f>
        <v>0</v>
      </c>
      <c r="P29" s="85"/>
    </row>
    <row r="30" spans="2:18" x14ac:dyDescent="0.2">
      <c r="B30" s="66" t="str">
        <v>SCBRM1</v>
      </c>
      <c r="C30" s="85">
        <f t="shared" ca="1" si="12"/>
        <v>24245.792814650002</v>
      </c>
      <c r="D30" s="86">
        <f t="shared" ca="1" si="13"/>
        <v>318.78368392701827</v>
      </c>
      <c r="E30" s="87">
        <f t="shared" ca="1" si="9"/>
        <v>193966342.51720002</v>
      </c>
      <c r="F30" s="87">
        <f t="shared" ref="F30:F34" si="18">10^6</f>
        <v>1000000</v>
      </c>
      <c r="G30" s="92"/>
      <c r="H30" s="88">
        <f>(SUMPRODUCT((DataTable[HLD_Ratio])*(DataTable[HLD_Portfolio]=$B30),(DataTable[HLD_YieldCost])*(DataTable[HLD_Portfolio]=$B30))/SUMIF(DataTable[HLD_Portfolio],$B30,DataTable[HLD_Ratio]))/100</f>
        <v>1.9542441870287447E-2</v>
      </c>
      <c r="I30" s="86">
        <f t="shared" ca="1" si="15"/>
        <v>370460.88429292128</v>
      </c>
      <c r="J30" s="86">
        <f ca="1">(0.56%/365)*L30</f>
        <v>148796.09836935892</v>
      </c>
      <c r="K30" s="87">
        <f t="shared" ca="1" si="10"/>
        <v>346368.63</v>
      </c>
      <c r="L30" s="87">
        <f t="shared" ca="1" si="14"/>
        <v>9698317125.8600006</v>
      </c>
      <c r="M30" s="86">
        <f t="shared" ca="1" si="16"/>
        <v>-653631.37</v>
      </c>
      <c r="N30" s="115">
        <f t="shared" ca="1" si="17"/>
        <v>0</v>
      </c>
      <c r="O30" s="85">
        <f>SUMIFS(DataTable[HLD_MarketValue],DataTable[HLD_Portfolio],$B30,DataTable[HLD_MaturityDate],$C$20)+SUMIFS(DataTable[HLD_MarketValue],DataTable[HLD_Portfolio],$B30,DataTable[HLD_MaturityDate],$D$20)</f>
        <v>269892820.80000001</v>
      </c>
      <c r="P30" s="85"/>
    </row>
    <row r="31" spans="2:18" x14ac:dyDescent="0.2">
      <c r="B31" s="66" t="str">
        <v>SCBRM2</v>
      </c>
      <c r="C31" s="85">
        <f t="shared" ca="1" si="12"/>
        <v>15374.067294249997</v>
      </c>
      <c r="D31" s="86">
        <f t="shared" ca="1" si="13"/>
        <v>202.13823678479898</v>
      </c>
      <c r="E31" s="87">
        <f t="shared" ca="1" si="9"/>
        <v>122992538.35399997</v>
      </c>
      <c r="F31" s="87">
        <f t="shared" si="18"/>
        <v>1000000</v>
      </c>
      <c r="G31" s="92"/>
      <c r="H31" s="88">
        <f>(SUMPRODUCT((DataTable[HLD_Ratio])*(DataTable[HLD_Portfolio]=$B31),(DataTable[HLD_YieldCost])*(DataTable[HLD_Portfolio]=$B31))/SUMIF(DataTable[HLD_Portfolio],$B31,DataTable[HLD_Ratio]))/100</f>
        <v>1.8829073224131167E-2</v>
      </c>
      <c r="I31" s="86">
        <f t="shared" ca="1" si="15"/>
        <v>317237.74119030504</v>
      </c>
      <c r="J31" s="86"/>
      <c r="K31" s="87">
        <f t="shared" ca="1" si="10"/>
        <v>921458.28</v>
      </c>
      <c r="L31" s="87">
        <f t="shared" ca="1" si="14"/>
        <v>6149626917.6999989</v>
      </c>
      <c r="M31" s="86">
        <f t="shared" ca="1" si="16"/>
        <v>-78541.719999999972</v>
      </c>
      <c r="N31" s="115">
        <f t="shared" ca="1" si="17"/>
        <v>1000000</v>
      </c>
      <c r="O31" s="85">
        <f>SUMIFS(DataTable[HLD_MarketValue],DataTable[HLD_Portfolio],$B31,DataTable[HLD_MaturityDate],$C$20)+SUMIFS(DataTable[HLD_MarketValue],DataTable[HLD_Portfolio],$B31,DataTable[HLD_MaturityDate],$D$20)</f>
        <v>7996845.1200000001</v>
      </c>
      <c r="P31" s="85"/>
    </row>
    <row r="32" spans="2:18" x14ac:dyDescent="0.2">
      <c r="B32" s="66" t="str">
        <v>SCBFPFUND</v>
      </c>
      <c r="C32" s="85">
        <f t="shared" ca="1" si="12"/>
        <v>138043.04457312505</v>
      </c>
      <c r="D32" s="86">
        <f t="shared" ca="1" si="13"/>
        <v>1814.9899500474482</v>
      </c>
      <c r="E32" s="87">
        <f t="shared" ca="1" si="9"/>
        <v>1104344356.5850003</v>
      </c>
      <c r="F32" s="87">
        <f t="shared" si="18"/>
        <v>1000000</v>
      </c>
      <c r="G32" s="92"/>
      <c r="H32" s="88">
        <f>(SUMPRODUCT((DataTable[HLD_Ratio])*(DataTable[HLD_Portfolio]=$B32),(DataTable[HLD_YieldCost])*(DataTable[HLD_Portfolio]=$B32))/SUMIF(DataTable[HLD_Portfolio],$B32,DataTable[HLD_Ratio]))/100</f>
        <v>1.92469137177529E-2</v>
      </c>
      <c r="I32" s="86">
        <f t="shared" ca="1" si="15"/>
        <v>2911674.047380663</v>
      </c>
      <c r="J32" s="86"/>
      <c r="K32" s="87">
        <f t="shared" ca="1" si="10"/>
        <v>313664.75</v>
      </c>
      <c r="L32" s="87">
        <f t="shared" ca="1" si="14"/>
        <v>55217217829.250008</v>
      </c>
      <c r="M32" s="86">
        <f t="shared" ca="1" si="16"/>
        <v>-686335.25</v>
      </c>
      <c r="N32" s="115">
        <f t="shared" ca="1" si="17"/>
        <v>0</v>
      </c>
      <c r="O32" s="85">
        <f>SUMIFS(DataTable[HLD_MarketValue],DataTable[HLD_Portfolio],$B32,DataTable[HLD_MaturityDate],$C$20)+SUMIFS(DataTable[HLD_MarketValue],DataTable[HLD_Portfolio],$B32,DataTable[HLD_MaturityDate],$D$20)</f>
        <v>1514487752.3900001</v>
      </c>
      <c r="P32" s="85"/>
    </row>
    <row r="33" spans="2:16" x14ac:dyDescent="0.2">
      <c r="B33" s="66" t="str">
        <v>SCBPLUS</v>
      </c>
      <c r="C33" s="85">
        <f t="shared" ca="1" si="12"/>
        <v>52421.785693425001</v>
      </c>
      <c r="D33" s="86">
        <f t="shared" si="13"/>
        <v>689.24163829715201</v>
      </c>
      <c r="E33" s="87">
        <v>419374285.5474</v>
      </c>
      <c r="F33" s="87">
        <f t="shared" si="18"/>
        <v>1000000</v>
      </c>
      <c r="G33" s="92"/>
      <c r="H33" s="88">
        <f>(SUMPRODUCT((DataTable[HLD_Ratio])*(DataTable[HLD_Portfolio]=$B33),(DataTable[HLD_YieldCost])*(DataTable[HLD_Portfolio]=$B33))/SUMIF(DataTable[HLD_Portfolio],$B33,DataTable[HLD_Ratio]))/100</f>
        <v>1.8496202984357998E-2</v>
      </c>
      <c r="I33" s="86">
        <f t="shared" ca="1" si="15"/>
        <v>1084478.3143927259</v>
      </c>
      <c r="J33" s="86"/>
      <c r="K33" s="87">
        <f t="shared" ca="1" si="10"/>
        <v>50000000</v>
      </c>
      <c r="L33" s="87">
        <f t="shared" ca="1" si="14"/>
        <v>21400856439.999996</v>
      </c>
      <c r="M33" s="86">
        <f t="shared" ca="1" si="16"/>
        <v>49000000</v>
      </c>
      <c r="N33" s="115">
        <f t="shared" ca="1" si="17"/>
        <v>50000000</v>
      </c>
      <c r="O33" s="85">
        <f>SUMIFS(DataTable[HLD_MarketValue],DataTable[HLD_Portfolio],$B33,DataTable[HLD_MaturityDate],$C$20)+SUMIFS(DataTable[HLD_MarketValue],DataTable[HLD_Portfolio],$B33,DataTable[HLD_MaturityDate],$D$20)</f>
        <v>219912928.40000001</v>
      </c>
      <c r="P33" s="85"/>
    </row>
    <row r="34" spans="2:16" x14ac:dyDescent="0.2">
      <c r="B34" s="66" t="str">
        <v>SCBFIXED</v>
      </c>
      <c r="C34" s="85">
        <f t="shared" ca="1" si="12"/>
        <v>3750.6872228749994</v>
      </c>
      <c r="D34" s="86">
        <f t="shared" ca="1" si="13"/>
        <v>49.314035606360498</v>
      </c>
      <c r="E34" s="87">
        <f t="shared" ref="E34" ca="1" si="19">L34*$D$4</f>
        <v>30005497.782999996</v>
      </c>
      <c r="F34" s="87">
        <f t="shared" si="18"/>
        <v>1000000</v>
      </c>
      <c r="G34" s="92"/>
      <c r="H34" s="88">
        <f>(SUMPRODUCT((DataTable[HLD_Ratio])*(DataTable[HLD_Portfolio]=$B34),(DataTable[HLD_YieldCost])*(DataTable[HLD_Portfolio]=$B34))/SUMIF(DataTable[HLD_Portfolio],$B34,DataTable[HLD_Ratio]))/100</f>
        <v>1.8596393814469175E-2</v>
      </c>
      <c r="I34" s="86">
        <f t="shared" ca="1" si="15"/>
        <v>55063.762315102693</v>
      </c>
      <c r="J34" s="86">
        <f ca="1">(0.52%/365)*L34</f>
        <v>21373.77924268493</v>
      </c>
      <c r="K34" s="87">
        <f t="shared" ca="1" si="10"/>
        <v>0</v>
      </c>
      <c r="L34" s="87">
        <f t="shared" ca="1" si="14"/>
        <v>1500274889.1499999</v>
      </c>
      <c r="M34" s="86">
        <f t="shared" ca="1" si="16"/>
        <v>-1000000</v>
      </c>
      <c r="N34" s="115">
        <f t="shared" ca="1" si="17"/>
        <v>0</v>
      </c>
      <c r="O34" s="85">
        <f>SUMIFS(DataTable[HLD_MarketValue],DataTable[HLD_Portfolio],$B34,DataTable[HLD_MaturityDate],$C$20)+SUMIFS(DataTable[HLD_MarketValue],DataTable[HLD_Portfolio],$B34,DataTable[HLD_MaturityDate],$D$20)</f>
        <v>0</v>
      </c>
      <c r="P34" s="85"/>
    </row>
    <row r="36" spans="2:16" x14ac:dyDescent="0.2">
      <c r="O36" s="6"/>
    </row>
  </sheetData>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8844D-4D91-40A6-954B-6701EE038F09}">
  <sheetPr codeName="Sheet19"/>
  <dimension ref="B1:M826"/>
  <sheetViews>
    <sheetView topLeftCell="A49" zoomScale="85" zoomScaleNormal="85" workbookViewId="0">
      <selection activeCell="C60" sqref="C60"/>
    </sheetView>
  </sheetViews>
  <sheetFormatPr defaultRowHeight="14.25" x14ac:dyDescent="0.2"/>
  <cols>
    <col min="2" max="2" width="14.625" customWidth="1"/>
    <col min="3" max="5" width="18.375" customWidth="1"/>
    <col min="6" max="6" width="18.375" style="117" customWidth="1"/>
    <col min="7" max="12" width="18.375" customWidth="1"/>
    <col min="13" max="13" width="21.125" customWidth="1"/>
    <col min="14" max="21" width="11.125" bestFit="1" customWidth="1"/>
    <col min="22" max="22" width="9.875" bestFit="1" customWidth="1"/>
    <col min="23" max="43" width="11.125" bestFit="1" customWidth="1"/>
    <col min="44" max="44" width="9.875" bestFit="1" customWidth="1"/>
    <col min="45" max="63" width="11.125" bestFit="1" customWidth="1"/>
    <col min="64" max="64" width="9.875" bestFit="1" customWidth="1"/>
    <col min="65" max="112" width="11.125" bestFit="1" customWidth="1"/>
    <col min="113" max="113" width="8.625" bestFit="1" customWidth="1"/>
    <col min="114" max="130" width="11.125" bestFit="1" customWidth="1"/>
    <col min="131" max="131" width="9.875" bestFit="1" customWidth="1"/>
    <col min="132" max="148" width="11.125" bestFit="1" customWidth="1"/>
    <col min="149" max="149" width="9.875" bestFit="1" customWidth="1"/>
    <col min="150" max="158" width="11.125" bestFit="1" customWidth="1"/>
    <col min="159" max="159" width="9.875" bestFit="1" customWidth="1"/>
    <col min="160" max="160" width="11.125" bestFit="1" customWidth="1"/>
    <col min="161" max="162" width="9.875" bestFit="1" customWidth="1"/>
    <col min="163" max="169" width="11.125" bestFit="1" customWidth="1"/>
    <col min="170" max="171" width="8.625" bestFit="1" customWidth="1"/>
    <col min="172" max="199" width="11.125" bestFit="1" customWidth="1"/>
    <col min="200" max="200" width="9.875" bestFit="1" customWidth="1"/>
    <col min="201" max="207" width="11.125" bestFit="1" customWidth="1"/>
    <col min="208" max="208" width="8.625" bestFit="1" customWidth="1"/>
    <col min="209" max="222" width="11.125" bestFit="1" customWidth="1"/>
    <col min="223" max="223" width="9.875" bestFit="1" customWidth="1"/>
    <col min="224" max="243" width="11.125" bestFit="1" customWidth="1"/>
    <col min="244" max="244" width="9.875" bestFit="1" customWidth="1"/>
    <col min="245" max="248" width="11.125" bestFit="1" customWidth="1"/>
    <col min="249" max="250" width="9.875" bestFit="1" customWidth="1"/>
    <col min="251" max="258" width="11.125" bestFit="1" customWidth="1"/>
    <col min="259" max="259" width="7.375" bestFit="1" customWidth="1"/>
    <col min="260" max="271" width="11.125" bestFit="1" customWidth="1"/>
    <col min="272" max="272" width="9.875" bestFit="1" customWidth="1"/>
    <col min="273" max="274" width="11.125" bestFit="1" customWidth="1"/>
    <col min="275" max="275" width="9.875" bestFit="1" customWidth="1"/>
    <col min="276" max="279" width="11.125" bestFit="1" customWidth="1"/>
    <col min="280" max="280" width="9.875" bestFit="1" customWidth="1"/>
    <col min="281" max="283" width="11.125" bestFit="1" customWidth="1"/>
    <col min="284" max="284" width="9.875" bestFit="1" customWidth="1"/>
    <col min="285" max="286" width="11.125" bestFit="1" customWidth="1"/>
    <col min="287" max="287" width="9.875" bestFit="1" customWidth="1"/>
    <col min="288" max="298" width="11.125" bestFit="1" customWidth="1"/>
    <col min="299" max="299" width="9.875" bestFit="1" customWidth="1"/>
    <col min="300" max="329" width="11.125" bestFit="1" customWidth="1"/>
    <col min="330" max="330" width="9.875" bestFit="1" customWidth="1"/>
    <col min="331" max="333" width="11.125" bestFit="1" customWidth="1"/>
    <col min="334" max="334" width="9.875" bestFit="1" customWidth="1"/>
    <col min="335" max="338" width="11.125" bestFit="1" customWidth="1"/>
    <col min="339" max="339" width="9.875" bestFit="1" customWidth="1"/>
    <col min="340" max="344" width="11.125" bestFit="1" customWidth="1"/>
    <col min="345" max="345" width="8" bestFit="1" customWidth="1"/>
    <col min="346" max="346" width="12" bestFit="1" customWidth="1"/>
  </cols>
  <sheetData>
    <row r="1" spans="2:13" x14ac:dyDescent="0.2">
      <c r="B1" t="s">
        <v>341</v>
      </c>
      <c r="C1" s="131">
        <f ca="1">SCBAM_PreviousBusinessDay(TODAY())</f>
        <v>43397</v>
      </c>
    </row>
    <row r="2" spans="2:13" x14ac:dyDescent="0.2">
      <c r="B2" s="64" t="s">
        <v>303</v>
      </c>
      <c r="C2" s="64" t="s">
        <v>816</v>
      </c>
      <c r="D2" s="64" t="s">
        <v>42</v>
      </c>
      <c r="E2" s="64" t="s">
        <v>1297</v>
      </c>
      <c r="F2" s="64" t="s">
        <v>1298</v>
      </c>
      <c r="G2" s="64" t="s">
        <v>827</v>
      </c>
    </row>
    <row r="3" spans="2:13" x14ac:dyDescent="0.2">
      <c r="B3" s="65" t="str">
        <f>Main!D5</f>
        <v>SCBSFF</v>
      </c>
      <c r="C3" s="68">
        <f ca="1">MROUND(Main!J5,SIGN(Main!J5)*10^6)</f>
        <v>198000000</v>
      </c>
      <c r="F3"/>
    </row>
    <row r="4" spans="2:13" x14ac:dyDescent="0.2">
      <c r="B4" s="149" t="str">
        <f>Main!D6</f>
        <v>SCBSFFPLUS</v>
      </c>
      <c r="C4" s="68">
        <f ca="1">MROUND(Main!J6,SIGN(Main!J6)*10^6)</f>
        <v>237000000</v>
      </c>
      <c r="F4"/>
    </row>
    <row r="5" spans="2:13" x14ac:dyDescent="0.2">
      <c r="B5" s="149" t="str">
        <f>Main!D7</f>
        <v>SCBTMF</v>
      </c>
      <c r="C5" s="68">
        <f ca="1">MROUND(Main!J7,SIGN(Main!J7)*10^6)</f>
        <v>11000000</v>
      </c>
      <c r="F5"/>
      <c r="M5" s="3"/>
    </row>
    <row r="6" spans="2:13" x14ac:dyDescent="0.2">
      <c r="B6" s="149" t="str">
        <f>Main!D8</f>
        <v>SCBTMFPLUS</v>
      </c>
      <c r="C6" s="68">
        <f ca="1">MROUND(Main!J8,SIGN(Main!J8)*10^6)</f>
        <v>32000000</v>
      </c>
      <c r="F6"/>
    </row>
    <row r="7" spans="2:13" x14ac:dyDescent="0.2">
      <c r="B7" s="149" t="str">
        <f>Main!D9</f>
        <v>SCBRF</v>
      </c>
      <c r="C7" s="68">
        <f ca="1">MROUND(Main!J9,SIGN(Main!J9)*10^6)</f>
        <v>0</v>
      </c>
      <c r="F7"/>
    </row>
    <row r="8" spans="2:13" x14ac:dyDescent="0.2">
      <c r="B8" s="149" t="str">
        <f>Main!D10</f>
        <v>SCBRM1</v>
      </c>
      <c r="C8" s="68">
        <f ca="1">MROUND(Main!J10,SIGN(Main!J10)*10^6)</f>
        <v>27000000</v>
      </c>
      <c r="F8"/>
    </row>
    <row r="9" spans="2:13" x14ac:dyDescent="0.2">
      <c r="B9" s="149" t="str">
        <f>Main!D11</f>
        <v>SCBRM2</v>
      </c>
      <c r="C9" s="68">
        <f ca="1">MROUND(Main!J11,SIGN(Main!J11)*10^6)</f>
        <v>151000000</v>
      </c>
      <c r="F9"/>
    </row>
    <row r="10" spans="2:13" x14ac:dyDescent="0.2">
      <c r="B10" s="149" t="str">
        <f>Main!D12</f>
        <v>SCBFPFUND</v>
      </c>
      <c r="C10" s="68">
        <f ca="1">MROUND(Main!J12,SIGN(Main!J12)*10^6)</f>
        <v>73000000</v>
      </c>
      <c r="F10"/>
    </row>
    <row r="11" spans="2:13" x14ac:dyDescent="0.2">
      <c r="B11" s="149" t="str">
        <f>Main!D13</f>
        <v>SCBPLUS</v>
      </c>
      <c r="C11" s="68">
        <f ca="1">MROUND(Main!J13,SIGN(Main!J13)*10^6)</f>
        <v>39000000</v>
      </c>
      <c r="F11"/>
    </row>
    <row r="12" spans="2:13" x14ac:dyDescent="0.2">
      <c r="B12" s="149" t="str">
        <f>Main!D14</f>
        <v>SCBFIXED</v>
      </c>
      <c r="C12" s="68">
        <f ca="1">MROUND(Main!J14,SIGN(Main!J14)*10^6)</f>
        <v>9000000</v>
      </c>
      <c r="F12"/>
    </row>
    <row r="13" spans="2:13" x14ac:dyDescent="0.2">
      <c r="F13"/>
    </row>
    <row r="14" spans="2:13" x14ac:dyDescent="0.2">
      <c r="F14"/>
    </row>
    <row r="15" spans="2:13" x14ac:dyDescent="0.2">
      <c r="B15" t="s">
        <v>1298</v>
      </c>
      <c r="F15"/>
    </row>
    <row r="16" spans="2:13" x14ac:dyDescent="0.2">
      <c r="B16" s="64" t="s">
        <v>42</v>
      </c>
      <c r="C16" s="150" t="s">
        <v>17</v>
      </c>
      <c r="D16" s="150" t="s">
        <v>130</v>
      </c>
      <c r="E16" s="150" t="s">
        <v>131</v>
      </c>
      <c r="F16" s="150" t="s">
        <v>132</v>
      </c>
      <c r="G16" s="64" t="s">
        <v>337</v>
      </c>
      <c r="H16" s="64" t="s">
        <v>338</v>
      </c>
      <c r="I16" s="64" t="s">
        <v>339</v>
      </c>
      <c r="J16" s="64" t="s">
        <v>335</v>
      </c>
      <c r="K16" s="64" t="s">
        <v>336</v>
      </c>
      <c r="L16" s="64" t="s">
        <v>334</v>
      </c>
    </row>
    <row r="17" spans="2:12" x14ac:dyDescent="0.2">
      <c r="B17" t="s">
        <v>86</v>
      </c>
      <c r="C17">
        <f ca="1">IFERROR(INDEX(DataTable[HLD_Principal],MATCH(C$16&amp;$C$1&amp;$B17,DataTable[RefCB],0)),0)</f>
        <v>4000000000</v>
      </c>
      <c r="D17">
        <f ca="1">IFERROR(INDEX(DataTable[HLD_Principal],MATCH(D$16&amp;$C$1&amp;$B17,DataTable[RefCB],0)),0)</f>
        <v>7000000000</v>
      </c>
      <c r="E17">
        <f ca="1">IFERROR(INDEX(DataTable[HLD_Principal],MATCH(E$16&amp;$C$1&amp;$B17,DataTable[RefCB],0)),0)</f>
        <v>150000000</v>
      </c>
      <c r="F17">
        <f ca="1">IFERROR(INDEX(DataTable[HLD_Principal],MATCH(F$16&amp;$C$1&amp;$B17,DataTable[RefCB],0)),0)</f>
        <v>1000000000</v>
      </c>
      <c r="G17">
        <f ca="1">IFERROR(INDEX(DataTable[HLD_Principal],MATCH(G$16&amp;$C$1&amp;$B17,DataTable[RefCB],0)),0)</f>
        <v>0</v>
      </c>
      <c r="H17">
        <f ca="1">IFERROR(INDEX(DataTable[HLD_Principal],MATCH(H$16&amp;$C$1&amp;$B17,DataTable[RefCB],0)),0)</f>
        <v>150000000</v>
      </c>
      <c r="I17">
        <f ca="1">IFERROR(INDEX(DataTable[HLD_Principal],MATCH(I$16&amp;$C$1&amp;$B17,DataTable[RefCB],0)),0)</f>
        <v>0</v>
      </c>
      <c r="J17">
        <f ca="1">IFERROR(INDEX(DataTable[HLD_Principal],MATCH(J$16&amp;$C$1&amp;$B17,DataTable[RefCB],0)),0)</f>
        <v>0</v>
      </c>
      <c r="K17">
        <f ca="1">IFERROR(INDEX(DataTable[HLD_Principal],MATCH(K$16&amp;$C$1&amp;$B17,DataTable[RefCB],0)),0)</f>
        <v>190000000</v>
      </c>
      <c r="L17">
        <f ca="1">IFERROR(INDEX(DataTable[HLD_Principal],MATCH(L$16&amp;$C$1&amp;$B17,DataTable[RefCB],0)),0)</f>
        <v>0</v>
      </c>
    </row>
    <row r="18" spans="2:12" x14ac:dyDescent="0.2">
      <c r="B18" t="s">
        <v>88</v>
      </c>
      <c r="C18">
        <f ca="1">IFERROR(INDEX(DataTable[HLD_Principal],MATCH(C$16&amp;$C$1&amp;$B18,DataTable[RefCB],0)),0)</f>
        <v>6010000000</v>
      </c>
      <c r="D18">
        <f ca="1">IFERROR(INDEX(DataTable[HLD_Principal],MATCH(D$16&amp;$C$1&amp;$B18,DataTable[RefCB],0)),0)</f>
        <v>5147000000</v>
      </c>
      <c r="E18">
        <f ca="1">IFERROR(INDEX(DataTable[HLD_Principal],MATCH(E$16&amp;$C$1&amp;$B18,DataTable[RefCB],0)),0)</f>
        <v>156000000</v>
      </c>
      <c r="F18">
        <f ca="1">IFERROR(INDEX(DataTable[HLD_Principal],MATCH(F$16&amp;$C$1&amp;$B18,DataTable[RefCB],0)),0)</f>
        <v>960000000</v>
      </c>
      <c r="G18">
        <f ca="1">IFERROR(INDEX(DataTable[HLD_Principal],MATCH(G$16&amp;$C$1&amp;$B18,DataTable[RefCB],0)),0)</f>
        <v>0</v>
      </c>
      <c r="H18">
        <f ca="1">IFERROR(INDEX(DataTable[HLD_Principal],MATCH(H$16&amp;$C$1&amp;$B18,DataTable[RefCB],0)),0)</f>
        <v>150000000</v>
      </c>
      <c r="I18">
        <f ca="1">IFERROR(INDEX(DataTable[HLD_Principal],MATCH(I$16&amp;$C$1&amp;$B18,DataTable[RefCB],0)),0)</f>
        <v>0</v>
      </c>
      <c r="J18">
        <f ca="1">IFERROR(INDEX(DataTable[HLD_Principal],MATCH(J$16&amp;$C$1&amp;$B18,DataTable[RefCB],0)),0)</f>
        <v>0</v>
      </c>
      <c r="K18">
        <f ca="1">IFERROR(INDEX(DataTable[HLD_Principal],MATCH(K$16&amp;$C$1&amp;$B18,DataTable[RefCB],0)),0)</f>
        <v>70000000</v>
      </c>
      <c r="L18">
        <f ca="1">IFERROR(INDEX(DataTable[HLD_Principal],MATCH(L$16&amp;$C$1&amp;$B18,DataTable[RefCB],0)),0)</f>
        <v>0</v>
      </c>
    </row>
    <row r="19" spans="2:12" x14ac:dyDescent="0.2">
      <c r="B19" t="s">
        <v>89</v>
      </c>
      <c r="C19">
        <f ca="1">IFERROR(INDEX(DataTable[HLD_Principal],MATCH(C$16&amp;$C$1&amp;$B19,DataTable[RefCB],0)),0)</f>
        <v>2500000000</v>
      </c>
      <c r="D19">
        <f ca="1">IFERROR(INDEX(DataTable[HLD_Principal],MATCH(D$16&amp;$C$1&amp;$B19,DataTable[RefCB],0)),0)</f>
        <v>4499000000</v>
      </c>
      <c r="E19">
        <f ca="1">IFERROR(INDEX(DataTable[HLD_Principal],MATCH(E$16&amp;$C$1&amp;$B19,DataTable[RefCB],0)),0)</f>
        <v>201000000</v>
      </c>
      <c r="F19">
        <f ca="1">IFERROR(INDEX(DataTable[HLD_Principal],MATCH(F$16&amp;$C$1&amp;$B19,DataTable[RefCB],0)),0)</f>
        <v>600000000</v>
      </c>
      <c r="G19">
        <f ca="1">IFERROR(INDEX(DataTable[HLD_Principal],MATCH(G$16&amp;$C$1&amp;$B19,DataTable[RefCB],0)),0)</f>
        <v>0</v>
      </c>
      <c r="H19">
        <f ca="1">IFERROR(INDEX(DataTable[HLD_Principal],MATCH(H$16&amp;$C$1&amp;$B19,DataTable[RefCB],0)),0)</f>
        <v>0</v>
      </c>
      <c r="I19">
        <f ca="1">IFERROR(INDEX(DataTable[HLD_Principal],MATCH(I$16&amp;$C$1&amp;$B19,DataTable[RefCB],0)),0)</f>
        <v>0</v>
      </c>
      <c r="J19">
        <f ca="1">IFERROR(INDEX(DataTable[HLD_Principal],MATCH(J$16&amp;$C$1&amp;$B19,DataTable[RefCB],0)),0)</f>
        <v>0</v>
      </c>
      <c r="K19">
        <f ca="1">IFERROR(INDEX(DataTable[HLD_Principal],MATCH(K$16&amp;$C$1&amp;$B19,DataTable[RefCB],0)),0)</f>
        <v>0</v>
      </c>
      <c r="L19">
        <f ca="1">IFERROR(INDEX(DataTable[HLD_Principal],MATCH(L$16&amp;$C$1&amp;$B19,DataTable[RefCB],0)),0)</f>
        <v>0</v>
      </c>
    </row>
    <row r="20" spans="2:12" x14ac:dyDescent="0.2">
      <c r="B20" t="s">
        <v>90</v>
      </c>
      <c r="C20">
        <f ca="1">IFERROR(INDEX(DataTable[HLD_Principal],MATCH(C$16&amp;$C$1&amp;$B20,DataTable[RefCB],0)),0)</f>
        <v>3281000000</v>
      </c>
      <c r="D20">
        <f ca="1">IFERROR(INDEX(DataTable[HLD_Principal],MATCH(D$16&amp;$C$1&amp;$B20,DataTable[RefCB],0)),0)</f>
        <v>3119000000</v>
      </c>
      <c r="E20">
        <f ca="1">IFERROR(INDEX(DataTable[HLD_Principal],MATCH(E$16&amp;$C$1&amp;$B20,DataTable[RefCB],0)),0)</f>
        <v>155000000</v>
      </c>
      <c r="F20">
        <f ca="1">IFERROR(INDEX(DataTable[HLD_Principal],MATCH(F$16&amp;$C$1&amp;$B20,DataTable[RefCB],0)),0)</f>
        <v>1140000000</v>
      </c>
      <c r="G20">
        <f ca="1">IFERROR(INDEX(DataTable[HLD_Principal],MATCH(G$16&amp;$C$1&amp;$B20,DataTable[RefCB],0)),0)</f>
        <v>0</v>
      </c>
      <c r="H20">
        <f ca="1">IFERROR(INDEX(DataTable[HLD_Principal],MATCH(H$16&amp;$C$1&amp;$B20,DataTable[RefCB],0)),0)</f>
        <v>0</v>
      </c>
      <c r="I20">
        <f ca="1">IFERROR(INDEX(DataTable[HLD_Principal],MATCH(I$16&amp;$C$1&amp;$B20,DataTable[RefCB],0)),0)</f>
        <v>0</v>
      </c>
      <c r="J20">
        <f ca="1">IFERROR(INDEX(DataTable[HLD_Principal],MATCH(J$16&amp;$C$1&amp;$B20,DataTable[RefCB],0)),0)</f>
        <v>0</v>
      </c>
      <c r="K20">
        <f ca="1">IFERROR(INDEX(DataTable[HLD_Principal],MATCH(K$16&amp;$C$1&amp;$B20,DataTable[RefCB],0)),0)</f>
        <v>0</v>
      </c>
      <c r="L20">
        <f ca="1">IFERROR(INDEX(DataTable[HLD_Principal],MATCH(L$16&amp;$C$1&amp;$B20,DataTable[RefCB],0)),0)</f>
        <v>0</v>
      </c>
    </row>
    <row r="21" spans="2:12" x14ac:dyDescent="0.2">
      <c r="B21" s="5" t="s">
        <v>1251</v>
      </c>
      <c r="C21">
        <f ca="1">IFERROR(INDEX(DataTable[HLD_Principal],MATCH(C$16&amp;$C$1&amp;$B21,DataTable[RefCB],0)),0)</f>
        <v>2600000000</v>
      </c>
      <c r="D21">
        <f ca="1">IFERROR(INDEX(DataTable[HLD_Principal],MATCH(D$16&amp;$C$1&amp;$B21,DataTable[RefCB],0)),0)</f>
        <v>59000000</v>
      </c>
      <c r="E21">
        <f ca="1">IFERROR(INDEX(DataTable[HLD_Principal],MATCH(E$16&amp;$C$1&amp;$B21,DataTable[RefCB],0)),0)</f>
        <v>100000000</v>
      </c>
      <c r="F21">
        <f ca="1">IFERROR(INDEX(DataTable[HLD_Principal],MATCH(F$16&amp;$C$1&amp;$B21,DataTable[RefCB],0)),0)</f>
        <v>970000000</v>
      </c>
      <c r="G21">
        <f ca="1">IFERROR(INDEX(DataTable[HLD_Principal],MATCH(G$16&amp;$C$1&amp;$B21,DataTable[RefCB],0)),0)</f>
        <v>0</v>
      </c>
      <c r="H21">
        <f ca="1">IFERROR(INDEX(DataTable[HLD_Principal],MATCH(H$16&amp;$C$1&amp;$B21,DataTable[RefCB],0)),0)</f>
        <v>270000000</v>
      </c>
      <c r="I21">
        <f ca="1">IFERROR(INDEX(DataTable[HLD_Principal],MATCH(I$16&amp;$C$1&amp;$B21,DataTable[RefCB],0)),0)</f>
        <v>8000000</v>
      </c>
      <c r="J21">
        <f ca="1">IFERROR(INDEX(DataTable[HLD_Principal],MATCH(J$16&amp;$C$1&amp;$B21,DataTable[RefCB],0)),0)</f>
        <v>523000000</v>
      </c>
      <c r="K21">
        <f ca="1">IFERROR(INDEX(DataTable[HLD_Principal],MATCH(K$16&amp;$C$1&amp;$B21,DataTable[RefCB],0)),0)</f>
        <v>220000000</v>
      </c>
      <c r="L21">
        <f ca="1">IFERROR(INDEX(DataTable[HLD_Principal],MATCH(L$16&amp;$C$1&amp;$B21,DataTable[RefCB],0)),0)</f>
        <v>0</v>
      </c>
    </row>
    <row r="22" spans="2:12" x14ac:dyDescent="0.2">
      <c r="B22" t="s">
        <v>92</v>
      </c>
      <c r="C22">
        <f ca="1">IFERROR(INDEX(DataTable[HLD_Principal],MATCH(C$16&amp;$C$1&amp;$B22,DataTable[RefCB],0)),0)</f>
        <v>4263000000</v>
      </c>
      <c r="D22">
        <f ca="1">IFERROR(INDEX(DataTable[HLD_Principal],MATCH(D$16&amp;$C$1&amp;$B22,DataTable[RefCB],0)),0)</f>
        <v>5719000000</v>
      </c>
      <c r="E22">
        <f ca="1">IFERROR(INDEX(DataTable[HLD_Principal],MATCH(E$16&amp;$C$1&amp;$B22,DataTable[RefCB],0)),0)</f>
        <v>240000000</v>
      </c>
      <c r="F22">
        <f ca="1">IFERROR(INDEX(DataTable[HLD_Principal],MATCH(F$16&amp;$C$1&amp;$B22,DataTable[RefCB],0)),0)</f>
        <v>672000000</v>
      </c>
      <c r="G22">
        <f ca="1">IFERROR(INDEX(DataTable[HLD_Principal],MATCH(G$16&amp;$C$1&amp;$B22,DataTable[RefCB],0)),0)</f>
        <v>7000000</v>
      </c>
      <c r="H22">
        <f ca="1">IFERROR(INDEX(DataTable[HLD_Principal],MATCH(H$16&amp;$C$1&amp;$B22,DataTable[RefCB],0)),0)</f>
        <v>250000000</v>
      </c>
      <c r="I22">
        <f ca="1">IFERROR(INDEX(DataTable[HLD_Principal],MATCH(I$16&amp;$C$1&amp;$B22,DataTable[RefCB],0)),0)</f>
        <v>0</v>
      </c>
      <c r="J22">
        <f ca="1">IFERROR(INDEX(DataTable[HLD_Principal],MATCH(J$16&amp;$C$1&amp;$B22,DataTable[RefCB],0)),0)</f>
        <v>0</v>
      </c>
      <c r="K22">
        <f ca="1">IFERROR(INDEX(DataTable[HLD_Principal],MATCH(K$16&amp;$C$1&amp;$B22,DataTable[RefCB],0)),0)</f>
        <v>0</v>
      </c>
      <c r="L22">
        <f ca="1">IFERROR(INDEX(DataTable[HLD_Principal],MATCH(L$16&amp;$C$1&amp;$B22,DataTable[RefCB],0)),0)</f>
        <v>10000000</v>
      </c>
    </row>
    <row r="23" spans="2:12" x14ac:dyDescent="0.2">
      <c r="B23" t="s">
        <v>94</v>
      </c>
      <c r="C23">
        <f ca="1">IFERROR(INDEX(DataTable[HLD_Principal],MATCH(C$16&amp;$C$1&amp;$B23,DataTable[RefCB],0)),0)</f>
        <v>2010000000</v>
      </c>
      <c r="D23">
        <f ca="1">IFERROR(INDEX(DataTable[HLD_Principal],MATCH(D$16&amp;$C$1&amp;$B23,DataTable[RefCB],0)),0)</f>
        <v>7964000000</v>
      </c>
      <c r="E23">
        <f ca="1">IFERROR(INDEX(DataTable[HLD_Principal],MATCH(E$16&amp;$C$1&amp;$B23,DataTable[RefCB],0)),0)</f>
        <v>360000000</v>
      </c>
      <c r="F23">
        <f ca="1">IFERROR(INDEX(DataTable[HLD_Principal],MATCH(F$16&amp;$C$1&amp;$B23,DataTable[RefCB],0)),0)</f>
        <v>1004000000</v>
      </c>
      <c r="G23">
        <f ca="1">IFERROR(INDEX(DataTable[HLD_Principal],MATCH(G$16&amp;$C$1&amp;$B23,DataTable[RefCB],0)),0)</f>
        <v>0</v>
      </c>
      <c r="H23">
        <f ca="1">IFERROR(INDEX(DataTable[HLD_Principal],MATCH(H$16&amp;$C$1&amp;$B23,DataTable[RefCB],0)),0)</f>
        <v>50000000</v>
      </c>
      <c r="I23">
        <f ca="1">IFERROR(INDEX(DataTable[HLD_Principal],MATCH(I$16&amp;$C$1&amp;$B23,DataTable[RefCB],0)),0)</f>
        <v>0</v>
      </c>
      <c r="J23">
        <f ca="1">IFERROR(INDEX(DataTable[HLD_Principal],MATCH(J$16&amp;$C$1&amp;$B23,DataTable[RefCB],0)),0)</f>
        <v>0</v>
      </c>
      <c r="K23">
        <f ca="1">IFERROR(INDEX(DataTable[HLD_Principal],MATCH(K$16&amp;$C$1&amp;$B23,DataTable[RefCB],0)),0)</f>
        <v>0</v>
      </c>
      <c r="L23">
        <f ca="1">IFERROR(INDEX(DataTable[HLD_Principal],MATCH(L$16&amp;$C$1&amp;$B23,DataTable[RefCB],0)),0)</f>
        <v>0</v>
      </c>
    </row>
    <row r="24" spans="2:12" x14ac:dyDescent="0.2">
      <c r="B24" t="s">
        <v>96</v>
      </c>
      <c r="C24">
        <f ca="1">IFERROR(INDEX(DataTable[HLD_Principal],MATCH(C$16&amp;$C$1&amp;$B24,DataTable[RefCB],0)),0)</f>
        <v>4000000000</v>
      </c>
      <c r="D24">
        <f ca="1">IFERROR(INDEX(DataTable[HLD_Principal],MATCH(D$16&amp;$C$1&amp;$B24,DataTable[RefCB],0)),0)</f>
        <v>4788000000</v>
      </c>
      <c r="E24">
        <f ca="1">IFERROR(INDEX(DataTable[HLD_Principal],MATCH(E$16&amp;$C$1&amp;$B24,DataTable[RefCB],0)),0)</f>
        <v>448000000</v>
      </c>
      <c r="F24">
        <f ca="1">IFERROR(INDEX(DataTable[HLD_Principal],MATCH(F$16&amp;$C$1&amp;$B24,DataTable[RefCB],0)),0)</f>
        <v>339000000</v>
      </c>
      <c r="G24">
        <f ca="1">IFERROR(INDEX(DataTable[HLD_Principal],MATCH(G$16&amp;$C$1&amp;$B24,DataTable[RefCB],0)),0)</f>
        <v>0</v>
      </c>
      <c r="H24">
        <f ca="1">IFERROR(INDEX(DataTable[HLD_Principal],MATCH(H$16&amp;$C$1&amp;$B24,DataTable[RefCB],0)),0)</f>
        <v>0</v>
      </c>
      <c r="I24">
        <f ca="1">IFERROR(INDEX(DataTable[HLD_Principal],MATCH(I$16&amp;$C$1&amp;$B24,DataTable[RefCB],0)),0)</f>
        <v>0</v>
      </c>
      <c r="J24">
        <f ca="1">IFERROR(INDEX(DataTable[HLD_Principal],MATCH(J$16&amp;$C$1&amp;$B24,DataTable[RefCB],0)),0)</f>
        <v>0</v>
      </c>
      <c r="K24">
        <f ca="1">IFERROR(INDEX(DataTable[HLD_Principal],MATCH(K$16&amp;$C$1&amp;$B24,DataTable[RefCB],0)),0)</f>
        <v>0</v>
      </c>
      <c r="L24">
        <f ca="1">IFERROR(INDEX(DataTable[HLD_Principal],MATCH(L$16&amp;$C$1&amp;$B24,DataTable[RefCB],0)),0)</f>
        <v>0</v>
      </c>
    </row>
    <row r="25" spans="2:12" x14ac:dyDescent="0.2">
      <c r="B25" t="s">
        <v>98</v>
      </c>
      <c r="C25">
        <f ca="1">IFERROR(INDEX(DataTable[HLD_Principal],MATCH(C$16&amp;$C$1&amp;$B25,DataTable[RefCB],0)),0)</f>
        <v>3130000000</v>
      </c>
      <c r="D25">
        <f ca="1">IFERROR(INDEX(DataTable[HLD_Principal],MATCH(D$16&amp;$C$1&amp;$B25,DataTable[RefCB],0)),0)</f>
        <v>7059000000</v>
      </c>
      <c r="E25">
        <f ca="1">IFERROR(INDEX(DataTable[HLD_Principal],MATCH(E$16&amp;$C$1&amp;$B25,DataTable[RefCB],0)),0)</f>
        <v>200000000</v>
      </c>
      <c r="F25">
        <f ca="1">IFERROR(INDEX(DataTable[HLD_Principal],MATCH(F$16&amp;$C$1&amp;$B25,DataTable[RefCB],0)),0)</f>
        <v>666000000</v>
      </c>
      <c r="G25">
        <f ca="1">IFERROR(INDEX(DataTable[HLD_Principal],MATCH(G$16&amp;$C$1&amp;$B25,DataTable[RefCB],0)),0)</f>
        <v>0</v>
      </c>
      <c r="H25">
        <f ca="1">IFERROR(INDEX(DataTable[HLD_Principal],MATCH(H$16&amp;$C$1&amp;$B25,DataTable[RefCB],0)),0)</f>
        <v>0</v>
      </c>
      <c r="I25">
        <f ca="1">IFERROR(INDEX(DataTable[HLD_Principal],MATCH(I$16&amp;$C$1&amp;$B25,DataTable[RefCB],0)),0)</f>
        <v>0</v>
      </c>
      <c r="J25">
        <f ca="1">IFERROR(INDEX(DataTable[HLD_Principal],MATCH(J$16&amp;$C$1&amp;$B25,DataTable[RefCB],0)),0)</f>
        <v>0</v>
      </c>
      <c r="K25">
        <f ca="1">IFERROR(INDEX(DataTable[HLD_Principal],MATCH(K$16&amp;$C$1&amp;$B25,DataTable[RefCB],0)),0)</f>
        <v>0</v>
      </c>
      <c r="L25">
        <f ca="1">IFERROR(INDEX(DataTable[HLD_Principal],MATCH(L$16&amp;$C$1&amp;$B25,DataTable[RefCB],0)),0)</f>
        <v>0</v>
      </c>
    </row>
    <row r="26" spans="2:12" x14ac:dyDescent="0.2">
      <c r="B26" t="s">
        <v>100</v>
      </c>
      <c r="C26">
        <f ca="1">IFERROR(INDEX(DataTable[HLD_Principal],MATCH(C$16&amp;$C$1&amp;$B26,DataTable[RefCB],0)),0)</f>
        <v>3691000000</v>
      </c>
      <c r="D26">
        <f ca="1">IFERROR(INDEX(DataTable[HLD_Principal],MATCH(D$16&amp;$C$1&amp;$B26,DataTable[RefCB],0)),0)</f>
        <v>5950000000</v>
      </c>
      <c r="E26">
        <f ca="1">IFERROR(INDEX(DataTable[HLD_Principal],MATCH(E$16&amp;$C$1&amp;$B26,DataTable[RefCB],0)),0)</f>
        <v>143000000</v>
      </c>
      <c r="F26">
        <f ca="1">IFERROR(INDEX(DataTable[HLD_Principal],MATCH(F$16&amp;$C$1&amp;$B26,DataTable[RefCB],0)),0)</f>
        <v>5000000</v>
      </c>
      <c r="G26">
        <f ca="1">IFERROR(INDEX(DataTable[HLD_Principal],MATCH(G$16&amp;$C$1&amp;$B26,DataTable[RefCB],0)),0)</f>
        <v>0</v>
      </c>
      <c r="H26">
        <f ca="1">IFERROR(INDEX(DataTable[HLD_Principal],MATCH(H$16&amp;$C$1&amp;$B26,DataTable[RefCB],0)),0)</f>
        <v>158000000</v>
      </c>
      <c r="I26">
        <f ca="1">IFERROR(INDEX(DataTable[HLD_Principal],MATCH(I$16&amp;$C$1&amp;$B26,DataTable[RefCB],0)),0)</f>
        <v>0</v>
      </c>
      <c r="J26">
        <f ca="1">IFERROR(INDEX(DataTable[HLD_Principal],MATCH(J$16&amp;$C$1&amp;$B26,DataTable[RefCB],0)),0)</f>
        <v>0</v>
      </c>
      <c r="K26">
        <f ca="1">IFERROR(INDEX(DataTable[HLD_Principal],MATCH(K$16&amp;$C$1&amp;$B26,DataTable[RefCB],0)),0)</f>
        <v>180000000</v>
      </c>
      <c r="L26">
        <f ca="1">IFERROR(INDEX(DataTable[HLD_Principal],MATCH(L$16&amp;$C$1&amp;$B26,DataTable[RefCB],0)),0)</f>
        <v>10000000</v>
      </c>
    </row>
    <row r="27" spans="2:12" x14ac:dyDescent="0.2">
      <c r="B27" t="s">
        <v>864</v>
      </c>
      <c r="C27">
        <f ca="1">IFERROR(INDEX(DataTable[HLD_Principal],MATCH(C$16&amp;$C$1&amp;$B27,DataTable[RefCB],0)),0)</f>
        <v>400000000</v>
      </c>
      <c r="D27">
        <f ca="1">IFERROR(INDEX(DataTable[HLD_Principal],MATCH(D$16&amp;$C$1&amp;$B27,DataTable[RefCB],0)),0)</f>
        <v>2390000000</v>
      </c>
      <c r="E27">
        <f ca="1">IFERROR(INDEX(DataTable[HLD_Principal],MATCH(E$16&amp;$C$1&amp;$B27,DataTable[RefCB],0)),0)</f>
        <v>221000000</v>
      </c>
      <c r="F27">
        <f ca="1">IFERROR(INDEX(DataTable[HLD_Principal],MATCH(F$16&amp;$C$1&amp;$B27,DataTable[RefCB],0)),0)</f>
        <v>89000000</v>
      </c>
      <c r="G27">
        <f ca="1">IFERROR(INDEX(DataTable[HLD_Principal],MATCH(G$16&amp;$C$1&amp;$B27,DataTable[RefCB],0)),0)</f>
        <v>0</v>
      </c>
      <c r="H27">
        <f ca="1">IFERROR(INDEX(DataTable[HLD_Principal],MATCH(H$16&amp;$C$1&amp;$B27,DataTable[RefCB],0)),0)</f>
        <v>0</v>
      </c>
      <c r="I27">
        <f ca="1">IFERROR(INDEX(DataTable[HLD_Principal],MATCH(I$16&amp;$C$1&amp;$B27,DataTable[RefCB],0)),0)</f>
        <v>0</v>
      </c>
      <c r="J27">
        <f ca="1">IFERROR(INDEX(DataTable[HLD_Principal],MATCH(J$16&amp;$C$1&amp;$B27,DataTable[RefCB],0)),0)</f>
        <v>0</v>
      </c>
      <c r="K27">
        <f ca="1">IFERROR(INDEX(DataTable[HLD_Principal],MATCH(K$16&amp;$C$1&amp;$B27,DataTable[RefCB],0)),0)</f>
        <v>50000000</v>
      </c>
      <c r="L27">
        <f ca="1">IFERROR(INDEX(DataTable[HLD_Principal],MATCH(L$16&amp;$C$1&amp;$B27,DataTable[RefCB],0)),0)</f>
        <v>0</v>
      </c>
    </row>
    <row r="28" spans="2:12" x14ac:dyDescent="0.2">
      <c r="B28" t="s">
        <v>101</v>
      </c>
      <c r="C28">
        <f ca="1">IFERROR(INDEX(DataTable[HLD_Principal],MATCH(C$16&amp;$C$1&amp;$B28,DataTable[RefCB],0)),0)</f>
        <v>3000000000</v>
      </c>
      <c r="D28">
        <f ca="1">IFERROR(INDEX(DataTable[HLD_Principal],MATCH(D$16&amp;$C$1&amp;$B28,DataTable[RefCB],0)),0)</f>
        <v>6468000000</v>
      </c>
      <c r="E28">
        <f ca="1">IFERROR(INDEX(DataTable[HLD_Principal],MATCH(E$16&amp;$C$1&amp;$B28,DataTable[RefCB],0)),0)</f>
        <v>150000000</v>
      </c>
      <c r="F28">
        <f ca="1">IFERROR(INDEX(DataTable[HLD_Principal],MATCH(F$16&amp;$C$1&amp;$B28,DataTable[RefCB],0)),0)</f>
        <v>450000000</v>
      </c>
      <c r="G28">
        <f ca="1">IFERROR(INDEX(DataTable[HLD_Principal],MATCH(G$16&amp;$C$1&amp;$B28,DataTable[RefCB],0)),0)</f>
        <v>0</v>
      </c>
      <c r="H28">
        <f ca="1">IFERROR(INDEX(DataTable[HLD_Principal],MATCH(H$16&amp;$C$1&amp;$B28,DataTable[RefCB],0)),0)</f>
        <v>90000000</v>
      </c>
      <c r="I28">
        <f ca="1">IFERROR(INDEX(DataTable[HLD_Principal],MATCH(I$16&amp;$C$1&amp;$B28,DataTable[RefCB],0)),0)</f>
        <v>0</v>
      </c>
      <c r="J28">
        <f ca="1">IFERROR(INDEX(DataTable[HLD_Principal],MATCH(J$16&amp;$C$1&amp;$B28,DataTable[RefCB],0)),0)</f>
        <v>0</v>
      </c>
      <c r="K28">
        <f ca="1">IFERROR(INDEX(DataTable[HLD_Principal],MATCH(K$16&amp;$C$1&amp;$B28,DataTable[RefCB],0)),0)</f>
        <v>0</v>
      </c>
      <c r="L28">
        <f ca="1">IFERROR(INDEX(DataTable[HLD_Principal],MATCH(L$16&amp;$C$1&amp;$B28,DataTable[RefCB],0)),0)</f>
        <v>0</v>
      </c>
    </row>
    <row r="29" spans="2:12" x14ac:dyDescent="0.2">
      <c r="B29" t="s">
        <v>836</v>
      </c>
      <c r="C29">
        <f ca="1">IFERROR(INDEX(DataTable[HLD_Principal],MATCH(C$16&amp;$C$1&amp;$B29,DataTable[RefCB],0)),0)</f>
        <v>4050000000</v>
      </c>
      <c r="D29">
        <f ca="1">IFERROR(INDEX(DataTable[HLD_Principal],MATCH(D$16&amp;$C$1&amp;$B29,DataTable[RefCB],0)),0)</f>
        <v>5000000000</v>
      </c>
      <c r="E29">
        <f ca="1">IFERROR(INDEX(DataTable[HLD_Principal],MATCH(E$16&amp;$C$1&amp;$B29,DataTable[RefCB],0)),0)</f>
        <v>200000000</v>
      </c>
      <c r="F29">
        <f ca="1">IFERROR(INDEX(DataTable[HLD_Principal],MATCH(F$16&amp;$C$1&amp;$B29,DataTable[RefCB],0)),0)</f>
        <v>850000000</v>
      </c>
      <c r="G29">
        <f ca="1">IFERROR(INDEX(DataTable[HLD_Principal],MATCH(G$16&amp;$C$1&amp;$B29,DataTable[RefCB],0)),0)</f>
        <v>0</v>
      </c>
      <c r="H29">
        <f ca="1">IFERROR(INDEX(DataTable[HLD_Principal],MATCH(H$16&amp;$C$1&amp;$B29,DataTable[RefCB],0)),0)</f>
        <v>200000000</v>
      </c>
      <c r="I29">
        <f ca="1">IFERROR(INDEX(DataTable[HLD_Principal],MATCH(I$16&amp;$C$1&amp;$B29,DataTable[RefCB],0)),0)</f>
        <v>0</v>
      </c>
      <c r="J29">
        <f ca="1">IFERROR(INDEX(DataTable[HLD_Principal],MATCH(J$16&amp;$C$1&amp;$B29,DataTable[RefCB],0)),0)</f>
        <v>0</v>
      </c>
      <c r="K29">
        <f ca="1">IFERROR(INDEX(DataTable[HLD_Principal],MATCH(K$16&amp;$C$1&amp;$B29,DataTable[RefCB],0)),0)</f>
        <v>0</v>
      </c>
      <c r="L29">
        <f ca="1">IFERROR(INDEX(DataTable[HLD_Principal],MATCH(L$16&amp;$C$1&amp;$B29,DataTable[RefCB],0)),0)</f>
        <v>0</v>
      </c>
    </row>
    <row r="30" spans="2:12" x14ac:dyDescent="0.2">
      <c r="B30" t="s">
        <v>1215</v>
      </c>
      <c r="C30">
        <f ca="1">IFERROR(INDEX(DataTable[HLD_Principal],MATCH(C$16&amp;$C$1&amp;$B30,DataTable[RefCB],0)),0)</f>
        <v>2500000000</v>
      </c>
      <c r="D30">
        <f ca="1">IFERROR(INDEX(DataTable[HLD_Principal],MATCH(D$16&amp;$C$1&amp;$B30,DataTable[RefCB],0)),0)</f>
        <v>6414000000</v>
      </c>
      <c r="E30">
        <f ca="1">IFERROR(INDEX(DataTable[HLD_Principal],MATCH(E$16&amp;$C$1&amp;$B30,DataTable[RefCB],0)),0)</f>
        <v>210000000</v>
      </c>
      <c r="F30">
        <f ca="1">IFERROR(INDEX(DataTable[HLD_Principal],MATCH(F$16&amp;$C$1&amp;$B30,DataTable[RefCB],0)),0)</f>
        <v>450000000</v>
      </c>
      <c r="G30">
        <f ca="1">IFERROR(INDEX(DataTable[HLD_Principal],MATCH(G$16&amp;$C$1&amp;$B30,DataTable[RefCB],0)),0)</f>
        <v>0</v>
      </c>
      <c r="H30">
        <f ca="1">IFERROR(INDEX(DataTable[HLD_Principal],MATCH(H$16&amp;$C$1&amp;$B30,DataTable[RefCB],0)),0)</f>
        <v>0</v>
      </c>
      <c r="I30">
        <f ca="1">IFERROR(INDEX(DataTable[HLD_Principal],MATCH(I$16&amp;$C$1&amp;$B30,DataTable[RefCB],0)),0)</f>
        <v>0</v>
      </c>
      <c r="J30">
        <f ca="1">IFERROR(INDEX(DataTable[HLD_Principal],MATCH(J$16&amp;$C$1&amp;$B30,DataTable[RefCB],0)),0)</f>
        <v>0</v>
      </c>
      <c r="K30">
        <f ca="1">IFERROR(INDEX(DataTable[HLD_Principal],MATCH(K$16&amp;$C$1&amp;$B30,DataTable[RefCB],0)),0)</f>
        <v>0</v>
      </c>
      <c r="L30">
        <f ca="1">IFERROR(INDEX(DataTable[HLD_Principal],MATCH(L$16&amp;$C$1&amp;$B30,DataTable[RefCB],0)),0)</f>
        <v>0</v>
      </c>
    </row>
    <row r="31" spans="2:12" x14ac:dyDescent="0.2">
      <c r="B31" t="s">
        <v>1262</v>
      </c>
      <c r="C31">
        <f ca="1">IFERROR(INDEX(DataTable[HLD_Principal],MATCH(C$16&amp;$C$1&amp;$B31,DataTable[RefCB],0)),0)</f>
        <v>3500000000</v>
      </c>
      <c r="D31">
        <f ca="1">IFERROR(INDEX(DataTable[HLD_Principal],MATCH(D$16&amp;$C$1&amp;$B31,DataTable[RefCB],0)),0)</f>
        <v>6000000000</v>
      </c>
      <c r="E31">
        <f ca="1">IFERROR(INDEX(DataTable[HLD_Principal],MATCH(E$16&amp;$C$1&amp;$B31,DataTable[RefCB],0)),0)</f>
        <v>200000000</v>
      </c>
      <c r="F31">
        <f ca="1">IFERROR(INDEX(DataTable[HLD_Principal],MATCH(F$16&amp;$C$1&amp;$B31,DataTable[RefCB],0)),0)</f>
        <v>250000000</v>
      </c>
      <c r="G31">
        <f ca="1">IFERROR(INDEX(DataTable[HLD_Principal],MATCH(G$16&amp;$C$1&amp;$B31,DataTable[RefCB],0)),0)</f>
        <v>0</v>
      </c>
      <c r="H31">
        <f ca="1">IFERROR(INDEX(DataTable[HLD_Principal],MATCH(H$16&amp;$C$1&amp;$B31,DataTable[RefCB],0)),0)</f>
        <v>180000000</v>
      </c>
      <c r="I31">
        <f ca="1">IFERROR(INDEX(DataTable[HLD_Principal],MATCH(I$16&amp;$C$1&amp;$B31,DataTable[RefCB],0)),0)</f>
        <v>0</v>
      </c>
      <c r="J31">
        <f ca="1">IFERROR(INDEX(DataTable[HLD_Principal],MATCH(J$16&amp;$C$1&amp;$B31,DataTable[RefCB],0)),0)</f>
        <v>0</v>
      </c>
      <c r="K31">
        <f ca="1">IFERROR(INDEX(DataTable[HLD_Principal],MATCH(K$16&amp;$C$1&amp;$B31,DataTable[RefCB],0)),0)</f>
        <v>180000000</v>
      </c>
      <c r="L31">
        <f ca="1">IFERROR(INDEX(DataTable[HLD_Principal],MATCH(L$16&amp;$C$1&amp;$B31,DataTable[RefCB],0)),0)</f>
        <v>30000000</v>
      </c>
    </row>
    <row r="32" spans="2:12" x14ac:dyDescent="0.2">
      <c r="B32" t="s">
        <v>197</v>
      </c>
      <c r="C32">
        <f ca="1">IFERROR(INDEX(DataTable[HLD_Principal],MATCH(C$16&amp;$C$1&amp;$B32,DataTable[RefCB],0)),0)</f>
        <v>0</v>
      </c>
      <c r="D32">
        <f ca="1">IFERROR(INDEX(DataTable[HLD_Principal],MATCH(D$16&amp;$C$1&amp;$B32,DataTable[RefCB],0)),0)</f>
        <v>1036000000</v>
      </c>
      <c r="E32">
        <f ca="1">IFERROR(INDEX(DataTable[HLD_Principal],MATCH(E$16&amp;$C$1&amp;$B32,DataTable[RefCB],0)),0)</f>
        <v>90000000</v>
      </c>
      <c r="F32">
        <f ca="1">IFERROR(INDEX(DataTable[HLD_Principal],MATCH(F$16&amp;$C$1&amp;$B32,DataTable[RefCB],0)),0)</f>
        <v>850000000</v>
      </c>
      <c r="G32">
        <f ca="1">IFERROR(INDEX(DataTable[HLD_Principal],MATCH(G$16&amp;$C$1&amp;$B32,DataTable[RefCB],0)),0)</f>
        <v>0</v>
      </c>
      <c r="H32">
        <f ca="1">IFERROR(INDEX(DataTable[HLD_Principal],MATCH(H$16&amp;$C$1&amp;$B32,DataTable[RefCB],0)),0)</f>
        <v>279000000</v>
      </c>
      <c r="I32">
        <f ca="1">IFERROR(INDEX(DataTable[HLD_Principal],MATCH(I$16&amp;$C$1&amp;$B32,DataTable[RefCB],0)),0)</f>
        <v>462000000</v>
      </c>
      <c r="J32">
        <f ca="1">IFERROR(INDEX(DataTable[HLD_Principal],MATCH(J$16&amp;$C$1&amp;$B32,DataTable[RefCB],0)),0)</f>
        <v>887000000</v>
      </c>
      <c r="K32">
        <f ca="1">IFERROR(INDEX(DataTable[HLD_Principal],MATCH(K$16&amp;$C$1&amp;$B32,DataTable[RefCB],0)),0)</f>
        <v>30000000</v>
      </c>
      <c r="L32">
        <f ca="1">IFERROR(INDEX(DataTable[HLD_Principal],MATCH(L$16&amp;$C$1&amp;$B32,DataTable[RefCB],0)),0)</f>
        <v>0</v>
      </c>
    </row>
    <row r="33" spans="6:6" ht="13.5" customHeight="1" x14ac:dyDescent="0.2">
      <c r="F33"/>
    </row>
    <row r="34" spans="6:6" x14ac:dyDescent="0.2">
      <c r="F34"/>
    </row>
    <row r="35" spans="6:6" x14ac:dyDescent="0.2">
      <c r="F35"/>
    </row>
    <row r="36" spans="6:6" x14ac:dyDescent="0.2">
      <c r="F36"/>
    </row>
    <row r="37" spans="6:6" x14ac:dyDescent="0.2">
      <c r="F37"/>
    </row>
    <row r="38" spans="6:6" x14ac:dyDescent="0.2">
      <c r="F38"/>
    </row>
    <row r="39" spans="6:6" x14ac:dyDescent="0.2">
      <c r="F39"/>
    </row>
    <row r="40" spans="6:6" x14ac:dyDescent="0.2">
      <c r="F40"/>
    </row>
    <row r="41" spans="6:6" x14ac:dyDescent="0.2">
      <c r="F41"/>
    </row>
    <row r="42" spans="6:6" x14ac:dyDescent="0.2">
      <c r="F42"/>
    </row>
    <row r="43" spans="6:6" x14ac:dyDescent="0.2">
      <c r="F43"/>
    </row>
    <row r="44" spans="6:6" x14ac:dyDescent="0.2">
      <c r="F44"/>
    </row>
    <row r="45" spans="6:6" x14ac:dyDescent="0.2">
      <c r="F45"/>
    </row>
    <row r="46" spans="6:6" x14ac:dyDescent="0.2">
      <c r="F46"/>
    </row>
    <row r="47" spans="6:6" x14ac:dyDescent="0.2">
      <c r="F47"/>
    </row>
    <row r="48" spans="6:6" x14ac:dyDescent="0.2">
      <c r="F48"/>
    </row>
    <row r="49" spans="2:12" x14ac:dyDescent="0.2">
      <c r="B49" t="s">
        <v>827</v>
      </c>
      <c r="F49"/>
    </row>
    <row r="50" spans="2:12" x14ac:dyDescent="0.2">
      <c r="B50" s="64" t="s">
        <v>42</v>
      </c>
      <c r="C50" s="150" t="s">
        <v>17</v>
      </c>
      <c r="D50" s="150" t="s">
        <v>130</v>
      </c>
      <c r="E50" s="150" t="s">
        <v>131</v>
      </c>
      <c r="F50" s="150" t="s">
        <v>132</v>
      </c>
      <c r="G50" s="64" t="s">
        <v>337</v>
      </c>
      <c r="H50" s="64" t="s">
        <v>338</v>
      </c>
      <c r="I50" s="64" t="s">
        <v>339</v>
      </c>
      <c r="J50" s="64" t="s">
        <v>335</v>
      </c>
      <c r="K50" s="64" t="s">
        <v>336</v>
      </c>
      <c r="L50" s="64" t="s">
        <v>334</v>
      </c>
    </row>
    <row r="51" spans="2:12" x14ac:dyDescent="0.2">
      <c r="B51" t="s">
        <v>86</v>
      </c>
      <c r="C51">
        <f ca="1">INDEX(MTM!$J:$J,MATCH('Port Sim'!$B51,MTM!$A:$A,0))-IFERROR(INDEX(DataTable[HLD_YieldCost],MATCH(C$50&amp;$C$1&amp;$B51,DataTable[RefCB],0)),0)</f>
        <v>0.21739100000000011</v>
      </c>
      <c r="D51">
        <f ca="1">INDEX(MTM!$J:$J,MATCH('Port Sim'!$B51,MTM!$A:$A,0))-IFERROR(INDEX(DataTable[HLD_YieldCost],MATCH(D$50&amp;$C$1&amp;$B51,DataTable[RefCB],0)),0)</f>
        <v>0.21738999999999997</v>
      </c>
      <c r="E51">
        <f ca="1">INDEX(MTM!$J:$J,MATCH('Port Sim'!$B51,MTM!$A:$A,0))-IFERROR(INDEX(DataTable[HLD_YieldCost],MATCH(E$50&amp;$C$1&amp;$B51,DataTable[RefCB],0)),0)</f>
        <v>0.21740000000000004</v>
      </c>
      <c r="F51">
        <f ca="1">INDEX(MTM!$J:$J,MATCH('Port Sim'!$B51,MTM!$A:$A,0))-IFERROR(INDEX(DataTable[HLD_YieldCost],MATCH(F$50&amp;$C$1&amp;$B51,DataTable[RefCB],0)),0)</f>
        <v>0.21738800000000014</v>
      </c>
      <c r="G51">
        <f ca="1">INDEX(MTM!$J:$J,MATCH('Port Sim'!$B51,MTM!$A:$A,0))-IFERROR(INDEX(DataTable[HLD_YieldCost],MATCH(G$50&amp;$C$1&amp;$B51,DataTable[RefCB],0)),0)</f>
        <v>1.56</v>
      </c>
      <c r="H51">
        <f ca="1">INDEX(MTM!$J:$J,MATCH('Port Sim'!$B51,MTM!$A:$A,0))-IFERROR(INDEX(DataTable[HLD_YieldCost],MATCH(H$50&amp;$C$1&amp;$B51,DataTable[RefCB],0)),0)</f>
        <v>0.21740000000000004</v>
      </c>
      <c r="I51">
        <f ca="1">INDEX(MTM!$J:$J,MATCH('Port Sim'!$B51,MTM!$A:$A,0))-IFERROR(INDEX(DataTable[HLD_YieldCost],MATCH(I$50&amp;$C$1&amp;$B51,DataTable[RefCB],0)),0)</f>
        <v>1.56</v>
      </c>
      <c r="J51">
        <f ca="1">INDEX(MTM!$J:$J,MATCH('Port Sim'!$B51,MTM!$A:$A,0))-IFERROR(INDEX(DataTable[HLD_YieldCost],MATCH(J$50&amp;$C$1&amp;$B51,DataTable[RefCB],0)),0)</f>
        <v>1.56</v>
      </c>
      <c r="K51">
        <f ca="1">INDEX(MTM!$J:$J,MATCH('Port Sim'!$B51,MTM!$A:$A,0))-IFERROR(INDEX(DataTable[HLD_YieldCost],MATCH(K$50&amp;$C$1&amp;$B51,DataTable[RefCB],0)),0)</f>
        <v>0.21740500000000007</v>
      </c>
      <c r="L51">
        <f ca="1">INDEX(MTM!$J:$J,MATCH('Port Sim'!$B51,MTM!$A:$A,0))-IFERROR(INDEX(DataTable[HLD_YieldCost],MATCH(L$50&amp;$C$1&amp;$B51,DataTable[RefCB],0)),0)</f>
        <v>1.56</v>
      </c>
    </row>
    <row r="52" spans="2:12" x14ac:dyDescent="0.2">
      <c r="B52" t="s">
        <v>88</v>
      </c>
      <c r="C52">
        <f ca="1">INDEX(MTM!$J:$J,MATCH('Port Sim'!$B52,MTM!$A:$A,0))-IFERROR(INDEX(DataTable[HLD_YieldCost],MATCH(C$50&amp;$C$1&amp;$B52,DataTable[RefCB],0)),0)</f>
        <v>0.32067100000000015</v>
      </c>
      <c r="D52">
        <f ca="1">INDEX(MTM!$J:$J,MATCH('Port Sim'!$B52,MTM!$A:$A,0))-IFERROR(INDEX(DataTable[HLD_YieldCost],MATCH(D$50&amp;$C$1&amp;$B52,DataTable[RefCB],0)),0)</f>
        <v>0.319469</v>
      </c>
      <c r="E52">
        <f ca="1">INDEX(MTM!$J:$J,MATCH('Port Sim'!$B52,MTM!$A:$A,0))-IFERROR(INDEX(DataTable[HLD_YieldCost],MATCH(E$50&amp;$C$1&amp;$B52,DataTable[RefCB],0)),0)</f>
        <v>0.2642310000000001</v>
      </c>
      <c r="F52">
        <f ca="1">INDEX(MTM!$J:$J,MATCH('Port Sim'!$B52,MTM!$A:$A,0))-IFERROR(INDEX(DataTable[HLD_YieldCost],MATCH(F$50&amp;$C$1&amp;$B52,DataTable[RefCB],0)),0)</f>
        <v>0.29177800000000009</v>
      </c>
      <c r="G52">
        <f ca="1">INDEX(MTM!$J:$J,MATCH('Port Sim'!$B52,MTM!$A:$A,0))-IFERROR(INDEX(DataTable[HLD_YieldCost],MATCH(G$50&amp;$C$1&amp;$B52,DataTable[RefCB],0)),0)</f>
        <v>1.4850000000000001</v>
      </c>
      <c r="H52">
        <f ca="1">INDEX(MTM!$J:$J,MATCH('Port Sim'!$B52,MTM!$A:$A,0))-IFERROR(INDEX(DataTable[HLD_YieldCost],MATCH(H$50&amp;$C$1&amp;$B52,DataTable[RefCB],0)),0)</f>
        <v>0.32104700000000008</v>
      </c>
      <c r="I52">
        <f ca="1">INDEX(MTM!$J:$J,MATCH('Port Sim'!$B52,MTM!$A:$A,0))-IFERROR(INDEX(DataTable[HLD_YieldCost],MATCH(I$50&amp;$C$1&amp;$B52,DataTable[RefCB],0)),0)</f>
        <v>1.4850000000000001</v>
      </c>
      <c r="J52">
        <f ca="1">INDEX(MTM!$J:$J,MATCH('Port Sim'!$B52,MTM!$A:$A,0))-IFERROR(INDEX(DataTable[HLD_YieldCost],MATCH(J$50&amp;$C$1&amp;$B52,DataTable[RefCB],0)),0)</f>
        <v>1.4850000000000001</v>
      </c>
      <c r="K52">
        <f ca="1">INDEX(MTM!$J:$J,MATCH('Port Sim'!$B52,MTM!$A:$A,0))-IFERROR(INDEX(DataTable[HLD_YieldCost],MATCH(K$50&amp;$C$1&amp;$B52,DataTable[RefCB],0)),0)</f>
        <v>0.16500000000000004</v>
      </c>
      <c r="L52">
        <f ca="1">INDEX(MTM!$J:$J,MATCH('Port Sim'!$B52,MTM!$A:$A,0))-IFERROR(INDEX(DataTable[HLD_YieldCost],MATCH(L$50&amp;$C$1&amp;$B52,DataTable[RefCB],0)),0)</f>
        <v>1.4850000000000001</v>
      </c>
    </row>
    <row r="53" spans="2:12" x14ac:dyDescent="0.2">
      <c r="B53" t="s">
        <v>89</v>
      </c>
      <c r="C53">
        <f ca="1">INDEX(MTM!$J:$J,MATCH('Port Sim'!$B53,MTM!$A:$A,0))-IFERROR(INDEX(DataTable[HLD_YieldCost],MATCH(C$50&amp;$C$1&amp;$B53,DataTable[RefCB],0)),0)</f>
        <v>6.8048000000000108E-2</v>
      </c>
      <c r="D53">
        <f ca="1">INDEX(MTM!$J:$J,MATCH('Port Sim'!$B53,MTM!$A:$A,0))-IFERROR(INDEX(DataTable[HLD_YieldCost],MATCH(D$50&amp;$C$1&amp;$B53,DataTable[RefCB],0)),0)</f>
        <v>6.8078000000000083E-2</v>
      </c>
      <c r="E53">
        <f ca="1">INDEX(MTM!$J:$J,MATCH('Port Sim'!$B53,MTM!$A:$A,0))-IFERROR(INDEX(DataTable[HLD_YieldCost],MATCH(E$50&amp;$C$1&amp;$B53,DataTable[RefCB],0)),0)</f>
        <v>6.8582000000000143E-2</v>
      </c>
      <c r="F53">
        <f ca="1">INDEX(MTM!$J:$J,MATCH('Port Sim'!$B53,MTM!$A:$A,0))-IFERROR(INDEX(DataTable[HLD_YieldCost],MATCH(F$50&amp;$C$1&amp;$B53,DataTable[RefCB],0)),0)</f>
        <v>6.8016999999999994E-2</v>
      </c>
      <c r="G53">
        <f ca="1">INDEX(MTM!$J:$J,MATCH('Port Sim'!$B53,MTM!$A:$A,0))-IFERROR(INDEX(DataTable[HLD_YieldCost],MATCH(G$50&amp;$C$1&amp;$B53,DataTable[RefCB],0)),0)</f>
        <v>1.4450000000000001</v>
      </c>
      <c r="H53">
        <f ca="1">INDEX(MTM!$J:$J,MATCH('Port Sim'!$B53,MTM!$A:$A,0))-IFERROR(INDEX(DataTable[HLD_YieldCost],MATCH(H$50&amp;$C$1&amp;$B53,DataTable[RefCB],0)),0)</f>
        <v>1.4450000000000001</v>
      </c>
      <c r="I53">
        <f ca="1">INDEX(MTM!$J:$J,MATCH('Port Sim'!$B53,MTM!$A:$A,0))-IFERROR(INDEX(DataTable[HLD_YieldCost],MATCH(I$50&amp;$C$1&amp;$B53,DataTable[RefCB],0)),0)</f>
        <v>1.4450000000000001</v>
      </c>
      <c r="J53">
        <f ca="1">INDEX(MTM!$J:$J,MATCH('Port Sim'!$B53,MTM!$A:$A,0))-IFERROR(INDEX(DataTable[HLD_YieldCost],MATCH(J$50&amp;$C$1&amp;$B53,DataTable[RefCB],0)),0)</f>
        <v>1.4450000000000001</v>
      </c>
      <c r="K53">
        <f ca="1">INDEX(MTM!$J:$J,MATCH('Port Sim'!$B53,MTM!$A:$A,0))-IFERROR(INDEX(DataTable[HLD_YieldCost],MATCH(K$50&amp;$C$1&amp;$B53,DataTable[RefCB],0)),0)</f>
        <v>1.4450000000000001</v>
      </c>
      <c r="L53">
        <f ca="1">INDEX(MTM!$J:$J,MATCH('Port Sim'!$B53,MTM!$A:$A,0))-IFERROR(INDEX(DataTable[HLD_YieldCost],MATCH(L$50&amp;$C$1&amp;$B53,DataTable[RefCB],0)),0)</f>
        <v>1.4450000000000001</v>
      </c>
    </row>
    <row r="54" spans="2:12" x14ac:dyDescent="0.2">
      <c r="B54" t="s">
        <v>90</v>
      </c>
      <c r="C54">
        <f ca="1">INDEX(MTM!$J:$J,MATCH('Port Sim'!$B54,MTM!$A:$A,0))-IFERROR(INDEX(DataTable[HLD_YieldCost],MATCH(C$50&amp;$C$1&amp;$B54,DataTable[RefCB],0)),0)</f>
        <v>-7.2340999999999989E-2</v>
      </c>
      <c r="D54">
        <f ca="1">INDEX(MTM!$J:$J,MATCH('Port Sim'!$B54,MTM!$A:$A,0))-IFERROR(INDEX(DataTable[HLD_YieldCost],MATCH(D$50&amp;$C$1&amp;$B54,DataTable[RefCB],0)),0)</f>
        <v>-6.5431000000000017E-2</v>
      </c>
      <c r="E54">
        <f ca="1">INDEX(MTM!$J:$J,MATCH('Port Sim'!$B54,MTM!$A:$A,0))-IFERROR(INDEX(DataTable[HLD_YieldCost],MATCH(E$50&amp;$C$1&amp;$B54,DataTable[RefCB],0)),0)</f>
        <v>-7.8095000000000026E-2</v>
      </c>
      <c r="F54">
        <f ca="1">INDEX(MTM!$J:$J,MATCH('Port Sim'!$B54,MTM!$A:$A,0))-IFERROR(INDEX(DataTable[HLD_YieldCost],MATCH(F$50&amp;$C$1&amp;$B54,DataTable[RefCB],0)),0)</f>
        <v>-4.6359000000000039E-2</v>
      </c>
      <c r="G54">
        <f ca="1">INDEX(MTM!$J:$J,MATCH('Port Sim'!$B54,MTM!$A:$A,0))-IFERROR(INDEX(DataTable[HLD_YieldCost],MATCH(G$50&amp;$C$1&amp;$B54,DataTable[RefCB],0)),0)</f>
        <v>1.22</v>
      </c>
      <c r="H54">
        <f ca="1">INDEX(MTM!$J:$J,MATCH('Port Sim'!$B54,MTM!$A:$A,0))-IFERROR(INDEX(DataTable[HLD_YieldCost],MATCH(H$50&amp;$C$1&amp;$B54,DataTable[RefCB],0)),0)</f>
        <v>1.22</v>
      </c>
      <c r="I54">
        <f ca="1">INDEX(MTM!$J:$J,MATCH('Port Sim'!$B54,MTM!$A:$A,0))-IFERROR(INDEX(DataTable[HLD_YieldCost],MATCH(I$50&amp;$C$1&amp;$B54,DataTable[RefCB],0)),0)</f>
        <v>1.22</v>
      </c>
      <c r="J54">
        <f ca="1">INDEX(MTM!$J:$J,MATCH('Port Sim'!$B54,MTM!$A:$A,0))-IFERROR(INDEX(DataTable[HLD_YieldCost],MATCH(J$50&amp;$C$1&amp;$B54,DataTable[RefCB],0)),0)</f>
        <v>1.22</v>
      </c>
      <c r="K54">
        <f ca="1">INDEX(MTM!$J:$J,MATCH('Port Sim'!$B54,MTM!$A:$A,0))-IFERROR(INDEX(DataTable[HLD_YieldCost],MATCH(K$50&amp;$C$1&amp;$B54,DataTable[RefCB],0)),0)</f>
        <v>1.22</v>
      </c>
      <c r="L54">
        <f ca="1">INDEX(MTM!$J:$J,MATCH('Port Sim'!$B54,MTM!$A:$A,0))-IFERROR(INDEX(DataTable[HLD_YieldCost],MATCH(L$50&amp;$C$1&amp;$B54,DataTable[RefCB],0)),0)</f>
        <v>1.22</v>
      </c>
    </row>
    <row r="55" spans="2:12" x14ac:dyDescent="0.2">
      <c r="B55" s="5" t="s">
        <v>1251</v>
      </c>
      <c r="C55">
        <f ca="1">INDEX(MTM!$J:$J,MATCH('Port Sim'!$B55,MTM!$A:$A,0))-IFERROR(INDEX(DataTable[HLD_YieldCost],MATCH(C$50&amp;$C$1&amp;$B55,DataTable[RefCB],0)),0)</f>
        <v>-2.9109999999998859E-3</v>
      </c>
      <c r="D55">
        <f ca="1">INDEX(MTM!$J:$J,MATCH('Port Sim'!$B55,MTM!$A:$A,0))-IFERROR(INDEX(DataTable[HLD_YieldCost],MATCH(D$50&amp;$C$1&amp;$B55,DataTable[RefCB],0)),0)</f>
        <v>7.0000000000001172E-3</v>
      </c>
      <c r="E55">
        <f ca="1">INDEX(MTM!$J:$J,MATCH('Port Sim'!$B55,MTM!$A:$A,0))-IFERROR(INDEX(DataTable[HLD_YieldCost],MATCH(E$50&amp;$C$1&amp;$B55,DataTable[RefCB],0)),0)</f>
        <v>-2.8699999999999282E-3</v>
      </c>
      <c r="F55">
        <f ca="1">INDEX(MTM!$J:$J,MATCH('Port Sim'!$B55,MTM!$A:$A,0))-IFERROR(INDEX(DataTable[HLD_YieldCost],MATCH(F$50&amp;$C$1&amp;$B55,DataTable[RefCB],0)),0)</f>
        <v>-2.9139999999998611E-3</v>
      </c>
      <c r="G55">
        <f ca="1">INDEX(MTM!$J:$J,MATCH('Port Sim'!$B55,MTM!$A:$A,0))-IFERROR(INDEX(DataTable[HLD_YieldCost],MATCH(G$50&amp;$C$1&amp;$B55,DataTable[RefCB],0)),0)</f>
        <v>1.2050000000000001</v>
      </c>
      <c r="H55">
        <f ca="1">INDEX(MTM!$J:$J,MATCH('Port Sim'!$B55,MTM!$A:$A,0))-IFERROR(INDEX(DataTable[HLD_YieldCost],MATCH(H$50&amp;$C$1&amp;$B55,DataTable[RefCB],0)),0)</f>
        <v>-2.9029999999998779E-3</v>
      </c>
      <c r="I55">
        <f ca="1">INDEX(MTM!$J:$J,MATCH('Port Sim'!$B55,MTM!$A:$A,0))-IFERROR(INDEX(DataTable[HLD_YieldCost],MATCH(I$50&amp;$C$1&amp;$B55,DataTable[RefCB],0)),0)</f>
        <v>5.0000000000001155E-3</v>
      </c>
      <c r="J55">
        <f ca="1">INDEX(MTM!$J:$J,MATCH('Port Sim'!$B55,MTM!$A:$A,0))-IFERROR(INDEX(DataTable[HLD_YieldCost],MATCH(J$50&amp;$C$1&amp;$B55,DataTable[RefCB],0)),0)</f>
        <v>5.0000000000001155E-3</v>
      </c>
      <c r="K55">
        <f ca="1">INDEX(MTM!$J:$J,MATCH('Port Sim'!$B55,MTM!$A:$A,0))-IFERROR(INDEX(DataTable[HLD_YieldCost],MATCH(K$50&amp;$C$1&amp;$B55,DataTable[RefCB],0)),0)</f>
        <v>6.9500000000011219E-4</v>
      </c>
      <c r="L55">
        <f ca="1">INDEX(MTM!$J:$J,MATCH('Port Sim'!$B55,MTM!$A:$A,0))-IFERROR(INDEX(DataTable[HLD_YieldCost],MATCH(L$50&amp;$C$1&amp;$B55,DataTable[RefCB],0)),0)</f>
        <v>1.2050000000000001</v>
      </c>
    </row>
    <row r="56" spans="2:12" x14ac:dyDescent="0.2">
      <c r="B56" t="s">
        <v>92</v>
      </c>
      <c r="C56">
        <f ca="1">INDEX(MTM!$J:$J,MATCH('Port Sim'!$B56,MTM!$A:$A,0))-IFERROR(INDEX(DataTable[HLD_YieldCost],MATCH(C$50&amp;$C$1&amp;$B56,DataTable[RefCB],0)),0)</f>
        <v>-5.1339000000000024E-2</v>
      </c>
      <c r="D56">
        <f ca="1">INDEX(MTM!$J:$J,MATCH('Port Sim'!$B56,MTM!$A:$A,0))-IFERROR(INDEX(DataTable[HLD_YieldCost],MATCH(D$50&amp;$C$1&amp;$B56,DataTable[RefCB],0)),0)</f>
        <v>-3.7625999999999937E-2</v>
      </c>
      <c r="E56">
        <f ca="1">INDEX(MTM!$J:$J,MATCH('Port Sim'!$B56,MTM!$A:$A,0))-IFERROR(INDEX(DataTable[HLD_YieldCost],MATCH(E$50&amp;$C$1&amp;$B56,DataTable[RefCB],0)),0)</f>
        <v>-3.2979000000000092E-2</v>
      </c>
      <c r="F56">
        <f ca="1">INDEX(MTM!$J:$J,MATCH('Port Sim'!$B56,MTM!$A:$A,0))-IFERROR(INDEX(DataTable[HLD_YieldCost],MATCH(F$50&amp;$C$1&amp;$B56,DataTable[RefCB],0)),0)</f>
        <v>5.1634999999999875E-2</v>
      </c>
      <c r="G56">
        <f ca="1">INDEX(MTM!$J:$J,MATCH('Port Sim'!$B56,MTM!$A:$A,0))-IFERROR(INDEX(DataTable[HLD_YieldCost],MATCH(G$50&amp;$C$1&amp;$B56,DataTable[RefCB],0)),0)</f>
        <v>1.0000000000000009E-2</v>
      </c>
      <c r="H56">
        <f ca="1">INDEX(MTM!$J:$J,MATCH('Port Sim'!$B56,MTM!$A:$A,0))-IFERROR(INDEX(DataTable[HLD_YieldCost],MATCH(H$50&amp;$C$1&amp;$B56,DataTable[RefCB],0)),0)</f>
        <v>-7.7970000000000539E-3</v>
      </c>
      <c r="I56">
        <f ca="1">INDEX(MTM!$J:$J,MATCH('Port Sim'!$B56,MTM!$A:$A,0))-IFERROR(INDEX(DataTable[HLD_YieldCost],MATCH(I$50&amp;$C$1&amp;$B56,DataTable[RefCB],0)),0)</f>
        <v>1.23</v>
      </c>
      <c r="J56">
        <f ca="1">INDEX(MTM!$J:$J,MATCH('Port Sim'!$B56,MTM!$A:$A,0))-IFERROR(INDEX(DataTable[HLD_YieldCost],MATCH(J$50&amp;$C$1&amp;$B56,DataTable[RefCB],0)),0)</f>
        <v>1.23</v>
      </c>
      <c r="K56">
        <f ca="1">INDEX(MTM!$J:$J,MATCH('Port Sim'!$B56,MTM!$A:$A,0))-IFERROR(INDEX(DataTable[HLD_YieldCost],MATCH(K$50&amp;$C$1&amp;$B56,DataTable[RefCB],0)),0)</f>
        <v>1.23</v>
      </c>
      <c r="L56">
        <f ca="1">INDEX(MTM!$J:$J,MATCH('Port Sim'!$B56,MTM!$A:$A,0))-IFERROR(INDEX(DataTable[HLD_YieldCost],MATCH(L$50&amp;$C$1&amp;$B56,DataTable[RefCB],0)),0)</f>
        <v>6.0000000000000053E-2</v>
      </c>
    </row>
    <row r="57" spans="2:12" x14ac:dyDescent="0.2">
      <c r="B57" t="s">
        <v>94</v>
      </c>
      <c r="C57">
        <f ca="1">INDEX(MTM!$J:$J,MATCH('Port Sim'!$B57,MTM!$A:$A,0))-IFERROR(INDEX(DataTable[HLD_YieldCost],MATCH(C$50&amp;$C$1&amp;$B57,DataTable[RefCB],0)),0)</f>
        <v>-2.3636999999999908E-2</v>
      </c>
      <c r="D57">
        <f ca="1">INDEX(MTM!$J:$J,MATCH('Port Sim'!$B57,MTM!$A:$A,0))-IFERROR(INDEX(DataTable[HLD_YieldCost],MATCH(D$50&amp;$C$1&amp;$B57,DataTable[RefCB],0)),0)</f>
        <v>-1.6931000000000029E-2</v>
      </c>
      <c r="E57">
        <f ca="1">INDEX(MTM!$J:$J,MATCH('Port Sim'!$B57,MTM!$A:$A,0))-IFERROR(INDEX(DataTable[HLD_YieldCost],MATCH(E$50&amp;$C$1&amp;$B57,DataTable[RefCB],0)),0)</f>
        <v>-1.604899999999998E-2</v>
      </c>
      <c r="F57">
        <f ca="1">INDEX(MTM!$J:$J,MATCH('Port Sim'!$B57,MTM!$A:$A,0))-IFERROR(INDEX(DataTable[HLD_YieldCost],MATCH(F$50&amp;$C$1&amp;$B57,DataTable[RefCB],0)),0)</f>
        <v>1.3989999999999947E-2</v>
      </c>
      <c r="G57">
        <f ca="1">INDEX(MTM!$J:$J,MATCH('Port Sim'!$B57,MTM!$A:$A,0))-IFERROR(INDEX(DataTable[HLD_YieldCost],MATCH(G$50&amp;$C$1&amp;$B57,DataTable[RefCB],0)),0)</f>
        <v>1.24</v>
      </c>
      <c r="H57">
        <f ca="1">INDEX(MTM!$J:$J,MATCH('Port Sim'!$B57,MTM!$A:$A,0))-IFERROR(INDEX(DataTable[HLD_YieldCost],MATCH(H$50&amp;$C$1&amp;$B57,DataTable[RefCB],0)),0)</f>
        <v>4.4286000000000048E-2</v>
      </c>
      <c r="I57">
        <f ca="1">INDEX(MTM!$J:$J,MATCH('Port Sim'!$B57,MTM!$A:$A,0))-IFERROR(INDEX(DataTable[HLD_YieldCost],MATCH(I$50&amp;$C$1&amp;$B57,DataTable[RefCB],0)),0)</f>
        <v>1.24</v>
      </c>
      <c r="J57">
        <f ca="1">INDEX(MTM!$J:$J,MATCH('Port Sim'!$B57,MTM!$A:$A,0))-IFERROR(INDEX(DataTable[HLD_YieldCost],MATCH(J$50&amp;$C$1&amp;$B57,DataTable[RefCB],0)),0)</f>
        <v>1.24</v>
      </c>
      <c r="K57">
        <f ca="1">INDEX(MTM!$J:$J,MATCH('Port Sim'!$B57,MTM!$A:$A,0))-IFERROR(INDEX(DataTable[HLD_YieldCost],MATCH(K$50&amp;$C$1&amp;$B57,DataTable[RefCB],0)),0)</f>
        <v>1.24</v>
      </c>
      <c r="L57">
        <f ca="1">INDEX(MTM!$J:$J,MATCH('Port Sim'!$B57,MTM!$A:$A,0))-IFERROR(INDEX(DataTable[HLD_YieldCost],MATCH(L$50&amp;$C$1&amp;$B57,DataTable[RefCB],0)),0)</f>
        <v>1.24</v>
      </c>
    </row>
    <row r="58" spans="2:12" x14ac:dyDescent="0.2">
      <c r="B58" t="s">
        <v>96</v>
      </c>
      <c r="C58">
        <f ca="1">INDEX(MTM!$J:$J,MATCH('Port Sim'!$B58,MTM!$A:$A,0))-IFERROR(INDEX(DataTable[HLD_YieldCost],MATCH(C$50&amp;$C$1&amp;$B58,DataTable[RefCB],0)),0)</f>
        <v>-5.7380999999999904E-2</v>
      </c>
      <c r="D58">
        <f ca="1">INDEX(MTM!$J:$J,MATCH('Port Sim'!$B58,MTM!$A:$A,0))-IFERROR(INDEX(DataTable[HLD_YieldCost],MATCH(D$50&amp;$C$1&amp;$B58,DataTable[RefCB],0)),0)</f>
        <v>-4.8001999999999878E-2</v>
      </c>
      <c r="E58">
        <f ca="1">INDEX(MTM!$J:$J,MATCH('Port Sim'!$B58,MTM!$A:$A,0))-IFERROR(INDEX(DataTable[HLD_YieldCost],MATCH(E$50&amp;$C$1&amp;$B58,DataTable[RefCB],0)),0)</f>
        <v>-4.2691999999999952E-2</v>
      </c>
      <c r="F58">
        <f ca="1">INDEX(MTM!$J:$J,MATCH('Port Sim'!$B58,MTM!$A:$A,0))-IFERROR(INDEX(DataTable[HLD_YieldCost],MATCH(F$50&amp;$C$1&amp;$B58,DataTable[RefCB],0)),0)</f>
        <v>-4.2867999999999906E-2</v>
      </c>
      <c r="G58">
        <f ca="1">INDEX(MTM!$J:$J,MATCH('Port Sim'!$B58,MTM!$A:$A,0))-IFERROR(INDEX(DataTable[HLD_YieldCost],MATCH(G$50&amp;$C$1&amp;$B58,DataTable[RefCB],0)),0)</f>
        <v>1.2250000000000001</v>
      </c>
      <c r="H58">
        <f ca="1">INDEX(MTM!$J:$J,MATCH('Port Sim'!$B58,MTM!$A:$A,0))-IFERROR(INDEX(DataTable[HLD_YieldCost],MATCH(H$50&amp;$C$1&amp;$B58,DataTable[RefCB],0)),0)</f>
        <v>1.2250000000000001</v>
      </c>
      <c r="I58">
        <f ca="1">INDEX(MTM!$J:$J,MATCH('Port Sim'!$B58,MTM!$A:$A,0))-IFERROR(INDEX(DataTable[HLD_YieldCost],MATCH(I$50&amp;$C$1&amp;$B58,DataTable[RefCB],0)),0)</f>
        <v>1.2250000000000001</v>
      </c>
      <c r="J58">
        <f ca="1">INDEX(MTM!$J:$J,MATCH('Port Sim'!$B58,MTM!$A:$A,0))-IFERROR(INDEX(DataTable[HLD_YieldCost],MATCH(J$50&amp;$C$1&amp;$B58,DataTable[RefCB],0)),0)</f>
        <v>1.2250000000000001</v>
      </c>
      <c r="K58">
        <f ca="1">INDEX(MTM!$J:$J,MATCH('Port Sim'!$B58,MTM!$A:$A,0))-IFERROR(INDEX(DataTable[HLD_YieldCost],MATCH(K$50&amp;$C$1&amp;$B58,DataTable[RefCB],0)),0)</f>
        <v>1.2250000000000001</v>
      </c>
      <c r="L58">
        <f ca="1">INDEX(MTM!$J:$J,MATCH('Port Sim'!$B58,MTM!$A:$A,0))-IFERROR(INDEX(DataTable[HLD_YieldCost],MATCH(L$50&amp;$C$1&amp;$B58,DataTable[RefCB],0)),0)</f>
        <v>1.2250000000000001</v>
      </c>
    </row>
    <row r="59" spans="2:12" x14ac:dyDescent="0.2">
      <c r="B59" t="s">
        <v>98</v>
      </c>
      <c r="C59">
        <f ca="1">INDEX(MTM!$J:$J,MATCH('Port Sim'!$B59,MTM!$A:$A,0))-IFERROR(INDEX(DataTable[HLD_YieldCost],MATCH(C$50&amp;$C$1&amp;$B59,DataTable[RefCB],0)),0)</f>
        <v>4.4095999999999913E-2</v>
      </c>
      <c r="D59">
        <f ca="1">INDEX(MTM!$J:$J,MATCH('Port Sim'!$B59,MTM!$A:$A,0))-IFERROR(INDEX(DataTable[HLD_YieldCost],MATCH(D$50&amp;$C$1&amp;$B59,DataTable[RefCB],0)),0)</f>
        <v>4.1652000000000022E-2</v>
      </c>
      <c r="E59">
        <f ca="1">INDEX(MTM!$J:$J,MATCH('Port Sim'!$B59,MTM!$A:$A,0))-IFERROR(INDEX(DataTable[HLD_YieldCost],MATCH(E$50&amp;$C$1&amp;$B59,DataTable[RefCB],0)),0)</f>
        <v>4.1889999999999983E-2</v>
      </c>
      <c r="F59">
        <f ca="1">INDEX(MTM!$J:$J,MATCH('Port Sim'!$B59,MTM!$A:$A,0))-IFERROR(INDEX(DataTable[HLD_YieldCost],MATCH(F$50&amp;$C$1&amp;$B59,DataTable[RefCB],0)),0)</f>
        <v>4.3167999999999873E-2</v>
      </c>
      <c r="G59">
        <f ca="1">INDEX(MTM!$J:$J,MATCH('Port Sim'!$B59,MTM!$A:$A,0))-IFERROR(INDEX(DataTable[HLD_YieldCost],MATCH(G$50&amp;$C$1&amp;$B59,DataTable[RefCB],0)),0)</f>
        <v>1.2849999999999999</v>
      </c>
      <c r="H59">
        <f ca="1">INDEX(MTM!$J:$J,MATCH('Port Sim'!$B59,MTM!$A:$A,0))-IFERROR(INDEX(DataTable[HLD_YieldCost],MATCH(H$50&amp;$C$1&amp;$B59,DataTable[RefCB],0)),0)</f>
        <v>1.2849999999999999</v>
      </c>
      <c r="I59">
        <f ca="1">INDEX(MTM!$J:$J,MATCH('Port Sim'!$B59,MTM!$A:$A,0))-IFERROR(INDEX(DataTable[HLD_YieldCost],MATCH(I$50&amp;$C$1&amp;$B59,DataTable[RefCB],0)),0)</f>
        <v>1.2849999999999999</v>
      </c>
      <c r="J59">
        <f ca="1">INDEX(MTM!$J:$J,MATCH('Port Sim'!$B59,MTM!$A:$A,0))-IFERROR(INDEX(DataTable[HLD_YieldCost],MATCH(J$50&amp;$C$1&amp;$B59,DataTable[RefCB],0)),0)</f>
        <v>1.2849999999999999</v>
      </c>
      <c r="K59">
        <f ca="1">INDEX(MTM!$J:$J,MATCH('Port Sim'!$B59,MTM!$A:$A,0))-IFERROR(INDEX(DataTable[HLD_YieldCost],MATCH(K$50&amp;$C$1&amp;$B59,DataTable[RefCB],0)),0)</f>
        <v>1.2849999999999999</v>
      </c>
      <c r="L59">
        <f ca="1">INDEX(MTM!$J:$J,MATCH('Port Sim'!$B59,MTM!$A:$A,0))-IFERROR(INDEX(DataTable[HLD_YieldCost],MATCH(L$50&amp;$C$1&amp;$B59,DataTable[RefCB],0)),0)</f>
        <v>1.2849999999999999</v>
      </c>
    </row>
    <row r="60" spans="2:12" x14ac:dyDescent="0.2">
      <c r="B60" t="s">
        <v>100</v>
      </c>
      <c r="C60" t="e">
        <f ca="1">INDEX(MTM!$J:$J,MATCH('Port Sim'!$B60,MTM!$A:$A,0))-IFERROR(INDEX(DataTable[HLD_YieldCost],MATCH(C$50&amp;$C$1&amp;$B60,DataTable[RefCB],0)),0)</f>
        <v>#N/A</v>
      </c>
      <c r="D60" t="e">
        <f ca="1">INDEX(MTM!$J:$J,MATCH('Port Sim'!$B60,MTM!$A:$A,0))-IFERROR(INDEX(DataTable[HLD_YieldCost],MATCH(D$50&amp;$C$1&amp;$B60,DataTable[RefCB],0)),0)</f>
        <v>#N/A</v>
      </c>
      <c r="E60" t="e">
        <f ca="1">INDEX(MTM!$J:$J,MATCH('Port Sim'!$B60,MTM!$A:$A,0))-IFERROR(INDEX(DataTable[HLD_YieldCost],MATCH(E$50&amp;$C$1&amp;$B60,DataTable[RefCB],0)),0)</f>
        <v>#N/A</v>
      </c>
      <c r="F60" t="e">
        <f ca="1">INDEX(MTM!$J:$J,MATCH('Port Sim'!$B60,MTM!$A:$A,0))-IFERROR(INDEX(DataTable[HLD_YieldCost],MATCH(F$50&amp;$C$1&amp;$B60,DataTable[RefCB],0)),0)</f>
        <v>#N/A</v>
      </c>
      <c r="G60" t="e">
        <f ca="1">INDEX(MTM!$J:$J,MATCH('Port Sim'!$B60,MTM!$A:$A,0))-IFERROR(INDEX(DataTable[HLD_YieldCost],MATCH(G$50&amp;$C$1&amp;$B60,DataTable[RefCB],0)),0)</f>
        <v>#N/A</v>
      </c>
      <c r="H60" t="e">
        <f ca="1">INDEX(MTM!$J:$J,MATCH('Port Sim'!$B60,MTM!$A:$A,0))-IFERROR(INDEX(DataTable[HLD_YieldCost],MATCH(H$50&amp;$C$1&amp;$B60,DataTable[RefCB],0)),0)</f>
        <v>#N/A</v>
      </c>
      <c r="I60" t="e">
        <f ca="1">INDEX(MTM!$J:$J,MATCH('Port Sim'!$B60,MTM!$A:$A,0))-IFERROR(INDEX(DataTable[HLD_YieldCost],MATCH(I$50&amp;$C$1&amp;$B60,DataTable[RefCB],0)),0)</f>
        <v>#N/A</v>
      </c>
      <c r="J60" t="e">
        <f ca="1">INDEX(MTM!$J:$J,MATCH('Port Sim'!$B60,MTM!$A:$A,0))-IFERROR(INDEX(DataTable[HLD_YieldCost],MATCH(J$50&amp;$C$1&amp;$B60,DataTable[RefCB],0)),0)</f>
        <v>#N/A</v>
      </c>
      <c r="K60" t="e">
        <f ca="1">INDEX(MTM!$J:$J,MATCH('Port Sim'!$B60,MTM!$A:$A,0))-IFERROR(INDEX(DataTable[HLD_YieldCost],MATCH(K$50&amp;$C$1&amp;$B60,DataTable[RefCB],0)),0)</f>
        <v>#N/A</v>
      </c>
      <c r="L60" t="e">
        <f ca="1">INDEX(MTM!$J:$J,MATCH('Port Sim'!$B60,MTM!$A:$A,0))-IFERROR(INDEX(DataTable[HLD_YieldCost],MATCH(L$50&amp;$C$1&amp;$B60,DataTable[RefCB],0)),0)</f>
        <v>#N/A</v>
      </c>
    </row>
    <row r="61" spans="2:12" x14ac:dyDescent="0.2">
      <c r="B61" t="s">
        <v>864</v>
      </c>
      <c r="C61">
        <f ca="1">INDEX(MTM!$J:$J,MATCH('Port Sim'!$B61,MTM!$A:$A,0))-IFERROR(INDEX(DataTable[HLD_YieldCost],MATCH(C$50&amp;$C$1&amp;$B61,DataTable[RefCB],0)),0)</f>
        <v>-6.6155000000000186E-2</v>
      </c>
      <c r="D61">
        <f ca="1">INDEX(MTM!$J:$J,MATCH('Port Sim'!$B61,MTM!$A:$A,0))-IFERROR(INDEX(DataTable[HLD_YieldCost],MATCH(D$50&amp;$C$1&amp;$B61,DataTable[RefCB],0)),0)</f>
        <v>-6.6155000000000186E-2</v>
      </c>
      <c r="E61">
        <f ca="1">INDEX(MTM!$J:$J,MATCH('Port Sim'!$B61,MTM!$A:$A,0))-IFERROR(INDEX(DataTable[HLD_YieldCost],MATCH(E$50&amp;$C$1&amp;$B61,DataTable[RefCB],0)),0)</f>
        <v>-6.6147000000000178E-2</v>
      </c>
      <c r="F61">
        <f ca="1">INDEX(MTM!$J:$J,MATCH('Port Sim'!$B61,MTM!$A:$A,0))-IFERROR(INDEX(DataTable[HLD_YieldCost],MATCH(F$50&amp;$C$1&amp;$B61,DataTable[RefCB],0)),0)</f>
        <v>-6.6147000000000178E-2</v>
      </c>
      <c r="G61">
        <f ca="1">INDEX(MTM!$J:$J,MATCH('Port Sim'!$B61,MTM!$A:$A,0))-IFERROR(INDEX(DataTable[HLD_YieldCost],MATCH(G$50&amp;$C$1&amp;$B61,DataTable[RefCB],0)),0)</f>
        <v>1.1399999999999999</v>
      </c>
      <c r="H61">
        <f ca="1">INDEX(MTM!$J:$J,MATCH('Port Sim'!$B61,MTM!$A:$A,0))-IFERROR(INDEX(DataTable[HLD_YieldCost],MATCH(H$50&amp;$C$1&amp;$B61,DataTable[RefCB],0)),0)</f>
        <v>1.1399999999999999</v>
      </c>
      <c r="I61">
        <f ca="1">INDEX(MTM!$J:$J,MATCH('Port Sim'!$B61,MTM!$A:$A,0))-IFERROR(INDEX(DataTable[HLD_YieldCost],MATCH(I$50&amp;$C$1&amp;$B61,DataTable[RefCB],0)),0)</f>
        <v>1.1399999999999999</v>
      </c>
      <c r="J61">
        <f ca="1">INDEX(MTM!$J:$J,MATCH('Port Sim'!$B61,MTM!$A:$A,0))-IFERROR(INDEX(DataTable[HLD_YieldCost],MATCH(J$50&amp;$C$1&amp;$B61,DataTable[RefCB],0)),0)</f>
        <v>1.1399999999999999</v>
      </c>
      <c r="K61">
        <f ca="1">INDEX(MTM!$J:$J,MATCH('Port Sim'!$B61,MTM!$A:$A,0))-IFERROR(INDEX(DataTable[HLD_YieldCost],MATCH(K$50&amp;$C$1&amp;$B61,DataTable[RefCB],0)),0)</f>
        <v>-7.0000000000000062E-2</v>
      </c>
      <c r="L61">
        <f ca="1">INDEX(MTM!$J:$J,MATCH('Port Sim'!$B61,MTM!$A:$A,0))-IFERROR(INDEX(DataTable[HLD_YieldCost],MATCH(L$50&amp;$C$1&amp;$B61,DataTable[RefCB],0)),0)</f>
        <v>1.1399999999999999</v>
      </c>
    </row>
    <row r="62" spans="2:12" x14ac:dyDescent="0.2">
      <c r="B62" t="s">
        <v>101</v>
      </c>
      <c r="C62">
        <f ca="1">INDEX(MTM!$J:$J,MATCH('Port Sim'!$B62,MTM!$A:$A,0))-IFERROR(INDEX(DataTable[HLD_YieldCost],MATCH(C$50&amp;$C$1&amp;$B62,DataTable[RefCB],0)),0)</f>
        <v>-1.0442000000000062E-2</v>
      </c>
      <c r="D62">
        <f ca="1">INDEX(MTM!$J:$J,MATCH('Port Sim'!$B62,MTM!$A:$A,0))-IFERROR(INDEX(DataTable[HLD_YieldCost],MATCH(D$50&amp;$C$1&amp;$B62,DataTable[RefCB],0)),0)</f>
        <v>-1.0304000000000091E-2</v>
      </c>
      <c r="E62">
        <f ca="1">INDEX(MTM!$J:$J,MATCH('Port Sim'!$B62,MTM!$A:$A,0))-IFERROR(INDEX(DataTable[HLD_YieldCost],MATCH(E$50&amp;$C$1&amp;$B62,DataTable[RefCB],0)),0)</f>
        <v>-1.0633000000000115E-2</v>
      </c>
      <c r="F62">
        <f ca="1">INDEX(MTM!$J:$J,MATCH('Port Sim'!$B62,MTM!$A:$A,0))-IFERROR(INDEX(DataTable[HLD_YieldCost],MATCH(F$50&amp;$C$1&amp;$B62,DataTable[RefCB],0)),0)</f>
        <v>-1.066900000000004E-2</v>
      </c>
      <c r="G62">
        <f ca="1">INDEX(MTM!$J:$J,MATCH('Port Sim'!$B62,MTM!$A:$A,0))-IFERROR(INDEX(DataTable[HLD_YieldCost],MATCH(G$50&amp;$C$1&amp;$B62,DataTable[RefCB],0)),0)</f>
        <v>1.48</v>
      </c>
      <c r="H62">
        <f ca="1">INDEX(MTM!$J:$J,MATCH('Port Sim'!$B62,MTM!$A:$A,0))-IFERROR(INDEX(DataTable[HLD_YieldCost],MATCH(H$50&amp;$C$1&amp;$B62,DataTable[RefCB],0)),0)</f>
        <v>-1.0666999999999982E-2</v>
      </c>
      <c r="I62">
        <f ca="1">INDEX(MTM!$J:$J,MATCH('Port Sim'!$B62,MTM!$A:$A,0))-IFERROR(INDEX(DataTable[HLD_YieldCost],MATCH(I$50&amp;$C$1&amp;$B62,DataTable[RefCB],0)),0)</f>
        <v>1.48</v>
      </c>
      <c r="J62">
        <f ca="1">INDEX(MTM!$J:$J,MATCH('Port Sim'!$B62,MTM!$A:$A,0))-IFERROR(INDEX(DataTable[HLD_YieldCost],MATCH(J$50&amp;$C$1&amp;$B62,DataTable[RefCB],0)),0)</f>
        <v>1.48</v>
      </c>
      <c r="K62">
        <f ca="1">INDEX(MTM!$J:$J,MATCH('Port Sim'!$B62,MTM!$A:$A,0))-IFERROR(INDEX(DataTable[HLD_YieldCost],MATCH(K$50&amp;$C$1&amp;$B62,DataTable[RefCB],0)),0)</f>
        <v>1.48</v>
      </c>
      <c r="L62">
        <f ca="1">INDEX(MTM!$J:$J,MATCH('Port Sim'!$B62,MTM!$A:$A,0))-IFERROR(INDEX(DataTable[HLD_YieldCost],MATCH(L$50&amp;$C$1&amp;$B62,DataTable[RefCB],0)),0)</f>
        <v>1.48</v>
      </c>
    </row>
    <row r="63" spans="2:12" x14ac:dyDescent="0.2">
      <c r="B63" t="s">
        <v>836</v>
      </c>
      <c r="C63">
        <f ca="1">INDEX(MTM!$J:$J,MATCH('Port Sim'!$B63,MTM!$A:$A,0))-IFERROR(INDEX(DataTable[HLD_YieldCost],MATCH(C$50&amp;$C$1&amp;$B63,DataTable[RefCB],0)),0)</f>
        <v>-3.4413000000000027E-2</v>
      </c>
      <c r="D63">
        <f ca="1">INDEX(MTM!$J:$J,MATCH('Port Sim'!$B63,MTM!$A:$A,0))-IFERROR(INDEX(DataTable[HLD_YieldCost],MATCH(D$50&amp;$C$1&amp;$B63,DataTable[RefCB],0)),0)</f>
        <v>-3.4546999999999883E-2</v>
      </c>
      <c r="E63">
        <f ca="1">INDEX(MTM!$J:$J,MATCH('Port Sim'!$B63,MTM!$A:$A,0))-IFERROR(INDEX(DataTable[HLD_YieldCost],MATCH(E$50&amp;$C$1&amp;$B63,DataTable[RefCB],0)),0)</f>
        <v>-3.448999999999991E-2</v>
      </c>
      <c r="F63">
        <f ca="1">INDEX(MTM!$J:$J,MATCH('Port Sim'!$B63,MTM!$A:$A,0))-IFERROR(INDEX(DataTable[HLD_YieldCost],MATCH(F$50&amp;$C$1&amp;$B63,DataTable[RefCB],0)),0)</f>
        <v>-3.454299999999999E-2</v>
      </c>
      <c r="G63">
        <f ca="1">INDEX(MTM!$J:$J,MATCH('Port Sim'!$B63,MTM!$A:$A,0))-IFERROR(INDEX(DataTable[HLD_YieldCost],MATCH(G$50&amp;$C$1&amp;$B63,DataTable[RefCB],0)),0)</f>
        <v>1.52</v>
      </c>
      <c r="H63">
        <f ca="1">INDEX(MTM!$J:$J,MATCH('Port Sim'!$B63,MTM!$A:$A,0))-IFERROR(INDEX(DataTable[HLD_YieldCost],MATCH(H$50&amp;$C$1&amp;$B63,DataTable[RefCB],0)),0)</f>
        <v>-3.4553999999999974E-2</v>
      </c>
      <c r="I63">
        <f ca="1">INDEX(MTM!$J:$J,MATCH('Port Sim'!$B63,MTM!$A:$A,0))-IFERROR(INDEX(DataTable[HLD_YieldCost],MATCH(I$50&amp;$C$1&amp;$B63,DataTable[RefCB],0)),0)</f>
        <v>1.52</v>
      </c>
      <c r="J63">
        <f ca="1">INDEX(MTM!$J:$J,MATCH('Port Sim'!$B63,MTM!$A:$A,0))-IFERROR(INDEX(DataTable[HLD_YieldCost],MATCH(J$50&amp;$C$1&amp;$B63,DataTable[RefCB],0)),0)</f>
        <v>1.52</v>
      </c>
      <c r="K63">
        <f ca="1">INDEX(MTM!$J:$J,MATCH('Port Sim'!$B63,MTM!$A:$A,0))-IFERROR(INDEX(DataTable[HLD_YieldCost],MATCH(K$50&amp;$C$1&amp;$B63,DataTable[RefCB],0)),0)</f>
        <v>1.52</v>
      </c>
      <c r="L63">
        <f ca="1">INDEX(MTM!$J:$J,MATCH('Port Sim'!$B63,MTM!$A:$A,0))-IFERROR(INDEX(DataTable[HLD_YieldCost],MATCH(L$50&amp;$C$1&amp;$B63,DataTable[RefCB],0)),0)</f>
        <v>1.52</v>
      </c>
    </row>
    <row r="64" spans="2:12" x14ac:dyDescent="0.2">
      <c r="B64" t="s">
        <v>1215</v>
      </c>
      <c r="C64">
        <f ca="1">INDEX(MTM!$J:$J,MATCH('Port Sim'!$B64,MTM!$A:$A,0))-IFERROR(INDEX(DataTable[HLD_YieldCost],MATCH(C$50&amp;$C$1&amp;$B64,DataTable[RefCB],0)),0)</f>
        <v>4.4699999999986417E-4</v>
      </c>
      <c r="D64">
        <f ca="1">INDEX(MTM!$J:$J,MATCH('Port Sim'!$B64,MTM!$A:$A,0))-IFERROR(INDEX(DataTable[HLD_YieldCost],MATCH(D$50&amp;$C$1&amp;$B64,DataTable[RefCB],0)),0)</f>
        <v>4.1699999999988968E-4</v>
      </c>
      <c r="E64">
        <f ca="1">INDEX(MTM!$J:$J,MATCH('Port Sim'!$B64,MTM!$A:$A,0))-IFERROR(INDEX(DataTable[HLD_YieldCost],MATCH(E$50&amp;$C$1&amp;$B64,DataTable[RefCB],0)),0)</f>
        <v>4.5699999999992968E-4</v>
      </c>
      <c r="F64">
        <f ca="1">INDEX(MTM!$J:$J,MATCH('Port Sim'!$B64,MTM!$A:$A,0))-IFERROR(INDEX(DataTable[HLD_YieldCost],MATCH(F$50&amp;$C$1&amp;$B64,DataTable[RefCB],0)),0)</f>
        <v>4.3999999999999595E-4</v>
      </c>
      <c r="G64">
        <f ca="1">INDEX(MTM!$J:$J,MATCH('Port Sim'!$B64,MTM!$A:$A,0))-IFERROR(INDEX(DataTable[HLD_YieldCost],MATCH(G$50&amp;$C$1&amp;$B64,DataTable[RefCB],0)),0)</f>
        <v>1.5674999999999999</v>
      </c>
      <c r="H64">
        <f ca="1">INDEX(MTM!$J:$J,MATCH('Port Sim'!$B64,MTM!$A:$A,0))-IFERROR(INDEX(DataTable[HLD_YieldCost],MATCH(H$50&amp;$C$1&amp;$B64,DataTable[RefCB],0)),0)</f>
        <v>1.5674999999999999</v>
      </c>
      <c r="I64">
        <f ca="1">INDEX(MTM!$J:$J,MATCH('Port Sim'!$B64,MTM!$A:$A,0))-IFERROR(INDEX(DataTable[HLD_YieldCost],MATCH(I$50&amp;$C$1&amp;$B64,DataTable[RefCB],0)),0)</f>
        <v>1.5674999999999999</v>
      </c>
      <c r="J64">
        <f ca="1">INDEX(MTM!$J:$J,MATCH('Port Sim'!$B64,MTM!$A:$A,0))-IFERROR(INDEX(DataTable[HLD_YieldCost],MATCH(J$50&amp;$C$1&amp;$B64,DataTable[RefCB],0)),0)</f>
        <v>1.5674999999999999</v>
      </c>
      <c r="K64">
        <f ca="1">INDEX(MTM!$J:$J,MATCH('Port Sim'!$B64,MTM!$A:$A,0))-IFERROR(INDEX(DataTable[HLD_YieldCost],MATCH(K$50&amp;$C$1&amp;$B64,DataTable[RefCB],0)),0)</f>
        <v>1.5674999999999999</v>
      </c>
      <c r="L64">
        <f ca="1">INDEX(MTM!$J:$J,MATCH('Port Sim'!$B64,MTM!$A:$A,0))-IFERROR(INDEX(DataTable[HLD_YieldCost],MATCH(L$50&amp;$C$1&amp;$B64,DataTable[RefCB],0)),0)</f>
        <v>1.5674999999999999</v>
      </c>
    </row>
    <row r="65" spans="2:12" x14ac:dyDescent="0.2">
      <c r="B65" t="s">
        <v>1262</v>
      </c>
      <c r="C65" t="e">
        <f ca="1">INDEX(MTM!$J:$J,MATCH('Port Sim'!$B65,MTM!$A:$A,0))-IFERROR(INDEX(DataTable[HLD_YieldCost],MATCH(C$50&amp;$C$1&amp;$B65,DataTable[RefCB],0)),0)</f>
        <v>#N/A</v>
      </c>
      <c r="D65" t="e">
        <f ca="1">INDEX(MTM!$J:$J,MATCH('Port Sim'!$B65,MTM!$A:$A,0))-IFERROR(INDEX(DataTable[HLD_YieldCost],MATCH(D$50&amp;$C$1&amp;$B65,DataTable[RefCB],0)),0)</f>
        <v>#N/A</v>
      </c>
      <c r="E65" t="e">
        <f ca="1">INDEX(MTM!$J:$J,MATCH('Port Sim'!$B65,MTM!$A:$A,0))-IFERROR(INDEX(DataTable[HLD_YieldCost],MATCH(E$50&amp;$C$1&amp;$B65,DataTable[RefCB],0)),0)</f>
        <v>#N/A</v>
      </c>
      <c r="F65" t="e">
        <f ca="1">INDEX(MTM!$J:$J,MATCH('Port Sim'!$B65,MTM!$A:$A,0))-IFERROR(INDEX(DataTable[HLD_YieldCost],MATCH(F$50&amp;$C$1&amp;$B65,DataTable[RefCB],0)),0)</f>
        <v>#N/A</v>
      </c>
      <c r="G65" t="e">
        <f ca="1">INDEX(MTM!$J:$J,MATCH('Port Sim'!$B65,MTM!$A:$A,0))-IFERROR(INDEX(DataTable[HLD_YieldCost],MATCH(G$50&amp;$C$1&amp;$B65,DataTable[RefCB],0)),0)</f>
        <v>#N/A</v>
      </c>
      <c r="H65" t="e">
        <f ca="1">INDEX(MTM!$J:$J,MATCH('Port Sim'!$B65,MTM!$A:$A,0))-IFERROR(INDEX(DataTable[HLD_YieldCost],MATCH(H$50&amp;$C$1&amp;$B65,DataTable[RefCB],0)),0)</f>
        <v>#N/A</v>
      </c>
      <c r="I65" t="e">
        <f ca="1">INDEX(MTM!$J:$J,MATCH('Port Sim'!$B65,MTM!$A:$A,0))-IFERROR(INDEX(DataTable[HLD_YieldCost],MATCH(I$50&amp;$C$1&amp;$B65,DataTable[RefCB],0)),0)</f>
        <v>#N/A</v>
      </c>
      <c r="J65" t="e">
        <f ca="1">INDEX(MTM!$J:$J,MATCH('Port Sim'!$B65,MTM!$A:$A,0))-IFERROR(INDEX(DataTable[HLD_YieldCost],MATCH(J$50&amp;$C$1&amp;$B65,DataTable[RefCB],0)),0)</f>
        <v>#N/A</v>
      </c>
      <c r="K65" t="e">
        <f ca="1">INDEX(MTM!$J:$J,MATCH('Port Sim'!$B65,MTM!$A:$A,0))-IFERROR(INDEX(DataTable[HLD_YieldCost],MATCH(K$50&amp;$C$1&amp;$B65,DataTable[RefCB],0)),0)</f>
        <v>#N/A</v>
      </c>
      <c r="L65" t="e">
        <f ca="1">INDEX(MTM!$J:$J,MATCH('Port Sim'!$B65,MTM!$A:$A,0))-IFERROR(INDEX(DataTable[HLD_YieldCost],MATCH(L$50&amp;$C$1&amp;$B65,DataTable[RefCB],0)),0)</f>
        <v>#N/A</v>
      </c>
    </row>
    <row r="66" spans="2:12" x14ac:dyDescent="0.2">
      <c r="B66" t="s">
        <v>197</v>
      </c>
      <c r="C66">
        <f ca="1">INDEX(MTM!$J:$J,MATCH('Port Sim'!$B66,MTM!$A:$A,0))-IFERROR(INDEX(DataTable[HLD_YieldCost],MATCH(C$50&amp;$C$1&amp;$B66,DataTable[RefCB],0)),0)</f>
        <v>1.52</v>
      </c>
      <c r="D66">
        <f ca="1">INDEX(MTM!$J:$J,MATCH('Port Sim'!$B66,MTM!$A:$A,0))-IFERROR(INDEX(DataTable[HLD_YieldCost],MATCH(D$50&amp;$C$1&amp;$B66,DataTable[RefCB],0)),0)</f>
        <v>2.178100000000005E-2</v>
      </c>
      <c r="E66">
        <f ca="1">INDEX(MTM!$J:$J,MATCH('Port Sim'!$B66,MTM!$A:$A,0))-IFERROR(INDEX(DataTable[HLD_YieldCost],MATCH(E$50&amp;$C$1&amp;$B66,DataTable[RefCB],0)),0)</f>
        <v>2.6000000000000023E-2</v>
      </c>
      <c r="F66">
        <f ca="1">INDEX(MTM!$J:$J,MATCH('Port Sim'!$B66,MTM!$A:$A,0))-IFERROR(INDEX(DataTable[HLD_YieldCost],MATCH(F$50&amp;$C$1&amp;$B66,DataTable[RefCB],0)),0)</f>
        <v>6.8823999999999996E-2</v>
      </c>
      <c r="G66">
        <f ca="1">INDEX(MTM!$J:$J,MATCH('Port Sim'!$B66,MTM!$A:$A,0))-IFERROR(INDEX(DataTable[HLD_YieldCost],MATCH(G$50&amp;$C$1&amp;$B66,DataTable[RefCB],0)),0)</f>
        <v>1.52</v>
      </c>
      <c r="H66">
        <f ca="1">INDEX(MTM!$J:$J,MATCH('Port Sim'!$B66,MTM!$A:$A,0))-IFERROR(INDEX(DataTable[HLD_YieldCost],MATCH(H$50&amp;$C$1&amp;$B66,DataTable[RefCB],0)),0)</f>
        <v>0.13000000000000012</v>
      </c>
      <c r="I66">
        <f ca="1">INDEX(MTM!$J:$J,MATCH('Port Sim'!$B66,MTM!$A:$A,0))-IFERROR(INDEX(DataTable[HLD_YieldCost],MATCH(I$50&amp;$C$1&amp;$B66,DataTable[RefCB],0)),0)</f>
        <v>0.14070300000000002</v>
      </c>
      <c r="J66">
        <f ca="1">INDEX(MTM!$J:$J,MATCH('Port Sim'!$B66,MTM!$A:$A,0))-IFERROR(INDEX(DataTable[HLD_YieldCost],MATCH(J$50&amp;$C$1&amp;$B66,DataTable[RefCB],0)),0)</f>
        <v>0.14085900000000007</v>
      </c>
      <c r="K66">
        <f ca="1">INDEX(MTM!$J:$J,MATCH('Port Sim'!$B66,MTM!$A:$A,0))-IFERROR(INDEX(DataTable[HLD_YieldCost],MATCH(K$50&amp;$C$1&amp;$B66,DataTable[RefCB],0)),0)</f>
        <v>0.14749999999999996</v>
      </c>
      <c r="L66">
        <f ca="1">INDEX(MTM!$J:$J,MATCH('Port Sim'!$B66,MTM!$A:$A,0))-IFERROR(INDEX(DataTable[HLD_YieldCost],MATCH(L$50&amp;$C$1&amp;$B66,DataTable[RefCB],0)),0)</f>
        <v>1.52</v>
      </c>
    </row>
    <row r="67" spans="2:12" x14ac:dyDescent="0.2">
      <c r="F67"/>
    </row>
    <row r="68" spans="2:12" x14ac:dyDescent="0.2">
      <c r="F68"/>
    </row>
    <row r="69" spans="2:12" x14ac:dyDescent="0.2">
      <c r="F69"/>
    </row>
    <row r="70" spans="2:12" x14ac:dyDescent="0.2">
      <c r="F70"/>
    </row>
    <row r="71" spans="2:12" x14ac:dyDescent="0.2">
      <c r="F71"/>
    </row>
    <row r="72" spans="2:12" x14ac:dyDescent="0.2">
      <c r="F72"/>
    </row>
    <row r="73" spans="2:12" x14ac:dyDescent="0.2">
      <c r="F73"/>
    </row>
    <row r="74" spans="2:12" x14ac:dyDescent="0.2">
      <c r="F74"/>
    </row>
    <row r="75" spans="2:12" x14ac:dyDescent="0.2">
      <c r="F75"/>
    </row>
    <row r="76" spans="2:12" x14ac:dyDescent="0.2">
      <c r="F76"/>
    </row>
    <row r="77" spans="2:12" x14ac:dyDescent="0.2">
      <c r="F77"/>
    </row>
    <row r="78" spans="2:12" x14ac:dyDescent="0.2">
      <c r="F78"/>
    </row>
    <row r="79" spans="2:12" x14ac:dyDescent="0.2">
      <c r="F79"/>
    </row>
    <row r="80" spans="2:12" x14ac:dyDescent="0.2">
      <c r="F80"/>
    </row>
    <row r="81" spans="6:6" x14ac:dyDescent="0.2">
      <c r="F81"/>
    </row>
    <row r="82" spans="6:6" x14ac:dyDescent="0.2">
      <c r="F82"/>
    </row>
    <row r="83" spans="6:6" x14ac:dyDescent="0.2">
      <c r="F83"/>
    </row>
    <row r="84" spans="6:6" x14ac:dyDescent="0.2">
      <c r="F84"/>
    </row>
    <row r="85" spans="6:6" x14ac:dyDescent="0.2">
      <c r="F85"/>
    </row>
    <row r="86" spans="6:6" x14ac:dyDescent="0.2">
      <c r="F86"/>
    </row>
    <row r="87" spans="6:6" x14ac:dyDescent="0.2">
      <c r="F87"/>
    </row>
    <row r="88" spans="6:6" x14ac:dyDescent="0.2">
      <c r="F88"/>
    </row>
    <row r="89" spans="6:6" x14ac:dyDescent="0.2">
      <c r="F89"/>
    </row>
    <row r="90" spans="6:6" x14ac:dyDescent="0.2">
      <c r="F90"/>
    </row>
    <row r="91" spans="6:6" x14ac:dyDescent="0.2">
      <c r="F91"/>
    </row>
    <row r="92" spans="6:6" x14ac:dyDescent="0.2">
      <c r="F92"/>
    </row>
    <row r="93" spans="6:6" x14ac:dyDescent="0.2">
      <c r="F93"/>
    </row>
    <row r="94" spans="6:6" x14ac:dyDescent="0.2">
      <c r="F94"/>
    </row>
    <row r="95" spans="6:6" x14ac:dyDescent="0.2">
      <c r="F95"/>
    </row>
    <row r="96" spans="6:6" x14ac:dyDescent="0.2">
      <c r="F96"/>
    </row>
    <row r="97" spans="6:6" x14ac:dyDescent="0.2">
      <c r="F97"/>
    </row>
    <row r="98" spans="6:6" x14ac:dyDescent="0.2">
      <c r="F98"/>
    </row>
    <row r="99" spans="6:6" x14ac:dyDescent="0.2">
      <c r="F99"/>
    </row>
    <row r="100" spans="6:6" x14ac:dyDescent="0.2">
      <c r="F100"/>
    </row>
    <row r="101" spans="6:6" x14ac:dyDescent="0.2">
      <c r="F101"/>
    </row>
    <row r="102" spans="6:6" x14ac:dyDescent="0.2">
      <c r="F102"/>
    </row>
    <row r="103" spans="6:6" x14ac:dyDescent="0.2">
      <c r="F103"/>
    </row>
    <row r="104" spans="6:6" x14ac:dyDescent="0.2">
      <c r="F104"/>
    </row>
    <row r="105" spans="6:6" x14ac:dyDescent="0.2">
      <c r="F105"/>
    </row>
    <row r="106" spans="6:6" x14ac:dyDescent="0.2">
      <c r="F106"/>
    </row>
    <row r="107" spans="6:6" x14ac:dyDescent="0.2">
      <c r="F107"/>
    </row>
    <row r="108" spans="6:6" x14ac:dyDescent="0.2">
      <c r="F108"/>
    </row>
    <row r="109" spans="6:6" x14ac:dyDescent="0.2">
      <c r="F109"/>
    </row>
    <row r="110" spans="6:6" x14ac:dyDescent="0.2">
      <c r="F110"/>
    </row>
    <row r="111" spans="6:6" x14ac:dyDescent="0.2">
      <c r="F111"/>
    </row>
    <row r="112" spans="6:6" x14ac:dyDescent="0.2">
      <c r="F112"/>
    </row>
    <row r="113" spans="6:6" x14ac:dyDescent="0.2">
      <c r="F113"/>
    </row>
    <row r="114" spans="6:6" x14ac:dyDescent="0.2">
      <c r="F114"/>
    </row>
    <row r="115" spans="6:6" x14ac:dyDescent="0.2">
      <c r="F115"/>
    </row>
    <row r="116" spans="6:6" x14ac:dyDescent="0.2">
      <c r="F116"/>
    </row>
    <row r="117" spans="6:6" x14ac:dyDescent="0.2">
      <c r="F117"/>
    </row>
    <row r="118" spans="6:6" x14ac:dyDescent="0.2">
      <c r="F118"/>
    </row>
    <row r="119" spans="6:6" x14ac:dyDescent="0.2">
      <c r="F119"/>
    </row>
    <row r="120" spans="6:6" x14ac:dyDescent="0.2">
      <c r="F120"/>
    </row>
    <row r="121" spans="6:6" x14ac:dyDescent="0.2">
      <c r="F121"/>
    </row>
    <row r="122" spans="6:6" x14ac:dyDescent="0.2">
      <c r="F122"/>
    </row>
    <row r="123" spans="6:6" x14ac:dyDescent="0.2">
      <c r="F123"/>
    </row>
    <row r="124" spans="6:6" x14ac:dyDescent="0.2">
      <c r="F124"/>
    </row>
    <row r="125" spans="6:6" x14ac:dyDescent="0.2">
      <c r="F125"/>
    </row>
    <row r="126" spans="6:6" x14ac:dyDescent="0.2">
      <c r="F126"/>
    </row>
    <row r="127" spans="6:6" x14ac:dyDescent="0.2">
      <c r="F127"/>
    </row>
    <row r="128" spans="6:6" x14ac:dyDescent="0.2">
      <c r="F128"/>
    </row>
    <row r="129" spans="6:6" x14ac:dyDescent="0.2">
      <c r="F129"/>
    </row>
    <row r="130" spans="6:6" x14ac:dyDescent="0.2">
      <c r="F130"/>
    </row>
    <row r="131" spans="6:6" x14ac:dyDescent="0.2">
      <c r="F131"/>
    </row>
    <row r="132" spans="6:6" x14ac:dyDescent="0.2">
      <c r="F132"/>
    </row>
    <row r="133" spans="6:6" x14ac:dyDescent="0.2">
      <c r="F133"/>
    </row>
    <row r="134" spans="6:6" x14ac:dyDescent="0.2">
      <c r="F134"/>
    </row>
    <row r="135" spans="6:6" x14ac:dyDescent="0.2">
      <c r="F135"/>
    </row>
    <row r="136" spans="6:6" x14ac:dyDescent="0.2">
      <c r="F136"/>
    </row>
    <row r="137" spans="6:6" x14ac:dyDescent="0.2">
      <c r="F137"/>
    </row>
    <row r="138" spans="6:6" x14ac:dyDescent="0.2">
      <c r="F138"/>
    </row>
    <row r="139" spans="6:6" x14ac:dyDescent="0.2">
      <c r="F139"/>
    </row>
    <row r="140" spans="6:6" x14ac:dyDescent="0.2">
      <c r="F140"/>
    </row>
    <row r="141" spans="6:6" x14ac:dyDescent="0.2">
      <c r="F141"/>
    </row>
    <row r="142" spans="6:6" x14ac:dyDescent="0.2">
      <c r="F142"/>
    </row>
    <row r="143" spans="6:6" x14ac:dyDescent="0.2">
      <c r="F143"/>
    </row>
    <row r="144" spans="6:6" x14ac:dyDescent="0.2">
      <c r="F144"/>
    </row>
    <row r="145" spans="6:6" x14ac:dyDescent="0.2">
      <c r="F145"/>
    </row>
    <row r="146" spans="6:6" x14ac:dyDescent="0.2">
      <c r="F146"/>
    </row>
    <row r="147" spans="6:6" x14ac:dyDescent="0.2">
      <c r="F147"/>
    </row>
    <row r="148" spans="6:6" x14ac:dyDescent="0.2">
      <c r="F148"/>
    </row>
    <row r="149" spans="6:6" x14ac:dyDescent="0.2">
      <c r="F149"/>
    </row>
    <row r="150" spans="6:6" x14ac:dyDescent="0.2">
      <c r="F150"/>
    </row>
    <row r="151" spans="6:6" x14ac:dyDescent="0.2">
      <c r="F151"/>
    </row>
    <row r="152" spans="6:6" x14ac:dyDescent="0.2">
      <c r="F152"/>
    </row>
    <row r="153" spans="6:6" x14ac:dyDescent="0.2">
      <c r="F153"/>
    </row>
    <row r="154" spans="6:6" x14ac:dyDescent="0.2">
      <c r="F154"/>
    </row>
    <row r="155" spans="6:6" x14ac:dyDescent="0.2">
      <c r="F155"/>
    </row>
    <row r="156" spans="6:6" x14ac:dyDescent="0.2">
      <c r="F156"/>
    </row>
    <row r="157" spans="6:6" x14ac:dyDescent="0.2">
      <c r="F157"/>
    </row>
    <row r="158" spans="6:6" x14ac:dyDescent="0.2">
      <c r="F158"/>
    </row>
    <row r="159" spans="6:6" x14ac:dyDescent="0.2">
      <c r="F159"/>
    </row>
    <row r="160" spans="6:6" x14ac:dyDescent="0.2">
      <c r="F160"/>
    </row>
    <row r="161" spans="6:6" x14ac:dyDescent="0.2">
      <c r="F161"/>
    </row>
    <row r="162" spans="6:6" x14ac:dyDescent="0.2">
      <c r="F162"/>
    </row>
    <row r="163" spans="6:6" x14ac:dyDescent="0.2">
      <c r="F163"/>
    </row>
    <row r="164" spans="6:6" x14ac:dyDescent="0.2">
      <c r="F164"/>
    </row>
    <row r="165" spans="6:6" x14ac:dyDescent="0.2">
      <c r="F165"/>
    </row>
    <row r="166" spans="6:6" x14ac:dyDescent="0.2">
      <c r="F166"/>
    </row>
    <row r="167" spans="6:6" x14ac:dyDescent="0.2">
      <c r="F167"/>
    </row>
    <row r="168" spans="6:6" x14ac:dyDescent="0.2">
      <c r="F168"/>
    </row>
    <row r="169" spans="6:6" x14ac:dyDescent="0.2">
      <c r="F169"/>
    </row>
    <row r="170" spans="6:6" x14ac:dyDescent="0.2">
      <c r="F170"/>
    </row>
    <row r="171" spans="6:6" x14ac:dyDescent="0.2">
      <c r="F171"/>
    </row>
    <row r="172" spans="6:6" x14ac:dyDescent="0.2">
      <c r="F172"/>
    </row>
    <row r="173" spans="6:6" x14ac:dyDescent="0.2">
      <c r="F173"/>
    </row>
    <row r="174" spans="6:6" x14ac:dyDescent="0.2">
      <c r="F174"/>
    </row>
    <row r="175" spans="6:6" x14ac:dyDescent="0.2">
      <c r="F175"/>
    </row>
    <row r="176" spans="6:6" x14ac:dyDescent="0.2">
      <c r="F176"/>
    </row>
    <row r="177" spans="6:6" x14ac:dyDescent="0.2">
      <c r="F177"/>
    </row>
    <row r="178" spans="6:6" x14ac:dyDescent="0.2">
      <c r="F178"/>
    </row>
    <row r="179" spans="6:6" x14ac:dyDescent="0.2">
      <c r="F179"/>
    </row>
    <row r="180" spans="6:6" x14ac:dyDescent="0.2">
      <c r="F180"/>
    </row>
    <row r="181" spans="6:6" x14ac:dyDescent="0.2">
      <c r="F181"/>
    </row>
    <row r="182" spans="6:6" x14ac:dyDescent="0.2">
      <c r="F182"/>
    </row>
    <row r="183" spans="6:6" x14ac:dyDescent="0.2">
      <c r="F183"/>
    </row>
    <row r="184" spans="6:6" x14ac:dyDescent="0.2">
      <c r="F184"/>
    </row>
    <row r="185" spans="6:6" x14ac:dyDescent="0.2">
      <c r="F185"/>
    </row>
    <row r="186" spans="6:6" x14ac:dyDescent="0.2">
      <c r="F186"/>
    </row>
    <row r="187" spans="6:6" x14ac:dyDescent="0.2">
      <c r="F187"/>
    </row>
    <row r="188" spans="6:6" x14ac:dyDescent="0.2">
      <c r="F188"/>
    </row>
    <row r="189" spans="6:6" x14ac:dyDescent="0.2">
      <c r="F189"/>
    </row>
    <row r="190" spans="6:6" x14ac:dyDescent="0.2">
      <c r="F190"/>
    </row>
    <row r="191" spans="6:6" x14ac:dyDescent="0.2">
      <c r="F191"/>
    </row>
    <row r="192" spans="6:6" x14ac:dyDescent="0.2">
      <c r="F192"/>
    </row>
    <row r="193" spans="6:6" x14ac:dyDescent="0.2">
      <c r="F193"/>
    </row>
    <row r="194" spans="6:6" x14ac:dyDescent="0.2">
      <c r="F194"/>
    </row>
    <row r="195" spans="6:6" x14ac:dyDescent="0.2">
      <c r="F195"/>
    </row>
    <row r="196" spans="6:6" x14ac:dyDescent="0.2">
      <c r="F196"/>
    </row>
    <row r="197" spans="6:6" x14ac:dyDescent="0.2">
      <c r="F197"/>
    </row>
    <row r="198" spans="6:6" x14ac:dyDescent="0.2">
      <c r="F198"/>
    </row>
    <row r="199" spans="6:6" x14ac:dyDescent="0.2">
      <c r="F199"/>
    </row>
    <row r="200" spans="6:6" x14ac:dyDescent="0.2">
      <c r="F200"/>
    </row>
    <row r="201" spans="6:6" x14ac:dyDescent="0.2">
      <c r="F201"/>
    </row>
    <row r="202" spans="6:6" x14ac:dyDescent="0.2">
      <c r="F202"/>
    </row>
    <row r="203" spans="6:6" x14ac:dyDescent="0.2">
      <c r="F203"/>
    </row>
    <row r="204" spans="6:6" x14ac:dyDescent="0.2">
      <c r="F204"/>
    </row>
    <row r="205" spans="6:6" x14ac:dyDescent="0.2">
      <c r="F205"/>
    </row>
    <row r="206" spans="6:6" x14ac:dyDescent="0.2">
      <c r="F206"/>
    </row>
    <row r="207" spans="6:6" x14ac:dyDescent="0.2">
      <c r="F207"/>
    </row>
    <row r="208" spans="6:6" x14ac:dyDescent="0.2">
      <c r="F208"/>
    </row>
    <row r="209" spans="6:6" x14ac:dyDescent="0.2">
      <c r="F209"/>
    </row>
    <row r="210" spans="6:6" x14ac:dyDescent="0.2">
      <c r="F210"/>
    </row>
    <row r="211" spans="6:6" x14ac:dyDescent="0.2">
      <c r="F211"/>
    </row>
    <row r="212" spans="6:6" x14ac:dyDescent="0.2">
      <c r="F212"/>
    </row>
    <row r="213" spans="6:6" x14ac:dyDescent="0.2">
      <c r="F213"/>
    </row>
    <row r="214" spans="6:6" x14ac:dyDescent="0.2">
      <c r="F214"/>
    </row>
    <row r="215" spans="6:6" x14ac:dyDescent="0.2">
      <c r="F215"/>
    </row>
    <row r="216" spans="6:6" x14ac:dyDescent="0.2">
      <c r="F216"/>
    </row>
    <row r="217" spans="6:6" x14ac:dyDescent="0.2">
      <c r="F217"/>
    </row>
    <row r="218" spans="6:6" x14ac:dyDescent="0.2">
      <c r="F218"/>
    </row>
    <row r="219" spans="6:6" x14ac:dyDescent="0.2">
      <c r="F219"/>
    </row>
    <row r="220" spans="6:6" x14ac:dyDescent="0.2">
      <c r="F220"/>
    </row>
    <row r="221" spans="6:6" x14ac:dyDescent="0.2">
      <c r="F221"/>
    </row>
    <row r="222" spans="6:6" x14ac:dyDescent="0.2">
      <c r="F222"/>
    </row>
    <row r="223" spans="6:6" x14ac:dyDescent="0.2">
      <c r="F223"/>
    </row>
    <row r="224" spans="6:6" x14ac:dyDescent="0.2">
      <c r="F224"/>
    </row>
    <row r="225" spans="6:6" x14ac:dyDescent="0.2">
      <c r="F225"/>
    </row>
    <row r="226" spans="6:6" x14ac:dyDescent="0.2">
      <c r="F226"/>
    </row>
    <row r="227" spans="6:6" x14ac:dyDescent="0.2">
      <c r="F227"/>
    </row>
    <row r="228" spans="6:6" x14ac:dyDescent="0.2">
      <c r="F228"/>
    </row>
    <row r="229" spans="6:6" x14ac:dyDescent="0.2">
      <c r="F229"/>
    </row>
    <row r="230" spans="6:6" x14ac:dyDescent="0.2">
      <c r="F230"/>
    </row>
    <row r="231" spans="6:6" x14ac:dyDescent="0.2">
      <c r="F231"/>
    </row>
    <row r="232" spans="6:6" x14ac:dyDescent="0.2">
      <c r="F232"/>
    </row>
    <row r="233" spans="6:6" x14ac:dyDescent="0.2">
      <c r="F233"/>
    </row>
    <row r="234" spans="6:6" x14ac:dyDescent="0.2">
      <c r="F234"/>
    </row>
    <row r="235" spans="6:6" x14ac:dyDescent="0.2">
      <c r="F235"/>
    </row>
    <row r="236" spans="6:6" x14ac:dyDescent="0.2">
      <c r="F236"/>
    </row>
    <row r="237" spans="6:6" x14ac:dyDescent="0.2">
      <c r="F237"/>
    </row>
    <row r="238" spans="6:6" x14ac:dyDescent="0.2">
      <c r="F238"/>
    </row>
    <row r="239" spans="6:6" x14ac:dyDescent="0.2">
      <c r="F239"/>
    </row>
    <row r="240" spans="6:6" x14ac:dyDescent="0.2">
      <c r="F240"/>
    </row>
    <row r="241" spans="6:6" x14ac:dyDescent="0.2">
      <c r="F241"/>
    </row>
    <row r="242" spans="6:6" x14ac:dyDescent="0.2">
      <c r="F242"/>
    </row>
    <row r="243" spans="6:6" x14ac:dyDescent="0.2">
      <c r="F243"/>
    </row>
    <row r="244" spans="6:6" x14ac:dyDescent="0.2">
      <c r="F244"/>
    </row>
    <row r="245" spans="6:6" x14ac:dyDescent="0.2">
      <c r="F245"/>
    </row>
    <row r="246" spans="6:6" x14ac:dyDescent="0.2">
      <c r="F246"/>
    </row>
    <row r="247" spans="6:6" x14ac:dyDescent="0.2">
      <c r="F247"/>
    </row>
    <row r="248" spans="6:6" x14ac:dyDescent="0.2">
      <c r="F248"/>
    </row>
    <row r="249" spans="6:6" x14ac:dyDescent="0.2">
      <c r="F249"/>
    </row>
    <row r="250" spans="6:6" x14ac:dyDescent="0.2">
      <c r="F250"/>
    </row>
    <row r="251" spans="6:6" x14ac:dyDescent="0.2">
      <c r="F251"/>
    </row>
    <row r="252" spans="6:6" x14ac:dyDescent="0.2">
      <c r="F252"/>
    </row>
    <row r="253" spans="6:6" x14ac:dyDescent="0.2">
      <c r="F253"/>
    </row>
    <row r="254" spans="6:6" x14ac:dyDescent="0.2">
      <c r="F254"/>
    </row>
    <row r="255" spans="6:6" x14ac:dyDescent="0.2">
      <c r="F255"/>
    </row>
    <row r="256" spans="6:6" x14ac:dyDescent="0.2">
      <c r="F256"/>
    </row>
    <row r="257" spans="6:6" x14ac:dyDescent="0.2">
      <c r="F257"/>
    </row>
    <row r="258" spans="6:6" x14ac:dyDescent="0.2">
      <c r="F258"/>
    </row>
    <row r="259" spans="6:6" x14ac:dyDescent="0.2">
      <c r="F259"/>
    </row>
    <row r="260" spans="6:6" x14ac:dyDescent="0.2">
      <c r="F260"/>
    </row>
    <row r="261" spans="6:6" x14ac:dyDescent="0.2">
      <c r="F261"/>
    </row>
    <row r="262" spans="6:6" x14ac:dyDescent="0.2">
      <c r="F262"/>
    </row>
    <row r="263" spans="6:6" x14ac:dyDescent="0.2">
      <c r="F263"/>
    </row>
    <row r="264" spans="6:6" x14ac:dyDescent="0.2">
      <c r="F264"/>
    </row>
    <row r="265" spans="6:6" x14ac:dyDescent="0.2">
      <c r="F265"/>
    </row>
    <row r="266" spans="6:6" x14ac:dyDescent="0.2">
      <c r="F266"/>
    </row>
    <row r="267" spans="6:6" x14ac:dyDescent="0.2">
      <c r="F267"/>
    </row>
    <row r="268" spans="6:6" x14ac:dyDescent="0.2">
      <c r="F268"/>
    </row>
    <row r="269" spans="6:6" x14ac:dyDescent="0.2">
      <c r="F269"/>
    </row>
    <row r="270" spans="6:6" x14ac:dyDescent="0.2">
      <c r="F270"/>
    </row>
    <row r="271" spans="6:6" x14ac:dyDescent="0.2">
      <c r="F271"/>
    </row>
    <row r="272" spans="6:6" x14ac:dyDescent="0.2">
      <c r="F272"/>
    </row>
    <row r="273" spans="6:6" x14ac:dyDescent="0.2">
      <c r="F273"/>
    </row>
    <row r="274" spans="6:6" x14ac:dyDescent="0.2">
      <c r="F274"/>
    </row>
    <row r="275" spans="6:6" x14ac:dyDescent="0.2">
      <c r="F275"/>
    </row>
    <row r="276" spans="6:6" x14ac:dyDescent="0.2">
      <c r="F276"/>
    </row>
    <row r="277" spans="6:6" x14ac:dyDescent="0.2">
      <c r="F277"/>
    </row>
    <row r="278" spans="6:6" x14ac:dyDescent="0.2">
      <c r="F278"/>
    </row>
    <row r="279" spans="6:6" x14ac:dyDescent="0.2">
      <c r="F279"/>
    </row>
    <row r="280" spans="6:6" x14ac:dyDescent="0.2">
      <c r="F280"/>
    </row>
    <row r="281" spans="6:6" x14ac:dyDescent="0.2">
      <c r="F281"/>
    </row>
    <row r="282" spans="6:6" x14ac:dyDescent="0.2">
      <c r="F282"/>
    </row>
    <row r="283" spans="6:6" x14ac:dyDescent="0.2">
      <c r="F283"/>
    </row>
    <row r="284" spans="6:6" x14ac:dyDescent="0.2">
      <c r="F284"/>
    </row>
    <row r="285" spans="6:6" x14ac:dyDescent="0.2">
      <c r="F285"/>
    </row>
    <row r="286" spans="6:6" x14ac:dyDescent="0.2">
      <c r="F286"/>
    </row>
    <row r="287" spans="6:6" x14ac:dyDescent="0.2">
      <c r="F287"/>
    </row>
    <row r="288" spans="6:6" x14ac:dyDescent="0.2">
      <c r="F288"/>
    </row>
    <row r="289" spans="6:6" x14ac:dyDescent="0.2">
      <c r="F289"/>
    </row>
    <row r="290" spans="6:6" x14ac:dyDescent="0.2">
      <c r="F290"/>
    </row>
    <row r="291" spans="6:6" x14ac:dyDescent="0.2">
      <c r="F291"/>
    </row>
    <row r="292" spans="6:6" x14ac:dyDescent="0.2">
      <c r="F292"/>
    </row>
    <row r="293" spans="6:6" x14ac:dyDescent="0.2">
      <c r="F293"/>
    </row>
    <row r="294" spans="6:6" x14ac:dyDescent="0.2">
      <c r="F294"/>
    </row>
    <row r="295" spans="6:6" x14ac:dyDescent="0.2">
      <c r="F295"/>
    </row>
    <row r="296" spans="6:6" x14ac:dyDescent="0.2">
      <c r="F296"/>
    </row>
    <row r="297" spans="6:6" x14ac:dyDescent="0.2">
      <c r="F297"/>
    </row>
    <row r="298" spans="6:6" x14ac:dyDescent="0.2">
      <c r="F298"/>
    </row>
    <row r="299" spans="6:6" x14ac:dyDescent="0.2">
      <c r="F299"/>
    </row>
    <row r="300" spans="6:6" x14ac:dyDescent="0.2">
      <c r="F300"/>
    </row>
    <row r="301" spans="6:6" x14ac:dyDescent="0.2">
      <c r="F301"/>
    </row>
    <row r="302" spans="6:6" x14ac:dyDescent="0.2">
      <c r="F302"/>
    </row>
    <row r="303" spans="6:6" x14ac:dyDescent="0.2">
      <c r="F303"/>
    </row>
    <row r="304" spans="6:6" x14ac:dyDescent="0.2">
      <c r="F304"/>
    </row>
    <row r="305" spans="6:6" x14ac:dyDescent="0.2">
      <c r="F305"/>
    </row>
    <row r="306" spans="6:6" x14ac:dyDescent="0.2">
      <c r="F306"/>
    </row>
    <row r="307" spans="6:6" x14ac:dyDescent="0.2">
      <c r="F307"/>
    </row>
    <row r="308" spans="6:6" x14ac:dyDescent="0.2">
      <c r="F308"/>
    </row>
    <row r="309" spans="6:6" x14ac:dyDescent="0.2">
      <c r="F309"/>
    </row>
    <row r="310" spans="6:6" x14ac:dyDescent="0.2">
      <c r="F310"/>
    </row>
    <row r="311" spans="6:6" x14ac:dyDescent="0.2">
      <c r="F311"/>
    </row>
    <row r="312" spans="6:6" x14ac:dyDescent="0.2">
      <c r="F312"/>
    </row>
    <row r="313" spans="6:6" x14ac:dyDescent="0.2">
      <c r="F313"/>
    </row>
    <row r="314" spans="6:6" x14ac:dyDescent="0.2">
      <c r="F314"/>
    </row>
    <row r="315" spans="6:6" x14ac:dyDescent="0.2">
      <c r="F315"/>
    </row>
    <row r="316" spans="6:6" x14ac:dyDescent="0.2">
      <c r="F316"/>
    </row>
    <row r="317" spans="6:6" x14ac:dyDescent="0.2">
      <c r="F317"/>
    </row>
    <row r="318" spans="6:6" x14ac:dyDescent="0.2">
      <c r="F318"/>
    </row>
    <row r="319" spans="6:6" x14ac:dyDescent="0.2">
      <c r="F319"/>
    </row>
    <row r="320" spans="6:6" x14ac:dyDescent="0.2">
      <c r="F320"/>
    </row>
    <row r="321" spans="6:6" x14ac:dyDescent="0.2">
      <c r="F321"/>
    </row>
    <row r="322" spans="6:6" x14ac:dyDescent="0.2">
      <c r="F322"/>
    </row>
    <row r="323" spans="6:6" x14ac:dyDescent="0.2">
      <c r="F323"/>
    </row>
    <row r="324" spans="6:6" x14ac:dyDescent="0.2">
      <c r="F324"/>
    </row>
    <row r="325" spans="6:6" x14ac:dyDescent="0.2">
      <c r="F325"/>
    </row>
    <row r="326" spans="6:6" x14ac:dyDescent="0.2">
      <c r="F326"/>
    </row>
    <row r="327" spans="6:6" x14ac:dyDescent="0.2">
      <c r="F327"/>
    </row>
    <row r="328" spans="6:6" x14ac:dyDescent="0.2">
      <c r="F328"/>
    </row>
    <row r="329" spans="6:6" x14ac:dyDescent="0.2">
      <c r="F329"/>
    </row>
    <row r="330" spans="6:6" x14ac:dyDescent="0.2">
      <c r="F330"/>
    </row>
    <row r="331" spans="6:6" x14ac:dyDescent="0.2">
      <c r="F331"/>
    </row>
    <row r="332" spans="6:6" x14ac:dyDescent="0.2">
      <c r="F332"/>
    </row>
    <row r="333" spans="6:6" x14ac:dyDescent="0.2">
      <c r="F333"/>
    </row>
    <row r="334" spans="6:6" x14ac:dyDescent="0.2">
      <c r="F334"/>
    </row>
    <row r="335" spans="6:6" x14ac:dyDescent="0.2">
      <c r="F335"/>
    </row>
    <row r="336" spans="6:6" x14ac:dyDescent="0.2">
      <c r="F336"/>
    </row>
    <row r="337" spans="6:6" x14ac:dyDescent="0.2">
      <c r="F337"/>
    </row>
    <row r="338" spans="6:6" x14ac:dyDescent="0.2">
      <c r="F338"/>
    </row>
    <row r="339" spans="6:6" x14ac:dyDescent="0.2">
      <c r="F339"/>
    </row>
    <row r="340" spans="6:6" x14ac:dyDescent="0.2">
      <c r="F340"/>
    </row>
    <row r="341" spans="6:6" x14ac:dyDescent="0.2">
      <c r="F341"/>
    </row>
    <row r="342" spans="6:6" x14ac:dyDescent="0.2">
      <c r="F342"/>
    </row>
    <row r="343" spans="6:6" x14ac:dyDescent="0.2">
      <c r="F343"/>
    </row>
    <row r="344" spans="6:6" x14ac:dyDescent="0.2">
      <c r="F344"/>
    </row>
    <row r="345" spans="6:6" x14ac:dyDescent="0.2">
      <c r="F345"/>
    </row>
    <row r="346" spans="6:6" x14ac:dyDescent="0.2">
      <c r="F346"/>
    </row>
    <row r="347" spans="6:6" x14ac:dyDescent="0.2">
      <c r="F347"/>
    </row>
    <row r="348" spans="6:6" x14ac:dyDescent="0.2">
      <c r="F348"/>
    </row>
    <row r="349" spans="6:6" x14ac:dyDescent="0.2">
      <c r="F349"/>
    </row>
    <row r="350" spans="6:6" x14ac:dyDescent="0.2">
      <c r="F350"/>
    </row>
    <row r="351" spans="6:6" x14ac:dyDescent="0.2">
      <c r="F351"/>
    </row>
    <row r="352" spans="6:6" x14ac:dyDescent="0.2">
      <c r="F352"/>
    </row>
    <row r="353" spans="6:6" x14ac:dyDescent="0.2">
      <c r="F353"/>
    </row>
    <row r="354" spans="6:6" x14ac:dyDescent="0.2">
      <c r="F354"/>
    </row>
    <row r="355" spans="6:6" x14ac:dyDescent="0.2">
      <c r="F355"/>
    </row>
    <row r="356" spans="6:6" x14ac:dyDescent="0.2">
      <c r="F356"/>
    </row>
    <row r="357" spans="6:6" x14ac:dyDescent="0.2">
      <c r="F357"/>
    </row>
    <row r="358" spans="6:6" x14ac:dyDescent="0.2">
      <c r="F358"/>
    </row>
    <row r="359" spans="6:6" x14ac:dyDescent="0.2">
      <c r="F359"/>
    </row>
    <row r="360" spans="6:6" x14ac:dyDescent="0.2">
      <c r="F360"/>
    </row>
    <row r="361" spans="6:6" x14ac:dyDescent="0.2">
      <c r="F361"/>
    </row>
    <row r="362" spans="6:6" x14ac:dyDescent="0.2">
      <c r="F362"/>
    </row>
    <row r="363" spans="6:6" x14ac:dyDescent="0.2">
      <c r="F363"/>
    </row>
    <row r="364" spans="6:6" x14ac:dyDescent="0.2">
      <c r="F364"/>
    </row>
    <row r="365" spans="6:6" x14ac:dyDescent="0.2">
      <c r="F365"/>
    </row>
    <row r="366" spans="6:6" x14ac:dyDescent="0.2">
      <c r="F366"/>
    </row>
    <row r="367" spans="6:6" x14ac:dyDescent="0.2">
      <c r="F367"/>
    </row>
    <row r="368" spans="6:6" x14ac:dyDescent="0.2">
      <c r="F368"/>
    </row>
    <row r="369" spans="6:6" x14ac:dyDescent="0.2">
      <c r="F369"/>
    </row>
    <row r="370" spans="6:6" x14ac:dyDescent="0.2">
      <c r="F370"/>
    </row>
    <row r="371" spans="6:6" x14ac:dyDescent="0.2">
      <c r="F371"/>
    </row>
    <row r="372" spans="6:6" x14ac:dyDescent="0.2">
      <c r="F372"/>
    </row>
    <row r="373" spans="6:6" x14ac:dyDescent="0.2">
      <c r="F373"/>
    </row>
    <row r="374" spans="6:6" x14ac:dyDescent="0.2">
      <c r="F374"/>
    </row>
    <row r="375" spans="6:6" x14ac:dyDescent="0.2">
      <c r="F375"/>
    </row>
    <row r="376" spans="6:6" x14ac:dyDescent="0.2">
      <c r="F376"/>
    </row>
    <row r="377" spans="6:6" x14ac:dyDescent="0.2">
      <c r="F377"/>
    </row>
    <row r="378" spans="6:6" x14ac:dyDescent="0.2">
      <c r="F378"/>
    </row>
    <row r="379" spans="6:6" x14ac:dyDescent="0.2">
      <c r="F379"/>
    </row>
    <row r="380" spans="6:6" x14ac:dyDescent="0.2">
      <c r="F380"/>
    </row>
    <row r="381" spans="6:6" x14ac:dyDescent="0.2">
      <c r="F381"/>
    </row>
    <row r="382" spans="6:6" x14ac:dyDescent="0.2">
      <c r="F382"/>
    </row>
    <row r="383" spans="6:6" x14ac:dyDescent="0.2">
      <c r="F383"/>
    </row>
    <row r="384" spans="6:6" x14ac:dyDescent="0.2">
      <c r="F384"/>
    </row>
    <row r="385" spans="6:6" x14ac:dyDescent="0.2">
      <c r="F385"/>
    </row>
    <row r="386" spans="6:6" x14ac:dyDescent="0.2">
      <c r="F386"/>
    </row>
    <row r="387" spans="6:6" x14ac:dyDescent="0.2">
      <c r="F387"/>
    </row>
    <row r="388" spans="6:6" x14ac:dyDescent="0.2">
      <c r="F388"/>
    </row>
    <row r="389" spans="6:6" x14ac:dyDescent="0.2">
      <c r="F389"/>
    </row>
    <row r="390" spans="6:6" x14ac:dyDescent="0.2">
      <c r="F390"/>
    </row>
    <row r="391" spans="6:6" x14ac:dyDescent="0.2">
      <c r="F391"/>
    </row>
    <row r="392" spans="6:6" x14ac:dyDescent="0.2">
      <c r="F392"/>
    </row>
    <row r="393" spans="6:6" x14ac:dyDescent="0.2">
      <c r="F393"/>
    </row>
    <row r="394" spans="6:6" x14ac:dyDescent="0.2">
      <c r="F394"/>
    </row>
    <row r="395" spans="6:6" x14ac:dyDescent="0.2">
      <c r="F395"/>
    </row>
    <row r="396" spans="6:6" x14ac:dyDescent="0.2">
      <c r="F396"/>
    </row>
    <row r="397" spans="6:6" x14ac:dyDescent="0.2">
      <c r="F397"/>
    </row>
    <row r="398" spans="6:6" x14ac:dyDescent="0.2">
      <c r="F398"/>
    </row>
    <row r="399" spans="6:6" x14ac:dyDescent="0.2">
      <c r="F399"/>
    </row>
    <row r="400" spans="6:6" x14ac:dyDescent="0.2">
      <c r="F400"/>
    </row>
    <row r="401" spans="6:6" x14ac:dyDescent="0.2">
      <c r="F401"/>
    </row>
    <row r="402" spans="6:6" x14ac:dyDescent="0.2">
      <c r="F402"/>
    </row>
    <row r="403" spans="6:6" x14ac:dyDescent="0.2">
      <c r="F403"/>
    </row>
    <row r="404" spans="6:6" x14ac:dyDescent="0.2">
      <c r="F404"/>
    </row>
    <row r="405" spans="6:6" x14ac:dyDescent="0.2">
      <c r="F405"/>
    </row>
    <row r="406" spans="6:6" x14ac:dyDescent="0.2">
      <c r="F406"/>
    </row>
    <row r="407" spans="6:6" x14ac:dyDescent="0.2">
      <c r="F407"/>
    </row>
    <row r="408" spans="6:6" x14ac:dyDescent="0.2">
      <c r="F408"/>
    </row>
    <row r="409" spans="6:6" x14ac:dyDescent="0.2">
      <c r="F409"/>
    </row>
    <row r="410" spans="6:6" x14ac:dyDescent="0.2">
      <c r="F410"/>
    </row>
    <row r="411" spans="6:6" x14ac:dyDescent="0.2">
      <c r="F411"/>
    </row>
    <row r="412" spans="6:6" x14ac:dyDescent="0.2">
      <c r="F412"/>
    </row>
    <row r="413" spans="6:6" x14ac:dyDescent="0.2">
      <c r="F413"/>
    </row>
    <row r="414" spans="6:6" x14ac:dyDescent="0.2">
      <c r="F414"/>
    </row>
    <row r="415" spans="6:6" x14ac:dyDescent="0.2">
      <c r="F415"/>
    </row>
    <row r="416" spans="6:6" x14ac:dyDescent="0.2">
      <c r="F416"/>
    </row>
    <row r="417" spans="6:6" x14ac:dyDescent="0.2">
      <c r="F417"/>
    </row>
    <row r="418" spans="6:6" x14ac:dyDescent="0.2">
      <c r="F418"/>
    </row>
    <row r="419" spans="6:6" x14ac:dyDescent="0.2">
      <c r="F419"/>
    </row>
    <row r="420" spans="6:6" x14ac:dyDescent="0.2">
      <c r="F420"/>
    </row>
    <row r="421" spans="6:6" x14ac:dyDescent="0.2">
      <c r="F421"/>
    </row>
    <row r="422" spans="6:6" x14ac:dyDescent="0.2">
      <c r="F422"/>
    </row>
    <row r="423" spans="6:6" x14ac:dyDescent="0.2">
      <c r="F423"/>
    </row>
    <row r="424" spans="6:6" x14ac:dyDescent="0.2">
      <c r="F424"/>
    </row>
    <row r="425" spans="6:6" x14ac:dyDescent="0.2">
      <c r="F425"/>
    </row>
    <row r="426" spans="6:6" x14ac:dyDescent="0.2">
      <c r="F426"/>
    </row>
    <row r="427" spans="6:6" x14ac:dyDescent="0.2">
      <c r="F427"/>
    </row>
    <row r="428" spans="6:6" x14ac:dyDescent="0.2">
      <c r="F428"/>
    </row>
    <row r="429" spans="6:6" x14ac:dyDescent="0.2">
      <c r="F429"/>
    </row>
    <row r="430" spans="6:6" x14ac:dyDescent="0.2">
      <c r="F430"/>
    </row>
    <row r="431" spans="6:6" x14ac:dyDescent="0.2">
      <c r="F431"/>
    </row>
    <row r="432" spans="6:6" x14ac:dyDescent="0.2">
      <c r="F432"/>
    </row>
    <row r="433" spans="6:6" x14ac:dyDescent="0.2">
      <c r="F433"/>
    </row>
    <row r="434" spans="6:6" x14ac:dyDescent="0.2">
      <c r="F434"/>
    </row>
    <row r="435" spans="6:6" x14ac:dyDescent="0.2">
      <c r="F435"/>
    </row>
    <row r="436" spans="6:6" x14ac:dyDescent="0.2">
      <c r="F436"/>
    </row>
    <row r="437" spans="6:6" x14ac:dyDescent="0.2">
      <c r="F437"/>
    </row>
    <row r="438" spans="6:6" x14ac:dyDescent="0.2">
      <c r="F438"/>
    </row>
    <row r="439" spans="6:6" x14ac:dyDescent="0.2">
      <c r="F439"/>
    </row>
    <row r="440" spans="6:6" x14ac:dyDescent="0.2">
      <c r="F440"/>
    </row>
    <row r="441" spans="6:6" x14ac:dyDescent="0.2">
      <c r="F441"/>
    </row>
    <row r="442" spans="6:6" x14ac:dyDescent="0.2">
      <c r="F442"/>
    </row>
    <row r="443" spans="6:6" x14ac:dyDescent="0.2">
      <c r="F443"/>
    </row>
    <row r="444" spans="6:6" x14ac:dyDescent="0.2">
      <c r="F444"/>
    </row>
    <row r="445" spans="6:6" x14ac:dyDescent="0.2">
      <c r="F445"/>
    </row>
    <row r="446" spans="6:6" x14ac:dyDescent="0.2">
      <c r="F446"/>
    </row>
    <row r="447" spans="6:6" x14ac:dyDescent="0.2">
      <c r="F447"/>
    </row>
    <row r="448" spans="6:6" x14ac:dyDescent="0.2">
      <c r="F448"/>
    </row>
    <row r="449" spans="6:6" x14ac:dyDescent="0.2">
      <c r="F449"/>
    </row>
    <row r="450" spans="6:6" x14ac:dyDescent="0.2">
      <c r="F450"/>
    </row>
    <row r="451" spans="6:6" x14ac:dyDescent="0.2">
      <c r="F451"/>
    </row>
    <row r="452" spans="6:6" x14ac:dyDescent="0.2">
      <c r="F452"/>
    </row>
    <row r="453" spans="6:6" x14ac:dyDescent="0.2">
      <c r="F453"/>
    </row>
    <row r="454" spans="6:6" x14ac:dyDescent="0.2">
      <c r="F454"/>
    </row>
    <row r="455" spans="6:6" x14ac:dyDescent="0.2">
      <c r="F455"/>
    </row>
    <row r="456" spans="6:6" x14ac:dyDescent="0.2">
      <c r="F456"/>
    </row>
    <row r="457" spans="6:6" x14ac:dyDescent="0.2">
      <c r="F457"/>
    </row>
    <row r="458" spans="6:6" x14ac:dyDescent="0.2">
      <c r="F458"/>
    </row>
    <row r="459" spans="6:6" x14ac:dyDescent="0.2">
      <c r="F459"/>
    </row>
    <row r="460" spans="6:6" x14ac:dyDescent="0.2">
      <c r="F460"/>
    </row>
    <row r="461" spans="6:6" x14ac:dyDescent="0.2">
      <c r="F461"/>
    </row>
    <row r="462" spans="6:6" x14ac:dyDescent="0.2">
      <c r="F462"/>
    </row>
    <row r="463" spans="6:6" x14ac:dyDescent="0.2">
      <c r="F463"/>
    </row>
    <row r="464" spans="6:6" x14ac:dyDescent="0.2">
      <c r="F464"/>
    </row>
    <row r="465" spans="6:6" x14ac:dyDescent="0.2">
      <c r="F465"/>
    </row>
    <row r="466" spans="6:6" x14ac:dyDescent="0.2">
      <c r="F466"/>
    </row>
    <row r="467" spans="6:6" x14ac:dyDescent="0.2">
      <c r="F467"/>
    </row>
    <row r="468" spans="6:6" x14ac:dyDescent="0.2">
      <c r="F468"/>
    </row>
    <row r="469" spans="6:6" x14ac:dyDescent="0.2">
      <c r="F469"/>
    </row>
    <row r="470" spans="6:6" x14ac:dyDescent="0.2">
      <c r="F470"/>
    </row>
    <row r="471" spans="6:6" x14ac:dyDescent="0.2">
      <c r="F471"/>
    </row>
    <row r="472" spans="6:6" x14ac:dyDescent="0.2">
      <c r="F472"/>
    </row>
    <row r="473" spans="6:6" x14ac:dyDescent="0.2">
      <c r="F473"/>
    </row>
    <row r="474" spans="6:6" x14ac:dyDescent="0.2">
      <c r="F474"/>
    </row>
    <row r="475" spans="6:6" x14ac:dyDescent="0.2">
      <c r="F475"/>
    </row>
    <row r="476" spans="6:6" x14ac:dyDescent="0.2">
      <c r="F476"/>
    </row>
    <row r="477" spans="6:6" x14ac:dyDescent="0.2">
      <c r="F477"/>
    </row>
    <row r="478" spans="6:6" x14ac:dyDescent="0.2">
      <c r="F478"/>
    </row>
    <row r="479" spans="6:6" x14ac:dyDescent="0.2">
      <c r="F479"/>
    </row>
    <row r="480" spans="6:6" x14ac:dyDescent="0.2">
      <c r="F480"/>
    </row>
    <row r="481" spans="6:6" x14ac:dyDescent="0.2">
      <c r="F481"/>
    </row>
    <row r="482" spans="6:6" x14ac:dyDescent="0.2">
      <c r="F482"/>
    </row>
    <row r="483" spans="6:6" x14ac:dyDescent="0.2">
      <c r="F483"/>
    </row>
    <row r="484" spans="6:6" x14ac:dyDescent="0.2">
      <c r="F484"/>
    </row>
    <row r="485" spans="6:6" x14ac:dyDescent="0.2">
      <c r="F485"/>
    </row>
    <row r="486" spans="6:6" x14ac:dyDescent="0.2">
      <c r="F486"/>
    </row>
    <row r="487" spans="6:6" x14ac:dyDescent="0.2">
      <c r="F487"/>
    </row>
    <row r="488" spans="6:6" x14ac:dyDescent="0.2">
      <c r="F488"/>
    </row>
    <row r="489" spans="6:6" x14ac:dyDescent="0.2">
      <c r="F489"/>
    </row>
    <row r="490" spans="6:6" x14ac:dyDescent="0.2">
      <c r="F490"/>
    </row>
    <row r="491" spans="6:6" x14ac:dyDescent="0.2">
      <c r="F491"/>
    </row>
    <row r="492" spans="6:6" x14ac:dyDescent="0.2">
      <c r="F492"/>
    </row>
    <row r="493" spans="6:6" x14ac:dyDescent="0.2">
      <c r="F493"/>
    </row>
    <row r="494" spans="6:6" x14ac:dyDescent="0.2">
      <c r="F494"/>
    </row>
    <row r="495" spans="6:6" x14ac:dyDescent="0.2">
      <c r="F495"/>
    </row>
    <row r="496" spans="6:6" x14ac:dyDescent="0.2">
      <c r="F496"/>
    </row>
    <row r="497" spans="6:6" x14ac:dyDescent="0.2">
      <c r="F497"/>
    </row>
    <row r="498" spans="6:6" x14ac:dyDescent="0.2">
      <c r="F498"/>
    </row>
    <row r="499" spans="6:6" x14ac:dyDescent="0.2">
      <c r="F499"/>
    </row>
    <row r="500" spans="6:6" x14ac:dyDescent="0.2">
      <c r="F500"/>
    </row>
    <row r="501" spans="6:6" x14ac:dyDescent="0.2">
      <c r="F501"/>
    </row>
    <row r="502" spans="6:6" x14ac:dyDescent="0.2">
      <c r="F502"/>
    </row>
    <row r="503" spans="6:6" x14ac:dyDescent="0.2">
      <c r="F503"/>
    </row>
    <row r="504" spans="6:6" x14ac:dyDescent="0.2">
      <c r="F504"/>
    </row>
    <row r="505" spans="6:6" x14ac:dyDescent="0.2">
      <c r="F505"/>
    </row>
    <row r="506" spans="6:6" x14ac:dyDescent="0.2">
      <c r="F506"/>
    </row>
    <row r="507" spans="6:6" x14ac:dyDescent="0.2">
      <c r="F507"/>
    </row>
    <row r="508" spans="6:6" x14ac:dyDescent="0.2">
      <c r="F508"/>
    </row>
    <row r="509" spans="6:6" x14ac:dyDescent="0.2">
      <c r="F509"/>
    </row>
    <row r="510" spans="6:6" x14ac:dyDescent="0.2">
      <c r="F510"/>
    </row>
    <row r="511" spans="6:6" x14ac:dyDescent="0.2">
      <c r="F511"/>
    </row>
    <row r="512" spans="6:6" x14ac:dyDescent="0.2">
      <c r="F512"/>
    </row>
    <row r="513" spans="6:6" x14ac:dyDescent="0.2">
      <c r="F513"/>
    </row>
    <row r="514" spans="6:6" x14ac:dyDescent="0.2">
      <c r="F514"/>
    </row>
    <row r="515" spans="6:6" x14ac:dyDescent="0.2">
      <c r="F515"/>
    </row>
    <row r="516" spans="6:6" x14ac:dyDescent="0.2">
      <c r="F516"/>
    </row>
    <row r="517" spans="6:6" x14ac:dyDescent="0.2">
      <c r="F517"/>
    </row>
    <row r="518" spans="6:6" x14ac:dyDescent="0.2">
      <c r="F518"/>
    </row>
    <row r="519" spans="6:6" x14ac:dyDescent="0.2">
      <c r="F519"/>
    </row>
    <row r="520" spans="6:6" x14ac:dyDescent="0.2">
      <c r="F520"/>
    </row>
    <row r="521" spans="6:6" x14ac:dyDescent="0.2">
      <c r="F521"/>
    </row>
    <row r="522" spans="6:6" x14ac:dyDescent="0.2">
      <c r="F522"/>
    </row>
    <row r="523" spans="6:6" x14ac:dyDescent="0.2">
      <c r="F523"/>
    </row>
    <row r="524" spans="6:6" x14ac:dyDescent="0.2">
      <c r="F524"/>
    </row>
    <row r="525" spans="6:6" x14ac:dyDescent="0.2">
      <c r="F525"/>
    </row>
    <row r="526" spans="6:6" x14ac:dyDescent="0.2">
      <c r="F526"/>
    </row>
    <row r="527" spans="6:6" x14ac:dyDescent="0.2">
      <c r="F527"/>
    </row>
    <row r="528" spans="6:6" x14ac:dyDescent="0.2">
      <c r="F528"/>
    </row>
    <row r="529" spans="6:6" x14ac:dyDescent="0.2">
      <c r="F529"/>
    </row>
    <row r="530" spans="6:6" x14ac:dyDescent="0.2">
      <c r="F530"/>
    </row>
    <row r="531" spans="6:6" x14ac:dyDescent="0.2">
      <c r="F531"/>
    </row>
    <row r="532" spans="6:6" x14ac:dyDescent="0.2">
      <c r="F532"/>
    </row>
    <row r="533" spans="6:6" x14ac:dyDescent="0.2">
      <c r="F533"/>
    </row>
    <row r="534" spans="6:6" x14ac:dyDescent="0.2">
      <c r="F534"/>
    </row>
    <row r="535" spans="6:6" x14ac:dyDescent="0.2">
      <c r="F535"/>
    </row>
    <row r="536" spans="6:6" x14ac:dyDescent="0.2">
      <c r="F536"/>
    </row>
    <row r="537" spans="6:6" x14ac:dyDescent="0.2">
      <c r="F537"/>
    </row>
    <row r="538" spans="6:6" x14ac:dyDescent="0.2">
      <c r="F538"/>
    </row>
    <row r="539" spans="6:6" x14ac:dyDescent="0.2">
      <c r="F539"/>
    </row>
    <row r="540" spans="6:6" x14ac:dyDescent="0.2">
      <c r="F540"/>
    </row>
    <row r="541" spans="6:6" x14ac:dyDescent="0.2">
      <c r="F541"/>
    </row>
    <row r="542" spans="6:6" x14ac:dyDescent="0.2">
      <c r="F542"/>
    </row>
    <row r="543" spans="6:6" x14ac:dyDescent="0.2">
      <c r="F543"/>
    </row>
    <row r="544" spans="6:6" x14ac:dyDescent="0.2">
      <c r="F544"/>
    </row>
    <row r="545" spans="6:6" x14ac:dyDescent="0.2">
      <c r="F545"/>
    </row>
    <row r="546" spans="6:6" x14ac:dyDescent="0.2">
      <c r="F546"/>
    </row>
    <row r="547" spans="6:6" x14ac:dyDescent="0.2">
      <c r="F547"/>
    </row>
    <row r="548" spans="6:6" x14ac:dyDescent="0.2">
      <c r="F548"/>
    </row>
    <row r="549" spans="6:6" x14ac:dyDescent="0.2">
      <c r="F549"/>
    </row>
    <row r="550" spans="6:6" x14ac:dyDescent="0.2">
      <c r="F550"/>
    </row>
    <row r="551" spans="6:6" x14ac:dyDescent="0.2">
      <c r="F551"/>
    </row>
    <row r="552" spans="6:6" x14ac:dyDescent="0.2">
      <c r="F552"/>
    </row>
    <row r="553" spans="6:6" x14ac:dyDescent="0.2">
      <c r="F553"/>
    </row>
    <row r="554" spans="6:6" x14ac:dyDescent="0.2">
      <c r="F554"/>
    </row>
    <row r="555" spans="6:6" x14ac:dyDescent="0.2">
      <c r="F555"/>
    </row>
    <row r="556" spans="6:6" x14ac:dyDescent="0.2">
      <c r="F556"/>
    </row>
    <row r="557" spans="6:6" x14ac:dyDescent="0.2">
      <c r="F557"/>
    </row>
    <row r="558" spans="6:6" x14ac:dyDescent="0.2">
      <c r="F558"/>
    </row>
    <row r="559" spans="6:6" x14ac:dyDescent="0.2">
      <c r="F559"/>
    </row>
    <row r="560" spans="6:6" x14ac:dyDescent="0.2">
      <c r="F560"/>
    </row>
    <row r="561" spans="6:6" x14ac:dyDescent="0.2">
      <c r="F561"/>
    </row>
    <row r="562" spans="6:6" x14ac:dyDescent="0.2">
      <c r="F562"/>
    </row>
    <row r="563" spans="6:6" x14ac:dyDescent="0.2">
      <c r="F563"/>
    </row>
    <row r="564" spans="6:6" x14ac:dyDescent="0.2">
      <c r="F564"/>
    </row>
    <row r="565" spans="6:6" x14ac:dyDescent="0.2">
      <c r="F565"/>
    </row>
    <row r="566" spans="6:6" x14ac:dyDescent="0.2">
      <c r="F566"/>
    </row>
    <row r="567" spans="6:6" x14ac:dyDescent="0.2">
      <c r="F567"/>
    </row>
    <row r="568" spans="6:6" x14ac:dyDescent="0.2">
      <c r="F568"/>
    </row>
    <row r="569" spans="6:6" x14ac:dyDescent="0.2">
      <c r="F569"/>
    </row>
    <row r="570" spans="6:6" x14ac:dyDescent="0.2">
      <c r="F570"/>
    </row>
    <row r="571" spans="6:6" x14ac:dyDescent="0.2">
      <c r="F571"/>
    </row>
    <row r="572" spans="6:6" x14ac:dyDescent="0.2">
      <c r="F572"/>
    </row>
    <row r="573" spans="6:6" x14ac:dyDescent="0.2">
      <c r="F573"/>
    </row>
    <row r="574" spans="6:6" x14ac:dyDescent="0.2">
      <c r="F574"/>
    </row>
    <row r="575" spans="6:6" x14ac:dyDescent="0.2">
      <c r="F575"/>
    </row>
    <row r="576" spans="6:6" x14ac:dyDescent="0.2">
      <c r="F576"/>
    </row>
    <row r="577" spans="6:6" x14ac:dyDescent="0.2">
      <c r="F577"/>
    </row>
    <row r="578" spans="6:6" x14ac:dyDescent="0.2">
      <c r="F578"/>
    </row>
    <row r="579" spans="6:6" x14ac:dyDescent="0.2">
      <c r="F579"/>
    </row>
    <row r="580" spans="6:6" x14ac:dyDescent="0.2">
      <c r="F580"/>
    </row>
    <row r="581" spans="6:6" x14ac:dyDescent="0.2">
      <c r="F581"/>
    </row>
    <row r="582" spans="6:6" x14ac:dyDescent="0.2">
      <c r="F582"/>
    </row>
    <row r="583" spans="6:6" x14ac:dyDescent="0.2">
      <c r="F583"/>
    </row>
    <row r="584" spans="6:6" x14ac:dyDescent="0.2">
      <c r="F584"/>
    </row>
    <row r="585" spans="6:6" x14ac:dyDescent="0.2">
      <c r="F585"/>
    </row>
    <row r="586" spans="6:6" x14ac:dyDescent="0.2">
      <c r="F586"/>
    </row>
    <row r="587" spans="6:6" x14ac:dyDescent="0.2">
      <c r="F587"/>
    </row>
    <row r="588" spans="6:6" x14ac:dyDescent="0.2">
      <c r="F588"/>
    </row>
    <row r="589" spans="6:6" x14ac:dyDescent="0.2">
      <c r="F589"/>
    </row>
    <row r="590" spans="6:6" x14ac:dyDescent="0.2">
      <c r="F590"/>
    </row>
    <row r="591" spans="6:6" x14ac:dyDescent="0.2">
      <c r="F591"/>
    </row>
    <row r="592" spans="6:6" x14ac:dyDescent="0.2">
      <c r="F592"/>
    </row>
    <row r="593" spans="6:6" x14ac:dyDescent="0.2">
      <c r="F593"/>
    </row>
    <row r="594" spans="6:6" x14ac:dyDescent="0.2">
      <c r="F594"/>
    </row>
    <row r="595" spans="6:6" x14ac:dyDescent="0.2">
      <c r="F595"/>
    </row>
    <row r="596" spans="6:6" x14ac:dyDescent="0.2">
      <c r="F596"/>
    </row>
    <row r="597" spans="6:6" x14ac:dyDescent="0.2">
      <c r="F597"/>
    </row>
    <row r="598" spans="6:6" x14ac:dyDescent="0.2">
      <c r="F598"/>
    </row>
    <row r="599" spans="6:6" x14ac:dyDescent="0.2">
      <c r="F599"/>
    </row>
    <row r="600" spans="6:6" x14ac:dyDescent="0.2">
      <c r="F600"/>
    </row>
    <row r="601" spans="6:6" x14ac:dyDescent="0.2">
      <c r="F601"/>
    </row>
    <row r="602" spans="6:6" x14ac:dyDescent="0.2">
      <c r="F602"/>
    </row>
    <row r="603" spans="6:6" x14ac:dyDescent="0.2">
      <c r="F603"/>
    </row>
    <row r="604" spans="6:6" x14ac:dyDescent="0.2">
      <c r="F604"/>
    </row>
    <row r="605" spans="6:6" x14ac:dyDescent="0.2">
      <c r="F605"/>
    </row>
    <row r="606" spans="6:6" x14ac:dyDescent="0.2">
      <c r="F606"/>
    </row>
    <row r="607" spans="6:6" x14ac:dyDescent="0.2">
      <c r="F607"/>
    </row>
    <row r="608" spans="6:6" x14ac:dyDescent="0.2">
      <c r="F608"/>
    </row>
    <row r="609" spans="6:6" x14ac:dyDescent="0.2">
      <c r="F609"/>
    </row>
    <row r="610" spans="6:6" x14ac:dyDescent="0.2">
      <c r="F610"/>
    </row>
    <row r="611" spans="6:6" x14ac:dyDescent="0.2">
      <c r="F611"/>
    </row>
    <row r="612" spans="6:6" x14ac:dyDescent="0.2">
      <c r="F612"/>
    </row>
    <row r="613" spans="6:6" x14ac:dyDescent="0.2">
      <c r="F613"/>
    </row>
    <row r="614" spans="6:6" x14ac:dyDescent="0.2">
      <c r="F614"/>
    </row>
    <row r="615" spans="6:6" x14ac:dyDescent="0.2">
      <c r="F615"/>
    </row>
    <row r="616" spans="6:6" x14ac:dyDescent="0.2">
      <c r="F616"/>
    </row>
    <row r="617" spans="6:6" x14ac:dyDescent="0.2">
      <c r="F617"/>
    </row>
    <row r="618" spans="6:6" x14ac:dyDescent="0.2">
      <c r="F618"/>
    </row>
    <row r="619" spans="6:6" x14ac:dyDescent="0.2">
      <c r="F619"/>
    </row>
    <row r="620" spans="6:6" x14ac:dyDescent="0.2">
      <c r="F620"/>
    </row>
    <row r="621" spans="6:6" x14ac:dyDescent="0.2">
      <c r="F621"/>
    </row>
    <row r="622" spans="6:6" x14ac:dyDescent="0.2">
      <c r="F622"/>
    </row>
    <row r="623" spans="6:6" x14ac:dyDescent="0.2">
      <c r="F623"/>
    </row>
    <row r="624" spans="6:6" x14ac:dyDescent="0.2">
      <c r="F624"/>
    </row>
    <row r="625" spans="6:6" x14ac:dyDescent="0.2">
      <c r="F625"/>
    </row>
    <row r="626" spans="6:6" x14ac:dyDescent="0.2">
      <c r="F626"/>
    </row>
    <row r="627" spans="6:6" x14ac:dyDescent="0.2">
      <c r="F627"/>
    </row>
    <row r="628" spans="6:6" x14ac:dyDescent="0.2">
      <c r="F628"/>
    </row>
    <row r="629" spans="6:6" x14ac:dyDescent="0.2">
      <c r="F629"/>
    </row>
    <row r="630" spans="6:6" x14ac:dyDescent="0.2">
      <c r="F630"/>
    </row>
    <row r="631" spans="6:6" x14ac:dyDescent="0.2">
      <c r="F631"/>
    </row>
    <row r="632" spans="6:6" x14ac:dyDescent="0.2">
      <c r="F632"/>
    </row>
    <row r="633" spans="6:6" x14ac:dyDescent="0.2">
      <c r="F633"/>
    </row>
    <row r="634" spans="6:6" x14ac:dyDescent="0.2">
      <c r="F634"/>
    </row>
    <row r="635" spans="6:6" x14ac:dyDescent="0.2">
      <c r="F635"/>
    </row>
    <row r="636" spans="6:6" x14ac:dyDescent="0.2">
      <c r="F636"/>
    </row>
    <row r="637" spans="6:6" x14ac:dyDescent="0.2">
      <c r="F637"/>
    </row>
    <row r="638" spans="6:6" x14ac:dyDescent="0.2">
      <c r="F638"/>
    </row>
    <row r="639" spans="6:6" x14ac:dyDescent="0.2">
      <c r="F639"/>
    </row>
    <row r="640" spans="6:6" x14ac:dyDescent="0.2">
      <c r="F640"/>
    </row>
    <row r="641" spans="6:6" x14ac:dyDescent="0.2">
      <c r="F641"/>
    </row>
    <row r="642" spans="6:6" x14ac:dyDescent="0.2">
      <c r="F642"/>
    </row>
    <row r="643" spans="6:6" x14ac:dyDescent="0.2">
      <c r="F643"/>
    </row>
    <row r="644" spans="6:6" x14ac:dyDescent="0.2">
      <c r="F644"/>
    </row>
    <row r="645" spans="6:6" x14ac:dyDescent="0.2">
      <c r="F645"/>
    </row>
    <row r="646" spans="6:6" x14ac:dyDescent="0.2">
      <c r="F646"/>
    </row>
    <row r="647" spans="6:6" x14ac:dyDescent="0.2">
      <c r="F647"/>
    </row>
    <row r="648" spans="6:6" x14ac:dyDescent="0.2">
      <c r="F648"/>
    </row>
    <row r="649" spans="6:6" x14ac:dyDescent="0.2">
      <c r="F649"/>
    </row>
    <row r="650" spans="6:6" x14ac:dyDescent="0.2">
      <c r="F650"/>
    </row>
    <row r="651" spans="6:6" x14ac:dyDescent="0.2">
      <c r="F651"/>
    </row>
    <row r="652" spans="6:6" x14ac:dyDescent="0.2">
      <c r="F652"/>
    </row>
    <row r="653" spans="6:6" x14ac:dyDescent="0.2">
      <c r="F653"/>
    </row>
    <row r="654" spans="6:6" x14ac:dyDescent="0.2">
      <c r="F654"/>
    </row>
    <row r="655" spans="6:6" x14ac:dyDescent="0.2">
      <c r="F655"/>
    </row>
    <row r="656" spans="6:6" x14ac:dyDescent="0.2">
      <c r="F656"/>
    </row>
    <row r="657" spans="6:6" x14ac:dyDescent="0.2">
      <c r="F657"/>
    </row>
    <row r="658" spans="6:6" x14ac:dyDescent="0.2">
      <c r="F658"/>
    </row>
    <row r="659" spans="6:6" x14ac:dyDescent="0.2">
      <c r="F659"/>
    </row>
    <row r="660" spans="6:6" x14ac:dyDescent="0.2">
      <c r="F660"/>
    </row>
    <row r="661" spans="6:6" x14ac:dyDescent="0.2">
      <c r="F661"/>
    </row>
    <row r="662" spans="6:6" x14ac:dyDescent="0.2">
      <c r="F662"/>
    </row>
    <row r="663" spans="6:6" x14ac:dyDescent="0.2">
      <c r="F663"/>
    </row>
    <row r="664" spans="6:6" x14ac:dyDescent="0.2">
      <c r="F664"/>
    </row>
    <row r="665" spans="6:6" x14ac:dyDescent="0.2">
      <c r="F665"/>
    </row>
    <row r="666" spans="6:6" x14ac:dyDescent="0.2">
      <c r="F666"/>
    </row>
    <row r="667" spans="6:6" x14ac:dyDescent="0.2">
      <c r="F667"/>
    </row>
    <row r="668" spans="6:6" x14ac:dyDescent="0.2">
      <c r="F668"/>
    </row>
    <row r="669" spans="6:6" x14ac:dyDescent="0.2">
      <c r="F669"/>
    </row>
    <row r="670" spans="6:6" x14ac:dyDescent="0.2">
      <c r="F670"/>
    </row>
    <row r="671" spans="6:6" x14ac:dyDescent="0.2">
      <c r="F671"/>
    </row>
    <row r="672" spans="6:6" x14ac:dyDescent="0.2">
      <c r="F672"/>
    </row>
    <row r="673" spans="6:6" x14ac:dyDescent="0.2">
      <c r="F673"/>
    </row>
    <row r="674" spans="6:6" x14ac:dyDescent="0.2">
      <c r="F674"/>
    </row>
    <row r="675" spans="6:6" x14ac:dyDescent="0.2">
      <c r="F675"/>
    </row>
    <row r="676" spans="6:6" x14ac:dyDescent="0.2">
      <c r="F676"/>
    </row>
    <row r="677" spans="6:6" x14ac:dyDescent="0.2">
      <c r="F677"/>
    </row>
    <row r="678" spans="6:6" x14ac:dyDescent="0.2">
      <c r="F678"/>
    </row>
    <row r="679" spans="6:6" x14ac:dyDescent="0.2">
      <c r="F679"/>
    </row>
    <row r="680" spans="6:6" x14ac:dyDescent="0.2">
      <c r="F680"/>
    </row>
    <row r="681" spans="6:6" x14ac:dyDescent="0.2">
      <c r="F681"/>
    </row>
    <row r="682" spans="6:6" x14ac:dyDescent="0.2">
      <c r="F682"/>
    </row>
    <row r="683" spans="6:6" x14ac:dyDescent="0.2">
      <c r="F683"/>
    </row>
    <row r="684" spans="6:6" x14ac:dyDescent="0.2">
      <c r="F684"/>
    </row>
    <row r="685" spans="6:6" x14ac:dyDescent="0.2">
      <c r="F685"/>
    </row>
    <row r="686" spans="6:6" x14ac:dyDescent="0.2">
      <c r="F686"/>
    </row>
    <row r="687" spans="6:6" x14ac:dyDescent="0.2">
      <c r="F687"/>
    </row>
    <row r="688" spans="6:6" x14ac:dyDescent="0.2">
      <c r="F688"/>
    </row>
    <row r="689" spans="6:6" x14ac:dyDescent="0.2">
      <c r="F689"/>
    </row>
    <row r="690" spans="6:6" x14ac:dyDescent="0.2">
      <c r="F690"/>
    </row>
    <row r="691" spans="6:6" x14ac:dyDescent="0.2">
      <c r="F691"/>
    </row>
    <row r="692" spans="6:6" x14ac:dyDescent="0.2">
      <c r="F692"/>
    </row>
    <row r="693" spans="6:6" x14ac:dyDescent="0.2">
      <c r="F693"/>
    </row>
    <row r="694" spans="6:6" x14ac:dyDescent="0.2">
      <c r="F694"/>
    </row>
    <row r="695" spans="6:6" x14ac:dyDescent="0.2">
      <c r="F695"/>
    </row>
    <row r="696" spans="6:6" x14ac:dyDescent="0.2">
      <c r="F696"/>
    </row>
    <row r="697" spans="6:6" x14ac:dyDescent="0.2">
      <c r="F697"/>
    </row>
    <row r="698" spans="6:6" x14ac:dyDescent="0.2">
      <c r="F698"/>
    </row>
    <row r="699" spans="6:6" x14ac:dyDescent="0.2">
      <c r="F699"/>
    </row>
    <row r="700" spans="6:6" x14ac:dyDescent="0.2">
      <c r="F700"/>
    </row>
    <row r="701" spans="6:6" x14ac:dyDescent="0.2">
      <c r="F701"/>
    </row>
    <row r="702" spans="6:6" x14ac:dyDescent="0.2">
      <c r="F702"/>
    </row>
    <row r="703" spans="6:6" x14ac:dyDescent="0.2">
      <c r="F703"/>
    </row>
    <row r="704" spans="6:6" x14ac:dyDescent="0.2">
      <c r="F704"/>
    </row>
    <row r="705" spans="6:6" x14ac:dyDescent="0.2">
      <c r="F705"/>
    </row>
    <row r="706" spans="6:6" x14ac:dyDescent="0.2">
      <c r="F706"/>
    </row>
    <row r="707" spans="6:6" x14ac:dyDescent="0.2">
      <c r="F707"/>
    </row>
    <row r="708" spans="6:6" x14ac:dyDescent="0.2">
      <c r="F708"/>
    </row>
    <row r="709" spans="6:6" x14ac:dyDescent="0.2">
      <c r="F709"/>
    </row>
    <row r="710" spans="6:6" x14ac:dyDescent="0.2">
      <c r="F710"/>
    </row>
    <row r="711" spans="6:6" x14ac:dyDescent="0.2">
      <c r="F711"/>
    </row>
    <row r="712" spans="6:6" x14ac:dyDescent="0.2">
      <c r="F712"/>
    </row>
    <row r="713" spans="6:6" x14ac:dyDescent="0.2">
      <c r="F713"/>
    </row>
    <row r="714" spans="6:6" x14ac:dyDescent="0.2">
      <c r="F714"/>
    </row>
    <row r="715" spans="6:6" x14ac:dyDescent="0.2">
      <c r="F715"/>
    </row>
    <row r="716" spans="6:6" x14ac:dyDescent="0.2">
      <c r="F716"/>
    </row>
    <row r="717" spans="6:6" x14ac:dyDescent="0.2">
      <c r="F717"/>
    </row>
    <row r="718" spans="6:6" x14ac:dyDescent="0.2">
      <c r="F718"/>
    </row>
    <row r="719" spans="6:6" x14ac:dyDescent="0.2">
      <c r="F719"/>
    </row>
    <row r="720" spans="6:6" x14ac:dyDescent="0.2">
      <c r="F720"/>
    </row>
    <row r="721" spans="6:6" x14ac:dyDescent="0.2">
      <c r="F721"/>
    </row>
    <row r="722" spans="6:6" x14ac:dyDescent="0.2">
      <c r="F722"/>
    </row>
    <row r="723" spans="6:6" x14ac:dyDescent="0.2">
      <c r="F723"/>
    </row>
    <row r="724" spans="6:6" x14ac:dyDescent="0.2">
      <c r="F724"/>
    </row>
    <row r="725" spans="6:6" x14ac:dyDescent="0.2">
      <c r="F725"/>
    </row>
    <row r="726" spans="6:6" x14ac:dyDescent="0.2">
      <c r="F726"/>
    </row>
    <row r="727" spans="6:6" x14ac:dyDescent="0.2">
      <c r="F727"/>
    </row>
    <row r="728" spans="6:6" x14ac:dyDescent="0.2">
      <c r="F728"/>
    </row>
    <row r="729" spans="6:6" x14ac:dyDescent="0.2">
      <c r="F729"/>
    </row>
    <row r="730" spans="6:6" x14ac:dyDescent="0.2">
      <c r="F730"/>
    </row>
    <row r="731" spans="6:6" x14ac:dyDescent="0.2">
      <c r="F731"/>
    </row>
    <row r="732" spans="6:6" x14ac:dyDescent="0.2">
      <c r="F732"/>
    </row>
    <row r="733" spans="6:6" x14ac:dyDescent="0.2">
      <c r="F733"/>
    </row>
    <row r="734" spans="6:6" x14ac:dyDescent="0.2">
      <c r="F734"/>
    </row>
    <row r="735" spans="6:6" x14ac:dyDescent="0.2">
      <c r="F735"/>
    </row>
    <row r="736" spans="6:6" x14ac:dyDescent="0.2">
      <c r="F736"/>
    </row>
    <row r="737" spans="6:6" x14ac:dyDescent="0.2">
      <c r="F737"/>
    </row>
    <row r="738" spans="6:6" x14ac:dyDescent="0.2">
      <c r="F738"/>
    </row>
    <row r="739" spans="6:6" x14ac:dyDescent="0.2">
      <c r="F739"/>
    </row>
    <row r="740" spans="6:6" x14ac:dyDescent="0.2">
      <c r="F740"/>
    </row>
    <row r="741" spans="6:6" x14ac:dyDescent="0.2">
      <c r="F741"/>
    </row>
    <row r="742" spans="6:6" x14ac:dyDescent="0.2">
      <c r="F742"/>
    </row>
    <row r="743" spans="6:6" x14ac:dyDescent="0.2">
      <c r="F743"/>
    </row>
    <row r="744" spans="6:6" x14ac:dyDescent="0.2">
      <c r="F744"/>
    </row>
    <row r="745" spans="6:6" x14ac:dyDescent="0.2">
      <c r="F745"/>
    </row>
    <row r="746" spans="6:6" x14ac:dyDescent="0.2">
      <c r="F746"/>
    </row>
    <row r="747" spans="6:6" x14ac:dyDescent="0.2">
      <c r="F747"/>
    </row>
    <row r="748" spans="6:6" x14ac:dyDescent="0.2">
      <c r="F748"/>
    </row>
    <row r="749" spans="6:6" x14ac:dyDescent="0.2">
      <c r="F749"/>
    </row>
    <row r="750" spans="6:6" x14ac:dyDescent="0.2">
      <c r="F750"/>
    </row>
    <row r="751" spans="6:6" x14ac:dyDescent="0.2">
      <c r="F751"/>
    </row>
    <row r="752" spans="6:6" x14ac:dyDescent="0.2">
      <c r="F752"/>
    </row>
    <row r="753" spans="6:6" x14ac:dyDescent="0.2">
      <c r="F753"/>
    </row>
    <row r="754" spans="6:6" x14ac:dyDescent="0.2">
      <c r="F754"/>
    </row>
    <row r="755" spans="6:6" x14ac:dyDescent="0.2">
      <c r="F755"/>
    </row>
    <row r="756" spans="6:6" x14ac:dyDescent="0.2">
      <c r="F756"/>
    </row>
    <row r="757" spans="6:6" x14ac:dyDescent="0.2">
      <c r="F757"/>
    </row>
    <row r="758" spans="6:6" x14ac:dyDescent="0.2">
      <c r="F758"/>
    </row>
    <row r="759" spans="6:6" x14ac:dyDescent="0.2">
      <c r="F759"/>
    </row>
    <row r="760" spans="6:6" x14ac:dyDescent="0.2">
      <c r="F760"/>
    </row>
    <row r="761" spans="6:6" x14ac:dyDescent="0.2">
      <c r="F761"/>
    </row>
    <row r="762" spans="6:6" x14ac:dyDescent="0.2">
      <c r="F762"/>
    </row>
    <row r="763" spans="6:6" x14ac:dyDescent="0.2">
      <c r="F763"/>
    </row>
    <row r="764" spans="6:6" x14ac:dyDescent="0.2">
      <c r="F764"/>
    </row>
    <row r="765" spans="6:6" x14ac:dyDescent="0.2">
      <c r="F765"/>
    </row>
    <row r="766" spans="6:6" x14ac:dyDescent="0.2">
      <c r="F766"/>
    </row>
    <row r="767" spans="6:6" x14ac:dyDescent="0.2">
      <c r="F767"/>
    </row>
    <row r="768" spans="6:6" x14ac:dyDescent="0.2">
      <c r="F768"/>
    </row>
    <row r="769" spans="6:6" x14ac:dyDescent="0.2">
      <c r="F769"/>
    </row>
    <row r="770" spans="6:6" x14ac:dyDescent="0.2">
      <c r="F770"/>
    </row>
    <row r="771" spans="6:6" x14ac:dyDescent="0.2">
      <c r="F771"/>
    </row>
    <row r="772" spans="6:6" x14ac:dyDescent="0.2">
      <c r="F772"/>
    </row>
    <row r="773" spans="6:6" x14ac:dyDescent="0.2">
      <c r="F773"/>
    </row>
    <row r="774" spans="6:6" x14ac:dyDescent="0.2">
      <c r="F774"/>
    </row>
    <row r="775" spans="6:6" x14ac:dyDescent="0.2">
      <c r="F775"/>
    </row>
    <row r="776" spans="6:6" x14ac:dyDescent="0.2">
      <c r="F776"/>
    </row>
    <row r="777" spans="6:6" x14ac:dyDescent="0.2">
      <c r="F777"/>
    </row>
    <row r="778" spans="6:6" x14ac:dyDescent="0.2">
      <c r="F778"/>
    </row>
    <row r="779" spans="6:6" x14ac:dyDescent="0.2">
      <c r="F779"/>
    </row>
    <row r="780" spans="6:6" x14ac:dyDescent="0.2">
      <c r="F780"/>
    </row>
    <row r="781" spans="6:6" x14ac:dyDescent="0.2">
      <c r="F781"/>
    </row>
    <row r="782" spans="6:6" x14ac:dyDescent="0.2">
      <c r="F782"/>
    </row>
    <row r="783" spans="6:6" x14ac:dyDescent="0.2">
      <c r="F783"/>
    </row>
    <row r="784" spans="6:6" x14ac:dyDescent="0.2">
      <c r="F784"/>
    </row>
    <row r="785" spans="6:6" x14ac:dyDescent="0.2">
      <c r="F785"/>
    </row>
    <row r="786" spans="6:6" x14ac:dyDescent="0.2">
      <c r="F786"/>
    </row>
    <row r="787" spans="6:6" x14ac:dyDescent="0.2">
      <c r="F787"/>
    </row>
    <row r="788" spans="6:6" x14ac:dyDescent="0.2">
      <c r="F788"/>
    </row>
    <row r="789" spans="6:6" x14ac:dyDescent="0.2">
      <c r="F789"/>
    </row>
    <row r="790" spans="6:6" x14ac:dyDescent="0.2">
      <c r="F790"/>
    </row>
    <row r="791" spans="6:6" x14ac:dyDescent="0.2">
      <c r="F791"/>
    </row>
    <row r="792" spans="6:6" x14ac:dyDescent="0.2">
      <c r="F792"/>
    </row>
    <row r="793" spans="6:6" x14ac:dyDescent="0.2">
      <c r="F793"/>
    </row>
    <row r="794" spans="6:6" x14ac:dyDescent="0.2">
      <c r="F794"/>
    </row>
    <row r="795" spans="6:6" x14ac:dyDescent="0.2">
      <c r="F795"/>
    </row>
    <row r="796" spans="6:6" x14ac:dyDescent="0.2">
      <c r="F796"/>
    </row>
    <row r="797" spans="6:6" x14ac:dyDescent="0.2">
      <c r="F797"/>
    </row>
    <row r="798" spans="6:6" x14ac:dyDescent="0.2">
      <c r="F798"/>
    </row>
    <row r="799" spans="6:6" x14ac:dyDescent="0.2">
      <c r="F799"/>
    </row>
    <row r="800" spans="6:6" x14ac:dyDescent="0.2">
      <c r="F800"/>
    </row>
    <row r="801" spans="6:6" x14ac:dyDescent="0.2">
      <c r="F801"/>
    </row>
    <row r="802" spans="6:6" x14ac:dyDescent="0.2">
      <c r="F802"/>
    </row>
    <row r="803" spans="6:6" x14ac:dyDescent="0.2">
      <c r="F803"/>
    </row>
    <row r="804" spans="6:6" x14ac:dyDescent="0.2">
      <c r="F804"/>
    </row>
    <row r="805" spans="6:6" x14ac:dyDescent="0.2">
      <c r="F805"/>
    </row>
    <row r="806" spans="6:6" x14ac:dyDescent="0.2">
      <c r="F806"/>
    </row>
    <row r="807" spans="6:6" x14ac:dyDescent="0.2">
      <c r="F807"/>
    </row>
    <row r="808" spans="6:6" x14ac:dyDescent="0.2">
      <c r="F808"/>
    </row>
    <row r="809" spans="6:6" x14ac:dyDescent="0.2">
      <c r="F809"/>
    </row>
    <row r="810" spans="6:6" x14ac:dyDescent="0.2">
      <c r="F810"/>
    </row>
    <row r="811" spans="6:6" x14ac:dyDescent="0.2">
      <c r="F811"/>
    </row>
    <row r="812" spans="6:6" x14ac:dyDescent="0.2">
      <c r="F812"/>
    </row>
    <row r="813" spans="6:6" x14ac:dyDescent="0.2">
      <c r="F813"/>
    </row>
    <row r="814" spans="6:6" x14ac:dyDescent="0.2">
      <c r="F814"/>
    </row>
    <row r="815" spans="6:6" x14ac:dyDescent="0.2">
      <c r="F815"/>
    </row>
    <row r="816" spans="6:6" x14ac:dyDescent="0.2">
      <c r="F816"/>
    </row>
    <row r="817" spans="6:6" x14ac:dyDescent="0.2">
      <c r="F817"/>
    </row>
    <row r="818" spans="6:6" x14ac:dyDescent="0.2">
      <c r="F818"/>
    </row>
    <row r="819" spans="6:6" x14ac:dyDescent="0.2">
      <c r="F819"/>
    </row>
    <row r="820" spans="6:6" x14ac:dyDescent="0.2">
      <c r="F820"/>
    </row>
    <row r="821" spans="6:6" x14ac:dyDescent="0.2">
      <c r="F821"/>
    </row>
    <row r="822" spans="6:6" x14ac:dyDescent="0.2">
      <c r="F822"/>
    </row>
    <row r="823" spans="6:6" x14ac:dyDescent="0.2">
      <c r="F823"/>
    </row>
    <row r="824" spans="6:6" x14ac:dyDescent="0.2">
      <c r="F824"/>
    </row>
    <row r="825" spans="6:6" x14ac:dyDescent="0.2">
      <c r="F825"/>
    </row>
    <row r="826" spans="6:6" x14ac:dyDescent="0.2">
      <c r="F826"/>
    </row>
  </sheetData>
  <dataConsolidate/>
  <conditionalFormatting sqref="C3:C12">
    <cfRule type="cellIs" dxfId="574" priority="1" operator="lessThan">
      <formula>0</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E8D7B-858A-46EB-B128-D746F7F8EE8A}">
  <sheetPr codeName="Sheet20"/>
  <dimension ref="A1:Z2932"/>
  <sheetViews>
    <sheetView workbookViewId="0">
      <selection activeCell="D13" sqref="D13"/>
    </sheetView>
  </sheetViews>
  <sheetFormatPr defaultRowHeight="14.25" x14ac:dyDescent="0.2"/>
  <cols>
    <col min="1" max="1" width="10.5" customWidth="1"/>
    <col min="3" max="3" width="10.5" customWidth="1"/>
    <col min="4" max="4" width="11.375" customWidth="1"/>
    <col min="5" max="5" width="10" customWidth="1"/>
    <col min="9" max="9" width="11" customWidth="1"/>
    <col min="11" max="11" width="10.5" customWidth="1"/>
  </cols>
  <sheetData>
    <row r="1" spans="1:26" x14ac:dyDescent="0.2">
      <c r="A1" s="151">
        <v>43397</v>
      </c>
      <c r="B1" s="152"/>
      <c r="C1" s="152"/>
      <c r="D1" s="152" t="s">
        <v>1300</v>
      </c>
      <c r="E1" s="152"/>
      <c r="F1" s="152"/>
      <c r="G1" s="152"/>
      <c r="H1" s="152"/>
      <c r="I1" s="152"/>
      <c r="J1" s="152"/>
      <c r="K1" s="152"/>
      <c r="L1" s="152"/>
      <c r="M1" s="152"/>
      <c r="N1" s="152"/>
      <c r="O1" s="152"/>
      <c r="P1" s="152"/>
      <c r="Q1" s="152"/>
      <c r="R1" s="152"/>
      <c r="S1" s="152"/>
      <c r="T1" s="152"/>
      <c r="U1" s="152"/>
      <c r="V1" s="152"/>
      <c r="W1" s="152"/>
      <c r="X1" s="152"/>
      <c r="Y1" s="152"/>
      <c r="Z1" s="152"/>
    </row>
    <row r="2" spans="1:26" x14ac:dyDescent="0.2">
      <c r="A2" s="152" t="s">
        <v>105</v>
      </c>
      <c r="B2" s="152" t="s">
        <v>1301</v>
      </c>
      <c r="C2" s="152" t="s">
        <v>1302</v>
      </c>
      <c r="D2" s="152" t="s">
        <v>1303</v>
      </c>
      <c r="E2" s="152" t="s">
        <v>375</v>
      </c>
      <c r="F2" s="152" t="s">
        <v>1304</v>
      </c>
      <c r="G2" s="152" t="s">
        <v>1305</v>
      </c>
      <c r="H2" s="152" t="s">
        <v>1306</v>
      </c>
      <c r="I2" s="152" t="s">
        <v>1307</v>
      </c>
      <c r="J2" s="152" t="s">
        <v>1308</v>
      </c>
      <c r="K2" s="152" t="s">
        <v>1309</v>
      </c>
      <c r="L2" s="152" t="s">
        <v>1310</v>
      </c>
      <c r="M2" s="152" t="s">
        <v>1311</v>
      </c>
      <c r="N2" s="152" t="s">
        <v>1312</v>
      </c>
      <c r="O2" s="152" t="s">
        <v>1313</v>
      </c>
      <c r="P2" s="152" t="s">
        <v>1314</v>
      </c>
      <c r="Q2" s="152" t="s">
        <v>1315</v>
      </c>
      <c r="R2" s="152" t="s">
        <v>1316</v>
      </c>
      <c r="S2" s="152" t="s">
        <v>1317</v>
      </c>
      <c r="T2" s="152" t="s">
        <v>1318</v>
      </c>
      <c r="U2" s="152" t="s">
        <v>1319</v>
      </c>
      <c r="V2" s="152" t="s">
        <v>1320</v>
      </c>
      <c r="W2" s="152" t="s">
        <v>829</v>
      </c>
      <c r="X2" s="152" t="s">
        <v>1321</v>
      </c>
      <c r="Y2" s="152" t="s">
        <v>1322</v>
      </c>
      <c r="Z2" s="152" t="s">
        <v>1323</v>
      </c>
    </row>
    <row r="3" spans="1:26" x14ac:dyDescent="0.2">
      <c r="A3" s="152" t="s">
        <v>1324</v>
      </c>
      <c r="B3" s="152"/>
      <c r="C3" s="152"/>
      <c r="D3" s="152"/>
      <c r="E3" s="152"/>
      <c r="F3" s="152"/>
      <c r="G3" s="152"/>
      <c r="H3" s="152"/>
      <c r="I3" s="152"/>
      <c r="J3" s="152"/>
      <c r="K3" s="152"/>
      <c r="L3" s="152"/>
      <c r="M3" s="152"/>
      <c r="N3" s="152"/>
      <c r="O3" s="152"/>
      <c r="P3" s="152"/>
      <c r="Q3" s="152"/>
      <c r="R3" s="152"/>
      <c r="S3" s="152"/>
      <c r="T3" s="152"/>
      <c r="U3" s="152"/>
      <c r="V3" s="152"/>
      <c r="W3" s="152"/>
      <c r="X3" s="152"/>
      <c r="Y3" s="152"/>
      <c r="Z3" s="152"/>
    </row>
    <row r="4" spans="1:26" x14ac:dyDescent="0.2">
      <c r="A4" s="152" t="s">
        <v>584</v>
      </c>
      <c r="B4" s="152">
        <v>1.2</v>
      </c>
      <c r="C4" s="151">
        <v>44391</v>
      </c>
      <c r="D4" s="152">
        <v>2.720548</v>
      </c>
      <c r="E4" s="152" t="s">
        <v>1325</v>
      </c>
      <c r="F4" s="152" t="s">
        <v>1326</v>
      </c>
      <c r="G4" s="152"/>
      <c r="H4" s="152"/>
      <c r="I4" s="151">
        <v>43384</v>
      </c>
      <c r="J4" s="152">
        <v>1.25</v>
      </c>
      <c r="K4" s="151">
        <v>43397</v>
      </c>
      <c r="L4" s="152">
        <v>1.2457389999999999</v>
      </c>
      <c r="M4" s="152">
        <v>1.28</v>
      </c>
      <c r="N4" s="152">
        <v>1.1399999999999999</v>
      </c>
      <c r="O4" s="152">
        <v>1.2457389999999999</v>
      </c>
      <c r="P4" s="152" t="s">
        <v>1327</v>
      </c>
      <c r="Q4" s="152">
        <v>1.2457389999999999</v>
      </c>
      <c r="R4" s="152" t="s">
        <v>1327</v>
      </c>
      <c r="S4" s="152">
        <v>99.872570999999994</v>
      </c>
      <c r="T4" s="152">
        <v>0.33862999999999999</v>
      </c>
      <c r="U4" s="152">
        <v>2.66093</v>
      </c>
      <c r="V4" s="152">
        <v>8.4814609999999995</v>
      </c>
      <c r="W4" s="152">
        <v>1000</v>
      </c>
      <c r="X4" s="152" t="s">
        <v>23</v>
      </c>
      <c r="Y4" s="152" t="s">
        <v>1328</v>
      </c>
      <c r="Z4" s="152">
        <v>1.0854299999999999</v>
      </c>
    </row>
    <row r="5" spans="1:26" x14ac:dyDescent="0.2">
      <c r="A5" s="152" t="s">
        <v>1329</v>
      </c>
      <c r="B5" s="152">
        <v>1.25</v>
      </c>
      <c r="C5" s="151">
        <v>46824</v>
      </c>
      <c r="D5" s="152">
        <v>9.3863009999999996</v>
      </c>
      <c r="E5" s="152" t="s">
        <v>1325</v>
      </c>
      <c r="F5" s="152" t="s">
        <v>1326</v>
      </c>
      <c r="G5" s="152"/>
      <c r="H5" s="152"/>
      <c r="I5" s="151">
        <v>43392</v>
      </c>
      <c r="J5" s="152">
        <v>1.95</v>
      </c>
      <c r="K5" s="151">
        <v>43397</v>
      </c>
      <c r="L5" s="152">
        <v>1.9627129999999999</v>
      </c>
      <c r="M5" s="152">
        <v>2.0099999999999998</v>
      </c>
      <c r="N5" s="152">
        <v>1.91</v>
      </c>
      <c r="O5" s="152">
        <v>1.9627129999999999</v>
      </c>
      <c r="P5" s="152" t="s">
        <v>1327</v>
      </c>
      <c r="Q5" s="152">
        <v>1.9627129999999999</v>
      </c>
      <c r="R5" s="152" t="s">
        <v>1327</v>
      </c>
      <c r="S5" s="152">
        <v>93.926879</v>
      </c>
      <c r="T5" s="152">
        <v>0.14726</v>
      </c>
      <c r="U5" s="152">
        <v>8.7581550000000004</v>
      </c>
      <c r="V5" s="152">
        <v>84.039072000000004</v>
      </c>
      <c r="W5" s="152">
        <v>1000</v>
      </c>
      <c r="X5" s="152" t="s">
        <v>23</v>
      </c>
      <c r="Y5" s="152" t="s">
        <v>1328</v>
      </c>
      <c r="Z5" s="152">
        <v>1.04139</v>
      </c>
    </row>
    <row r="6" spans="1:26" x14ac:dyDescent="0.2">
      <c r="A6" s="152" t="s">
        <v>625</v>
      </c>
      <c r="B6" s="152">
        <v>5.625</v>
      </c>
      <c r="C6" s="151">
        <v>43477</v>
      </c>
      <c r="D6" s="152">
        <v>0.21643799999999999</v>
      </c>
      <c r="E6" s="152" t="s">
        <v>1325</v>
      </c>
      <c r="F6" s="152" t="s">
        <v>1326</v>
      </c>
      <c r="G6" s="152"/>
      <c r="H6" s="152"/>
      <c r="I6" s="151">
        <v>43397</v>
      </c>
      <c r="J6" s="152">
        <v>1.55</v>
      </c>
      <c r="K6" s="151">
        <v>42556</v>
      </c>
      <c r="L6" s="152">
        <v>1.562351</v>
      </c>
      <c r="M6" s="152">
        <v>1.6</v>
      </c>
      <c r="N6" s="152">
        <v>1.52</v>
      </c>
      <c r="O6" s="152">
        <v>1.55</v>
      </c>
      <c r="P6" s="152" t="s">
        <v>1327</v>
      </c>
      <c r="Q6" s="152">
        <v>1.55</v>
      </c>
      <c r="R6" s="152" t="s">
        <v>1327</v>
      </c>
      <c r="S6" s="152">
        <v>100.851337</v>
      </c>
      <c r="T6" s="152">
        <v>1.6181509999999999</v>
      </c>
      <c r="U6" s="152">
        <v>0.21477399999999999</v>
      </c>
      <c r="V6" s="152">
        <v>0.15268899999999999</v>
      </c>
      <c r="W6" s="152">
        <v>1000</v>
      </c>
      <c r="X6" s="152" t="s">
        <v>23</v>
      </c>
      <c r="Y6" s="152" t="s">
        <v>1328</v>
      </c>
      <c r="Z6" s="152" t="s">
        <v>1327</v>
      </c>
    </row>
    <row r="7" spans="1:26" x14ac:dyDescent="0.2">
      <c r="A7" s="152" t="s">
        <v>626</v>
      </c>
      <c r="B7" s="152">
        <v>3.45</v>
      </c>
      <c r="C7" s="151">
        <v>43532</v>
      </c>
      <c r="D7" s="152">
        <v>0.36712299999999998</v>
      </c>
      <c r="E7" s="152" t="s">
        <v>1325</v>
      </c>
      <c r="F7" s="152" t="s">
        <v>1326</v>
      </c>
      <c r="G7" s="152"/>
      <c r="H7" s="152"/>
      <c r="I7" s="151">
        <v>43383</v>
      </c>
      <c r="J7" s="152">
        <v>1.54</v>
      </c>
      <c r="K7" s="151">
        <v>42556</v>
      </c>
      <c r="L7" s="152">
        <v>1.574605</v>
      </c>
      <c r="M7" s="152">
        <v>1.6</v>
      </c>
      <c r="N7" s="152">
        <v>1.522</v>
      </c>
      <c r="O7" s="152">
        <v>1.6635930000000001</v>
      </c>
      <c r="P7" s="152" t="s">
        <v>1327</v>
      </c>
      <c r="Q7" s="152">
        <v>1.6635930000000001</v>
      </c>
      <c r="R7" s="152" t="s">
        <v>1327</v>
      </c>
      <c r="S7" s="152">
        <v>100.663921</v>
      </c>
      <c r="T7" s="152">
        <v>0.444247</v>
      </c>
      <c r="U7" s="152">
        <v>0.364095</v>
      </c>
      <c r="V7" s="152">
        <v>0.31311099999999997</v>
      </c>
      <c r="W7" s="152">
        <v>1000</v>
      </c>
      <c r="X7" s="152" t="s">
        <v>23</v>
      </c>
      <c r="Y7" s="152" t="s">
        <v>1328</v>
      </c>
      <c r="Z7" s="152" t="s">
        <v>1327</v>
      </c>
    </row>
    <row r="8" spans="1:26" x14ac:dyDescent="0.2">
      <c r="A8" s="152" t="s">
        <v>1285</v>
      </c>
      <c r="B8" s="152">
        <v>3.875</v>
      </c>
      <c r="C8" s="151">
        <v>43629</v>
      </c>
      <c r="D8" s="152">
        <v>0.63287700000000002</v>
      </c>
      <c r="E8" s="152" t="s">
        <v>1325</v>
      </c>
      <c r="F8" s="152" t="s">
        <v>1326</v>
      </c>
      <c r="G8" s="152"/>
      <c r="H8" s="152"/>
      <c r="I8" s="151">
        <v>43397</v>
      </c>
      <c r="J8" s="152">
        <v>1.77</v>
      </c>
      <c r="K8" s="151">
        <v>43264</v>
      </c>
      <c r="L8" s="152">
        <v>1.537188</v>
      </c>
      <c r="M8" s="152">
        <v>1.54</v>
      </c>
      <c r="N8" s="152">
        <v>1.5249999999999999</v>
      </c>
      <c r="O8" s="152">
        <v>1.77</v>
      </c>
      <c r="P8" s="152" t="s">
        <v>1327</v>
      </c>
      <c r="Q8" s="152">
        <v>1.77</v>
      </c>
      <c r="R8" s="152" t="s">
        <v>1327</v>
      </c>
      <c r="S8" s="152">
        <v>101.314829</v>
      </c>
      <c r="T8" s="152">
        <v>1.4226030000000001</v>
      </c>
      <c r="U8" s="152">
        <v>0.61935799999999996</v>
      </c>
      <c r="V8" s="152">
        <v>0.69510099999999997</v>
      </c>
      <c r="W8" s="152">
        <v>1000</v>
      </c>
      <c r="X8" s="152" t="s">
        <v>23</v>
      </c>
      <c r="Y8" s="152" t="s">
        <v>1328</v>
      </c>
      <c r="Z8" s="152" t="s">
        <v>1327</v>
      </c>
    </row>
    <row r="9" spans="1:26" x14ac:dyDescent="0.2">
      <c r="A9" s="152" t="s">
        <v>1330</v>
      </c>
      <c r="B9" s="152">
        <v>5.5</v>
      </c>
      <c r="C9" s="151">
        <v>43690</v>
      </c>
      <c r="D9" s="152">
        <v>0.8</v>
      </c>
      <c r="E9" s="152" t="s">
        <v>1325</v>
      </c>
      <c r="F9" s="152" t="s">
        <v>1326</v>
      </c>
      <c r="G9" s="152"/>
      <c r="H9" s="152"/>
      <c r="I9" s="151">
        <v>43392</v>
      </c>
      <c r="J9" s="152">
        <v>1.8</v>
      </c>
      <c r="K9" s="151">
        <v>41642</v>
      </c>
      <c r="L9" s="152">
        <v>3.43</v>
      </c>
      <c r="M9" s="152">
        <v>3.48</v>
      </c>
      <c r="N9" s="152">
        <v>3.37</v>
      </c>
      <c r="O9" s="152">
        <v>1.783981</v>
      </c>
      <c r="P9" s="152" t="s">
        <v>1327</v>
      </c>
      <c r="Q9" s="152">
        <v>1.783981</v>
      </c>
      <c r="R9" s="152" t="s">
        <v>1327</v>
      </c>
      <c r="S9" s="152">
        <v>102.928185</v>
      </c>
      <c r="T9" s="152">
        <v>1.1000000000000001</v>
      </c>
      <c r="U9" s="152">
        <v>0.78396999999999994</v>
      </c>
      <c r="V9" s="152">
        <v>1.009417</v>
      </c>
      <c r="W9" s="152">
        <v>1000</v>
      </c>
      <c r="X9" s="152" t="s">
        <v>23</v>
      </c>
      <c r="Y9" s="152" t="s">
        <v>1328</v>
      </c>
      <c r="Z9" s="152" t="s">
        <v>1327</v>
      </c>
    </row>
    <row r="10" spans="1:26" x14ac:dyDescent="0.2">
      <c r="A10" s="152" t="s">
        <v>1331</v>
      </c>
      <c r="B10" s="152">
        <v>5.375</v>
      </c>
      <c r="C10" s="151">
        <v>43802</v>
      </c>
      <c r="D10" s="152">
        <v>1.106849</v>
      </c>
      <c r="E10" s="152" t="s">
        <v>1325</v>
      </c>
      <c r="F10" s="152" t="s">
        <v>1326</v>
      </c>
      <c r="G10" s="152"/>
      <c r="H10" s="152"/>
      <c r="I10" s="151">
        <v>43341</v>
      </c>
      <c r="J10" s="152">
        <v>1.67</v>
      </c>
      <c r="K10" s="151">
        <v>41642</v>
      </c>
      <c r="L10" s="152">
        <v>3.4874999999999998</v>
      </c>
      <c r="M10" s="152">
        <v>3.57</v>
      </c>
      <c r="N10" s="152">
        <v>3.42</v>
      </c>
      <c r="O10" s="152">
        <v>1.8202149999999999</v>
      </c>
      <c r="P10" s="152" t="s">
        <v>1327</v>
      </c>
      <c r="Q10" s="152">
        <v>1.8202149999999999</v>
      </c>
      <c r="R10" s="152" t="s">
        <v>1327</v>
      </c>
      <c r="S10" s="152">
        <v>103.868388</v>
      </c>
      <c r="T10" s="152">
        <v>2.1205479999999999</v>
      </c>
      <c r="U10" s="152">
        <v>1.059361</v>
      </c>
      <c r="V10" s="152">
        <v>1.6767529999999999</v>
      </c>
      <c r="W10" s="152">
        <v>1000</v>
      </c>
      <c r="X10" s="152" t="s">
        <v>23</v>
      </c>
      <c r="Y10" s="152" t="s">
        <v>1328</v>
      </c>
      <c r="Z10" s="152" t="s">
        <v>1327</v>
      </c>
    </row>
    <row r="11" spans="1:26" x14ac:dyDescent="0.2">
      <c r="A11" s="152" t="s">
        <v>526</v>
      </c>
      <c r="B11" s="152">
        <v>2.5499999999999998</v>
      </c>
      <c r="C11" s="151">
        <v>44008</v>
      </c>
      <c r="D11" s="152">
        <v>1.671233</v>
      </c>
      <c r="E11" s="152" t="s">
        <v>1325</v>
      </c>
      <c r="F11" s="152" t="s">
        <v>1326</v>
      </c>
      <c r="G11" s="152"/>
      <c r="H11" s="152"/>
      <c r="I11" s="151">
        <v>43397</v>
      </c>
      <c r="J11" s="152">
        <v>1.96</v>
      </c>
      <c r="K11" s="151">
        <v>43397</v>
      </c>
      <c r="L11" s="152">
        <v>1.9659359999999999</v>
      </c>
      <c r="M11" s="152">
        <v>1.99</v>
      </c>
      <c r="N11" s="152">
        <v>1.92</v>
      </c>
      <c r="O11" s="152">
        <v>1.96</v>
      </c>
      <c r="P11" s="152" t="s">
        <v>1327</v>
      </c>
      <c r="Q11" s="152">
        <v>1.96</v>
      </c>
      <c r="R11" s="152" t="s">
        <v>1327</v>
      </c>
      <c r="S11" s="152">
        <v>100.95974099999999</v>
      </c>
      <c r="T11" s="152">
        <v>0.84534200000000004</v>
      </c>
      <c r="U11" s="152">
        <v>1.6168119999999999</v>
      </c>
      <c r="V11" s="152">
        <v>3.4559530000000001</v>
      </c>
      <c r="W11" s="152">
        <v>1000</v>
      </c>
      <c r="X11" s="152" t="s">
        <v>23</v>
      </c>
      <c r="Y11" s="152" t="s">
        <v>1328</v>
      </c>
      <c r="Z11" s="152" t="s">
        <v>1327</v>
      </c>
    </row>
    <row r="12" spans="1:26" x14ac:dyDescent="0.2">
      <c r="A12" s="152" t="s">
        <v>1332</v>
      </c>
      <c r="B12" s="152">
        <v>5.85</v>
      </c>
      <c r="C12" s="151">
        <v>44286</v>
      </c>
      <c r="D12" s="152">
        <v>2.432877</v>
      </c>
      <c r="E12" s="152" t="s">
        <v>1325</v>
      </c>
      <c r="F12" s="152" t="s">
        <v>1326</v>
      </c>
      <c r="G12" s="152"/>
      <c r="H12" s="152"/>
      <c r="I12" s="151">
        <v>43347</v>
      </c>
      <c r="J12" s="152">
        <v>1.98</v>
      </c>
      <c r="K12" s="151">
        <v>43326</v>
      </c>
      <c r="L12" s="152">
        <v>1.926884</v>
      </c>
      <c r="M12" s="152">
        <v>2</v>
      </c>
      <c r="N12" s="152">
        <v>1.8</v>
      </c>
      <c r="O12" s="152">
        <v>2.0498509999999999</v>
      </c>
      <c r="P12" s="152" t="s">
        <v>1327</v>
      </c>
      <c r="Q12" s="152">
        <v>2.0498509999999999</v>
      </c>
      <c r="R12" s="152" t="s">
        <v>1327</v>
      </c>
      <c r="S12" s="152">
        <v>108.97013800000001</v>
      </c>
      <c r="T12" s="152">
        <v>0.40068500000000001</v>
      </c>
      <c r="U12" s="152">
        <v>2.2755999999999998</v>
      </c>
      <c r="V12" s="152">
        <v>6.4812440000000002</v>
      </c>
      <c r="W12" s="152">
        <v>1000</v>
      </c>
      <c r="X12" s="152" t="s">
        <v>23</v>
      </c>
      <c r="Y12" s="152" t="s">
        <v>1328</v>
      </c>
      <c r="Z12" s="152" t="s">
        <v>1327</v>
      </c>
    </row>
    <row r="13" spans="1:26" x14ac:dyDescent="0.2">
      <c r="A13" s="152" t="s">
        <v>1333</v>
      </c>
      <c r="B13" s="152">
        <v>6.4</v>
      </c>
      <c r="C13" s="151">
        <v>44295</v>
      </c>
      <c r="D13" s="152">
        <v>2.4575339999999999</v>
      </c>
      <c r="E13" s="152" t="s">
        <v>1325</v>
      </c>
      <c r="F13" s="152" t="s">
        <v>1326</v>
      </c>
      <c r="G13" s="152"/>
      <c r="H13" s="152"/>
      <c r="I13" s="151">
        <v>43378</v>
      </c>
      <c r="J13" s="152">
        <v>2.0099999999999998</v>
      </c>
      <c r="K13" s="151">
        <v>41642</v>
      </c>
      <c r="L13" s="152">
        <v>3.6837499999999999</v>
      </c>
      <c r="M13" s="152">
        <v>3.83</v>
      </c>
      <c r="N13" s="152">
        <v>3.6</v>
      </c>
      <c r="O13" s="152">
        <v>2.0509569999999999</v>
      </c>
      <c r="P13" s="152" t="s">
        <v>1327</v>
      </c>
      <c r="Q13" s="152">
        <v>2.0509569999999999</v>
      </c>
      <c r="R13" s="152" t="s">
        <v>1327</v>
      </c>
      <c r="S13" s="152">
        <v>110.36743</v>
      </c>
      <c r="T13" s="152">
        <v>0.28054800000000002</v>
      </c>
      <c r="U13" s="152">
        <v>2.2894960000000002</v>
      </c>
      <c r="V13" s="152">
        <v>6.5643539999999998</v>
      </c>
      <c r="W13" s="152">
        <v>1000</v>
      </c>
      <c r="X13" s="152" t="s">
        <v>23</v>
      </c>
      <c r="Y13" s="152" t="s">
        <v>1328</v>
      </c>
      <c r="Z13" s="152" t="s">
        <v>1327</v>
      </c>
    </row>
    <row r="14" spans="1:26" x14ac:dyDescent="0.2">
      <c r="A14" s="152" t="s">
        <v>627</v>
      </c>
      <c r="B14" s="152">
        <v>3.65</v>
      </c>
      <c r="C14" s="151">
        <v>44547</v>
      </c>
      <c r="D14" s="152">
        <v>3.147945</v>
      </c>
      <c r="E14" s="152" t="s">
        <v>1325</v>
      </c>
      <c r="F14" s="152" t="s">
        <v>1326</v>
      </c>
      <c r="G14" s="152"/>
      <c r="H14" s="152"/>
      <c r="I14" s="151">
        <v>43397</v>
      </c>
      <c r="J14" s="152">
        <v>2.145</v>
      </c>
      <c r="K14" s="151">
        <v>43397</v>
      </c>
      <c r="L14" s="152">
        <v>2.1536330000000001</v>
      </c>
      <c r="M14" s="152">
        <v>2.1850000000000001</v>
      </c>
      <c r="N14" s="152">
        <v>2.145</v>
      </c>
      <c r="O14" s="152">
        <v>2.145</v>
      </c>
      <c r="P14" s="152" t="s">
        <v>1327</v>
      </c>
      <c r="Q14" s="152">
        <v>2.145</v>
      </c>
      <c r="R14" s="152" t="s">
        <v>1327</v>
      </c>
      <c r="S14" s="152">
        <v>104.54682099999999</v>
      </c>
      <c r="T14" s="152">
        <v>1.3</v>
      </c>
      <c r="U14" s="152">
        <v>2.936391</v>
      </c>
      <c r="V14" s="152">
        <v>10.422363000000001</v>
      </c>
      <c r="W14" s="152">
        <v>1000</v>
      </c>
      <c r="X14" s="152" t="s">
        <v>23</v>
      </c>
      <c r="Y14" s="152" t="s">
        <v>1328</v>
      </c>
      <c r="Z14" s="152" t="s">
        <v>1327</v>
      </c>
    </row>
    <row r="15" spans="1:26" x14ac:dyDescent="0.2">
      <c r="A15" s="152" t="s">
        <v>585</v>
      </c>
      <c r="B15" s="152">
        <v>1.875</v>
      </c>
      <c r="C15" s="151">
        <v>44729</v>
      </c>
      <c r="D15" s="152">
        <v>3.6465749999999999</v>
      </c>
      <c r="E15" s="152" t="s">
        <v>1325</v>
      </c>
      <c r="F15" s="152" t="s">
        <v>1326</v>
      </c>
      <c r="G15" s="152"/>
      <c r="H15" s="152"/>
      <c r="I15" s="151">
        <v>43397</v>
      </c>
      <c r="J15" s="152">
        <v>2.2949999999999999</v>
      </c>
      <c r="K15" s="151">
        <v>43397</v>
      </c>
      <c r="L15" s="152">
        <v>2.304583</v>
      </c>
      <c r="M15" s="152">
        <v>2.3199999999999998</v>
      </c>
      <c r="N15" s="152">
        <v>2.2999999999999998</v>
      </c>
      <c r="O15" s="152">
        <v>2.2949999999999999</v>
      </c>
      <c r="P15" s="152" t="s">
        <v>1327</v>
      </c>
      <c r="Q15" s="152">
        <v>2.2949999999999999</v>
      </c>
      <c r="R15" s="152" t="s">
        <v>1327</v>
      </c>
      <c r="S15" s="152">
        <v>98.535651999999999</v>
      </c>
      <c r="T15" s="152">
        <v>0.66780799999999996</v>
      </c>
      <c r="U15" s="152">
        <v>3.4763980000000001</v>
      </c>
      <c r="V15" s="152">
        <v>14.104737999999999</v>
      </c>
      <c r="W15" s="152">
        <v>1000</v>
      </c>
      <c r="X15" s="152" t="s">
        <v>23</v>
      </c>
      <c r="Y15" s="152" t="s">
        <v>1328</v>
      </c>
      <c r="Z15" s="152" t="s">
        <v>1327</v>
      </c>
    </row>
    <row r="16" spans="1:26" x14ac:dyDescent="0.2">
      <c r="A16" s="152" t="s">
        <v>586</v>
      </c>
      <c r="B16" s="152">
        <v>2</v>
      </c>
      <c r="C16" s="151">
        <v>44912</v>
      </c>
      <c r="D16" s="152">
        <v>4.147945</v>
      </c>
      <c r="E16" s="152" t="s">
        <v>1325</v>
      </c>
      <c r="F16" s="152" t="s">
        <v>1326</v>
      </c>
      <c r="G16" s="152"/>
      <c r="H16" s="152"/>
      <c r="I16" s="151">
        <v>43397</v>
      </c>
      <c r="J16" s="152">
        <v>2.35</v>
      </c>
      <c r="K16" s="151">
        <v>43397</v>
      </c>
      <c r="L16" s="152">
        <v>2.3580670000000001</v>
      </c>
      <c r="M16" s="152">
        <v>2.37</v>
      </c>
      <c r="N16" s="152">
        <v>2.33</v>
      </c>
      <c r="O16" s="152">
        <v>2.35</v>
      </c>
      <c r="P16" s="152" t="s">
        <v>1327</v>
      </c>
      <c r="Q16" s="152">
        <v>2.35</v>
      </c>
      <c r="R16" s="152" t="s">
        <v>1327</v>
      </c>
      <c r="S16" s="152">
        <v>98.621331999999995</v>
      </c>
      <c r="T16" s="152">
        <v>0.71232899999999999</v>
      </c>
      <c r="U16" s="152">
        <v>3.9233220000000002</v>
      </c>
      <c r="V16" s="152">
        <v>17.791578000000001</v>
      </c>
      <c r="W16" s="152">
        <v>1000</v>
      </c>
      <c r="X16" s="152" t="s">
        <v>23</v>
      </c>
      <c r="Y16" s="152" t="s">
        <v>1328</v>
      </c>
      <c r="Z16" s="152" t="s">
        <v>1327</v>
      </c>
    </row>
    <row r="17" spans="1:26" x14ac:dyDescent="0.2">
      <c r="A17" s="152" t="s">
        <v>1334</v>
      </c>
      <c r="B17" s="152">
        <v>5.125</v>
      </c>
      <c r="C17" s="151">
        <v>44873</v>
      </c>
      <c r="D17" s="152">
        <v>4.0410959999999996</v>
      </c>
      <c r="E17" s="152" t="s">
        <v>1325</v>
      </c>
      <c r="F17" s="152" t="s">
        <v>1326</v>
      </c>
      <c r="G17" s="152"/>
      <c r="H17" s="152"/>
      <c r="I17" s="151">
        <v>43367</v>
      </c>
      <c r="J17" s="152">
        <v>2.2650000000000001</v>
      </c>
      <c r="K17" s="151">
        <v>41642</v>
      </c>
      <c r="L17" s="152">
        <v>3.835</v>
      </c>
      <c r="M17" s="152">
        <v>3.94</v>
      </c>
      <c r="N17" s="152">
        <v>3.78</v>
      </c>
      <c r="O17" s="152">
        <v>2.3360020000000001</v>
      </c>
      <c r="P17" s="152" t="s">
        <v>1327</v>
      </c>
      <c r="Q17" s="152">
        <v>2.3360020000000001</v>
      </c>
      <c r="R17" s="152" t="s">
        <v>1327</v>
      </c>
      <c r="S17" s="152">
        <v>110.66650799999999</v>
      </c>
      <c r="T17" s="152">
        <v>2.3869859999999998</v>
      </c>
      <c r="U17" s="152">
        <v>3.599478</v>
      </c>
      <c r="V17" s="152">
        <v>15.688592</v>
      </c>
      <c r="W17" s="152">
        <v>1000</v>
      </c>
      <c r="X17" s="152" t="s">
        <v>23</v>
      </c>
      <c r="Y17" s="152" t="s">
        <v>1328</v>
      </c>
      <c r="Z17" s="152" t="s">
        <v>1327</v>
      </c>
    </row>
    <row r="18" spans="1:26" x14ac:dyDescent="0.2">
      <c r="A18" s="152" t="s">
        <v>1335</v>
      </c>
      <c r="B18" s="152">
        <v>5.5</v>
      </c>
      <c r="C18" s="151">
        <v>44998</v>
      </c>
      <c r="D18" s="152">
        <v>4.3835620000000004</v>
      </c>
      <c r="E18" s="152" t="s">
        <v>1325</v>
      </c>
      <c r="F18" s="152" t="s">
        <v>1326</v>
      </c>
      <c r="G18" s="152"/>
      <c r="H18" s="152"/>
      <c r="I18" s="151">
        <v>43343</v>
      </c>
      <c r="J18" s="152">
        <v>2.2450000000000001</v>
      </c>
      <c r="K18" s="151">
        <v>42556</v>
      </c>
      <c r="L18" s="152">
        <v>1.8365210000000001</v>
      </c>
      <c r="M18" s="152">
        <v>1.88</v>
      </c>
      <c r="N18" s="152">
        <v>1.77</v>
      </c>
      <c r="O18" s="152">
        <v>2.3666659999999999</v>
      </c>
      <c r="P18" s="152" t="s">
        <v>1327</v>
      </c>
      <c r="Q18" s="152">
        <v>2.3666659999999999</v>
      </c>
      <c r="R18" s="152" t="s">
        <v>1327</v>
      </c>
      <c r="S18" s="152">
        <v>112.985966</v>
      </c>
      <c r="T18" s="152">
        <v>0.63287700000000002</v>
      </c>
      <c r="U18" s="152">
        <v>3.9142999999999999</v>
      </c>
      <c r="V18" s="152">
        <v>18.255755000000001</v>
      </c>
      <c r="W18" s="152">
        <v>1000</v>
      </c>
      <c r="X18" s="152" t="s">
        <v>23</v>
      </c>
      <c r="Y18" s="152" t="s">
        <v>1328</v>
      </c>
      <c r="Z18" s="152" t="s">
        <v>1327</v>
      </c>
    </row>
    <row r="19" spans="1:26" x14ac:dyDescent="0.2">
      <c r="A19" s="152" t="s">
        <v>1286</v>
      </c>
      <c r="B19" s="152">
        <v>3.625</v>
      </c>
      <c r="C19" s="151">
        <v>45093</v>
      </c>
      <c r="D19" s="152">
        <v>4.6438360000000003</v>
      </c>
      <c r="E19" s="152" t="s">
        <v>1325</v>
      </c>
      <c r="F19" s="152" t="s">
        <v>1326</v>
      </c>
      <c r="G19" s="152"/>
      <c r="H19" s="152"/>
      <c r="I19" s="151">
        <v>43395</v>
      </c>
      <c r="J19" s="152">
        <v>2.38</v>
      </c>
      <c r="K19" s="151">
        <v>43397</v>
      </c>
      <c r="L19" s="152">
        <v>2.404029</v>
      </c>
      <c r="M19" s="152">
        <v>2.41</v>
      </c>
      <c r="N19" s="152">
        <v>2.4</v>
      </c>
      <c r="O19" s="152">
        <v>2.404029</v>
      </c>
      <c r="P19" s="152" t="s">
        <v>1327</v>
      </c>
      <c r="Q19" s="152">
        <v>2.404029</v>
      </c>
      <c r="R19" s="152" t="s">
        <v>1327</v>
      </c>
      <c r="S19" s="152">
        <v>105.326042</v>
      </c>
      <c r="T19" s="152">
        <v>1.3010269999999999</v>
      </c>
      <c r="U19" s="152">
        <v>4.2223709999999999</v>
      </c>
      <c r="V19" s="152">
        <v>20.933751000000001</v>
      </c>
      <c r="W19" s="152">
        <v>1000</v>
      </c>
      <c r="X19" s="152" t="s">
        <v>23</v>
      </c>
      <c r="Y19" s="152" t="s">
        <v>1328</v>
      </c>
      <c r="Z19" s="152" t="s">
        <v>1327</v>
      </c>
    </row>
    <row r="20" spans="1:26" x14ac:dyDescent="0.2">
      <c r="A20" s="152" t="s">
        <v>587</v>
      </c>
      <c r="B20" s="152">
        <v>2.4</v>
      </c>
      <c r="C20" s="151">
        <v>45277</v>
      </c>
      <c r="D20" s="152">
        <v>5.147945</v>
      </c>
      <c r="E20" s="152" t="s">
        <v>1325</v>
      </c>
      <c r="F20" s="152" t="s">
        <v>1326</v>
      </c>
      <c r="G20" s="152"/>
      <c r="H20" s="152"/>
      <c r="I20" s="151">
        <v>43397</v>
      </c>
      <c r="J20" s="152">
        <v>2.44</v>
      </c>
      <c r="K20" s="151">
        <v>43397</v>
      </c>
      <c r="L20" s="152">
        <v>2.4542190000000002</v>
      </c>
      <c r="M20" s="152">
        <v>2.4700000000000002</v>
      </c>
      <c r="N20" s="152">
        <v>2.4500000000000002</v>
      </c>
      <c r="O20" s="152">
        <v>2.44</v>
      </c>
      <c r="P20" s="152" t="s">
        <v>1327</v>
      </c>
      <c r="Q20" s="152">
        <v>2.44</v>
      </c>
      <c r="R20" s="152" t="s">
        <v>1327</v>
      </c>
      <c r="S20" s="152">
        <v>99.807582999999994</v>
      </c>
      <c r="T20" s="152">
        <v>0.45369900000000002</v>
      </c>
      <c r="U20" s="152">
        <v>4.7901300000000004</v>
      </c>
      <c r="V20" s="152">
        <v>26.221204</v>
      </c>
      <c r="W20" s="152">
        <v>1000</v>
      </c>
      <c r="X20" s="152" t="s">
        <v>23</v>
      </c>
      <c r="Y20" s="152" t="s">
        <v>1328</v>
      </c>
      <c r="Z20" s="152" t="s">
        <v>1327</v>
      </c>
    </row>
    <row r="21" spans="1:26" x14ac:dyDescent="0.2">
      <c r="A21" s="152" t="s">
        <v>1336</v>
      </c>
      <c r="B21" s="152">
        <v>4.5</v>
      </c>
      <c r="C21" s="151">
        <v>45391</v>
      </c>
      <c r="D21" s="152">
        <v>5.4602740000000001</v>
      </c>
      <c r="E21" s="152" t="s">
        <v>1325</v>
      </c>
      <c r="F21" s="152" t="s">
        <v>1326</v>
      </c>
      <c r="G21" s="152"/>
      <c r="H21" s="152"/>
      <c r="I21" s="151">
        <v>43192</v>
      </c>
      <c r="J21" s="152">
        <v>2.0550000000000002</v>
      </c>
      <c r="K21" s="151">
        <v>42094</v>
      </c>
      <c r="L21" s="152">
        <v>2.6792349999999998</v>
      </c>
      <c r="M21" s="152">
        <v>2.75</v>
      </c>
      <c r="N21" s="152">
        <v>2.62</v>
      </c>
      <c r="O21" s="152">
        <v>2.472982</v>
      </c>
      <c r="P21" s="152" t="s">
        <v>1327</v>
      </c>
      <c r="Q21" s="152">
        <v>2.472982</v>
      </c>
      <c r="R21" s="152" t="s">
        <v>1327</v>
      </c>
      <c r="S21" s="152">
        <v>110.289389</v>
      </c>
      <c r="T21" s="152">
        <v>0.19725999999999999</v>
      </c>
      <c r="U21" s="152">
        <v>4.8606999999999996</v>
      </c>
      <c r="V21" s="152">
        <v>27.591483</v>
      </c>
      <c r="W21" s="152">
        <v>1000</v>
      </c>
      <c r="X21" s="152" t="s">
        <v>23</v>
      </c>
      <c r="Y21" s="152" t="s">
        <v>1328</v>
      </c>
      <c r="Z21" s="152" t="s">
        <v>1327</v>
      </c>
    </row>
    <row r="22" spans="1:26" x14ac:dyDescent="0.2">
      <c r="A22" s="152" t="s">
        <v>1337</v>
      </c>
      <c r="B22" s="152">
        <v>4.75</v>
      </c>
      <c r="C22" s="151">
        <v>45646</v>
      </c>
      <c r="D22" s="152">
        <v>6.1589039999999997</v>
      </c>
      <c r="E22" s="152" t="s">
        <v>1325</v>
      </c>
      <c r="F22" s="152" t="s">
        <v>1326</v>
      </c>
      <c r="G22" s="152"/>
      <c r="H22" s="152"/>
      <c r="I22" s="151">
        <v>43280</v>
      </c>
      <c r="J22" s="152">
        <v>2.36</v>
      </c>
      <c r="K22" s="151">
        <v>43046</v>
      </c>
      <c r="L22" s="152">
        <v>2.1118030000000001</v>
      </c>
      <c r="M22" s="152">
        <v>2.2000000000000002</v>
      </c>
      <c r="N22" s="152">
        <v>2.0640000000000001</v>
      </c>
      <c r="O22" s="152">
        <v>2.5495410000000001</v>
      </c>
      <c r="P22" s="152" t="s">
        <v>1327</v>
      </c>
      <c r="Q22" s="152">
        <v>2.5495410000000001</v>
      </c>
      <c r="R22" s="152" t="s">
        <v>1327</v>
      </c>
      <c r="S22" s="152">
        <v>112.44875999999999</v>
      </c>
      <c r="T22" s="152">
        <v>1.6527400000000001</v>
      </c>
      <c r="U22" s="152">
        <v>5.3132380000000001</v>
      </c>
      <c r="V22" s="152">
        <v>33.450333999999998</v>
      </c>
      <c r="W22" s="152">
        <v>1000</v>
      </c>
      <c r="X22" s="152" t="s">
        <v>23</v>
      </c>
      <c r="Y22" s="152" t="s">
        <v>1328</v>
      </c>
      <c r="Z22" s="152" t="s">
        <v>1327</v>
      </c>
    </row>
    <row r="23" spans="1:26" x14ac:dyDescent="0.2">
      <c r="A23" s="152" t="s">
        <v>1284</v>
      </c>
      <c r="B23" s="152">
        <v>3.85</v>
      </c>
      <c r="C23" s="151">
        <v>46003</v>
      </c>
      <c r="D23" s="152">
        <v>7.1369860000000003</v>
      </c>
      <c r="E23" s="152" t="s">
        <v>1325</v>
      </c>
      <c r="F23" s="152" t="s">
        <v>1326</v>
      </c>
      <c r="G23" s="152"/>
      <c r="H23" s="152"/>
      <c r="I23" s="151">
        <v>43397</v>
      </c>
      <c r="J23" s="152">
        <v>2.66</v>
      </c>
      <c r="K23" s="151">
        <v>43397</v>
      </c>
      <c r="L23" s="152">
        <v>2.6618750000000002</v>
      </c>
      <c r="M23" s="152">
        <v>2.68</v>
      </c>
      <c r="N23" s="152">
        <v>2.62</v>
      </c>
      <c r="O23" s="152">
        <v>2.66</v>
      </c>
      <c r="P23" s="152" t="s">
        <v>1327</v>
      </c>
      <c r="Q23" s="152">
        <v>2.66</v>
      </c>
      <c r="R23" s="152" t="s">
        <v>1327</v>
      </c>
      <c r="S23" s="152">
        <v>107.676086</v>
      </c>
      <c r="T23" s="152">
        <v>1.4239729999999999</v>
      </c>
      <c r="U23" s="152">
        <v>6.176736</v>
      </c>
      <c r="V23" s="152">
        <v>44.630001</v>
      </c>
      <c r="W23" s="152">
        <v>1000</v>
      </c>
      <c r="X23" s="152" t="s">
        <v>23</v>
      </c>
      <c r="Y23" s="152" t="s">
        <v>1328</v>
      </c>
      <c r="Z23" s="152" t="s">
        <v>1327</v>
      </c>
    </row>
    <row r="24" spans="1:26" x14ac:dyDescent="0.2">
      <c r="A24" s="152" t="s">
        <v>1338</v>
      </c>
      <c r="B24" s="152">
        <v>6.15</v>
      </c>
      <c r="C24" s="151">
        <v>46210</v>
      </c>
      <c r="D24" s="152">
        <v>7.70411</v>
      </c>
      <c r="E24" s="152" t="s">
        <v>1325</v>
      </c>
      <c r="F24" s="152" t="s">
        <v>1326</v>
      </c>
      <c r="G24" s="152"/>
      <c r="H24" s="152"/>
      <c r="I24" s="151">
        <v>43361</v>
      </c>
      <c r="J24" s="152">
        <v>2.6</v>
      </c>
      <c r="K24" s="151">
        <v>41642</v>
      </c>
      <c r="L24" s="152">
        <v>4.0774999999999997</v>
      </c>
      <c r="M24" s="152">
        <v>4.2</v>
      </c>
      <c r="N24" s="152">
        <v>4.01</v>
      </c>
      <c r="O24" s="152">
        <v>2.6830880000000001</v>
      </c>
      <c r="P24" s="152" t="s">
        <v>1327</v>
      </c>
      <c r="Q24" s="152">
        <v>2.6830880000000001</v>
      </c>
      <c r="R24" s="152" t="s">
        <v>1327</v>
      </c>
      <c r="S24" s="152">
        <v>123.95114100000001</v>
      </c>
      <c r="T24" s="152">
        <v>1.8534250000000001</v>
      </c>
      <c r="U24" s="152">
        <v>6.2466350000000004</v>
      </c>
      <c r="V24" s="152">
        <v>47.28857</v>
      </c>
      <c r="W24" s="152">
        <v>1000</v>
      </c>
      <c r="X24" s="152" t="s">
        <v>23</v>
      </c>
      <c r="Y24" s="152" t="s">
        <v>1328</v>
      </c>
      <c r="Z24" s="152" t="s">
        <v>1327</v>
      </c>
    </row>
    <row r="25" spans="1:26" x14ac:dyDescent="0.2">
      <c r="A25" s="152" t="s">
        <v>1283</v>
      </c>
      <c r="B25" s="152">
        <v>2.125</v>
      </c>
      <c r="C25" s="151">
        <v>46373</v>
      </c>
      <c r="D25" s="152">
        <v>8.1506849999999993</v>
      </c>
      <c r="E25" s="152" t="s">
        <v>1325</v>
      </c>
      <c r="F25" s="152" t="s">
        <v>1326</v>
      </c>
      <c r="G25" s="152"/>
      <c r="H25" s="152"/>
      <c r="I25" s="151">
        <v>43397</v>
      </c>
      <c r="J25" s="152">
        <v>2.75</v>
      </c>
      <c r="K25" s="151">
        <v>43397</v>
      </c>
      <c r="L25" s="152">
        <v>2.7593749999999999</v>
      </c>
      <c r="M25" s="152">
        <v>2.77</v>
      </c>
      <c r="N25" s="152">
        <v>2.75</v>
      </c>
      <c r="O25" s="152">
        <v>2.75</v>
      </c>
      <c r="P25" s="152" t="s">
        <v>1327</v>
      </c>
      <c r="Q25" s="152">
        <v>2.75</v>
      </c>
      <c r="R25" s="152" t="s">
        <v>1327</v>
      </c>
      <c r="S25" s="152">
        <v>95.462440000000001</v>
      </c>
      <c r="T25" s="152">
        <v>0.75684899999999999</v>
      </c>
      <c r="U25" s="152">
        <v>7.3446959999999999</v>
      </c>
      <c r="V25" s="152">
        <v>60.903300000000002</v>
      </c>
      <c r="W25" s="152">
        <v>1000</v>
      </c>
      <c r="X25" s="152" t="s">
        <v>23</v>
      </c>
      <c r="Y25" s="152" t="s">
        <v>1328</v>
      </c>
      <c r="Z25" s="152" t="s">
        <v>1327</v>
      </c>
    </row>
    <row r="26" spans="1:26" x14ac:dyDescent="0.2">
      <c r="A26" s="152" t="s">
        <v>1339</v>
      </c>
      <c r="B26" s="152">
        <v>3.58</v>
      </c>
      <c r="C26" s="151">
        <v>46738</v>
      </c>
      <c r="D26" s="152">
        <v>9.1506849999999993</v>
      </c>
      <c r="E26" s="152" t="s">
        <v>1325</v>
      </c>
      <c r="F26" s="152" t="s">
        <v>1326</v>
      </c>
      <c r="G26" s="152"/>
      <c r="H26" s="152"/>
      <c r="I26" s="151">
        <v>43397</v>
      </c>
      <c r="J26" s="152">
        <v>2.82</v>
      </c>
      <c r="K26" s="151">
        <v>43397</v>
      </c>
      <c r="L26" s="152">
        <v>2.8156249999999998</v>
      </c>
      <c r="M26" s="152">
        <v>2.85</v>
      </c>
      <c r="N26" s="152">
        <v>2.799938</v>
      </c>
      <c r="O26" s="152">
        <v>2.82</v>
      </c>
      <c r="P26" s="152" t="s">
        <v>1327</v>
      </c>
      <c r="Q26" s="152">
        <v>2.82</v>
      </c>
      <c r="R26" s="152" t="s">
        <v>1327</v>
      </c>
      <c r="S26" s="152">
        <v>106.081417</v>
      </c>
      <c r="T26" s="152">
        <v>1.2750680000000001</v>
      </c>
      <c r="U26" s="152">
        <v>7.7224209999999998</v>
      </c>
      <c r="V26" s="152">
        <v>69.809248999999994</v>
      </c>
      <c r="W26" s="152">
        <v>1000</v>
      </c>
      <c r="X26" s="152" t="s">
        <v>23</v>
      </c>
      <c r="Y26" s="152" t="s">
        <v>1328</v>
      </c>
      <c r="Z26" s="152" t="s">
        <v>1327</v>
      </c>
    </row>
    <row r="27" spans="1:26" x14ac:dyDescent="0.2">
      <c r="A27" s="152" t="s">
        <v>1340</v>
      </c>
      <c r="B27" s="152">
        <v>5.67</v>
      </c>
      <c r="C27" s="151">
        <v>46825</v>
      </c>
      <c r="D27" s="152">
        <v>9.3890410000000006</v>
      </c>
      <c r="E27" s="152" t="s">
        <v>1325</v>
      </c>
      <c r="F27" s="152" t="s">
        <v>1326</v>
      </c>
      <c r="G27" s="152"/>
      <c r="H27" s="152"/>
      <c r="I27" s="151">
        <v>43328</v>
      </c>
      <c r="J27" s="152">
        <v>2.72</v>
      </c>
      <c r="K27" s="151">
        <v>42556</v>
      </c>
      <c r="L27" s="152">
        <v>2.191951</v>
      </c>
      <c r="M27" s="152">
        <v>2.25</v>
      </c>
      <c r="N27" s="152">
        <v>2.11</v>
      </c>
      <c r="O27" s="152">
        <v>2.787541</v>
      </c>
      <c r="P27" s="152" t="s">
        <v>1327</v>
      </c>
      <c r="Q27" s="152">
        <v>2.787541</v>
      </c>
      <c r="R27" s="152" t="s">
        <v>1327</v>
      </c>
      <c r="S27" s="152">
        <v>123.669349</v>
      </c>
      <c r="T27" s="152">
        <v>0.65243799999999996</v>
      </c>
      <c r="U27" s="152">
        <v>7.4895100000000001</v>
      </c>
      <c r="V27" s="152">
        <v>67.621891000000005</v>
      </c>
      <c r="W27" s="152">
        <v>1000</v>
      </c>
      <c r="X27" s="152" t="s">
        <v>23</v>
      </c>
      <c r="Y27" s="152" t="s">
        <v>1328</v>
      </c>
      <c r="Z27" s="152" t="s">
        <v>1327</v>
      </c>
    </row>
    <row r="28" spans="1:26" x14ac:dyDescent="0.2">
      <c r="A28" s="152" t="s">
        <v>1282</v>
      </c>
      <c r="B28" s="152">
        <v>2.875</v>
      </c>
      <c r="C28" s="151">
        <v>47104</v>
      </c>
      <c r="D28" s="152">
        <v>10.153425</v>
      </c>
      <c r="E28" s="152" t="s">
        <v>1325</v>
      </c>
      <c r="F28" s="152" t="s">
        <v>1326</v>
      </c>
      <c r="G28" s="152"/>
      <c r="H28" s="152"/>
      <c r="I28" s="151">
        <v>43397</v>
      </c>
      <c r="J28" s="152">
        <v>2.87</v>
      </c>
      <c r="K28" s="151">
        <v>43397</v>
      </c>
      <c r="L28" s="152">
        <v>2.8462499999999999</v>
      </c>
      <c r="M28" s="152">
        <v>2.87</v>
      </c>
      <c r="N28" s="152">
        <v>2.84</v>
      </c>
      <c r="O28" s="152">
        <v>2.87</v>
      </c>
      <c r="P28" s="152" t="s">
        <v>1327</v>
      </c>
      <c r="Q28" s="152">
        <v>2.87</v>
      </c>
      <c r="R28" s="152" t="s">
        <v>1327</v>
      </c>
      <c r="S28" s="152">
        <v>100.042456</v>
      </c>
      <c r="T28" s="152">
        <v>0.81917799999999996</v>
      </c>
      <c r="U28" s="152">
        <v>8.6756609999999998</v>
      </c>
      <c r="V28" s="152">
        <v>86.872225</v>
      </c>
      <c r="W28" s="152">
        <v>1000</v>
      </c>
      <c r="X28" s="152" t="s">
        <v>23</v>
      </c>
      <c r="Y28" s="152" t="s">
        <v>1328</v>
      </c>
      <c r="Z28" s="152" t="s">
        <v>1327</v>
      </c>
    </row>
    <row r="29" spans="1:26" x14ac:dyDescent="0.2">
      <c r="A29" s="152" t="s">
        <v>1341</v>
      </c>
      <c r="B29" s="152">
        <v>4.875</v>
      </c>
      <c r="C29" s="151">
        <v>47291</v>
      </c>
      <c r="D29" s="152">
        <v>10.665753</v>
      </c>
      <c r="E29" s="152" t="s">
        <v>1325</v>
      </c>
      <c r="F29" s="152" t="s">
        <v>1326</v>
      </c>
      <c r="G29" s="152"/>
      <c r="H29" s="152"/>
      <c r="I29" s="151">
        <v>43397</v>
      </c>
      <c r="J29" s="152">
        <v>2.97</v>
      </c>
      <c r="K29" s="151">
        <v>43397</v>
      </c>
      <c r="L29" s="152">
        <v>2.98</v>
      </c>
      <c r="M29" s="152">
        <v>2.99</v>
      </c>
      <c r="N29" s="152">
        <v>2.93</v>
      </c>
      <c r="O29" s="152">
        <v>2.97</v>
      </c>
      <c r="P29" s="152" t="s">
        <v>1327</v>
      </c>
      <c r="Q29" s="152">
        <v>2.97</v>
      </c>
      <c r="R29" s="152" t="s">
        <v>1327</v>
      </c>
      <c r="S29" s="152">
        <v>117.28564900000001</v>
      </c>
      <c r="T29" s="152">
        <v>1.669521</v>
      </c>
      <c r="U29" s="152">
        <v>8.3932570000000002</v>
      </c>
      <c r="V29" s="152">
        <v>85.412437999999995</v>
      </c>
      <c r="W29" s="152">
        <v>1000</v>
      </c>
      <c r="X29" s="152" t="s">
        <v>23</v>
      </c>
      <c r="Y29" s="152" t="s">
        <v>1328</v>
      </c>
      <c r="Z29" s="152" t="s">
        <v>1327</v>
      </c>
    </row>
    <row r="30" spans="1:26" x14ac:dyDescent="0.2">
      <c r="A30" s="152" t="s">
        <v>1342</v>
      </c>
      <c r="B30" s="152">
        <v>3.65</v>
      </c>
      <c r="C30" s="151">
        <v>48019</v>
      </c>
      <c r="D30" s="152">
        <v>12.660273999999999</v>
      </c>
      <c r="E30" s="152" t="s">
        <v>1325</v>
      </c>
      <c r="F30" s="152" t="s">
        <v>1326</v>
      </c>
      <c r="G30" s="152"/>
      <c r="H30" s="152"/>
      <c r="I30" s="151">
        <v>43397</v>
      </c>
      <c r="J30" s="152">
        <v>3.15</v>
      </c>
      <c r="K30" s="151">
        <v>43397</v>
      </c>
      <c r="L30" s="152">
        <v>3.1589450000000001</v>
      </c>
      <c r="M30" s="152">
        <v>3.17</v>
      </c>
      <c r="N30" s="152">
        <v>3.15</v>
      </c>
      <c r="O30" s="152">
        <v>3.15</v>
      </c>
      <c r="P30" s="152" t="s">
        <v>1327</v>
      </c>
      <c r="Q30" s="152">
        <v>3.15</v>
      </c>
      <c r="R30" s="152" t="s">
        <v>1327</v>
      </c>
      <c r="S30" s="152">
        <v>105.17674100000001</v>
      </c>
      <c r="T30" s="152">
        <v>1.27</v>
      </c>
      <c r="U30" s="152">
        <v>10.037898</v>
      </c>
      <c r="V30" s="152">
        <v>120.744428</v>
      </c>
      <c r="W30" s="152">
        <v>1000</v>
      </c>
      <c r="X30" s="152" t="s">
        <v>23</v>
      </c>
      <c r="Y30" s="152" t="s">
        <v>1328</v>
      </c>
      <c r="Z30" s="152" t="s">
        <v>1327</v>
      </c>
    </row>
    <row r="31" spans="1:26" x14ac:dyDescent="0.2">
      <c r="A31" s="152" t="s">
        <v>1343</v>
      </c>
      <c r="B31" s="152">
        <v>3.7749999999999999</v>
      </c>
      <c r="C31" s="151">
        <v>48390</v>
      </c>
      <c r="D31" s="152">
        <v>13.676712</v>
      </c>
      <c r="E31" s="152" t="s">
        <v>1325</v>
      </c>
      <c r="F31" s="152" t="s">
        <v>1326</v>
      </c>
      <c r="G31" s="152"/>
      <c r="H31" s="152"/>
      <c r="I31" s="151">
        <v>43397</v>
      </c>
      <c r="J31" s="152">
        <v>3.23</v>
      </c>
      <c r="K31" s="151">
        <v>43397</v>
      </c>
      <c r="L31" s="152">
        <v>3.2448830000000002</v>
      </c>
      <c r="M31" s="152">
        <v>3.25</v>
      </c>
      <c r="N31" s="152">
        <v>3.2349999999999999</v>
      </c>
      <c r="O31" s="152">
        <v>3.23</v>
      </c>
      <c r="P31" s="152" t="s">
        <v>1327</v>
      </c>
      <c r="Q31" s="152">
        <v>3.23</v>
      </c>
      <c r="R31" s="152" t="s">
        <v>1327</v>
      </c>
      <c r="S31" s="152">
        <v>105.97504499999999</v>
      </c>
      <c r="T31" s="152">
        <v>1.261781</v>
      </c>
      <c r="U31" s="152">
        <v>10.600804999999999</v>
      </c>
      <c r="V31" s="152">
        <v>136.08980600000001</v>
      </c>
      <c r="W31" s="152">
        <v>1000</v>
      </c>
      <c r="X31" s="152" t="s">
        <v>23</v>
      </c>
      <c r="Y31" s="152" t="s">
        <v>1328</v>
      </c>
      <c r="Z31" s="152" t="s">
        <v>1327</v>
      </c>
    </row>
    <row r="32" spans="1:26" x14ac:dyDescent="0.2">
      <c r="A32" s="152" t="s">
        <v>1344</v>
      </c>
      <c r="B32" s="152">
        <v>3.4</v>
      </c>
      <c r="C32" s="151">
        <v>49843</v>
      </c>
      <c r="D32" s="152">
        <v>17.657533999999998</v>
      </c>
      <c r="E32" s="152" t="s">
        <v>1325</v>
      </c>
      <c r="F32" s="152" t="s">
        <v>1326</v>
      </c>
      <c r="G32" s="152"/>
      <c r="H32" s="152"/>
      <c r="I32" s="151">
        <v>43397</v>
      </c>
      <c r="J32" s="152">
        <v>3.31</v>
      </c>
      <c r="K32" s="151">
        <v>43397</v>
      </c>
      <c r="L32" s="152">
        <v>3.32</v>
      </c>
      <c r="M32" s="152">
        <v>3.33</v>
      </c>
      <c r="N32" s="152">
        <v>3.3</v>
      </c>
      <c r="O32" s="152">
        <v>3.31</v>
      </c>
      <c r="P32" s="152" t="s">
        <v>1327</v>
      </c>
      <c r="Q32" s="152">
        <v>3.31</v>
      </c>
      <c r="R32" s="152" t="s">
        <v>1327</v>
      </c>
      <c r="S32" s="152">
        <v>101.188012</v>
      </c>
      <c r="T32" s="152">
        <v>1.2109589999999999</v>
      </c>
      <c r="U32" s="152">
        <v>13.067983</v>
      </c>
      <c r="V32" s="152">
        <v>211.056703</v>
      </c>
      <c r="W32" s="152">
        <v>1000</v>
      </c>
      <c r="X32" s="152" t="s">
        <v>23</v>
      </c>
      <c r="Y32" s="152" t="s">
        <v>1328</v>
      </c>
      <c r="Z32" s="152" t="s">
        <v>1327</v>
      </c>
    </row>
    <row r="33" spans="1:26" x14ac:dyDescent="0.2">
      <c r="A33" s="152" t="s">
        <v>1345</v>
      </c>
      <c r="B33" s="152">
        <v>5.5</v>
      </c>
      <c r="C33" s="151">
        <v>50477</v>
      </c>
      <c r="D33" s="152">
        <v>19.394521000000001</v>
      </c>
      <c r="E33" s="152" t="s">
        <v>1325</v>
      </c>
      <c r="F33" s="152" t="s">
        <v>1326</v>
      </c>
      <c r="G33" s="152"/>
      <c r="H33" s="152"/>
      <c r="I33" s="151">
        <v>42180</v>
      </c>
      <c r="J33" s="152">
        <v>3.72</v>
      </c>
      <c r="K33" s="151">
        <v>41642</v>
      </c>
      <c r="L33" s="152">
        <v>4.3875000000000002</v>
      </c>
      <c r="M33" s="152">
        <v>4.55</v>
      </c>
      <c r="N33" s="152">
        <v>4.2699999999999996</v>
      </c>
      <c r="O33" s="152">
        <v>3.308948</v>
      </c>
      <c r="P33" s="152" t="s">
        <v>1327</v>
      </c>
      <c r="Q33" s="152">
        <v>3.308948</v>
      </c>
      <c r="R33" s="152" t="s">
        <v>1327</v>
      </c>
      <c r="S33" s="152">
        <v>131.18125599999999</v>
      </c>
      <c r="T33" s="152">
        <v>0.63287700000000002</v>
      </c>
      <c r="U33" s="152">
        <v>12.865570999999999</v>
      </c>
      <c r="V33" s="152">
        <v>215.61595</v>
      </c>
      <c r="W33" s="152">
        <v>1000</v>
      </c>
      <c r="X33" s="152" t="s">
        <v>23</v>
      </c>
      <c r="Y33" s="152" t="s">
        <v>1328</v>
      </c>
      <c r="Z33" s="152" t="s">
        <v>1327</v>
      </c>
    </row>
    <row r="34" spans="1:26" x14ac:dyDescent="0.2">
      <c r="A34" s="152" t="s">
        <v>1346</v>
      </c>
      <c r="B34" s="152">
        <v>5</v>
      </c>
      <c r="C34" s="151">
        <v>50934</v>
      </c>
      <c r="D34" s="152">
        <v>20.646574999999999</v>
      </c>
      <c r="E34" s="152" t="s">
        <v>1325</v>
      </c>
      <c r="F34" s="152" t="s">
        <v>1326</v>
      </c>
      <c r="G34" s="152"/>
      <c r="H34" s="152"/>
      <c r="I34" s="151">
        <v>42179</v>
      </c>
      <c r="J34" s="152">
        <v>3.73</v>
      </c>
      <c r="K34" s="151">
        <v>41642</v>
      </c>
      <c r="L34" s="152">
        <v>4.4249999999999998</v>
      </c>
      <c r="M34" s="152">
        <v>4.55</v>
      </c>
      <c r="N34" s="152">
        <v>4.32</v>
      </c>
      <c r="O34" s="152">
        <v>3.3509609999999999</v>
      </c>
      <c r="P34" s="152" t="s">
        <v>1327</v>
      </c>
      <c r="Q34" s="152">
        <v>3.3509609999999999</v>
      </c>
      <c r="R34" s="152" t="s">
        <v>1327</v>
      </c>
      <c r="S34" s="152">
        <v>124.411025</v>
      </c>
      <c r="T34" s="152">
        <v>1.8356159999999999</v>
      </c>
      <c r="U34" s="152">
        <v>13.519838</v>
      </c>
      <c r="V34" s="152">
        <v>240.74480800000001</v>
      </c>
      <c r="W34" s="152">
        <v>1000</v>
      </c>
      <c r="X34" s="152" t="s">
        <v>23</v>
      </c>
      <c r="Y34" s="152" t="s">
        <v>1328</v>
      </c>
      <c r="Z34" s="152" t="s">
        <v>1327</v>
      </c>
    </row>
    <row r="35" spans="1:26" x14ac:dyDescent="0.2">
      <c r="A35" s="152" t="s">
        <v>1347</v>
      </c>
      <c r="B35" s="152">
        <v>5</v>
      </c>
      <c r="C35" s="151">
        <v>51309</v>
      </c>
      <c r="D35" s="152">
        <v>21.673973</v>
      </c>
      <c r="E35" s="152" t="s">
        <v>1325</v>
      </c>
      <c r="F35" s="152" t="s">
        <v>1326</v>
      </c>
      <c r="G35" s="152"/>
      <c r="H35" s="152"/>
      <c r="I35" s="151">
        <v>42698</v>
      </c>
      <c r="J35" s="152">
        <v>3.12</v>
      </c>
      <c r="K35" s="151">
        <v>41642</v>
      </c>
      <c r="L35" s="152">
        <v>4.4512499999999999</v>
      </c>
      <c r="M35" s="152">
        <v>4.55</v>
      </c>
      <c r="N35" s="152">
        <v>4.41</v>
      </c>
      <c r="O35" s="152">
        <v>3.3805960000000002</v>
      </c>
      <c r="P35" s="152" t="s">
        <v>1327</v>
      </c>
      <c r="Q35" s="152">
        <v>3.3805960000000002</v>
      </c>
      <c r="R35" s="152" t="s">
        <v>1327</v>
      </c>
      <c r="S35" s="152">
        <v>124.716019</v>
      </c>
      <c r="T35" s="152">
        <v>1.712329</v>
      </c>
      <c r="U35" s="152">
        <v>13.959828</v>
      </c>
      <c r="V35" s="152">
        <v>258.55305900000002</v>
      </c>
      <c r="W35" s="152">
        <v>1000</v>
      </c>
      <c r="X35" s="152" t="s">
        <v>23</v>
      </c>
      <c r="Y35" s="152" t="s">
        <v>1328</v>
      </c>
      <c r="Z35" s="152" t="s">
        <v>1327</v>
      </c>
    </row>
    <row r="36" spans="1:26" x14ac:dyDescent="0.2">
      <c r="A36" s="152" t="s">
        <v>1348</v>
      </c>
      <c r="B36" s="152">
        <v>3.8</v>
      </c>
      <c r="C36" s="151">
        <v>51666</v>
      </c>
      <c r="D36" s="152">
        <v>22.652055000000001</v>
      </c>
      <c r="E36" s="152" t="s">
        <v>1325</v>
      </c>
      <c r="F36" s="152" t="s">
        <v>1326</v>
      </c>
      <c r="G36" s="152"/>
      <c r="H36" s="152"/>
      <c r="I36" s="151">
        <v>43343</v>
      </c>
      <c r="J36" s="152">
        <v>3.31</v>
      </c>
      <c r="K36" s="151">
        <v>43397</v>
      </c>
      <c r="L36" s="152">
        <v>3.4284309999999998</v>
      </c>
      <c r="M36" s="152">
        <v>3.47</v>
      </c>
      <c r="N36" s="152">
        <v>3.4</v>
      </c>
      <c r="O36" s="152">
        <v>3.4284309999999998</v>
      </c>
      <c r="P36" s="152" t="s">
        <v>1327</v>
      </c>
      <c r="Q36" s="152">
        <v>3.4284309999999998</v>
      </c>
      <c r="R36" s="152" t="s">
        <v>1327</v>
      </c>
      <c r="S36" s="152">
        <v>105.808948</v>
      </c>
      <c r="T36" s="152">
        <v>1.3846579999999999</v>
      </c>
      <c r="U36" s="152">
        <v>15.14701</v>
      </c>
      <c r="V36" s="152">
        <v>298.79542400000003</v>
      </c>
      <c r="W36" s="152">
        <v>1000</v>
      </c>
      <c r="X36" s="152" t="s">
        <v>23</v>
      </c>
      <c r="Y36" s="152" t="s">
        <v>1328</v>
      </c>
      <c r="Z36" s="152" t="s">
        <v>1327</v>
      </c>
    </row>
    <row r="37" spans="1:26" x14ac:dyDescent="0.2">
      <c r="A37" s="152" t="s">
        <v>1349</v>
      </c>
      <c r="B37" s="152">
        <v>4.6749999999999998</v>
      </c>
      <c r="C37" s="151">
        <v>52777</v>
      </c>
      <c r="D37" s="152">
        <v>25.695889999999999</v>
      </c>
      <c r="E37" s="152" t="s">
        <v>1325</v>
      </c>
      <c r="F37" s="152" t="s">
        <v>1326</v>
      </c>
      <c r="G37" s="152"/>
      <c r="H37" s="152"/>
      <c r="I37" s="151">
        <v>43385</v>
      </c>
      <c r="J37" s="152">
        <v>3.32</v>
      </c>
      <c r="K37" s="151">
        <v>43397</v>
      </c>
      <c r="L37" s="152">
        <v>3.4240979999999999</v>
      </c>
      <c r="M37" s="152">
        <v>3.47</v>
      </c>
      <c r="N37" s="152">
        <v>3.35</v>
      </c>
      <c r="O37" s="152">
        <v>3.4240979999999999</v>
      </c>
      <c r="P37" s="152" t="s">
        <v>1327</v>
      </c>
      <c r="Q37" s="152">
        <v>3.4240979999999999</v>
      </c>
      <c r="R37" s="152" t="s">
        <v>1327</v>
      </c>
      <c r="S37" s="152">
        <v>121.243623</v>
      </c>
      <c r="T37" s="152">
        <v>1.5113700000000001</v>
      </c>
      <c r="U37" s="152">
        <v>15.75747</v>
      </c>
      <c r="V37" s="152">
        <v>337.09493500000002</v>
      </c>
      <c r="W37" s="152">
        <v>1000</v>
      </c>
      <c r="X37" s="152" t="s">
        <v>23</v>
      </c>
      <c r="Y37" s="152" t="s">
        <v>1328</v>
      </c>
      <c r="Z37" s="152" t="s">
        <v>1327</v>
      </c>
    </row>
    <row r="38" spans="1:26" x14ac:dyDescent="0.2">
      <c r="A38" s="152" t="s">
        <v>1350</v>
      </c>
      <c r="B38" s="152">
        <v>2.875</v>
      </c>
      <c r="C38" s="151">
        <v>53495</v>
      </c>
      <c r="D38" s="152">
        <v>27.663014</v>
      </c>
      <c r="E38" s="152" t="s">
        <v>1325</v>
      </c>
      <c r="F38" s="152" t="s">
        <v>1326</v>
      </c>
      <c r="G38" s="152"/>
      <c r="H38" s="152"/>
      <c r="I38" s="151">
        <v>43368</v>
      </c>
      <c r="J38" s="152">
        <v>3.32</v>
      </c>
      <c r="K38" s="151">
        <v>43397</v>
      </c>
      <c r="L38" s="152">
        <v>3.430609</v>
      </c>
      <c r="M38" s="152">
        <v>3.45</v>
      </c>
      <c r="N38" s="152">
        <v>3.4</v>
      </c>
      <c r="O38" s="152">
        <v>3.430609</v>
      </c>
      <c r="P38" s="152" t="s">
        <v>1327</v>
      </c>
      <c r="Q38" s="152">
        <v>3.430609</v>
      </c>
      <c r="R38" s="152" t="s">
        <v>1327</v>
      </c>
      <c r="S38" s="152">
        <v>90.122112000000001</v>
      </c>
      <c r="T38" s="152">
        <v>1.023973</v>
      </c>
      <c r="U38" s="152">
        <v>18.222386</v>
      </c>
      <c r="V38" s="152">
        <v>435.64438999999999</v>
      </c>
      <c r="W38" s="152">
        <v>1000</v>
      </c>
      <c r="X38" s="152" t="s">
        <v>23</v>
      </c>
      <c r="Y38" s="152" t="s">
        <v>1328</v>
      </c>
      <c r="Z38" s="152" t="s">
        <v>1327</v>
      </c>
    </row>
    <row r="39" spans="1:26" x14ac:dyDescent="0.2">
      <c r="A39" s="152" t="s">
        <v>1351</v>
      </c>
      <c r="B39" s="152">
        <v>4.8499999999999996</v>
      </c>
      <c r="C39" s="151">
        <v>58974</v>
      </c>
      <c r="D39" s="152">
        <v>42.673972999999997</v>
      </c>
      <c r="E39" s="152" t="s">
        <v>1325</v>
      </c>
      <c r="F39" s="152" t="s">
        <v>1326</v>
      </c>
      <c r="G39" s="152"/>
      <c r="H39" s="152"/>
      <c r="I39" s="151">
        <v>43371</v>
      </c>
      <c r="J39" s="152">
        <v>3.68</v>
      </c>
      <c r="K39" s="151">
        <v>43397</v>
      </c>
      <c r="L39" s="152">
        <v>3.724529</v>
      </c>
      <c r="M39" s="152">
        <v>3.74</v>
      </c>
      <c r="N39" s="152">
        <v>3.65</v>
      </c>
      <c r="O39" s="152">
        <v>3.724529</v>
      </c>
      <c r="P39" s="152" t="s">
        <v>1327</v>
      </c>
      <c r="Q39" s="152">
        <v>3.724529</v>
      </c>
      <c r="R39" s="152" t="s">
        <v>1327</v>
      </c>
      <c r="S39" s="152">
        <v>123.94325000000001</v>
      </c>
      <c r="T39" s="152">
        <v>1.7273970000000001</v>
      </c>
      <c r="U39" s="152">
        <v>19.96855</v>
      </c>
      <c r="V39" s="152">
        <v>613.05752800000005</v>
      </c>
      <c r="W39" s="152">
        <v>1000</v>
      </c>
      <c r="X39" s="152" t="s">
        <v>23</v>
      </c>
      <c r="Y39" s="152" t="s">
        <v>1328</v>
      </c>
      <c r="Z39" s="152" t="s">
        <v>1327</v>
      </c>
    </row>
    <row r="40" spans="1:26" x14ac:dyDescent="0.2">
      <c r="A40" s="152" t="s">
        <v>1352</v>
      </c>
      <c r="B40" s="152">
        <v>4</v>
      </c>
      <c r="C40" s="151">
        <v>60800</v>
      </c>
      <c r="D40" s="152">
        <v>47.676712000000002</v>
      </c>
      <c r="E40" s="152" t="s">
        <v>1325</v>
      </c>
      <c r="F40" s="152" t="s">
        <v>1326</v>
      </c>
      <c r="G40" s="152"/>
      <c r="H40" s="152"/>
      <c r="I40" s="151">
        <v>43395</v>
      </c>
      <c r="J40" s="152">
        <v>3.75</v>
      </c>
      <c r="K40" s="151">
        <v>43397</v>
      </c>
      <c r="L40" s="152">
        <v>3.75678</v>
      </c>
      <c r="M40" s="152">
        <v>3.8</v>
      </c>
      <c r="N40" s="152">
        <v>3.72</v>
      </c>
      <c r="O40" s="152">
        <v>3.75678</v>
      </c>
      <c r="P40" s="152" t="s">
        <v>1327</v>
      </c>
      <c r="Q40" s="152">
        <v>3.75678</v>
      </c>
      <c r="R40" s="152" t="s">
        <v>1327</v>
      </c>
      <c r="S40" s="152">
        <v>105.365736</v>
      </c>
      <c r="T40" s="152">
        <v>1.424658</v>
      </c>
      <c r="U40" s="152">
        <v>21.553739</v>
      </c>
      <c r="V40" s="152">
        <v>728.86205800000005</v>
      </c>
      <c r="W40" s="152">
        <v>1000</v>
      </c>
      <c r="X40" s="152" t="s">
        <v>23</v>
      </c>
      <c r="Y40" s="152" t="s">
        <v>1328</v>
      </c>
      <c r="Z40" s="152" t="s">
        <v>1327</v>
      </c>
    </row>
    <row r="41" spans="1:26" x14ac:dyDescent="0.2">
      <c r="A41" s="152" t="s">
        <v>1353</v>
      </c>
      <c r="B41" s="152">
        <v>3.6</v>
      </c>
      <c r="C41" s="151">
        <v>61165</v>
      </c>
      <c r="D41" s="152">
        <v>48.676712000000002</v>
      </c>
      <c r="E41" s="152" t="s">
        <v>1325</v>
      </c>
      <c r="F41" s="152" t="s">
        <v>1326</v>
      </c>
      <c r="G41" s="152"/>
      <c r="H41" s="152"/>
      <c r="I41" s="151">
        <v>43397</v>
      </c>
      <c r="J41" s="152">
        <v>3.8</v>
      </c>
      <c r="K41" s="151">
        <v>43397</v>
      </c>
      <c r="L41" s="152">
        <v>3.8439269999999999</v>
      </c>
      <c r="M41" s="152">
        <v>3.87</v>
      </c>
      <c r="N41" s="152">
        <v>3.8</v>
      </c>
      <c r="O41" s="152">
        <v>3.8</v>
      </c>
      <c r="P41" s="152" t="s">
        <v>1327</v>
      </c>
      <c r="Q41" s="152">
        <v>3.8</v>
      </c>
      <c r="R41" s="152" t="s">
        <v>1327</v>
      </c>
      <c r="S41" s="152">
        <v>95.571704999999994</v>
      </c>
      <c r="T41" s="152">
        <v>1.282192</v>
      </c>
      <c r="U41" s="152">
        <v>22.032879999999999</v>
      </c>
      <c r="V41" s="152">
        <v>763.97451599999999</v>
      </c>
      <c r="W41" s="152">
        <v>1000</v>
      </c>
      <c r="X41" s="152" t="s">
        <v>23</v>
      </c>
      <c r="Y41" s="152" t="s">
        <v>1328</v>
      </c>
      <c r="Z41" s="152" t="s">
        <v>1327</v>
      </c>
    </row>
    <row r="42" spans="1:26" x14ac:dyDescent="0.2">
      <c r="A42" s="152" t="s">
        <v>1354</v>
      </c>
      <c r="B42" s="152">
        <v>4.26</v>
      </c>
      <c r="C42" s="151">
        <v>50386</v>
      </c>
      <c r="D42" s="152">
        <v>19.145205000000001</v>
      </c>
      <c r="E42" s="152" t="s">
        <v>1355</v>
      </c>
      <c r="F42" s="152" t="s">
        <v>1326</v>
      </c>
      <c r="G42" s="152"/>
      <c r="H42" s="152"/>
      <c r="I42" s="151">
        <v>43395</v>
      </c>
      <c r="J42" s="152">
        <v>3.39</v>
      </c>
      <c r="K42" s="151">
        <v>43397</v>
      </c>
      <c r="L42" s="152">
        <v>3.3899689999999998</v>
      </c>
      <c r="M42" s="152">
        <v>3.45</v>
      </c>
      <c r="N42" s="152">
        <v>3.27</v>
      </c>
      <c r="O42" s="152">
        <v>3.3899689999999998</v>
      </c>
      <c r="P42" s="152" t="s">
        <v>1327</v>
      </c>
      <c r="Q42" s="152">
        <v>3.3899689999999998</v>
      </c>
      <c r="R42" s="152" t="s">
        <v>1327</v>
      </c>
      <c r="S42" s="152">
        <v>111.253958</v>
      </c>
      <c r="T42" s="152">
        <v>1.5756159999999999</v>
      </c>
      <c r="U42" s="152">
        <v>12.218088</v>
      </c>
      <c r="V42" s="152">
        <v>189.457888</v>
      </c>
      <c r="W42" s="152">
        <v>1000</v>
      </c>
      <c r="X42" s="152" t="s">
        <v>23</v>
      </c>
      <c r="Y42" s="152" t="s">
        <v>1328</v>
      </c>
      <c r="Z42" s="152" t="s">
        <v>1327</v>
      </c>
    </row>
    <row r="43" spans="1:26" x14ac:dyDescent="0.2">
      <c r="A43" s="152" t="s">
        <v>1356</v>
      </c>
      <c r="B43" s="152">
        <v>2</v>
      </c>
      <c r="C43" s="151">
        <v>43812</v>
      </c>
      <c r="D43" s="152">
        <v>1.134247</v>
      </c>
      <c r="E43" s="152" t="s">
        <v>1325</v>
      </c>
      <c r="F43" s="152" t="s">
        <v>1326</v>
      </c>
      <c r="G43" s="152"/>
      <c r="H43" s="152"/>
      <c r="I43" s="151">
        <v>43042</v>
      </c>
      <c r="J43" s="152">
        <v>1.5</v>
      </c>
      <c r="K43" s="151">
        <v>43397</v>
      </c>
      <c r="L43" s="152">
        <v>1.838263</v>
      </c>
      <c r="M43" s="152" t="s">
        <v>1327</v>
      </c>
      <c r="N43" s="152" t="s">
        <v>1327</v>
      </c>
      <c r="O43" s="152">
        <v>1.838263</v>
      </c>
      <c r="P43" s="152" t="s">
        <v>1327</v>
      </c>
      <c r="Q43" s="152">
        <v>1.838263</v>
      </c>
      <c r="R43" s="152" t="s">
        <v>1327</v>
      </c>
      <c r="S43" s="152">
        <v>100.17709000000001</v>
      </c>
      <c r="T43" s="152">
        <v>0.73424699999999998</v>
      </c>
      <c r="U43" s="152">
        <v>1.1092679999999999</v>
      </c>
      <c r="V43" s="152">
        <v>1.791954</v>
      </c>
      <c r="W43" s="152">
        <v>1000</v>
      </c>
      <c r="X43" s="152" t="s">
        <v>23</v>
      </c>
      <c r="Y43" s="152" t="s">
        <v>1328</v>
      </c>
      <c r="Z43" s="152" t="s">
        <v>1327</v>
      </c>
    </row>
    <row r="44" spans="1:26" x14ac:dyDescent="0.2">
      <c r="A44" s="152" t="s">
        <v>1357</v>
      </c>
      <c r="B44" s="152">
        <v>1.85</v>
      </c>
      <c r="C44" s="151">
        <v>44162</v>
      </c>
      <c r="D44" s="152">
        <v>2.0931510000000002</v>
      </c>
      <c r="E44" s="152" t="s">
        <v>1325</v>
      </c>
      <c r="F44" s="152" t="s">
        <v>1326</v>
      </c>
      <c r="G44" s="152"/>
      <c r="H44" s="152"/>
      <c r="I44" s="151" t="s">
        <v>1327</v>
      </c>
      <c r="J44" s="152" t="s">
        <v>1327</v>
      </c>
      <c r="K44" s="151">
        <v>43397</v>
      </c>
      <c r="L44" s="152">
        <v>2.019215</v>
      </c>
      <c r="M44" s="152" t="s">
        <v>1327</v>
      </c>
      <c r="N44" s="152" t="s">
        <v>1327</v>
      </c>
      <c r="O44" s="152">
        <v>2.019215</v>
      </c>
      <c r="P44" s="152" t="s">
        <v>1327</v>
      </c>
      <c r="Q44" s="152">
        <v>2.019215</v>
      </c>
      <c r="R44" s="152" t="s">
        <v>1327</v>
      </c>
      <c r="S44" s="152">
        <v>99.647041999999999</v>
      </c>
      <c r="T44" s="152">
        <v>0.76534199999999997</v>
      </c>
      <c r="U44" s="152">
        <v>2.0244529999999998</v>
      </c>
      <c r="V44" s="152">
        <v>5.1656310000000003</v>
      </c>
      <c r="W44" s="152">
        <v>1000</v>
      </c>
      <c r="X44" s="152" t="s">
        <v>23</v>
      </c>
      <c r="Y44" s="152" t="s">
        <v>1328</v>
      </c>
      <c r="Z44" s="152" t="s">
        <v>1327</v>
      </c>
    </row>
    <row r="45" spans="1:26" x14ac:dyDescent="0.2">
      <c r="A45" s="152" t="s">
        <v>1358</v>
      </c>
      <c r="B45" s="152">
        <v>4.25</v>
      </c>
      <c r="C45" s="151">
        <v>44392</v>
      </c>
      <c r="D45" s="152">
        <v>2.7232880000000002</v>
      </c>
      <c r="E45" s="152" t="s">
        <v>1325</v>
      </c>
      <c r="F45" s="152" t="s">
        <v>1326</v>
      </c>
      <c r="G45" s="152"/>
      <c r="H45" s="152"/>
      <c r="I45" s="152">
        <v>43068</v>
      </c>
      <c r="J45" s="152">
        <v>1.7</v>
      </c>
      <c r="K45" s="151">
        <v>43397</v>
      </c>
      <c r="L45" s="152">
        <v>2.0993089999999999</v>
      </c>
      <c r="M45" s="152" t="s">
        <v>1327</v>
      </c>
      <c r="N45" s="152" t="s">
        <v>1327</v>
      </c>
      <c r="O45" s="152">
        <v>2.0993089999999999</v>
      </c>
      <c r="P45" s="152" t="s">
        <v>1327</v>
      </c>
      <c r="Q45" s="152">
        <v>2.0993089999999999</v>
      </c>
      <c r="R45" s="152" t="s">
        <v>1327</v>
      </c>
      <c r="S45" s="152">
        <v>105.646398</v>
      </c>
      <c r="T45" s="152">
        <v>1.1876709999999999</v>
      </c>
      <c r="U45" s="152">
        <v>2.5514350000000001</v>
      </c>
      <c r="V45" s="152">
        <v>8.0153730000000003</v>
      </c>
      <c r="W45" s="152">
        <v>1000</v>
      </c>
      <c r="X45" s="152" t="s">
        <v>23</v>
      </c>
      <c r="Y45" s="152" t="s">
        <v>1328</v>
      </c>
      <c r="Z45" s="152" t="s">
        <v>1327</v>
      </c>
    </row>
    <row r="46" spans="1:26" x14ac:dyDescent="0.2">
      <c r="A46" s="152" t="s">
        <v>1359</v>
      </c>
      <c r="B46" s="152">
        <v>2.46</v>
      </c>
      <c r="C46" s="151">
        <v>44519</v>
      </c>
      <c r="D46" s="152">
        <v>3.0712329999999999</v>
      </c>
      <c r="E46" s="152" t="s">
        <v>1325</v>
      </c>
      <c r="F46" s="152" t="s">
        <v>1326</v>
      </c>
      <c r="G46" s="152"/>
      <c r="H46" s="152"/>
      <c r="I46" s="151" t="s">
        <v>1327</v>
      </c>
      <c r="J46" s="152" t="s">
        <v>1327</v>
      </c>
      <c r="K46" s="151">
        <v>43397</v>
      </c>
      <c r="L46" s="152">
        <v>2.1435339999999998</v>
      </c>
      <c r="M46" s="152" t="s">
        <v>1327</v>
      </c>
      <c r="N46" s="152" t="s">
        <v>1327</v>
      </c>
      <c r="O46" s="152">
        <v>2.1435339999999998</v>
      </c>
      <c r="P46" s="152" t="s">
        <v>1327</v>
      </c>
      <c r="Q46" s="152">
        <v>2.1435339999999998</v>
      </c>
      <c r="R46" s="152" t="s">
        <v>1327</v>
      </c>
      <c r="S46" s="152">
        <v>100.932349</v>
      </c>
      <c r="T46" s="152">
        <v>4.0438000000000002E-2</v>
      </c>
      <c r="U46" s="152">
        <v>2.9390179999999999</v>
      </c>
      <c r="V46" s="152">
        <v>10.25548</v>
      </c>
      <c r="W46" s="152">
        <v>1000</v>
      </c>
      <c r="X46" s="152" t="s">
        <v>23</v>
      </c>
      <c r="Y46" s="152" t="s">
        <v>1328</v>
      </c>
      <c r="Z46" s="152" t="s">
        <v>1327</v>
      </c>
    </row>
    <row r="47" spans="1:26" x14ac:dyDescent="0.2">
      <c r="A47" s="152" t="s">
        <v>1360</v>
      </c>
      <c r="B47" s="152">
        <v>2.35</v>
      </c>
      <c r="C47" s="151">
        <v>44689</v>
      </c>
      <c r="D47" s="152">
        <v>3.5369860000000002</v>
      </c>
      <c r="E47" s="152" t="s">
        <v>1325</v>
      </c>
      <c r="F47" s="152" t="s">
        <v>1326</v>
      </c>
      <c r="G47" s="152"/>
      <c r="H47" s="152"/>
      <c r="I47" s="151">
        <v>43063</v>
      </c>
      <c r="J47" s="152">
        <v>1.9</v>
      </c>
      <c r="K47" s="151">
        <v>43397</v>
      </c>
      <c r="L47" s="152">
        <v>2.270578</v>
      </c>
      <c r="M47" s="152" t="s">
        <v>1327</v>
      </c>
      <c r="N47" s="152" t="s">
        <v>1327</v>
      </c>
      <c r="O47" s="152">
        <v>2.270578</v>
      </c>
      <c r="P47" s="152" t="s">
        <v>1327</v>
      </c>
      <c r="Q47" s="152">
        <v>2.270578</v>
      </c>
      <c r="R47" s="152" t="s">
        <v>1327</v>
      </c>
      <c r="S47" s="152">
        <v>100.269116</v>
      </c>
      <c r="T47" s="152">
        <v>-9.0136999999999995E-2</v>
      </c>
      <c r="U47" s="152">
        <v>3.3805610000000001</v>
      </c>
      <c r="V47" s="152">
        <v>13.339974</v>
      </c>
      <c r="W47" s="152">
        <v>1000</v>
      </c>
      <c r="X47" s="152" t="s">
        <v>23</v>
      </c>
      <c r="Y47" s="152" t="s">
        <v>1328</v>
      </c>
      <c r="Z47" s="152" t="s">
        <v>1327</v>
      </c>
    </row>
    <row r="48" spans="1:26" x14ac:dyDescent="0.2">
      <c r="A48" s="152" t="s">
        <v>1361</v>
      </c>
      <c r="B48" s="152">
        <v>2.15</v>
      </c>
      <c r="C48" s="151">
        <v>45056</v>
      </c>
      <c r="D48" s="152">
        <v>4.5424660000000001</v>
      </c>
      <c r="E48" s="152" t="s">
        <v>1325</v>
      </c>
      <c r="F48" s="152" t="s">
        <v>1326</v>
      </c>
      <c r="G48" s="152"/>
      <c r="H48" s="152"/>
      <c r="I48" s="152" t="s">
        <v>1327</v>
      </c>
      <c r="J48" s="152" t="s">
        <v>1327</v>
      </c>
      <c r="K48" s="151">
        <v>43397</v>
      </c>
      <c r="L48" s="152">
        <v>2.39438</v>
      </c>
      <c r="M48" s="152" t="s">
        <v>1327</v>
      </c>
      <c r="N48" s="152" t="s">
        <v>1327</v>
      </c>
      <c r="O48" s="152">
        <v>2.39438</v>
      </c>
      <c r="P48" s="152" t="s">
        <v>1327</v>
      </c>
      <c r="Q48" s="152">
        <v>2.39438</v>
      </c>
      <c r="R48" s="152" t="s">
        <v>1327</v>
      </c>
      <c r="S48" s="152">
        <v>98.954375999999996</v>
      </c>
      <c r="T48" s="152">
        <v>-9.4246999999999997E-2</v>
      </c>
      <c r="U48" s="152">
        <v>4.3043310000000004</v>
      </c>
      <c r="V48" s="152">
        <v>21.143749</v>
      </c>
      <c r="W48" s="152">
        <v>1000</v>
      </c>
      <c r="X48" s="152" t="s">
        <v>23</v>
      </c>
      <c r="Y48" s="152" t="s">
        <v>1328</v>
      </c>
      <c r="Z48" s="152" t="s">
        <v>1327</v>
      </c>
    </row>
    <row r="49" spans="1:26" x14ac:dyDescent="0.2">
      <c r="A49" s="152" t="s">
        <v>1362</v>
      </c>
      <c r="B49" s="152">
        <v>2.56</v>
      </c>
      <c r="C49" s="151">
        <v>45273</v>
      </c>
      <c r="D49" s="152">
        <v>5.1369860000000003</v>
      </c>
      <c r="E49" s="152" t="s">
        <v>1325</v>
      </c>
      <c r="F49" s="152" t="s">
        <v>1326</v>
      </c>
      <c r="G49" s="152"/>
      <c r="H49" s="152"/>
      <c r="I49" s="152">
        <v>43320</v>
      </c>
      <c r="J49" s="152">
        <v>2.48</v>
      </c>
      <c r="K49" s="151">
        <v>43397</v>
      </c>
      <c r="L49" s="152">
        <v>2.452855</v>
      </c>
      <c r="M49" s="152" t="s">
        <v>1327</v>
      </c>
      <c r="N49" s="152" t="s">
        <v>1327</v>
      </c>
      <c r="O49" s="152">
        <v>2.452855</v>
      </c>
      <c r="P49" s="152" t="s">
        <v>1327</v>
      </c>
      <c r="Q49" s="152">
        <v>2.452855</v>
      </c>
      <c r="R49" s="152" t="s">
        <v>1327</v>
      </c>
      <c r="S49" s="152">
        <v>100.508887</v>
      </c>
      <c r="T49" s="152">
        <v>0.939836</v>
      </c>
      <c r="U49" s="152">
        <v>4.7425139999999999</v>
      </c>
      <c r="V49" s="152">
        <v>25.876555</v>
      </c>
      <c r="W49" s="152">
        <v>1000</v>
      </c>
      <c r="X49" s="152" t="s">
        <v>23</v>
      </c>
      <c r="Y49" s="152" t="s">
        <v>1328</v>
      </c>
      <c r="Z49" s="152" t="s">
        <v>1327</v>
      </c>
    </row>
    <row r="50" spans="1:26" x14ac:dyDescent="0.2">
      <c r="A50" s="152" t="s">
        <v>1363</v>
      </c>
      <c r="B50" s="152">
        <v>4.75</v>
      </c>
      <c r="C50" s="151">
        <v>45488</v>
      </c>
      <c r="D50" s="152">
        <v>5.7260270000000002</v>
      </c>
      <c r="E50" s="152" t="s">
        <v>1325</v>
      </c>
      <c r="F50" s="152" t="s">
        <v>1326</v>
      </c>
      <c r="G50" s="152"/>
      <c r="H50" s="152"/>
      <c r="I50" s="152" t="s">
        <v>1327</v>
      </c>
      <c r="J50" s="152" t="s">
        <v>1327</v>
      </c>
      <c r="K50" s="151">
        <v>43397</v>
      </c>
      <c r="L50" s="152">
        <v>2.5142850000000001</v>
      </c>
      <c r="M50" s="152" t="s">
        <v>1327</v>
      </c>
      <c r="N50" s="152" t="s">
        <v>1327</v>
      </c>
      <c r="O50" s="152">
        <v>2.5142850000000001</v>
      </c>
      <c r="P50" s="152" t="s">
        <v>1327</v>
      </c>
      <c r="Q50" s="152">
        <v>2.5142850000000001</v>
      </c>
      <c r="R50" s="152" t="s">
        <v>1327</v>
      </c>
      <c r="S50" s="152">
        <v>111.827955</v>
      </c>
      <c r="T50" s="152">
        <v>1.3273969999999999</v>
      </c>
      <c r="U50" s="152">
        <v>5.0007590000000004</v>
      </c>
      <c r="V50" s="152">
        <v>29.550978000000001</v>
      </c>
      <c r="W50" s="152">
        <v>1000</v>
      </c>
      <c r="X50" s="152" t="s">
        <v>23</v>
      </c>
      <c r="Y50" s="152" t="s">
        <v>1328</v>
      </c>
      <c r="Z50" s="152" t="s">
        <v>1327</v>
      </c>
    </row>
    <row r="51" spans="1:26" x14ac:dyDescent="0.2">
      <c r="A51" s="152" t="s">
        <v>1364</v>
      </c>
      <c r="B51" s="152">
        <v>2.4500000000000002</v>
      </c>
      <c r="C51" s="151">
        <v>45623</v>
      </c>
      <c r="D51" s="152">
        <v>6.0958899999999998</v>
      </c>
      <c r="E51" s="152" t="s">
        <v>1325</v>
      </c>
      <c r="F51" s="152" t="s">
        <v>1326</v>
      </c>
      <c r="G51" s="152"/>
      <c r="H51" s="152"/>
      <c r="I51" s="152" t="s">
        <v>1327</v>
      </c>
      <c r="J51" s="152" t="s">
        <v>1327</v>
      </c>
      <c r="K51" s="151">
        <v>43397</v>
      </c>
      <c r="L51" s="152">
        <v>2.552899</v>
      </c>
      <c r="M51" s="152" t="s">
        <v>1327</v>
      </c>
      <c r="N51" s="152" t="s">
        <v>1327</v>
      </c>
      <c r="O51" s="152">
        <v>2.552899</v>
      </c>
      <c r="P51" s="152" t="s">
        <v>1327</v>
      </c>
      <c r="Q51" s="152">
        <v>2.552899</v>
      </c>
      <c r="R51" s="152" t="s">
        <v>1327</v>
      </c>
      <c r="S51" s="152">
        <v>99.411767999999995</v>
      </c>
      <c r="T51" s="152">
        <v>1.0135620000000001</v>
      </c>
      <c r="U51" s="152">
        <v>5.5659859999999997</v>
      </c>
      <c r="V51" s="152">
        <v>35.393197000000001</v>
      </c>
      <c r="W51" s="152">
        <v>1000</v>
      </c>
      <c r="X51" s="152" t="s">
        <v>23</v>
      </c>
      <c r="Y51" s="152" t="s">
        <v>1328</v>
      </c>
      <c r="Z51" s="152" t="s">
        <v>1327</v>
      </c>
    </row>
    <row r="52" spans="1:26" x14ac:dyDescent="0.2">
      <c r="A52" s="152" t="s">
        <v>1365</v>
      </c>
      <c r="B52" s="152">
        <v>3</v>
      </c>
      <c r="C52" s="151">
        <v>45980</v>
      </c>
      <c r="D52" s="152">
        <v>7.0739729999999996</v>
      </c>
      <c r="E52" s="152" t="s">
        <v>1325</v>
      </c>
      <c r="F52" s="152" t="s">
        <v>1326</v>
      </c>
      <c r="G52" s="152"/>
      <c r="H52" s="152"/>
      <c r="I52" s="151" t="s">
        <v>1327</v>
      </c>
      <c r="J52" s="152" t="s">
        <v>1327</v>
      </c>
      <c r="K52" s="151">
        <v>43397</v>
      </c>
      <c r="L52" s="152">
        <v>2.6550099999999999</v>
      </c>
      <c r="M52" s="152" t="s">
        <v>1327</v>
      </c>
      <c r="N52" s="152" t="s">
        <v>1327</v>
      </c>
      <c r="O52" s="152">
        <v>2.6550099999999999</v>
      </c>
      <c r="P52" s="152" t="s">
        <v>1327</v>
      </c>
      <c r="Q52" s="152">
        <v>2.6550099999999999</v>
      </c>
      <c r="R52" s="152" t="s">
        <v>1327</v>
      </c>
      <c r="S52" s="152">
        <v>102.20677999999999</v>
      </c>
      <c r="T52" s="152">
        <v>4.9314999999999998E-2</v>
      </c>
      <c r="U52" s="152">
        <v>6.3406960000000003</v>
      </c>
      <c r="V52" s="152">
        <v>45.807003999999999</v>
      </c>
      <c r="W52" s="152">
        <v>1000</v>
      </c>
      <c r="X52" s="152" t="s">
        <v>23</v>
      </c>
      <c r="Y52" s="152" t="s">
        <v>1328</v>
      </c>
      <c r="Z52" s="152" t="s">
        <v>1327</v>
      </c>
    </row>
    <row r="53" spans="1:26" x14ac:dyDescent="0.2">
      <c r="A53" s="152" t="s">
        <v>1366</v>
      </c>
      <c r="B53" s="152">
        <v>3</v>
      </c>
      <c r="C53" s="151">
        <v>46515</v>
      </c>
      <c r="D53" s="152">
        <v>8.5397259999999999</v>
      </c>
      <c r="E53" s="152" t="s">
        <v>1325</v>
      </c>
      <c r="F53" s="152" t="s">
        <v>1326</v>
      </c>
      <c r="G53" s="152"/>
      <c r="H53" s="152"/>
      <c r="I53" s="152">
        <v>43235</v>
      </c>
      <c r="J53" s="152">
        <v>2.8</v>
      </c>
      <c r="K53" s="151">
        <v>43397</v>
      </c>
      <c r="L53" s="152">
        <v>2.781104</v>
      </c>
      <c r="M53" s="152" t="s">
        <v>1327</v>
      </c>
      <c r="N53" s="152" t="s">
        <v>1327</v>
      </c>
      <c r="O53" s="152">
        <v>2.781104</v>
      </c>
      <c r="P53" s="152" t="s">
        <v>1327</v>
      </c>
      <c r="Q53" s="152">
        <v>2.781104</v>
      </c>
      <c r="R53" s="152" t="s">
        <v>1327</v>
      </c>
      <c r="S53" s="152">
        <v>101.654364</v>
      </c>
      <c r="T53" s="152">
        <v>-0.115068</v>
      </c>
      <c r="U53" s="152">
        <v>7.508953</v>
      </c>
      <c r="V53" s="152">
        <v>64.295658000000003</v>
      </c>
      <c r="W53" s="152">
        <v>1000</v>
      </c>
      <c r="X53" s="152" t="s">
        <v>23</v>
      </c>
      <c r="Y53" s="152" t="s">
        <v>1328</v>
      </c>
      <c r="Z53" s="152" t="s">
        <v>1327</v>
      </c>
    </row>
    <row r="54" spans="1:26" x14ac:dyDescent="0.2">
      <c r="A54" s="152" t="s">
        <v>1367</v>
      </c>
      <c r="B54" s="152">
        <v>3</v>
      </c>
      <c r="C54" s="151">
        <v>46883</v>
      </c>
      <c r="D54" s="152">
        <v>9.5479450000000003</v>
      </c>
      <c r="E54" s="152" t="s">
        <v>1325</v>
      </c>
      <c r="F54" s="152" t="s">
        <v>1326</v>
      </c>
      <c r="G54" s="152"/>
      <c r="H54" s="152"/>
      <c r="I54" s="151" t="s">
        <v>1327</v>
      </c>
      <c r="J54" s="152" t="s">
        <v>1327</v>
      </c>
      <c r="K54" s="151">
        <v>43397</v>
      </c>
      <c r="L54" s="152">
        <v>2.827674</v>
      </c>
      <c r="M54" s="152" t="s">
        <v>1327</v>
      </c>
      <c r="N54" s="152" t="s">
        <v>1327</v>
      </c>
      <c r="O54" s="152">
        <v>2.827674</v>
      </c>
      <c r="P54" s="152" t="s">
        <v>1327</v>
      </c>
      <c r="Q54" s="152">
        <v>2.827674</v>
      </c>
      <c r="R54" s="152" t="s">
        <v>1327</v>
      </c>
      <c r="S54" s="152">
        <v>101.433616</v>
      </c>
      <c r="T54" s="152">
        <v>-0.13150700000000001</v>
      </c>
      <c r="U54" s="152">
        <v>8.2732650000000003</v>
      </c>
      <c r="V54" s="152">
        <v>78.294927999999999</v>
      </c>
      <c r="W54" s="152">
        <v>1000</v>
      </c>
      <c r="X54" s="152" t="s">
        <v>23</v>
      </c>
      <c r="Y54" s="152" t="s">
        <v>1328</v>
      </c>
      <c r="Z54" s="152" t="s">
        <v>1327</v>
      </c>
    </row>
    <row r="55" spans="1:26" x14ac:dyDescent="0.2">
      <c r="A55" s="152" t="s">
        <v>1368</v>
      </c>
      <c r="B55" s="152">
        <v>2</v>
      </c>
      <c r="C55" s="151">
        <v>44328</v>
      </c>
      <c r="D55" s="152">
        <v>2.5479449999999999</v>
      </c>
      <c r="E55" s="152" t="s">
        <v>1325</v>
      </c>
      <c r="F55" s="152" t="s">
        <v>1326</v>
      </c>
      <c r="G55" s="152"/>
      <c r="H55" s="152"/>
      <c r="I55" s="152">
        <v>43157</v>
      </c>
      <c r="J55" s="152">
        <v>1.71</v>
      </c>
      <c r="K55" s="151">
        <v>43397</v>
      </c>
      <c r="L55" s="152">
        <v>2.0770219999999999</v>
      </c>
      <c r="M55" s="152" t="s">
        <v>1327</v>
      </c>
      <c r="N55" s="152" t="s">
        <v>1327</v>
      </c>
      <c r="O55" s="152">
        <v>2.0770219999999999</v>
      </c>
      <c r="P55" s="152" t="s">
        <v>1327</v>
      </c>
      <c r="Q55" s="152">
        <v>2.0770219999999999</v>
      </c>
      <c r="R55" s="152" t="s">
        <v>1327</v>
      </c>
      <c r="S55" s="152">
        <v>101.250647</v>
      </c>
      <c r="T55" s="152">
        <v>-9.8629999999999995E-2</v>
      </c>
      <c r="U55" s="152">
        <v>2.4669319999999999</v>
      </c>
      <c r="V55" s="152">
        <v>7.3835420000000003</v>
      </c>
      <c r="W55" s="152">
        <v>1000</v>
      </c>
      <c r="X55" s="152" t="s">
        <v>23</v>
      </c>
      <c r="Y55" s="152" t="s">
        <v>1328</v>
      </c>
      <c r="Z55" s="152" t="s">
        <v>1327</v>
      </c>
    </row>
    <row r="56" spans="1:26" x14ac:dyDescent="0.2">
      <c r="A56" s="152" t="s">
        <v>1369</v>
      </c>
      <c r="B56" s="152">
        <v>4</v>
      </c>
      <c r="C56" s="151">
        <v>45669</v>
      </c>
      <c r="D56" s="152">
        <v>6.2219179999999996</v>
      </c>
      <c r="E56" s="152" t="s">
        <v>1325</v>
      </c>
      <c r="F56" s="152" t="s">
        <v>1326</v>
      </c>
      <c r="G56" s="152"/>
      <c r="H56" s="152"/>
      <c r="I56" s="152" t="s">
        <v>1327</v>
      </c>
      <c r="J56" s="152" t="s">
        <v>1327</v>
      </c>
      <c r="K56" s="151">
        <v>43397</v>
      </c>
      <c r="L56" s="152">
        <v>2.5660560000000001</v>
      </c>
      <c r="M56" s="152" t="s">
        <v>1327</v>
      </c>
      <c r="N56" s="152" t="s">
        <v>1327</v>
      </c>
      <c r="O56" s="152">
        <v>2.5660560000000001</v>
      </c>
      <c r="P56" s="152" t="s">
        <v>1327</v>
      </c>
      <c r="Q56" s="152">
        <v>2.5660560000000001</v>
      </c>
      <c r="R56" s="152" t="s">
        <v>1327</v>
      </c>
      <c r="S56" s="152">
        <v>110.81526599999999</v>
      </c>
      <c r="T56" s="152">
        <v>1.150685</v>
      </c>
      <c r="U56" s="152">
        <v>5.4548730000000001</v>
      </c>
      <c r="V56" s="152">
        <v>34.758266999999996</v>
      </c>
      <c r="W56" s="152">
        <v>1000</v>
      </c>
      <c r="X56" s="152" t="s">
        <v>23</v>
      </c>
      <c r="Y56" s="152" t="s">
        <v>1328</v>
      </c>
      <c r="Z56" s="152" t="s">
        <v>1327</v>
      </c>
    </row>
    <row r="57" spans="1:26" x14ac:dyDescent="0.2">
      <c r="A57" s="152" t="s">
        <v>1370</v>
      </c>
      <c r="B57" s="152">
        <v>2.25</v>
      </c>
      <c r="C57" s="152">
        <v>46154</v>
      </c>
      <c r="D57" s="152">
        <v>7.5506849999999996</v>
      </c>
      <c r="E57" s="152" t="s">
        <v>1325</v>
      </c>
      <c r="F57" s="152" t="s">
        <v>1326</v>
      </c>
      <c r="G57" s="152"/>
      <c r="H57" s="152"/>
      <c r="I57" s="152" t="s">
        <v>1327</v>
      </c>
      <c r="J57" s="152" t="s">
        <v>1327</v>
      </c>
      <c r="K57" s="152">
        <v>43397</v>
      </c>
      <c r="L57" s="152">
        <v>2.7014019999999999</v>
      </c>
      <c r="M57" s="152" t="s">
        <v>1327</v>
      </c>
      <c r="N57" s="152" t="s">
        <v>1327</v>
      </c>
      <c r="O57" s="152">
        <v>2.7014019999999999</v>
      </c>
      <c r="P57" s="152" t="s">
        <v>1327</v>
      </c>
      <c r="Q57" s="152">
        <v>2.7014019999999999</v>
      </c>
      <c r="R57" s="152" t="s">
        <v>1327</v>
      </c>
      <c r="S57" s="152">
        <v>100.603099</v>
      </c>
      <c r="T57" s="152">
        <v>-0.110959</v>
      </c>
      <c r="U57" s="152">
        <v>6.8343090000000002</v>
      </c>
      <c r="V57" s="152">
        <v>52.549501999999997</v>
      </c>
      <c r="W57" s="152">
        <v>1000</v>
      </c>
      <c r="X57" s="152" t="s">
        <v>23</v>
      </c>
      <c r="Y57" s="152" t="s">
        <v>1328</v>
      </c>
      <c r="Z57" s="152" t="s">
        <v>1327</v>
      </c>
    </row>
    <row r="58" spans="1:26" x14ac:dyDescent="0.2">
      <c r="A58" s="152" t="s">
        <v>1371</v>
      </c>
      <c r="B58" s="152"/>
      <c r="C58" s="151"/>
      <c r="D58" s="152"/>
      <c r="E58" s="152"/>
      <c r="F58" s="152"/>
      <c r="G58" s="152"/>
      <c r="H58" s="152"/>
      <c r="I58" s="151"/>
      <c r="J58" s="152"/>
      <c r="K58" s="151"/>
      <c r="L58" s="152"/>
      <c r="M58" s="152"/>
      <c r="N58" s="152"/>
      <c r="O58" s="152"/>
      <c r="P58" s="152"/>
      <c r="Q58" s="152"/>
      <c r="R58" s="152"/>
      <c r="S58" s="152"/>
      <c r="T58" s="152"/>
      <c r="U58" s="152"/>
      <c r="V58" s="152"/>
      <c r="W58" s="152"/>
      <c r="X58" s="152"/>
      <c r="Y58" s="152"/>
      <c r="Z58" s="152"/>
    </row>
    <row r="59" spans="1:26" x14ac:dyDescent="0.2">
      <c r="A59" s="152" t="s">
        <v>523</v>
      </c>
      <c r="B59" s="152">
        <v>1.59</v>
      </c>
      <c r="C59" s="151">
        <v>43516</v>
      </c>
      <c r="D59" s="152">
        <v>0.32328800000000002</v>
      </c>
      <c r="E59" s="152" t="s">
        <v>1325</v>
      </c>
      <c r="F59" s="152" t="s">
        <v>1326</v>
      </c>
      <c r="G59" s="152"/>
      <c r="H59" s="152"/>
      <c r="I59" s="151">
        <v>43397</v>
      </c>
      <c r="J59" s="152">
        <v>1.7</v>
      </c>
      <c r="K59" s="151">
        <v>43397</v>
      </c>
      <c r="L59" s="152">
        <v>1.6997930000000001</v>
      </c>
      <c r="M59" s="152">
        <v>1.71</v>
      </c>
      <c r="N59" s="152">
        <v>1.62</v>
      </c>
      <c r="O59" s="152">
        <v>1.7</v>
      </c>
      <c r="P59" s="152">
        <v>7.8196870000000001</v>
      </c>
      <c r="Q59" s="152">
        <v>1.7</v>
      </c>
      <c r="R59" s="152" t="s">
        <v>1327</v>
      </c>
      <c r="S59" s="152">
        <v>99.957381999999996</v>
      </c>
      <c r="T59" s="152">
        <v>0.28750700000000001</v>
      </c>
      <c r="U59" s="152">
        <v>0.32056299999999999</v>
      </c>
      <c r="V59" s="152">
        <v>0.26169100000000001</v>
      </c>
      <c r="W59" s="152">
        <v>1000</v>
      </c>
      <c r="X59" s="152" t="s">
        <v>23</v>
      </c>
      <c r="Y59" s="152" t="s">
        <v>1328</v>
      </c>
      <c r="Z59" s="152" t="s">
        <v>1327</v>
      </c>
    </row>
    <row r="60" spans="1:26" x14ac:dyDescent="0.2">
      <c r="A60" s="152" t="s">
        <v>582</v>
      </c>
      <c r="B60" s="152">
        <v>1.5</v>
      </c>
      <c r="C60" s="151">
        <v>43545</v>
      </c>
      <c r="D60" s="152">
        <v>0.40273999999999999</v>
      </c>
      <c r="E60" s="152" t="s">
        <v>1325</v>
      </c>
      <c r="F60" s="152" t="s">
        <v>1326</v>
      </c>
      <c r="G60" s="152"/>
      <c r="H60" s="152"/>
      <c r="I60" s="151">
        <v>43397</v>
      </c>
      <c r="J60" s="152">
        <v>1.71</v>
      </c>
      <c r="K60" s="151">
        <v>43397</v>
      </c>
      <c r="L60" s="152">
        <v>1.7157979999999999</v>
      </c>
      <c r="M60" s="152">
        <v>1.7264710000000001</v>
      </c>
      <c r="N60" s="152">
        <v>1.641961</v>
      </c>
      <c r="O60" s="152">
        <v>1.71</v>
      </c>
      <c r="P60" s="152">
        <v>2.2643810000000002</v>
      </c>
      <c r="Q60" s="152">
        <v>1.71</v>
      </c>
      <c r="R60" s="152" t="s">
        <v>1327</v>
      </c>
      <c r="S60" s="152">
        <v>99.921736999999993</v>
      </c>
      <c r="T60" s="152">
        <v>0.13972599999999999</v>
      </c>
      <c r="U60" s="152">
        <v>0.39932499999999999</v>
      </c>
      <c r="V60" s="152">
        <v>0.357431</v>
      </c>
      <c r="W60" s="152">
        <v>1000</v>
      </c>
      <c r="X60" s="152" t="s">
        <v>23</v>
      </c>
      <c r="Y60" s="152" t="s">
        <v>1328</v>
      </c>
      <c r="Z60" s="152" t="s">
        <v>1327</v>
      </c>
    </row>
    <row r="61" spans="1:26" x14ac:dyDescent="0.2">
      <c r="A61" s="152" t="s">
        <v>1372</v>
      </c>
      <c r="B61" s="152">
        <v>1.49</v>
      </c>
      <c r="C61" s="151">
        <v>43705</v>
      </c>
      <c r="D61" s="152">
        <v>0.84109599999999995</v>
      </c>
      <c r="E61" s="152" t="s">
        <v>1325</v>
      </c>
      <c r="F61" s="152" t="s">
        <v>1326</v>
      </c>
      <c r="G61" s="152"/>
      <c r="H61" s="152"/>
      <c r="I61" s="151">
        <v>43397</v>
      </c>
      <c r="J61" s="152">
        <v>1.8149999999999999</v>
      </c>
      <c r="K61" s="151">
        <v>43397</v>
      </c>
      <c r="L61" s="152">
        <v>1.807253</v>
      </c>
      <c r="M61" s="152">
        <v>1.8205880000000001</v>
      </c>
      <c r="N61" s="152">
        <v>1.7674510000000001</v>
      </c>
      <c r="O61" s="152">
        <v>1.8149999999999999</v>
      </c>
      <c r="P61" s="152">
        <v>2.7809050000000002</v>
      </c>
      <c r="Q61" s="152">
        <v>1.8149999999999999</v>
      </c>
      <c r="R61" s="152" t="s">
        <v>1327</v>
      </c>
      <c r="S61" s="152">
        <v>99.721783000000002</v>
      </c>
      <c r="T61" s="152">
        <v>0.23676700000000001</v>
      </c>
      <c r="U61" s="152">
        <v>0.83393399999999995</v>
      </c>
      <c r="V61" s="152">
        <v>1.110468</v>
      </c>
      <c r="W61" s="152">
        <v>1000</v>
      </c>
      <c r="X61" s="152" t="s">
        <v>23</v>
      </c>
      <c r="Y61" s="152" t="s">
        <v>1328</v>
      </c>
      <c r="Z61" s="152" t="s">
        <v>1327</v>
      </c>
    </row>
    <row r="62" spans="1:26" x14ac:dyDescent="0.2">
      <c r="A62" s="152" t="s">
        <v>524</v>
      </c>
      <c r="B62" s="152">
        <v>1.65</v>
      </c>
      <c r="C62" s="151">
        <v>43720</v>
      </c>
      <c r="D62" s="152">
        <v>0.88219199999999998</v>
      </c>
      <c r="E62" s="152" t="s">
        <v>1325</v>
      </c>
      <c r="F62" s="152" t="s">
        <v>1326</v>
      </c>
      <c r="G62" s="152"/>
      <c r="H62" s="152"/>
      <c r="I62" s="151">
        <v>43397</v>
      </c>
      <c r="J62" s="152">
        <v>1.82</v>
      </c>
      <c r="K62" s="151">
        <v>43397</v>
      </c>
      <c r="L62" s="152">
        <v>1.8163990000000001</v>
      </c>
      <c r="M62" s="152">
        <v>1.83</v>
      </c>
      <c r="N62" s="152">
        <v>1.78</v>
      </c>
      <c r="O62" s="152">
        <v>1.82</v>
      </c>
      <c r="P62" s="152">
        <v>1.3505320000000001</v>
      </c>
      <c r="Q62" s="152">
        <v>1.82</v>
      </c>
      <c r="R62" s="152" t="s">
        <v>1327</v>
      </c>
      <c r="S62" s="152">
        <v>99.858669000000006</v>
      </c>
      <c r="T62" s="152">
        <v>0.194384</v>
      </c>
      <c r="U62" s="152">
        <v>0.86610600000000004</v>
      </c>
      <c r="V62" s="152">
        <v>1.181281</v>
      </c>
      <c r="W62" s="152">
        <v>1000</v>
      </c>
      <c r="X62" s="152" t="s">
        <v>23</v>
      </c>
      <c r="Y62" s="152" t="s">
        <v>1328</v>
      </c>
      <c r="Z62" s="152" t="s">
        <v>1327</v>
      </c>
    </row>
    <row r="63" spans="1:26" x14ac:dyDescent="0.2">
      <c r="A63" s="152" t="s">
        <v>1373</v>
      </c>
      <c r="B63" s="152">
        <v>1.48539</v>
      </c>
      <c r="C63" s="151">
        <v>43868</v>
      </c>
      <c r="D63" s="152">
        <v>1.287671</v>
      </c>
      <c r="E63" s="152" t="s">
        <v>1325</v>
      </c>
      <c r="F63" s="152" t="s">
        <v>1374</v>
      </c>
      <c r="G63" s="152"/>
      <c r="H63" s="152"/>
      <c r="I63" s="151">
        <v>43385</v>
      </c>
      <c r="J63" s="152">
        <v>1.55077</v>
      </c>
      <c r="K63" s="151">
        <v>43397</v>
      </c>
      <c r="L63" s="152">
        <v>1.6099300000000001</v>
      </c>
      <c r="M63" s="152">
        <v>1.6099300000000001</v>
      </c>
      <c r="N63" s="152">
        <v>1.5899300000000001</v>
      </c>
      <c r="O63" s="152">
        <v>1.6099300000000001</v>
      </c>
      <c r="P63" s="152">
        <v>0</v>
      </c>
      <c r="Q63" s="152">
        <v>1.6099300000000001</v>
      </c>
      <c r="R63" s="152">
        <v>0</v>
      </c>
      <c r="S63" s="152">
        <v>99.871934999999993</v>
      </c>
      <c r="T63" s="152">
        <v>0.32149499999999998</v>
      </c>
      <c r="U63" s="152">
        <v>3.4678E-2</v>
      </c>
      <c r="V63" s="152">
        <v>9.9810000000000003E-3</v>
      </c>
      <c r="W63" s="152">
        <v>1000</v>
      </c>
      <c r="X63" s="152" t="s">
        <v>23</v>
      </c>
      <c r="Y63" s="152" t="s">
        <v>1328</v>
      </c>
      <c r="Z63" s="152" t="s">
        <v>1327</v>
      </c>
    </row>
    <row r="64" spans="1:26" x14ac:dyDescent="0.2">
      <c r="A64" s="152" t="s">
        <v>624</v>
      </c>
      <c r="B64" s="152">
        <v>1.34</v>
      </c>
      <c r="C64" s="151">
        <v>43887</v>
      </c>
      <c r="D64" s="152">
        <v>1.339726</v>
      </c>
      <c r="E64" s="152" t="s">
        <v>1325</v>
      </c>
      <c r="F64" s="152" t="s">
        <v>1326</v>
      </c>
      <c r="G64" s="152"/>
      <c r="H64" s="152"/>
      <c r="I64" s="151">
        <v>43397</v>
      </c>
      <c r="J64" s="152">
        <v>1.93</v>
      </c>
      <c r="K64" s="151">
        <v>43397</v>
      </c>
      <c r="L64" s="152">
        <v>1.9298759999999999</v>
      </c>
      <c r="M64" s="152">
        <v>1.956396</v>
      </c>
      <c r="N64" s="152">
        <v>1.906396</v>
      </c>
      <c r="O64" s="152">
        <v>1.93</v>
      </c>
      <c r="P64" s="152">
        <v>5.4572240000000001</v>
      </c>
      <c r="Q64" s="152">
        <v>1.93</v>
      </c>
      <c r="R64" s="152" t="s">
        <v>1327</v>
      </c>
      <c r="S64" s="152">
        <v>99.217179000000002</v>
      </c>
      <c r="T64" s="152">
        <v>0.220274</v>
      </c>
      <c r="U64" s="152">
        <v>1.317008</v>
      </c>
      <c r="V64" s="152">
        <v>2.3948140000000002</v>
      </c>
      <c r="W64" s="152">
        <v>1000</v>
      </c>
      <c r="X64" s="152" t="s">
        <v>23</v>
      </c>
      <c r="Y64" s="152" t="s">
        <v>1328</v>
      </c>
      <c r="Z64" s="152" t="s">
        <v>1327</v>
      </c>
    </row>
    <row r="65" spans="1:26" x14ac:dyDescent="0.2">
      <c r="A65" s="152" t="s">
        <v>583</v>
      </c>
      <c r="B65" s="152">
        <v>1.77</v>
      </c>
      <c r="C65" s="151">
        <v>43917</v>
      </c>
      <c r="D65" s="152">
        <v>1.421918</v>
      </c>
      <c r="E65" s="152" t="s">
        <v>1325</v>
      </c>
      <c r="F65" s="152" t="s">
        <v>1326</v>
      </c>
      <c r="G65" s="152"/>
      <c r="H65" s="152"/>
      <c r="I65" s="151">
        <v>43397</v>
      </c>
      <c r="J65" s="152">
        <v>1.94</v>
      </c>
      <c r="K65" s="151">
        <v>43397</v>
      </c>
      <c r="L65" s="152">
        <v>1.951068</v>
      </c>
      <c r="M65" s="152">
        <v>1.98</v>
      </c>
      <c r="N65" s="152">
        <v>1.93</v>
      </c>
      <c r="O65" s="152">
        <v>1.94</v>
      </c>
      <c r="P65" s="152">
        <v>3.8005900000000001</v>
      </c>
      <c r="Q65" s="152">
        <v>1.94</v>
      </c>
      <c r="R65" s="152" t="s">
        <v>1327</v>
      </c>
      <c r="S65" s="152">
        <v>99.769857000000002</v>
      </c>
      <c r="T65" s="152">
        <v>0.13578100000000001</v>
      </c>
      <c r="U65" s="152">
        <v>1.3925320000000001</v>
      </c>
      <c r="V65" s="152">
        <v>2.6393070000000001</v>
      </c>
      <c r="W65" s="152">
        <v>1000</v>
      </c>
      <c r="X65" s="152" t="s">
        <v>23</v>
      </c>
      <c r="Y65" s="152" t="s">
        <v>1328</v>
      </c>
      <c r="Z65" s="152" t="s">
        <v>1327</v>
      </c>
    </row>
    <row r="66" spans="1:26" x14ac:dyDescent="0.2">
      <c r="A66" s="152" t="s">
        <v>1375</v>
      </c>
      <c r="B66" s="152">
        <v>1.61</v>
      </c>
      <c r="C66" s="151">
        <v>43972</v>
      </c>
      <c r="D66" s="152">
        <v>1.572603</v>
      </c>
      <c r="E66" s="152" t="s">
        <v>1325</v>
      </c>
      <c r="F66" s="152" t="s">
        <v>1326</v>
      </c>
      <c r="G66" s="152"/>
      <c r="H66" s="152"/>
      <c r="I66" s="151">
        <v>43395</v>
      </c>
      <c r="J66" s="152">
        <v>1.99</v>
      </c>
      <c r="K66" s="151">
        <v>43397</v>
      </c>
      <c r="L66" s="152">
        <v>1.9857610000000001</v>
      </c>
      <c r="M66" s="152">
        <v>2.0126369999999998</v>
      </c>
      <c r="N66" s="152">
        <v>1.95967</v>
      </c>
      <c r="O66" s="152">
        <v>1.9857610000000001</v>
      </c>
      <c r="P66" s="152">
        <v>4.8072530000000002</v>
      </c>
      <c r="Q66" s="152">
        <v>1.9857610000000001</v>
      </c>
      <c r="R66" s="152" t="s">
        <v>1327</v>
      </c>
      <c r="S66" s="152">
        <v>99.413417999999993</v>
      </c>
      <c r="T66" s="152">
        <v>0.69252100000000005</v>
      </c>
      <c r="U66" s="152">
        <v>1.534802</v>
      </c>
      <c r="V66" s="152">
        <v>3.1423510000000001</v>
      </c>
      <c r="W66" s="152">
        <v>1000</v>
      </c>
      <c r="X66" s="152" t="s">
        <v>23</v>
      </c>
      <c r="Y66" s="152" t="s">
        <v>1328</v>
      </c>
      <c r="Z66" s="152" t="s">
        <v>1327</v>
      </c>
    </row>
    <row r="67" spans="1:26" x14ac:dyDescent="0.2">
      <c r="A67" s="152" t="s">
        <v>757</v>
      </c>
      <c r="B67" s="152">
        <v>1.82</v>
      </c>
      <c r="C67" s="151">
        <v>44070</v>
      </c>
      <c r="D67" s="152">
        <v>1.8410960000000001</v>
      </c>
      <c r="E67" s="152" t="s">
        <v>1325</v>
      </c>
      <c r="F67" s="152" t="s">
        <v>1326</v>
      </c>
      <c r="G67" s="152"/>
      <c r="H67" s="152"/>
      <c r="I67" s="151">
        <v>43397</v>
      </c>
      <c r="J67" s="152">
        <v>2.06</v>
      </c>
      <c r="K67" s="151">
        <v>43397</v>
      </c>
      <c r="L67" s="152">
        <v>2.048721</v>
      </c>
      <c r="M67" s="152">
        <v>2.0718679999999998</v>
      </c>
      <c r="N67" s="152">
        <v>2.0135160000000001</v>
      </c>
      <c r="O67" s="152">
        <v>2.06</v>
      </c>
      <c r="P67" s="152">
        <v>6.5852180000000002</v>
      </c>
      <c r="Q67" s="152">
        <v>2.06</v>
      </c>
      <c r="R67" s="152" t="s">
        <v>1327</v>
      </c>
      <c r="S67" s="152">
        <v>99.559787</v>
      </c>
      <c r="T67" s="152">
        <v>0.29419200000000001</v>
      </c>
      <c r="U67" s="152">
        <v>1.7969919999999999</v>
      </c>
      <c r="V67" s="152">
        <v>4.1486999999999998</v>
      </c>
      <c r="W67" s="152">
        <v>1000</v>
      </c>
      <c r="X67" s="152" t="s">
        <v>23</v>
      </c>
      <c r="Y67" s="152" t="s">
        <v>1328</v>
      </c>
      <c r="Z67" s="152" t="s">
        <v>1327</v>
      </c>
    </row>
    <row r="68" spans="1:26" x14ac:dyDescent="0.2">
      <c r="A68" s="152" t="s">
        <v>525</v>
      </c>
      <c r="B68" s="152">
        <v>1.57</v>
      </c>
      <c r="C68" s="151">
        <v>44099</v>
      </c>
      <c r="D68" s="152">
        <v>1.9205479999999999</v>
      </c>
      <c r="E68" s="152" t="s">
        <v>1325</v>
      </c>
      <c r="F68" s="152" t="s">
        <v>1326</v>
      </c>
      <c r="G68" s="152"/>
      <c r="H68" s="152"/>
      <c r="I68" s="151">
        <v>43397</v>
      </c>
      <c r="J68" s="152">
        <v>2.08</v>
      </c>
      <c r="K68" s="151">
        <v>43397</v>
      </c>
      <c r="L68" s="152">
        <v>2.0679949999999998</v>
      </c>
      <c r="M68" s="152">
        <v>2.09</v>
      </c>
      <c r="N68" s="152">
        <v>2.0299999999999998</v>
      </c>
      <c r="O68" s="152">
        <v>2.08</v>
      </c>
      <c r="P68" s="152">
        <v>6.4937719999999999</v>
      </c>
      <c r="Q68" s="152">
        <v>2.08</v>
      </c>
      <c r="R68" s="152" t="s">
        <v>1327</v>
      </c>
      <c r="S68" s="152">
        <v>99.053899999999999</v>
      </c>
      <c r="T68" s="152">
        <v>0.12904099999999999</v>
      </c>
      <c r="U68" s="152">
        <v>1.8708610000000001</v>
      </c>
      <c r="V68" s="152">
        <v>4.4521730000000002</v>
      </c>
      <c r="W68" s="152">
        <v>1000</v>
      </c>
      <c r="X68" s="152" t="s">
        <v>23</v>
      </c>
      <c r="Y68" s="152" t="s">
        <v>1328</v>
      </c>
      <c r="Z68" s="152" t="s">
        <v>1327</v>
      </c>
    </row>
    <row r="69" spans="1:26" x14ac:dyDescent="0.2">
      <c r="A69" s="152" t="s">
        <v>1376</v>
      </c>
      <c r="B69" s="152">
        <v>1.62</v>
      </c>
      <c r="C69" s="151">
        <v>44267</v>
      </c>
      <c r="D69" s="152">
        <v>2.3808220000000002</v>
      </c>
      <c r="E69" s="152" t="s">
        <v>1325</v>
      </c>
      <c r="F69" s="152" t="s">
        <v>1326</v>
      </c>
      <c r="G69" s="152"/>
      <c r="H69" s="152"/>
      <c r="I69" s="151">
        <v>43397</v>
      </c>
      <c r="J69" s="152">
        <v>2.1549999999999998</v>
      </c>
      <c r="K69" s="151">
        <v>43397</v>
      </c>
      <c r="L69" s="152">
        <v>2.1711269999999998</v>
      </c>
      <c r="M69" s="152">
        <v>2.1800000000000002</v>
      </c>
      <c r="N69" s="152">
        <v>2.1549999999999998</v>
      </c>
      <c r="O69" s="152">
        <v>2.1549999999999998</v>
      </c>
      <c r="P69" s="152">
        <v>10.436998000000001</v>
      </c>
      <c r="Q69" s="152">
        <v>2.1549999999999998</v>
      </c>
      <c r="R69" s="152" t="s">
        <v>1327</v>
      </c>
      <c r="S69" s="152">
        <v>98.772101000000006</v>
      </c>
      <c r="T69" s="152">
        <v>0.19084899999999999</v>
      </c>
      <c r="U69" s="152">
        <v>2.3129960000000001</v>
      </c>
      <c r="V69" s="152">
        <v>6.5517190000000003</v>
      </c>
      <c r="W69" s="152">
        <v>1000</v>
      </c>
      <c r="X69" s="152" t="s">
        <v>23</v>
      </c>
      <c r="Y69" s="152" t="s">
        <v>1328</v>
      </c>
      <c r="Z69" s="152" t="s">
        <v>1327</v>
      </c>
    </row>
    <row r="70" spans="1:26" x14ac:dyDescent="0.2">
      <c r="A70" s="152" t="s">
        <v>1377</v>
      </c>
      <c r="B70" s="152">
        <v>2.09</v>
      </c>
      <c r="C70" s="151">
        <v>44463</v>
      </c>
      <c r="D70" s="152">
        <v>2.917808</v>
      </c>
      <c r="E70" s="152" t="s">
        <v>1325</v>
      </c>
      <c r="F70" s="152" t="s">
        <v>1326</v>
      </c>
      <c r="G70" s="152"/>
      <c r="H70" s="152"/>
      <c r="I70" s="151">
        <v>43395</v>
      </c>
      <c r="J70" s="152">
        <v>2.25</v>
      </c>
      <c r="K70" s="151">
        <v>43397</v>
      </c>
      <c r="L70" s="152">
        <v>2.2565189999999999</v>
      </c>
      <c r="M70" s="152">
        <v>2.27</v>
      </c>
      <c r="N70" s="152">
        <v>2.25</v>
      </c>
      <c r="O70" s="152">
        <v>2.2565189999999999</v>
      </c>
      <c r="P70" s="152">
        <v>14.876115</v>
      </c>
      <c r="Q70" s="152">
        <v>2.2565189999999999</v>
      </c>
      <c r="R70" s="152" t="s">
        <v>1327</v>
      </c>
      <c r="S70" s="152">
        <v>99.541121000000004</v>
      </c>
      <c r="T70" s="152">
        <v>0.177507</v>
      </c>
      <c r="U70" s="152">
        <v>2.8026119999999999</v>
      </c>
      <c r="V70" s="152">
        <v>9.3727459999999994</v>
      </c>
      <c r="W70" s="152">
        <v>1000</v>
      </c>
      <c r="X70" s="152" t="s">
        <v>23</v>
      </c>
      <c r="Y70" s="152" t="s">
        <v>1328</v>
      </c>
      <c r="Z70" s="152" t="s">
        <v>1327</v>
      </c>
    </row>
    <row r="71" spans="1:26" x14ac:dyDescent="0.2">
      <c r="A71" s="152" t="s">
        <v>299</v>
      </c>
      <c r="B71" s="152">
        <v>0</v>
      </c>
      <c r="C71" s="151">
        <v>43440</v>
      </c>
      <c r="D71" s="152">
        <v>0.115068</v>
      </c>
      <c r="E71" s="152" t="s">
        <v>1325</v>
      </c>
      <c r="F71" s="152" t="s">
        <v>1326</v>
      </c>
      <c r="G71" s="152"/>
      <c r="H71" s="152"/>
      <c r="I71" s="151">
        <v>43397</v>
      </c>
      <c r="J71" s="152">
        <v>1.5349999999999999</v>
      </c>
      <c r="K71" s="151">
        <v>43397</v>
      </c>
      <c r="L71" s="152">
        <v>1.3092379999999999</v>
      </c>
      <c r="M71" s="152" t="s">
        <v>1327</v>
      </c>
      <c r="N71" s="152" t="s">
        <v>1327</v>
      </c>
      <c r="O71" s="152">
        <v>1.5349999999999999</v>
      </c>
      <c r="P71" s="152" t="s">
        <v>1327</v>
      </c>
      <c r="Q71" s="152">
        <v>1.5349999999999999</v>
      </c>
      <c r="R71" s="152" t="s">
        <v>1327</v>
      </c>
      <c r="S71" s="152">
        <v>99.823680999999993</v>
      </c>
      <c r="T71" s="152">
        <v>0</v>
      </c>
      <c r="U71" s="152">
        <v>0.114866</v>
      </c>
      <c r="V71" s="152">
        <v>2.6388000000000002E-2</v>
      </c>
      <c r="W71" s="152">
        <v>1000</v>
      </c>
      <c r="X71" s="152" t="s">
        <v>23</v>
      </c>
      <c r="Y71" s="152" t="s">
        <v>1328</v>
      </c>
      <c r="Z71" s="152" t="s">
        <v>1327</v>
      </c>
    </row>
    <row r="72" spans="1:26" x14ac:dyDescent="0.2">
      <c r="A72" s="152" t="s">
        <v>1378</v>
      </c>
      <c r="B72" s="152">
        <v>0</v>
      </c>
      <c r="C72" s="151">
        <v>43440</v>
      </c>
      <c r="D72" s="152">
        <v>0.115068</v>
      </c>
      <c r="E72" s="152" t="s">
        <v>1325</v>
      </c>
      <c r="F72" s="152" t="s">
        <v>1326</v>
      </c>
      <c r="G72" s="152"/>
      <c r="H72" s="152"/>
      <c r="I72" s="151">
        <v>43397</v>
      </c>
      <c r="J72" s="152">
        <v>1.56</v>
      </c>
      <c r="K72" s="151">
        <v>43397</v>
      </c>
      <c r="L72" s="152">
        <v>1.3092379999999999</v>
      </c>
      <c r="M72" s="152" t="s">
        <v>1327</v>
      </c>
      <c r="N72" s="152" t="s">
        <v>1327</v>
      </c>
      <c r="O72" s="152">
        <v>1.56</v>
      </c>
      <c r="P72" s="152" t="s">
        <v>1327</v>
      </c>
      <c r="Q72" s="152">
        <v>1.56</v>
      </c>
      <c r="R72" s="152" t="s">
        <v>1327</v>
      </c>
      <c r="S72" s="152">
        <v>99.820814999999996</v>
      </c>
      <c r="T72" s="152">
        <v>0</v>
      </c>
      <c r="U72" s="152">
        <v>0.11486200000000001</v>
      </c>
      <c r="V72" s="152">
        <v>2.6387000000000001E-2</v>
      </c>
      <c r="W72" s="152">
        <v>1000</v>
      </c>
      <c r="X72" s="152" t="s">
        <v>23</v>
      </c>
      <c r="Y72" s="152" t="s">
        <v>1328</v>
      </c>
      <c r="Z72" s="152" t="s">
        <v>1327</v>
      </c>
    </row>
    <row r="73" spans="1:26" x14ac:dyDescent="0.2">
      <c r="A73" s="152" t="s">
        <v>86</v>
      </c>
      <c r="B73" s="152">
        <v>0</v>
      </c>
      <c r="C73" s="151">
        <v>43440</v>
      </c>
      <c r="D73" s="152">
        <v>0.115068</v>
      </c>
      <c r="E73" s="152" t="s">
        <v>1325</v>
      </c>
      <c r="F73" s="152" t="s">
        <v>1326</v>
      </c>
      <c r="G73" s="152"/>
      <c r="H73" s="152"/>
      <c r="I73" s="151">
        <v>43392</v>
      </c>
      <c r="J73" s="152">
        <v>1.56</v>
      </c>
      <c r="K73" s="151">
        <v>43397</v>
      </c>
      <c r="L73" s="152">
        <v>1.3092379999999999</v>
      </c>
      <c r="M73" s="152" t="s">
        <v>1327</v>
      </c>
      <c r="N73" s="152" t="s">
        <v>1327</v>
      </c>
      <c r="O73" s="152">
        <v>1.3092379999999999</v>
      </c>
      <c r="P73" s="152" t="s">
        <v>1327</v>
      </c>
      <c r="Q73" s="152">
        <v>1.3092379999999999</v>
      </c>
      <c r="R73" s="152" t="s">
        <v>1327</v>
      </c>
      <c r="S73" s="152">
        <v>99.849575000000002</v>
      </c>
      <c r="T73" s="152">
        <v>0</v>
      </c>
      <c r="U73" s="152">
        <v>0.114895</v>
      </c>
      <c r="V73" s="152">
        <v>2.6401999999999998E-2</v>
      </c>
      <c r="W73" s="152">
        <v>1000</v>
      </c>
      <c r="X73" s="152" t="s">
        <v>23</v>
      </c>
      <c r="Y73" s="152" t="s">
        <v>1328</v>
      </c>
      <c r="Z73" s="152" t="s">
        <v>1327</v>
      </c>
    </row>
    <row r="74" spans="1:26" x14ac:dyDescent="0.2">
      <c r="A74" s="152" t="s">
        <v>196</v>
      </c>
      <c r="B74" s="152">
        <v>0</v>
      </c>
      <c r="C74" s="151">
        <v>43447</v>
      </c>
      <c r="D74" s="152">
        <v>0.13424700000000001</v>
      </c>
      <c r="E74" s="152" t="s">
        <v>1325</v>
      </c>
      <c r="F74" s="152" t="s">
        <v>1326</v>
      </c>
      <c r="G74" s="152"/>
      <c r="H74" s="152"/>
      <c r="I74" s="151">
        <v>43397</v>
      </c>
      <c r="J74" s="152">
        <v>1.43</v>
      </c>
      <c r="K74" s="151">
        <v>43397</v>
      </c>
      <c r="L74" s="152">
        <v>1.3412919999999999</v>
      </c>
      <c r="M74" s="152" t="s">
        <v>1327</v>
      </c>
      <c r="N74" s="152" t="s">
        <v>1327</v>
      </c>
      <c r="O74" s="152">
        <v>1.43</v>
      </c>
      <c r="P74" s="152" t="s">
        <v>1327</v>
      </c>
      <c r="Q74" s="152">
        <v>1.43</v>
      </c>
      <c r="R74" s="152" t="s">
        <v>1327</v>
      </c>
      <c r="S74" s="152">
        <v>99.808395000000004</v>
      </c>
      <c r="T74" s="152">
        <v>0</v>
      </c>
      <c r="U74" s="152">
        <v>0.133989</v>
      </c>
      <c r="V74" s="152">
        <v>3.5906E-2</v>
      </c>
      <c r="W74" s="152">
        <v>1000</v>
      </c>
      <c r="X74" s="152" t="s">
        <v>23</v>
      </c>
      <c r="Y74" s="152" t="s">
        <v>1328</v>
      </c>
      <c r="Z74" s="152" t="s">
        <v>1327</v>
      </c>
    </row>
    <row r="75" spans="1:26" x14ac:dyDescent="0.2">
      <c r="A75" s="152" t="s">
        <v>88</v>
      </c>
      <c r="B75" s="152">
        <v>0</v>
      </c>
      <c r="C75" s="151">
        <v>43447</v>
      </c>
      <c r="D75" s="152">
        <v>0.13424700000000001</v>
      </c>
      <c r="E75" s="152" t="s">
        <v>1325</v>
      </c>
      <c r="F75" s="152" t="s">
        <v>1326</v>
      </c>
      <c r="G75" s="152"/>
      <c r="H75" s="152"/>
      <c r="I75" s="151">
        <v>43397</v>
      </c>
      <c r="J75" s="152">
        <v>1.4850000000000001</v>
      </c>
      <c r="K75" s="151">
        <v>43397</v>
      </c>
      <c r="L75" s="152">
        <v>1.3412919999999999</v>
      </c>
      <c r="M75" s="152" t="s">
        <v>1327</v>
      </c>
      <c r="N75" s="152" t="s">
        <v>1327</v>
      </c>
      <c r="O75" s="152">
        <v>1.4850000000000001</v>
      </c>
      <c r="P75" s="152" t="s">
        <v>1327</v>
      </c>
      <c r="Q75" s="152">
        <v>1.4850000000000001</v>
      </c>
      <c r="R75" s="152" t="s">
        <v>1327</v>
      </c>
      <c r="S75" s="152">
        <v>99.80104</v>
      </c>
      <c r="T75" s="152">
        <v>0</v>
      </c>
      <c r="U75" s="152">
        <v>0.13397899999999999</v>
      </c>
      <c r="V75" s="152">
        <v>3.5901000000000002E-2</v>
      </c>
      <c r="W75" s="152">
        <v>1000</v>
      </c>
      <c r="X75" s="152" t="s">
        <v>23</v>
      </c>
      <c r="Y75" s="152" t="s">
        <v>1328</v>
      </c>
      <c r="Z75" s="152" t="s">
        <v>1327</v>
      </c>
    </row>
    <row r="76" spans="1:26" x14ac:dyDescent="0.2">
      <c r="A76" s="152" t="s">
        <v>570</v>
      </c>
      <c r="B76" s="152">
        <v>0</v>
      </c>
      <c r="C76" s="151">
        <v>43454</v>
      </c>
      <c r="D76" s="152">
        <v>0.15342500000000001</v>
      </c>
      <c r="E76" s="152" t="s">
        <v>1325</v>
      </c>
      <c r="F76" s="152" t="s">
        <v>1326</v>
      </c>
      <c r="G76" s="152"/>
      <c r="H76" s="152"/>
      <c r="I76" s="151">
        <v>43397</v>
      </c>
      <c r="J76" s="152">
        <v>1.45</v>
      </c>
      <c r="K76" s="151">
        <v>43397</v>
      </c>
      <c r="L76" s="152">
        <v>1.373346</v>
      </c>
      <c r="M76" s="152" t="s">
        <v>1327</v>
      </c>
      <c r="N76" s="152" t="s">
        <v>1327</v>
      </c>
      <c r="O76" s="152">
        <v>1.45</v>
      </c>
      <c r="P76" s="152" t="s">
        <v>1327</v>
      </c>
      <c r="Q76" s="152">
        <v>1.45</v>
      </c>
      <c r="R76" s="152" t="s">
        <v>1327</v>
      </c>
      <c r="S76" s="152">
        <v>99.778028000000006</v>
      </c>
      <c r="T76" s="152">
        <v>0</v>
      </c>
      <c r="U76" s="152">
        <v>0.153084</v>
      </c>
      <c r="V76" s="152">
        <v>4.6869000000000001E-2</v>
      </c>
      <c r="W76" s="152">
        <v>1000</v>
      </c>
      <c r="X76" s="152" t="s">
        <v>23</v>
      </c>
      <c r="Y76" s="152" t="s">
        <v>1328</v>
      </c>
      <c r="Z76" s="152" t="s">
        <v>1327</v>
      </c>
    </row>
    <row r="77" spans="1:26" x14ac:dyDescent="0.2">
      <c r="A77" s="152" t="s">
        <v>89</v>
      </c>
      <c r="B77" s="152">
        <v>0</v>
      </c>
      <c r="C77" s="151">
        <v>43454</v>
      </c>
      <c r="D77" s="152">
        <v>0.15342500000000001</v>
      </c>
      <c r="E77" s="152" t="s">
        <v>1325</v>
      </c>
      <c r="F77" s="152" t="s">
        <v>1326</v>
      </c>
      <c r="G77" s="152"/>
      <c r="H77" s="152"/>
      <c r="I77" s="151">
        <v>43397</v>
      </c>
      <c r="J77" s="152">
        <v>1.4450000000000001</v>
      </c>
      <c r="K77" s="151">
        <v>43397</v>
      </c>
      <c r="L77" s="152">
        <v>1.373346</v>
      </c>
      <c r="M77" s="152" t="s">
        <v>1327</v>
      </c>
      <c r="N77" s="152" t="s">
        <v>1327</v>
      </c>
      <c r="O77" s="152">
        <v>1.4450000000000001</v>
      </c>
      <c r="P77" s="152" t="s">
        <v>1327</v>
      </c>
      <c r="Q77" s="152">
        <v>1.4450000000000001</v>
      </c>
      <c r="R77" s="152" t="s">
        <v>1327</v>
      </c>
      <c r="S77" s="152">
        <v>99.778791999999996</v>
      </c>
      <c r="T77" s="152">
        <v>0</v>
      </c>
      <c r="U77" s="152">
        <v>0.153085</v>
      </c>
      <c r="V77" s="152">
        <v>4.6870000000000002E-2</v>
      </c>
      <c r="W77" s="152">
        <v>1000</v>
      </c>
      <c r="X77" s="152" t="s">
        <v>23</v>
      </c>
      <c r="Y77" s="152" t="s">
        <v>1328</v>
      </c>
      <c r="Z77" s="152" t="s">
        <v>1327</v>
      </c>
    </row>
    <row r="78" spans="1:26" x14ac:dyDescent="0.2">
      <c r="A78" s="152" t="s">
        <v>571</v>
      </c>
      <c r="B78" s="152">
        <v>0</v>
      </c>
      <c r="C78" s="151">
        <v>43461</v>
      </c>
      <c r="D78" s="152">
        <v>0.17260300000000001</v>
      </c>
      <c r="E78" s="152" t="s">
        <v>1325</v>
      </c>
      <c r="F78" s="152" t="s">
        <v>1326</v>
      </c>
      <c r="G78" s="152"/>
      <c r="H78" s="152"/>
      <c r="I78" s="151">
        <v>43392</v>
      </c>
      <c r="J78" s="152">
        <v>1.4750000000000001</v>
      </c>
      <c r="K78" s="151">
        <v>43397</v>
      </c>
      <c r="L78" s="152">
        <v>1.4054009999999999</v>
      </c>
      <c r="M78" s="152" t="s">
        <v>1327</v>
      </c>
      <c r="N78" s="152" t="s">
        <v>1327</v>
      </c>
      <c r="O78" s="152">
        <v>1.4054009999999999</v>
      </c>
      <c r="P78" s="152" t="s">
        <v>1327</v>
      </c>
      <c r="Q78" s="152">
        <v>1.4054009999999999</v>
      </c>
      <c r="R78" s="152" t="s">
        <v>1327</v>
      </c>
      <c r="S78" s="152">
        <v>99.758010999999996</v>
      </c>
      <c r="T78" s="152">
        <v>0</v>
      </c>
      <c r="U78" s="152">
        <v>0.172185</v>
      </c>
      <c r="V78" s="152">
        <v>5.9295E-2</v>
      </c>
      <c r="W78" s="152">
        <v>1000</v>
      </c>
      <c r="X78" s="152" t="s">
        <v>23</v>
      </c>
      <c r="Y78" s="152" t="s">
        <v>1328</v>
      </c>
      <c r="Z78" s="152" t="s">
        <v>1327</v>
      </c>
    </row>
    <row r="79" spans="1:26" x14ac:dyDescent="0.2">
      <c r="A79" s="152" t="s">
        <v>197</v>
      </c>
      <c r="B79" s="152">
        <v>0</v>
      </c>
      <c r="C79" s="151">
        <v>43461</v>
      </c>
      <c r="D79" s="152">
        <v>0.17260300000000001</v>
      </c>
      <c r="E79" s="152" t="s">
        <v>1325</v>
      </c>
      <c r="F79" s="152" t="s">
        <v>1326</v>
      </c>
      <c r="G79" s="152"/>
      <c r="H79" s="152"/>
      <c r="I79" s="151">
        <v>43397</v>
      </c>
      <c r="J79" s="152">
        <v>1.52</v>
      </c>
      <c r="K79" s="151">
        <v>43397</v>
      </c>
      <c r="L79" s="152">
        <v>1.4054009999999999</v>
      </c>
      <c r="M79" s="152" t="s">
        <v>1327</v>
      </c>
      <c r="N79" s="152" t="s">
        <v>1327</v>
      </c>
      <c r="O79" s="152">
        <v>1.52</v>
      </c>
      <c r="P79" s="152" t="s">
        <v>1327</v>
      </c>
      <c r="Q79" s="152">
        <v>1.52</v>
      </c>
      <c r="R79" s="152" t="s">
        <v>1327</v>
      </c>
      <c r="S79" s="152">
        <v>99.738330000000005</v>
      </c>
      <c r="T79" s="152">
        <v>0</v>
      </c>
      <c r="U79" s="152">
        <v>0.172151</v>
      </c>
      <c r="V79" s="152">
        <v>5.9271999999999998E-2</v>
      </c>
      <c r="W79" s="152">
        <v>1000</v>
      </c>
      <c r="X79" s="152" t="s">
        <v>23</v>
      </c>
      <c r="Y79" s="152" t="s">
        <v>1328</v>
      </c>
      <c r="Z79" s="152" t="s">
        <v>1327</v>
      </c>
    </row>
    <row r="80" spans="1:26" x14ac:dyDescent="0.2">
      <c r="A80" s="152" t="s">
        <v>198</v>
      </c>
      <c r="B80" s="152">
        <v>0</v>
      </c>
      <c r="C80" s="151">
        <v>43405</v>
      </c>
      <c r="D80" s="152">
        <v>1.9178000000000001E-2</v>
      </c>
      <c r="E80" s="152" t="s">
        <v>1325</v>
      </c>
      <c r="F80" s="152" t="s">
        <v>1326</v>
      </c>
      <c r="G80" s="152"/>
      <c r="H80" s="152"/>
      <c r="I80" s="151">
        <v>43397</v>
      </c>
      <c r="J80" s="152">
        <v>1.2050000000000001</v>
      </c>
      <c r="K80" s="151">
        <v>43397</v>
      </c>
      <c r="L80" s="152">
        <v>1.2451289999999999</v>
      </c>
      <c r="M80" s="152" t="s">
        <v>1327</v>
      </c>
      <c r="N80" s="152" t="s">
        <v>1327</v>
      </c>
      <c r="O80" s="152">
        <v>1.2050000000000001</v>
      </c>
      <c r="P80" s="152" t="s">
        <v>1327</v>
      </c>
      <c r="Q80" s="152">
        <v>1.2050000000000001</v>
      </c>
      <c r="R80" s="152" t="s">
        <v>1327</v>
      </c>
      <c r="S80" s="152">
        <v>99.976895999999996</v>
      </c>
      <c r="T80" s="152">
        <v>0</v>
      </c>
      <c r="U80" s="152">
        <v>1.9174E-2</v>
      </c>
      <c r="V80" s="152">
        <v>7.3499999999999998E-4</v>
      </c>
      <c r="W80" s="152">
        <v>1000</v>
      </c>
      <c r="X80" s="152" t="s">
        <v>23</v>
      </c>
      <c r="Y80" s="152" t="s">
        <v>1328</v>
      </c>
      <c r="Z80" s="152" t="s">
        <v>1327</v>
      </c>
    </row>
    <row r="81" spans="1:26" x14ac:dyDescent="0.2">
      <c r="A81" s="152" t="s">
        <v>90</v>
      </c>
      <c r="B81" s="152">
        <v>0</v>
      </c>
      <c r="C81" s="151">
        <v>43405</v>
      </c>
      <c r="D81" s="152">
        <v>1.9178000000000001E-2</v>
      </c>
      <c r="E81" s="152" t="s">
        <v>1325</v>
      </c>
      <c r="F81" s="152" t="s">
        <v>1326</v>
      </c>
      <c r="G81" s="152"/>
      <c r="H81" s="152"/>
      <c r="I81" s="151">
        <v>43397</v>
      </c>
      <c r="J81" s="152">
        <v>1.22</v>
      </c>
      <c r="K81" s="151">
        <v>43397</v>
      </c>
      <c r="L81" s="152">
        <v>1.2451289999999999</v>
      </c>
      <c r="M81" s="152" t="s">
        <v>1327</v>
      </c>
      <c r="N81" s="152" t="s">
        <v>1327</v>
      </c>
      <c r="O81" s="152">
        <v>1.22</v>
      </c>
      <c r="P81" s="152" t="s">
        <v>1327</v>
      </c>
      <c r="Q81" s="152">
        <v>1.22</v>
      </c>
      <c r="R81" s="152" t="s">
        <v>1327</v>
      </c>
      <c r="S81" s="152">
        <v>99.976607999999999</v>
      </c>
      <c r="T81" s="152">
        <v>0</v>
      </c>
      <c r="U81" s="152">
        <v>1.9174E-2</v>
      </c>
      <c r="V81" s="152">
        <v>7.3499999999999998E-4</v>
      </c>
      <c r="W81" s="152">
        <v>1000</v>
      </c>
      <c r="X81" s="152" t="s">
        <v>23</v>
      </c>
      <c r="Y81" s="152" t="s">
        <v>1328</v>
      </c>
      <c r="Z81" s="152" t="s">
        <v>1327</v>
      </c>
    </row>
    <row r="82" spans="1:26" x14ac:dyDescent="0.2">
      <c r="A82" s="152" t="s">
        <v>1251</v>
      </c>
      <c r="B82" s="152">
        <v>0</v>
      </c>
      <c r="C82" s="151">
        <v>43410</v>
      </c>
      <c r="D82" s="152">
        <v>3.2877000000000003E-2</v>
      </c>
      <c r="E82" s="152" t="s">
        <v>1325</v>
      </c>
      <c r="F82" s="152" t="s">
        <v>1326</v>
      </c>
      <c r="G82" s="152"/>
      <c r="H82" s="152"/>
      <c r="I82" s="151">
        <v>43397</v>
      </c>
      <c r="J82" s="152">
        <v>1.2050000000000001</v>
      </c>
      <c r="K82" s="151">
        <v>43397</v>
      </c>
      <c r="L82" s="152">
        <v>1.2451289999999999</v>
      </c>
      <c r="M82" s="152" t="s">
        <v>1327</v>
      </c>
      <c r="N82" s="152" t="s">
        <v>1327</v>
      </c>
      <c r="O82" s="152">
        <v>1.2050000000000001</v>
      </c>
      <c r="P82" s="152" t="s">
        <v>1327</v>
      </c>
      <c r="Q82" s="152">
        <v>1.2050000000000001</v>
      </c>
      <c r="R82" s="152" t="s">
        <v>1327</v>
      </c>
      <c r="S82" s="152">
        <v>99.960398999999995</v>
      </c>
      <c r="T82" s="152">
        <v>0</v>
      </c>
      <c r="U82" s="152">
        <v>3.2863999999999997E-2</v>
      </c>
      <c r="V82" s="152">
        <v>2.16E-3</v>
      </c>
      <c r="W82" s="152">
        <v>1000</v>
      </c>
      <c r="X82" s="152" t="s">
        <v>23</v>
      </c>
      <c r="Y82" s="152" t="s">
        <v>1328</v>
      </c>
      <c r="Z82" s="152" t="s">
        <v>1327</v>
      </c>
    </row>
    <row r="83" spans="1:26" x14ac:dyDescent="0.2">
      <c r="A83" s="152" t="s">
        <v>91</v>
      </c>
      <c r="B83" s="152">
        <v>0</v>
      </c>
      <c r="C83" s="151">
        <v>43412</v>
      </c>
      <c r="D83" s="152">
        <v>3.8356000000000001E-2</v>
      </c>
      <c r="E83" s="152" t="s">
        <v>1325</v>
      </c>
      <c r="F83" s="152" t="s">
        <v>1326</v>
      </c>
      <c r="G83" s="152"/>
      <c r="H83" s="152"/>
      <c r="I83" s="151">
        <v>43397</v>
      </c>
      <c r="J83" s="152">
        <v>1.2424999999999999</v>
      </c>
      <c r="K83" s="151">
        <v>43397</v>
      </c>
      <c r="L83" s="152">
        <v>1.2451289999999999</v>
      </c>
      <c r="M83" s="152" t="s">
        <v>1327</v>
      </c>
      <c r="N83" s="152" t="s">
        <v>1327</v>
      </c>
      <c r="O83" s="152">
        <v>1.2424999999999999</v>
      </c>
      <c r="P83" s="152" t="s">
        <v>1327</v>
      </c>
      <c r="Q83" s="152">
        <v>1.2424999999999999</v>
      </c>
      <c r="R83" s="152" t="s">
        <v>1327</v>
      </c>
      <c r="S83" s="152">
        <v>99.952365</v>
      </c>
      <c r="T83" s="152">
        <v>0</v>
      </c>
      <c r="U83" s="152">
        <v>3.8337999999999997E-2</v>
      </c>
      <c r="V83" s="152">
        <v>2.9399999999999999E-3</v>
      </c>
      <c r="W83" s="152">
        <v>1000</v>
      </c>
      <c r="X83" s="152" t="s">
        <v>23</v>
      </c>
      <c r="Y83" s="152" t="s">
        <v>1328</v>
      </c>
      <c r="Z83" s="152" t="s">
        <v>1327</v>
      </c>
    </row>
    <row r="84" spans="1:26" x14ac:dyDescent="0.2">
      <c r="A84" s="152" t="s">
        <v>92</v>
      </c>
      <c r="B84" s="152">
        <v>0</v>
      </c>
      <c r="C84" s="151">
        <v>43412</v>
      </c>
      <c r="D84" s="152">
        <v>3.8356000000000001E-2</v>
      </c>
      <c r="E84" s="152" t="s">
        <v>1325</v>
      </c>
      <c r="F84" s="152" t="s">
        <v>1326</v>
      </c>
      <c r="G84" s="152"/>
      <c r="H84" s="152"/>
      <c r="I84" s="151">
        <v>43397</v>
      </c>
      <c r="J84" s="152">
        <v>1.23</v>
      </c>
      <c r="K84" s="151">
        <v>43397</v>
      </c>
      <c r="L84" s="152">
        <v>1.2451289999999999</v>
      </c>
      <c r="M84" s="152" t="s">
        <v>1327</v>
      </c>
      <c r="N84" s="152" t="s">
        <v>1327</v>
      </c>
      <c r="O84" s="152">
        <v>1.23</v>
      </c>
      <c r="P84" s="152" t="s">
        <v>1327</v>
      </c>
      <c r="Q84" s="152">
        <v>1.23</v>
      </c>
      <c r="R84" s="152" t="s">
        <v>1327</v>
      </c>
      <c r="S84" s="152">
        <v>99.952843999999999</v>
      </c>
      <c r="T84" s="152">
        <v>0</v>
      </c>
      <c r="U84" s="152">
        <v>3.8337999999999997E-2</v>
      </c>
      <c r="V84" s="152">
        <v>2.9399999999999999E-3</v>
      </c>
      <c r="W84" s="152">
        <v>1000</v>
      </c>
      <c r="X84" s="152" t="s">
        <v>23</v>
      </c>
      <c r="Y84" s="152" t="s">
        <v>1328</v>
      </c>
      <c r="Z84" s="152" t="s">
        <v>1327</v>
      </c>
    </row>
    <row r="85" spans="1:26" x14ac:dyDescent="0.2">
      <c r="A85" s="152" t="s">
        <v>93</v>
      </c>
      <c r="B85" s="152">
        <v>0</v>
      </c>
      <c r="C85" s="151">
        <v>43419</v>
      </c>
      <c r="D85" s="152">
        <v>5.7534000000000002E-2</v>
      </c>
      <c r="E85" s="152" t="s">
        <v>1325</v>
      </c>
      <c r="F85" s="152" t="s">
        <v>1326</v>
      </c>
      <c r="G85" s="152"/>
      <c r="H85" s="152"/>
      <c r="I85" s="151">
        <v>43397</v>
      </c>
      <c r="J85" s="152">
        <v>1.24</v>
      </c>
      <c r="K85" s="151">
        <v>43397</v>
      </c>
      <c r="L85" s="152">
        <v>1.2451289999999999</v>
      </c>
      <c r="M85" s="152" t="s">
        <v>1327</v>
      </c>
      <c r="N85" s="152" t="s">
        <v>1327</v>
      </c>
      <c r="O85" s="152">
        <v>1.24</v>
      </c>
      <c r="P85" s="152" t="s">
        <v>1327</v>
      </c>
      <c r="Q85" s="152">
        <v>1.24</v>
      </c>
      <c r="R85" s="152" t="s">
        <v>1327</v>
      </c>
      <c r="S85" s="152">
        <v>99.928708</v>
      </c>
      <c r="T85" s="152">
        <v>0</v>
      </c>
      <c r="U85" s="152">
        <v>5.7493000000000002E-2</v>
      </c>
      <c r="V85" s="152">
        <v>6.6109999999999997E-3</v>
      </c>
      <c r="W85" s="152">
        <v>1000</v>
      </c>
      <c r="X85" s="152" t="s">
        <v>23</v>
      </c>
      <c r="Y85" s="152" t="s">
        <v>1328</v>
      </c>
      <c r="Z85" s="152" t="s">
        <v>1327</v>
      </c>
    </row>
    <row r="86" spans="1:26" x14ac:dyDescent="0.2">
      <c r="A86" s="152" t="s">
        <v>94</v>
      </c>
      <c r="B86" s="152">
        <v>0</v>
      </c>
      <c r="C86" s="151">
        <v>43419</v>
      </c>
      <c r="D86" s="152">
        <v>5.7534000000000002E-2</v>
      </c>
      <c r="E86" s="152" t="s">
        <v>1325</v>
      </c>
      <c r="F86" s="152" t="s">
        <v>1326</v>
      </c>
      <c r="G86" s="152"/>
      <c r="H86" s="152"/>
      <c r="I86" s="151">
        <v>43397</v>
      </c>
      <c r="J86" s="152">
        <v>1.24</v>
      </c>
      <c r="K86" s="151">
        <v>43397</v>
      </c>
      <c r="L86" s="152">
        <v>1.2451289999999999</v>
      </c>
      <c r="M86" s="152" t="s">
        <v>1327</v>
      </c>
      <c r="N86" s="152" t="s">
        <v>1327</v>
      </c>
      <c r="O86" s="152">
        <v>1.24</v>
      </c>
      <c r="P86" s="152" t="s">
        <v>1327</v>
      </c>
      <c r="Q86" s="152">
        <v>1.24</v>
      </c>
      <c r="R86" s="152" t="s">
        <v>1327</v>
      </c>
      <c r="S86" s="152">
        <v>99.928708</v>
      </c>
      <c r="T86" s="152">
        <v>0</v>
      </c>
      <c r="U86" s="152">
        <v>5.7493000000000002E-2</v>
      </c>
      <c r="V86" s="152">
        <v>6.6109999999999997E-3</v>
      </c>
      <c r="W86" s="152">
        <v>1000</v>
      </c>
      <c r="X86" s="152" t="s">
        <v>23</v>
      </c>
      <c r="Y86" s="152" t="s">
        <v>1328</v>
      </c>
      <c r="Z86" s="152" t="s">
        <v>1327</v>
      </c>
    </row>
    <row r="87" spans="1:26" x14ac:dyDescent="0.2">
      <c r="A87" s="152" t="s">
        <v>95</v>
      </c>
      <c r="B87" s="152">
        <v>0</v>
      </c>
      <c r="C87" s="151">
        <v>43426</v>
      </c>
      <c r="D87" s="152">
        <v>7.6712000000000002E-2</v>
      </c>
      <c r="E87" s="152" t="s">
        <v>1325</v>
      </c>
      <c r="F87" s="152" t="s">
        <v>1326</v>
      </c>
      <c r="G87" s="152"/>
      <c r="H87" s="152"/>
      <c r="I87" s="151">
        <v>43395</v>
      </c>
      <c r="J87" s="152">
        <v>1.18</v>
      </c>
      <c r="K87" s="151">
        <v>43397</v>
      </c>
      <c r="L87" s="152">
        <v>1.2451289999999999</v>
      </c>
      <c r="M87" s="152" t="s">
        <v>1327</v>
      </c>
      <c r="N87" s="152" t="s">
        <v>1327</v>
      </c>
      <c r="O87" s="152">
        <v>1.2451289999999999</v>
      </c>
      <c r="P87" s="152" t="s">
        <v>1327</v>
      </c>
      <c r="Q87" s="152">
        <v>1.2451289999999999</v>
      </c>
      <c r="R87" s="152" t="s">
        <v>1327</v>
      </c>
      <c r="S87" s="152">
        <v>99.904573999999997</v>
      </c>
      <c r="T87" s="152">
        <v>0</v>
      </c>
      <c r="U87" s="152">
        <v>7.6638999999999999E-2</v>
      </c>
      <c r="V87" s="152">
        <v>1.1747E-2</v>
      </c>
      <c r="W87" s="152">
        <v>1000</v>
      </c>
      <c r="X87" s="152" t="s">
        <v>23</v>
      </c>
      <c r="Y87" s="152" t="s">
        <v>1328</v>
      </c>
      <c r="Z87" s="152" t="s">
        <v>1327</v>
      </c>
    </row>
    <row r="88" spans="1:26" x14ac:dyDescent="0.2">
      <c r="A88" s="152" t="s">
        <v>96</v>
      </c>
      <c r="B88" s="152">
        <v>0</v>
      </c>
      <c r="C88" s="151">
        <v>43426</v>
      </c>
      <c r="D88" s="152">
        <v>7.6712000000000002E-2</v>
      </c>
      <c r="E88" s="152" t="s">
        <v>1325</v>
      </c>
      <c r="F88" s="152" t="s">
        <v>1326</v>
      </c>
      <c r="G88" s="152"/>
      <c r="H88" s="152"/>
      <c r="I88" s="151">
        <v>43397</v>
      </c>
      <c r="J88" s="152">
        <v>1.2250000000000001</v>
      </c>
      <c r="K88" s="151">
        <v>43397</v>
      </c>
      <c r="L88" s="152">
        <v>1.2451289999999999</v>
      </c>
      <c r="M88" s="152" t="s">
        <v>1327</v>
      </c>
      <c r="N88" s="152" t="s">
        <v>1327</v>
      </c>
      <c r="O88" s="152">
        <v>1.2250000000000001</v>
      </c>
      <c r="P88" s="152" t="s">
        <v>1327</v>
      </c>
      <c r="Q88" s="152">
        <v>1.2250000000000001</v>
      </c>
      <c r="R88" s="152" t="s">
        <v>1327</v>
      </c>
      <c r="S88" s="152">
        <v>99.906115999999997</v>
      </c>
      <c r="T88" s="152">
        <v>0</v>
      </c>
      <c r="U88" s="152">
        <v>7.664E-2</v>
      </c>
      <c r="V88" s="152">
        <v>1.1747E-2</v>
      </c>
      <c r="W88" s="152">
        <v>1000</v>
      </c>
      <c r="X88" s="152" t="s">
        <v>23</v>
      </c>
      <c r="Y88" s="152" t="s">
        <v>1328</v>
      </c>
      <c r="Z88" s="152" t="s">
        <v>1327</v>
      </c>
    </row>
    <row r="89" spans="1:26" x14ac:dyDescent="0.2">
      <c r="A89" s="152" t="s">
        <v>97</v>
      </c>
      <c r="B89" s="152">
        <v>0</v>
      </c>
      <c r="C89" s="151">
        <v>43433</v>
      </c>
      <c r="D89" s="152">
        <v>9.5890000000000003E-2</v>
      </c>
      <c r="E89" s="152" t="s">
        <v>1325</v>
      </c>
      <c r="F89" s="152" t="s">
        <v>1326</v>
      </c>
      <c r="G89" s="152"/>
      <c r="H89" s="152"/>
      <c r="I89" s="151">
        <v>43395</v>
      </c>
      <c r="J89" s="152">
        <v>1.1850000000000001</v>
      </c>
      <c r="K89" s="151">
        <v>43397</v>
      </c>
      <c r="L89" s="152">
        <v>1.277183</v>
      </c>
      <c r="M89" s="152" t="s">
        <v>1327</v>
      </c>
      <c r="N89" s="152" t="s">
        <v>1327</v>
      </c>
      <c r="O89" s="152">
        <v>1.277183</v>
      </c>
      <c r="P89" s="152" t="s">
        <v>1327</v>
      </c>
      <c r="Q89" s="152">
        <v>1.277183</v>
      </c>
      <c r="R89" s="152" t="s">
        <v>1327</v>
      </c>
      <c r="S89" s="152">
        <v>99.877679999999998</v>
      </c>
      <c r="T89" s="152">
        <v>0</v>
      </c>
      <c r="U89" s="152">
        <v>9.5772999999999997E-2</v>
      </c>
      <c r="V89" s="152">
        <v>1.8345E-2</v>
      </c>
      <c r="W89" s="152">
        <v>1000</v>
      </c>
      <c r="X89" s="152" t="s">
        <v>23</v>
      </c>
      <c r="Y89" s="152" t="s">
        <v>1328</v>
      </c>
      <c r="Z89" s="152" t="s">
        <v>1327</v>
      </c>
    </row>
    <row r="90" spans="1:26" x14ac:dyDescent="0.2">
      <c r="A90" s="152" t="s">
        <v>98</v>
      </c>
      <c r="B90" s="152">
        <v>0</v>
      </c>
      <c r="C90" s="151">
        <v>43433</v>
      </c>
      <c r="D90" s="152">
        <v>9.5890000000000003E-2</v>
      </c>
      <c r="E90" s="152" t="s">
        <v>1325</v>
      </c>
      <c r="F90" s="152" t="s">
        <v>1326</v>
      </c>
      <c r="G90" s="152"/>
      <c r="H90" s="152"/>
      <c r="I90" s="151">
        <v>43397</v>
      </c>
      <c r="J90" s="152">
        <v>1.2849999999999999</v>
      </c>
      <c r="K90" s="151">
        <v>43397</v>
      </c>
      <c r="L90" s="152">
        <v>1.277183</v>
      </c>
      <c r="M90" s="152" t="s">
        <v>1327</v>
      </c>
      <c r="N90" s="152" t="s">
        <v>1327</v>
      </c>
      <c r="O90" s="152">
        <v>1.2849999999999999</v>
      </c>
      <c r="P90" s="152" t="s">
        <v>1327</v>
      </c>
      <c r="Q90" s="152">
        <v>1.2849999999999999</v>
      </c>
      <c r="R90" s="152" t="s">
        <v>1327</v>
      </c>
      <c r="S90" s="152">
        <v>99.876931999999996</v>
      </c>
      <c r="T90" s="152">
        <v>0</v>
      </c>
      <c r="U90" s="152">
        <v>9.5771999999999996E-2</v>
      </c>
      <c r="V90" s="152">
        <v>1.8345E-2</v>
      </c>
      <c r="W90" s="152">
        <v>1000</v>
      </c>
      <c r="X90" s="152" t="s">
        <v>23</v>
      </c>
      <c r="Y90" s="152" t="s">
        <v>1328</v>
      </c>
      <c r="Z90" s="152" t="s">
        <v>1327</v>
      </c>
    </row>
    <row r="91" spans="1:26" x14ac:dyDescent="0.2">
      <c r="A91" s="152" t="s">
        <v>864</v>
      </c>
      <c r="B91" s="152">
        <v>0</v>
      </c>
      <c r="C91" s="151">
        <v>43403</v>
      </c>
      <c r="D91" s="152">
        <v>1.3698999999999999E-2</v>
      </c>
      <c r="E91" s="152" t="s">
        <v>1325</v>
      </c>
      <c r="F91" s="152" t="s">
        <v>1326</v>
      </c>
      <c r="G91" s="152"/>
      <c r="H91" s="152"/>
      <c r="I91" s="151">
        <v>43395</v>
      </c>
      <c r="J91" s="152">
        <v>1.1399999999999999</v>
      </c>
      <c r="K91" s="151">
        <v>43397</v>
      </c>
      <c r="L91" s="152">
        <v>1.2451289999999999</v>
      </c>
      <c r="M91" s="152" t="s">
        <v>1327</v>
      </c>
      <c r="N91" s="152" t="s">
        <v>1327</v>
      </c>
      <c r="O91" s="152">
        <v>1.2451289999999999</v>
      </c>
      <c r="P91" s="152" t="s">
        <v>1327</v>
      </c>
      <c r="Q91" s="152">
        <v>1.2451289999999999</v>
      </c>
      <c r="R91" s="152" t="s">
        <v>1327</v>
      </c>
      <c r="S91" s="152">
        <v>99.982945999999998</v>
      </c>
      <c r="T91" s="152">
        <v>0</v>
      </c>
      <c r="U91" s="152">
        <v>1.3696E-2</v>
      </c>
      <c r="V91" s="152">
        <v>3.7500000000000001E-4</v>
      </c>
      <c r="W91" s="152">
        <v>1000</v>
      </c>
      <c r="X91" s="152" t="s">
        <v>23</v>
      </c>
      <c r="Y91" s="152" t="s">
        <v>1328</v>
      </c>
      <c r="Z91" s="152" t="s">
        <v>1327</v>
      </c>
    </row>
    <row r="92" spans="1:26" x14ac:dyDescent="0.2">
      <c r="A92" s="152" t="s">
        <v>199</v>
      </c>
      <c r="B92" s="152">
        <v>0</v>
      </c>
      <c r="C92" s="151">
        <v>43468</v>
      </c>
      <c r="D92" s="152">
        <v>0.19178100000000001</v>
      </c>
      <c r="E92" s="152" t="s">
        <v>1325</v>
      </c>
      <c r="F92" s="152" t="s">
        <v>1326</v>
      </c>
      <c r="G92" s="152"/>
      <c r="H92" s="152"/>
      <c r="I92" s="151">
        <v>43397</v>
      </c>
      <c r="J92" s="152">
        <v>1.52</v>
      </c>
      <c r="K92" s="151">
        <v>43397</v>
      </c>
      <c r="L92" s="152">
        <v>1.4374549999999999</v>
      </c>
      <c r="M92" s="152" t="s">
        <v>1327</v>
      </c>
      <c r="N92" s="152" t="s">
        <v>1327</v>
      </c>
      <c r="O92" s="152">
        <v>1.52</v>
      </c>
      <c r="P92" s="152" t="s">
        <v>1327</v>
      </c>
      <c r="Q92" s="152">
        <v>1.52</v>
      </c>
      <c r="R92" s="152" t="s">
        <v>1327</v>
      </c>
      <c r="S92" s="152">
        <v>99.709339999999997</v>
      </c>
      <c r="T92" s="152">
        <v>0</v>
      </c>
      <c r="U92" s="152">
        <v>0.191223</v>
      </c>
      <c r="V92" s="152">
        <v>7.3133000000000004E-2</v>
      </c>
      <c r="W92" s="152">
        <v>1000</v>
      </c>
      <c r="X92" s="152" t="s">
        <v>23</v>
      </c>
      <c r="Y92" s="152" t="s">
        <v>1328</v>
      </c>
      <c r="Z92" s="152" t="s">
        <v>1327</v>
      </c>
    </row>
    <row r="93" spans="1:26" x14ac:dyDescent="0.2">
      <c r="A93" s="152" t="s">
        <v>101</v>
      </c>
      <c r="B93" s="152">
        <v>0</v>
      </c>
      <c r="C93" s="151">
        <v>43468</v>
      </c>
      <c r="D93" s="152">
        <v>0.19178100000000001</v>
      </c>
      <c r="E93" s="152" t="s">
        <v>1325</v>
      </c>
      <c r="F93" s="152" t="s">
        <v>1326</v>
      </c>
      <c r="G93" s="152"/>
      <c r="H93" s="152"/>
      <c r="I93" s="151">
        <v>43390</v>
      </c>
      <c r="J93" s="152">
        <v>1.48</v>
      </c>
      <c r="K93" s="151">
        <v>43397</v>
      </c>
      <c r="L93" s="152">
        <v>1.4374549999999999</v>
      </c>
      <c r="M93" s="152" t="s">
        <v>1327</v>
      </c>
      <c r="N93" s="152" t="s">
        <v>1327</v>
      </c>
      <c r="O93" s="152">
        <v>1.4374549999999999</v>
      </c>
      <c r="P93" s="152" t="s">
        <v>1327</v>
      </c>
      <c r="Q93" s="152">
        <v>1.4374549999999999</v>
      </c>
      <c r="R93" s="152" t="s">
        <v>1327</v>
      </c>
      <c r="S93" s="152">
        <v>99.725082</v>
      </c>
      <c r="T93" s="152">
        <v>0</v>
      </c>
      <c r="U93" s="152">
        <v>0.19125400000000001</v>
      </c>
      <c r="V93" s="152">
        <v>7.3155999999999999E-2</v>
      </c>
      <c r="W93" s="152">
        <v>1000</v>
      </c>
      <c r="X93" s="152" t="s">
        <v>23</v>
      </c>
      <c r="Y93" s="152" t="s">
        <v>1328</v>
      </c>
      <c r="Z93" s="152" t="s">
        <v>1327</v>
      </c>
    </row>
    <row r="94" spans="1:26" x14ac:dyDescent="0.2">
      <c r="A94" s="152" t="s">
        <v>572</v>
      </c>
      <c r="B94" s="152">
        <v>0</v>
      </c>
      <c r="C94" s="151">
        <v>43475</v>
      </c>
      <c r="D94" s="152">
        <v>0.21095900000000001</v>
      </c>
      <c r="E94" s="152" t="s">
        <v>1325</v>
      </c>
      <c r="F94" s="152" t="s">
        <v>1326</v>
      </c>
      <c r="G94" s="152"/>
      <c r="H94" s="152"/>
      <c r="I94" s="151">
        <v>43397</v>
      </c>
      <c r="J94" s="152">
        <v>1.5575000000000001</v>
      </c>
      <c r="K94" s="151">
        <v>43397</v>
      </c>
      <c r="L94" s="152">
        <v>1.469509</v>
      </c>
      <c r="M94" s="152" t="s">
        <v>1327</v>
      </c>
      <c r="N94" s="152" t="s">
        <v>1327</v>
      </c>
      <c r="O94" s="152">
        <v>1.5575000000000001</v>
      </c>
      <c r="P94" s="152" t="s">
        <v>1327</v>
      </c>
      <c r="Q94" s="152">
        <v>1.5575000000000001</v>
      </c>
      <c r="R94" s="152" t="s">
        <v>1327</v>
      </c>
      <c r="S94" s="152">
        <v>99.672507999999993</v>
      </c>
      <c r="T94" s="152">
        <v>0</v>
      </c>
      <c r="U94" s="152">
        <v>0.21026800000000001</v>
      </c>
      <c r="V94" s="152">
        <v>8.8425000000000004E-2</v>
      </c>
      <c r="W94" s="152">
        <v>1000</v>
      </c>
      <c r="X94" s="152" t="s">
        <v>23</v>
      </c>
      <c r="Y94" s="152" t="s">
        <v>1328</v>
      </c>
      <c r="Z94" s="152" t="s">
        <v>1327</v>
      </c>
    </row>
    <row r="95" spans="1:26" x14ac:dyDescent="0.2">
      <c r="A95" s="152" t="s">
        <v>836</v>
      </c>
      <c r="B95" s="152">
        <v>0</v>
      </c>
      <c r="C95" s="151">
        <v>43475</v>
      </c>
      <c r="D95" s="152">
        <v>0.21095900000000001</v>
      </c>
      <c r="E95" s="152" t="s">
        <v>1325</v>
      </c>
      <c r="F95" s="152" t="s">
        <v>1326</v>
      </c>
      <c r="G95" s="152"/>
      <c r="H95" s="152"/>
      <c r="I95" s="151">
        <v>43395</v>
      </c>
      <c r="J95" s="152">
        <v>1.52</v>
      </c>
      <c r="K95" s="151">
        <v>43397</v>
      </c>
      <c r="L95" s="152">
        <v>1.469509</v>
      </c>
      <c r="M95" s="152" t="s">
        <v>1327</v>
      </c>
      <c r="N95" s="152" t="s">
        <v>1327</v>
      </c>
      <c r="O95" s="152">
        <v>1.469509</v>
      </c>
      <c r="P95" s="152" t="s">
        <v>1327</v>
      </c>
      <c r="Q95" s="152">
        <v>1.469509</v>
      </c>
      <c r="R95" s="152" t="s">
        <v>1327</v>
      </c>
      <c r="S95" s="152">
        <v>99.690951999999996</v>
      </c>
      <c r="T95" s="152">
        <v>0</v>
      </c>
      <c r="U95" s="152">
        <v>0.21030699999999999</v>
      </c>
      <c r="V95" s="152">
        <v>8.8457999999999995E-2</v>
      </c>
      <c r="W95" s="152">
        <v>1000</v>
      </c>
      <c r="X95" s="152" t="s">
        <v>23</v>
      </c>
      <c r="Y95" s="152" t="s">
        <v>1328</v>
      </c>
      <c r="Z95" s="152" t="s">
        <v>1327</v>
      </c>
    </row>
    <row r="96" spans="1:26" x14ac:dyDescent="0.2">
      <c r="A96" s="152" t="s">
        <v>802</v>
      </c>
      <c r="B96" s="152">
        <v>0</v>
      </c>
      <c r="C96" s="151">
        <v>43482</v>
      </c>
      <c r="D96" s="152">
        <v>0.23013700000000001</v>
      </c>
      <c r="E96" s="152" t="s">
        <v>1325</v>
      </c>
      <c r="F96" s="152" t="s">
        <v>1326</v>
      </c>
      <c r="G96" s="152"/>
      <c r="H96" s="152"/>
      <c r="I96" s="151">
        <v>43397</v>
      </c>
      <c r="J96" s="152">
        <v>1.5674999999999999</v>
      </c>
      <c r="K96" s="151">
        <v>43397</v>
      </c>
      <c r="L96" s="152">
        <v>1.5015639999999999</v>
      </c>
      <c r="M96" s="152" t="s">
        <v>1327</v>
      </c>
      <c r="N96" s="152" t="s">
        <v>1327</v>
      </c>
      <c r="O96" s="152">
        <v>1.5674999999999999</v>
      </c>
      <c r="P96" s="152" t="s">
        <v>1327</v>
      </c>
      <c r="Q96" s="152">
        <v>1.5674999999999999</v>
      </c>
      <c r="R96" s="152" t="s">
        <v>1327</v>
      </c>
      <c r="S96" s="152">
        <v>99.640557000000001</v>
      </c>
      <c r="T96" s="152">
        <v>0</v>
      </c>
      <c r="U96" s="152">
        <v>0.22931000000000001</v>
      </c>
      <c r="V96" s="152">
        <v>0.105166</v>
      </c>
      <c r="W96" s="152">
        <v>1000</v>
      </c>
      <c r="X96" s="152" t="s">
        <v>23</v>
      </c>
      <c r="Y96" s="152" t="s">
        <v>1328</v>
      </c>
      <c r="Z96" s="152" t="s">
        <v>1327</v>
      </c>
    </row>
    <row r="97" spans="1:26" x14ac:dyDescent="0.2">
      <c r="A97" s="152" t="s">
        <v>1215</v>
      </c>
      <c r="B97" s="152">
        <v>0</v>
      </c>
      <c r="C97" s="151">
        <v>43482</v>
      </c>
      <c r="D97" s="152">
        <v>0.23013700000000001</v>
      </c>
      <c r="E97" s="152" t="s">
        <v>1325</v>
      </c>
      <c r="F97" s="152" t="s">
        <v>1326</v>
      </c>
      <c r="G97" s="152"/>
      <c r="H97" s="152"/>
      <c r="I97" s="151">
        <v>43397</v>
      </c>
      <c r="J97" s="152">
        <v>1.5674999999999999</v>
      </c>
      <c r="K97" s="151">
        <v>43397</v>
      </c>
      <c r="L97" s="152">
        <v>1.5015639999999999</v>
      </c>
      <c r="M97" s="152" t="s">
        <v>1327</v>
      </c>
      <c r="N97" s="152" t="s">
        <v>1327</v>
      </c>
      <c r="O97" s="152">
        <v>1.5674999999999999</v>
      </c>
      <c r="P97" s="152" t="s">
        <v>1327</v>
      </c>
      <c r="Q97" s="152">
        <v>1.5674999999999999</v>
      </c>
      <c r="R97" s="152" t="s">
        <v>1327</v>
      </c>
      <c r="S97" s="152">
        <v>99.640557000000001</v>
      </c>
      <c r="T97" s="152">
        <v>0</v>
      </c>
      <c r="U97" s="152">
        <v>0.22931000000000001</v>
      </c>
      <c r="V97" s="152">
        <v>0.105166</v>
      </c>
      <c r="W97" s="152">
        <v>1000</v>
      </c>
      <c r="X97" s="152" t="s">
        <v>23</v>
      </c>
      <c r="Y97" s="152" t="s">
        <v>1328</v>
      </c>
      <c r="Z97" s="152" t="s">
        <v>1327</v>
      </c>
    </row>
    <row r="98" spans="1:26" x14ac:dyDescent="0.2">
      <c r="A98" s="152" t="s">
        <v>1379</v>
      </c>
      <c r="B98" s="152">
        <v>0</v>
      </c>
      <c r="C98" s="151">
        <v>43489</v>
      </c>
      <c r="D98" s="152">
        <v>0.24931500000000001</v>
      </c>
      <c r="E98" s="152" t="s">
        <v>1325</v>
      </c>
      <c r="F98" s="152" t="s">
        <v>1326</v>
      </c>
      <c r="G98" s="152"/>
      <c r="H98" s="152"/>
      <c r="I98" s="151">
        <v>43397</v>
      </c>
      <c r="J98" s="152">
        <v>1.57</v>
      </c>
      <c r="K98" s="151">
        <v>43397</v>
      </c>
      <c r="L98" s="152">
        <v>1.5336179999999999</v>
      </c>
      <c r="M98" s="152" t="s">
        <v>1327</v>
      </c>
      <c r="N98" s="152" t="s">
        <v>1327</v>
      </c>
      <c r="O98" s="152">
        <v>1.57</v>
      </c>
      <c r="P98" s="152" t="s">
        <v>1327</v>
      </c>
      <c r="Q98" s="152">
        <v>1.57</v>
      </c>
      <c r="R98" s="152" t="s">
        <v>1327</v>
      </c>
      <c r="S98" s="152">
        <v>99.610101999999998</v>
      </c>
      <c r="T98" s="152">
        <v>0</v>
      </c>
      <c r="U98" s="152">
        <v>0.24834300000000001</v>
      </c>
      <c r="V98" s="152">
        <v>0.123348</v>
      </c>
      <c r="W98" s="152">
        <v>1000</v>
      </c>
      <c r="X98" s="152" t="s">
        <v>23</v>
      </c>
      <c r="Y98" s="152" t="s">
        <v>1328</v>
      </c>
      <c r="Z98" s="152" t="s">
        <v>1327</v>
      </c>
    </row>
    <row r="99" spans="1:26" x14ac:dyDescent="0.2">
      <c r="A99" s="152" t="s">
        <v>573</v>
      </c>
      <c r="B99" s="152">
        <v>0</v>
      </c>
      <c r="C99" s="151">
        <v>43496</v>
      </c>
      <c r="D99" s="152">
        <v>0.26849299999999998</v>
      </c>
      <c r="E99" s="152" t="s">
        <v>1325</v>
      </c>
      <c r="F99" s="152" t="s">
        <v>1326</v>
      </c>
      <c r="G99" s="152"/>
      <c r="H99" s="152"/>
      <c r="I99" s="151">
        <v>43397</v>
      </c>
      <c r="J99" s="152">
        <v>1.61</v>
      </c>
      <c r="K99" s="151">
        <v>43397</v>
      </c>
      <c r="L99" s="152">
        <v>1.549364</v>
      </c>
      <c r="M99" s="152" t="s">
        <v>1327</v>
      </c>
      <c r="N99" s="152" t="s">
        <v>1327</v>
      </c>
      <c r="O99" s="152">
        <v>1.61</v>
      </c>
      <c r="P99" s="152" t="s">
        <v>1327</v>
      </c>
      <c r="Q99" s="152">
        <v>1.61</v>
      </c>
      <c r="R99" s="152" t="s">
        <v>1327</v>
      </c>
      <c r="S99" s="152">
        <v>99.569586999999999</v>
      </c>
      <c r="T99" s="152">
        <v>0</v>
      </c>
      <c r="U99" s="152">
        <v>0.26733800000000002</v>
      </c>
      <c r="V99" s="152">
        <v>0.14293900000000001</v>
      </c>
      <c r="W99" s="152">
        <v>1000</v>
      </c>
      <c r="X99" s="152" t="s">
        <v>23</v>
      </c>
      <c r="Y99" s="152" t="s">
        <v>1328</v>
      </c>
      <c r="Z99" s="152" t="s">
        <v>1327</v>
      </c>
    </row>
    <row r="100" spans="1:26" x14ac:dyDescent="0.2">
      <c r="A100" s="152" t="s">
        <v>1380</v>
      </c>
      <c r="B100" s="152">
        <v>0</v>
      </c>
      <c r="C100" s="151">
        <v>43503</v>
      </c>
      <c r="D100" s="152">
        <v>0.28767100000000001</v>
      </c>
      <c r="E100" s="152" t="s">
        <v>1325</v>
      </c>
      <c r="F100" s="152" t="s">
        <v>1326</v>
      </c>
      <c r="G100" s="152"/>
      <c r="H100" s="152"/>
      <c r="I100" s="151">
        <v>43395</v>
      </c>
      <c r="J100" s="152">
        <v>1.61</v>
      </c>
      <c r="K100" s="151">
        <v>43397</v>
      </c>
      <c r="L100" s="152">
        <v>1.56511</v>
      </c>
      <c r="M100" s="152" t="s">
        <v>1327</v>
      </c>
      <c r="N100" s="152" t="s">
        <v>1327</v>
      </c>
      <c r="O100" s="152">
        <v>1.56511</v>
      </c>
      <c r="P100" s="152" t="s">
        <v>1327</v>
      </c>
      <c r="Q100" s="152">
        <v>1.56511</v>
      </c>
      <c r="R100" s="152" t="s">
        <v>1327</v>
      </c>
      <c r="S100" s="152">
        <v>99.551781000000005</v>
      </c>
      <c r="T100" s="152">
        <v>0</v>
      </c>
      <c r="U100" s="152">
        <v>0.28638200000000003</v>
      </c>
      <c r="V100" s="152">
        <v>0.16402900000000001</v>
      </c>
      <c r="W100" s="152">
        <v>1000</v>
      </c>
      <c r="X100" s="152" t="s">
        <v>23</v>
      </c>
      <c r="Y100" s="152" t="s">
        <v>1328</v>
      </c>
      <c r="Z100" s="152" t="s">
        <v>1327</v>
      </c>
    </row>
    <row r="101" spans="1:26" x14ac:dyDescent="0.2">
      <c r="A101" s="152" t="s">
        <v>574</v>
      </c>
      <c r="B101" s="152">
        <v>0</v>
      </c>
      <c r="C101" s="151">
        <v>43510</v>
      </c>
      <c r="D101" s="152">
        <v>0.30684899999999998</v>
      </c>
      <c r="E101" s="152" t="s">
        <v>1325</v>
      </c>
      <c r="F101" s="152" t="s">
        <v>1326</v>
      </c>
      <c r="G101" s="152"/>
      <c r="H101" s="152"/>
      <c r="I101" s="151">
        <v>43397</v>
      </c>
      <c r="J101" s="152">
        <v>1.6</v>
      </c>
      <c r="K101" s="151">
        <v>43397</v>
      </c>
      <c r="L101" s="152">
        <v>1.580857</v>
      </c>
      <c r="M101" s="152" t="s">
        <v>1327</v>
      </c>
      <c r="N101" s="152" t="s">
        <v>1327</v>
      </c>
      <c r="O101" s="152">
        <v>1.6</v>
      </c>
      <c r="P101" s="152" t="s">
        <v>1327</v>
      </c>
      <c r="Q101" s="152">
        <v>1.6</v>
      </c>
      <c r="R101" s="152" t="s">
        <v>1327</v>
      </c>
      <c r="S101" s="152">
        <v>99.511439999999993</v>
      </c>
      <c r="T101" s="152">
        <v>0</v>
      </c>
      <c r="U101" s="152">
        <v>0.30535000000000001</v>
      </c>
      <c r="V101" s="152">
        <v>0.186477</v>
      </c>
      <c r="W101" s="152">
        <v>1000</v>
      </c>
      <c r="X101" s="152" t="s">
        <v>23</v>
      </c>
      <c r="Y101" s="152" t="s">
        <v>1328</v>
      </c>
      <c r="Z101" s="152" t="s">
        <v>1327</v>
      </c>
    </row>
    <row r="102" spans="1:26" x14ac:dyDescent="0.2">
      <c r="A102" s="152" t="s">
        <v>756</v>
      </c>
      <c r="B102" s="152">
        <v>0</v>
      </c>
      <c r="C102" s="151">
        <v>43517</v>
      </c>
      <c r="D102" s="152">
        <v>0.32602700000000001</v>
      </c>
      <c r="E102" s="152" t="s">
        <v>1325</v>
      </c>
      <c r="F102" s="152" t="s">
        <v>1326</v>
      </c>
      <c r="G102" s="152"/>
      <c r="H102" s="152"/>
      <c r="I102" s="151">
        <v>43397</v>
      </c>
      <c r="J102" s="152">
        <v>1.6</v>
      </c>
      <c r="K102" s="151">
        <v>43397</v>
      </c>
      <c r="L102" s="152">
        <v>1.596603</v>
      </c>
      <c r="M102" s="152" t="s">
        <v>1327</v>
      </c>
      <c r="N102" s="152" t="s">
        <v>1327</v>
      </c>
      <c r="O102" s="152">
        <v>1.6</v>
      </c>
      <c r="P102" s="152" t="s">
        <v>1327</v>
      </c>
      <c r="Q102" s="152">
        <v>1.6</v>
      </c>
      <c r="R102" s="152" t="s">
        <v>1327</v>
      </c>
      <c r="S102" s="152">
        <v>99.481063000000006</v>
      </c>
      <c r="T102" s="152">
        <v>0</v>
      </c>
      <c r="U102" s="152">
        <v>0.32433600000000001</v>
      </c>
      <c r="V102" s="152">
        <v>0.21038699999999999</v>
      </c>
      <c r="W102" s="152">
        <v>1000</v>
      </c>
      <c r="X102" s="152" t="s">
        <v>23</v>
      </c>
      <c r="Y102" s="152" t="s">
        <v>1328</v>
      </c>
      <c r="Z102" s="152" t="s">
        <v>1327</v>
      </c>
    </row>
    <row r="103" spans="1:26" x14ac:dyDescent="0.2">
      <c r="A103" s="152" t="s">
        <v>575</v>
      </c>
      <c r="B103" s="152">
        <v>0</v>
      </c>
      <c r="C103" s="151">
        <v>43524</v>
      </c>
      <c r="D103" s="152">
        <v>0.34520499999999998</v>
      </c>
      <c r="E103" s="152" t="s">
        <v>1325</v>
      </c>
      <c r="F103" s="152" t="s">
        <v>1326</v>
      </c>
      <c r="G103" s="152"/>
      <c r="H103" s="152"/>
      <c r="I103" s="151">
        <v>43395</v>
      </c>
      <c r="J103" s="152">
        <v>1.59</v>
      </c>
      <c r="K103" s="151">
        <v>43397</v>
      </c>
      <c r="L103" s="152">
        <v>1.612349</v>
      </c>
      <c r="M103" s="152" t="s">
        <v>1327</v>
      </c>
      <c r="N103" s="152" t="s">
        <v>1327</v>
      </c>
      <c r="O103" s="152">
        <v>1.612349</v>
      </c>
      <c r="P103" s="152" t="s">
        <v>1327</v>
      </c>
      <c r="Q103" s="152">
        <v>1.612349</v>
      </c>
      <c r="R103" s="152" t="s">
        <v>1327</v>
      </c>
      <c r="S103" s="152">
        <v>99.446489</v>
      </c>
      <c r="T103" s="152">
        <v>0</v>
      </c>
      <c r="U103" s="152">
        <v>0.34329500000000002</v>
      </c>
      <c r="V103" s="152">
        <v>0.235703</v>
      </c>
      <c r="W103" s="152">
        <v>1000</v>
      </c>
      <c r="X103" s="152" t="s">
        <v>23</v>
      </c>
      <c r="Y103" s="152" t="s">
        <v>1328</v>
      </c>
      <c r="Z103" s="152" t="s">
        <v>1327</v>
      </c>
    </row>
    <row r="104" spans="1:26" x14ac:dyDescent="0.2">
      <c r="A104" s="152" t="s">
        <v>576</v>
      </c>
      <c r="B104" s="152">
        <v>0</v>
      </c>
      <c r="C104" s="151">
        <v>43531</v>
      </c>
      <c r="D104" s="152">
        <v>0.36438399999999999</v>
      </c>
      <c r="E104" s="152" t="s">
        <v>1325</v>
      </c>
      <c r="F104" s="152" t="s">
        <v>1326</v>
      </c>
      <c r="G104" s="152"/>
      <c r="H104" s="152"/>
      <c r="I104" s="151">
        <v>43397</v>
      </c>
      <c r="J104" s="152">
        <v>1.655</v>
      </c>
      <c r="K104" s="151">
        <v>43397</v>
      </c>
      <c r="L104" s="152">
        <v>1.6280950000000001</v>
      </c>
      <c r="M104" s="152" t="s">
        <v>1327</v>
      </c>
      <c r="N104" s="152" t="s">
        <v>1327</v>
      </c>
      <c r="O104" s="152">
        <v>1.655</v>
      </c>
      <c r="P104" s="152" t="s">
        <v>1327</v>
      </c>
      <c r="Q104" s="152">
        <v>1.655</v>
      </c>
      <c r="R104" s="152" t="s">
        <v>1327</v>
      </c>
      <c r="S104" s="152">
        <v>99.400559999999999</v>
      </c>
      <c r="T104" s="152">
        <v>0</v>
      </c>
      <c r="U104" s="152">
        <v>0.36219899999999999</v>
      </c>
      <c r="V104" s="152">
        <v>0.26237700000000003</v>
      </c>
      <c r="W104" s="152">
        <v>1000</v>
      </c>
      <c r="X104" s="152" t="s">
        <v>23</v>
      </c>
      <c r="Y104" s="152" t="s">
        <v>1328</v>
      </c>
      <c r="Z104" s="152" t="s">
        <v>1327</v>
      </c>
    </row>
    <row r="105" spans="1:26" x14ac:dyDescent="0.2">
      <c r="A105" s="152" t="s">
        <v>522</v>
      </c>
      <c r="B105" s="152">
        <v>0</v>
      </c>
      <c r="C105" s="151">
        <v>43538</v>
      </c>
      <c r="D105" s="152">
        <v>0.38356200000000001</v>
      </c>
      <c r="E105" s="152" t="s">
        <v>1325</v>
      </c>
      <c r="F105" s="152" t="s">
        <v>1326</v>
      </c>
      <c r="G105" s="152"/>
      <c r="H105" s="152"/>
      <c r="I105" s="151">
        <v>43397</v>
      </c>
      <c r="J105" s="152">
        <v>1.71</v>
      </c>
      <c r="K105" s="151">
        <v>43397</v>
      </c>
      <c r="L105" s="152">
        <v>1.643842</v>
      </c>
      <c r="M105" s="152" t="s">
        <v>1327</v>
      </c>
      <c r="N105" s="152" t="s">
        <v>1327</v>
      </c>
      <c r="O105" s="152">
        <v>1.71</v>
      </c>
      <c r="P105" s="152" t="s">
        <v>1327</v>
      </c>
      <c r="Q105" s="152">
        <v>1.71</v>
      </c>
      <c r="R105" s="152" t="s">
        <v>1327</v>
      </c>
      <c r="S105" s="152">
        <v>99.348382999999998</v>
      </c>
      <c r="T105" s="152">
        <v>0</v>
      </c>
      <c r="U105" s="152">
        <v>0.38106200000000001</v>
      </c>
      <c r="V105" s="152">
        <v>0.29041699999999998</v>
      </c>
      <c r="W105" s="152">
        <v>1000</v>
      </c>
      <c r="X105" s="152" t="s">
        <v>23</v>
      </c>
      <c r="Y105" s="152" t="s">
        <v>1328</v>
      </c>
      <c r="Z105" s="152" t="s">
        <v>1327</v>
      </c>
    </row>
    <row r="106" spans="1:26" x14ac:dyDescent="0.2">
      <c r="A106" s="152" t="s">
        <v>1381</v>
      </c>
      <c r="B106" s="152">
        <v>0</v>
      </c>
      <c r="C106" s="151">
        <v>43538</v>
      </c>
      <c r="D106" s="152">
        <v>0.38356200000000001</v>
      </c>
      <c r="E106" s="152" t="s">
        <v>1325</v>
      </c>
      <c r="F106" s="152" t="s">
        <v>1326</v>
      </c>
      <c r="G106" s="152"/>
      <c r="H106" s="152"/>
      <c r="I106" s="151">
        <v>43395</v>
      </c>
      <c r="J106" s="152">
        <v>1.66</v>
      </c>
      <c r="K106" s="151">
        <v>43397</v>
      </c>
      <c r="L106" s="152">
        <v>1.643842</v>
      </c>
      <c r="M106" s="152" t="s">
        <v>1327</v>
      </c>
      <c r="N106" s="152" t="s">
        <v>1327</v>
      </c>
      <c r="O106" s="152">
        <v>1.643842</v>
      </c>
      <c r="P106" s="152" t="s">
        <v>1327</v>
      </c>
      <c r="Q106" s="152">
        <v>1.643842</v>
      </c>
      <c r="R106" s="152" t="s">
        <v>1327</v>
      </c>
      <c r="S106" s="152">
        <v>99.373435999999998</v>
      </c>
      <c r="T106" s="152">
        <v>0</v>
      </c>
      <c r="U106" s="152">
        <v>0.381158</v>
      </c>
      <c r="V106" s="152">
        <v>0.29056300000000002</v>
      </c>
      <c r="W106" s="152">
        <v>1000</v>
      </c>
      <c r="X106" s="152" t="s">
        <v>23</v>
      </c>
      <c r="Y106" s="152" t="s">
        <v>1328</v>
      </c>
      <c r="Z106" s="152" t="s">
        <v>1327</v>
      </c>
    </row>
    <row r="107" spans="1:26" x14ac:dyDescent="0.2">
      <c r="A107" s="152" t="s">
        <v>577</v>
      </c>
      <c r="B107" s="152">
        <v>0</v>
      </c>
      <c r="C107" s="151">
        <v>43545</v>
      </c>
      <c r="D107" s="152">
        <v>0.40273999999999999</v>
      </c>
      <c r="E107" s="152" t="s">
        <v>1325</v>
      </c>
      <c r="F107" s="152" t="s">
        <v>1326</v>
      </c>
      <c r="G107" s="152"/>
      <c r="H107" s="152"/>
      <c r="I107" s="151">
        <v>43391</v>
      </c>
      <c r="J107" s="152">
        <v>1.6725000000000001</v>
      </c>
      <c r="K107" s="151">
        <v>43397</v>
      </c>
      <c r="L107" s="152">
        <v>1.6595880000000001</v>
      </c>
      <c r="M107" s="152" t="s">
        <v>1327</v>
      </c>
      <c r="N107" s="152" t="s">
        <v>1327</v>
      </c>
      <c r="O107" s="152">
        <v>1.6595880000000001</v>
      </c>
      <c r="P107" s="152" t="s">
        <v>1327</v>
      </c>
      <c r="Q107" s="152">
        <v>1.6595880000000001</v>
      </c>
      <c r="R107" s="152" t="s">
        <v>1327</v>
      </c>
      <c r="S107" s="152">
        <v>99.336055999999999</v>
      </c>
      <c r="T107" s="152">
        <v>0</v>
      </c>
      <c r="U107" s="152">
        <v>0.40006599999999998</v>
      </c>
      <c r="V107" s="152">
        <v>0.32010499999999997</v>
      </c>
      <c r="W107" s="152">
        <v>1000</v>
      </c>
      <c r="X107" s="152" t="s">
        <v>23</v>
      </c>
      <c r="Y107" s="152" t="s">
        <v>1328</v>
      </c>
      <c r="Z107" s="152" t="s">
        <v>1327</v>
      </c>
    </row>
    <row r="108" spans="1:26" x14ac:dyDescent="0.2">
      <c r="A108" s="152" t="s">
        <v>578</v>
      </c>
      <c r="B108" s="152">
        <v>0</v>
      </c>
      <c r="C108" s="151">
        <v>43552</v>
      </c>
      <c r="D108" s="152">
        <v>0.42191800000000002</v>
      </c>
      <c r="E108" s="152" t="s">
        <v>1325</v>
      </c>
      <c r="F108" s="152" t="s">
        <v>1326</v>
      </c>
      <c r="G108" s="152"/>
      <c r="H108" s="152"/>
      <c r="I108" s="151">
        <v>43397</v>
      </c>
      <c r="J108" s="152">
        <v>1.7</v>
      </c>
      <c r="K108" s="151">
        <v>43397</v>
      </c>
      <c r="L108" s="152">
        <v>1.6753340000000001</v>
      </c>
      <c r="M108" s="152" t="s">
        <v>1327</v>
      </c>
      <c r="N108" s="152" t="s">
        <v>1327</v>
      </c>
      <c r="O108" s="152">
        <v>1.7</v>
      </c>
      <c r="P108" s="152" t="s">
        <v>1327</v>
      </c>
      <c r="Q108" s="152">
        <v>1.7</v>
      </c>
      <c r="R108" s="152" t="s">
        <v>1327</v>
      </c>
      <c r="S108" s="152">
        <v>99.287847999999997</v>
      </c>
      <c r="T108" s="152">
        <v>0</v>
      </c>
      <c r="U108" s="152">
        <v>0.41891299999999998</v>
      </c>
      <c r="V108" s="152">
        <v>0.35097600000000001</v>
      </c>
      <c r="W108" s="152">
        <v>1000</v>
      </c>
      <c r="X108" s="152" t="s">
        <v>23</v>
      </c>
      <c r="Y108" s="152" t="s">
        <v>1328</v>
      </c>
      <c r="Z108" s="152" t="s">
        <v>1327</v>
      </c>
    </row>
    <row r="109" spans="1:26" x14ac:dyDescent="0.2">
      <c r="A109" s="152" t="s">
        <v>579</v>
      </c>
      <c r="B109" s="152">
        <v>0</v>
      </c>
      <c r="C109" s="151">
        <v>43559</v>
      </c>
      <c r="D109" s="152">
        <v>0.44109599999999999</v>
      </c>
      <c r="E109" s="152" t="s">
        <v>1325</v>
      </c>
      <c r="F109" s="152" t="s">
        <v>1326</v>
      </c>
      <c r="G109" s="152"/>
      <c r="H109" s="152"/>
      <c r="I109" s="151">
        <v>43391</v>
      </c>
      <c r="J109" s="152">
        <v>1.6950000000000001</v>
      </c>
      <c r="K109" s="151">
        <v>43397</v>
      </c>
      <c r="L109" s="152">
        <v>1.6910799999999999</v>
      </c>
      <c r="M109" s="152" t="s">
        <v>1327</v>
      </c>
      <c r="N109" s="152" t="s">
        <v>1327</v>
      </c>
      <c r="O109" s="152">
        <v>1.6910799999999999</v>
      </c>
      <c r="P109" s="152" t="s">
        <v>1327</v>
      </c>
      <c r="Q109" s="152">
        <v>1.6910799999999999</v>
      </c>
      <c r="R109" s="152" t="s">
        <v>1327</v>
      </c>
      <c r="S109" s="152">
        <v>99.259594000000007</v>
      </c>
      <c r="T109" s="152">
        <v>0</v>
      </c>
      <c r="U109" s="152">
        <v>0.43783</v>
      </c>
      <c r="V109" s="152">
        <v>0.38339000000000001</v>
      </c>
      <c r="W109" s="152">
        <v>1000</v>
      </c>
      <c r="X109" s="152" t="s">
        <v>23</v>
      </c>
      <c r="Y109" s="152" t="s">
        <v>1328</v>
      </c>
      <c r="Z109" s="152" t="s">
        <v>1327</v>
      </c>
    </row>
    <row r="110" spans="1:26" x14ac:dyDescent="0.2">
      <c r="A110" s="152" t="s">
        <v>850</v>
      </c>
      <c r="B110" s="152">
        <v>0</v>
      </c>
      <c r="C110" s="151">
        <v>43566</v>
      </c>
      <c r="D110" s="152">
        <v>0.46027400000000002</v>
      </c>
      <c r="E110" s="152" t="s">
        <v>1325</v>
      </c>
      <c r="F110" s="152" t="s">
        <v>1326</v>
      </c>
      <c r="G110" s="152"/>
      <c r="H110" s="152"/>
      <c r="I110" s="151">
        <v>43395</v>
      </c>
      <c r="J110" s="152">
        <v>1.67</v>
      </c>
      <c r="K110" s="151">
        <v>43397</v>
      </c>
      <c r="L110" s="152">
        <v>1.7068270000000001</v>
      </c>
      <c r="M110" s="152" t="s">
        <v>1327</v>
      </c>
      <c r="N110" s="152" t="s">
        <v>1327</v>
      </c>
      <c r="O110" s="152">
        <v>1.7068270000000001</v>
      </c>
      <c r="P110" s="152" t="s">
        <v>1327</v>
      </c>
      <c r="Q110" s="152">
        <v>1.7068270000000001</v>
      </c>
      <c r="R110" s="152" t="s">
        <v>1327</v>
      </c>
      <c r="S110" s="152">
        <v>99.220516000000003</v>
      </c>
      <c r="T110" s="152">
        <v>0</v>
      </c>
      <c r="U110" s="152">
        <v>0.45668599999999998</v>
      </c>
      <c r="V110" s="152">
        <v>0.41712500000000002</v>
      </c>
      <c r="W110" s="152">
        <v>1000</v>
      </c>
      <c r="X110" s="152" t="s">
        <v>23</v>
      </c>
      <c r="Y110" s="152" t="s">
        <v>1328</v>
      </c>
      <c r="Z110" s="152" t="s">
        <v>1327</v>
      </c>
    </row>
    <row r="111" spans="1:26" x14ac:dyDescent="0.2">
      <c r="A111" s="152" t="s">
        <v>1382</v>
      </c>
      <c r="B111" s="152">
        <v>0</v>
      </c>
      <c r="C111" s="151">
        <v>43573</v>
      </c>
      <c r="D111" s="152">
        <v>0.47945199999999999</v>
      </c>
      <c r="E111" s="152" t="s">
        <v>1325</v>
      </c>
      <c r="F111" s="152" t="s">
        <v>1326</v>
      </c>
      <c r="G111" s="152"/>
      <c r="H111" s="152"/>
      <c r="I111" s="151">
        <v>43395</v>
      </c>
      <c r="J111" s="152">
        <v>1.6775</v>
      </c>
      <c r="K111" s="151">
        <v>43397</v>
      </c>
      <c r="L111" s="152">
        <v>1.7225729999999999</v>
      </c>
      <c r="M111" s="152" t="s">
        <v>1327</v>
      </c>
      <c r="N111" s="152" t="s">
        <v>1327</v>
      </c>
      <c r="O111" s="152">
        <v>1.7225729999999999</v>
      </c>
      <c r="P111" s="152" t="s">
        <v>1327</v>
      </c>
      <c r="Q111" s="152">
        <v>1.7225729999999999</v>
      </c>
      <c r="R111" s="152" t="s">
        <v>1327</v>
      </c>
      <c r="S111" s="152">
        <v>99.180874000000003</v>
      </c>
      <c r="T111" s="152">
        <v>0</v>
      </c>
      <c r="U111" s="152">
        <v>0.47552499999999998</v>
      </c>
      <c r="V111" s="152">
        <v>0.45224799999999998</v>
      </c>
      <c r="W111" s="152">
        <v>1000</v>
      </c>
      <c r="X111" s="152" t="s">
        <v>23</v>
      </c>
      <c r="Y111" s="152" t="s">
        <v>1328</v>
      </c>
      <c r="Z111" s="152" t="s">
        <v>1327</v>
      </c>
    </row>
    <row r="112" spans="1:26" x14ac:dyDescent="0.2">
      <c r="A112" s="152" t="s">
        <v>580</v>
      </c>
      <c r="B112" s="152">
        <v>0</v>
      </c>
      <c r="C112" s="151">
        <v>43622</v>
      </c>
      <c r="D112" s="152">
        <v>0.61369899999999999</v>
      </c>
      <c r="E112" s="152" t="s">
        <v>1325</v>
      </c>
      <c r="F112" s="152" t="s">
        <v>1326</v>
      </c>
      <c r="G112" s="152"/>
      <c r="H112" s="152"/>
      <c r="I112" s="151">
        <v>43397</v>
      </c>
      <c r="J112" s="152">
        <v>1.76</v>
      </c>
      <c r="K112" s="151">
        <v>43397</v>
      </c>
      <c r="L112" s="152">
        <v>1.7558309999999999</v>
      </c>
      <c r="M112" s="152" t="s">
        <v>1327</v>
      </c>
      <c r="N112" s="152" t="s">
        <v>1327</v>
      </c>
      <c r="O112" s="152">
        <v>1.76</v>
      </c>
      <c r="P112" s="152" t="s">
        <v>1327</v>
      </c>
      <c r="Q112" s="152">
        <v>1.76</v>
      </c>
      <c r="R112" s="152" t="s">
        <v>1327</v>
      </c>
      <c r="S112" s="152">
        <v>98.931432000000001</v>
      </c>
      <c r="T112" s="152">
        <v>0</v>
      </c>
      <c r="U112" s="152">
        <v>0.60714100000000004</v>
      </c>
      <c r="V112" s="152">
        <v>0.73724000000000001</v>
      </c>
      <c r="W112" s="152">
        <v>1000</v>
      </c>
      <c r="X112" s="152" t="s">
        <v>23</v>
      </c>
      <c r="Y112" s="152" t="s">
        <v>1328</v>
      </c>
      <c r="Z112" s="152" t="s">
        <v>1327</v>
      </c>
    </row>
    <row r="113" spans="1:26" x14ac:dyDescent="0.2">
      <c r="A113" s="152" t="s">
        <v>581</v>
      </c>
      <c r="B113" s="152">
        <v>0</v>
      </c>
      <c r="C113" s="151">
        <v>43713</v>
      </c>
      <c r="D113" s="152">
        <v>0.86301399999999995</v>
      </c>
      <c r="E113" s="152" t="s">
        <v>1325</v>
      </c>
      <c r="F113" s="152" t="s">
        <v>1326</v>
      </c>
      <c r="G113" s="152"/>
      <c r="H113" s="152"/>
      <c r="I113" s="151">
        <v>43397</v>
      </c>
      <c r="J113" s="152">
        <v>1.8</v>
      </c>
      <c r="K113" s="151">
        <v>43397</v>
      </c>
      <c r="L113" s="152">
        <v>1.7937730000000001</v>
      </c>
      <c r="M113" s="152" t="s">
        <v>1327</v>
      </c>
      <c r="N113" s="152" t="s">
        <v>1327</v>
      </c>
      <c r="O113" s="152">
        <v>1.8</v>
      </c>
      <c r="P113" s="152" t="s">
        <v>1327</v>
      </c>
      <c r="Q113" s="152">
        <v>1.8</v>
      </c>
      <c r="R113" s="152" t="s">
        <v>1327</v>
      </c>
      <c r="S113" s="152">
        <v>98.470337000000001</v>
      </c>
      <c r="T113" s="152">
        <v>0</v>
      </c>
      <c r="U113" s="152">
        <v>0.84981300000000004</v>
      </c>
      <c r="V113" s="152">
        <v>1.4443630000000001</v>
      </c>
      <c r="W113" s="152">
        <v>1000</v>
      </c>
      <c r="X113" s="152" t="s">
        <v>23</v>
      </c>
      <c r="Y113" s="152" t="s">
        <v>1328</v>
      </c>
      <c r="Z113" s="152" t="s">
        <v>1327</v>
      </c>
    </row>
    <row r="114" spans="1:26" x14ac:dyDescent="0.2">
      <c r="A114" s="152" t="s">
        <v>1383</v>
      </c>
      <c r="B114" s="152"/>
      <c r="C114" s="151"/>
      <c r="D114" s="152"/>
      <c r="E114" s="152"/>
      <c r="F114" s="152"/>
      <c r="G114" s="152"/>
      <c r="H114" s="152"/>
      <c r="I114" s="151"/>
      <c r="J114" s="152"/>
      <c r="K114" s="151"/>
      <c r="L114" s="152"/>
      <c r="M114" s="152"/>
      <c r="N114" s="152"/>
      <c r="O114" s="152"/>
      <c r="P114" s="152"/>
      <c r="Q114" s="152"/>
      <c r="R114" s="152"/>
      <c r="S114" s="152"/>
      <c r="T114" s="152"/>
      <c r="U114" s="152"/>
      <c r="V114" s="152"/>
      <c r="W114" s="152"/>
      <c r="X114" s="152"/>
      <c r="Y114" s="152"/>
      <c r="Z114" s="152"/>
    </row>
    <row r="115" spans="1:26" x14ac:dyDescent="0.2">
      <c r="A115" s="152" t="s">
        <v>82</v>
      </c>
      <c r="B115" s="152">
        <v>0</v>
      </c>
      <c r="C115" s="152">
        <v>43418</v>
      </c>
      <c r="D115" s="152">
        <v>5.4795000000000003E-2</v>
      </c>
      <c r="E115" s="152" t="s">
        <v>1325</v>
      </c>
      <c r="F115" s="152" t="s">
        <v>1326</v>
      </c>
      <c r="G115" s="152"/>
      <c r="H115" s="152"/>
      <c r="I115" s="152">
        <v>43377</v>
      </c>
      <c r="J115" s="152">
        <v>1.2</v>
      </c>
      <c r="K115" s="152">
        <v>43397</v>
      </c>
      <c r="L115" s="152">
        <v>1.2451289999999999</v>
      </c>
      <c r="M115" s="152" t="s">
        <v>1327</v>
      </c>
      <c r="N115" s="152" t="s">
        <v>1327</v>
      </c>
      <c r="O115" s="152">
        <v>1.2451289999999999</v>
      </c>
      <c r="P115" s="152" t="s">
        <v>1327</v>
      </c>
      <c r="Q115" s="152">
        <v>1.2451289999999999</v>
      </c>
      <c r="R115" s="152" t="s">
        <v>1327</v>
      </c>
      <c r="S115" s="152">
        <v>99.931820000000002</v>
      </c>
      <c r="T115" s="152">
        <v>0</v>
      </c>
      <c r="U115" s="152">
        <v>5.4757E-2</v>
      </c>
      <c r="V115" s="152">
        <v>5.9969999999999997E-3</v>
      </c>
      <c r="W115" s="152">
        <v>1000</v>
      </c>
      <c r="X115" s="152" t="s">
        <v>23</v>
      </c>
      <c r="Y115" s="152" t="s">
        <v>1328</v>
      </c>
      <c r="Z115" s="152" t="s">
        <v>1327</v>
      </c>
    </row>
    <row r="116" spans="1:26" x14ac:dyDescent="0.2">
      <c r="A116" s="152" t="s">
        <v>1384</v>
      </c>
      <c r="B116" s="152">
        <v>0</v>
      </c>
      <c r="C116" s="151">
        <v>43502</v>
      </c>
      <c r="D116" s="152">
        <v>0.28493200000000002</v>
      </c>
      <c r="E116" s="152" t="s">
        <v>1325</v>
      </c>
      <c r="F116" s="152" t="s">
        <v>1326</v>
      </c>
      <c r="G116" s="152"/>
      <c r="H116" s="152"/>
      <c r="I116" s="151">
        <v>43318</v>
      </c>
      <c r="J116" s="152">
        <v>1.528</v>
      </c>
      <c r="K116" s="151">
        <v>43397</v>
      </c>
      <c r="L116" s="152">
        <v>1.5628610000000001</v>
      </c>
      <c r="M116" s="152" t="s">
        <v>1327</v>
      </c>
      <c r="N116" s="152" t="s">
        <v>1327</v>
      </c>
      <c r="O116" s="152">
        <v>1.5628610000000001</v>
      </c>
      <c r="P116" s="152" t="s">
        <v>1327</v>
      </c>
      <c r="Q116" s="152">
        <v>1.5628610000000001</v>
      </c>
      <c r="R116" s="152" t="s">
        <v>1327</v>
      </c>
      <c r="S116" s="152">
        <v>99.556666000000007</v>
      </c>
      <c r="T116" s="152">
        <v>0</v>
      </c>
      <c r="U116" s="152">
        <v>0.28366799999999998</v>
      </c>
      <c r="V116" s="152">
        <v>0.16093499999999999</v>
      </c>
      <c r="W116" s="152">
        <v>1000</v>
      </c>
      <c r="X116" s="152" t="s">
        <v>23</v>
      </c>
      <c r="Y116" s="152" t="s">
        <v>1328</v>
      </c>
      <c r="Z116" s="152" t="s">
        <v>1327</v>
      </c>
    </row>
    <row r="117" spans="1:26" x14ac:dyDescent="0.2">
      <c r="A117" s="152" t="s">
        <v>1385</v>
      </c>
      <c r="B117" s="152">
        <v>0</v>
      </c>
      <c r="C117" s="151">
        <v>43551</v>
      </c>
      <c r="D117" s="152">
        <v>0.419178</v>
      </c>
      <c r="E117" s="152" t="s">
        <v>1325</v>
      </c>
      <c r="F117" s="152" t="s">
        <v>1326</v>
      </c>
      <c r="G117" s="152"/>
      <c r="H117" s="152"/>
      <c r="I117" s="151">
        <v>43328</v>
      </c>
      <c r="J117" s="152">
        <v>1.54</v>
      </c>
      <c r="K117" s="151">
        <v>43397</v>
      </c>
      <c r="L117" s="152">
        <v>1.6730849999999999</v>
      </c>
      <c r="M117" s="152" t="s">
        <v>1327</v>
      </c>
      <c r="N117" s="152" t="s">
        <v>1327</v>
      </c>
      <c r="O117" s="152">
        <v>1.6730849999999999</v>
      </c>
      <c r="P117" s="152" t="s">
        <v>1327</v>
      </c>
      <c r="Q117" s="152">
        <v>1.6730849999999999</v>
      </c>
      <c r="R117" s="152" t="s">
        <v>1327</v>
      </c>
      <c r="S117" s="152">
        <v>99.303563999999994</v>
      </c>
      <c r="T117" s="152">
        <v>0</v>
      </c>
      <c r="U117" s="152">
        <v>0.41625899999999999</v>
      </c>
      <c r="V117" s="152">
        <v>0.34654299999999999</v>
      </c>
      <c r="W117" s="152">
        <v>1000</v>
      </c>
      <c r="X117" s="152" t="s">
        <v>23</v>
      </c>
      <c r="Y117" s="152" t="s">
        <v>1328</v>
      </c>
      <c r="Z117" s="152" t="s">
        <v>1327</v>
      </c>
    </row>
    <row r="118" spans="1:26" x14ac:dyDescent="0.2">
      <c r="A118" s="152" t="s">
        <v>84</v>
      </c>
      <c r="B118" s="152">
        <v>0</v>
      </c>
      <c r="C118" s="151">
        <v>43558</v>
      </c>
      <c r="D118" s="152">
        <v>0.43835600000000002</v>
      </c>
      <c r="E118" s="152" t="s">
        <v>1325</v>
      </c>
      <c r="F118" s="152" t="s">
        <v>1326</v>
      </c>
      <c r="G118" s="152"/>
      <c r="H118" s="152"/>
      <c r="I118" s="151">
        <v>43348</v>
      </c>
      <c r="J118" s="152">
        <v>1.5275000000000001</v>
      </c>
      <c r="K118" s="151">
        <v>43397</v>
      </c>
      <c r="L118" s="152">
        <v>1.688831</v>
      </c>
      <c r="M118" s="152" t="s">
        <v>1327</v>
      </c>
      <c r="N118" s="152" t="s">
        <v>1327</v>
      </c>
      <c r="O118" s="152">
        <v>1.688831</v>
      </c>
      <c r="P118" s="152" t="s">
        <v>1327</v>
      </c>
      <c r="Q118" s="152">
        <v>1.688831</v>
      </c>
      <c r="R118" s="152" t="s">
        <v>1327</v>
      </c>
      <c r="S118" s="152">
        <v>99.265130999999997</v>
      </c>
      <c r="T118" s="152">
        <v>0</v>
      </c>
      <c r="U118" s="152">
        <v>0.43513499999999999</v>
      </c>
      <c r="V118" s="152">
        <v>0.37868499999999999</v>
      </c>
      <c r="W118" s="152">
        <v>1000</v>
      </c>
      <c r="X118" s="152" t="s">
        <v>23</v>
      </c>
      <c r="Y118" s="152" t="s">
        <v>1328</v>
      </c>
      <c r="Z118" s="152" t="s">
        <v>1327</v>
      </c>
    </row>
    <row r="119" spans="1:26" x14ac:dyDescent="0.2">
      <c r="A119" s="152" t="s">
        <v>1386</v>
      </c>
      <c r="B119" s="152">
        <v>0</v>
      </c>
      <c r="C119" s="151">
        <v>43705</v>
      </c>
      <c r="D119" s="152">
        <v>0.84109599999999995</v>
      </c>
      <c r="E119" s="152" t="s">
        <v>1325</v>
      </c>
      <c r="F119" s="152" t="s">
        <v>1326</v>
      </c>
      <c r="G119" s="152"/>
      <c r="H119" s="152"/>
      <c r="I119" s="151">
        <v>43339</v>
      </c>
      <c r="J119" s="152">
        <v>1.673</v>
      </c>
      <c r="K119" s="151">
        <v>43397</v>
      </c>
      <c r="L119" s="152">
        <v>1.790438</v>
      </c>
      <c r="M119" s="152" t="s">
        <v>1327</v>
      </c>
      <c r="N119" s="152" t="s">
        <v>1327</v>
      </c>
      <c r="O119" s="152">
        <v>1.790438</v>
      </c>
      <c r="P119" s="152" t="s">
        <v>1327</v>
      </c>
      <c r="Q119" s="152">
        <v>1.790438</v>
      </c>
      <c r="R119" s="152" t="s">
        <v>1327</v>
      </c>
      <c r="S119" s="152">
        <v>98.516412000000003</v>
      </c>
      <c r="T119" s="152">
        <v>0</v>
      </c>
      <c r="U119" s="152">
        <v>0.82861700000000005</v>
      </c>
      <c r="V119" s="152">
        <v>1.3732139999999999</v>
      </c>
      <c r="W119" s="152">
        <v>1000</v>
      </c>
      <c r="X119" s="152" t="s">
        <v>23</v>
      </c>
      <c r="Y119" s="152" t="s">
        <v>1328</v>
      </c>
      <c r="Z119" s="152" t="s">
        <v>1327</v>
      </c>
    </row>
    <row r="120" spans="1:26" x14ac:dyDescent="0.2">
      <c r="A120" s="152" t="s">
        <v>1387</v>
      </c>
      <c r="B120" s="152">
        <v>0</v>
      </c>
      <c r="C120" s="151">
        <v>43712</v>
      </c>
      <c r="D120" s="152">
        <v>0.86027399999999998</v>
      </c>
      <c r="E120" s="152" t="s">
        <v>1325</v>
      </c>
      <c r="F120" s="152" t="s">
        <v>1326</v>
      </c>
      <c r="G120" s="152"/>
      <c r="H120" s="152"/>
      <c r="I120" s="151">
        <v>43348</v>
      </c>
      <c r="J120" s="152">
        <v>1.7050000000000001</v>
      </c>
      <c r="K120" s="151">
        <v>43397</v>
      </c>
      <c r="L120" s="152">
        <v>1.7933570000000001</v>
      </c>
      <c r="M120" s="152" t="s">
        <v>1327</v>
      </c>
      <c r="N120" s="152" t="s">
        <v>1327</v>
      </c>
      <c r="O120" s="152">
        <v>1.7933570000000001</v>
      </c>
      <c r="P120" s="152" t="s">
        <v>1327</v>
      </c>
      <c r="Q120" s="152">
        <v>1.7933570000000001</v>
      </c>
      <c r="R120" s="152" t="s">
        <v>1327</v>
      </c>
      <c r="S120" s="152">
        <v>98.480661999999995</v>
      </c>
      <c r="T120" s="152">
        <v>0</v>
      </c>
      <c r="U120" s="152">
        <v>0.84720399999999996</v>
      </c>
      <c r="V120" s="152">
        <v>1.435508</v>
      </c>
      <c r="W120" s="152">
        <v>1000</v>
      </c>
      <c r="X120" s="152" t="s">
        <v>23</v>
      </c>
      <c r="Y120" s="152" t="s">
        <v>1328</v>
      </c>
      <c r="Z120" s="152" t="s">
        <v>1327</v>
      </c>
    </row>
    <row r="121" spans="1:26" x14ac:dyDescent="0.2">
      <c r="A121" s="152" t="s">
        <v>1388</v>
      </c>
      <c r="B121" s="152">
        <v>0</v>
      </c>
      <c r="C121" s="151">
        <v>43719</v>
      </c>
      <c r="D121" s="152">
        <v>0.87945200000000001</v>
      </c>
      <c r="E121" s="152" t="s">
        <v>1325</v>
      </c>
      <c r="F121" s="152" t="s">
        <v>1326</v>
      </c>
      <c r="G121" s="152"/>
      <c r="H121" s="152"/>
      <c r="I121" s="151">
        <v>43383</v>
      </c>
      <c r="J121" s="152">
        <v>1.7649999999999999</v>
      </c>
      <c r="K121" s="151">
        <v>43397</v>
      </c>
      <c r="L121" s="152">
        <v>1.7962750000000001</v>
      </c>
      <c r="M121" s="152" t="s">
        <v>1327</v>
      </c>
      <c r="N121" s="152" t="s">
        <v>1327</v>
      </c>
      <c r="O121" s="152">
        <v>1.7962750000000001</v>
      </c>
      <c r="P121" s="152" t="s">
        <v>1327</v>
      </c>
      <c r="Q121" s="152">
        <v>1.7962750000000001</v>
      </c>
      <c r="R121" s="152" t="s">
        <v>1327</v>
      </c>
      <c r="S121" s="152">
        <v>98.444829999999996</v>
      </c>
      <c r="T121" s="152">
        <v>0</v>
      </c>
      <c r="U121" s="152">
        <v>0.86577499999999996</v>
      </c>
      <c r="V121" s="152">
        <v>1.499133</v>
      </c>
      <c r="W121" s="152">
        <v>1000</v>
      </c>
      <c r="X121" s="152" t="s">
        <v>23</v>
      </c>
      <c r="Y121" s="152" t="s">
        <v>1328</v>
      </c>
      <c r="Z121" s="152" t="s">
        <v>1327</v>
      </c>
    </row>
    <row r="122" spans="1:26" x14ac:dyDescent="0.2">
      <c r="A122" s="152" t="s">
        <v>1389</v>
      </c>
      <c r="B122" s="152">
        <v>0</v>
      </c>
      <c r="C122" s="151">
        <v>43726</v>
      </c>
      <c r="D122" s="152">
        <v>0.89863000000000004</v>
      </c>
      <c r="E122" s="152" t="s">
        <v>1325</v>
      </c>
      <c r="F122" s="152" t="s">
        <v>1326</v>
      </c>
      <c r="G122" s="152"/>
      <c r="H122" s="152"/>
      <c r="I122" s="151">
        <v>43370</v>
      </c>
      <c r="J122" s="152">
        <v>1.72</v>
      </c>
      <c r="K122" s="151">
        <v>43397</v>
      </c>
      <c r="L122" s="152">
        <v>1.799194</v>
      </c>
      <c r="M122" s="152" t="s">
        <v>1327</v>
      </c>
      <c r="N122" s="152" t="s">
        <v>1327</v>
      </c>
      <c r="O122" s="152">
        <v>1.799194</v>
      </c>
      <c r="P122" s="152" t="s">
        <v>1327</v>
      </c>
      <c r="Q122" s="152">
        <v>1.799194</v>
      </c>
      <c r="R122" s="152" t="s">
        <v>1327</v>
      </c>
      <c r="S122" s="152">
        <v>98.408914999999993</v>
      </c>
      <c r="T122" s="152">
        <v>0</v>
      </c>
      <c r="U122" s="152">
        <v>0.88433200000000001</v>
      </c>
      <c r="V122" s="152">
        <v>1.564087</v>
      </c>
      <c r="W122" s="152">
        <v>1000</v>
      </c>
      <c r="X122" s="152" t="s">
        <v>23</v>
      </c>
      <c r="Y122" s="152" t="s">
        <v>1328</v>
      </c>
      <c r="Z122" s="152" t="s">
        <v>1327</v>
      </c>
    </row>
    <row r="123" spans="1:26" x14ac:dyDescent="0.2">
      <c r="A123" s="152" t="s">
        <v>1390</v>
      </c>
      <c r="B123" s="152">
        <v>0</v>
      </c>
      <c r="C123" s="151">
        <v>43733</v>
      </c>
      <c r="D123" s="152">
        <v>0.91780799999999996</v>
      </c>
      <c r="E123" s="152" t="s">
        <v>1325</v>
      </c>
      <c r="F123" s="152" t="s">
        <v>1326</v>
      </c>
      <c r="G123" s="152"/>
      <c r="H123" s="152"/>
      <c r="I123" s="151">
        <v>43384</v>
      </c>
      <c r="J123" s="152">
        <v>1.75</v>
      </c>
      <c r="K123" s="151">
        <v>43397</v>
      </c>
      <c r="L123" s="152">
        <v>1.8021119999999999</v>
      </c>
      <c r="M123" s="152" t="s">
        <v>1327</v>
      </c>
      <c r="N123" s="152" t="s">
        <v>1327</v>
      </c>
      <c r="O123" s="152">
        <v>1.8021119999999999</v>
      </c>
      <c r="P123" s="152" t="s">
        <v>1327</v>
      </c>
      <c r="Q123" s="152">
        <v>1.8021119999999999</v>
      </c>
      <c r="R123" s="152" t="s">
        <v>1327</v>
      </c>
      <c r="S123" s="152">
        <v>98.372918999999996</v>
      </c>
      <c r="T123" s="152">
        <v>0</v>
      </c>
      <c r="U123" s="152">
        <v>0.90287499999999998</v>
      </c>
      <c r="V123" s="152">
        <v>1.630366</v>
      </c>
      <c r="W123" s="152">
        <v>1000</v>
      </c>
      <c r="X123" s="152" t="s">
        <v>23</v>
      </c>
      <c r="Y123" s="152" t="s">
        <v>1328</v>
      </c>
      <c r="Z123" s="152" t="s">
        <v>1327</v>
      </c>
    </row>
    <row r="124" spans="1:26" x14ac:dyDescent="0.2">
      <c r="A124" s="152" t="s">
        <v>1391</v>
      </c>
      <c r="B124" s="152"/>
      <c r="C124" s="151"/>
      <c r="D124" s="152"/>
      <c r="E124" s="152"/>
      <c r="F124" s="152"/>
      <c r="G124" s="152"/>
      <c r="H124" s="152"/>
      <c r="I124" s="151"/>
      <c r="J124" s="152"/>
      <c r="K124" s="151"/>
      <c r="L124" s="152"/>
      <c r="M124" s="152"/>
      <c r="N124" s="152"/>
      <c r="O124" s="152"/>
      <c r="P124" s="152"/>
      <c r="Q124" s="152"/>
      <c r="R124" s="152"/>
      <c r="S124" s="152"/>
      <c r="T124" s="152"/>
      <c r="U124" s="152"/>
      <c r="V124" s="152"/>
      <c r="W124" s="152"/>
      <c r="X124" s="152"/>
      <c r="Y124" s="152"/>
      <c r="Z124" s="152"/>
    </row>
    <row r="125" spans="1:26" x14ac:dyDescent="0.2">
      <c r="A125" s="152" t="s">
        <v>1392</v>
      </c>
      <c r="B125" s="152">
        <v>4.29</v>
      </c>
      <c r="C125" s="152">
        <v>43501</v>
      </c>
      <c r="D125" s="152">
        <v>0.282192</v>
      </c>
      <c r="E125" s="152" t="s">
        <v>1325</v>
      </c>
      <c r="F125" s="152" t="s">
        <v>1326</v>
      </c>
      <c r="G125" s="152"/>
      <c r="H125" s="152"/>
      <c r="I125" s="152">
        <v>39846</v>
      </c>
      <c r="J125" s="152">
        <v>4.2921649999999998</v>
      </c>
      <c r="K125" s="152">
        <v>43395</v>
      </c>
      <c r="L125" s="152">
        <v>1.6739649999999999</v>
      </c>
      <c r="M125" s="152">
        <v>1.721465</v>
      </c>
      <c r="N125" s="152">
        <v>1.6419760000000001</v>
      </c>
      <c r="O125" s="152">
        <v>1.6389389999999999</v>
      </c>
      <c r="P125" s="152">
        <v>6.1307099999999997</v>
      </c>
      <c r="Q125" s="152">
        <v>1.6389389999999999</v>
      </c>
      <c r="R125" s="152" t="s">
        <v>1327</v>
      </c>
      <c r="S125" s="152">
        <v>100.723564</v>
      </c>
      <c r="T125" s="152">
        <v>0.95202699999999996</v>
      </c>
      <c r="U125" s="152">
        <v>0.27989799999999998</v>
      </c>
      <c r="V125" s="152">
        <v>0.21715400000000001</v>
      </c>
      <c r="W125" s="152">
        <v>1000</v>
      </c>
      <c r="X125" s="152" t="s">
        <v>23</v>
      </c>
      <c r="Y125" s="152" t="s">
        <v>1328</v>
      </c>
      <c r="Z125" s="152" t="s">
        <v>1327</v>
      </c>
    </row>
    <row r="126" spans="1:26" x14ac:dyDescent="0.2">
      <c r="A126" s="152" t="s">
        <v>1393</v>
      </c>
      <c r="B126" s="152">
        <v>4.29</v>
      </c>
      <c r="C126" s="151">
        <v>43515</v>
      </c>
      <c r="D126" s="152">
        <v>0.320548</v>
      </c>
      <c r="E126" s="152" t="s">
        <v>1325</v>
      </c>
      <c r="F126" s="152" t="s">
        <v>1326</v>
      </c>
      <c r="G126" s="152"/>
      <c r="H126" s="152"/>
      <c r="I126" s="152">
        <v>39857</v>
      </c>
      <c r="J126" s="152">
        <v>4.2921649999999998</v>
      </c>
      <c r="K126" s="151">
        <v>43395</v>
      </c>
      <c r="L126" s="152">
        <v>1.7067300000000001</v>
      </c>
      <c r="M126" s="152">
        <v>1.75423</v>
      </c>
      <c r="N126" s="152">
        <v>1.675252</v>
      </c>
      <c r="O126" s="152">
        <v>1.6829559999999999</v>
      </c>
      <c r="P126" s="152">
        <v>6.3738859999999997</v>
      </c>
      <c r="Q126" s="152">
        <v>1.6829559999999999</v>
      </c>
      <c r="R126" s="152" t="s">
        <v>1327</v>
      </c>
      <c r="S126" s="152">
        <v>100.810258</v>
      </c>
      <c r="T126" s="152">
        <v>0.78747900000000004</v>
      </c>
      <c r="U126" s="152">
        <v>0.31787300000000002</v>
      </c>
      <c r="V126" s="152">
        <v>0.258654</v>
      </c>
      <c r="W126" s="152">
        <v>1000</v>
      </c>
      <c r="X126" s="152" t="s">
        <v>23</v>
      </c>
      <c r="Y126" s="152" t="s">
        <v>1328</v>
      </c>
      <c r="Z126" s="152" t="s">
        <v>1327</v>
      </c>
    </row>
    <row r="127" spans="1:26" x14ac:dyDescent="0.2">
      <c r="A127" s="152" t="s">
        <v>1394</v>
      </c>
      <c r="B127" s="152">
        <v>4.05</v>
      </c>
      <c r="C127" s="151">
        <v>44058</v>
      </c>
      <c r="D127" s="152">
        <v>1.808219</v>
      </c>
      <c r="E127" s="152" t="s">
        <v>1325</v>
      </c>
      <c r="F127" s="152" t="s">
        <v>1326</v>
      </c>
      <c r="G127" s="152"/>
      <c r="H127" s="152"/>
      <c r="I127" s="151" t="s">
        <v>1327</v>
      </c>
      <c r="J127" s="152" t="s">
        <v>1327</v>
      </c>
      <c r="K127" s="151">
        <v>43395</v>
      </c>
      <c r="L127" s="152">
        <v>2.1843710000000001</v>
      </c>
      <c r="M127" s="152">
        <v>2.2581129999999998</v>
      </c>
      <c r="N127" s="152">
        <v>2.1637019999999998</v>
      </c>
      <c r="O127" s="152">
        <v>2.1113949999999999</v>
      </c>
      <c r="P127" s="152">
        <v>12.598542</v>
      </c>
      <c r="Q127" s="152">
        <v>2.1113949999999999</v>
      </c>
      <c r="R127" s="152" t="s">
        <v>1327</v>
      </c>
      <c r="S127" s="152">
        <v>103.405056</v>
      </c>
      <c r="T127" s="152">
        <v>0.78780799999999995</v>
      </c>
      <c r="U127" s="152">
        <v>1.7337610000000001</v>
      </c>
      <c r="V127" s="152">
        <v>3.9263919999999999</v>
      </c>
      <c r="W127" s="152">
        <v>1000</v>
      </c>
      <c r="X127" s="152" t="s">
        <v>23</v>
      </c>
      <c r="Y127" s="152" t="s">
        <v>1328</v>
      </c>
      <c r="Z127" s="152" t="s">
        <v>1327</v>
      </c>
    </row>
    <row r="128" spans="1:26" x14ac:dyDescent="0.2">
      <c r="A128" s="152" t="s">
        <v>1395</v>
      </c>
      <c r="B128" s="152">
        <v>4.13</v>
      </c>
      <c r="C128" s="151">
        <v>45139</v>
      </c>
      <c r="D128" s="152">
        <v>4.769863</v>
      </c>
      <c r="E128" s="152" t="s">
        <v>1325</v>
      </c>
      <c r="F128" s="152" t="s">
        <v>1326</v>
      </c>
      <c r="G128" s="152"/>
      <c r="H128" s="152"/>
      <c r="I128" s="151">
        <v>41481</v>
      </c>
      <c r="J128" s="152">
        <v>4.1279329999999996</v>
      </c>
      <c r="K128" s="151">
        <v>43395</v>
      </c>
      <c r="L128" s="152">
        <v>2.763995</v>
      </c>
      <c r="M128" s="152">
        <v>2.8387129999999998</v>
      </c>
      <c r="N128" s="152">
        <v>2.7175889999999998</v>
      </c>
      <c r="O128" s="152">
        <v>2.5945559999999999</v>
      </c>
      <c r="P128" s="152">
        <v>18.539349000000001</v>
      </c>
      <c r="Q128" s="152">
        <v>2.5945559999999999</v>
      </c>
      <c r="R128" s="152" t="s">
        <v>1327</v>
      </c>
      <c r="S128" s="152">
        <v>106.82874</v>
      </c>
      <c r="T128" s="152">
        <v>0.961781</v>
      </c>
      <c r="U128" s="152">
        <v>4.3016819999999996</v>
      </c>
      <c r="V128" s="152">
        <v>21.750389999999999</v>
      </c>
      <c r="W128" s="152">
        <v>1000</v>
      </c>
      <c r="X128" s="152" t="s">
        <v>23</v>
      </c>
      <c r="Y128" s="152" t="s">
        <v>1328</v>
      </c>
      <c r="Z128" s="152" t="s">
        <v>1327</v>
      </c>
    </row>
    <row r="129" spans="1:26" x14ac:dyDescent="0.2">
      <c r="A129" s="152" t="s">
        <v>1396</v>
      </c>
      <c r="B129" s="152">
        <v>4.49</v>
      </c>
      <c r="C129" s="151">
        <v>45168</v>
      </c>
      <c r="D129" s="152">
        <v>4.8493149999999998</v>
      </c>
      <c r="E129" s="152" t="s">
        <v>1325</v>
      </c>
      <c r="F129" s="152" t="s">
        <v>1326</v>
      </c>
      <c r="G129" s="152"/>
      <c r="H129" s="152"/>
      <c r="I129" s="152">
        <v>41953</v>
      </c>
      <c r="J129" s="152">
        <v>3.27</v>
      </c>
      <c r="K129" s="151">
        <v>43395</v>
      </c>
      <c r="L129" s="152">
        <v>2.776494</v>
      </c>
      <c r="M129" s="152">
        <v>2.8495430000000002</v>
      </c>
      <c r="N129" s="152">
        <v>2.7288169999999998</v>
      </c>
      <c r="O129" s="152">
        <v>2.6036589999999999</v>
      </c>
      <c r="P129" s="152">
        <v>18.652177999999999</v>
      </c>
      <c r="Q129" s="152">
        <v>2.6036589999999999</v>
      </c>
      <c r="R129" s="152" t="s">
        <v>1327</v>
      </c>
      <c r="S129" s="152">
        <v>108.537746</v>
      </c>
      <c r="T129" s="152">
        <v>0.68887699999999996</v>
      </c>
      <c r="U129" s="152">
        <v>4.3456469999999996</v>
      </c>
      <c r="V129" s="152">
        <v>22.218824999999999</v>
      </c>
      <c r="W129" s="152">
        <v>1000</v>
      </c>
      <c r="X129" s="152" t="s">
        <v>23</v>
      </c>
      <c r="Y129" s="152" t="s">
        <v>1328</v>
      </c>
      <c r="Z129" s="152" t="s">
        <v>1327</v>
      </c>
    </row>
    <row r="130" spans="1:26" x14ac:dyDescent="0.2">
      <c r="A130" s="152" t="s">
        <v>1397</v>
      </c>
      <c r="B130" s="152">
        <v>3.585</v>
      </c>
      <c r="C130" s="151">
        <v>43447</v>
      </c>
      <c r="D130" s="152">
        <v>0.13424700000000001</v>
      </c>
      <c r="E130" s="152" t="s">
        <v>1325</v>
      </c>
      <c r="F130" s="152" t="s">
        <v>1326</v>
      </c>
      <c r="G130" s="152"/>
      <c r="H130" s="152"/>
      <c r="I130" s="151">
        <v>43039</v>
      </c>
      <c r="J130" s="152">
        <v>1.46</v>
      </c>
      <c r="K130" s="151">
        <v>43395</v>
      </c>
      <c r="L130" s="152">
        <v>1.455983</v>
      </c>
      <c r="M130" s="152">
        <v>1.500983</v>
      </c>
      <c r="N130" s="152">
        <v>1.4309829999999999</v>
      </c>
      <c r="O130" s="152">
        <v>1.379712</v>
      </c>
      <c r="P130" s="152">
        <v>2.7291159999999999</v>
      </c>
      <c r="Q130" s="152">
        <v>1.379712</v>
      </c>
      <c r="R130" s="152" t="s">
        <v>1327</v>
      </c>
      <c r="S130" s="152">
        <v>100.288642</v>
      </c>
      <c r="T130" s="152">
        <v>1.3161369999999999</v>
      </c>
      <c r="U130" s="152">
        <v>0.133327</v>
      </c>
      <c r="V130" s="152">
        <v>8.3983000000000002E-2</v>
      </c>
      <c r="W130" s="152">
        <v>1000</v>
      </c>
      <c r="X130" s="152" t="s">
        <v>23</v>
      </c>
      <c r="Y130" s="152" t="s">
        <v>1328</v>
      </c>
      <c r="Z130" s="152" t="s">
        <v>1327</v>
      </c>
    </row>
    <row r="131" spans="1:26" x14ac:dyDescent="0.2">
      <c r="A131" s="152" t="s">
        <v>1398</v>
      </c>
      <c r="B131" s="152">
        <v>3.7949999999999999</v>
      </c>
      <c r="C131" s="151">
        <v>43402</v>
      </c>
      <c r="D131" s="152">
        <v>1.0959E-2</v>
      </c>
      <c r="E131" s="152" t="s">
        <v>1325</v>
      </c>
      <c r="F131" s="152" t="s">
        <v>1326</v>
      </c>
      <c r="G131" s="152"/>
      <c r="H131" s="152"/>
      <c r="I131" s="151">
        <v>42501</v>
      </c>
      <c r="J131" s="152">
        <v>1.58</v>
      </c>
      <c r="K131" s="151">
        <v>43395</v>
      </c>
      <c r="L131" s="152">
        <v>1.3480449999999999</v>
      </c>
      <c r="M131" s="152">
        <v>1.3930450000000001</v>
      </c>
      <c r="N131" s="152">
        <v>1.323045</v>
      </c>
      <c r="O131" s="152">
        <v>1.1473249999999999</v>
      </c>
      <c r="P131" s="152">
        <v>1.7797940000000001</v>
      </c>
      <c r="Q131" s="152">
        <v>1.1473249999999999</v>
      </c>
      <c r="R131" s="152" t="s">
        <v>1327</v>
      </c>
      <c r="S131" s="152">
        <v>100.02361500000001</v>
      </c>
      <c r="T131" s="152">
        <v>1.86111</v>
      </c>
      <c r="U131" s="152">
        <v>1.0895999999999999E-2</v>
      </c>
      <c r="V131" s="152">
        <v>5.5360000000000001E-3</v>
      </c>
      <c r="W131" s="152">
        <v>1000</v>
      </c>
      <c r="X131" s="152" t="s">
        <v>23</v>
      </c>
      <c r="Y131" s="152" t="s">
        <v>1328</v>
      </c>
      <c r="Z131" s="152" t="s">
        <v>1327</v>
      </c>
    </row>
    <row r="132" spans="1:26" x14ac:dyDescent="0.2">
      <c r="A132" s="152" t="s">
        <v>1399</v>
      </c>
      <c r="B132" s="152">
        <v>3.59</v>
      </c>
      <c r="C132" s="151">
        <v>43513</v>
      </c>
      <c r="D132" s="152">
        <v>0.31506800000000001</v>
      </c>
      <c r="E132" s="152" t="s">
        <v>1325</v>
      </c>
      <c r="F132" s="152" t="s">
        <v>1326</v>
      </c>
      <c r="G132" s="152"/>
      <c r="H132" s="152"/>
      <c r="I132" s="151">
        <v>41757</v>
      </c>
      <c r="J132" s="152">
        <v>3.19</v>
      </c>
      <c r="K132" s="151">
        <v>43395</v>
      </c>
      <c r="L132" s="152">
        <v>1.7069220000000001</v>
      </c>
      <c r="M132" s="152">
        <v>1.749549</v>
      </c>
      <c r="N132" s="152">
        <v>1.6814469999999999</v>
      </c>
      <c r="O132" s="152">
        <v>1.653394</v>
      </c>
      <c r="P132" s="152">
        <v>3.9494570000000002</v>
      </c>
      <c r="Q132" s="152">
        <v>1.653394</v>
      </c>
      <c r="R132" s="152" t="s">
        <v>1327</v>
      </c>
      <c r="S132" s="152">
        <v>100.589606</v>
      </c>
      <c r="T132" s="152">
        <v>0.67865799999999998</v>
      </c>
      <c r="U132" s="152">
        <v>0.31248500000000001</v>
      </c>
      <c r="V132" s="152">
        <v>0.25260899999999997</v>
      </c>
      <c r="W132" s="152">
        <v>1000</v>
      </c>
      <c r="X132" s="152" t="s">
        <v>23</v>
      </c>
      <c r="Y132" s="152" t="s">
        <v>1328</v>
      </c>
      <c r="Z132" s="152" t="s">
        <v>1327</v>
      </c>
    </row>
    <row r="133" spans="1:26" x14ac:dyDescent="0.2">
      <c r="A133" s="152" t="s">
        <v>1400</v>
      </c>
      <c r="B133" s="152">
        <v>3.53</v>
      </c>
      <c r="C133" s="151">
        <v>43565</v>
      </c>
      <c r="D133" s="152">
        <v>0.457534</v>
      </c>
      <c r="E133" s="152" t="s">
        <v>1325</v>
      </c>
      <c r="F133" s="152" t="s">
        <v>1326</v>
      </c>
      <c r="G133" s="152"/>
      <c r="H133" s="152"/>
      <c r="I133" s="152">
        <v>41733</v>
      </c>
      <c r="J133" s="152">
        <v>3.53</v>
      </c>
      <c r="K133" s="151">
        <v>43395</v>
      </c>
      <c r="L133" s="152">
        <v>1.8333649999999999</v>
      </c>
      <c r="M133" s="152">
        <v>1.871248</v>
      </c>
      <c r="N133" s="152">
        <v>1.806942</v>
      </c>
      <c r="O133" s="152">
        <v>1.7671600000000001</v>
      </c>
      <c r="P133" s="152">
        <v>4.7980309999999999</v>
      </c>
      <c r="Q133" s="152">
        <v>1.7671600000000001</v>
      </c>
      <c r="R133" s="152" t="s">
        <v>1327</v>
      </c>
      <c r="S133" s="152">
        <v>100.804027</v>
      </c>
      <c r="T133" s="152">
        <v>0.145068</v>
      </c>
      <c r="U133" s="152">
        <v>0.45352700000000001</v>
      </c>
      <c r="V133" s="152">
        <v>0.43046400000000001</v>
      </c>
      <c r="W133" s="152">
        <v>1000</v>
      </c>
      <c r="X133" s="152" t="s">
        <v>23</v>
      </c>
      <c r="Y133" s="152" t="s">
        <v>1328</v>
      </c>
      <c r="Z133" s="152" t="s">
        <v>1327</v>
      </c>
    </row>
    <row r="134" spans="1:26" x14ac:dyDescent="0.2">
      <c r="A134" s="152" t="s">
        <v>1401</v>
      </c>
      <c r="B134" s="152">
        <v>4.3</v>
      </c>
      <c r="C134" s="151">
        <v>43674</v>
      </c>
      <c r="D134" s="152">
        <v>0.75616399999999995</v>
      </c>
      <c r="E134" s="152" t="s">
        <v>1325</v>
      </c>
      <c r="F134" s="152" t="s">
        <v>1326</v>
      </c>
      <c r="G134" s="152"/>
      <c r="H134" s="152"/>
      <c r="I134" s="151">
        <v>43145</v>
      </c>
      <c r="J134" s="152">
        <v>1.4350000000000001</v>
      </c>
      <c r="K134" s="151">
        <v>43395</v>
      </c>
      <c r="L134" s="152">
        <v>1.9272389999999999</v>
      </c>
      <c r="M134" s="152">
        <v>1.9551769999999999</v>
      </c>
      <c r="N134" s="152">
        <v>1.898827</v>
      </c>
      <c r="O134" s="152">
        <v>1.843226</v>
      </c>
      <c r="P134" s="152">
        <v>6.3357150000000004</v>
      </c>
      <c r="Q134" s="152">
        <v>1.843226</v>
      </c>
      <c r="R134" s="152" t="s">
        <v>1327</v>
      </c>
      <c r="S134" s="152">
        <v>101.826227</v>
      </c>
      <c r="T134" s="152">
        <v>1.0484929999999999</v>
      </c>
      <c r="U134" s="152">
        <v>0.74302599999999996</v>
      </c>
      <c r="V134" s="152">
        <v>0.92520800000000003</v>
      </c>
      <c r="W134" s="152">
        <v>1000</v>
      </c>
      <c r="X134" s="152" t="s">
        <v>23</v>
      </c>
      <c r="Y134" s="152" t="s">
        <v>1328</v>
      </c>
      <c r="Z134" s="152" t="s">
        <v>1327</v>
      </c>
    </row>
    <row r="135" spans="1:26" x14ac:dyDescent="0.2">
      <c r="A135" s="152" t="s">
        <v>1402</v>
      </c>
      <c r="B135" s="152">
        <v>3.5</v>
      </c>
      <c r="C135" s="151">
        <v>43710</v>
      </c>
      <c r="D135" s="152">
        <v>0.85479499999999997</v>
      </c>
      <c r="E135" s="152" t="s">
        <v>1325</v>
      </c>
      <c r="F135" s="152" t="s">
        <v>1326</v>
      </c>
      <c r="G135" s="152"/>
      <c r="H135" s="152"/>
      <c r="I135" s="151">
        <v>42332</v>
      </c>
      <c r="J135" s="152">
        <v>2.2000000000000002</v>
      </c>
      <c r="K135" s="151">
        <v>43395</v>
      </c>
      <c r="L135" s="152">
        <v>1.950588</v>
      </c>
      <c r="M135" s="152">
        <v>1.975241</v>
      </c>
      <c r="N135" s="152">
        <v>1.9215180000000001</v>
      </c>
      <c r="O135" s="152">
        <v>1.8725560000000001</v>
      </c>
      <c r="P135" s="152">
        <v>6.7865099999999998</v>
      </c>
      <c r="Q135" s="152">
        <v>1.8725560000000001</v>
      </c>
      <c r="R135" s="152" t="s">
        <v>1327</v>
      </c>
      <c r="S135" s="152">
        <v>101.379811</v>
      </c>
      <c r="T135" s="152">
        <v>0.50821899999999998</v>
      </c>
      <c r="U135" s="152">
        <v>0.834341</v>
      </c>
      <c r="V135" s="152">
        <v>1.113542</v>
      </c>
      <c r="W135" s="152">
        <v>1000</v>
      </c>
      <c r="X135" s="152" t="s">
        <v>23</v>
      </c>
      <c r="Y135" s="152" t="s">
        <v>1328</v>
      </c>
      <c r="Z135" s="152" t="s">
        <v>1327</v>
      </c>
    </row>
    <row r="136" spans="1:26" x14ac:dyDescent="0.2">
      <c r="A136" s="152" t="s">
        <v>1403</v>
      </c>
      <c r="B136" s="152">
        <v>4.38</v>
      </c>
      <c r="C136" s="151">
        <v>43803</v>
      </c>
      <c r="D136" s="152">
        <v>1.1095889999999999</v>
      </c>
      <c r="E136" s="152" t="s">
        <v>1325</v>
      </c>
      <c r="F136" s="152" t="s">
        <v>1326</v>
      </c>
      <c r="G136" s="152"/>
      <c r="H136" s="152"/>
      <c r="I136" s="151">
        <v>43213</v>
      </c>
      <c r="J136" s="152">
        <v>1.49</v>
      </c>
      <c r="K136" s="151">
        <v>43395</v>
      </c>
      <c r="L136" s="152">
        <v>2.017738</v>
      </c>
      <c r="M136" s="152">
        <v>2.0440670000000001</v>
      </c>
      <c r="N136" s="152">
        <v>1.988313</v>
      </c>
      <c r="O136" s="152">
        <v>1.8983490000000001</v>
      </c>
      <c r="P136" s="152">
        <v>7.8484429999999996</v>
      </c>
      <c r="Q136" s="152">
        <v>1.8983490000000001</v>
      </c>
      <c r="R136" s="152" t="s">
        <v>1327</v>
      </c>
      <c r="S136" s="152">
        <v>102.70432599999999</v>
      </c>
      <c r="T136" s="152">
        <v>1.716</v>
      </c>
      <c r="U136" s="152">
        <v>1.068154</v>
      </c>
      <c r="V136" s="152">
        <v>1.694672</v>
      </c>
      <c r="W136" s="152">
        <v>1000</v>
      </c>
      <c r="X136" s="152" t="s">
        <v>23</v>
      </c>
      <c r="Y136" s="152" t="s">
        <v>1328</v>
      </c>
      <c r="Z136" s="152" t="s">
        <v>1327</v>
      </c>
    </row>
    <row r="137" spans="1:26" x14ac:dyDescent="0.2">
      <c r="A137" s="152" t="s">
        <v>1404</v>
      </c>
      <c r="B137" s="152">
        <v>2.5979999999999999</v>
      </c>
      <c r="C137" s="151">
        <v>43814</v>
      </c>
      <c r="D137" s="152">
        <v>1.139726</v>
      </c>
      <c r="E137" s="152" t="s">
        <v>1325</v>
      </c>
      <c r="F137" s="152" t="s">
        <v>1326</v>
      </c>
      <c r="G137" s="152"/>
      <c r="H137" s="152"/>
      <c r="I137" s="151">
        <v>41985</v>
      </c>
      <c r="J137" s="152">
        <v>2.5979999999999999</v>
      </c>
      <c r="K137" s="151">
        <v>43395</v>
      </c>
      <c r="L137" s="152">
        <v>2.026662</v>
      </c>
      <c r="M137" s="152">
        <v>2.0546479999999998</v>
      </c>
      <c r="N137" s="152">
        <v>1.9973879999999999</v>
      </c>
      <c r="O137" s="152">
        <v>1.905867</v>
      </c>
      <c r="P137" s="152">
        <v>7.9654670000000003</v>
      </c>
      <c r="Q137" s="152">
        <v>1.905867</v>
      </c>
      <c r="R137" s="152" t="s">
        <v>1327</v>
      </c>
      <c r="S137" s="152">
        <v>100.77188099999999</v>
      </c>
      <c r="T137" s="152">
        <v>0.93955100000000003</v>
      </c>
      <c r="U137" s="152">
        <v>1.110101</v>
      </c>
      <c r="V137" s="152">
        <v>1.7973730000000001</v>
      </c>
      <c r="W137" s="152">
        <v>1000</v>
      </c>
      <c r="X137" s="152" t="s">
        <v>23</v>
      </c>
      <c r="Y137" s="152" t="s">
        <v>1328</v>
      </c>
      <c r="Z137" s="152" t="s">
        <v>1327</v>
      </c>
    </row>
    <row r="138" spans="1:26" x14ac:dyDescent="0.2">
      <c r="A138" s="152" t="s">
        <v>1405</v>
      </c>
      <c r="B138" s="152">
        <v>3.5449999999999999</v>
      </c>
      <c r="C138" s="151">
        <v>43950</v>
      </c>
      <c r="D138" s="152">
        <v>1.512329</v>
      </c>
      <c r="E138" s="152" t="s">
        <v>1325</v>
      </c>
      <c r="F138" s="152" t="s">
        <v>1326</v>
      </c>
      <c r="G138" s="152"/>
      <c r="H138" s="152"/>
      <c r="I138" s="151">
        <v>41389</v>
      </c>
      <c r="J138" s="152">
        <v>3.5449999999999999</v>
      </c>
      <c r="K138" s="151">
        <v>43395</v>
      </c>
      <c r="L138" s="152">
        <v>2.1369929999999999</v>
      </c>
      <c r="M138" s="152">
        <v>2.185473</v>
      </c>
      <c r="N138" s="152">
        <v>2.1095820000000001</v>
      </c>
      <c r="O138" s="152">
        <v>2.016394</v>
      </c>
      <c r="P138" s="152">
        <v>9.2898580000000006</v>
      </c>
      <c r="Q138" s="152">
        <v>2.016394</v>
      </c>
      <c r="R138" s="152" t="s">
        <v>1327</v>
      </c>
      <c r="S138" s="152">
        <v>102.263811</v>
      </c>
      <c r="T138" s="152">
        <v>-3.8849000000000002E-2</v>
      </c>
      <c r="U138" s="152">
        <v>1.4704759999999999</v>
      </c>
      <c r="V138" s="152">
        <v>2.9105379999999998</v>
      </c>
      <c r="W138" s="152">
        <v>1000</v>
      </c>
      <c r="X138" s="152" t="s">
        <v>23</v>
      </c>
      <c r="Y138" s="152" t="s">
        <v>1328</v>
      </c>
      <c r="Z138" s="152" t="s">
        <v>1327</v>
      </c>
    </row>
    <row r="139" spans="1:26" x14ac:dyDescent="0.2">
      <c r="A139" s="152" t="s">
        <v>1406</v>
      </c>
      <c r="B139" s="152">
        <v>3.66</v>
      </c>
      <c r="C139" s="151">
        <v>43957</v>
      </c>
      <c r="D139" s="152">
        <v>1.531507</v>
      </c>
      <c r="E139" s="152" t="s">
        <v>1325</v>
      </c>
      <c r="F139" s="152" t="s">
        <v>1326</v>
      </c>
      <c r="G139" s="152"/>
      <c r="H139" s="152"/>
      <c r="I139" s="151">
        <v>40298</v>
      </c>
      <c r="J139" s="152">
        <v>3.6582080000000001</v>
      </c>
      <c r="K139" s="151">
        <v>43395</v>
      </c>
      <c r="L139" s="152">
        <v>2.1426720000000001</v>
      </c>
      <c r="M139" s="152">
        <v>2.1922069999999998</v>
      </c>
      <c r="N139" s="152">
        <v>2.1153569999999999</v>
      </c>
      <c r="O139" s="152">
        <v>2.0182060000000002</v>
      </c>
      <c r="P139" s="152">
        <v>9.3525960000000001</v>
      </c>
      <c r="Q139" s="152">
        <v>2.0182060000000002</v>
      </c>
      <c r="R139" s="152" t="s">
        <v>1327</v>
      </c>
      <c r="S139" s="152">
        <v>102.45030199999999</v>
      </c>
      <c r="T139" s="152">
        <v>1.724712</v>
      </c>
      <c r="U139" s="152">
        <v>1.46577</v>
      </c>
      <c r="V139" s="152">
        <v>2.9313280000000002</v>
      </c>
      <c r="W139" s="152">
        <v>1000</v>
      </c>
      <c r="X139" s="152" t="s">
        <v>23</v>
      </c>
      <c r="Y139" s="152" t="s">
        <v>1328</v>
      </c>
      <c r="Z139" s="152" t="s">
        <v>1327</v>
      </c>
    </row>
    <row r="140" spans="1:26" x14ac:dyDescent="0.2">
      <c r="A140" s="152" t="s">
        <v>1407</v>
      </c>
      <c r="B140" s="152">
        <v>3.85</v>
      </c>
      <c r="C140" s="151">
        <v>44014</v>
      </c>
      <c r="D140" s="152">
        <v>1.6876709999999999</v>
      </c>
      <c r="E140" s="152" t="s">
        <v>1325</v>
      </c>
      <c r="F140" s="152" t="s">
        <v>1326</v>
      </c>
      <c r="G140" s="152"/>
      <c r="H140" s="152"/>
      <c r="I140" s="151" t="s">
        <v>1327</v>
      </c>
      <c r="J140" s="152" t="s">
        <v>1327</v>
      </c>
      <c r="K140" s="151">
        <v>43395</v>
      </c>
      <c r="L140" s="152">
        <v>2.1873860000000001</v>
      </c>
      <c r="M140" s="152">
        <v>2.2455090000000002</v>
      </c>
      <c r="N140" s="152">
        <v>2.1608520000000002</v>
      </c>
      <c r="O140" s="152">
        <v>2.0610689999999998</v>
      </c>
      <c r="P140" s="152">
        <v>9.8464449999999992</v>
      </c>
      <c r="Q140" s="152">
        <v>2.0610689999999998</v>
      </c>
      <c r="R140" s="152" t="s">
        <v>1327</v>
      </c>
      <c r="S140" s="152">
        <v>102.93651</v>
      </c>
      <c r="T140" s="152">
        <v>1.213014</v>
      </c>
      <c r="U140" s="152">
        <v>1.6175120000000001</v>
      </c>
      <c r="V140" s="152">
        <v>3.4767600000000001</v>
      </c>
      <c r="W140" s="152">
        <v>1000</v>
      </c>
      <c r="X140" s="152" t="s">
        <v>23</v>
      </c>
      <c r="Y140" s="152" t="s">
        <v>1328</v>
      </c>
      <c r="Z140" s="152" t="s">
        <v>1327</v>
      </c>
    </row>
    <row r="141" spans="1:26" x14ac:dyDescent="0.2">
      <c r="A141" s="152" t="s">
        <v>1408</v>
      </c>
      <c r="B141" s="152">
        <v>3.94</v>
      </c>
      <c r="C141" s="151">
        <v>44048</v>
      </c>
      <c r="D141" s="152">
        <v>1.7808219999999999</v>
      </c>
      <c r="E141" s="152" t="s">
        <v>1325</v>
      </c>
      <c r="F141" s="152" t="s">
        <v>1326</v>
      </c>
      <c r="G141" s="152"/>
      <c r="H141" s="152"/>
      <c r="I141" s="151" t="s">
        <v>1327</v>
      </c>
      <c r="J141" s="152" t="s">
        <v>1327</v>
      </c>
      <c r="K141" s="151">
        <v>43395</v>
      </c>
      <c r="L141" s="152">
        <v>2.204577</v>
      </c>
      <c r="M141" s="152">
        <v>2.2678240000000001</v>
      </c>
      <c r="N141" s="152">
        <v>2.178509</v>
      </c>
      <c r="O141" s="152">
        <v>2.0822759999999998</v>
      </c>
      <c r="P141" s="152">
        <v>10.127534000000001</v>
      </c>
      <c r="Q141" s="152">
        <v>2.0822759999999998</v>
      </c>
      <c r="R141" s="152" t="s">
        <v>1327</v>
      </c>
      <c r="S141" s="152">
        <v>103.214947</v>
      </c>
      <c r="T141" s="152">
        <v>0.87435600000000002</v>
      </c>
      <c r="U141" s="152">
        <v>1.708345</v>
      </c>
      <c r="V141" s="152">
        <v>3.8249559999999998</v>
      </c>
      <c r="W141" s="152">
        <v>1000</v>
      </c>
      <c r="X141" s="152" t="s">
        <v>23</v>
      </c>
      <c r="Y141" s="152" t="s">
        <v>1328</v>
      </c>
      <c r="Z141" s="152" t="s">
        <v>1327</v>
      </c>
    </row>
    <row r="142" spans="1:26" x14ac:dyDescent="0.2">
      <c r="A142" s="152" t="s">
        <v>1409</v>
      </c>
      <c r="B142" s="152">
        <v>4.03</v>
      </c>
      <c r="C142" s="151">
        <v>44182</v>
      </c>
      <c r="D142" s="152">
        <v>2.147945</v>
      </c>
      <c r="E142" s="152" t="s">
        <v>1325</v>
      </c>
      <c r="F142" s="152" t="s">
        <v>1326</v>
      </c>
      <c r="G142" s="152"/>
      <c r="H142" s="152"/>
      <c r="I142" s="151">
        <v>41621</v>
      </c>
      <c r="J142" s="152">
        <v>4.03</v>
      </c>
      <c r="K142" s="151">
        <v>43395</v>
      </c>
      <c r="L142" s="152">
        <v>2.2723309999999999</v>
      </c>
      <c r="M142" s="152">
        <v>2.3557700000000001</v>
      </c>
      <c r="N142" s="152">
        <v>2.2480989999999998</v>
      </c>
      <c r="O142" s="152">
        <v>2.1417579999999998</v>
      </c>
      <c r="P142" s="152">
        <v>11.150562000000001</v>
      </c>
      <c r="Q142" s="152">
        <v>2.1417579999999998</v>
      </c>
      <c r="R142" s="152" t="s">
        <v>1327</v>
      </c>
      <c r="S142" s="152">
        <v>103.930718</v>
      </c>
      <c r="T142" s="152">
        <v>1.4353419999999999</v>
      </c>
      <c r="U142" s="152">
        <v>2.0291570000000001</v>
      </c>
      <c r="V142" s="152">
        <v>5.2515830000000001</v>
      </c>
      <c r="W142" s="152">
        <v>1000</v>
      </c>
      <c r="X142" s="152" t="s">
        <v>23</v>
      </c>
      <c r="Y142" s="152" t="s">
        <v>1328</v>
      </c>
      <c r="Z142" s="152" t="s">
        <v>1327</v>
      </c>
    </row>
    <row r="143" spans="1:26" x14ac:dyDescent="0.2">
      <c r="A143" s="152" t="s">
        <v>1410</v>
      </c>
      <c r="B143" s="152">
        <v>2.6</v>
      </c>
      <c r="C143" s="151">
        <v>44219</v>
      </c>
      <c r="D143" s="152">
        <v>2.2493150000000002</v>
      </c>
      <c r="E143" s="152" t="s">
        <v>1325</v>
      </c>
      <c r="F143" s="152" t="s">
        <v>1326</v>
      </c>
      <c r="G143" s="152"/>
      <c r="H143" s="152"/>
      <c r="I143" s="151">
        <v>43178</v>
      </c>
      <c r="J143" s="152">
        <v>1.58</v>
      </c>
      <c r="K143" s="151">
        <v>43395</v>
      </c>
      <c r="L143" s="152">
        <v>2.2910400000000002</v>
      </c>
      <c r="M143" s="152">
        <v>2.3800530000000002</v>
      </c>
      <c r="N143" s="152">
        <v>2.2673139999999998</v>
      </c>
      <c r="O143" s="152">
        <v>2.1539790000000001</v>
      </c>
      <c r="P143" s="152">
        <v>11.412039999999999</v>
      </c>
      <c r="Q143" s="152">
        <v>2.1539790000000001</v>
      </c>
      <c r="R143" s="152" t="s">
        <v>1327</v>
      </c>
      <c r="S143" s="152">
        <v>100.960632</v>
      </c>
      <c r="T143" s="152">
        <v>0.66958899999999999</v>
      </c>
      <c r="U143" s="152">
        <v>2.1603620000000001</v>
      </c>
      <c r="V143" s="152">
        <v>5.8247059999999999</v>
      </c>
      <c r="W143" s="152">
        <v>1000</v>
      </c>
      <c r="X143" s="152" t="s">
        <v>23</v>
      </c>
      <c r="Y143" s="152" t="s">
        <v>1328</v>
      </c>
      <c r="Z143" s="152" t="s">
        <v>1327</v>
      </c>
    </row>
    <row r="144" spans="1:26" x14ac:dyDescent="0.2">
      <c r="A144" s="152" t="s">
        <v>1411</v>
      </c>
      <c r="B144" s="152">
        <v>3.75</v>
      </c>
      <c r="C144" s="151">
        <v>44363</v>
      </c>
      <c r="D144" s="152">
        <v>2.6438359999999999</v>
      </c>
      <c r="E144" s="152" t="s">
        <v>1325</v>
      </c>
      <c r="F144" s="152" t="s">
        <v>1326</v>
      </c>
      <c r="G144" s="152"/>
      <c r="H144" s="152"/>
      <c r="I144" s="152">
        <v>40704</v>
      </c>
      <c r="J144" s="152">
        <v>3.75</v>
      </c>
      <c r="K144" s="151">
        <v>43395</v>
      </c>
      <c r="L144" s="152">
        <v>2.3638499999999998</v>
      </c>
      <c r="M144" s="152">
        <v>2.4745620000000002</v>
      </c>
      <c r="N144" s="152">
        <v>2.3420969999999999</v>
      </c>
      <c r="O144" s="152">
        <v>2.1897669999999998</v>
      </c>
      <c r="P144" s="152">
        <v>12.357429</v>
      </c>
      <c r="Q144" s="152">
        <v>2.1897669999999998</v>
      </c>
      <c r="R144" s="152" t="s">
        <v>1327</v>
      </c>
      <c r="S144" s="152">
        <v>103.977479</v>
      </c>
      <c r="T144" s="152">
        <v>1.34589</v>
      </c>
      <c r="U144" s="152">
        <v>2.4840710000000001</v>
      </c>
      <c r="V144" s="152">
        <v>7.618779</v>
      </c>
      <c r="W144" s="152">
        <v>1000</v>
      </c>
      <c r="X144" s="152" t="s">
        <v>23</v>
      </c>
      <c r="Y144" s="152" t="s">
        <v>1328</v>
      </c>
      <c r="Z144" s="152" t="s">
        <v>1327</v>
      </c>
    </row>
    <row r="145" spans="1:26" x14ac:dyDescent="0.2">
      <c r="A145" s="152" t="s">
        <v>1412</v>
      </c>
      <c r="B145" s="152">
        <v>3.74</v>
      </c>
      <c r="C145" s="151">
        <v>44353</v>
      </c>
      <c r="D145" s="152">
        <v>2.616438</v>
      </c>
      <c r="E145" s="152" t="s">
        <v>1325</v>
      </c>
      <c r="F145" s="152" t="s">
        <v>1326</v>
      </c>
      <c r="G145" s="152"/>
      <c r="H145" s="152"/>
      <c r="I145" s="152" t="s">
        <v>1327</v>
      </c>
      <c r="J145" s="152" t="s">
        <v>1327</v>
      </c>
      <c r="K145" s="151">
        <v>43395</v>
      </c>
      <c r="L145" s="152">
        <v>2.3587940000000001</v>
      </c>
      <c r="M145" s="152">
        <v>2.4679989999999998</v>
      </c>
      <c r="N145" s="152">
        <v>2.336903</v>
      </c>
      <c r="O145" s="152">
        <v>2.1867130000000001</v>
      </c>
      <c r="P145" s="152">
        <v>12.295165000000001</v>
      </c>
      <c r="Q145" s="152">
        <v>2.1867130000000001</v>
      </c>
      <c r="R145" s="152" t="s">
        <v>1327</v>
      </c>
      <c r="S145" s="152">
        <v>103.92024499999999</v>
      </c>
      <c r="T145" s="152">
        <v>1.4447669999999999</v>
      </c>
      <c r="U145" s="152">
        <v>2.4573239999999998</v>
      </c>
      <c r="V145" s="152">
        <v>7.4729140000000003</v>
      </c>
      <c r="W145" s="152">
        <v>1000</v>
      </c>
      <c r="X145" s="152" t="s">
        <v>23</v>
      </c>
      <c r="Y145" s="152" t="s">
        <v>1328</v>
      </c>
      <c r="Z145" s="152" t="s">
        <v>1327</v>
      </c>
    </row>
    <row r="146" spans="1:26" x14ac:dyDescent="0.2">
      <c r="A146" s="152" t="s">
        <v>1413</v>
      </c>
      <c r="B146" s="152">
        <v>4.38</v>
      </c>
      <c r="C146" s="151">
        <v>44405</v>
      </c>
      <c r="D146" s="152">
        <v>2.7589039999999998</v>
      </c>
      <c r="E146" s="152" t="s">
        <v>1325</v>
      </c>
      <c r="F146" s="152" t="s">
        <v>1326</v>
      </c>
      <c r="G146" s="152"/>
      <c r="H146" s="152"/>
      <c r="I146" s="151">
        <v>41589</v>
      </c>
      <c r="J146" s="152">
        <v>4.13</v>
      </c>
      <c r="K146" s="151">
        <v>43395</v>
      </c>
      <c r="L146" s="152">
        <v>2.3850859999999998</v>
      </c>
      <c r="M146" s="152">
        <v>2.5021270000000002</v>
      </c>
      <c r="N146" s="152">
        <v>2.3639079999999999</v>
      </c>
      <c r="O146" s="152">
        <v>2.2012589999999999</v>
      </c>
      <c r="P146" s="152">
        <v>12.613925999999999</v>
      </c>
      <c r="Q146" s="152">
        <v>2.2012589999999999</v>
      </c>
      <c r="R146" s="152" t="s">
        <v>1327</v>
      </c>
      <c r="S146" s="152">
        <v>105.782948</v>
      </c>
      <c r="T146" s="152">
        <v>1.0680000000000001</v>
      </c>
      <c r="U146" s="152">
        <v>2.5812189999999999</v>
      </c>
      <c r="V146" s="152">
        <v>8.1885019999999997</v>
      </c>
      <c r="W146" s="152">
        <v>1000</v>
      </c>
      <c r="X146" s="152" t="s">
        <v>23</v>
      </c>
      <c r="Y146" s="152" t="s">
        <v>1328</v>
      </c>
      <c r="Z146" s="152" t="s">
        <v>1327</v>
      </c>
    </row>
    <row r="147" spans="1:26" x14ac:dyDescent="0.2">
      <c r="A147" s="152" t="s">
        <v>1414</v>
      </c>
      <c r="B147" s="152">
        <v>4.59</v>
      </c>
      <c r="C147" s="151">
        <v>44534</v>
      </c>
      <c r="D147" s="152">
        <v>3.1123289999999999</v>
      </c>
      <c r="E147" s="152" t="s">
        <v>1325</v>
      </c>
      <c r="F147" s="152" t="s">
        <v>1326</v>
      </c>
      <c r="G147" s="152"/>
      <c r="H147" s="152"/>
      <c r="I147" s="151">
        <v>42488</v>
      </c>
      <c r="J147" s="152">
        <v>1.78</v>
      </c>
      <c r="K147" s="151">
        <v>43395</v>
      </c>
      <c r="L147" s="152">
        <v>2.4503119999999998</v>
      </c>
      <c r="M147" s="152">
        <v>2.576778</v>
      </c>
      <c r="N147" s="152">
        <v>2.4285450000000002</v>
      </c>
      <c r="O147" s="152">
        <v>2.2732480000000002</v>
      </c>
      <c r="P147" s="152">
        <v>13.355288</v>
      </c>
      <c r="Q147" s="152">
        <v>2.2732480000000002</v>
      </c>
      <c r="R147" s="152" t="s">
        <v>1327</v>
      </c>
      <c r="S147" s="152">
        <v>106.909038</v>
      </c>
      <c r="T147" s="152">
        <v>1.7982739999999999</v>
      </c>
      <c r="U147" s="152">
        <v>2.860052</v>
      </c>
      <c r="V147" s="152">
        <v>10.010173</v>
      </c>
      <c r="W147" s="152">
        <v>1000</v>
      </c>
      <c r="X147" s="152" t="s">
        <v>23</v>
      </c>
      <c r="Y147" s="152" t="s">
        <v>1328</v>
      </c>
      <c r="Z147" s="152" t="s">
        <v>1327</v>
      </c>
    </row>
    <row r="148" spans="1:26" x14ac:dyDescent="0.2">
      <c r="A148" s="152" t="s">
        <v>1415</v>
      </c>
      <c r="B148" s="152">
        <v>4.8499999999999996</v>
      </c>
      <c r="C148" s="151">
        <v>44497</v>
      </c>
      <c r="D148" s="152">
        <v>3.0109590000000002</v>
      </c>
      <c r="E148" s="152" t="s">
        <v>1325</v>
      </c>
      <c r="F148" s="152" t="s">
        <v>1326</v>
      </c>
      <c r="G148" s="152"/>
      <c r="H148" s="152"/>
      <c r="I148" s="151">
        <v>40106</v>
      </c>
      <c r="J148" s="152">
        <v>4.8499999999999996</v>
      </c>
      <c r="K148" s="151">
        <v>43395</v>
      </c>
      <c r="L148" s="152">
        <v>2.4316040000000001</v>
      </c>
      <c r="M148" s="152">
        <v>2.5611109999999999</v>
      </c>
      <c r="N148" s="152">
        <v>2.4113570000000002</v>
      </c>
      <c r="O148" s="152">
        <v>2.2486510000000002</v>
      </c>
      <c r="P148" s="152">
        <v>13.149374999999999</v>
      </c>
      <c r="Q148" s="152">
        <v>2.2486510000000002</v>
      </c>
      <c r="R148" s="152" t="s">
        <v>1327</v>
      </c>
      <c r="S148" s="152">
        <v>107.526033</v>
      </c>
      <c r="T148" s="152">
        <v>-3.9863000000000003E-2</v>
      </c>
      <c r="U148" s="152">
        <v>2.811769</v>
      </c>
      <c r="V148" s="152">
        <v>9.5666440000000001</v>
      </c>
      <c r="W148" s="152">
        <v>1000</v>
      </c>
      <c r="X148" s="152" t="s">
        <v>23</v>
      </c>
      <c r="Y148" s="152" t="s">
        <v>1328</v>
      </c>
      <c r="Z148" s="152" t="s">
        <v>1327</v>
      </c>
    </row>
    <row r="149" spans="1:26" x14ac:dyDescent="0.2">
      <c r="A149" s="152" t="s">
        <v>1416</v>
      </c>
      <c r="B149" s="152">
        <v>3.97</v>
      </c>
      <c r="C149" s="151">
        <v>44486</v>
      </c>
      <c r="D149" s="152">
        <v>2.9808219999999999</v>
      </c>
      <c r="E149" s="152" t="s">
        <v>1325</v>
      </c>
      <c r="F149" s="152" t="s">
        <v>1326</v>
      </c>
      <c r="G149" s="152"/>
      <c r="H149" s="152"/>
      <c r="I149" s="152">
        <v>43213</v>
      </c>
      <c r="J149" s="152">
        <v>1.79</v>
      </c>
      <c r="K149" s="151">
        <v>43395</v>
      </c>
      <c r="L149" s="152">
        <v>2.4260419999999998</v>
      </c>
      <c r="M149" s="152">
        <v>2.5552890000000001</v>
      </c>
      <c r="N149" s="152">
        <v>2.4059740000000001</v>
      </c>
      <c r="O149" s="152">
        <v>2.2447379999999999</v>
      </c>
      <c r="P149" s="152">
        <v>13.087153000000001</v>
      </c>
      <c r="Q149" s="152">
        <v>2.2447379999999999</v>
      </c>
      <c r="R149" s="152" t="s">
        <v>1327</v>
      </c>
      <c r="S149" s="152">
        <v>104.945973</v>
      </c>
      <c r="T149" s="152">
        <v>8.7013999999999994E-2</v>
      </c>
      <c r="U149" s="152">
        <v>2.8070240000000002</v>
      </c>
      <c r="V149" s="152">
        <v>9.4975590000000008</v>
      </c>
      <c r="W149" s="152">
        <v>1000</v>
      </c>
      <c r="X149" s="152" t="s">
        <v>23</v>
      </c>
      <c r="Y149" s="152" t="s">
        <v>1328</v>
      </c>
      <c r="Z149" s="152" t="s">
        <v>1327</v>
      </c>
    </row>
    <row r="150" spans="1:26" x14ac:dyDescent="0.2">
      <c r="A150" s="152" t="s">
        <v>1417</v>
      </c>
      <c r="B150" s="152">
        <v>4.16</v>
      </c>
      <c r="C150" s="151">
        <v>44575</v>
      </c>
      <c r="D150" s="152">
        <v>3.2246579999999998</v>
      </c>
      <c r="E150" s="152" t="s">
        <v>1325</v>
      </c>
      <c r="F150" s="152" t="s">
        <v>1326</v>
      </c>
      <c r="G150" s="152"/>
      <c r="H150" s="152"/>
      <c r="I150" s="151">
        <v>41649</v>
      </c>
      <c r="J150" s="152">
        <v>4.16</v>
      </c>
      <c r="K150" s="151">
        <v>43395</v>
      </c>
      <c r="L150" s="152">
        <v>2.4850029999999999</v>
      </c>
      <c r="M150" s="152">
        <v>2.6080990000000002</v>
      </c>
      <c r="N150" s="152">
        <v>2.461551</v>
      </c>
      <c r="O150" s="152">
        <v>2.3067669999999998</v>
      </c>
      <c r="P150" s="152">
        <v>13.577615</v>
      </c>
      <c r="Q150" s="152">
        <v>2.3067669999999998</v>
      </c>
      <c r="R150" s="152" t="s">
        <v>1327</v>
      </c>
      <c r="S150" s="152">
        <v>105.702702</v>
      </c>
      <c r="T150" s="152">
        <v>1.173918</v>
      </c>
      <c r="U150" s="152">
        <v>2.987965</v>
      </c>
      <c r="V150" s="152">
        <v>10.790887</v>
      </c>
      <c r="W150" s="152">
        <v>1000</v>
      </c>
      <c r="X150" s="152" t="s">
        <v>23</v>
      </c>
      <c r="Y150" s="152" t="s">
        <v>1328</v>
      </c>
      <c r="Z150" s="152" t="s">
        <v>1327</v>
      </c>
    </row>
    <row r="151" spans="1:26" x14ac:dyDescent="0.2">
      <c r="A151" s="152" t="s">
        <v>1418</v>
      </c>
      <c r="B151" s="152">
        <v>3.5</v>
      </c>
      <c r="C151" s="151">
        <v>44608</v>
      </c>
      <c r="D151" s="152">
        <v>3.3150680000000001</v>
      </c>
      <c r="E151" s="152" t="s">
        <v>1325</v>
      </c>
      <c r="F151" s="152" t="s">
        <v>1326</v>
      </c>
      <c r="G151" s="152"/>
      <c r="H151" s="152"/>
      <c r="I151" s="151">
        <v>43369</v>
      </c>
      <c r="J151" s="152">
        <v>2.2999999999999998</v>
      </c>
      <c r="K151" s="151">
        <v>43367</v>
      </c>
      <c r="L151" s="152">
        <v>2.490011</v>
      </c>
      <c r="M151" s="152">
        <v>2.6050789999999999</v>
      </c>
      <c r="N151" s="152">
        <v>2.3630930000000001</v>
      </c>
      <c r="O151" s="152">
        <v>2.3381690000000002</v>
      </c>
      <c r="P151" s="152">
        <v>13.752309</v>
      </c>
      <c r="Q151" s="152">
        <v>2.3381690000000002</v>
      </c>
      <c r="R151" s="152" t="s">
        <v>1327</v>
      </c>
      <c r="S151" s="152">
        <v>103.66568700000001</v>
      </c>
      <c r="T151" s="152">
        <v>0.67123299999999997</v>
      </c>
      <c r="U151" s="152">
        <v>3.1045250000000002</v>
      </c>
      <c r="V151" s="152">
        <v>11.508877999999999</v>
      </c>
      <c r="W151" s="152">
        <v>1000</v>
      </c>
      <c r="X151" s="152" t="s">
        <v>23</v>
      </c>
      <c r="Y151" s="152" t="s">
        <v>1328</v>
      </c>
      <c r="Z151" s="152" t="s">
        <v>1327</v>
      </c>
    </row>
    <row r="152" spans="1:26" x14ac:dyDescent="0.2">
      <c r="A152" s="152" t="s">
        <v>1419</v>
      </c>
      <c r="B152" s="152">
        <v>2.2999999999999998</v>
      </c>
      <c r="C152" s="151">
        <v>44623</v>
      </c>
      <c r="D152" s="152">
        <v>3.3561640000000001</v>
      </c>
      <c r="E152" s="152" t="s">
        <v>1325</v>
      </c>
      <c r="F152" s="152" t="s">
        <v>1326</v>
      </c>
      <c r="G152" s="152"/>
      <c r="H152" s="152"/>
      <c r="I152" s="151">
        <v>43181</v>
      </c>
      <c r="J152" s="152">
        <v>1.71</v>
      </c>
      <c r="K152" s="151">
        <v>43395</v>
      </c>
      <c r="L152" s="152">
        <v>2.53409</v>
      </c>
      <c r="M152" s="152">
        <v>2.653241</v>
      </c>
      <c r="N152" s="152">
        <v>2.5086650000000001</v>
      </c>
      <c r="O152" s="152">
        <v>2.356849</v>
      </c>
      <c r="P152" s="152">
        <v>13.830508</v>
      </c>
      <c r="Q152" s="152">
        <v>2.356849</v>
      </c>
      <c r="R152" s="152" t="s">
        <v>1327</v>
      </c>
      <c r="S152" s="152">
        <v>99.821116000000004</v>
      </c>
      <c r="T152" s="152">
        <v>0.13863</v>
      </c>
      <c r="U152" s="152">
        <v>3.2027700000000001</v>
      </c>
      <c r="V152" s="152">
        <v>12.058709</v>
      </c>
      <c r="W152" s="152">
        <v>1000</v>
      </c>
      <c r="X152" s="152" t="s">
        <v>23</v>
      </c>
      <c r="Y152" s="152" t="s">
        <v>1328</v>
      </c>
      <c r="Z152" s="152" t="s">
        <v>1327</v>
      </c>
    </row>
    <row r="153" spans="1:26" x14ac:dyDescent="0.2">
      <c r="A153" s="152" t="s">
        <v>1420</v>
      </c>
      <c r="B153" s="152">
        <v>4.0199999999999996</v>
      </c>
      <c r="C153" s="151">
        <v>44653</v>
      </c>
      <c r="D153" s="152">
        <v>3.4383560000000002</v>
      </c>
      <c r="E153" s="152" t="s">
        <v>1325</v>
      </c>
      <c r="F153" s="152" t="s">
        <v>1326</v>
      </c>
      <c r="G153" s="152"/>
      <c r="H153" s="152"/>
      <c r="I153" s="151">
        <v>41429</v>
      </c>
      <c r="J153" s="152">
        <v>3.7025000000000001</v>
      </c>
      <c r="K153" s="151">
        <v>43395</v>
      </c>
      <c r="L153" s="152">
        <v>2.5647690000000001</v>
      </c>
      <c r="M153" s="152">
        <v>2.681454</v>
      </c>
      <c r="N153" s="152">
        <v>2.5381119999999999</v>
      </c>
      <c r="O153" s="152">
        <v>2.3781370000000002</v>
      </c>
      <c r="P153" s="152">
        <v>13.984719</v>
      </c>
      <c r="Q153" s="152">
        <v>2.3781370000000002</v>
      </c>
      <c r="R153" s="152" t="s">
        <v>1327</v>
      </c>
      <c r="S153" s="152">
        <v>105.39003</v>
      </c>
      <c r="T153" s="152">
        <v>0.25331500000000001</v>
      </c>
      <c r="U153" s="152">
        <v>3.2036210000000001</v>
      </c>
      <c r="V153" s="152">
        <v>12.222238000000001</v>
      </c>
      <c r="W153" s="152">
        <v>1000</v>
      </c>
      <c r="X153" s="152" t="s">
        <v>23</v>
      </c>
      <c r="Y153" s="152" t="s">
        <v>1328</v>
      </c>
      <c r="Z153" s="152" t="s">
        <v>1327</v>
      </c>
    </row>
    <row r="154" spans="1:26" x14ac:dyDescent="0.2">
      <c r="A154" s="152" t="s">
        <v>1421</v>
      </c>
      <c r="B154" s="152">
        <v>3.8</v>
      </c>
      <c r="C154" s="151">
        <v>44675</v>
      </c>
      <c r="D154" s="152">
        <v>3.4986299999999999</v>
      </c>
      <c r="E154" s="152" t="s">
        <v>1325</v>
      </c>
      <c r="F154" s="152" t="s">
        <v>1326</v>
      </c>
      <c r="G154" s="152"/>
      <c r="H154" s="152"/>
      <c r="I154" s="151">
        <v>41858</v>
      </c>
      <c r="J154" s="152">
        <v>3.7349999999999999</v>
      </c>
      <c r="K154" s="151">
        <v>43395</v>
      </c>
      <c r="L154" s="152">
        <v>2.5872679999999999</v>
      </c>
      <c r="M154" s="152">
        <v>2.7021449999999998</v>
      </c>
      <c r="N154" s="152">
        <v>2.5597059999999998</v>
      </c>
      <c r="O154" s="152">
        <v>2.398164</v>
      </c>
      <c r="P154" s="152">
        <v>14.096002</v>
      </c>
      <c r="Q154" s="152">
        <v>2.398164</v>
      </c>
      <c r="R154" s="152" t="s">
        <v>1327</v>
      </c>
      <c r="S154" s="152">
        <v>104.67916099999999</v>
      </c>
      <c r="T154" s="152">
        <v>1.0411E-2</v>
      </c>
      <c r="U154" s="152">
        <v>3.272008</v>
      </c>
      <c r="V154" s="152">
        <v>12.682385</v>
      </c>
      <c r="W154" s="152">
        <v>1000</v>
      </c>
      <c r="X154" s="152" t="s">
        <v>23</v>
      </c>
      <c r="Y154" s="152" t="s">
        <v>1328</v>
      </c>
      <c r="Z154" s="152" t="s">
        <v>1327</v>
      </c>
    </row>
    <row r="155" spans="1:26" x14ac:dyDescent="0.2">
      <c r="A155" s="152" t="s">
        <v>1422</v>
      </c>
      <c r="B155" s="152">
        <v>3.835</v>
      </c>
      <c r="C155" s="151">
        <v>44749</v>
      </c>
      <c r="D155" s="152">
        <v>3.7013699999999998</v>
      </c>
      <c r="E155" s="152" t="s">
        <v>1325</v>
      </c>
      <c r="F155" s="152" t="s">
        <v>1326</v>
      </c>
      <c r="G155" s="152"/>
      <c r="H155" s="152"/>
      <c r="I155" s="151">
        <v>42291</v>
      </c>
      <c r="J155" s="152">
        <v>2.8275000000000001</v>
      </c>
      <c r="K155" s="151">
        <v>43395</v>
      </c>
      <c r="L155" s="152">
        <v>2.6516980000000001</v>
      </c>
      <c r="M155" s="152">
        <v>2.7604920000000002</v>
      </c>
      <c r="N155" s="152">
        <v>2.621095</v>
      </c>
      <c r="O155" s="152">
        <v>2.446736</v>
      </c>
      <c r="P155" s="152">
        <v>14.459669999999999</v>
      </c>
      <c r="Q155" s="152">
        <v>2.446736</v>
      </c>
      <c r="R155" s="152" t="s">
        <v>1327</v>
      </c>
      <c r="S155" s="152">
        <v>104.86734</v>
      </c>
      <c r="T155" s="152">
        <v>1.155753</v>
      </c>
      <c r="U155" s="152">
        <v>3.415006</v>
      </c>
      <c r="V155" s="152">
        <v>13.894560999999999</v>
      </c>
      <c r="W155" s="152">
        <v>1000</v>
      </c>
      <c r="X155" s="152" t="s">
        <v>23</v>
      </c>
      <c r="Y155" s="152" t="s">
        <v>1328</v>
      </c>
      <c r="Z155" s="152" t="s">
        <v>1327</v>
      </c>
    </row>
    <row r="156" spans="1:26" x14ac:dyDescent="0.2">
      <c r="A156" s="152" t="s">
        <v>1423</v>
      </c>
      <c r="B156" s="152">
        <v>3.53</v>
      </c>
      <c r="C156" s="151">
        <v>45080</v>
      </c>
      <c r="D156" s="152">
        <v>4.6082190000000001</v>
      </c>
      <c r="E156" s="152" t="s">
        <v>1325</v>
      </c>
      <c r="F156" s="152" t="s">
        <v>1326</v>
      </c>
      <c r="G156" s="152"/>
      <c r="H156" s="152"/>
      <c r="I156" s="151">
        <v>41421</v>
      </c>
      <c r="J156" s="152">
        <v>3.5294270000000001</v>
      </c>
      <c r="K156" s="151">
        <v>43395</v>
      </c>
      <c r="L156" s="152">
        <v>2.7845170000000001</v>
      </c>
      <c r="M156" s="152">
        <v>2.8661059999999998</v>
      </c>
      <c r="N156" s="152">
        <v>2.7403110000000002</v>
      </c>
      <c r="O156" s="152">
        <v>2.5573060000000001</v>
      </c>
      <c r="P156" s="152">
        <v>15.914799</v>
      </c>
      <c r="Q156" s="152">
        <v>2.5573060000000001</v>
      </c>
      <c r="R156" s="152" t="s">
        <v>1327</v>
      </c>
      <c r="S156" s="152">
        <v>104.19518100000001</v>
      </c>
      <c r="T156" s="152">
        <v>1.392658</v>
      </c>
      <c r="U156" s="152">
        <v>4.190531</v>
      </c>
      <c r="V156" s="152">
        <v>20.631826</v>
      </c>
      <c r="W156" s="152">
        <v>1000</v>
      </c>
      <c r="X156" s="152" t="s">
        <v>23</v>
      </c>
      <c r="Y156" s="152" t="s">
        <v>1328</v>
      </c>
      <c r="Z156" s="152" t="s">
        <v>1327</v>
      </c>
    </row>
    <row r="157" spans="1:26" x14ac:dyDescent="0.2">
      <c r="A157" s="152" t="s">
        <v>1424</v>
      </c>
      <c r="B157" s="152">
        <v>3.78</v>
      </c>
      <c r="C157" s="151">
        <v>45091</v>
      </c>
      <c r="D157" s="152">
        <v>4.6383559999999999</v>
      </c>
      <c r="E157" s="152" t="s">
        <v>1325</v>
      </c>
      <c r="F157" s="152" t="s">
        <v>1326</v>
      </c>
      <c r="G157" s="152"/>
      <c r="H157" s="152"/>
      <c r="I157" s="151" t="s">
        <v>1327</v>
      </c>
      <c r="J157" s="152" t="s">
        <v>1327</v>
      </c>
      <c r="K157" s="151">
        <v>43395</v>
      </c>
      <c r="L157" s="152">
        <v>2.7886120000000001</v>
      </c>
      <c r="M157" s="152">
        <v>2.869297</v>
      </c>
      <c r="N157" s="152">
        <v>2.7439550000000001</v>
      </c>
      <c r="O157" s="152">
        <v>2.5596960000000002</v>
      </c>
      <c r="P157" s="152">
        <v>15.959014</v>
      </c>
      <c r="Q157" s="152">
        <v>2.5596960000000002</v>
      </c>
      <c r="R157" s="152" t="s">
        <v>1327</v>
      </c>
      <c r="S157" s="152">
        <v>105.29615200000001</v>
      </c>
      <c r="T157" s="152">
        <v>1.37737</v>
      </c>
      <c r="U157" s="152">
        <v>4.1990800000000004</v>
      </c>
      <c r="V157" s="152">
        <v>20.758922999999999</v>
      </c>
      <c r="W157" s="152">
        <v>1000</v>
      </c>
      <c r="X157" s="152" t="s">
        <v>23</v>
      </c>
      <c r="Y157" s="152" t="s">
        <v>1328</v>
      </c>
      <c r="Z157" s="152" t="s">
        <v>1327</v>
      </c>
    </row>
    <row r="158" spans="1:26" x14ac:dyDescent="0.2">
      <c r="A158" s="152" t="s">
        <v>1425</v>
      </c>
      <c r="B158" s="152">
        <v>4.45</v>
      </c>
      <c r="C158" s="151">
        <v>45135</v>
      </c>
      <c r="D158" s="152">
        <v>4.7589040000000002</v>
      </c>
      <c r="E158" s="152" t="s">
        <v>1325</v>
      </c>
      <c r="F158" s="152" t="s">
        <v>1326</v>
      </c>
      <c r="G158" s="152"/>
      <c r="H158" s="152"/>
      <c r="I158" s="151">
        <v>41577</v>
      </c>
      <c r="J158" s="152">
        <v>3.98</v>
      </c>
      <c r="K158" s="151">
        <v>43395</v>
      </c>
      <c r="L158" s="152">
        <v>2.8089719999999998</v>
      </c>
      <c r="M158" s="152">
        <v>2.8860410000000001</v>
      </c>
      <c r="N158" s="152">
        <v>2.7625069999999998</v>
      </c>
      <c r="O158" s="152">
        <v>2.5682610000000001</v>
      </c>
      <c r="P158" s="152">
        <v>16.133538999999999</v>
      </c>
      <c r="Q158" s="152">
        <v>2.5682610000000001</v>
      </c>
      <c r="R158" s="152" t="s">
        <v>1327</v>
      </c>
      <c r="S158" s="152">
        <v>108.359368</v>
      </c>
      <c r="T158" s="152">
        <v>1.0850679999999999</v>
      </c>
      <c r="U158" s="152">
        <v>4.2661230000000003</v>
      </c>
      <c r="V158" s="152">
        <v>21.487166999999999</v>
      </c>
      <c r="W158" s="152">
        <v>1000</v>
      </c>
      <c r="X158" s="152" t="s">
        <v>23</v>
      </c>
      <c r="Y158" s="152" t="s">
        <v>1328</v>
      </c>
      <c r="Z158" s="152" t="s">
        <v>1327</v>
      </c>
    </row>
    <row r="159" spans="1:26" x14ac:dyDescent="0.2">
      <c r="A159" s="152" t="s">
        <v>1426</v>
      </c>
      <c r="B159" s="152">
        <v>4.5199999999999996</v>
      </c>
      <c r="C159" s="151">
        <v>45189</v>
      </c>
      <c r="D159" s="152">
        <v>4.9068490000000002</v>
      </c>
      <c r="E159" s="152" t="s">
        <v>1325</v>
      </c>
      <c r="F159" s="152" t="s">
        <v>1326</v>
      </c>
      <c r="G159" s="152"/>
      <c r="H159" s="152"/>
      <c r="I159" s="151">
        <v>41535</v>
      </c>
      <c r="J159" s="152">
        <v>4.5199999999999996</v>
      </c>
      <c r="K159" s="151">
        <v>43395</v>
      </c>
      <c r="L159" s="152">
        <v>2.834317</v>
      </c>
      <c r="M159" s="152">
        <v>2.9069470000000002</v>
      </c>
      <c r="N159" s="152">
        <v>2.7856320000000001</v>
      </c>
      <c r="O159" s="152">
        <v>2.5868609999999999</v>
      </c>
      <c r="P159" s="152">
        <v>16.342804000000001</v>
      </c>
      <c r="Q159" s="152">
        <v>2.5868609999999999</v>
      </c>
      <c r="R159" s="152" t="s">
        <v>1327</v>
      </c>
      <c r="S159" s="152">
        <v>108.85934899999999</v>
      </c>
      <c r="T159" s="152">
        <v>0.433425</v>
      </c>
      <c r="U159" s="152">
        <v>4.3979460000000001</v>
      </c>
      <c r="V159" s="152">
        <v>22.707125999999999</v>
      </c>
      <c r="W159" s="152">
        <v>1000</v>
      </c>
      <c r="X159" s="152" t="s">
        <v>23</v>
      </c>
      <c r="Y159" s="152" t="s">
        <v>1328</v>
      </c>
      <c r="Z159" s="152" t="s">
        <v>1327</v>
      </c>
    </row>
    <row r="160" spans="1:26" x14ac:dyDescent="0.2">
      <c r="A160" s="152" t="s">
        <v>1427</v>
      </c>
      <c r="B160" s="152">
        <v>4.2750000000000004</v>
      </c>
      <c r="C160" s="151">
        <v>45315</v>
      </c>
      <c r="D160" s="152">
        <v>5.2520550000000004</v>
      </c>
      <c r="E160" s="152" t="s">
        <v>1325</v>
      </c>
      <c r="F160" s="152" t="s">
        <v>1326</v>
      </c>
      <c r="G160" s="152"/>
      <c r="H160" s="152"/>
      <c r="I160" s="151">
        <v>41661</v>
      </c>
      <c r="J160" s="152">
        <v>4.2750000000000004</v>
      </c>
      <c r="K160" s="151">
        <v>43395</v>
      </c>
      <c r="L160" s="152">
        <v>2.8838819999999998</v>
      </c>
      <c r="M160" s="152">
        <v>2.9599340000000001</v>
      </c>
      <c r="N160" s="152">
        <v>2.831693</v>
      </c>
      <c r="O160" s="152">
        <v>2.6182319999999999</v>
      </c>
      <c r="P160" s="152">
        <v>16.811384</v>
      </c>
      <c r="Q160" s="152">
        <v>2.6182319999999999</v>
      </c>
      <c r="R160" s="152" t="s">
        <v>1327</v>
      </c>
      <c r="S160" s="152">
        <v>108.05546099999999</v>
      </c>
      <c r="T160" s="152">
        <v>1.0892470000000001</v>
      </c>
      <c r="U160" s="152">
        <v>4.6732719999999999</v>
      </c>
      <c r="V160" s="152">
        <v>25.662782</v>
      </c>
      <c r="W160" s="152">
        <v>1000</v>
      </c>
      <c r="X160" s="152" t="s">
        <v>23</v>
      </c>
      <c r="Y160" s="152" t="s">
        <v>1328</v>
      </c>
      <c r="Z160" s="152" t="s">
        <v>1327</v>
      </c>
    </row>
    <row r="161" spans="1:26" x14ac:dyDescent="0.2">
      <c r="A161" s="152" t="s">
        <v>1428</v>
      </c>
      <c r="B161" s="152">
        <v>3.9849999999999999</v>
      </c>
      <c r="C161" s="151">
        <v>45364</v>
      </c>
      <c r="D161" s="152">
        <v>5.3863009999999996</v>
      </c>
      <c r="E161" s="152" t="s">
        <v>1325</v>
      </c>
      <c r="F161" s="152" t="s">
        <v>1326</v>
      </c>
      <c r="G161" s="152"/>
      <c r="H161" s="152"/>
      <c r="I161" s="152">
        <v>41709</v>
      </c>
      <c r="J161" s="152">
        <v>3.9849999999999999</v>
      </c>
      <c r="K161" s="151">
        <v>43395</v>
      </c>
      <c r="L161" s="152">
        <v>2.900925</v>
      </c>
      <c r="M161" s="152">
        <v>2.9801310000000001</v>
      </c>
      <c r="N161" s="152">
        <v>2.847594</v>
      </c>
      <c r="O161" s="152">
        <v>2.6359430000000001</v>
      </c>
      <c r="P161" s="152">
        <v>16.986656</v>
      </c>
      <c r="Q161" s="152">
        <v>2.6359430000000001</v>
      </c>
      <c r="R161" s="152" t="s">
        <v>1327</v>
      </c>
      <c r="S161" s="152">
        <v>106.740584</v>
      </c>
      <c r="T161" s="152">
        <v>0.45854800000000001</v>
      </c>
      <c r="U161" s="152">
        <v>4.830336</v>
      </c>
      <c r="V161" s="152">
        <v>27.163325</v>
      </c>
      <c r="W161" s="152">
        <v>1000</v>
      </c>
      <c r="X161" s="152" t="s">
        <v>23</v>
      </c>
      <c r="Y161" s="152" t="s">
        <v>1328</v>
      </c>
      <c r="Z161" s="152" t="s">
        <v>1327</v>
      </c>
    </row>
    <row r="162" spans="1:26" x14ac:dyDescent="0.2">
      <c r="A162" s="152" t="s">
        <v>1429</v>
      </c>
      <c r="B162" s="152">
        <v>4</v>
      </c>
      <c r="C162" s="151">
        <v>45392</v>
      </c>
      <c r="D162" s="152">
        <v>5.4630140000000003</v>
      </c>
      <c r="E162" s="152" t="s">
        <v>1325</v>
      </c>
      <c r="F162" s="152" t="s">
        <v>1326</v>
      </c>
      <c r="G162" s="152"/>
      <c r="H162" s="152"/>
      <c r="I162" s="151">
        <v>41732</v>
      </c>
      <c r="J162" s="152">
        <v>3.999336</v>
      </c>
      <c r="K162" s="151">
        <v>43395</v>
      </c>
      <c r="L162" s="152">
        <v>2.910663</v>
      </c>
      <c r="M162" s="152">
        <v>2.991673</v>
      </c>
      <c r="N162" s="152">
        <v>2.856681</v>
      </c>
      <c r="O162" s="152">
        <v>2.644479</v>
      </c>
      <c r="P162" s="152">
        <v>17.085165</v>
      </c>
      <c r="Q162" s="152">
        <v>2.644479</v>
      </c>
      <c r="R162" s="152" t="s">
        <v>1327</v>
      </c>
      <c r="S162" s="152">
        <v>106.85122</v>
      </c>
      <c r="T162" s="152">
        <v>0.164384</v>
      </c>
      <c r="U162" s="152">
        <v>4.9042560000000002</v>
      </c>
      <c r="V162" s="152">
        <v>27.923234999999998</v>
      </c>
      <c r="W162" s="152">
        <v>1000</v>
      </c>
      <c r="X162" s="152" t="s">
        <v>23</v>
      </c>
      <c r="Y162" s="152" t="s">
        <v>1328</v>
      </c>
      <c r="Z162" s="152" t="s">
        <v>1327</v>
      </c>
    </row>
    <row r="163" spans="1:26" x14ac:dyDescent="0.2">
      <c r="A163" s="152" t="s">
        <v>1430</v>
      </c>
      <c r="B163" s="152">
        <v>3.81</v>
      </c>
      <c r="C163" s="151">
        <v>45418</v>
      </c>
      <c r="D163" s="152">
        <v>5.5342469999999997</v>
      </c>
      <c r="E163" s="152" t="s">
        <v>1325</v>
      </c>
      <c r="F163" s="152" t="s">
        <v>1326</v>
      </c>
      <c r="G163" s="152"/>
      <c r="H163" s="152"/>
      <c r="I163" s="151" t="s">
        <v>1327</v>
      </c>
      <c r="J163" s="152" t="s">
        <v>1327</v>
      </c>
      <c r="K163" s="151">
        <v>43395</v>
      </c>
      <c r="L163" s="152">
        <v>2.9197060000000001</v>
      </c>
      <c r="M163" s="152">
        <v>3.002389</v>
      </c>
      <c r="N163" s="152">
        <v>2.8651179999999998</v>
      </c>
      <c r="O163" s="152">
        <v>2.6517520000000001</v>
      </c>
      <c r="P163" s="152">
        <v>17.175595999999999</v>
      </c>
      <c r="Q163" s="152">
        <v>2.6517520000000001</v>
      </c>
      <c r="R163" s="152" t="s">
        <v>1327</v>
      </c>
      <c r="S163" s="152">
        <v>105.907686</v>
      </c>
      <c r="T163" s="152">
        <v>1.7953969999999999</v>
      </c>
      <c r="U163" s="152">
        <v>4.9093059999999999</v>
      </c>
      <c r="V163" s="152">
        <v>28.330815999999999</v>
      </c>
      <c r="W163" s="152">
        <v>1000</v>
      </c>
      <c r="X163" s="152" t="s">
        <v>23</v>
      </c>
      <c r="Y163" s="152" t="s">
        <v>1328</v>
      </c>
      <c r="Z163" s="152" t="s">
        <v>1327</v>
      </c>
    </row>
    <row r="164" spans="1:26" x14ac:dyDescent="0.2">
      <c r="A164" s="152" t="s">
        <v>1431</v>
      </c>
      <c r="B164" s="152">
        <v>3.98</v>
      </c>
      <c r="C164" s="151">
        <v>45449</v>
      </c>
      <c r="D164" s="152">
        <v>5.6191779999999998</v>
      </c>
      <c r="E164" s="152" t="s">
        <v>1325</v>
      </c>
      <c r="F164" s="152" t="s">
        <v>1326</v>
      </c>
      <c r="G164" s="152"/>
      <c r="H164" s="152"/>
      <c r="I164" s="151">
        <v>41985</v>
      </c>
      <c r="J164" s="152">
        <v>3.2</v>
      </c>
      <c r="K164" s="151">
        <v>43395</v>
      </c>
      <c r="L164" s="152">
        <v>2.930488</v>
      </c>
      <c r="M164" s="152">
        <v>3.0151669999999999</v>
      </c>
      <c r="N164" s="152">
        <v>2.875178</v>
      </c>
      <c r="O164" s="152">
        <v>2.6620889999999999</v>
      </c>
      <c r="P164" s="152">
        <v>17.282136999999999</v>
      </c>
      <c r="Q164" s="152">
        <v>2.6620889999999999</v>
      </c>
      <c r="R164" s="152" t="s">
        <v>1327</v>
      </c>
      <c r="S164" s="152">
        <v>106.823792</v>
      </c>
      <c r="T164" s="152">
        <v>1.537479</v>
      </c>
      <c r="U164" s="152">
        <v>4.9704119999999996</v>
      </c>
      <c r="V164" s="152">
        <v>29.017956000000002</v>
      </c>
      <c r="W164" s="152">
        <v>1000</v>
      </c>
      <c r="X164" s="152" t="s">
        <v>23</v>
      </c>
      <c r="Y164" s="152" t="s">
        <v>1328</v>
      </c>
      <c r="Z164" s="152" t="s">
        <v>1327</v>
      </c>
    </row>
    <row r="165" spans="1:26" x14ac:dyDescent="0.2">
      <c r="A165" s="152" t="s">
        <v>1432</v>
      </c>
      <c r="B165" s="152">
        <v>2.88</v>
      </c>
      <c r="C165" s="151">
        <v>45680</v>
      </c>
      <c r="D165" s="152">
        <v>6.2520550000000004</v>
      </c>
      <c r="E165" s="152" t="s">
        <v>1325</v>
      </c>
      <c r="F165" s="152" t="s">
        <v>1326</v>
      </c>
      <c r="G165" s="152"/>
      <c r="H165" s="152"/>
      <c r="I165" s="151">
        <v>42025</v>
      </c>
      <c r="J165" s="152">
        <v>2.88</v>
      </c>
      <c r="K165" s="151">
        <v>43395</v>
      </c>
      <c r="L165" s="152">
        <v>3.0108299999999999</v>
      </c>
      <c r="M165" s="152">
        <v>3.110382</v>
      </c>
      <c r="N165" s="152">
        <v>2.9501409999999999</v>
      </c>
      <c r="O165" s="152">
        <v>2.7514539999999998</v>
      </c>
      <c r="P165" s="152">
        <v>18.035475000000002</v>
      </c>
      <c r="Q165" s="152">
        <v>2.7514539999999998</v>
      </c>
      <c r="R165" s="152" t="s">
        <v>1327</v>
      </c>
      <c r="S165" s="152">
        <v>100.718851</v>
      </c>
      <c r="T165" s="152">
        <v>0.741699</v>
      </c>
      <c r="U165" s="152">
        <v>5.6455609999999998</v>
      </c>
      <c r="V165" s="152">
        <v>36.541572000000002</v>
      </c>
      <c r="W165" s="152">
        <v>1000</v>
      </c>
      <c r="X165" s="152" t="s">
        <v>23</v>
      </c>
      <c r="Y165" s="152" t="s">
        <v>1328</v>
      </c>
      <c r="Z165" s="152" t="s">
        <v>1327</v>
      </c>
    </row>
    <row r="166" spans="1:26" x14ac:dyDescent="0.2">
      <c r="A166" s="152" t="s">
        <v>1433</v>
      </c>
      <c r="B166" s="152">
        <v>4</v>
      </c>
      <c r="C166" s="151">
        <v>46210</v>
      </c>
      <c r="D166" s="152">
        <v>7.70411</v>
      </c>
      <c r="E166" s="152" t="s">
        <v>1325</v>
      </c>
      <c r="F166" s="152" t="s">
        <v>1326</v>
      </c>
      <c r="G166" s="152"/>
      <c r="H166" s="152"/>
      <c r="I166" s="151">
        <v>41816</v>
      </c>
      <c r="J166" s="152">
        <v>3.9982799999999998</v>
      </c>
      <c r="K166" s="151">
        <v>43395</v>
      </c>
      <c r="L166" s="152">
        <v>3.202191</v>
      </c>
      <c r="M166" s="152">
        <v>3.3358669999999999</v>
      </c>
      <c r="N166" s="152">
        <v>3.1291600000000002</v>
      </c>
      <c r="O166" s="152">
        <v>2.8938760000000001</v>
      </c>
      <c r="P166" s="152">
        <v>19.541186</v>
      </c>
      <c r="Q166" s="152">
        <v>2.8938760000000001</v>
      </c>
      <c r="R166" s="152" t="s">
        <v>1327</v>
      </c>
      <c r="S166" s="152">
        <v>107.568578</v>
      </c>
      <c r="T166" s="152">
        <v>1.205479</v>
      </c>
      <c r="U166" s="152">
        <v>6.5804600000000004</v>
      </c>
      <c r="V166" s="152">
        <v>50.770327000000002</v>
      </c>
      <c r="W166" s="152">
        <v>1000</v>
      </c>
      <c r="X166" s="152" t="s">
        <v>23</v>
      </c>
      <c r="Y166" s="152" t="s">
        <v>1328</v>
      </c>
      <c r="Z166" s="152" t="s">
        <v>1327</v>
      </c>
    </row>
    <row r="167" spans="1:26" x14ac:dyDescent="0.2">
      <c r="A167" s="152" t="s">
        <v>1434</v>
      </c>
      <c r="B167" s="152">
        <v>3</v>
      </c>
      <c r="C167" s="151">
        <v>46329</v>
      </c>
      <c r="D167" s="152">
        <v>8.0301369999999999</v>
      </c>
      <c r="E167" s="152" t="s">
        <v>1325</v>
      </c>
      <c r="F167" s="152" t="s">
        <v>1326</v>
      </c>
      <c r="G167" s="152"/>
      <c r="H167" s="152"/>
      <c r="I167" s="152">
        <v>42902</v>
      </c>
      <c r="J167" s="152">
        <v>2.6850000000000001</v>
      </c>
      <c r="K167" s="151">
        <v>43395</v>
      </c>
      <c r="L167" s="152">
        <v>3.2476389999999999</v>
      </c>
      <c r="M167" s="152">
        <v>3.388976</v>
      </c>
      <c r="N167" s="152">
        <v>3.1718359999999999</v>
      </c>
      <c r="O167" s="152">
        <v>2.934294</v>
      </c>
      <c r="P167" s="152">
        <v>19.844556999999998</v>
      </c>
      <c r="Q167" s="152">
        <v>2.934294</v>
      </c>
      <c r="R167" s="152" t="s">
        <v>1327</v>
      </c>
      <c r="S167" s="152">
        <v>100.470838</v>
      </c>
      <c r="T167" s="152">
        <v>0.18082200000000001</v>
      </c>
      <c r="U167" s="152">
        <v>7.0755509999999999</v>
      </c>
      <c r="V167" s="152">
        <v>57.217047999999998</v>
      </c>
      <c r="W167" s="152">
        <v>1000</v>
      </c>
      <c r="X167" s="152" t="s">
        <v>23</v>
      </c>
      <c r="Y167" s="152" t="s">
        <v>1328</v>
      </c>
      <c r="Z167" s="152" t="s">
        <v>1327</v>
      </c>
    </row>
    <row r="168" spans="1:26" x14ac:dyDescent="0.2">
      <c r="A168" s="152" t="s">
        <v>1435</v>
      </c>
      <c r="B168" s="152">
        <v>2.31</v>
      </c>
      <c r="C168" s="151">
        <v>47949</v>
      </c>
      <c r="D168" s="152">
        <v>12.468493</v>
      </c>
      <c r="E168" s="152" t="s">
        <v>1325</v>
      </c>
      <c r="F168" s="152" t="s">
        <v>1326</v>
      </c>
      <c r="G168" s="152"/>
      <c r="H168" s="152"/>
      <c r="I168" s="151">
        <v>42705</v>
      </c>
      <c r="J168" s="152">
        <v>3.26</v>
      </c>
      <c r="K168" s="151">
        <v>43395</v>
      </c>
      <c r="L168" s="152">
        <v>3.7043879999999998</v>
      </c>
      <c r="M168" s="152">
        <v>3.8673959999999998</v>
      </c>
      <c r="N168" s="152">
        <v>3.641823</v>
      </c>
      <c r="O168" s="152">
        <v>3.4117519999999999</v>
      </c>
      <c r="P168" s="152">
        <v>23.142787999999999</v>
      </c>
      <c r="Q168" s="152">
        <v>3.4117519999999999</v>
      </c>
      <c r="R168" s="152" t="s">
        <v>1327</v>
      </c>
      <c r="S168" s="152">
        <v>88.895110000000003</v>
      </c>
      <c r="T168" s="152">
        <v>8.8603000000000001E-2</v>
      </c>
      <c r="U168" s="152">
        <v>10.588024000000001</v>
      </c>
      <c r="V168" s="152">
        <v>128.346891</v>
      </c>
      <c r="W168" s="152">
        <v>1000</v>
      </c>
      <c r="X168" s="152" t="s">
        <v>23</v>
      </c>
      <c r="Y168" s="152" t="s">
        <v>1328</v>
      </c>
      <c r="Z168" s="152" t="s">
        <v>1327</v>
      </c>
    </row>
    <row r="169" spans="1:26" x14ac:dyDescent="0.2">
      <c r="A169" s="152" t="s">
        <v>1436</v>
      </c>
      <c r="B169" s="152">
        <v>3.61</v>
      </c>
      <c r="C169" s="151">
        <v>49860</v>
      </c>
      <c r="D169" s="152">
        <v>17.70411</v>
      </c>
      <c r="E169" s="152" t="s">
        <v>1325</v>
      </c>
      <c r="F169" s="152" t="s">
        <v>1326</v>
      </c>
      <c r="G169" s="152"/>
      <c r="H169" s="152"/>
      <c r="I169" s="151" t="s">
        <v>1327</v>
      </c>
      <c r="J169" s="152" t="s">
        <v>1327</v>
      </c>
      <c r="K169" s="151">
        <v>43395</v>
      </c>
      <c r="L169" s="152">
        <v>3.8962889999999999</v>
      </c>
      <c r="M169" s="152">
        <v>4.0342890000000002</v>
      </c>
      <c r="N169" s="152">
        <v>3.8642889999999999</v>
      </c>
      <c r="O169" s="152">
        <v>3.5667939999999998</v>
      </c>
      <c r="P169" s="152">
        <v>25.852007</v>
      </c>
      <c r="Q169" s="152">
        <v>3.5667939999999998</v>
      </c>
      <c r="R169" s="152" t="s">
        <v>1327</v>
      </c>
      <c r="S169" s="152">
        <v>100.544693</v>
      </c>
      <c r="T169" s="152">
        <v>1.1176159999999999</v>
      </c>
      <c r="U169" s="152">
        <v>12.870459</v>
      </c>
      <c r="V169" s="152">
        <v>206.69457600000001</v>
      </c>
      <c r="W169" s="152">
        <v>1000</v>
      </c>
      <c r="X169" s="152" t="s">
        <v>23</v>
      </c>
      <c r="Y169" s="152" t="s">
        <v>1328</v>
      </c>
      <c r="Z169" s="152" t="s">
        <v>1327</v>
      </c>
    </row>
    <row r="170" spans="1:26" x14ac:dyDescent="0.2">
      <c r="A170" s="152" t="s">
        <v>1437</v>
      </c>
      <c r="B170" s="152">
        <v>7.38</v>
      </c>
      <c r="C170" s="151">
        <v>44051</v>
      </c>
      <c r="D170" s="152">
        <v>1.7890410000000001</v>
      </c>
      <c r="E170" s="152" t="s">
        <v>1325</v>
      </c>
      <c r="F170" s="152" t="s">
        <v>1326</v>
      </c>
      <c r="G170" s="152"/>
      <c r="H170" s="152"/>
      <c r="I170" s="151">
        <v>36746</v>
      </c>
      <c r="J170" s="152">
        <v>7.38</v>
      </c>
      <c r="K170" s="151">
        <v>43395</v>
      </c>
      <c r="L170" s="152">
        <v>2.187567</v>
      </c>
      <c r="M170" s="152">
        <v>2.2340390000000001</v>
      </c>
      <c r="N170" s="152">
        <v>2.1402040000000002</v>
      </c>
      <c r="O170" s="152">
        <v>2.0937549999999998</v>
      </c>
      <c r="P170" s="152">
        <v>11.522007</v>
      </c>
      <c r="Q170" s="152">
        <v>2.0937549999999998</v>
      </c>
      <c r="R170" s="152" t="s">
        <v>1327</v>
      </c>
      <c r="S170" s="152">
        <v>109.206951</v>
      </c>
      <c r="T170" s="152">
        <v>1.5770960000000001</v>
      </c>
      <c r="U170" s="152">
        <v>1.6742459999999999</v>
      </c>
      <c r="V170" s="152">
        <v>3.7350059999999998</v>
      </c>
      <c r="W170" s="152">
        <v>1000</v>
      </c>
      <c r="X170" s="152" t="s">
        <v>23</v>
      </c>
      <c r="Y170" s="152" t="s">
        <v>1328</v>
      </c>
      <c r="Z170" s="152" t="s">
        <v>1327</v>
      </c>
    </row>
    <row r="171" spans="1:26" x14ac:dyDescent="0.2">
      <c r="A171" s="152" t="s">
        <v>1438</v>
      </c>
      <c r="B171" s="152">
        <v>4.96</v>
      </c>
      <c r="C171" s="151">
        <v>43558</v>
      </c>
      <c r="D171" s="152">
        <v>0.43835600000000002</v>
      </c>
      <c r="E171" s="152" t="s">
        <v>1325</v>
      </c>
      <c r="F171" s="152" t="s">
        <v>1326</v>
      </c>
      <c r="G171" s="152"/>
      <c r="H171" s="152"/>
      <c r="I171" s="151">
        <v>39539</v>
      </c>
      <c r="J171" s="152">
        <v>4.96</v>
      </c>
      <c r="K171" s="151">
        <v>43395</v>
      </c>
      <c r="L171" s="152">
        <v>1.8059750000000001</v>
      </c>
      <c r="M171" s="152">
        <v>1.8548659999999999</v>
      </c>
      <c r="N171" s="152">
        <v>1.7900480000000001</v>
      </c>
      <c r="O171" s="152">
        <v>1.804586</v>
      </c>
      <c r="P171" s="152">
        <v>9.6032100000000007</v>
      </c>
      <c r="Q171" s="152">
        <v>1.804586</v>
      </c>
      <c r="R171" s="152" t="s">
        <v>1327</v>
      </c>
      <c r="S171" s="152">
        <v>101.37717600000001</v>
      </c>
      <c r="T171" s="152">
        <v>0.29895899999999997</v>
      </c>
      <c r="U171" s="152">
        <v>0.43443599999999999</v>
      </c>
      <c r="V171" s="152">
        <v>0.40401100000000001</v>
      </c>
      <c r="W171" s="152">
        <v>1000</v>
      </c>
      <c r="X171" s="152" t="s">
        <v>23</v>
      </c>
      <c r="Y171" s="152" t="s">
        <v>1328</v>
      </c>
      <c r="Z171" s="152" t="s">
        <v>1327</v>
      </c>
    </row>
    <row r="172" spans="1:26" x14ac:dyDescent="0.2">
      <c r="A172" s="152" t="s">
        <v>1439</v>
      </c>
      <c r="B172" s="152">
        <v>4.9580000000000002</v>
      </c>
      <c r="C172" s="151">
        <v>43896</v>
      </c>
      <c r="D172" s="152">
        <v>1.364384</v>
      </c>
      <c r="E172" s="152" t="s">
        <v>1325</v>
      </c>
      <c r="F172" s="152" t="s">
        <v>1326</v>
      </c>
      <c r="G172" s="152"/>
      <c r="H172" s="152"/>
      <c r="I172" s="151" t="s">
        <v>1327</v>
      </c>
      <c r="J172" s="152" t="s">
        <v>1327</v>
      </c>
      <c r="K172" s="151">
        <v>43395</v>
      </c>
      <c r="L172" s="152">
        <v>2.0735549999999998</v>
      </c>
      <c r="M172" s="152">
        <v>2.126131</v>
      </c>
      <c r="N172" s="152">
        <v>2.0613359999999998</v>
      </c>
      <c r="O172" s="152">
        <v>2.0206279999999999</v>
      </c>
      <c r="P172" s="152">
        <v>13.703595999999999</v>
      </c>
      <c r="Q172" s="152">
        <v>2.0206279999999999</v>
      </c>
      <c r="R172" s="152" t="s">
        <v>1327</v>
      </c>
      <c r="S172" s="152">
        <v>103.94349</v>
      </c>
      <c r="T172" s="152">
        <v>0.66559500000000005</v>
      </c>
      <c r="U172" s="152">
        <v>1.313205</v>
      </c>
      <c r="V172" s="152">
        <v>2.402094</v>
      </c>
      <c r="W172" s="152">
        <v>1000</v>
      </c>
      <c r="X172" s="152" t="s">
        <v>23</v>
      </c>
      <c r="Y172" s="152" t="s">
        <v>1328</v>
      </c>
      <c r="Z172" s="152" t="s">
        <v>1327</v>
      </c>
    </row>
    <row r="173" spans="1:26" x14ac:dyDescent="0.2">
      <c r="A173" s="152" t="s">
        <v>1440</v>
      </c>
      <c r="B173" s="152">
        <v>4.97</v>
      </c>
      <c r="C173" s="151">
        <v>43910</v>
      </c>
      <c r="D173" s="152">
        <v>1.4027400000000001</v>
      </c>
      <c r="E173" s="152" t="s">
        <v>1325</v>
      </c>
      <c r="F173" s="152" t="s">
        <v>1326</v>
      </c>
      <c r="G173" s="152"/>
      <c r="H173" s="152"/>
      <c r="I173" s="152" t="s">
        <v>1327</v>
      </c>
      <c r="J173" s="152" t="s">
        <v>1327</v>
      </c>
      <c r="K173" s="151">
        <v>43395</v>
      </c>
      <c r="L173" s="152">
        <v>2.0849510000000002</v>
      </c>
      <c r="M173" s="152">
        <v>2.1388310000000001</v>
      </c>
      <c r="N173" s="152">
        <v>2.0725020000000001</v>
      </c>
      <c r="O173" s="152">
        <v>2.032429</v>
      </c>
      <c r="P173" s="152">
        <v>13.836357</v>
      </c>
      <c r="Q173" s="152">
        <v>2.032429</v>
      </c>
      <c r="R173" s="152" t="s">
        <v>1327</v>
      </c>
      <c r="S173" s="152">
        <v>104.052882</v>
      </c>
      <c r="T173" s="152">
        <v>0.47657500000000003</v>
      </c>
      <c r="U173" s="152">
        <v>1.3510169999999999</v>
      </c>
      <c r="V173" s="152">
        <v>2.5215700000000001</v>
      </c>
      <c r="W173" s="152">
        <v>1000</v>
      </c>
      <c r="X173" s="152" t="s">
        <v>23</v>
      </c>
      <c r="Y173" s="152" t="s">
        <v>1328</v>
      </c>
      <c r="Z173" s="152" t="s">
        <v>1327</v>
      </c>
    </row>
    <row r="174" spans="1:26" x14ac:dyDescent="0.2">
      <c r="A174" s="152" t="s">
        <v>1441</v>
      </c>
      <c r="B174" s="152">
        <v>4.9800000000000004</v>
      </c>
      <c r="C174" s="151">
        <v>43917</v>
      </c>
      <c r="D174" s="152">
        <v>1.421918</v>
      </c>
      <c r="E174" s="152" t="s">
        <v>1325</v>
      </c>
      <c r="F174" s="152" t="s">
        <v>1326</v>
      </c>
      <c r="G174" s="152"/>
      <c r="H174" s="152"/>
      <c r="I174" s="151">
        <v>42114</v>
      </c>
      <c r="J174" s="152">
        <v>2.5499999999999998</v>
      </c>
      <c r="K174" s="151">
        <v>43395</v>
      </c>
      <c r="L174" s="152">
        <v>2.090649</v>
      </c>
      <c r="M174" s="152">
        <v>2.145181</v>
      </c>
      <c r="N174" s="152">
        <v>2.0780850000000002</v>
      </c>
      <c r="O174" s="152">
        <v>2.0383550000000001</v>
      </c>
      <c r="P174" s="152">
        <v>13.901945</v>
      </c>
      <c r="Q174" s="152">
        <v>2.0383550000000001</v>
      </c>
      <c r="R174" s="152" t="s">
        <v>1327</v>
      </c>
      <c r="S174" s="152">
        <v>104.113141</v>
      </c>
      <c r="T174" s="152">
        <v>0.38202700000000001</v>
      </c>
      <c r="U174" s="152">
        <v>1.3698950000000001</v>
      </c>
      <c r="V174" s="152">
        <v>2.582309</v>
      </c>
      <c r="W174" s="152">
        <v>1000</v>
      </c>
      <c r="X174" s="152" t="s">
        <v>23</v>
      </c>
      <c r="Y174" s="152" t="s">
        <v>1328</v>
      </c>
      <c r="Z174" s="152" t="s">
        <v>1327</v>
      </c>
    </row>
    <row r="175" spans="1:26" x14ac:dyDescent="0.2">
      <c r="A175" s="152" t="s">
        <v>1442</v>
      </c>
      <c r="B175" s="152">
        <v>4.45</v>
      </c>
      <c r="C175" s="151">
        <v>44006</v>
      </c>
      <c r="D175" s="152">
        <v>1.665753</v>
      </c>
      <c r="E175" s="152" t="s">
        <v>1325</v>
      </c>
      <c r="F175" s="152" t="s">
        <v>1326</v>
      </c>
      <c r="G175" s="152"/>
      <c r="H175" s="152"/>
      <c r="I175" s="151" t="s">
        <v>1327</v>
      </c>
      <c r="J175" s="152" t="s">
        <v>1327</v>
      </c>
      <c r="K175" s="151">
        <v>43395</v>
      </c>
      <c r="L175" s="152">
        <v>2.1630950000000002</v>
      </c>
      <c r="M175" s="152">
        <v>2.2259169999999999</v>
      </c>
      <c r="N175" s="152">
        <v>2.1490680000000002</v>
      </c>
      <c r="O175" s="152">
        <v>2.1069710000000001</v>
      </c>
      <c r="P175" s="152">
        <v>14.693343</v>
      </c>
      <c r="Q175" s="152">
        <v>2.1069710000000001</v>
      </c>
      <c r="R175" s="152" t="s">
        <v>1327</v>
      </c>
      <c r="S175" s="152">
        <v>103.803746</v>
      </c>
      <c r="T175" s="152">
        <v>1.4995890000000001</v>
      </c>
      <c r="U175" s="152">
        <v>1.584954</v>
      </c>
      <c r="V175" s="152">
        <v>3.3642889999999999</v>
      </c>
      <c r="W175" s="152">
        <v>1000</v>
      </c>
      <c r="X175" s="152" t="s">
        <v>23</v>
      </c>
      <c r="Y175" s="152" t="s">
        <v>1328</v>
      </c>
      <c r="Z175" s="152" t="s">
        <v>1327</v>
      </c>
    </row>
    <row r="176" spans="1:26" x14ac:dyDescent="0.2">
      <c r="A176" s="152" t="s">
        <v>1443</v>
      </c>
      <c r="B176" s="152">
        <v>4.33</v>
      </c>
      <c r="C176" s="151">
        <v>43421</v>
      </c>
      <c r="D176" s="152">
        <v>6.3014000000000001E-2</v>
      </c>
      <c r="E176" s="152" t="s">
        <v>1325</v>
      </c>
      <c r="F176" s="152" t="s">
        <v>1326</v>
      </c>
      <c r="G176" s="152"/>
      <c r="H176" s="152"/>
      <c r="I176" s="152">
        <v>43285</v>
      </c>
      <c r="J176" s="152">
        <v>1.48</v>
      </c>
      <c r="K176" s="151">
        <v>43395</v>
      </c>
      <c r="L176" s="152">
        <v>1.341045</v>
      </c>
      <c r="M176" s="152">
        <v>1.3930450000000001</v>
      </c>
      <c r="N176" s="152">
        <v>1.323045</v>
      </c>
      <c r="O176" s="152">
        <v>1.2940119999999999</v>
      </c>
      <c r="P176" s="152">
        <v>7.1084680000000002</v>
      </c>
      <c r="Q176" s="152">
        <v>1.2940119999999999</v>
      </c>
      <c r="R176" s="152" t="s">
        <v>1327</v>
      </c>
      <c r="S176" s="152">
        <v>100.172051</v>
      </c>
      <c r="T176" s="152">
        <v>1.909945</v>
      </c>
      <c r="U176" s="152">
        <v>6.2608999999999998E-2</v>
      </c>
      <c r="V176" s="152">
        <v>3.5022999999999999E-2</v>
      </c>
      <c r="W176" s="152">
        <v>1000</v>
      </c>
      <c r="X176" s="152" t="s">
        <v>23</v>
      </c>
      <c r="Y176" s="152" t="s">
        <v>1328</v>
      </c>
      <c r="Z176" s="152" t="s">
        <v>1327</v>
      </c>
    </row>
    <row r="177" spans="1:26" x14ac:dyDescent="0.2">
      <c r="A177" s="152" t="s">
        <v>1444</v>
      </c>
      <c r="B177" s="152">
        <v>3.61</v>
      </c>
      <c r="C177" s="151">
        <v>43915</v>
      </c>
      <c r="D177" s="152">
        <v>1.4164380000000001</v>
      </c>
      <c r="E177" s="152" t="s">
        <v>1325</v>
      </c>
      <c r="F177" s="152" t="s">
        <v>1326</v>
      </c>
      <c r="G177" s="152"/>
      <c r="H177" s="152"/>
      <c r="I177" s="152">
        <v>41701</v>
      </c>
      <c r="J177" s="152">
        <v>3.56</v>
      </c>
      <c r="K177" s="151">
        <v>43395</v>
      </c>
      <c r="L177" s="152">
        <v>2.0890209999999998</v>
      </c>
      <c r="M177" s="152">
        <v>2.1433659999999999</v>
      </c>
      <c r="N177" s="152">
        <v>2.0764900000000002</v>
      </c>
      <c r="O177" s="152">
        <v>2.0374340000000002</v>
      </c>
      <c r="P177" s="152">
        <v>13.883259000000001</v>
      </c>
      <c r="Q177" s="152">
        <v>2.0374340000000002</v>
      </c>
      <c r="R177" s="152" t="s">
        <v>1327</v>
      </c>
      <c r="S177" s="152">
        <v>102.194025</v>
      </c>
      <c r="T177" s="152">
        <v>0.29671199999999998</v>
      </c>
      <c r="U177" s="152">
        <v>1.373597</v>
      </c>
      <c r="V177" s="152">
        <v>2.587323</v>
      </c>
      <c r="W177" s="152">
        <v>1000</v>
      </c>
      <c r="X177" s="152" t="s">
        <v>23</v>
      </c>
      <c r="Y177" s="152" t="s">
        <v>1328</v>
      </c>
      <c r="Z177" s="152" t="s">
        <v>1327</v>
      </c>
    </row>
    <row r="178" spans="1:26" x14ac:dyDescent="0.2">
      <c r="A178" s="152" t="s">
        <v>1445</v>
      </c>
      <c r="B178" s="152">
        <v>3.39</v>
      </c>
      <c r="C178" s="151">
        <v>43992</v>
      </c>
      <c r="D178" s="152">
        <v>1.627397</v>
      </c>
      <c r="E178" s="152" t="s">
        <v>1325</v>
      </c>
      <c r="F178" s="152" t="s">
        <v>1326</v>
      </c>
      <c r="G178" s="152"/>
      <c r="H178" s="152"/>
      <c r="I178" s="151" t="s">
        <v>1327</v>
      </c>
      <c r="J178" s="152" t="s">
        <v>1327</v>
      </c>
      <c r="K178" s="151">
        <v>43395</v>
      </c>
      <c r="L178" s="152">
        <v>2.1516989999999998</v>
      </c>
      <c r="M178" s="152">
        <v>2.2132170000000002</v>
      </c>
      <c r="N178" s="152">
        <v>2.137902</v>
      </c>
      <c r="O178" s="152">
        <v>2.0979670000000001</v>
      </c>
      <c r="P178" s="152">
        <v>14.573776000000001</v>
      </c>
      <c r="Q178" s="152">
        <v>2.0979670000000001</v>
      </c>
      <c r="R178" s="152" t="s">
        <v>1327</v>
      </c>
      <c r="S178" s="152">
        <v>102.048562</v>
      </c>
      <c r="T178" s="152">
        <v>1.272411</v>
      </c>
      <c r="U178" s="152">
        <v>1.5609059999999999</v>
      </c>
      <c r="V178" s="152">
        <v>3.2622879999999999</v>
      </c>
      <c r="W178" s="152">
        <v>1000</v>
      </c>
      <c r="X178" s="152" t="s">
        <v>23</v>
      </c>
      <c r="Y178" s="152" t="s">
        <v>1328</v>
      </c>
      <c r="Z178" s="152" t="s">
        <v>1327</v>
      </c>
    </row>
    <row r="179" spans="1:26" x14ac:dyDescent="0.2">
      <c r="A179" s="152" t="s">
        <v>1446</v>
      </c>
      <c r="B179" s="152">
        <v>3.81</v>
      </c>
      <c r="C179" s="151">
        <v>44342</v>
      </c>
      <c r="D179" s="152">
        <v>2.5863010000000002</v>
      </c>
      <c r="E179" s="152" t="s">
        <v>1325</v>
      </c>
      <c r="F179" s="152" t="s">
        <v>1326</v>
      </c>
      <c r="G179" s="152"/>
      <c r="H179" s="152"/>
      <c r="I179" s="152" t="s">
        <v>1327</v>
      </c>
      <c r="J179" s="152" t="s">
        <v>1327</v>
      </c>
      <c r="K179" s="151">
        <v>43395</v>
      </c>
      <c r="L179" s="152">
        <v>2.3348239999999998</v>
      </c>
      <c r="M179" s="152">
        <v>2.428944</v>
      </c>
      <c r="N179" s="152">
        <v>2.3152729999999999</v>
      </c>
      <c r="O179" s="152">
        <v>2.2296450000000001</v>
      </c>
      <c r="P179" s="152">
        <v>17.140578999999999</v>
      </c>
      <c r="Q179" s="152">
        <v>2.2296450000000001</v>
      </c>
      <c r="R179" s="152" t="s">
        <v>1327</v>
      </c>
      <c r="S179" s="152">
        <v>103.93515600000001</v>
      </c>
      <c r="T179" s="152">
        <v>1.58663</v>
      </c>
      <c r="U179" s="152">
        <v>2.4274439999999999</v>
      </c>
      <c r="V179" s="152">
        <v>7.3153829999999997</v>
      </c>
      <c r="W179" s="152">
        <v>1000</v>
      </c>
      <c r="X179" s="152" t="s">
        <v>23</v>
      </c>
      <c r="Y179" s="152" t="s">
        <v>1328</v>
      </c>
      <c r="Z179" s="152" t="s">
        <v>1327</v>
      </c>
    </row>
    <row r="180" spans="1:26" x14ac:dyDescent="0.2">
      <c r="A180" s="152" t="s">
        <v>1447</v>
      </c>
      <c r="B180" s="152">
        <v>3.54</v>
      </c>
      <c r="C180" s="151">
        <v>44345</v>
      </c>
      <c r="D180" s="152">
        <v>2.5945209999999999</v>
      </c>
      <c r="E180" s="152" t="s">
        <v>1325</v>
      </c>
      <c r="F180" s="152" t="s">
        <v>1326</v>
      </c>
      <c r="G180" s="152"/>
      <c r="H180" s="152"/>
      <c r="I180" s="151">
        <v>41782</v>
      </c>
      <c r="J180" s="152">
        <v>3.537658</v>
      </c>
      <c r="K180" s="151">
        <v>43395</v>
      </c>
      <c r="L180" s="152">
        <v>2.3363489999999998</v>
      </c>
      <c r="M180" s="152">
        <v>2.430749</v>
      </c>
      <c r="N180" s="152">
        <v>2.3167490000000002</v>
      </c>
      <c r="O180" s="152">
        <v>2.2308949999999999</v>
      </c>
      <c r="P180" s="152">
        <v>17.159465000000001</v>
      </c>
      <c r="Q180" s="152">
        <v>2.2308949999999999</v>
      </c>
      <c r="R180" s="152" t="s">
        <v>1327</v>
      </c>
      <c r="S180" s="152">
        <v>103.26793600000001</v>
      </c>
      <c r="T180" s="152">
        <v>1.4450959999999999</v>
      </c>
      <c r="U180" s="152">
        <v>2.4439690000000001</v>
      </c>
      <c r="V180" s="152">
        <v>7.3908659999999999</v>
      </c>
      <c r="W180" s="152">
        <v>1000</v>
      </c>
      <c r="X180" s="152" t="s">
        <v>23</v>
      </c>
      <c r="Y180" s="152" t="s">
        <v>1328</v>
      </c>
      <c r="Z180" s="152" t="s">
        <v>1327</v>
      </c>
    </row>
    <row r="181" spans="1:26" x14ac:dyDescent="0.2">
      <c r="A181" s="152" t="s">
        <v>1448</v>
      </c>
      <c r="B181" s="152">
        <v>1.67</v>
      </c>
      <c r="C181" s="151">
        <v>44335</v>
      </c>
      <c r="D181" s="152">
        <v>2.567123</v>
      </c>
      <c r="E181" s="152" t="s">
        <v>1325</v>
      </c>
      <c r="F181" s="152" t="s">
        <v>1326</v>
      </c>
      <c r="G181" s="152"/>
      <c r="H181" s="152"/>
      <c r="I181" s="151">
        <v>42508</v>
      </c>
      <c r="J181" s="152">
        <v>1.67</v>
      </c>
      <c r="K181" s="151">
        <v>43395</v>
      </c>
      <c r="L181" s="152">
        <v>2.3312650000000001</v>
      </c>
      <c r="M181" s="152">
        <v>2.4247329999999998</v>
      </c>
      <c r="N181" s="152">
        <v>2.3118289999999999</v>
      </c>
      <c r="O181" s="152">
        <v>2.2307130000000002</v>
      </c>
      <c r="P181" s="152">
        <v>17.096343000000001</v>
      </c>
      <c r="Q181" s="152">
        <v>2.2307130000000002</v>
      </c>
      <c r="R181" s="152" t="s">
        <v>1327</v>
      </c>
      <c r="S181" s="152">
        <v>98.600413000000003</v>
      </c>
      <c r="T181" s="152">
        <v>0.72747899999999999</v>
      </c>
      <c r="U181" s="152">
        <v>2.4788109999999999</v>
      </c>
      <c r="V181" s="152">
        <v>7.4782299999999999</v>
      </c>
      <c r="W181" s="152">
        <v>1000</v>
      </c>
      <c r="X181" s="152" t="s">
        <v>23</v>
      </c>
      <c r="Y181" s="152" t="s">
        <v>1328</v>
      </c>
      <c r="Z181" s="152" t="s">
        <v>1327</v>
      </c>
    </row>
    <row r="182" spans="1:26" x14ac:dyDescent="0.2">
      <c r="A182" s="152" t="s">
        <v>628</v>
      </c>
      <c r="B182" s="152">
        <v>1.83</v>
      </c>
      <c r="C182" s="151">
        <v>44831</v>
      </c>
      <c r="D182" s="152">
        <v>3.9260269999999999</v>
      </c>
      <c r="E182" s="152" t="s">
        <v>1325</v>
      </c>
      <c r="F182" s="152" t="s">
        <v>1326</v>
      </c>
      <c r="G182" s="152"/>
      <c r="H182" s="152"/>
      <c r="I182" s="152">
        <v>43223</v>
      </c>
      <c r="J182" s="152">
        <v>2</v>
      </c>
      <c r="K182" s="151">
        <v>43395</v>
      </c>
      <c r="L182" s="152">
        <v>2.665292</v>
      </c>
      <c r="M182" s="152">
        <v>2.781676</v>
      </c>
      <c r="N182" s="152">
        <v>2.6423610000000002</v>
      </c>
      <c r="O182" s="152">
        <v>2.5403159999999998</v>
      </c>
      <c r="P182" s="152">
        <v>19.759224</v>
      </c>
      <c r="Q182" s="152">
        <v>2.5403159999999998</v>
      </c>
      <c r="R182" s="152" t="s">
        <v>1327</v>
      </c>
      <c r="S182" s="152">
        <v>97.372851999999995</v>
      </c>
      <c r="T182" s="152">
        <v>0.14038400000000001</v>
      </c>
      <c r="U182" s="152">
        <v>3.7448389999999998</v>
      </c>
      <c r="V182" s="152">
        <v>16.168441000000001</v>
      </c>
      <c r="W182" s="152">
        <v>1000</v>
      </c>
      <c r="X182" s="152" t="s">
        <v>23</v>
      </c>
      <c r="Y182" s="152" t="s">
        <v>1328</v>
      </c>
      <c r="Z182" s="152" t="s">
        <v>1327</v>
      </c>
    </row>
    <row r="183" spans="1:26" x14ac:dyDescent="0.2">
      <c r="A183" s="152" t="s">
        <v>1449</v>
      </c>
      <c r="B183" s="152">
        <v>3.83</v>
      </c>
      <c r="C183" s="151">
        <v>45006</v>
      </c>
      <c r="D183" s="152">
        <v>4.4054789999999997</v>
      </c>
      <c r="E183" s="152" t="s">
        <v>1325</v>
      </c>
      <c r="F183" s="152" t="s">
        <v>1326</v>
      </c>
      <c r="G183" s="152"/>
      <c r="H183" s="152"/>
      <c r="I183" s="152">
        <v>43349</v>
      </c>
      <c r="J183" s="152">
        <v>2.44</v>
      </c>
      <c r="K183" s="151">
        <v>43395</v>
      </c>
      <c r="L183" s="152">
        <v>2.7333210000000001</v>
      </c>
      <c r="M183" s="152">
        <v>2.8540199999999998</v>
      </c>
      <c r="N183" s="152">
        <v>2.7099099999999998</v>
      </c>
      <c r="O183" s="152">
        <v>2.5790389999999999</v>
      </c>
      <c r="P183" s="152">
        <v>20.525486000000001</v>
      </c>
      <c r="Q183" s="152">
        <v>2.5790389999999999</v>
      </c>
      <c r="R183" s="152" t="s">
        <v>1327</v>
      </c>
      <c r="S183" s="152">
        <v>105.188849</v>
      </c>
      <c r="T183" s="152">
        <v>0.356767</v>
      </c>
      <c r="U183" s="152">
        <v>4.0368690000000003</v>
      </c>
      <c r="V183" s="152">
        <v>19.067271000000002</v>
      </c>
      <c r="W183" s="152">
        <v>1000</v>
      </c>
      <c r="X183" s="152" t="s">
        <v>23</v>
      </c>
      <c r="Y183" s="152" t="s">
        <v>1328</v>
      </c>
      <c r="Z183" s="152" t="s">
        <v>1327</v>
      </c>
    </row>
    <row r="184" spans="1:26" x14ac:dyDescent="0.2">
      <c r="A184" s="152" t="s">
        <v>1450</v>
      </c>
      <c r="B184" s="152">
        <v>2.6</v>
      </c>
      <c r="C184" s="151">
        <v>43540</v>
      </c>
      <c r="D184" s="152">
        <v>0.38904100000000003</v>
      </c>
      <c r="E184" s="152" t="s">
        <v>1325</v>
      </c>
      <c r="F184" s="152" t="s">
        <v>1326</v>
      </c>
      <c r="G184" s="152"/>
      <c r="H184" s="152"/>
      <c r="I184" s="151">
        <v>43376</v>
      </c>
      <c r="J184" s="152">
        <v>1.6</v>
      </c>
      <c r="K184" s="151">
        <v>43395</v>
      </c>
      <c r="L184" s="152">
        <v>1.738226</v>
      </c>
      <c r="M184" s="152">
        <v>1.7788710000000001</v>
      </c>
      <c r="N184" s="152">
        <v>1.7108049999999999</v>
      </c>
      <c r="O184" s="152">
        <v>1.7363390000000001</v>
      </c>
      <c r="P184" s="152">
        <v>5.8798849999999998</v>
      </c>
      <c r="Q184" s="152">
        <v>1.7363390000000001</v>
      </c>
      <c r="R184" s="152" t="s">
        <v>1327</v>
      </c>
      <c r="S184" s="152">
        <v>100.343143</v>
      </c>
      <c r="T184" s="152">
        <v>0.277808</v>
      </c>
      <c r="U184" s="152">
        <v>0.38569300000000001</v>
      </c>
      <c r="V184" s="152">
        <v>0.339945</v>
      </c>
      <c r="W184" s="152">
        <v>1000</v>
      </c>
      <c r="X184" s="152" t="s">
        <v>23</v>
      </c>
      <c r="Y184" s="152" t="s">
        <v>1328</v>
      </c>
      <c r="Z184" s="152" t="s">
        <v>1327</v>
      </c>
    </row>
    <row r="185" spans="1:26" x14ac:dyDescent="0.2">
      <c r="A185" s="152" t="s">
        <v>1451</v>
      </c>
      <c r="B185" s="152">
        <v>1.66</v>
      </c>
      <c r="C185" s="151">
        <v>43673</v>
      </c>
      <c r="D185" s="152">
        <v>0.75342500000000001</v>
      </c>
      <c r="E185" s="152" t="s">
        <v>1325</v>
      </c>
      <c r="F185" s="152" t="s">
        <v>1326</v>
      </c>
      <c r="G185" s="152"/>
      <c r="H185" s="152"/>
      <c r="I185" s="151">
        <v>43383</v>
      </c>
      <c r="J185" s="152">
        <v>1.82</v>
      </c>
      <c r="K185" s="151">
        <v>43395</v>
      </c>
      <c r="L185" s="152">
        <v>1.8687800000000001</v>
      </c>
      <c r="M185" s="152">
        <v>1.911043</v>
      </c>
      <c r="N185" s="152">
        <v>1.847831</v>
      </c>
      <c r="O185" s="152">
        <v>1.8707530000000001</v>
      </c>
      <c r="P185" s="152">
        <v>9.0507799999999996</v>
      </c>
      <c r="Q185" s="152">
        <v>1.8707530000000001</v>
      </c>
      <c r="R185" s="152" t="s">
        <v>1327</v>
      </c>
      <c r="S185" s="152">
        <v>99.834417999999999</v>
      </c>
      <c r="T185" s="152">
        <v>0.40931499999999998</v>
      </c>
      <c r="U185" s="152">
        <v>0.74643199999999998</v>
      </c>
      <c r="V185" s="152">
        <v>0.92892399999999997</v>
      </c>
      <c r="W185" s="152">
        <v>1000</v>
      </c>
      <c r="X185" s="152" t="s">
        <v>23</v>
      </c>
      <c r="Y185" s="152" t="s">
        <v>1328</v>
      </c>
      <c r="Z185" s="152" t="s">
        <v>1327</v>
      </c>
    </row>
    <row r="186" spans="1:26" x14ac:dyDescent="0.2">
      <c r="A186" s="152" t="s">
        <v>1452</v>
      </c>
      <c r="B186" s="152">
        <v>2.46</v>
      </c>
      <c r="C186" s="151">
        <v>44161</v>
      </c>
      <c r="D186" s="152">
        <v>2.090411</v>
      </c>
      <c r="E186" s="152" t="s">
        <v>1325</v>
      </c>
      <c r="F186" s="152" t="s">
        <v>1326</v>
      </c>
      <c r="G186" s="152"/>
      <c r="H186" s="152"/>
      <c r="I186" s="151">
        <v>43367</v>
      </c>
      <c r="J186" s="152">
        <v>2.15</v>
      </c>
      <c r="K186" s="151">
        <v>43367</v>
      </c>
      <c r="L186" s="152">
        <v>2.1456270000000002</v>
      </c>
      <c r="M186" s="152">
        <v>2.2028690000000002</v>
      </c>
      <c r="N186" s="152">
        <v>2.1152799999999998</v>
      </c>
      <c r="O186" s="152">
        <v>2.1679409999999999</v>
      </c>
      <c r="P186" s="152">
        <v>14.078029000000001</v>
      </c>
      <c r="Q186" s="152">
        <v>2.1679409999999999</v>
      </c>
      <c r="R186" s="152" t="s">
        <v>1327</v>
      </c>
      <c r="S186" s="152">
        <v>100.581926</v>
      </c>
      <c r="T186" s="152">
        <v>1.024438</v>
      </c>
      <c r="U186" s="152">
        <v>2.0061559999999998</v>
      </c>
      <c r="V186" s="152">
        <v>5.1015430000000004</v>
      </c>
      <c r="W186" s="152">
        <v>1000</v>
      </c>
      <c r="X186" s="152" t="s">
        <v>23</v>
      </c>
      <c r="Y186" s="152" t="s">
        <v>1328</v>
      </c>
      <c r="Z186" s="152" t="s">
        <v>1327</v>
      </c>
    </row>
    <row r="187" spans="1:26" x14ac:dyDescent="0.2">
      <c r="A187" s="152" t="s">
        <v>1453</v>
      </c>
      <c r="B187" s="152">
        <v>3.01</v>
      </c>
      <c r="C187" s="151">
        <v>44526</v>
      </c>
      <c r="D187" s="152">
        <v>3.090411</v>
      </c>
      <c r="E187" s="152" t="s">
        <v>1325</v>
      </c>
      <c r="F187" s="152" t="s">
        <v>1326</v>
      </c>
      <c r="G187" s="152"/>
      <c r="H187" s="152"/>
      <c r="I187" s="151">
        <v>43346</v>
      </c>
      <c r="J187" s="152">
        <v>2.15</v>
      </c>
      <c r="K187" s="151">
        <v>43395</v>
      </c>
      <c r="L187" s="152">
        <v>2.3468840000000002</v>
      </c>
      <c r="M187" s="152">
        <v>2.4057879999999998</v>
      </c>
      <c r="N187" s="152">
        <v>2.303391</v>
      </c>
      <c r="O187" s="152">
        <v>2.3425889999999998</v>
      </c>
      <c r="P187" s="152">
        <v>20.568085</v>
      </c>
      <c r="Q187" s="152">
        <v>2.3425889999999998</v>
      </c>
      <c r="R187" s="152" t="s">
        <v>1327</v>
      </c>
      <c r="S187" s="152">
        <v>101.963202</v>
      </c>
      <c r="T187" s="152">
        <v>1.253479</v>
      </c>
      <c r="U187" s="152">
        <v>2.9037860000000002</v>
      </c>
      <c r="V187" s="152">
        <v>10.164246</v>
      </c>
      <c r="W187" s="152">
        <v>1000</v>
      </c>
      <c r="X187" s="152" t="s">
        <v>23</v>
      </c>
      <c r="Y187" s="152" t="s">
        <v>1328</v>
      </c>
      <c r="Z187" s="152" t="s">
        <v>1327</v>
      </c>
    </row>
    <row r="188" spans="1:26" x14ac:dyDescent="0.2">
      <c r="A188" s="152" t="s">
        <v>1454</v>
      </c>
      <c r="B188" s="152">
        <v>2.37</v>
      </c>
      <c r="C188" s="151">
        <v>44722</v>
      </c>
      <c r="D188" s="152">
        <v>3.6273970000000002</v>
      </c>
      <c r="E188" s="152" t="s">
        <v>1325</v>
      </c>
      <c r="F188" s="152" t="s">
        <v>1326</v>
      </c>
      <c r="G188" s="152"/>
      <c r="H188" s="152"/>
      <c r="I188" s="151">
        <v>43082</v>
      </c>
      <c r="J188" s="152">
        <v>1.95</v>
      </c>
      <c r="K188" s="151">
        <v>43395</v>
      </c>
      <c r="L188" s="152">
        <v>2.520734</v>
      </c>
      <c r="M188" s="152">
        <v>2.592168</v>
      </c>
      <c r="N188" s="152">
        <v>2.4763459999999999</v>
      </c>
      <c r="O188" s="152">
        <v>2.508146</v>
      </c>
      <c r="P188" s="152">
        <v>21.362476999999998</v>
      </c>
      <c r="Q188" s="152">
        <v>2.508146</v>
      </c>
      <c r="R188" s="152" t="s">
        <v>1327</v>
      </c>
      <c r="S188" s="152">
        <v>99.519386999999995</v>
      </c>
      <c r="T188" s="152">
        <v>0.88956199999999996</v>
      </c>
      <c r="U188" s="152">
        <v>3.4224190000000001</v>
      </c>
      <c r="V188" s="152">
        <v>13.772525999999999</v>
      </c>
      <c r="W188" s="152">
        <v>1000</v>
      </c>
      <c r="X188" s="152" t="s">
        <v>23</v>
      </c>
      <c r="Y188" s="152" t="s">
        <v>1328</v>
      </c>
      <c r="Z188" s="152" t="s">
        <v>1327</v>
      </c>
    </row>
    <row r="189" spans="1:26" x14ac:dyDescent="0.2">
      <c r="A189" s="152" t="s">
        <v>1455</v>
      </c>
      <c r="B189" s="152">
        <v>2.125</v>
      </c>
      <c r="C189" s="151">
        <v>45077</v>
      </c>
      <c r="D189" s="152">
        <v>4.5999999999999996</v>
      </c>
      <c r="E189" s="152" t="s">
        <v>1325</v>
      </c>
      <c r="F189" s="152" t="s">
        <v>1326</v>
      </c>
      <c r="G189" s="152"/>
      <c r="H189" s="152"/>
      <c r="I189" s="151">
        <v>43390</v>
      </c>
      <c r="J189" s="152">
        <v>2.4900000000000002</v>
      </c>
      <c r="K189" s="151">
        <v>43389</v>
      </c>
      <c r="L189" s="152">
        <v>2.6329669999999998</v>
      </c>
      <c r="M189" s="152">
        <v>2.7274790000000002</v>
      </c>
      <c r="N189" s="152">
        <v>2.5869309999999999</v>
      </c>
      <c r="O189" s="152">
        <v>2.5015710000000002</v>
      </c>
      <c r="P189" s="152">
        <v>9.6318079999999995</v>
      </c>
      <c r="Q189" s="152">
        <v>2.5015710000000002</v>
      </c>
      <c r="R189" s="152" t="s">
        <v>1327</v>
      </c>
      <c r="S189" s="152">
        <v>98.369802000000007</v>
      </c>
      <c r="T189" s="152">
        <v>0.85582199999999997</v>
      </c>
      <c r="U189" s="152">
        <v>4.3121049999999999</v>
      </c>
      <c r="V189" s="152">
        <v>21.396189</v>
      </c>
      <c r="W189" s="152">
        <v>1000</v>
      </c>
      <c r="X189" s="152" t="s">
        <v>23</v>
      </c>
      <c r="Y189" s="152" t="s">
        <v>1328</v>
      </c>
      <c r="Z189" s="152" t="s">
        <v>1327</v>
      </c>
    </row>
    <row r="190" spans="1:26" x14ac:dyDescent="0.2">
      <c r="A190" s="152" t="s">
        <v>1456</v>
      </c>
      <c r="B190" s="152">
        <v>2.29</v>
      </c>
      <c r="C190" s="151">
        <v>46077</v>
      </c>
      <c r="D190" s="152">
        <v>7.3397259999999998</v>
      </c>
      <c r="E190" s="152" t="s">
        <v>1325</v>
      </c>
      <c r="F190" s="152" t="s">
        <v>1326</v>
      </c>
      <c r="G190" s="152"/>
      <c r="H190" s="152"/>
      <c r="I190" s="151">
        <v>43395</v>
      </c>
      <c r="J190" s="152">
        <v>2.85</v>
      </c>
      <c r="K190" s="151">
        <v>43327</v>
      </c>
      <c r="L190" s="152">
        <v>2.7313420000000002</v>
      </c>
      <c r="M190" s="152">
        <v>2.8012160000000002</v>
      </c>
      <c r="N190" s="152">
        <v>2.7012160000000001</v>
      </c>
      <c r="O190" s="152">
        <v>2.8320110000000001</v>
      </c>
      <c r="P190" s="152">
        <v>14.123893000000001</v>
      </c>
      <c r="Q190" s="152">
        <v>2.8320110000000001</v>
      </c>
      <c r="R190" s="152" t="s">
        <v>1327</v>
      </c>
      <c r="S190" s="152">
        <v>96.421916999999993</v>
      </c>
      <c r="T190" s="152">
        <v>0.388986</v>
      </c>
      <c r="U190" s="152">
        <v>6.66052</v>
      </c>
      <c r="V190" s="152">
        <v>50.087853000000003</v>
      </c>
      <c r="W190" s="152">
        <v>1000</v>
      </c>
      <c r="X190" s="152" t="s">
        <v>23</v>
      </c>
      <c r="Y190" s="152" t="s">
        <v>1328</v>
      </c>
      <c r="Z190" s="152" t="s">
        <v>1327</v>
      </c>
    </row>
    <row r="191" spans="1:26" x14ac:dyDescent="0.2">
      <c r="A191" s="152" t="s">
        <v>1457</v>
      </c>
      <c r="B191" s="152">
        <v>2.65</v>
      </c>
      <c r="C191" s="151">
        <v>46183</v>
      </c>
      <c r="D191" s="152">
        <v>7.6301370000000004</v>
      </c>
      <c r="E191" s="152" t="s">
        <v>1325</v>
      </c>
      <c r="F191" s="152" t="s">
        <v>1326</v>
      </c>
      <c r="G191" s="152"/>
      <c r="H191" s="152"/>
      <c r="I191" s="151">
        <v>43383</v>
      </c>
      <c r="J191" s="152">
        <v>3.01</v>
      </c>
      <c r="K191" s="151">
        <v>43381</v>
      </c>
      <c r="L191" s="152">
        <v>3.004114</v>
      </c>
      <c r="M191" s="152">
        <v>3.1499709999999999</v>
      </c>
      <c r="N191" s="152">
        <v>2.9732310000000002</v>
      </c>
      <c r="O191" s="152">
        <v>2.9871150000000002</v>
      </c>
      <c r="P191" s="152">
        <v>28.094148000000001</v>
      </c>
      <c r="Q191" s="152">
        <v>2.9871150000000002</v>
      </c>
      <c r="R191" s="152" t="s">
        <v>1327</v>
      </c>
      <c r="S191" s="152">
        <v>97.710611</v>
      </c>
      <c r="T191" s="152">
        <v>0.99465800000000004</v>
      </c>
      <c r="U191" s="152">
        <v>6.7749759999999997</v>
      </c>
      <c r="V191" s="152">
        <v>52.523408000000003</v>
      </c>
      <c r="W191" s="152">
        <v>1000</v>
      </c>
      <c r="X191" s="152" t="s">
        <v>23</v>
      </c>
      <c r="Y191" s="152" t="s">
        <v>1328</v>
      </c>
      <c r="Z191" s="152" t="s">
        <v>1327</v>
      </c>
    </row>
    <row r="192" spans="1:26" x14ac:dyDescent="0.2">
      <c r="A192" s="152" t="s">
        <v>1458</v>
      </c>
      <c r="B192" s="152">
        <v>3.11</v>
      </c>
      <c r="C192" s="151">
        <v>46717</v>
      </c>
      <c r="D192" s="152">
        <v>9.0931510000000006</v>
      </c>
      <c r="E192" s="152" t="s">
        <v>1325</v>
      </c>
      <c r="F192" s="152" t="s">
        <v>1326</v>
      </c>
      <c r="G192" s="152"/>
      <c r="H192" s="152"/>
      <c r="I192" s="151">
        <v>42891</v>
      </c>
      <c r="J192" s="152">
        <v>3.05</v>
      </c>
      <c r="K192" s="151">
        <v>43395</v>
      </c>
      <c r="L192" s="152">
        <v>3.1541640000000002</v>
      </c>
      <c r="M192" s="152">
        <v>3.3072270000000001</v>
      </c>
      <c r="N192" s="152">
        <v>3.116241</v>
      </c>
      <c r="O192" s="152">
        <v>3.1332149999999999</v>
      </c>
      <c r="P192" s="152">
        <v>31.698443000000001</v>
      </c>
      <c r="Q192" s="152">
        <v>3.1332149999999999</v>
      </c>
      <c r="R192" s="152" t="s">
        <v>1327</v>
      </c>
      <c r="S192" s="152">
        <v>99.803106999999997</v>
      </c>
      <c r="T192" s="152">
        <v>1.295123</v>
      </c>
      <c r="U192" s="152">
        <v>7.7624370000000003</v>
      </c>
      <c r="V192" s="152">
        <v>70.035507999999993</v>
      </c>
      <c r="W192" s="152">
        <v>1000</v>
      </c>
      <c r="X192" s="152" t="s">
        <v>23</v>
      </c>
      <c r="Y192" s="152" t="s">
        <v>1328</v>
      </c>
      <c r="Z192" s="152" t="s">
        <v>1327</v>
      </c>
    </row>
    <row r="193" spans="1:26" x14ac:dyDescent="0.2">
      <c r="A193" s="152" t="s">
        <v>1459</v>
      </c>
      <c r="B193" s="152">
        <v>2.62</v>
      </c>
      <c r="C193" s="151">
        <v>48056</v>
      </c>
      <c r="D193" s="152">
        <v>12.761644</v>
      </c>
      <c r="E193" s="152" t="s">
        <v>1325</v>
      </c>
      <c r="F193" s="152" t="s">
        <v>1326</v>
      </c>
      <c r="G193" s="152"/>
      <c r="H193" s="152"/>
      <c r="I193" s="151">
        <v>42775</v>
      </c>
      <c r="J193" s="152">
        <v>3.45</v>
      </c>
      <c r="K193" s="151">
        <v>43395</v>
      </c>
      <c r="L193" s="152">
        <v>3.5639460000000001</v>
      </c>
      <c r="M193" s="152">
        <v>3.7500830000000001</v>
      </c>
      <c r="N193" s="152">
        <v>3.5224120000000001</v>
      </c>
      <c r="O193" s="152">
        <v>3.5347940000000002</v>
      </c>
      <c r="P193" s="152">
        <v>35.501826000000001</v>
      </c>
      <c r="Q193" s="152">
        <v>3.5347940000000002</v>
      </c>
      <c r="R193" s="152" t="s">
        <v>1327</v>
      </c>
      <c r="S193" s="152">
        <v>90.657644000000005</v>
      </c>
      <c r="T193" s="152">
        <v>0.64602700000000002</v>
      </c>
      <c r="U193" s="152">
        <v>10.551753</v>
      </c>
      <c r="V193" s="152">
        <v>129.75551400000001</v>
      </c>
      <c r="W193" s="152">
        <v>1000</v>
      </c>
      <c r="X193" s="152" t="s">
        <v>23</v>
      </c>
      <c r="Y193" s="152" t="s">
        <v>1328</v>
      </c>
      <c r="Z193" s="152" t="s">
        <v>1327</v>
      </c>
    </row>
    <row r="194" spans="1:26" x14ac:dyDescent="0.2">
      <c r="A194" s="152" t="s">
        <v>1460</v>
      </c>
      <c r="B194" s="152">
        <v>3.8</v>
      </c>
      <c r="C194" s="151">
        <v>43842</v>
      </c>
      <c r="D194" s="152">
        <v>1.2164379999999999</v>
      </c>
      <c r="E194" s="152" t="s">
        <v>1325</v>
      </c>
      <c r="F194" s="152" t="s">
        <v>1326</v>
      </c>
      <c r="G194" s="152"/>
      <c r="H194" s="152"/>
      <c r="I194" s="151">
        <v>43185</v>
      </c>
      <c r="J194" s="152">
        <v>1.44</v>
      </c>
      <c r="K194" s="151">
        <v>43395</v>
      </c>
      <c r="L194" s="152">
        <v>1.973455</v>
      </c>
      <c r="M194" s="152">
        <v>2.018268</v>
      </c>
      <c r="N194" s="152">
        <v>1.953829</v>
      </c>
      <c r="O194" s="152">
        <v>1.9731799999999999</v>
      </c>
      <c r="P194" s="152">
        <v>13.143495</v>
      </c>
      <c r="Q194" s="152">
        <v>1.9731799999999999</v>
      </c>
      <c r="R194" s="152" t="s">
        <v>1327</v>
      </c>
      <c r="S194" s="152">
        <v>102.16721699999999</v>
      </c>
      <c r="T194" s="152">
        <v>1.093151</v>
      </c>
      <c r="U194" s="152">
        <v>1.1774279999999999</v>
      </c>
      <c r="V194" s="152">
        <v>1.9909779999999999</v>
      </c>
      <c r="W194" s="152">
        <v>1000</v>
      </c>
      <c r="X194" s="152" t="s">
        <v>23</v>
      </c>
      <c r="Y194" s="152" t="s">
        <v>1328</v>
      </c>
      <c r="Z194" s="152" t="s">
        <v>1327</v>
      </c>
    </row>
    <row r="195" spans="1:26" x14ac:dyDescent="0.2">
      <c r="A195" s="152" t="s">
        <v>1461</v>
      </c>
      <c r="B195" s="152">
        <v>4.5</v>
      </c>
      <c r="C195" s="151">
        <v>43416</v>
      </c>
      <c r="D195" s="152">
        <v>4.9314999999999998E-2</v>
      </c>
      <c r="E195" s="152" t="s">
        <v>1325</v>
      </c>
      <c r="F195" s="152" t="s">
        <v>1326</v>
      </c>
      <c r="G195" s="152"/>
      <c r="H195" s="152"/>
      <c r="I195" s="151" t="s">
        <v>1327</v>
      </c>
      <c r="J195" s="152" t="s">
        <v>1327</v>
      </c>
      <c r="K195" s="151">
        <v>43395</v>
      </c>
      <c r="L195" s="152">
        <v>1.343045</v>
      </c>
      <c r="M195" s="152">
        <v>1.3930450000000001</v>
      </c>
      <c r="N195" s="152">
        <v>1.333045</v>
      </c>
      <c r="O195" s="152">
        <v>1.315823</v>
      </c>
      <c r="P195" s="152">
        <v>11.815296999999999</v>
      </c>
      <c r="Q195" s="152">
        <v>1.315823</v>
      </c>
      <c r="R195" s="152" t="s">
        <v>1327</v>
      </c>
      <c r="S195" s="152">
        <v>100.137314</v>
      </c>
      <c r="T195" s="152">
        <v>2.0465749999999998</v>
      </c>
      <c r="U195" s="152">
        <v>4.8993000000000002E-2</v>
      </c>
      <c r="V195" s="152">
        <v>2.6737E-2</v>
      </c>
      <c r="W195" s="152">
        <v>1000</v>
      </c>
      <c r="X195" s="152" t="s">
        <v>23</v>
      </c>
      <c r="Y195" s="152" t="s">
        <v>1328</v>
      </c>
      <c r="Z195" s="152" t="s">
        <v>1327</v>
      </c>
    </row>
    <row r="196" spans="1:26" x14ac:dyDescent="0.2">
      <c r="A196" s="152" t="s">
        <v>1462</v>
      </c>
      <c r="B196" s="152">
        <v>4.45</v>
      </c>
      <c r="C196" s="151">
        <v>43546</v>
      </c>
      <c r="D196" s="152">
        <v>0.40547899999999998</v>
      </c>
      <c r="E196" s="152" t="s">
        <v>1325</v>
      </c>
      <c r="F196" s="152" t="s">
        <v>1326</v>
      </c>
      <c r="G196" s="152"/>
      <c r="H196" s="152"/>
      <c r="I196" s="151">
        <v>39197</v>
      </c>
      <c r="J196" s="152">
        <v>4.1399999999999997</v>
      </c>
      <c r="K196" s="151">
        <v>43395</v>
      </c>
      <c r="L196" s="152">
        <v>1.7793650000000001</v>
      </c>
      <c r="M196" s="152">
        <v>1.826781</v>
      </c>
      <c r="N196" s="152">
        <v>1.7689349999999999</v>
      </c>
      <c r="O196" s="152">
        <v>1.8303929999999999</v>
      </c>
      <c r="P196" s="152">
        <v>14.226284</v>
      </c>
      <c r="Q196" s="152">
        <v>1.8303929999999999</v>
      </c>
      <c r="R196" s="152" t="s">
        <v>1327</v>
      </c>
      <c r="S196" s="152">
        <v>101.070204</v>
      </c>
      <c r="T196" s="152">
        <v>0.40232899999999999</v>
      </c>
      <c r="U196" s="152">
        <v>0.40180199999999999</v>
      </c>
      <c r="V196" s="152">
        <v>0.36052400000000001</v>
      </c>
      <c r="W196" s="152">
        <v>1000</v>
      </c>
      <c r="X196" s="152" t="s">
        <v>23</v>
      </c>
      <c r="Y196" s="152" t="s">
        <v>1328</v>
      </c>
      <c r="Z196" s="152" t="s">
        <v>1327</v>
      </c>
    </row>
    <row r="197" spans="1:26" x14ac:dyDescent="0.2">
      <c r="A197" s="152" t="s">
        <v>1463</v>
      </c>
      <c r="B197" s="152">
        <v>4.46</v>
      </c>
      <c r="C197" s="151">
        <v>43553</v>
      </c>
      <c r="D197" s="152">
        <v>0.42465799999999998</v>
      </c>
      <c r="E197" s="152" t="s">
        <v>1325</v>
      </c>
      <c r="F197" s="152" t="s">
        <v>1326</v>
      </c>
      <c r="G197" s="152"/>
      <c r="H197" s="152"/>
      <c r="I197" s="151">
        <v>43378</v>
      </c>
      <c r="J197" s="152">
        <v>1.72</v>
      </c>
      <c r="K197" s="151">
        <v>43371</v>
      </c>
      <c r="L197" s="152">
        <v>1.6700729999999999</v>
      </c>
      <c r="M197" s="152">
        <v>1.7134670000000001</v>
      </c>
      <c r="N197" s="152">
        <v>1.643467</v>
      </c>
      <c r="O197" s="152">
        <v>1.843577</v>
      </c>
      <c r="P197" s="152">
        <v>14.338096</v>
      </c>
      <c r="Q197" s="152">
        <v>1.843577</v>
      </c>
      <c r="R197" s="152" t="s">
        <v>1327</v>
      </c>
      <c r="S197" s="152">
        <v>101.11871600000001</v>
      </c>
      <c r="T197" s="152">
        <v>0.31769900000000001</v>
      </c>
      <c r="U197" s="152">
        <v>0.42077900000000001</v>
      </c>
      <c r="V197" s="152">
        <v>0.385523</v>
      </c>
      <c r="W197" s="152">
        <v>1000</v>
      </c>
      <c r="X197" s="152" t="s">
        <v>23</v>
      </c>
      <c r="Y197" s="152" t="s">
        <v>1328</v>
      </c>
      <c r="Z197" s="152" t="s">
        <v>1327</v>
      </c>
    </row>
    <row r="198" spans="1:26" x14ac:dyDescent="0.2">
      <c r="A198" s="152" t="s">
        <v>1464</v>
      </c>
      <c r="B198" s="152">
        <v>3.9319999999999999</v>
      </c>
      <c r="C198" s="151">
        <v>43602</v>
      </c>
      <c r="D198" s="152">
        <v>0.55890399999999996</v>
      </c>
      <c r="E198" s="152" t="s">
        <v>1325</v>
      </c>
      <c r="F198" s="152" t="s">
        <v>1326</v>
      </c>
      <c r="G198" s="152"/>
      <c r="H198" s="152"/>
      <c r="I198" s="151">
        <v>42332</v>
      </c>
      <c r="J198" s="152">
        <v>2.12</v>
      </c>
      <c r="K198" s="151">
        <v>43395</v>
      </c>
      <c r="L198" s="152">
        <v>1.870085</v>
      </c>
      <c r="M198" s="152">
        <v>1.915049</v>
      </c>
      <c r="N198" s="152">
        <v>1.859246</v>
      </c>
      <c r="O198" s="152">
        <v>1.8938360000000001</v>
      </c>
      <c r="P198" s="152">
        <v>15.081022000000001</v>
      </c>
      <c r="Q198" s="152">
        <v>1.8938360000000001</v>
      </c>
      <c r="R198" s="152" t="s">
        <v>1327</v>
      </c>
      <c r="S198" s="152">
        <v>101.11889600000001</v>
      </c>
      <c r="T198" s="152">
        <v>1.734389</v>
      </c>
      <c r="U198" s="152">
        <v>0.54827599999999999</v>
      </c>
      <c r="V198" s="152">
        <v>0.57676799999999995</v>
      </c>
      <c r="W198" s="152">
        <v>1000</v>
      </c>
      <c r="X198" s="152" t="s">
        <v>23</v>
      </c>
      <c r="Y198" s="152" t="s">
        <v>1328</v>
      </c>
      <c r="Z198" s="152" t="s">
        <v>1327</v>
      </c>
    </row>
    <row r="199" spans="1:26" x14ac:dyDescent="0.2">
      <c r="A199" s="152" t="s">
        <v>1465</v>
      </c>
      <c r="B199" s="152">
        <v>3.87</v>
      </c>
      <c r="C199" s="151">
        <v>43609</v>
      </c>
      <c r="D199" s="152">
        <v>0.57808199999999998</v>
      </c>
      <c r="E199" s="152" t="s">
        <v>1325</v>
      </c>
      <c r="F199" s="152" t="s">
        <v>1326</v>
      </c>
      <c r="G199" s="152"/>
      <c r="H199" s="152"/>
      <c r="I199" s="151" t="s">
        <v>1327</v>
      </c>
      <c r="J199" s="152" t="s">
        <v>1327</v>
      </c>
      <c r="K199" s="151">
        <v>43395</v>
      </c>
      <c r="L199" s="152">
        <v>1.874293</v>
      </c>
      <c r="M199" s="152">
        <v>1.9189499999999999</v>
      </c>
      <c r="N199" s="152">
        <v>1.8634029999999999</v>
      </c>
      <c r="O199" s="152">
        <v>1.900434</v>
      </c>
      <c r="P199" s="152">
        <v>15.181896999999999</v>
      </c>
      <c r="Q199" s="152">
        <v>1.900434</v>
      </c>
      <c r="R199" s="152" t="s">
        <v>1327</v>
      </c>
      <c r="S199" s="152">
        <v>101.117828</v>
      </c>
      <c r="T199" s="152">
        <v>1.632822</v>
      </c>
      <c r="U199" s="152">
        <v>0.56739899999999999</v>
      </c>
      <c r="V199" s="152">
        <v>0.60749600000000004</v>
      </c>
      <c r="W199" s="152">
        <v>1000</v>
      </c>
      <c r="X199" s="152" t="s">
        <v>23</v>
      </c>
      <c r="Y199" s="152" t="s">
        <v>1328</v>
      </c>
      <c r="Z199" s="152" t="s">
        <v>1327</v>
      </c>
    </row>
    <row r="200" spans="1:26" x14ac:dyDescent="0.2">
      <c r="A200" s="152" t="s">
        <v>1466</v>
      </c>
      <c r="B200" s="152">
        <v>3.58</v>
      </c>
      <c r="C200" s="151">
        <v>43672</v>
      </c>
      <c r="D200" s="152">
        <v>0.75068500000000005</v>
      </c>
      <c r="E200" s="152" t="s">
        <v>1325</v>
      </c>
      <c r="F200" s="152" t="s">
        <v>1326</v>
      </c>
      <c r="G200" s="152"/>
      <c r="H200" s="152"/>
      <c r="I200" s="151">
        <v>41130</v>
      </c>
      <c r="J200" s="152">
        <v>3.43</v>
      </c>
      <c r="K200" s="151">
        <v>43395</v>
      </c>
      <c r="L200" s="152">
        <v>1.912164</v>
      </c>
      <c r="M200" s="152">
        <v>1.954062</v>
      </c>
      <c r="N200" s="152">
        <v>1.900814</v>
      </c>
      <c r="O200" s="152">
        <v>1.938591</v>
      </c>
      <c r="P200" s="152">
        <v>16.038219999999999</v>
      </c>
      <c r="Q200" s="152">
        <v>1.938591</v>
      </c>
      <c r="R200" s="152" t="s">
        <v>1327</v>
      </c>
      <c r="S200" s="152">
        <v>101.207157</v>
      </c>
      <c r="T200" s="152">
        <v>0.89254800000000001</v>
      </c>
      <c r="U200" s="152">
        <v>0.73890900000000004</v>
      </c>
      <c r="V200" s="152">
        <v>0.91609799999999997</v>
      </c>
      <c r="W200" s="152">
        <v>1000</v>
      </c>
      <c r="X200" s="152" t="s">
        <v>23</v>
      </c>
      <c r="Y200" s="152" t="s">
        <v>1328</v>
      </c>
      <c r="Z200" s="152" t="s">
        <v>1327</v>
      </c>
    </row>
    <row r="201" spans="1:26" x14ac:dyDescent="0.2">
      <c r="A201" s="152" t="s">
        <v>1467</v>
      </c>
      <c r="B201" s="152">
        <v>3.63</v>
      </c>
      <c r="C201" s="151">
        <v>43672</v>
      </c>
      <c r="D201" s="152">
        <v>0.75068500000000005</v>
      </c>
      <c r="E201" s="152" t="s">
        <v>1325</v>
      </c>
      <c r="F201" s="152" t="s">
        <v>1326</v>
      </c>
      <c r="G201" s="152"/>
      <c r="H201" s="152"/>
      <c r="I201" s="152">
        <v>42117</v>
      </c>
      <c r="J201" s="152">
        <v>2.39</v>
      </c>
      <c r="K201" s="151">
        <v>43395</v>
      </c>
      <c r="L201" s="152">
        <v>1.912164</v>
      </c>
      <c r="M201" s="152">
        <v>1.954062</v>
      </c>
      <c r="N201" s="152">
        <v>1.900814</v>
      </c>
      <c r="O201" s="152">
        <v>1.938572</v>
      </c>
      <c r="P201" s="152">
        <v>16.038219999999999</v>
      </c>
      <c r="Q201" s="152">
        <v>1.938572</v>
      </c>
      <c r="R201" s="152" t="s">
        <v>1327</v>
      </c>
      <c r="S201" s="152">
        <v>101.244221</v>
      </c>
      <c r="T201" s="152">
        <v>0.90501399999999999</v>
      </c>
      <c r="U201" s="152">
        <v>0.73879300000000003</v>
      </c>
      <c r="V201" s="152">
        <v>0.91592499999999999</v>
      </c>
      <c r="W201" s="152">
        <v>1000</v>
      </c>
      <c r="X201" s="152" t="s">
        <v>23</v>
      </c>
      <c r="Y201" s="152" t="s">
        <v>1328</v>
      </c>
      <c r="Z201" s="152" t="s">
        <v>1327</v>
      </c>
    </row>
    <row r="202" spans="1:26" x14ac:dyDescent="0.2">
      <c r="A202" s="152" t="s">
        <v>1468</v>
      </c>
      <c r="B202" s="152">
        <v>3.64</v>
      </c>
      <c r="C202" s="151">
        <v>43682</v>
      </c>
      <c r="D202" s="152">
        <v>0.77808200000000005</v>
      </c>
      <c r="E202" s="152" t="s">
        <v>1325</v>
      </c>
      <c r="F202" s="152" t="s">
        <v>1326</v>
      </c>
      <c r="G202" s="152"/>
      <c r="H202" s="152"/>
      <c r="I202" s="151">
        <v>41893</v>
      </c>
      <c r="J202" s="152">
        <v>3.28</v>
      </c>
      <c r="K202" s="151">
        <v>43395</v>
      </c>
      <c r="L202" s="152">
        <v>1.9181760000000001</v>
      </c>
      <c r="M202" s="152">
        <v>1.9596359999999999</v>
      </c>
      <c r="N202" s="152">
        <v>1.906752</v>
      </c>
      <c r="O202" s="152">
        <v>1.9421470000000001</v>
      </c>
      <c r="P202" s="152">
        <v>16.166328</v>
      </c>
      <c r="Q202" s="152">
        <v>1.9421470000000001</v>
      </c>
      <c r="R202" s="152" t="s">
        <v>1327</v>
      </c>
      <c r="S202" s="152">
        <v>101.294579</v>
      </c>
      <c r="T202" s="152">
        <v>0.80778099999999997</v>
      </c>
      <c r="U202" s="152">
        <v>0.76588999999999996</v>
      </c>
      <c r="V202" s="152">
        <v>0.97011999999999998</v>
      </c>
      <c r="W202" s="152">
        <v>1000</v>
      </c>
      <c r="X202" s="152" t="s">
        <v>23</v>
      </c>
      <c r="Y202" s="152" t="s">
        <v>1328</v>
      </c>
      <c r="Z202" s="152" t="s">
        <v>1327</v>
      </c>
    </row>
    <row r="203" spans="1:26" x14ac:dyDescent="0.2">
      <c r="A203" s="152" t="s">
        <v>1469</v>
      </c>
      <c r="B203" s="152">
        <v>3.53</v>
      </c>
      <c r="C203" s="151">
        <v>43680</v>
      </c>
      <c r="D203" s="152">
        <v>0.77260300000000004</v>
      </c>
      <c r="E203" s="152" t="s">
        <v>1325</v>
      </c>
      <c r="F203" s="152" t="s">
        <v>1326</v>
      </c>
      <c r="G203" s="152"/>
      <c r="H203" s="152"/>
      <c r="I203" s="151">
        <v>41117</v>
      </c>
      <c r="J203" s="152">
        <v>3.5276649999999998</v>
      </c>
      <c r="K203" s="151">
        <v>43395</v>
      </c>
      <c r="L203" s="152">
        <v>1.916973</v>
      </c>
      <c r="M203" s="152">
        <v>1.958521</v>
      </c>
      <c r="N203" s="152">
        <v>1.905565</v>
      </c>
      <c r="O203" s="152">
        <v>1.941505</v>
      </c>
      <c r="P203" s="152">
        <v>16.140865000000002</v>
      </c>
      <c r="Q203" s="152">
        <v>1.941505</v>
      </c>
      <c r="R203" s="152" t="s">
        <v>1327</v>
      </c>
      <c r="S203" s="152">
        <v>101.202073</v>
      </c>
      <c r="T203" s="152">
        <v>0.80271199999999998</v>
      </c>
      <c r="U203" s="152">
        <v>0.76072200000000001</v>
      </c>
      <c r="V203" s="152">
        <v>0.95955000000000001</v>
      </c>
      <c r="W203" s="152">
        <v>1000</v>
      </c>
      <c r="X203" s="152" t="s">
        <v>23</v>
      </c>
      <c r="Y203" s="152" t="s">
        <v>1328</v>
      </c>
      <c r="Z203" s="152" t="s">
        <v>1327</v>
      </c>
    </row>
    <row r="204" spans="1:26" x14ac:dyDescent="0.2">
      <c r="A204" s="152" t="s">
        <v>1470</v>
      </c>
      <c r="B204" s="152">
        <v>3.55</v>
      </c>
      <c r="C204" s="151">
        <v>43680</v>
      </c>
      <c r="D204" s="152">
        <v>0.77260300000000004</v>
      </c>
      <c r="E204" s="152" t="s">
        <v>1325</v>
      </c>
      <c r="F204" s="152" t="s">
        <v>1326</v>
      </c>
      <c r="G204" s="152"/>
      <c r="H204" s="152"/>
      <c r="I204" s="151">
        <v>41117</v>
      </c>
      <c r="J204" s="152">
        <v>3.54765</v>
      </c>
      <c r="K204" s="151">
        <v>43395</v>
      </c>
      <c r="L204" s="152">
        <v>1.916973</v>
      </c>
      <c r="M204" s="152">
        <v>1.958521</v>
      </c>
      <c r="N204" s="152">
        <v>1.905565</v>
      </c>
      <c r="O204" s="152">
        <v>1.941497</v>
      </c>
      <c r="P204" s="152">
        <v>16.140865000000002</v>
      </c>
      <c r="Q204" s="152">
        <v>1.941497</v>
      </c>
      <c r="R204" s="152" t="s">
        <v>1327</v>
      </c>
      <c r="S204" s="152">
        <v>101.21732900000001</v>
      </c>
      <c r="T204" s="152">
        <v>0.80725999999999998</v>
      </c>
      <c r="U204" s="152">
        <v>0.76067600000000002</v>
      </c>
      <c r="V204" s="152">
        <v>0.95947899999999997</v>
      </c>
      <c r="W204" s="152">
        <v>1000</v>
      </c>
      <c r="X204" s="152" t="s">
        <v>23</v>
      </c>
      <c r="Y204" s="152" t="s">
        <v>1328</v>
      </c>
      <c r="Z204" s="152" t="s">
        <v>1327</v>
      </c>
    </row>
    <row r="205" spans="1:26" x14ac:dyDescent="0.2">
      <c r="A205" s="152" t="s">
        <v>1471</v>
      </c>
      <c r="B205" s="152">
        <v>3.57</v>
      </c>
      <c r="C205" s="151">
        <v>43680</v>
      </c>
      <c r="D205" s="152">
        <v>0.77260300000000004</v>
      </c>
      <c r="E205" s="152" t="s">
        <v>1325</v>
      </c>
      <c r="F205" s="152" t="s">
        <v>1326</v>
      </c>
      <c r="G205" s="152"/>
      <c r="H205" s="152"/>
      <c r="I205" s="152">
        <v>41117</v>
      </c>
      <c r="J205" s="152">
        <v>3.5676350000000001</v>
      </c>
      <c r="K205" s="151">
        <v>43395</v>
      </c>
      <c r="L205" s="152">
        <v>1.916973</v>
      </c>
      <c r="M205" s="152">
        <v>1.958521</v>
      </c>
      <c r="N205" s="152">
        <v>1.905565</v>
      </c>
      <c r="O205" s="152">
        <v>1.9414899999999999</v>
      </c>
      <c r="P205" s="152">
        <v>16.140865000000002</v>
      </c>
      <c r="Q205" s="152">
        <v>1.9414899999999999</v>
      </c>
      <c r="R205" s="152" t="s">
        <v>1327</v>
      </c>
      <c r="S205" s="152">
        <v>101.232584</v>
      </c>
      <c r="T205" s="152">
        <v>0.81180799999999997</v>
      </c>
      <c r="U205" s="152">
        <v>0.760629</v>
      </c>
      <c r="V205" s="152">
        <v>0.95940700000000001</v>
      </c>
      <c r="W205" s="152">
        <v>1000</v>
      </c>
      <c r="X205" s="152" t="s">
        <v>23</v>
      </c>
      <c r="Y205" s="152" t="s">
        <v>1328</v>
      </c>
      <c r="Z205" s="152" t="s">
        <v>1327</v>
      </c>
    </row>
    <row r="206" spans="1:26" x14ac:dyDescent="0.2">
      <c r="A206" s="152" t="s">
        <v>1472</v>
      </c>
      <c r="B206" s="152">
        <v>3.6</v>
      </c>
      <c r="C206" s="151">
        <v>43680</v>
      </c>
      <c r="D206" s="152">
        <v>0.77260300000000004</v>
      </c>
      <c r="E206" s="152" t="s">
        <v>1325</v>
      </c>
      <c r="F206" s="152" t="s">
        <v>1326</v>
      </c>
      <c r="G206" s="152"/>
      <c r="H206" s="152"/>
      <c r="I206" s="151">
        <v>42740</v>
      </c>
      <c r="J206" s="152">
        <v>1.98</v>
      </c>
      <c r="K206" s="151">
        <v>43395</v>
      </c>
      <c r="L206" s="152">
        <v>1.916973</v>
      </c>
      <c r="M206" s="152">
        <v>1.958521</v>
      </c>
      <c r="N206" s="152">
        <v>1.905565</v>
      </c>
      <c r="O206" s="152">
        <v>1.941479</v>
      </c>
      <c r="P206" s="152">
        <v>16.140865000000002</v>
      </c>
      <c r="Q206" s="152">
        <v>1.941479</v>
      </c>
      <c r="R206" s="152" t="s">
        <v>1327</v>
      </c>
      <c r="S206" s="152">
        <v>101.255467</v>
      </c>
      <c r="T206" s="152">
        <v>0.81862999999999997</v>
      </c>
      <c r="U206" s="152">
        <v>0.76055899999999999</v>
      </c>
      <c r="V206" s="152">
        <v>0.95930000000000004</v>
      </c>
      <c r="W206" s="152">
        <v>1000</v>
      </c>
      <c r="X206" s="152" t="s">
        <v>23</v>
      </c>
      <c r="Y206" s="152" t="s">
        <v>1328</v>
      </c>
      <c r="Z206" s="152" t="s">
        <v>1327</v>
      </c>
    </row>
    <row r="207" spans="1:26" x14ac:dyDescent="0.2">
      <c r="A207" s="152" t="s">
        <v>1473</v>
      </c>
      <c r="B207" s="152">
        <v>3.64</v>
      </c>
      <c r="C207" s="151">
        <v>43680</v>
      </c>
      <c r="D207" s="152">
        <v>0.77260300000000004</v>
      </c>
      <c r="E207" s="152" t="s">
        <v>1325</v>
      </c>
      <c r="F207" s="152" t="s">
        <v>1326</v>
      </c>
      <c r="G207" s="152"/>
      <c r="H207" s="152"/>
      <c r="I207" s="151">
        <v>42293</v>
      </c>
      <c r="J207" s="152">
        <v>2.1150000000000002</v>
      </c>
      <c r="K207" s="151">
        <v>43395</v>
      </c>
      <c r="L207" s="152">
        <v>1.916973</v>
      </c>
      <c r="M207" s="152">
        <v>1.958521</v>
      </c>
      <c r="N207" s="152">
        <v>1.905565</v>
      </c>
      <c r="O207" s="152">
        <v>1.941465</v>
      </c>
      <c r="P207" s="152">
        <v>16.140865000000002</v>
      </c>
      <c r="Q207" s="152">
        <v>1.941465</v>
      </c>
      <c r="R207" s="152" t="s">
        <v>1327</v>
      </c>
      <c r="S207" s="152">
        <v>101.285977</v>
      </c>
      <c r="T207" s="152">
        <v>0.82772599999999996</v>
      </c>
      <c r="U207" s="152">
        <v>0.76046599999999998</v>
      </c>
      <c r="V207" s="152">
        <v>0.95915600000000001</v>
      </c>
      <c r="W207" s="152">
        <v>1000</v>
      </c>
      <c r="X207" s="152" t="s">
        <v>23</v>
      </c>
      <c r="Y207" s="152" t="s">
        <v>1328</v>
      </c>
      <c r="Z207" s="152" t="s">
        <v>1327</v>
      </c>
    </row>
    <row r="208" spans="1:26" x14ac:dyDescent="0.2">
      <c r="A208" s="152" t="s">
        <v>1474</v>
      </c>
      <c r="B208" s="152">
        <v>4.4000000000000004</v>
      </c>
      <c r="C208" s="151">
        <v>43737</v>
      </c>
      <c r="D208" s="152">
        <v>0.92876700000000001</v>
      </c>
      <c r="E208" s="152" t="s">
        <v>1325</v>
      </c>
      <c r="F208" s="152" t="s">
        <v>1326</v>
      </c>
      <c r="G208" s="152"/>
      <c r="H208" s="152"/>
      <c r="I208" s="151" t="s">
        <v>1327</v>
      </c>
      <c r="J208" s="152" t="s">
        <v>1327</v>
      </c>
      <c r="K208" s="151">
        <v>43395</v>
      </c>
      <c r="L208" s="152">
        <v>1.951238</v>
      </c>
      <c r="M208" s="152">
        <v>1.990289</v>
      </c>
      <c r="N208" s="152">
        <v>1.9394130000000001</v>
      </c>
      <c r="O208" s="152">
        <v>1.9754640000000001</v>
      </c>
      <c r="P208" s="152">
        <v>16.837430000000001</v>
      </c>
      <c r="Q208" s="152">
        <v>1.9754640000000001</v>
      </c>
      <c r="R208" s="152" t="s">
        <v>1327</v>
      </c>
      <c r="S208" s="152">
        <v>102.227413</v>
      </c>
      <c r="T208" s="152">
        <v>0.31342500000000001</v>
      </c>
      <c r="U208" s="152">
        <v>0.90508</v>
      </c>
      <c r="V208" s="152">
        <v>1.2723869999999999</v>
      </c>
      <c r="W208" s="152">
        <v>1000</v>
      </c>
      <c r="X208" s="152" t="s">
        <v>23</v>
      </c>
      <c r="Y208" s="152" t="s">
        <v>1328</v>
      </c>
      <c r="Z208" s="152" t="s">
        <v>1327</v>
      </c>
    </row>
    <row r="209" spans="1:26" x14ac:dyDescent="0.2">
      <c r="A209" s="152" t="s">
        <v>1475</v>
      </c>
      <c r="B209" s="152">
        <v>4.2699999999999996</v>
      </c>
      <c r="C209" s="151">
        <v>43858</v>
      </c>
      <c r="D209" s="152">
        <v>1.2602739999999999</v>
      </c>
      <c r="E209" s="152" t="s">
        <v>1325</v>
      </c>
      <c r="F209" s="152" t="s">
        <v>1326</v>
      </c>
      <c r="G209" s="152"/>
      <c r="H209" s="152"/>
      <c r="I209" s="151">
        <v>43144</v>
      </c>
      <c r="J209" s="152">
        <v>1.4824999999999999</v>
      </c>
      <c r="K209" s="151">
        <v>43395</v>
      </c>
      <c r="L209" s="152">
        <v>2.0480779999999998</v>
      </c>
      <c r="M209" s="152">
        <v>2.0943160000000001</v>
      </c>
      <c r="N209" s="152">
        <v>2.0310290000000002</v>
      </c>
      <c r="O209" s="152">
        <v>2.0331480000000002</v>
      </c>
      <c r="P209" s="152">
        <v>18.145921000000001</v>
      </c>
      <c r="Q209" s="152">
        <v>2.0331480000000002</v>
      </c>
      <c r="R209" s="152" t="s">
        <v>1327</v>
      </c>
      <c r="S209" s="152">
        <v>102.749121</v>
      </c>
      <c r="T209" s="152">
        <v>1.0411779999999999</v>
      </c>
      <c r="U209" s="152">
        <v>1.217309</v>
      </c>
      <c r="V209" s="152">
        <v>2.1084679999999998</v>
      </c>
      <c r="W209" s="152">
        <v>1000</v>
      </c>
      <c r="X209" s="152" t="s">
        <v>23</v>
      </c>
      <c r="Y209" s="152" t="s">
        <v>1328</v>
      </c>
      <c r="Z209" s="152" t="s">
        <v>1327</v>
      </c>
    </row>
    <row r="210" spans="1:26" x14ac:dyDescent="0.2">
      <c r="A210" s="152" t="s">
        <v>1476</v>
      </c>
      <c r="B210" s="152">
        <v>4.13</v>
      </c>
      <c r="C210" s="151">
        <v>43886</v>
      </c>
      <c r="D210" s="152">
        <v>1.336986</v>
      </c>
      <c r="E210" s="152" t="s">
        <v>1325</v>
      </c>
      <c r="F210" s="152" t="s">
        <v>1326</v>
      </c>
      <c r="G210" s="152"/>
      <c r="H210" s="152"/>
      <c r="I210" s="151">
        <v>43375</v>
      </c>
      <c r="J210" s="152">
        <v>2.02</v>
      </c>
      <c r="K210" s="151">
        <v>43395</v>
      </c>
      <c r="L210" s="152">
        <v>2.0718670000000001</v>
      </c>
      <c r="M210" s="152">
        <v>2.1204839999999998</v>
      </c>
      <c r="N210" s="152">
        <v>2.0533600000000001</v>
      </c>
      <c r="O210" s="152">
        <v>2.056041</v>
      </c>
      <c r="P210" s="152">
        <v>18.421275000000001</v>
      </c>
      <c r="Q210" s="152">
        <v>2.056041</v>
      </c>
      <c r="R210" s="152" t="s">
        <v>1327</v>
      </c>
      <c r="S210" s="152">
        <v>102.702026</v>
      </c>
      <c r="T210" s="152">
        <v>0.69021900000000003</v>
      </c>
      <c r="U210" s="152">
        <v>1.2940309999999999</v>
      </c>
      <c r="V210" s="152">
        <v>2.33833</v>
      </c>
      <c r="W210" s="152">
        <v>1000</v>
      </c>
      <c r="X210" s="152" t="s">
        <v>23</v>
      </c>
      <c r="Y210" s="152" t="s">
        <v>1328</v>
      </c>
      <c r="Z210" s="152" t="s">
        <v>1327</v>
      </c>
    </row>
    <row r="211" spans="1:26" x14ac:dyDescent="0.2">
      <c r="A211" s="152" t="s">
        <v>1477</v>
      </c>
      <c r="B211" s="152">
        <v>3.93</v>
      </c>
      <c r="C211" s="151">
        <v>43878</v>
      </c>
      <c r="D211" s="152">
        <v>1.3150679999999999</v>
      </c>
      <c r="E211" s="152" t="s">
        <v>1325</v>
      </c>
      <c r="F211" s="152" t="s">
        <v>1326</v>
      </c>
      <c r="G211" s="152"/>
      <c r="H211" s="152"/>
      <c r="I211" s="151">
        <v>40584</v>
      </c>
      <c r="J211" s="152">
        <v>3.9321280000000001</v>
      </c>
      <c r="K211" s="151">
        <v>43395</v>
      </c>
      <c r="L211" s="152">
        <v>2.06507</v>
      </c>
      <c r="M211" s="152">
        <v>2.1130070000000001</v>
      </c>
      <c r="N211" s="152">
        <v>2.04698</v>
      </c>
      <c r="O211" s="152">
        <v>2.0494940000000001</v>
      </c>
      <c r="P211" s="152">
        <v>18.343536</v>
      </c>
      <c r="Q211" s="152">
        <v>2.0494940000000001</v>
      </c>
      <c r="R211" s="152" t="s">
        <v>1327</v>
      </c>
      <c r="S211" s="152">
        <v>102.409229</v>
      </c>
      <c r="T211" s="152">
        <v>0.74293200000000004</v>
      </c>
      <c r="U211" s="152">
        <v>1.2737210000000001</v>
      </c>
      <c r="V211" s="152">
        <v>2.275115</v>
      </c>
      <c r="W211" s="152">
        <v>1000</v>
      </c>
      <c r="X211" s="152" t="s">
        <v>23</v>
      </c>
      <c r="Y211" s="152" t="s">
        <v>1328</v>
      </c>
      <c r="Z211" s="152" t="s">
        <v>1327</v>
      </c>
    </row>
    <row r="212" spans="1:26" x14ac:dyDescent="0.2">
      <c r="A212" s="152" t="s">
        <v>1478</v>
      </c>
      <c r="B212" s="152">
        <v>4.09</v>
      </c>
      <c r="C212" s="151">
        <v>43930</v>
      </c>
      <c r="D212" s="152">
        <v>1.4575340000000001</v>
      </c>
      <c r="E212" s="152" t="s">
        <v>1325</v>
      </c>
      <c r="F212" s="152" t="s">
        <v>1326</v>
      </c>
      <c r="G212" s="152"/>
      <c r="H212" s="152"/>
      <c r="I212" s="151">
        <v>43144</v>
      </c>
      <c r="J212" s="152">
        <v>1.51</v>
      </c>
      <c r="K212" s="151">
        <v>43395</v>
      </c>
      <c r="L212" s="152">
        <v>2.1092499999999998</v>
      </c>
      <c r="M212" s="152">
        <v>2.1616040000000001</v>
      </c>
      <c r="N212" s="152">
        <v>2.0884529999999999</v>
      </c>
      <c r="O212" s="152">
        <v>2.0975570000000001</v>
      </c>
      <c r="P212" s="152">
        <v>18.836219</v>
      </c>
      <c r="Q212" s="152">
        <v>2.0975570000000001</v>
      </c>
      <c r="R212" s="152" t="s">
        <v>1327</v>
      </c>
      <c r="S212" s="152">
        <v>102.8449</v>
      </c>
      <c r="T212" s="152">
        <v>0.179288</v>
      </c>
      <c r="U212" s="152">
        <v>1.410609</v>
      </c>
      <c r="V212" s="152">
        <v>2.7109760000000001</v>
      </c>
      <c r="W212" s="152">
        <v>1000</v>
      </c>
      <c r="X212" s="152" t="s">
        <v>23</v>
      </c>
      <c r="Y212" s="152" t="s">
        <v>1328</v>
      </c>
      <c r="Z212" s="152" t="s">
        <v>1327</v>
      </c>
    </row>
    <row r="213" spans="1:26" x14ac:dyDescent="0.2">
      <c r="A213" s="152" t="s">
        <v>1479</v>
      </c>
      <c r="B213" s="152">
        <v>3.59</v>
      </c>
      <c r="C213" s="151">
        <v>43986</v>
      </c>
      <c r="D213" s="152">
        <v>1.610959</v>
      </c>
      <c r="E213" s="152" t="s">
        <v>1325</v>
      </c>
      <c r="F213" s="152" t="s">
        <v>1326</v>
      </c>
      <c r="G213" s="152"/>
      <c r="H213" s="152"/>
      <c r="I213" s="151">
        <v>42615</v>
      </c>
      <c r="J213" s="152">
        <v>1.84</v>
      </c>
      <c r="K213" s="151">
        <v>43395</v>
      </c>
      <c r="L213" s="152">
        <v>2.1568290000000001</v>
      </c>
      <c r="M213" s="152">
        <v>2.2139389999999999</v>
      </c>
      <c r="N213" s="152">
        <v>2.1331169999999999</v>
      </c>
      <c r="O213" s="152">
        <v>2.1409530000000001</v>
      </c>
      <c r="P213" s="152">
        <v>19.335830999999999</v>
      </c>
      <c r="Q213" s="152">
        <v>2.1409530000000001</v>
      </c>
      <c r="R213" s="152" t="s">
        <v>1327</v>
      </c>
      <c r="S213" s="152">
        <v>102.274109</v>
      </c>
      <c r="T213" s="152">
        <v>1.406493</v>
      </c>
      <c r="U213" s="152">
        <v>1.5416339999999999</v>
      </c>
      <c r="V213" s="152">
        <v>3.195608</v>
      </c>
      <c r="W213" s="152">
        <v>1000</v>
      </c>
      <c r="X213" s="152" t="s">
        <v>23</v>
      </c>
      <c r="Y213" s="152" t="s">
        <v>1328</v>
      </c>
      <c r="Z213" s="152" t="s">
        <v>1327</v>
      </c>
    </row>
    <row r="214" spans="1:26" x14ac:dyDescent="0.2">
      <c r="A214" s="152" t="s">
        <v>1480</v>
      </c>
      <c r="B214" s="152">
        <v>3.54</v>
      </c>
      <c r="C214" s="151">
        <v>44042</v>
      </c>
      <c r="D214" s="152">
        <v>1.764384</v>
      </c>
      <c r="E214" s="152" t="s">
        <v>1325</v>
      </c>
      <c r="F214" s="152" t="s">
        <v>1326</v>
      </c>
      <c r="G214" s="152"/>
      <c r="H214" s="152"/>
      <c r="I214" s="152">
        <v>41883</v>
      </c>
      <c r="J214" s="152">
        <v>3.4550000000000001</v>
      </c>
      <c r="K214" s="151">
        <v>43395</v>
      </c>
      <c r="L214" s="152">
        <v>2.1943220000000001</v>
      </c>
      <c r="M214" s="152">
        <v>2.2561870000000002</v>
      </c>
      <c r="N214" s="152">
        <v>2.167694</v>
      </c>
      <c r="O214" s="152">
        <v>2.1754020000000001</v>
      </c>
      <c r="P214" s="152">
        <v>19.806906999999999</v>
      </c>
      <c r="Q214" s="152">
        <v>2.1754020000000001</v>
      </c>
      <c r="R214" s="152" t="s">
        <v>1327</v>
      </c>
      <c r="S214" s="152">
        <v>102.3344</v>
      </c>
      <c r="T214" s="152">
        <v>0.843781</v>
      </c>
      <c r="U214" s="152">
        <v>1.6964969999999999</v>
      </c>
      <c r="V214" s="152">
        <v>3.77285</v>
      </c>
      <c r="W214" s="152">
        <v>1000</v>
      </c>
      <c r="X214" s="152" t="s">
        <v>23</v>
      </c>
      <c r="Y214" s="152" t="s">
        <v>1328</v>
      </c>
      <c r="Z214" s="152" t="s">
        <v>1327</v>
      </c>
    </row>
    <row r="215" spans="1:26" x14ac:dyDescent="0.2">
      <c r="A215" s="152" t="s">
        <v>1481</v>
      </c>
      <c r="B215" s="152">
        <v>3.85</v>
      </c>
      <c r="C215" s="151">
        <v>44223</v>
      </c>
      <c r="D215" s="152">
        <v>2.2602739999999999</v>
      </c>
      <c r="E215" s="152" t="s">
        <v>1325</v>
      </c>
      <c r="F215" s="152" t="s">
        <v>1326</v>
      </c>
      <c r="G215" s="152"/>
      <c r="H215" s="152"/>
      <c r="I215" s="151">
        <v>42212</v>
      </c>
      <c r="J215" s="152">
        <v>2.5499999999999998</v>
      </c>
      <c r="K215" s="151">
        <v>43395</v>
      </c>
      <c r="L215" s="152">
        <v>2.292783</v>
      </c>
      <c r="M215" s="152">
        <v>2.3700209999999999</v>
      </c>
      <c r="N215" s="152">
        <v>2.2567330000000001</v>
      </c>
      <c r="O215" s="152">
        <v>2.2495959999999999</v>
      </c>
      <c r="P215" s="152">
        <v>21.168104</v>
      </c>
      <c r="Q215" s="152">
        <v>2.2495959999999999</v>
      </c>
      <c r="R215" s="152" t="s">
        <v>1327</v>
      </c>
      <c r="S215" s="152">
        <v>103.485074</v>
      </c>
      <c r="T215" s="152">
        <v>0.94931500000000002</v>
      </c>
      <c r="U215" s="152">
        <v>2.1428120000000002</v>
      </c>
      <c r="V215" s="152">
        <v>5.7765180000000003</v>
      </c>
      <c r="W215" s="152">
        <v>1000</v>
      </c>
      <c r="X215" s="152" t="s">
        <v>23</v>
      </c>
      <c r="Y215" s="152" t="s">
        <v>1328</v>
      </c>
      <c r="Z215" s="152" t="s">
        <v>1327</v>
      </c>
    </row>
    <row r="216" spans="1:26" x14ac:dyDescent="0.2">
      <c r="A216" s="152" t="s">
        <v>1482</v>
      </c>
      <c r="B216" s="152">
        <v>3.67</v>
      </c>
      <c r="C216" s="151">
        <v>44403</v>
      </c>
      <c r="D216" s="152">
        <v>2.753425</v>
      </c>
      <c r="E216" s="152" t="s">
        <v>1325</v>
      </c>
      <c r="F216" s="152" t="s">
        <v>1326</v>
      </c>
      <c r="G216" s="152"/>
      <c r="H216" s="152"/>
      <c r="I216" s="152">
        <v>43088</v>
      </c>
      <c r="J216" s="152">
        <v>1.85</v>
      </c>
      <c r="K216" s="151">
        <v>43395</v>
      </c>
      <c r="L216" s="152">
        <v>2.3906999999999998</v>
      </c>
      <c r="M216" s="152">
        <v>2.4832260000000002</v>
      </c>
      <c r="N216" s="152">
        <v>2.3452809999999999</v>
      </c>
      <c r="O216" s="152">
        <v>2.297704</v>
      </c>
      <c r="P216" s="152">
        <v>22.330178</v>
      </c>
      <c r="Q216" s="152">
        <v>2.297704</v>
      </c>
      <c r="R216" s="152" t="s">
        <v>1327</v>
      </c>
      <c r="S216" s="152">
        <v>103.62530099999999</v>
      </c>
      <c r="T216" s="152">
        <v>0.91498599999999997</v>
      </c>
      <c r="U216" s="152">
        <v>2.5960510000000001</v>
      </c>
      <c r="V216" s="152">
        <v>8.2386470000000003</v>
      </c>
      <c r="W216" s="152">
        <v>1000</v>
      </c>
      <c r="X216" s="152" t="s">
        <v>23</v>
      </c>
      <c r="Y216" s="152" t="s">
        <v>1328</v>
      </c>
      <c r="Z216" s="152" t="s">
        <v>1327</v>
      </c>
    </row>
    <row r="217" spans="1:26" x14ac:dyDescent="0.2">
      <c r="A217" s="152" t="s">
        <v>1483</v>
      </c>
      <c r="B217" s="152">
        <v>3.68</v>
      </c>
      <c r="C217" s="151">
        <v>44411</v>
      </c>
      <c r="D217" s="152">
        <v>2.7753420000000002</v>
      </c>
      <c r="E217" s="152" t="s">
        <v>1325</v>
      </c>
      <c r="F217" s="152" t="s">
        <v>1326</v>
      </c>
      <c r="G217" s="152"/>
      <c r="H217" s="152"/>
      <c r="I217" s="151">
        <v>41117</v>
      </c>
      <c r="J217" s="152">
        <v>3.68</v>
      </c>
      <c r="K217" s="151">
        <v>43395</v>
      </c>
      <c r="L217" s="152">
        <v>2.3950520000000002</v>
      </c>
      <c r="M217" s="152">
        <v>2.4882569999999999</v>
      </c>
      <c r="N217" s="152">
        <v>2.3492160000000002</v>
      </c>
      <c r="O217" s="152">
        <v>2.300821</v>
      </c>
      <c r="P217" s="152">
        <v>22.378212999999999</v>
      </c>
      <c r="Q217" s="152">
        <v>2.300821</v>
      </c>
      <c r="R217" s="152" t="s">
        <v>1327</v>
      </c>
      <c r="S217" s="152">
        <v>103.671582</v>
      </c>
      <c r="T217" s="152">
        <v>0.83682199999999995</v>
      </c>
      <c r="U217" s="152">
        <v>2.6173609999999998</v>
      </c>
      <c r="V217" s="152">
        <v>8.3607530000000008</v>
      </c>
      <c r="W217" s="152">
        <v>1000</v>
      </c>
      <c r="X217" s="152" t="s">
        <v>23</v>
      </c>
      <c r="Y217" s="152" t="s">
        <v>1328</v>
      </c>
      <c r="Z217" s="152" t="s">
        <v>1327</v>
      </c>
    </row>
    <row r="218" spans="1:26" x14ac:dyDescent="0.2">
      <c r="A218" s="152" t="s">
        <v>1484</v>
      </c>
      <c r="B218" s="152">
        <v>3.73</v>
      </c>
      <c r="C218" s="151">
        <v>44440</v>
      </c>
      <c r="D218" s="152">
        <v>2.8547950000000002</v>
      </c>
      <c r="E218" s="152" t="s">
        <v>1325</v>
      </c>
      <c r="F218" s="152" t="s">
        <v>1326</v>
      </c>
      <c r="G218" s="152"/>
      <c r="H218" s="152"/>
      <c r="I218" s="151">
        <v>42730</v>
      </c>
      <c r="J218" s="152">
        <v>2.5099999999999998</v>
      </c>
      <c r="K218" s="151">
        <v>43395</v>
      </c>
      <c r="L218" s="152">
        <v>2.4108269999999998</v>
      </c>
      <c r="M218" s="152">
        <v>2.5064959999999998</v>
      </c>
      <c r="N218" s="152">
        <v>2.3634819999999999</v>
      </c>
      <c r="O218" s="152">
        <v>2.3199139999999998</v>
      </c>
      <c r="P218" s="152">
        <v>22.550032999999999</v>
      </c>
      <c r="Q218" s="152">
        <v>2.3199139999999998</v>
      </c>
      <c r="R218" s="152" t="s">
        <v>1327</v>
      </c>
      <c r="S218" s="152">
        <v>103.87747400000001</v>
      </c>
      <c r="T218" s="152">
        <v>0.55183599999999999</v>
      </c>
      <c r="U218" s="152">
        <v>2.6859320000000002</v>
      </c>
      <c r="V218" s="152">
        <v>8.7606420000000007</v>
      </c>
      <c r="W218" s="152">
        <v>1000</v>
      </c>
      <c r="X218" s="152" t="s">
        <v>23</v>
      </c>
      <c r="Y218" s="152" t="s">
        <v>1328</v>
      </c>
      <c r="Z218" s="152" t="s">
        <v>1327</v>
      </c>
    </row>
    <row r="219" spans="1:26" x14ac:dyDescent="0.2">
      <c r="A219" s="152" t="s">
        <v>1485</v>
      </c>
      <c r="B219" s="152">
        <v>3.72</v>
      </c>
      <c r="C219" s="151">
        <v>44510</v>
      </c>
      <c r="D219" s="152">
        <v>3.0465749999999998</v>
      </c>
      <c r="E219" s="152" t="s">
        <v>1325</v>
      </c>
      <c r="F219" s="152" t="s">
        <v>1326</v>
      </c>
      <c r="G219" s="152"/>
      <c r="H219" s="152"/>
      <c r="I219" s="151">
        <v>42851</v>
      </c>
      <c r="J219" s="152">
        <v>2.14</v>
      </c>
      <c r="K219" s="151">
        <v>43395</v>
      </c>
      <c r="L219" s="152">
        <v>2.4473310000000001</v>
      </c>
      <c r="M219" s="152">
        <v>2.547917</v>
      </c>
      <c r="N219" s="152">
        <v>2.3966159999999999</v>
      </c>
      <c r="O219" s="152">
        <v>2.354803</v>
      </c>
      <c r="P219" s="152">
        <v>22.950596999999998</v>
      </c>
      <c r="Q219" s="152">
        <v>2.354803</v>
      </c>
      <c r="R219" s="152" t="s">
        <v>1327</v>
      </c>
      <c r="S219" s="152">
        <v>103.971249</v>
      </c>
      <c r="T219" s="152">
        <v>1.7122189999999999</v>
      </c>
      <c r="U219" s="152">
        <v>2.829453</v>
      </c>
      <c r="V219" s="152">
        <v>9.7575669999999999</v>
      </c>
      <c r="W219" s="152">
        <v>1000</v>
      </c>
      <c r="X219" s="152" t="s">
        <v>23</v>
      </c>
      <c r="Y219" s="152" t="s">
        <v>1328</v>
      </c>
      <c r="Z219" s="152" t="s">
        <v>1327</v>
      </c>
    </row>
    <row r="220" spans="1:26" x14ac:dyDescent="0.2">
      <c r="A220" s="152" t="s">
        <v>1486</v>
      </c>
      <c r="B220" s="152">
        <v>4.4980000000000002</v>
      </c>
      <c r="C220" s="151">
        <v>44642</v>
      </c>
      <c r="D220" s="152">
        <v>3.4082189999999999</v>
      </c>
      <c r="E220" s="152" t="s">
        <v>1325</v>
      </c>
      <c r="F220" s="152" t="s">
        <v>1326</v>
      </c>
      <c r="G220" s="152"/>
      <c r="H220" s="152"/>
      <c r="I220" s="151" t="s">
        <v>1327</v>
      </c>
      <c r="J220" s="152" t="s">
        <v>1327</v>
      </c>
      <c r="K220" s="151">
        <v>43395</v>
      </c>
      <c r="L220" s="152">
        <v>2.5567980000000001</v>
      </c>
      <c r="M220" s="152">
        <v>2.6614520000000002</v>
      </c>
      <c r="N220" s="152">
        <v>2.501109</v>
      </c>
      <c r="O220" s="152">
        <v>2.463012</v>
      </c>
      <c r="P220" s="152">
        <v>23.656796</v>
      </c>
      <c r="Q220" s="152">
        <v>2.463012</v>
      </c>
      <c r="R220" s="152" t="s">
        <v>1327</v>
      </c>
      <c r="S220" s="152">
        <v>106.624877</v>
      </c>
      <c r="T220" s="152">
        <v>0.40666799999999997</v>
      </c>
      <c r="U220" s="152">
        <v>3.1525789999999998</v>
      </c>
      <c r="V220" s="152">
        <v>11.906587999999999</v>
      </c>
      <c r="W220" s="152">
        <v>1000</v>
      </c>
      <c r="X220" s="152" t="s">
        <v>23</v>
      </c>
      <c r="Y220" s="152" t="s">
        <v>1328</v>
      </c>
      <c r="Z220" s="152" t="s">
        <v>1327</v>
      </c>
    </row>
    <row r="221" spans="1:26" x14ac:dyDescent="0.2">
      <c r="A221" s="152" t="s">
        <v>1487</v>
      </c>
      <c r="B221" s="152">
        <v>4.5780000000000003</v>
      </c>
      <c r="C221" s="151">
        <v>44649</v>
      </c>
      <c r="D221" s="152">
        <v>3.427397</v>
      </c>
      <c r="E221" s="152" t="s">
        <v>1325</v>
      </c>
      <c r="F221" s="152" t="s">
        <v>1326</v>
      </c>
      <c r="G221" s="152"/>
      <c r="H221" s="152"/>
      <c r="I221" s="151">
        <v>39163</v>
      </c>
      <c r="J221" s="152">
        <v>4.5762999999999998</v>
      </c>
      <c r="K221" s="151">
        <v>43395</v>
      </c>
      <c r="L221" s="152">
        <v>2.5636450000000002</v>
      </c>
      <c r="M221" s="152">
        <v>2.6685150000000002</v>
      </c>
      <c r="N221" s="152">
        <v>2.5076930000000002</v>
      </c>
      <c r="O221" s="152">
        <v>2.469077</v>
      </c>
      <c r="P221" s="152">
        <v>23.692609999999998</v>
      </c>
      <c r="Q221" s="152">
        <v>2.469077</v>
      </c>
      <c r="R221" s="152" t="s">
        <v>1327</v>
      </c>
      <c r="S221" s="152">
        <v>106.901792</v>
      </c>
      <c r="T221" s="152">
        <v>0.326104</v>
      </c>
      <c r="U221" s="152">
        <v>3.1681789999999999</v>
      </c>
      <c r="V221" s="152">
        <v>12.018445</v>
      </c>
      <c r="W221" s="152">
        <v>1000</v>
      </c>
      <c r="X221" s="152" t="s">
        <v>23</v>
      </c>
      <c r="Y221" s="152" t="s">
        <v>1328</v>
      </c>
      <c r="Z221" s="152" t="s">
        <v>1327</v>
      </c>
    </row>
    <row r="222" spans="1:26" x14ac:dyDescent="0.2">
      <c r="A222" s="152" t="s">
        <v>1488</v>
      </c>
      <c r="B222" s="152">
        <v>4.16</v>
      </c>
      <c r="C222" s="151">
        <v>44625</v>
      </c>
      <c r="D222" s="152">
        <v>3.3616440000000001</v>
      </c>
      <c r="E222" s="152" t="s">
        <v>1325</v>
      </c>
      <c r="F222" s="152" t="s">
        <v>1326</v>
      </c>
      <c r="G222" s="152"/>
      <c r="H222" s="152"/>
      <c r="I222" s="151">
        <v>43371</v>
      </c>
      <c r="J222" s="152">
        <v>2.2999999999999998</v>
      </c>
      <c r="K222" s="151">
        <v>43367</v>
      </c>
      <c r="L222" s="152">
        <v>2.493906</v>
      </c>
      <c r="M222" s="152">
        <v>2.6055640000000002</v>
      </c>
      <c r="N222" s="152">
        <v>2.396687</v>
      </c>
      <c r="O222" s="152">
        <v>2.4484840000000001</v>
      </c>
      <c r="P222" s="152">
        <v>23.569165999999999</v>
      </c>
      <c r="Q222" s="152">
        <v>2.4484840000000001</v>
      </c>
      <c r="R222" s="152" t="s">
        <v>1327</v>
      </c>
      <c r="S222" s="152">
        <v>105.501147</v>
      </c>
      <c r="T222" s="152">
        <v>0.56986300000000001</v>
      </c>
      <c r="U222" s="152">
        <v>3.1206550000000002</v>
      </c>
      <c r="V222" s="152">
        <v>11.666525</v>
      </c>
      <c r="W222" s="152">
        <v>1000</v>
      </c>
      <c r="X222" s="152" t="s">
        <v>23</v>
      </c>
      <c r="Y222" s="152" t="s">
        <v>1328</v>
      </c>
      <c r="Z222" s="152" t="s">
        <v>1327</v>
      </c>
    </row>
    <row r="223" spans="1:26" x14ac:dyDescent="0.2">
      <c r="A223" s="152" t="s">
        <v>1489</v>
      </c>
      <c r="B223" s="152">
        <v>4.08</v>
      </c>
      <c r="C223" s="151">
        <v>44698</v>
      </c>
      <c r="D223" s="152">
        <v>3.5616439999999998</v>
      </c>
      <c r="E223" s="152" t="s">
        <v>1325</v>
      </c>
      <c r="F223" s="152" t="s">
        <v>1326</v>
      </c>
      <c r="G223" s="152"/>
      <c r="H223" s="152"/>
      <c r="I223" s="151" t="s">
        <v>1327</v>
      </c>
      <c r="J223" s="152" t="s">
        <v>1327</v>
      </c>
      <c r="K223" s="151">
        <v>43395</v>
      </c>
      <c r="L223" s="152">
        <v>2.6115729999999999</v>
      </c>
      <c r="M223" s="152">
        <v>2.7179530000000001</v>
      </c>
      <c r="N223" s="152">
        <v>2.5537749999999999</v>
      </c>
      <c r="O223" s="152">
        <v>2.5087329999999999</v>
      </c>
      <c r="P223" s="152">
        <v>23.939046999999999</v>
      </c>
      <c r="Q223" s="152">
        <v>2.5087329999999999</v>
      </c>
      <c r="R223" s="152" t="s">
        <v>1327</v>
      </c>
      <c r="S223" s="152">
        <v>105.305502</v>
      </c>
      <c r="T223" s="152">
        <v>1.799671</v>
      </c>
      <c r="U223" s="152">
        <v>3.2623519999999999</v>
      </c>
      <c r="V223" s="152">
        <v>12.826173000000001</v>
      </c>
      <c r="W223" s="152">
        <v>1000</v>
      </c>
      <c r="X223" s="152" t="s">
        <v>23</v>
      </c>
      <c r="Y223" s="152" t="s">
        <v>1328</v>
      </c>
      <c r="Z223" s="152" t="s">
        <v>1327</v>
      </c>
    </row>
    <row r="224" spans="1:26" x14ac:dyDescent="0.2">
      <c r="A224" s="152" t="s">
        <v>1490</v>
      </c>
      <c r="B224" s="152">
        <v>3.9950000000000001</v>
      </c>
      <c r="C224" s="151">
        <v>44705</v>
      </c>
      <c r="D224" s="152">
        <v>3.5808219999999999</v>
      </c>
      <c r="E224" s="152" t="s">
        <v>1325</v>
      </c>
      <c r="F224" s="152" t="s">
        <v>1326</v>
      </c>
      <c r="G224" s="152"/>
      <c r="H224" s="152"/>
      <c r="I224" s="151" t="s">
        <v>1327</v>
      </c>
      <c r="J224" s="152" t="s">
        <v>1327</v>
      </c>
      <c r="K224" s="151">
        <v>43395</v>
      </c>
      <c r="L224" s="152">
        <v>2.61842</v>
      </c>
      <c r="M224" s="152">
        <v>2.7250160000000001</v>
      </c>
      <c r="N224" s="152">
        <v>2.5603579999999999</v>
      </c>
      <c r="O224" s="152">
        <v>2.5142920000000002</v>
      </c>
      <c r="P224" s="152">
        <v>23.973659000000001</v>
      </c>
      <c r="Q224" s="152">
        <v>2.5142920000000002</v>
      </c>
      <c r="R224" s="152" t="s">
        <v>1327</v>
      </c>
      <c r="S224" s="152">
        <v>105.02396899999999</v>
      </c>
      <c r="T224" s="152">
        <v>1.685562</v>
      </c>
      <c r="U224" s="152">
        <v>3.2857500000000002</v>
      </c>
      <c r="V224" s="152">
        <v>12.981877000000001</v>
      </c>
      <c r="W224" s="152">
        <v>1000</v>
      </c>
      <c r="X224" s="152" t="s">
        <v>23</v>
      </c>
      <c r="Y224" s="152" t="s">
        <v>1328</v>
      </c>
      <c r="Z224" s="152" t="s">
        <v>1327</v>
      </c>
    </row>
    <row r="225" spans="1:26" x14ac:dyDescent="0.2">
      <c r="A225" s="152" t="s">
        <v>1491</v>
      </c>
      <c r="B225" s="152">
        <v>3.95</v>
      </c>
      <c r="C225" s="151">
        <v>44712</v>
      </c>
      <c r="D225" s="152">
        <v>3.6</v>
      </c>
      <c r="E225" s="152" t="s">
        <v>1325</v>
      </c>
      <c r="F225" s="152" t="s">
        <v>1326</v>
      </c>
      <c r="G225" s="152"/>
      <c r="H225" s="152"/>
      <c r="I225" s="151">
        <v>41053</v>
      </c>
      <c r="J225" s="152">
        <v>3.9493459999999998</v>
      </c>
      <c r="K225" s="151">
        <v>43395</v>
      </c>
      <c r="L225" s="152">
        <v>2.625267</v>
      </c>
      <c r="M225" s="152">
        <v>2.7320790000000001</v>
      </c>
      <c r="N225" s="152">
        <v>2.5669420000000001</v>
      </c>
      <c r="O225" s="152">
        <v>2.5214470000000002</v>
      </c>
      <c r="P225" s="152">
        <v>24.008126000000001</v>
      </c>
      <c r="Q225" s="152">
        <v>2.5214470000000002</v>
      </c>
      <c r="R225" s="152" t="s">
        <v>1327</v>
      </c>
      <c r="S225" s="152">
        <v>104.877768</v>
      </c>
      <c r="T225" s="152">
        <v>1.590822</v>
      </c>
      <c r="U225" s="152">
        <v>3.3042639999999999</v>
      </c>
      <c r="V225" s="152">
        <v>13.108181</v>
      </c>
      <c r="W225" s="152">
        <v>1000</v>
      </c>
      <c r="X225" s="152" t="s">
        <v>23</v>
      </c>
      <c r="Y225" s="152" t="s">
        <v>1328</v>
      </c>
      <c r="Z225" s="152" t="s">
        <v>1327</v>
      </c>
    </row>
    <row r="226" spans="1:26" x14ac:dyDescent="0.2">
      <c r="A226" s="152" t="s">
        <v>1492</v>
      </c>
      <c r="B226" s="152">
        <v>3.58</v>
      </c>
      <c r="C226" s="151">
        <v>44729</v>
      </c>
      <c r="D226" s="152">
        <v>3.6465749999999999</v>
      </c>
      <c r="E226" s="152" t="s">
        <v>1325</v>
      </c>
      <c r="F226" s="152" t="s">
        <v>1326</v>
      </c>
      <c r="G226" s="152"/>
      <c r="H226" s="152"/>
      <c r="I226" s="152">
        <v>40340</v>
      </c>
      <c r="J226" s="152">
        <v>3.5794980000000001</v>
      </c>
      <c r="K226" s="151">
        <v>43395</v>
      </c>
      <c r="L226" s="152">
        <v>2.6418949999999999</v>
      </c>
      <c r="M226" s="152">
        <v>2.749231</v>
      </c>
      <c r="N226" s="152">
        <v>2.582929</v>
      </c>
      <c r="O226" s="152">
        <v>2.5342560000000001</v>
      </c>
      <c r="P226" s="152">
        <v>24.091238000000001</v>
      </c>
      <c r="Q226" s="152">
        <v>2.5342560000000001</v>
      </c>
      <c r="R226" s="152" t="s">
        <v>1327</v>
      </c>
      <c r="S226" s="152">
        <v>103.612109</v>
      </c>
      <c r="T226" s="152">
        <v>1.2750680000000001</v>
      </c>
      <c r="U226" s="152">
        <v>3.3703129999999999</v>
      </c>
      <c r="V226" s="152">
        <v>13.540789999999999</v>
      </c>
      <c r="W226" s="152">
        <v>1000</v>
      </c>
      <c r="X226" s="152" t="s">
        <v>23</v>
      </c>
      <c r="Y226" s="152" t="s">
        <v>1328</v>
      </c>
      <c r="Z226" s="152" t="s">
        <v>1327</v>
      </c>
    </row>
    <row r="227" spans="1:26" x14ac:dyDescent="0.2">
      <c r="A227" s="152" t="s">
        <v>1493</v>
      </c>
      <c r="B227" s="152">
        <v>3.64</v>
      </c>
      <c r="C227" s="151">
        <v>44778</v>
      </c>
      <c r="D227" s="152">
        <v>3.7808220000000001</v>
      </c>
      <c r="E227" s="152" t="s">
        <v>1325</v>
      </c>
      <c r="F227" s="152" t="s">
        <v>1326</v>
      </c>
      <c r="G227" s="152"/>
      <c r="H227" s="152"/>
      <c r="I227" s="151">
        <v>40388</v>
      </c>
      <c r="J227" s="152">
        <v>3.64</v>
      </c>
      <c r="K227" s="151">
        <v>43395</v>
      </c>
      <c r="L227" s="152">
        <v>2.6614119999999999</v>
      </c>
      <c r="M227" s="152">
        <v>2.7702580000000001</v>
      </c>
      <c r="N227" s="152">
        <v>2.6006</v>
      </c>
      <c r="O227" s="152">
        <v>2.5569489999999999</v>
      </c>
      <c r="P227" s="152">
        <v>24.326215000000001</v>
      </c>
      <c r="Q227" s="152">
        <v>2.5569489999999999</v>
      </c>
      <c r="R227" s="152" t="s">
        <v>1327</v>
      </c>
      <c r="S227" s="152">
        <v>103.863088</v>
      </c>
      <c r="T227" s="152">
        <v>0.80778099999999997</v>
      </c>
      <c r="U227" s="152">
        <v>3.5017390000000002</v>
      </c>
      <c r="V227" s="152">
        <v>14.515568</v>
      </c>
      <c r="W227" s="152">
        <v>1000</v>
      </c>
      <c r="X227" s="152" t="s">
        <v>23</v>
      </c>
      <c r="Y227" s="152" t="s">
        <v>1328</v>
      </c>
      <c r="Z227" s="152" t="s">
        <v>1327</v>
      </c>
    </row>
    <row r="228" spans="1:26" x14ac:dyDescent="0.2">
      <c r="A228" s="152" t="s">
        <v>1494</v>
      </c>
      <c r="B228" s="152">
        <v>4.6079999999999997</v>
      </c>
      <c r="C228" s="151">
        <v>44979</v>
      </c>
      <c r="D228" s="152">
        <v>4.3315070000000002</v>
      </c>
      <c r="E228" s="152" t="s">
        <v>1325</v>
      </c>
      <c r="F228" s="152" t="s">
        <v>1326</v>
      </c>
      <c r="G228" s="152"/>
      <c r="H228" s="152"/>
      <c r="I228" s="152" t="s">
        <v>1327</v>
      </c>
      <c r="J228" s="152" t="s">
        <v>1327</v>
      </c>
      <c r="K228" s="151">
        <v>43395</v>
      </c>
      <c r="L228" s="152">
        <v>2.7351860000000001</v>
      </c>
      <c r="M228" s="152">
        <v>2.8502269999999998</v>
      </c>
      <c r="N228" s="152">
        <v>2.6668029999999998</v>
      </c>
      <c r="O228" s="152">
        <v>2.612965</v>
      </c>
      <c r="P228" s="152">
        <v>25.225641</v>
      </c>
      <c r="Q228" s="152">
        <v>2.612965</v>
      </c>
      <c r="R228" s="152" t="s">
        <v>1327</v>
      </c>
      <c r="S228" s="152">
        <v>108.093273</v>
      </c>
      <c r="T228" s="152">
        <v>0.80797799999999997</v>
      </c>
      <c r="U228" s="152">
        <v>3.9112269999999998</v>
      </c>
      <c r="V228" s="152">
        <v>18.117840000000001</v>
      </c>
      <c r="W228" s="152">
        <v>1000</v>
      </c>
      <c r="X228" s="152" t="s">
        <v>23</v>
      </c>
      <c r="Y228" s="152" t="s">
        <v>1328</v>
      </c>
      <c r="Z228" s="152" t="s">
        <v>1327</v>
      </c>
    </row>
    <row r="229" spans="1:26" x14ac:dyDescent="0.2">
      <c r="A229" s="152" t="s">
        <v>1495</v>
      </c>
      <c r="B229" s="152">
        <v>3.86</v>
      </c>
      <c r="C229" s="151">
        <v>45177</v>
      </c>
      <c r="D229" s="152">
        <v>4.8739730000000003</v>
      </c>
      <c r="E229" s="152" t="s">
        <v>1325</v>
      </c>
      <c r="F229" s="152" t="s">
        <v>1326</v>
      </c>
      <c r="G229" s="152"/>
      <c r="H229" s="152"/>
      <c r="I229" s="152" t="s">
        <v>1327</v>
      </c>
      <c r="J229" s="152" t="s">
        <v>1327</v>
      </c>
      <c r="K229" s="151">
        <v>43395</v>
      </c>
      <c r="L229" s="152">
        <v>2.808144</v>
      </c>
      <c r="M229" s="152">
        <v>2.9292880000000001</v>
      </c>
      <c r="N229" s="152">
        <v>2.7323010000000001</v>
      </c>
      <c r="O229" s="152">
        <v>2.683179</v>
      </c>
      <c r="P229" s="152">
        <v>26.025044000000001</v>
      </c>
      <c r="Q229" s="152">
        <v>2.683179</v>
      </c>
      <c r="R229" s="152" t="s">
        <v>1327</v>
      </c>
      <c r="S229" s="152">
        <v>105.34941600000001</v>
      </c>
      <c r="T229" s="152">
        <v>0.49704100000000001</v>
      </c>
      <c r="U229" s="152">
        <v>4.4156300000000002</v>
      </c>
      <c r="V229" s="152">
        <v>22.748359000000001</v>
      </c>
      <c r="W229" s="152">
        <v>1000</v>
      </c>
      <c r="X229" s="152" t="s">
        <v>23</v>
      </c>
      <c r="Y229" s="152" t="s">
        <v>1328</v>
      </c>
      <c r="Z229" s="152" t="s">
        <v>1327</v>
      </c>
    </row>
    <row r="230" spans="1:26" x14ac:dyDescent="0.2">
      <c r="A230" s="152" t="s">
        <v>1496</v>
      </c>
      <c r="B230" s="152">
        <v>4.74</v>
      </c>
      <c r="C230" s="151">
        <v>45263</v>
      </c>
      <c r="D230" s="152">
        <v>5.1095889999999997</v>
      </c>
      <c r="E230" s="152" t="s">
        <v>1325</v>
      </c>
      <c r="F230" s="152" t="s">
        <v>1326</v>
      </c>
      <c r="G230" s="152"/>
      <c r="H230" s="152"/>
      <c r="I230" s="152" t="s">
        <v>1327</v>
      </c>
      <c r="J230" s="152" t="s">
        <v>1327</v>
      </c>
      <c r="K230" s="151">
        <v>43395</v>
      </c>
      <c r="L230" s="152">
        <v>2.8416579999999998</v>
      </c>
      <c r="M230" s="152">
        <v>2.9673229999999999</v>
      </c>
      <c r="N230" s="152">
        <v>2.763871</v>
      </c>
      <c r="O230" s="152">
        <v>2.6980110000000002</v>
      </c>
      <c r="P230" s="152">
        <v>26.349502999999999</v>
      </c>
      <c r="Q230" s="152">
        <v>2.6980110000000002</v>
      </c>
      <c r="R230" s="152" t="s">
        <v>1327</v>
      </c>
      <c r="S230" s="152">
        <v>109.671677</v>
      </c>
      <c r="T230" s="152">
        <v>1.8700270000000001</v>
      </c>
      <c r="U230" s="152">
        <v>4.4863460000000002</v>
      </c>
      <c r="V230" s="152">
        <v>23.965146000000001</v>
      </c>
      <c r="W230" s="152">
        <v>1000</v>
      </c>
      <c r="X230" s="152" t="s">
        <v>23</v>
      </c>
      <c r="Y230" s="152" t="s">
        <v>1328</v>
      </c>
      <c r="Z230" s="152" t="s">
        <v>1327</v>
      </c>
    </row>
    <row r="231" spans="1:26" x14ac:dyDescent="0.2">
      <c r="A231" s="152" t="s">
        <v>1497</v>
      </c>
      <c r="B231" s="152">
        <v>3.8</v>
      </c>
      <c r="C231" s="151">
        <v>45254</v>
      </c>
      <c r="D231" s="152">
        <v>5.0849320000000002</v>
      </c>
      <c r="E231" s="152" t="s">
        <v>1325</v>
      </c>
      <c r="F231" s="152" t="s">
        <v>1326</v>
      </c>
      <c r="G231" s="152"/>
      <c r="H231" s="152"/>
      <c r="I231" s="151">
        <v>40865</v>
      </c>
      <c r="J231" s="152">
        <v>3.8</v>
      </c>
      <c r="K231" s="151">
        <v>43395</v>
      </c>
      <c r="L231" s="152">
        <v>2.8384819999999999</v>
      </c>
      <c r="M231" s="152">
        <v>2.9634689999999999</v>
      </c>
      <c r="N231" s="152">
        <v>2.7607560000000002</v>
      </c>
      <c r="O231" s="152">
        <v>2.7004700000000001</v>
      </c>
      <c r="P231" s="152">
        <v>26.316139</v>
      </c>
      <c r="Q231" s="152">
        <v>2.7004700000000001</v>
      </c>
      <c r="R231" s="152" t="s">
        <v>1327</v>
      </c>
      <c r="S231" s="152">
        <v>105.171541</v>
      </c>
      <c r="T231" s="152">
        <v>1.603288</v>
      </c>
      <c r="U231" s="152">
        <v>4.5514710000000003</v>
      </c>
      <c r="V231" s="152">
        <v>24.364087000000001</v>
      </c>
      <c r="W231" s="152">
        <v>1000</v>
      </c>
      <c r="X231" s="152" t="s">
        <v>23</v>
      </c>
      <c r="Y231" s="152" t="s">
        <v>1328</v>
      </c>
      <c r="Z231" s="152" t="s">
        <v>1327</v>
      </c>
    </row>
    <row r="232" spans="1:26" x14ac:dyDescent="0.2">
      <c r="A232" s="152" t="s">
        <v>1498</v>
      </c>
      <c r="B232" s="152">
        <v>4.47</v>
      </c>
      <c r="C232" s="151">
        <v>45685</v>
      </c>
      <c r="D232" s="152">
        <v>6.2657530000000001</v>
      </c>
      <c r="E232" s="152" t="s">
        <v>1325</v>
      </c>
      <c r="F232" s="152" t="s">
        <v>1326</v>
      </c>
      <c r="G232" s="152"/>
      <c r="H232" s="152"/>
      <c r="I232" s="151">
        <v>42619</v>
      </c>
      <c r="J232" s="152">
        <v>2.5</v>
      </c>
      <c r="K232" s="151">
        <v>43395</v>
      </c>
      <c r="L232" s="152">
        <v>2.9773559999999999</v>
      </c>
      <c r="M232" s="152">
        <v>3.1348150000000001</v>
      </c>
      <c r="N232" s="152">
        <v>2.8966780000000001</v>
      </c>
      <c r="O232" s="152">
        <v>2.8375409999999999</v>
      </c>
      <c r="P232" s="152">
        <v>27.779330999999999</v>
      </c>
      <c r="Q232" s="152">
        <v>2.8375409999999999</v>
      </c>
      <c r="R232" s="152" t="s">
        <v>1327</v>
      </c>
      <c r="S232" s="152">
        <v>109.28091999999999</v>
      </c>
      <c r="T232" s="152">
        <v>1.0899449999999999</v>
      </c>
      <c r="U232" s="152">
        <v>5.4379869999999997</v>
      </c>
      <c r="V232" s="152">
        <v>34.774465999999997</v>
      </c>
      <c r="W232" s="152">
        <v>1000</v>
      </c>
      <c r="X232" s="152" t="s">
        <v>23</v>
      </c>
      <c r="Y232" s="152" t="s">
        <v>1328</v>
      </c>
      <c r="Z232" s="152" t="s">
        <v>1327</v>
      </c>
    </row>
    <row r="233" spans="1:26" x14ac:dyDescent="0.2">
      <c r="A233" s="152" t="s">
        <v>1499</v>
      </c>
      <c r="B233" s="152">
        <v>4.25</v>
      </c>
      <c r="C233" s="151">
        <v>45713</v>
      </c>
      <c r="D233" s="152">
        <v>6.3424659999999999</v>
      </c>
      <c r="E233" s="152" t="s">
        <v>1325</v>
      </c>
      <c r="F233" s="152" t="s">
        <v>1326</v>
      </c>
      <c r="G233" s="152"/>
      <c r="H233" s="152"/>
      <c r="I233" s="151" t="s">
        <v>1327</v>
      </c>
      <c r="J233" s="152" t="s">
        <v>1327</v>
      </c>
      <c r="K233" s="151">
        <v>43395</v>
      </c>
      <c r="L233" s="152">
        <v>2.9863279999999999</v>
      </c>
      <c r="M233" s="152">
        <v>3.145896</v>
      </c>
      <c r="N233" s="152">
        <v>2.9054579999999999</v>
      </c>
      <c r="O233" s="152">
        <v>2.8490060000000001</v>
      </c>
      <c r="P233" s="152">
        <v>27.865977999999998</v>
      </c>
      <c r="Q233" s="152">
        <v>2.8490060000000001</v>
      </c>
      <c r="R233" s="152" t="s">
        <v>1327</v>
      </c>
      <c r="S233" s="152">
        <v>108.049689</v>
      </c>
      <c r="T233" s="152">
        <v>0.71027399999999996</v>
      </c>
      <c r="U233" s="152">
        <v>5.540826</v>
      </c>
      <c r="V233" s="152">
        <v>35.878971999999997</v>
      </c>
      <c r="W233" s="152">
        <v>1000</v>
      </c>
      <c r="X233" s="152" t="s">
        <v>23</v>
      </c>
      <c r="Y233" s="152" t="s">
        <v>1328</v>
      </c>
      <c r="Z233" s="152" t="s">
        <v>1327</v>
      </c>
    </row>
    <row r="234" spans="1:26" x14ac:dyDescent="0.2">
      <c r="A234" s="152" t="s">
        <v>1500</v>
      </c>
      <c r="B234" s="152">
        <v>4.25</v>
      </c>
      <c r="C234" s="151">
        <v>45756</v>
      </c>
      <c r="D234" s="152">
        <v>6.4602740000000001</v>
      </c>
      <c r="E234" s="152" t="s">
        <v>1325</v>
      </c>
      <c r="F234" s="152" t="s">
        <v>1326</v>
      </c>
      <c r="G234" s="152"/>
      <c r="H234" s="152"/>
      <c r="I234" s="152">
        <v>40270</v>
      </c>
      <c r="J234" s="152">
        <v>4.2494769999999997</v>
      </c>
      <c r="K234" s="151">
        <v>43395</v>
      </c>
      <c r="L234" s="152">
        <v>3.000105</v>
      </c>
      <c r="M234" s="152">
        <v>3.1629130000000001</v>
      </c>
      <c r="N234" s="152">
        <v>2.9189409999999998</v>
      </c>
      <c r="O234" s="152">
        <v>2.864471</v>
      </c>
      <c r="P234" s="152">
        <v>27.997297</v>
      </c>
      <c r="Q234" s="152">
        <v>2.864471</v>
      </c>
      <c r="R234" s="152" t="s">
        <v>1327</v>
      </c>
      <c r="S234" s="152">
        <v>108.117018</v>
      </c>
      <c r="T234" s="152">
        <v>0.18630099999999999</v>
      </c>
      <c r="U234" s="152">
        <v>5.6561700000000004</v>
      </c>
      <c r="V234" s="152">
        <v>37.228017000000001</v>
      </c>
      <c r="W234" s="152">
        <v>1000</v>
      </c>
      <c r="X234" s="152" t="s">
        <v>23</v>
      </c>
      <c r="Y234" s="152" t="s">
        <v>1328</v>
      </c>
      <c r="Z234" s="152" t="s">
        <v>1327</v>
      </c>
    </row>
    <row r="235" spans="1:26" x14ac:dyDescent="0.2">
      <c r="A235" s="152" t="s">
        <v>1501</v>
      </c>
      <c r="B235" s="152">
        <v>3.77</v>
      </c>
      <c r="C235" s="151">
        <v>45812</v>
      </c>
      <c r="D235" s="152">
        <v>6.6136990000000004</v>
      </c>
      <c r="E235" s="152" t="s">
        <v>1325</v>
      </c>
      <c r="F235" s="152" t="s">
        <v>1326</v>
      </c>
      <c r="G235" s="152"/>
      <c r="H235" s="152"/>
      <c r="I235" s="152" t="s">
        <v>1327</v>
      </c>
      <c r="J235" s="152" t="s">
        <v>1327</v>
      </c>
      <c r="K235" s="151">
        <v>43395</v>
      </c>
      <c r="L235" s="152">
        <v>3.0180479999999998</v>
      </c>
      <c r="M235" s="152">
        <v>3.1850749999999999</v>
      </c>
      <c r="N235" s="152">
        <v>2.9365000000000001</v>
      </c>
      <c r="O235" s="152">
        <v>2.8863989999999999</v>
      </c>
      <c r="P235" s="152">
        <v>28.165241999999999</v>
      </c>
      <c r="Q235" s="152">
        <v>2.8863989999999999</v>
      </c>
      <c r="R235" s="152" t="s">
        <v>1327</v>
      </c>
      <c r="S235" s="152">
        <v>105.274947</v>
      </c>
      <c r="T235" s="152">
        <v>1.477014</v>
      </c>
      <c r="U235" s="152">
        <v>5.7692620000000003</v>
      </c>
      <c r="V235" s="152">
        <v>38.933585999999998</v>
      </c>
      <c r="W235" s="152">
        <v>1000</v>
      </c>
      <c r="X235" s="152" t="s">
        <v>23</v>
      </c>
      <c r="Y235" s="152" t="s">
        <v>1328</v>
      </c>
      <c r="Z235" s="152" t="s">
        <v>1327</v>
      </c>
    </row>
    <row r="236" spans="1:26" x14ac:dyDescent="0.2">
      <c r="A236" s="152" t="s">
        <v>1502</v>
      </c>
      <c r="B236" s="152">
        <v>3.68</v>
      </c>
      <c r="C236" s="151">
        <v>45868</v>
      </c>
      <c r="D236" s="152">
        <v>6.7671229999999998</v>
      </c>
      <c r="E236" s="152" t="s">
        <v>1325</v>
      </c>
      <c r="F236" s="152" t="s">
        <v>1326</v>
      </c>
      <c r="G236" s="152"/>
      <c r="H236" s="152"/>
      <c r="I236" s="152">
        <v>40388</v>
      </c>
      <c r="J236" s="152">
        <v>3.68</v>
      </c>
      <c r="K236" s="151">
        <v>43395</v>
      </c>
      <c r="L236" s="152">
        <v>3.03599</v>
      </c>
      <c r="M236" s="152">
        <v>3.2072370000000001</v>
      </c>
      <c r="N236" s="152">
        <v>2.954059</v>
      </c>
      <c r="O236" s="152">
        <v>2.9043399999999999</v>
      </c>
      <c r="P236" s="152">
        <v>28.329836</v>
      </c>
      <c r="Q236" s="152">
        <v>2.9043399999999999</v>
      </c>
      <c r="R236" s="152" t="s">
        <v>1327</v>
      </c>
      <c r="S236" s="152">
        <v>104.715036</v>
      </c>
      <c r="T236" s="152">
        <v>0.87715100000000001</v>
      </c>
      <c r="U236" s="152">
        <v>5.9360679999999997</v>
      </c>
      <c r="V236" s="152">
        <v>40.927363</v>
      </c>
      <c r="W236" s="152">
        <v>1000</v>
      </c>
      <c r="X236" s="152" t="s">
        <v>23</v>
      </c>
      <c r="Y236" s="152" t="s">
        <v>1328</v>
      </c>
      <c r="Z236" s="152" t="s">
        <v>1327</v>
      </c>
    </row>
    <row r="237" spans="1:26" x14ac:dyDescent="0.2">
      <c r="A237" s="152" t="s">
        <v>1503</v>
      </c>
      <c r="B237" s="152">
        <v>3.9</v>
      </c>
      <c r="C237" s="151">
        <v>45971</v>
      </c>
      <c r="D237" s="152">
        <v>7.049315</v>
      </c>
      <c r="E237" s="152" t="s">
        <v>1325</v>
      </c>
      <c r="F237" s="152" t="s">
        <v>1326</v>
      </c>
      <c r="G237" s="152"/>
      <c r="H237" s="152"/>
      <c r="I237" s="151">
        <v>41344</v>
      </c>
      <c r="J237" s="152">
        <v>4.1500000000000004</v>
      </c>
      <c r="K237" s="151">
        <v>43395</v>
      </c>
      <c r="L237" s="152">
        <v>3.0689920000000002</v>
      </c>
      <c r="M237" s="152">
        <v>3.2479990000000001</v>
      </c>
      <c r="N237" s="152">
        <v>2.9863550000000001</v>
      </c>
      <c r="O237" s="152">
        <v>2.9352200000000002</v>
      </c>
      <c r="P237" s="152">
        <v>28.624254000000001</v>
      </c>
      <c r="Q237" s="152">
        <v>2.9352200000000002</v>
      </c>
      <c r="R237" s="152" t="s">
        <v>1327</v>
      </c>
      <c r="S237" s="152">
        <v>106.081891</v>
      </c>
      <c r="T237" s="152">
        <v>1.7950680000000001</v>
      </c>
      <c r="U237" s="152">
        <v>6.0639599999999998</v>
      </c>
      <c r="V237" s="152">
        <v>43.242924000000002</v>
      </c>
      <c r="W237" s="152">
        <v>1000</v>
      </c>
      <c r="X237" s="152" t="s">
        <v>23</v>
      </c>
      <c r="Y237" s="152" t="s">
        <v>1328</v>
      </c>
      <c r="Z237" s="152" t="s">
        <v>1327</v>
      </c>
    </row>
    <row r="238" spans="1:26" x14ac:dyDescent="0.2">
      <c r="A238" s="152" t="s">
        <v>1504</v>
      </c>
      <c r="B238" s="152">
        <v>3.97</v>
      </c>
      <c r="C238" s="151">
        <v>46266</v>
      </c>
      <c r="D238" s="152">
        <v>7.8575340000000002</v>
      </c>
      <c r="E238" s="152" t="s">
        <v>1325</v>
      </c>
      <c r="F238" s="152" t="s">
        <v>1326</v>
      </c>
      <c r="G238" s="152"/>
      <c r="H238" s="152"/>
      <c r="I238" s="151">
        <v>43045</v>
      </c>
      <c r="J238" s="152">
        <v>2.335</v>
      </c>
      <c r="K238" s="151">
        <v>43395</v>
      </c>
      <c r="L238" s="152">
        <v>3.1724480000000002</v>
      </c>
      <c r="M238" s="152">
        <v>3.3736809999999999</v>
      </c>
      <c r="N238" s="152">
        <v>3.0877910000000002</v>
      </c>
      <c r="O238" s="152">
        <v>3.0058850000000001</v>
      </c>
      <c r="P238" s="152">
        <v>29.413626000000001</v>
      </c>
      <c r="Q238" s="152">
        <v>3.0058850000000001</v>
      </c>
      <c r="R238" s="152" t="s">
        <v>1327</v>
      </c>
      <c r="S238" s="152">
        <v>106.70878</v>
      </c>
      <c r="T238" s="152">
        <v>0.58734200000000003</v>
      </c>
      <c r="U238" s="152">
        <v>6.7207689999999998</v>
      </c>
      <c r="V238" s="152">
        <v>52.700001</v>
      </c>
      <c r="W238" s="152">
        <v>1000</v>
      </c>
      <c r="X238" s="152" t="s">
        <v>23</v>
      </c>
      <c r="Y238" s="152" t="s">
        <v>1328</v>
      </c>
      <c r="Z238" s="152" t="s">
        <v>1327</v>
      </c>
    </row>
    <row r="239" spans="1:26" x14ac:dyDescent="0.2">
      <c r="A239" s="152" t="s">
        <v>1505</v>
      </c>
      <c r="B239" s="152">
        <v>4</v>
      </c>
      <c r="C239" s="151">
        <v>46287</v>
      </c>
      <c r="D239" s="152">
        <v>7.9150679999999998</v>
      </c>
      <c r="E239" s="152" t="s">
        <v>1325</v>
      </c>
      <c r="F239" s="152" t="s">
        <v>1326</v>
      </c>
      <c r="G239" s="152"/>
      <c r="H239" s="152"/>
      <c r="I239" s="152">
        <v>40801</v>
      </c>
      <c r="J239" s="152">
        <v>4</v>
      </c>
      <c r="K239" s="151">
        <v>43395</v>
      </c>
      <c r="L239" s="152">
        <v>3.1798929999999999</v>
      </c>
      <c r="M239" s="152">
        <v>3.382708</v>
      </c>
      <c r="N239" s="152">
        <v>3.0950920000000002</v>
      </c>
      <c r="O239" s="152">
        <v>3.0105970000000002</v>
      </c>
      <c r="P239" s="152">
        <v>29.467040999999998</v>
      </c>
      <c r="Q239" s="152">
        <v>3.0105970000000002</v>
      </c>
      <c r="R239" s="152" t="s">
        <v>1327</v>
      </c>
      <c r="S239" s="152">
        <v>106.92873400000001</v>
      </c>
      <c r="T239" s="152">
        <v>0.36164400000000002</v>
      </c>
      <c r="U239" s="152">
        <v>6.7714720000000002</v>
      </c>
      <c r="V239" s="152">
        <v>53.427334000000002</v>
      </c>
      <c r="W239" s="152">
        <v>1000</v>
      </c>
      <c r="X239" s="152" t="s">
        <v>23</v>
      </c>
      <c r="Y239" s="152" t="s">
        <v>1328</v>
      </c>
      <c r="Z239" s="152" t="s">
        <v>1327</v>
      </c>
    </row>
    <row r="240" spans="1:26" x14ac:dyDescent="0.2">
      <c r="A240" s="152" t="s">
        <v>1506</v>
      </c>
      <c r="B240" s="152">
        <v>2.36</v>
      </c>
      <c r="C240" s="151">
        <v>44615</v>
      </c>
      <c r="D240" s="152">
        <v>3.334247</v>
      </c>
      <c r="E240" s="152" t="s">
        <v>1325</v>
      </c>
      <c r="F240" s="152" t="s">
        <v>1326</v>
      </c>
      <c r="G240" s="152"/>
      <c r="H240" s="152"/>
      <c r="I240" s="151">
        <v>43391</v>
      </c>
      <c r="J240" s="152">
        <v>2.44</v>
      </c>
      <c r="K240" s="151">
        <v>43312</v>
      </c>
      <c r="L240" s="152">
        <v>2.199389</v>
      </c>
      <c r="M240" s="152">
        <v>2.4136869999999999</v>
      </c>
      <c r="N240" s="152">
        <v>2.1665230000000002</v>
      </c>
      <c r="O240" s="152">
        <v>2.4374449999999999</v>
      </c>
      <c r="P240" s="152">
        <v>22.823663</v>
      </c>
      <c r="Q240" s="152">
        <v>2.4374449999999999</v>
      </c>
      <c r="R240" s="152" t="s">
        <v>1327</v>
      </c>
      <c r="S240" s="152">
        <v>99.742334</v>
      </c>
      <c r="T240" s="152">
        <v>0.40734199999999998</v>
      </c>
      <c r="U240" s="152">
        <v>3.1725500000000002</v>
      </c>
      <c r="V240" s="152">
        <v>11.874093999999999</v>
      </c>
      <c r="W240" s="152">
        <v>1000</v>
      </c>
      <c r="X240" s="152" t="s">
        <v>23</v>
      </c>
      <c r="Y240" s="152" t="s">
        <v>1328</v>
      </c>
      <c r="Z240" s="152" t="s">
        <v>1327</v>
      </c>
    </row>
    <row r="241" spans="1:26" x14ac:dyDescent="0.2">
      <c r="A241" s="152" t="s">
        <v>758</v>
      </c>
      <c r="B241" s="152">
        <v>2.33</v>
      </c>
      <c r="C241" s="151">
        <v>44692</v>
      </c>
      <c r="D241" s="152">
        <v>3.5452050000000002</v>
      </c>
      <c r="E241" s="152" t="s">
        <v>1325</v>
      </c>
      <c r="F241" s="152" t="s">
        <v>1326</v>
      </c>
      <c r="G241" s="152"/>
      <c r="H241" s="152"/>
      <c r="I241" s="152">
        <v>43347</v>
      </c>
      <c r="J241" s="152">
        <v>2.34</v>
      </c>
      <c r="K241" s="151">
        <v>43395</v>
      </c>
      <c r="L241" s="152">
        <v>2.5734940000000002</v>
      </c>
      <c r="M241" s="152">
        <v>2.695379</v>
      </c>
      <c r="N241" s="152">
        <v>2.5481319999999998</v>
      </c>
      <c r="O241" s="152">
        <v>2.5038879999999999</v>
      </c>
      <c r="P241" s="152">
        <v>23.215744999999998</v>
      </c>
      <c r="Q241" s="152">
        <v>2.5038879999999999</v>
      </c>
      <c r="R241" s="152" t="s">
        <v>1327</v>
      </c>
      <c r="S241" s="152">
        <v>99.403198000000003</v>
      </c>
      <c r="T241" s="152">
        <v>1.066055</v>
      </c>
      <c r="U241" s="152">
        <v>3.3464779999999998</v>
      </c>
      <c r="V241" s="152">
        <v>13.215695999999999</v>
      </c>
      <c r="W241" s="152">
        <v>1000</v>
      </c>
      <c r="X241" s="152" t="s">
        <v>23</v>
      </c>
      <c r="Y241" s="152" t="s">
        <v>1328</v>
      </c>
      <c r="Z241" s="152" t="s">
        <v>1327</v>
      </c>
    </row>
    <row r="242" spans="1:26" x14ac:dyDescent="0.2">
      <c r="A242" s="152" t="s">
        <v>1507</v>
      </c>
      <c r="B242" s="152">
        <v>4.2</v>
      </c>
      <c r="C242" s="151">
        <v>43421</v>
      </c>
      <c r="D242" s="152">
        <v>6.3014000000000001E-2</v>
      </c>
      <c r="E242" s="152" t="s">
        <v>1325</v>
      </c>
      <c r="F242" s="152" t="s">
        <v>1326</v>
      </c>
      <c r="G242" s="152"/>
      <c r="H242" s="152"/>
      <c r="I242" s="151">
        <v>43157</v>
      </c>
      <c r="J242" s="152">
        <v>1.44</v>
      </c>
      <c r="K242" s="151">
        <v>43395</v>
      </c>
      <c r="L242" s="152">
        <v>1.339712</v>
      </c>
      <c r="M242" s="152">
        <v>1.3930450000000001</v>
      </c>
      <c r="N242" s="152">
        <v>1.323045</v>
      </c>
      <c r="O242" s="152">
        <v>1.3034509999999999</v>
      </c>
      <c r="P242" s="152">
        <v>8.0584340000000001</v>
      </c>
      <c r="Q242" s="152">
        <v>1.3034509999999999</v>
      </c>
      <c r="R242" s="152" t="s">
        <v>1327</v>
      </c>
      <c r="S242" s="152">
        <v>100.163843</v>
      </c>
      <c r="T242" s="152">
        <v>1.852603</v>
      </c>
      <c r="U242" s="152">
        <v>6.2605999999999995E-2</v>
      </c>
      <c r="V242" s="152">
        <v>3.5020000000000003E-2</v>
      </c>
      <c r="W242" s="152">
        <v>1000</v>
      </c>
      <c r="X242" s="152" t="s">
        <v>23</v>
      </c>
      <c r="Y242" s="152" t="s">
        <v>1328</v>
      </c>
      <c r="Z242" s="152" t="s">
        <v>1327</v>
      </c>
    </row>
    <row r="243" spans="1:26" x14ac:dyDescent="0.2">
      <c r="A243" s="152" t="s">
        <v>1508</v>
      </c>
      <c r="B243" s="152">
        <v>2.19</v>
      </c>
      <c r="C243" s="151">
        <v>43552</v>
      </c>
      <c r="D243" s="152">
        <v>0.42191800000000002</v>
      </c>
      <c r="E243" s="152" t="s">
        <v>1325</v>
      </c>
      <c r="F243" s="152" t="s">
        <v>1326</v>
      </c>
      <c r="G243" s="152"/>
      <c r="H243" s="152"/>
      <c r="I243" s="151">
        <v>42902</v>
      </c>
      <c r="J243" s="152">
        <v>1.62</v>
      </c>
      <c r="K243" s="151">
        <v>43395</v>
      </c>
      <c r="L243" s="152">
        <v>1.795398</v>
      </c>
      <c r="M243" s="152">
        <v>1.8526849999999999</v>
      </c>
      <c r="N243" s="152">
        <v>1.775568</v>
      </c>
      <c r="O243" s="152">
        <v>1.803477</v>
      </c>
      <c r="P243" s="152">
        <v>10.458347</v>
      </c>
      <c r="Q243" s="152">
        <v>1.803477</v>
      </c>
      <c r="R243" s="152" t="s">
        <v>1327</v>
      </c>
      <c r="S243" s="152">
        <v>100.17009</v>
      </c>
      <c r="T243" s="152">
        <v>0.16200000000000001</v>
      </c>
      <c r="U243" s="152">
        <v>0.41814699999999999</v>
      </c>
      <c r="V243" s="152">
        <v>0.382052</v>
      </c>
      <c r="W243" s="152">
        <v>1000</v>
      </c>
      <c r="X243" s="152" t="s">
        <v>23</v>
      </c>
      <c r="Y243" s="152" t="s">
        <v>1328</v>
      </c>
      <c r="Z243" s="152" t="s">
        <v>1327</v>
      </c>
    </row>
    <row r="244" spans="1:26" x14ac:dyDescent="0.2">
      <c r="A244" s="152" t="s">
        <v>1509</v>
      </c>
      <c r="B244" s="152">
        <v>1.67</v>
      </c>
      <c r="C244" s="151">
        <v>43688</v>
      </c>
      <c r="D244" s="152">
        <v>0.79452100000000003</v>
      </c>
      <c r="E244" s="152" t="s">
        <v>1325</v>
      </c>
      <c r="F244" s="152" t="s">
        <v>1326</v>
      </c>
      <c r="G244" s="152"/>
      <c r="H244" s="152"/>
      <c r="I244" s="151" t="s">
        <v>1327</v>
      </c>
      <c r="J244" s="152" t="s">
        <v>1327</v>
      </c>
      <c r="K244" s="151">
        <v>43395</v>
      </c>
      <c r="L244" s="152">
        <v>1.934099</v>
      </c>
      <c r="M244" s="152">
        <v>1.9996579999999999</v>
      </c>
      <c r="N244" s="152">
        <v>1.907651</v>
      </c>
      <c r="O244" s="152">
        <v>1.9067130000000001</v>
      </c>
      <c r="P244" s="152">
        <v>12.378380999999999</v>
      </c>
      <c r="Q244" s="152">
        <v>1.9067130000000001</v>
      </c>
      <c r="R244" s="152" t="s">
        <v>1327</v>
      </c>
      <c r="S244" s="152">
        <v>99.805452000000002</v>
      </c>
      <c r="T244" s="152">
        <v>0.34315099999999998</v>
      </c>
      <c r="U244" s="152">
        <v>0.78698199999999996</v>
      </c>
      <c r="V244" s="152">
        <v>1.0111330000000001</v>
      </c>
      <c r="W244" s="152">
        <v>1000</v>
      </c>
      <c r="X244" s="152" t="s">
        <v>23</v>
      </c>
      <c r="Y244" s="152" t="s">
        <v>1328</v>
      </c>
      <c r="Z244" s="152" t="s">
        <v>1327</v>
      </c>
    </row>
    <row r="245" spans="1:26" x14ac:dyDescent="0.2">
      <c r="A245" s="152" t="s">
        <v>1510</v>
      </c>
      <c r="B245" s="152">
        <v>2.44</v>
      </c>
      <c r="C245" s="151">
        <v>43918</v>
      </c>
      <c r="D245" s="152">
        <v>1.424658</v>
      </c>
      <c r="E245" s="152" t="s">
        <v>1325</v>
      </c>
      <c r="F245" s="152" t="s">
        <v>1326</v>
      </c>
      <c r="G245" s="152"/>
      <c r="H245" s="152"/>
      <c r="I245" s="151">
        <v>43062</v>
      </c>
      <c r="J245" s="152">
        <v>1.69</v>
      </c>
      <c r="K245" s="151">
        <v>43395</v>
      </c>
      <c r="L245" s="152">
        <v>2.1118929999999998</v>
      </c>
      <c r="M245" s="152">
        <v>2.1896360000000001</v>
      </c>
      <c r="N245" s="152">
        <v>2.0831840000000001</v>
      </c>
      <c r="O245" s="152">
        <v>2.0500940000000001</v>
      </c>
      <c r="P245" s="152">
        <v>14.861238</v>
      </c>
      <c r="Q245" s="152">
        <v>2.0500940000000001</v>
      </c>
      <c r="R245" s="152" t="s">
        <v>1327</v>
      </c>
      <c r="S245" s="152">
        <v>100.552879</v>
      </c>
      <c r="T245" s="152">
        <v>0.18049299999999999</v>
      </c>
      <c r="U245" s="152">
        <v>1.3897219999999999</v>
      </c>
      <c r="V245" s="152">
        <v>2.6335000000000002</v>
      </c>
      <c r="W245" s="152">
        <v>1000</v>
      </c>
      <c r="X245" s="152" t="s">
        <v>23</v>
      </c>
      <c r="Y245" s="152" t="s">
        <v>1328</v>
      </c>
      <c r="Z245" s="152" t="s">
        <v>1327</v>
      </c>
    </row>
    <row r="246" spans="1:26" x14ac:dyDescent="0.2">
      <c r="A246" s="152" t="s">
        <v>1511</v>
      </c>
      <c r="B246" s="152">
        <v>1.83</v>
      </c>
      <c r="C246" s="151">
        <v>44265</v>
      </c>
      <c r="D246" s="152">
        <v>2.3753419999999998</v>
      </c>
      <c r="E246" s="152" t="s">
        <v>1325</v>
      </c>
      <c r="F246" s="152" t="s">
        <v>1326</v>
      </c>
      <c r="G246" s="152"/>
      <c r="H246" s="152"/>
      <c r="I246" s="151">
        <v>42461</v>
      </c>
      <c r="J246" s="152">
        <v>1.68</v>
      </c>
      <c r="K246" s="151">
        <v>43395</v>
      </c>
      <c r="L246" s="152">
        <v>2.3170600000000001</v>
      </c>
      <c r="M246" s="152">
        <v>2.411915</v>
      </c>
      <c r="N246" s="152">
        <v>2.2912029999999999</v>
      </c>
      <c r="O246" s="152">
        <v>2.2251829999999999</v>
      </c>
      <c r="P246" s="152">
        <v>17.590392000000001</v>
      </c>
      <c r="Q246" s="152">
        <v>2.2251829999999999</v>
      </c>
      <c r="R246" s="152" t="s">
        <v>1327</v>
      </c>
      <c r="S246" s="152">
        <v>99.098180999999997</v>
      </c>
      <c r="T246" s="152">
        <v>0.22561600000000001</v>
      </c>
      <c r="U246" s="152">
        <v>2.3018100000000001</v>
      </c>
      <c r="V246" s="152">
        <v>6.5011070000000002</v>
      </c>
      <c r="W246" s="152">
        <v>1000</v>
      </c>
      <c r="X246" s="152" t="s">
        <v>23</v>
      </c>
      <c r="Y246" s="152" t="s">
        <v>1328</v>
      </c>
      <c r="Z246" s="152" t="s">
        <v>1327</v>
      </c>
    </row>
    <row r="247" spans="1:26" x14ac:dyDescent="0.2">
      <c r="A247" s="152" t="s">
        <v>1512</v>
      </c>
      <c r="B247" s="152">
        <v>1.71</v>
      </c>
      <c r="C247" s="151">
        <v>44662</v>
      </c>
      <c r="D247" s="152">
        <v>3.4630139999999998</v>
      </c>
      <c r="E247" s="152" t="s">
        <v>1325</v>
      </c>
      <c r="F247" s="152" t="s">
        <v>1326</v>
      </c>
      <c r="G247" s="152"/>
      <c r="H247" s="152"/>
      <c r="I247" s="151" t="s">
        <v>1327</v>
      </c>
      <c r="J247" s="152" t="s">
        <v>1327</v>
      </c>
      <c r="K247" s="151">
        <v>43395</v>
      </c>
      <c r="L247" s="152">
        <v>2.5728200000000001</v>
      </c>
      <c r="M247" s="152">
        <v>2.6816309999999999</v>
      </c>
      <c r="N247" s="152">
        <v>2.5469460000000002</v>
      </c>
      <c r="O247" s="152">
        <v>2.4521630000000001</v>
      </c>
      <c r="P247" s="152">
        <v>19.894843000000002</v>
      </c>
      <c r="Q247" s="152">
        <v>2.4521630000000001</v>
      </c>
      <c r="R247" s="152" t="s">
        <v>1327</v>
      </c>
      <c r="S247" s="152">
        <v>97.554159999999996</v>
      </c>
      <c r="T247" s="152">
        <v>6.5588999999999995E-2</v>
      </c>
      <c r="U247" s="152">
        <v>3.330317</v>
      </c>
      <c r="V247" s="152">
        <v>12.917875</v>
      </c>
      <c r="W247" s="152">
        <v>1000</v>
      </c>
      <c r="X247" s="152" t="s">
        <v>23</v>
      </c>
      <c r="Y247" s="152" t="s">
        <v>1328</v>
      </c>
      <c r="Z247" s="152" t="s">
        <v>1327</v>
      </c>
    </row>
    <row r="248" spans="1:26" x14ac:dyDescent="0.2">
      <c r="A248" s="152" t="s">
        <v>1513</v>
      </c>
      <c r="B248" s="152">
        <v>1.92</v>
      </c>
      <c r="C248" s="151">
        <v>44801</v>
      </c>
      <c r="D248" s="152">
        <v>3.843836</v>
      </c>
      <c r="E248" s="152" t="s">
        <v>1325</v>
      </c>
      <c r="F248" s="152" t="s">
        <v>1326</v>
      </c>
      <c r="G248" s="152"/>
      <c r="H248" s="152"/>
      <c r="I248" s="151">
        <v>43150</v>
      </c>
      <c r="J248" s="152">
        <v>1.8725000000000001</v>
      </c>
      <c r="K248" s="151">
        <v>43395</v>
      </c>
      <c r="L248" s="152">
        <v>2.6687539999999998</v>
      </c>
      <c r="M248" s="152">
        <v>2.7798500000000002</v>
      </c>
      <c r="N248" s="152">
        <v>2.641356</v>
      </c>
      <c r="O248" s="152">
        <v>2.5350139999999999</v>
      </c>
      <c r="P248" s="152">
        <v>20.570374999999999</v>
      </c>
      <c r="Q248" s="152">
        <v>2.5350139999999999</v>
      </c>
      <c r="R248" s="152" t="s">
        <v>1327</v>
      </c>
      <c r="S248" s="152">
        <v>97.751052000000001</v>
      </c>
      <c r="T248" s="152">
        <v>0.30509599999999998</v>
      </c>
      <c r="U248" s="152">
        <v>3.666207</v>
      </c>
      <c r="V248" s="152">
        <v>15.559614</v>
      </c>
      <c r="W248" s="152">
        <v>1000</v>
      </c>
      <c r="X248" s="152" t="s">
        <v>23</v>
      </c>
      <c r="Y248" s="152" t="s">
        <v>1328</v>
      </c>
      <c r="Z248" s="152" t="s">
        <v>1327</v>
      </c>
    </row>
    <row r="249" spans="1:26" x14ac:dyDescent="0.2">
      <c r="A249" s="152" t="s">
        <v>1514</v>
      </c>
      <c r="B249" s="152">
        <v>2.11</v>
      </c>
      <c r="C249" s="151">
        <v>45076</v>
      </c>
      <c r="D249" s="152">
        <v>4.5972600000000003</v>
      </c>
      <c r="E249" s="152" t="s">
        <v>1325</v>
      </c>
      <c r="F249" s="152" t="s">
        <v>1326</v>
      </c>
      <c r="G249" s="152"/>
      <c r="H249" s="152"/>
      <c r="I249" s="151" t="s">
        <v>1327</v>
      </c>
      <c r="J249" s="152" t="s">
        <v>1327</v>
      </c>
      <c r="K249" s="151">
        <v>43395</v>
      </c>
      <c r="L249" s="152">
        <v>2.7693970000000001</v>
      </c>
      <c r="M249" s="152">
        <v>2.885014</v>
      </c>
      <c r="N249" s="152">
        <v>2.7389860000000001</v>
      </c>
      <c r="O249" s="152">
        <v>2.6195539999999999</v>
      </c>
      <c r="P249" s="152">
        <v>21.763081</v>
      </c>
      <c r="Q249" s="152">
        <v>2.6195539999999999</v>
      </c>
      <c r="R249" s="152" t="s">
        <v>1327</v>
      </c>
      <c r="S249" s="152">
        <v>97.796119000000004</v>
      </c>
      <c r="T249" s="152">
        <v>0.85556200000000004</v>
      </c>
      <c r="U249" s="152">
        <v>4.310263</v>
      </c>
      <c r="V249" s="152">
        <v>21.375883000000002</v>
      </c>
      <c r="W249" s="152">
        <v>1000</v>
      </c>
      <c r="X249" s="152" t="s">
        <v>23</v>
      </c>
      <c r="Y249" s="152" t="s">
        <v>1328</v>
      </c>
      <c r="Z249" s="152" t="s">
        <v>1327</v>
      </c>
    </row>
    <row r="250" spans="1:26" x14ac:dyDescent="0.2">
      <c r="A250" s="152" t="s">
        <v>1515</v>
      </c>
      <c r="B250" s="152">
        <v>2.52</v>
      </c>
      <c r="C250" s="151">
        <v>45158</v>
      </c>
      <c r="D250" s="152">
        <v>4.8219180000000001</v>
      </c>
      <c r="E250" s="152" t="s">
        <v>1325</v>
      </c>
      <c r="F250" s="152" t="s">
        <v>1326</v>
      </c>
      <c r="G250" s="152"/>
      <c r="H250" s="152"/>
      <c r="I250" s="151" t="s">
        <v>1327</v>
      </c>
      <c r="J250" s="152" t="s">
        <v>1327</v>
      </c>
      <c r="K250" s="151">
        <v>43395</v>
      </c>
      <c r="L250" s="152">
        <v>2.8036660000000002</v>
      </c>
      <c r="M250" s="152">
        <v>2.9206300000000001</v>
      </c>
      <c r="N250" s="152">
        <v>2.7723559999999998</v>
      </c>
      <c r="O250" s="152">
        <v>2.6424979999999998</v>
      </c>
      <c r="P250" s="152">
        <v>22.087738999999999</v>
      </c>
      <c r="Q250" s="152">
        <v>2.6424979999999998</v>
      </c>
      <c r="R250" s="152" t="s">
        <v>1327</v>
      </c>
      <c r="S250" s="152">
        <v>99.436423000000005</v>
      </c>
      <c r="T250" s="152">
        <v>0.45567099999999999</v>
      </c>
      <c r="U250" s="152">
        <v>4.4920939999999998</v>
      </c>
      <c r="V250" s="152">
        <v>23.170635999999998</v>
      </c>
      <c r="W250" s="152">
        <v>1000</v>
      </c>
      <c r="X250" s="152" t="s">
        <v>23</v>
      </c>
      <c r="Y250" s="152" t="s">
        <v>1328</v>
      </c>
      <c r="Z250" s="152" t="s">
        <v>1327</v>
      </c>
    </row>
    <row r="251" spans="1:26" x14ac:dyDescent="0.2">
      <c r="A251" s="152" t="s">
        <v>1516</v>
      </c>
      <c r="B251" s="152">
        <v>7.827</v>
      </c>
      <c r="C251" s="151">
        <v>44023</v>
      </c>
      <c r="D251" s="152">
        <v>1.712329</v>
      </c>
      <c r="E251" s="152" t="s">
        <v>1325</v>
      </c>
      <c r="F251" s="152" t="s">
        <v>1326</v>
      </c>
      <c r="G251" s="152"/>
      <c r="H251" s="152"/>
      <c r="I251" s="151">
        <v>36718</v>
      </c>
      <c r="J251" s="152">
        <v>7.8638519999999996</v>
      </c>
      <c r="K251" s="151">
        <v>43395</v>
      </c>
      <c r="L251" s="152">
        <v>2.1955230000000001</v>
      </c>
      <c r="M251" s="152">
        <v>2.2762929999999999</v>
      </c>
      <c r="N251" s="152">
        <v>2.1655259999999998</v>
      </c>
      <c r="O251" s="152">
        <v>2.0461719999999999</v>
      </c>
      <c r="P251" s="152">
        <v>8.2319130000000005</v>
      </c>
      <c r="Q251" s="152">
        <v>2.0461719999999999</v>
      </c>
      <c r="R251" s="152" t="s">
        <v>1327</v>
      </c>
      <c r="S251" s="152">
        <v>109.649276</v>
      </c>
      <c r="T251" s="152">
        <v>2.273047</v>
      </c>
      <c r="U251" s="152">
        <v>1.5936539999999999</v>
      </c>
      <c r="V251" s="152">
        <v>3.4368240000000001</v>
      </c>
      <c r="W251" s="152">
        <v>1000</v>
      </c>
      <c r="X251" s="152" t="s">
        <v>23</v>
      </c>
      <c r="Y251" s="152" t="s">
        <v>1328</v>
      </c>
      <c r="Z251" s="152" t="s">
        <v>1327</v>
      </c>
    </row>
    <row r="252" spans="1:26" x14ac:dyDescent="0.2">
      <c r="A252" s="152" t="s">
        <v>1517</v>
      </c>
      <c r="B252" s="152">
        <v>3.73</v>
      </c>
      <c r="C252" s="151">
        <v>43583</v>
      </c>
      <c r="D252" s="152">
        <v>0.50684899999999999</v>
      </c>
      <c r="E252" s="152" t="s">
        <v>1325</v>
      </c>
      <c r="F252" s="152" t="s">
        <v>1326</v>
      </c>
      <c r="G252" s="152"/>
      <c r="H252" s="152"/>
      <c r="I252" s="151" t="s">
        <v>1327</v>
      </c>
      <c r="J252" s="152" t="s">
        <v>1327</v>
      </c>
      <c r="K252" s="151">
        <v>43395</v>
      </c>
      <c r="L252" s="152">
        <v>1.8658459999999999</v>
      </c>
      <c r="M252" s="152">
        <v>1.921978</v>
      </c>
      <c r="N252" s="152">
        <v>1.841467</v>
      </c>
      <c r="O252" s="152">
        <v>1.800613</v>
      </c>
      <c r="P252" s="152">
        <v>6.4426730000000001</v>
      </c>
      <c r="Q252" s="152">
        <v>1.800613</v>
      </c>
      <c r="R252" s="152" t="s">
        <v>1327</v>
      </c>
      <c r="S252" s="152">
        <v>100.97187099999999</v>
      </c>
      <c r="T252" s="152">
        <v>-3.0658000000000001E-2</v>
      </c>
      <c r="U252" s="152">
        <v>0.50368400000000002</v>
      </c>
      <c r="V252" s="152">
        <v>0.50329299999999999</v>
      </c>
      <c r="W252" s="152">
        <v>1000</v>
      </c>
      <c r="X252" s="152" t="s">
        <v>23</v>
      </c>
      <c r="Y252" s="152" t="s">
        <v>1328</v>
      </c>
      <c r="Z252" s="152" t="s">
        <v>1327</v>
      </c>
    </row>
    <row r="253" spans="1:26" x14ac:dyDescent="0.2">
      <c r="A253" s="152" t="s">
        <v>1518</v>
      </c>
      <c r="B253" s="152">
        <v>3.9950000000000001</v>
      </c>
      <c r="C253" s="151">
        <v>43613</v>
      </c>
      <c r="D253" s="152">
        <v>0.58904100000000004</v>
      </c>
      <c r="E253" s="152" t="s">
        <v>1325</v>
      </c>
      <c r="F253" s="152" t="s">
        <v>1326</v>
      </c>
      <c r="G253" s="152"/>
      <c r="H253" s="152"/>
      <c r="I253" s="152">
        <v>39954</v>
      </c>
      <c r="J253" s="152">
        <v>3.9950000000000001</v>
      </c>
      <c r="K253" s="151">
        <v>43395</v>
      </c>
      <c r="L253" s="152">
        <v>1.8861250000000001</v>
      </c>
      <c r="M253" s="152">
        <v>1.944172</v>
      </c>
      <c r="N253" s="152">
        <v>1.8603769999999999</v>
      </c>
      <c r="O253" s="152">
        <v>1.821663</v>
      </c>
      <c r="P253" s="152">
        <v>6.8808290000000003</v>
      </c>
      <c r="Q253" s="152">
        <v>1.821663</v>
      </c>
      <c r="R253" s="152" t="s">
        <v>1327</v>
      </c>
      <c r="S253" s="152">
        <v>101.258612</v>
      </c>
      <c r="T253" s="152">
        <v>1.6417809999999999</v>
      </c>
      <c r="U253" s="152">
        <v>0.57819500000000001</v>
      </c>
      <c r="V253" s="152">
        <v>0.62546299999999999</v>
      </c>
      <c r="W253" s="152">
        <v>1000</v>
      </c>
      <c r="X253" s="152" t="s">
        <v>23</v>
      </c>
      <c r="Y253" s="152" t="s">
        <v>1328</v>
      </c>
      <c r="Z253" s="152" t="s">
        <v>1327</v>
      </c>
    </row>
    <row r="254" spans="1:26" x14ac:dyDescent="0.2">
      <c r="A254" s="152" t="s">
        <v>1519</v>
      </c>
      <c r="B254" s="152">
        <v>3.76</v>
      </c>
      <c r="C254" s="151">
        <v>43644</v>
      </c>
      <c r="D254" s="152">
        <v>0.67397300000000004</v>
      </c>
      <c r="E254" s="152" t="s">
        <v>1325</v>
      </c>
      <c r="F254" s="152" t="s">
        <v>1326</v>
      </c>
      <c r="G254" s="152"/>
      <c r="H254" s="152"/>
      <c r="I254" s="151" t="s">
        <v>1327</v>
      </c>
      <c r="J254" s="152" t="s">
        <v>1327</v>
      </c>
      <c r="K254" s="151">
        <v>43395</v>
      </c>
      <c r="L254" s="152">
        <v>1.907079</v>
      </c>
      <c r="M254" s="152">
        <v>1.9671069999999999</v>
      </c>
      <c r="N254" s="152">
        <v>1.8799170000000001</v>
      </c>
      <c r="O254" s="152">
        <v>1.8507670000000001</v>
      </c>
      <c r="P254" s="152">
        <v>7.310397</v>
      </c>
      <c r="Q254" s="152">
        <v>1.8507670000000001</v>
      </c>
      <c r="R254" s="152" t="s">
        <v>1327</v>
      </c>
      <c r="S254" s="152">
        <v>101.268383</v>
      </c>
      <c r="T254" s="152">
        <v>1.2258629999999999</v>
      </c>
      <c r="U254" s="152">
        <v>0.66009200000000001</v>
      </c>
      <c r="V254" s="152">
        <v>0.76714700000000002</v>
      </c>
      <c r="W254" s="152">
        <v>1000</v>
      </c>
      <c r="X254" s="152" t="s">
        <v>23</v>
      </c>
      <c r="Y254" s="152" t="s">
        <v>1328</v>
      </c>
      <c r="Z254" s="152" t="s">
        <v>1327</v>
      </c>
    </row>
    <row r="255" spans="1:26" x14ac:dyDescent="0.2">
      <c r="A255" s="152" t="s">
        <v>1520</v>
      </c>
      <c r="B255" s="152">
        <v>4.67</v>
      </c>
      <c r="C255" s="151">
        <v>43774</v>
      </c>
      <c r="D255" s="152">
        <v>1.0301370000000001</v>
      </c>
      <c r="E255" s="152" t="s">
        <v>1325</v>
      </c>
      <c r="F255" s="152" t="s">
        <v>1326</v>
      </c>
      <c r="G255" s="152"/>
      <c r="H255" s="152"/>
      <c r="I255" s="151" t="s">
        <v>1327</v>
      </c>
      <c r="J255" s="152" t="s">
        <v>1327</v>
      </c>
      <c r="K255" s="151">
        <v>43395</v>
      </c>
      <c r="L255" s="152">
        <v>1.9980199999999999</v>
      </c>
      <c r="M255" s="152">
        <v>2.064924</v>
      </c>
      <c r="N255" s="152">
        <v>1.9643889999999999</v>
      </c>
      <c r="O255" s="152">
        <v>1.8968529999999999</v>
      </c>
      <c r="P255" s="152">
        <v>8.9018519999999999</v>
      </c>
      <c r="Q255" s="152">
        <v>1.8968529999999999</v>
      </c>
      <c r="R255" s="152" t="s">
        <v>1327</v>
      </c>
      <c r="S255" s="152">
        <v>102.795973</v>
      </c>
      <c r="T255" s="152">
        <v>2.2134520000000002</v>
      </c>
      <c r="U255" s="152">
        <v>0.98753999999999997</v>
      </c>
      <c r="V255" s="152">
        <v>1.490491</v>
      </c>
      <c r="W255" s="152">
        <v>1000</v>
      </c>
      <c r="X255" s="152" t="s">
        <v>23</v>
      </c>
      <c r="Y255" s="152" t="s">
        <v>1328</v>
      </c>
      <c r="Z255" s="152" t="s">
        <v>1327</v>
      </c>
    </row>
    <row r="256" spans="1:26" x14ac:dyDescent="0.2">
      <c r="A256" s="152" t="s">
        <v>1521</v>
      </c>
      <c r="B256" s="152">
        <v>3.49</v>
      </c>
      <c r="C256" s="151">
        <v>44069</v>
      </c>
      <c r="D256" s="152">
        <v>1.8383560000000001</v>
      </c>
      <c r="E256" s="152" t="s">
        <v>1325</v>
      </c>
      <c r="F256" s="152" t="s">
        <v>1326</v>
      </c>
      <c r="G256" s="152"/>
      <c r="H256" s="152"/>
      <c r="I256" s="152" t="s">
        <v>1327</v>
      </c>
      <c r="J256" s="152" t="s">
        <v>1327</v>
      </c>
      <c r="K256" s="151">
        <v>43395</v>
      </c>
      <c r="L256" s="152">
        <v>2.2487059999999999</v>
      </c>
      <c r="M256" s="152">
        <v>2.3020719999999999</v>
      </c>
      <c r="N256" s="152">
        <v>2.1894149999999999</v>
      </c>
      <c r="O256" s="152">
        <v>2.107815</v>
      </c>
      <c r="P256" s="152">
        <v>11.666607000000001</v>
      </c>
      <c r="Q256" s="152">
        <v>2.107815</v>
      </c>
      <c r="R256" s="152" t="s">
        <v>1327</v>
      </c>
      <c r="S256" s="152">
        <v>102.465034</v>
      </c>
      <c r="T256" s="152">
        <v>0.57369899999999996</v>
      </c>
      <c r="U256" s="152">
        <v>1.770966</v>
      </c>
      <c r="V256" s="152">
        <v>4.0674859999999997</v>
      </c>
      <c r="W256" s="152">
        <v>1000</v>
      </c>
      <c r="X256" s="152" t="s">
        <v>23</v>
      </c>
      <c r="Y256" s="152" t="s">
        <v>1328</v>
      </c>
      <c r="Z256" s="152" t="s">
        <v>1327</v>
      </c>
    </row>
    <row r="257" spans="1:26" x14ac:dyDescent="0.2">
      <c r="A257" s="152" t="s">
        <v>1522</v>
      </c>
      <c r="B257" s="152">
        <v>3.98</v>
      </c>
      <c r="C257" s="151">
        <v>44248</v>
      </c>
      <c r="D257" s="152">
        <v>2.328767</v>
      </c>
      <c r="E257" s="152" t="s">
        <v>1325</v>
      </c>
      <c r="F257" s="152" t="s">
        <v>1326</v>
      </c>
      <c r="G257" s="152"/>
      <c r="H257" s="152"/>
      <c r="I257" s="151">
        <v>40584</v>
      </c>
      <c r="J257" s="152">
        <v>3.9819800000000001</v>
      </c>
      <c r="K257" s="151">
        <v>43395</v>
      </c>
      <c r="L257" s="152">
        <v>2.3572359999999999</v>
      </c>
      <c r="M257" s="152">
        <v>2.4023880000000002</v>
      </c>
      <c r="N257" s="152">
        <v>2.2823739999999999</v>
      </c>
      <c r="O257" s="152">
        <v>2.1731539999999998</v>
      </c>
      <c r="P257" s="152">
        <v>12.981467</v>
      </c>
      <c r="Q257" s="152">
        <v>2.1731539999999998</v>
      </c>
      <c r="R257" s="152" t="s">
        <v>1327</v>
      </c>
      <c r="S257" s="152">
        <v>104.05797</v>
      </c>
      <c r="T257" s="152">
        <v>0.70876700000000004</v>
      </c>
      <c r="U257" s="152">
        <v>2.2087300000000001</v>
      </c>
      <c r="V257" s="152">
        <v>6.0999109999999996</v>
      </c>
      <c r="W257" s="152">
        <v>1000</v>
      </c>
      <c r="X257" s="152" t="s">
        <v>23</v>
      </c>
      <c r="Y257" s="152" t="s">
        <v>1328</v>
      </c>
      <c r="Z257" s="152" t="s">
        <v>1327</v>
      </c>
    </row>
    <row r="258" spans="1:26" x14ac:dyDescent="0.2">
      <c r="A258" s="152" t="s">
        <v>1523</v>
      </c>
      <c r="B258" s="152">
        <v>3.75</v>
      </c>
      <c r="C258" s="151">
        <v>44500</v>
      </c>
      <c r="D258" s="152">
        <v>3.0191780000000001</v>
      </c>
      <c r="E258" s="152" t="s">
        <v>1325</v>
      </c>
      <c r="F258" s="152" t="s">
        <v>1326</v>
      </c>
      <c r="G258" s="152"/>
      <c r="H258" s="152"/>
      <c r="I258" s="152">
        <v>41953</v>
      </c>
      <c r="J258" s="152">
        <v>3.13</v>
      </c>
      <c r="K258" s="151">
        <v>43395</v>
      </c>
      <c r="L258" s="152">
        <v>2.5084</v>
      </c>
      <c r="M258" s="152">
        <v>2.5429979999999999</v>
      </c>
      <c r="N258" s="152">
        <v>2.412998</v>
      </c>
      <c r="O258" s="152">
        <v>2.265914</v>
      </c>
      <c r="P258" s="152">
        <v>14.536389</v>
      </c>
      <c r="Q258" s="152">
        <v>2.265914</v>
      </c>
      <c r="R258" s="152" t="s">
        <v>1327</v>
      </c>
      <c r="S258" s="152">
        <v>104.303938</v>
      </c>
      <c r="T258" s="152">
        <v>-6.1643999999999997E-2</v>
      </c>
      <c r="U258" s="152">
        <v>2.8527520000000002</v>
      </c>
      <c r="V258" s="152">
        <v>9.7683090000000004</v>
      </c>
      <c r="W258" s="152">
        <v>1000</v>
      </c>
      <c r="X258" s="152" t="s">
        <v>23</v>
      </c>
      <c r="Y258" s="152" t="s">
        <v>1328</v>
      </c>
      <c r="Z258" s="152" t="s">
        <v>1327</v>
      </c>
    </row>
    <row r="259" spans="1:26" x14ac:dyDescent="0.2">
      <c r="A259" s="152" t="s">
        <v>1524</v>
      </c>
      <c r="B259" s="152">
        <v>2.94</v>
      </c>
      <c r="C259" s="151">
        <v>45074</v>
      </c>
      <c r="D259" s="152">
        <v>4.5917810000000001</v>
      </c>
      <c r="E259" s="152" t="s">
        <v>1325</v>
      </c>
      <c r="F259" s="152" t="s">
        <v>1326</v>
      </c>
      <c r="G259" s="152"/>
      <c r="H259" s="152"/>
      <c r="I259" s="151" t="s">
        <v>1327</v>
      </c>
      <c r="J259" s="152" t="s">
        <v>1327</v>
      </c>
      <c r="K259" s="151">
        <v>43395</v>
      </c>
      <c r="L259" s="152">
        <v>2.811563</v>
      </c>
      <c r="M259" s="152">
        <v>2.884296</v>
      </c>
      <c r="N259" s="152">
        <v>2.7542960000000001</v>
      </c>
      <c r="O259" s="152">
        <v>2.5702150000000001</v>
      </c>
      <c r="P259" s="152">
        <v>17.260707</v>
      </c>
      <c r="Q259" s="152">
        <v>2.5702150000000001</v>
      </c>
      <c r="R259" s="152" t="s">
        <v>1327</v>
      </c>
      <c r="S259" s="152">
        <v>101.57892699999999</v>
      </c>
      <c r="T259" s="152">
        <v>1.2082189999999999</v>
      </c>
      <c r="U259" s="152">
        <v>4.2284179999999996</v>
      </c>
      <c r="V259" s="152">
        <v>20.840482000000002</v>
      </c>
      <c r="W259" s="152">
        <v>1000</v>
      </c>
      <c r="X259" s="152" t="s">
        <v>23</v>
      </c>
      <c r="Y259" s="152" t="s">
        <v>1328</v>
      </c>
      <c r="Z259" s="152" t="s">
        <v>1327</v>
      </c>
    </row>
    <row r="260" spans="1:26" x14ac:dyDescent="0.2">
      <c r="A260" s="152" t="s">
        <v>1525</v>
      </c>
      <c r="B260" s="152">
        <v>2.8879999999999999</v>
      </c>
      <c r="C260" s="151">
        <v>45193</v>
      </c>
      <c r="D260" s="152">
        <v>4.917808</v>
      </c>
      <c r="E260" s="152" t="s">
        <v>1325</v>
      </c>
      <c r="F260" s="152" t="s">
        <v>1326</v>
      </c>
      <c r="G260" s="152"/>
      <c r="H260" s="152"/>
      <c r="I260" s="152">
        <v>42289</v>
      </c>
      <c r="J260" s="152">
        <v>2.75</v>
      </c>
      <c r="K260" s="151">
        <v>43395</v>
      </c>
      <c r="L260" s="152">
        <v>2.8559380000000001</v>
      </c>
      <c r="M260" s="152">
        <v>2.9365779999999999</v>
      </c>
      <c r="N260" s="152">
        <v>2.806578</v>
      </c>
      <c r="O260" s="152">
        <v>2.6098629999999998</v>
      </c>
      <c r="P260" s="152">
        <v>17.728221000000001</v>
      </c>
      <c r="Q260" s="152">
        <v>2.6098629999999998</v>
      </c>
      <c r="R260" s="152" t="s">
        <v>1327</v>
      </c>
      <c r="S260" s="152">
        <v>101.284733</v>
      </c>
      <c r="T260" s="152">
        <v>0.245282</v>
      </c>
      <c r="U260" s="152">
        <v>4.5456630000000002</v>
      </c>
      <c r="V260" s="152">
        <v>23.768882999999999</v>
      </c>
      <c r="W260" s="152">
        <v>1000</v>
      </c>
      <c r="X260" s="152" t="s">
        <v>23</v>
      </c>
      <c r="Y260" s="152" t="s">
        <v>1328</v>
      </c>
      <c r="Z260" s="152" t="s">
        <v>1327</v>
      </c>
    </row>
    <row r="261" spans="1:26" x14ac:dyDescent="0.2">
      <c r="A261" s="152" t="s">
        <v>1526</v>
      </c>
      <c r="B261" s="152">
        <v>2.19</v>
      </c>
      <c r="C261" s="151">
        <v>45534</v>
      </c>
      <c r="D261" s="152">
        <v>5.852055</v>
      </c>
      <c r="E261" s="152" t="s">
        <v>1325</v>
      </c>
      <c r="F261" s="152" t="s">
        <v>1326</v>
      </c>
      <c r="G261" s="152"/>
      <c r="H261" s="152"/>
      <c r="I261" s="151">
        <v>43067</v>
      </c>
      <c r="J261" s="152">
        <v>2.4</v>
      </c>
      <c r="K261" s="151">
        <v>43395</v>
      </c>
      <c r="L261" s="152">
        <v>2.9696609999999999</v>
      </c>
      <c r="M261" s="152">
        <v>3.0750579999999998</v>
      </c>
      <c r="N261" s="152">
        <v>2.9210470000000002</v>
      </c>
      <c r="O261" s="152">
        <v>2.7178149999999999</v>
      </c>
      <c r="P261" s="152">
        <v>18.937525999999998</v>
      </c>
      <c r="Q261" s="152">
        <v>2.7178149999999999</v>
      </c>
      <c r="R261" s="152" t="s">
        <v>1327</v>
      </c>
      <c r="S261" s="152">
        <v>97.166549000000003</v>
      </c>
      <c r="T261" s="152">
        <v>0.33600000000000002</v>
      </c>
      <c r="U261" s="152">
        <v>5.4203049999999999</v>
      </c>
      <c r="V261" s="152">
        <v>33.260496000000003</v>
      </c>
      <c r="W261" s="152">
        <v>1000</v>
      </c>
      <c r="X261" s="152" t="s">
        <v>23</v>
      </c>
      <c r="Y261" s="152" t="s">
        <v>1328</v>
      </c>
      <c r="Z261" s="152" t="s">
        <v>1327</v>
      </c>
    </row>
    <row r="262" spans="1:26" x14ac:dyDescent="0.2">
      <c r="A262" s="152" t="s">
        <v>1527</v>
      </c>
      <c r="B262" s="152">
        <v>3.4940000000000002</v>
      </c>
      <c r="C262" s="151">
        <v>45581</v>
      </c>
      <c r="D262" s="152">
        <v>5.9808219999999999</v>
      </c>
      <c r="E262" s="152" t="s">
        <v>1325</v>
      </c>
      <c r="F262" s="152" t="s">
        <v>1326</v>
      </c>
      <c r="G262" s="152"/>
      <c r="H262" s="152"/>
      <c r="I262" s="152">
        <v>42174</v>
      </c>
      <c r="J262" s="152">
        <v>3.4018999999999999</v>
      </c>
      <c r="K262" s="151">
        <v>43395</v>
      </c>
      <c r="L262" s="152">
        <v>2.984823</v>
      </c>
      <c r="M262" s="152">
        <v>3.093658</v>
      </c>
      <c r="N262" s="152">
        <v>2.9360409999999999</v>
      </c>
      <c r="O262" s="152">
        <v>2.72587</v>
      </c>
      <c r="P262" s="152">
        <v>19.091125000000002</v>
      </c>
      <c r="Q262" s="152">
        <v>2.72587</v>
      </c>
      <c r="R262" s="152" t="s">
        <v>1327</v>
      </c>
      <c r="S262" s="152">
        <v>104.212501</v>
      </c>
      <c r="T262" s="152">
        <v>8.6152999999999993E-2</v>
      </c>
      <c r="U262" s="152">
        <v>5.3786969999999998</v>
      </c>
      <c r="V262" s="152">
        <v>33.290402</v>
      </c>
      <c r="W262" s="152">
        <v>1000</v>
      </c>
      <c r="X262" s="152" t="s">
        <v>23</v>
      </c>
      <c r="Y262" s="152" t="s">
        <v>1328</v>
      </c>
      <c r="Z262" s="152" t="s">
        <v>1327</v>
      </c>
    </row>
    <row r="263" spans="1:26" x14ac:dyDescent="0.2">
      <c r="A263" s="152" t="s">
        <v>1528</v>
      </c>
      <c r="B263" s="152">
        <v>4.0890000000000004</v>
      </c>
      <c r="C263" s="151">
        <v>46112</v>
      </c>
      <c r="D263" s="152">
        <v>7.4356159999999996</v>
      </c>
      <c r="E263" s="152" t="s">
        <v>1325</v>
      </c>
      <c r="F263" s="152" t="s">
        <v>1326</v>
      </c>
      <c r="G263" s="152"/>
      <c r="H263" s="152"/>
      <c r="I263" s="152">
        <v>40627</v>
      </c>
      <c r="J263" s="152">
        <v>4.0885020000000001</v>
      </c>
      <c r="K263" s="151">
        <v>43395</v>
      </c>
      <c r="L263" s="152">
        <v>3.1598060000000001</v>
      </c>
      <c r="M263" s="152">
        <v>3.307483</v>
      </c>
      <c r="N263" s="152">
        <v>3.1091319999999998</v>
      </c>
      <c r="O263" s="152">
        <v>2.886622</v>
      </c>
      <c r="P263" s="152">
        <v>20.652818</v>
      </c>
      <c r="Q263" s="152">
        <v>2.886622</v>
      </c>
      <c r="R263" s="152" t="s">
        <v>1327</v>
      </c>
      <c r="S263" s="152">
        <v>107.99301699999999</v>
      </c>
      <c r="T263" s="152">
        <v>0.28006799999999998</v>
      </c>
      <c r="U263" s="152">
        <v>6.4162030000000003</v>
      </c>
      <c r="V263" s="152">
        <v>47.905610000000003</v>
      </c>
      <c r="W263" s="152">
        <v>1000</v>
      </c>
      <c r="X263" s="152" t="s">
        <v>23</v>
      </c>
      <c r="Y263" s="152" t="s">
        <v>1328</v>
      </c>
      <c r="Z263" s="152" t="s">
        <v>1327</v>
      </c>
    </row>
    <row r="264" spans="1:26" x14ac:dyDescent="0.2">
      <c r="A264" s="152" t="s">
        <v>1529</v>
      </c>
      <c r="B264" s="152">
        <v>3.97</v>
      </c>
      <c r="C264" s="151">
        <v>46266</v>
      </c>
      <c r="D264" s="152">
        <v>7.8575340000000002</v>
      </c>
      <c r="E264" s="152" t="s">
        <v>1325</v>
      </c>
      <c r="F264" s="152" t="s">
        <v>1326</v>
      </c>
      <c r="G264" s="152"/>
      <c r="H264" s="152"/>
      <c r="I264" s="152">
        <v>43084</v>
      </c>
      <c r="J264" s="152">
        <v>2.65</v>
      </c>
      <c r="K264" s="151">
        <v>43395</v>
      </c>
      <c r="L264" s="152">
        <v>3.2147389999999998</v>
      </c>
      <c r="M264" s="152">
        <v>3.3736809999999999</v>
      </c>
      <c r="N264" s="152">
        <v>3.1635170000000001</v>
      </c>
      <c r="O264" s="152">
        <v>2.923559</v>
      </c>
      <c r="P264" s="152">
        <v>21.055464000000001</v>
      </c>
      <c r="Q264" s="152">
        <v>2.923559</v>
      </c>
      <c r="R264" s="152" t="s">
        <v>1327</v>
      </c>
      <c r="S264" s="152">
        <v>107.304363</v>
      </c>
      <c r="T264" s="152">
        <v>0.58734200000000003</v>
      </c>
      <c r="U264" s="152">
        <v>6.7269670000000001</v>
      </c>
      <c r="V264" s="152">
        <v>52.777591000000001</v>
      </c>
      <c r="W264" s="152">
        <v>1000</v>
      </c>
      <c r="X264" s="152" t="s">
        <v>23</v>
      </c>
      <c r="Y264" s="152" t="s">
        <v>1328</v>
      </c>
      <c r="Z264" s="152" t="s">
        <v>1327</v>
      </c>
    </row>
    <row r="265" spans="1:26" x14ac:dyDescent="0.2">
      <c r="A265" s="152" t="s">
        <v>1530</v>
      </c>
      <c r="B265" s="152">
        <v>4.09</v>
      </c>
      <c r="C265" s="151">
        <v>46650</v>
      </c>
      <c r="D265" s="152">
        <v>8.9095890000000004</v>
      </c>
      <c r="E265" s="152" t="s">
        <v>1325</v>
      </c>
      <c r="F265" s="152" t="s">
        <v>1326</v>
      </c>
      <c r="G265" s="152"/>
      <c r="H265" s="152"/>
      <c r="I265" s="151">
        <v>41171</v>
      </c>
      <c r="J265" s="152">
        <v>4.0914960000000002</v>
      </c>
      <c r="K265" s="151">
        <v>43395</v>
      </c>
      <c r="L265" s="152">
        <v>3.2959239999999999</v>
      </c>
      <c r="M265" s="152">
        <v>3.4829560000000002</v>
      </c>
      <c r="N265" s="152">
        <v>3.2433339999999999</v>
      </c>
      <c r="O265" s="152">
        <v>3.0225409999999999</v>
      </c>
      <c r="P265" s="152">
        <v>21.981399</v>
      </c>
      <c r="Q265" s="152">
        <v>3.0225409999999999</v>
      </c>
      <c r="R265" s="152" t="s">
        <v>1327</v>
      </c>
      <c r="S265" s="152">
        <v>108.28982000000001</v>
      </c>
      <c r="T265" s="152">
        <v>0.39219199999999999</v>
      </c>
      <c r="U265" s="152">
        <v>7.4716810000000002</v>
      </c>
      <c r="V265" s="152">
        <v>65.432304999999999</v>
      </c>
      <c r="W265" s="152">
        <v>1000</v>
      </c>
      <c r="X265" s="152" t="s">
        <v>23</v>
      </c>
      <c r="Y265" s="152" t="s">
        <v>1328</v>
      </c>
      <c r="Z265" s="152" t="s">
        <v>1327</v>
      </c>
    </row>
    <row r="266" spans="1:26" x14ac:dyDescent="0.2">
      <c r="A266" s="152" t="s">
        <v>1531</v>
      </c>
      <c r="B266" s="152">
        <v>4.1150000000000002</v>
      </c>
      <c r="C266" s="151">
        <v>46650</v>
      </c>
      <c r="D266" s="152">
        <v>8.9095890000000004</v>
      </c>
      <c r="E266" s="152" t="s">
        <v>1325</v>
      </c>
      <c r="F266" s="152" t="s">
        <v>1326</v>
      </c>
      <c r="G266" s="152"/>
      <c r="H266" s="152"/>
      <c r="I266" s="151" t="s">
        <v>1327</v>
      </c>
      <c r="J266" s="152" t="s">
        <v>1327</v>
      </c>
      <c r="K266" s="151">
        <v>43395</v>
      </c>
      <c r="L266" s="152">
        <v>3.2959239999999999</v>
      </c>
      <c r="M266" s="152">
        <v>3.4829560000000002</v>
      </c>
      <c r="N266" s="152">
        <v>3.2433339999999999</v>
      </c>
      <c r="O266" s="152">
        <v>3.0222579999999999</v>
      </c>
      <c r="P266" s="152">
        <v>21.981399</v>
      </c>
      <c r="Q266" s="152">
        <v>3.0222579999999999</v>
      </c>
      <c r="R266" s="152" t="s">
        <v>1327</v>
      </c>
      <c r="S266" s="152">
        <v>108.48602099999999</v>
      </c>
      <c r="T266" s="152">
        <v>0.39458900000000002</v>
      </c>
      <c r="U266" s="152">
        <v>7.4661379999999999</v>
      </c>
      <c r="V266" s="152">
        <v>65.364953</v>
      </c>
      <c r="W266" s="152">
        <v>1000</v>
      </c>
      <c r="X266" s="152" t="s">
        <v>23</v>
      </c>
      <c r="Y266" s="152" t="s">
        <v>1328</v>
      </c>
      <c r="Z266" s="152" t="s">
        <v>1327</v>
      </c>
    </row>
    <row r="267" spans="1:26" x14ac:dyDescent="0.2">
      <c r="A267" s="152" t="s">
        <v>1532</v>
      </c>
      <c r="B267" s="152">
        <v>4.18</v>
      </c>
      <c r="C267" s="151">
        <v>46650</v>
      </c>
      <c r="D267" s="152">
        <v>8.9095890000000004</v>
      </c>
      <c r="E267" s="152" t="s">
        <v>1325</v>
      </c>
      <c r="F267" s="152" t="s">
        <v>1326</v>
      </c>
      <c r="G267" s="152"/>
      <c r="H267" s="152"/>
      <c r="I267" s="152" t="s">
        <v>1327</v>
      </c>
      <c r="J267" s="152" t="s">
        <v>1327</v>
      </c>
      <c r="K267" s="151">
        <v>43395</v>
      </c>
      <c r="L267" s="152">
        <v>3.2959239999999999</v>
      </c>
      <c r="M267" s="152">
        <v>3.4829560000000002</v>
      </c>
      <c r="N267" s="152">
        <v>3.2433339999999999</v>
      </c>
      <c r="O267" s="152">
        <v>3.021525</v>
      </c>
      <c r="P267" s="152">
        <v>21.981399</v>
      </c>
      <c r="Q267" s="152">
        <v>3.021525</v>
      </c>
      <c r="R267" s="152" t="s">
        <v>1327</v>
      </c>
      <c r="S267" s="152">
        <v>108.99614200000001</v>
      </c>
      <c r="T267" s="152">
        <v>0.40082200000000001</v>
      </c>
      <c r="U267" s="152">
        <v>7.4518209999999998</v>
      </c>
      <c r="V267" s="152">
        <v>65.190973999999997</v>
      </c>
      <c r="W267" s="152">
        <v>1000</v>
      </c>
      <c r="X267" s="152" t="s">
        <v>23</v>
      </c>
      <c r="Y267" s="152" t="s">
        <v>1328</v>
      </c>
      <c r="Z267" s="152" t="s">
        <v>1327</v>
      </c>
    </row>
    <row r="268" spans="1:26" x14ac:dyDescent="0.2">
      <c r="A268" s="152" t="s">
        <v>1533</v>
      </c>
      <c r="B268" s="152">
        <v>2.95</v>
      </c>
      <c r="C268" s="151">
        <v>46773</v>
      </c>
      <c r="D268" s="152">
        <v>9.246575</v>
      </c>
      <c r="E268" s="152" t="s">
        <v>1325</v>
      </c>
      <c r="F268" s="152" t="s">
        <v>1326</v>
      </c>
      <c r="G268" s="152"/>
      <c r="H268" s="152"/>
      <c r="I268" s="151">
        <v>42517</v>
      </c>
      <c r="J268" s="152">
        <v>2.5449999999999999</v>
      </c>
      <c r="K268" s="151">
        <v>43395</v>
      </c>
      <c r="L268" s="152">
        <v>3.3151579999999998</v>
      </c>
      <c r="M268" s="152">
        <v>3.5111880000000002</v>
      </c>
      <c r="N268" s="152">
        <v>3.2621310000000001</v>
      </c>
      <c r="O268" s="152">
        <v>3.0398480000000001</v>
      </c>
      <c r="P268" s="152">
        <v>22.257283999999999</v>
      </c>
      <c r="Q268" s="152">
        <v>3.0398480000000001</v>
      </c>
      <c r="R268" s="152" t="s">
        <v>1327</v>
      </c>
      <c r="S268" s="152">
        <v>99.265953999999994</v>
      </c>
      <c r="T268" s="152">
        <v>0.77588999999999997</v>
      </c>
      <c r="U268" s="152">
        <v>7.9686089999999998</v>
      </c>
      <c r="V268" s="152">
        <v>73.182359000000005</v>
      </c>
      <c r="W268" s="152">
        <v>1000</v>
      </c>
      <c r="X268" s="152" t="s">
        <v>23</v>
      </c>
      <c r="Y268" s="152" t="s">
        <v>1328</v>
      </c>
      <c r="Z268" s="152" t="s">
        <v>1327</v>
      </c>
    </row>
    <row r="269" spans="1:26" x14ac:dyDescent="0.2">
      <c r="A269" s="152" t="s">
        <v>1534</v>
      </c>
      <c r="B269" s="152">
        <v>3.7789999999999999</v>
      </c>
      <c r="C269" s="151">
        <v>43648</v>
      </c>
      <c r="D269" s="152">
        <v>0.68493199999999999</v>
      </c>
      <c r="E269" s="152" t="s">
        <v>1325</v>
      </c>
      <c r="F269" s="152" t="s">
        <v>1326</v>
      </c>
      <c r="G269" s="152"/>
      <c r="H269" s="152"/>
      <c r="I269" s="151">
        <v>43332</v>
      </c>
      <c r="J269" s="152">
        <v>1.66</v>
      </c>
      <c r="K269" s="151">
        <v>43395</v>
      </c>
      <c r="L269" s="152">
        <v>1.9071389999999999</v>
      </c>
      <c r="M269" s="152">
        <v>1.9994449999999999</v>
      </c>
      <c r="N269" s="152">
        <v>1.8824380000000001</v>
      </c>
      <c r="O269" s="152">
        <v>1.776216</v>
      </c>
      <c r="P269" s="152">
        <v>0.33640100000000001</v>
      </c>
      <c r="Q269" s="152">
        <v>1.776216</v>
      </c>
      <c r="R269" s="152" t="s">
        <v>1327</v>
      </c>
      <c r="S269" s="152">
        <v>101.348077</v>
      </c>
      <c r="T269" s="152">
        <v>1.190644</v>
      </c>
      <c r="U269" s="152">
        <v>0.67387399999999997</v>
      </c>
      <c r="V269" s="152">
        <v>0.79250399999999999</v>
      </c>
      <c r="W269" s="152">
        <v>1000</v>
      </c>
      <c r="X269" s="152" t="s">
        <v>23</v>
      </c>
      <c r="Y269" s="152" t="s">
        <v>1328</v>
      </c>
      <c r="Z269" s="152" t="s">
        <v>1327</v>
      </c>
    </row>
    <row r="270" spans="1:26" x14ac:dyDescent="0.2">
      <c r="A270" s="152" t="s">
        <v>1535</v>
      </c>
      <c r="B270" s="152">
        <v>3.9</v>
      </c>
      <c r="C270" s="151">
        <v>43649</v>
      </c>
      <c r="D270" s="152">
        <v>0.68767100000000003</v>
      </c>
      <c r="E270" s="152" t="s">
        <v>1325</v>
      </c>
      <c r="F270" s="152" t="s">
        <v>1326</v>
      </c>
      <c r="G270" s="152"/>
      <c r="H270" s="152"/>
      <c r="I270" s="151">
        <v>41800</v>
      </c>
      <c r="J270" s="152">
        <v>3.45</v>
      </c>
      <c r="K270" s="151">
        <v>43395</v>
      </c>
      <c r="L270" s="152">
        <v>1.9077980000000001</v>
      </c>
      <c r="M270" s="152">
        <v>2.0003679999999999</v>
      </c>
      <c r="N270" s="152">
        <v>1.883068</v>
      </c>
      <c r="O270" s="152">
        <v>1.7766839999999999</v>
      </c>
      <c r="P270" s="152">
        <v>0.34980499999999998</v>
      </c>
      <c r="Q270" s="152">
        <v>1.7766839999999999</v>
      </c>
      <c r="R270" s="152" t="s">
        <v>1327</v>
      </c>
      <c r="S270" s="152">
        <v>101.435406</v>
      </c>
      <c r="T270" s="152">
        <v>1.2180820000000001</v>
      </c>
      <c r="U270" s="152">
        <v>0.67630699999999999</v>
      </c>
      <c r="V270" s="152">
        <v>0.79712899999999998</v>
      </c>
      <c r="W270" s="152">
        <v>1000</v>
      </c>
      <c r="X270" s="152" t="s">
        <v>23</v>
      </c>
      <c r="Y270" s="152" t="s">
        <v>1328</v>
      </c>
      <c r="Z270" s="152" t="s">
        <v>1327</v>
      </c>
    </row>
    <row r="271" spans="1:26" x14ac:dyDescent="0.2">
      <c r="A271" s="152" t="s">
        <v>1536</v>
      </c>
      <c r="B271" s="152">
        <v>3.8641999999999999</v>
      </c>
      <c r="C271" s="151">
        <v>43688</v>
      </c>
      <c r="D271" s="152">
        <v>0.79452100000000003</v>
      </c>
      <c r="E271" s="152" t="s">
        <v>1325</v>
      </c>
      <c r="F271" s="152" t="s">
        <v>1326</v>
      </c>
      <c r="G271" s="152"/>
      <c r="H271" s="152"/>
      <c r="I271" s="151">
        <v>43377</v>
      </c>
      <c r="J271" s="152">
        <v>1.72</v>
      </c>
      <c r="K271" s="151">
        <v>43371</v>
      </c>
      <c r="L271" s="152">
        <v>1.85931</v>
      </c>
      <c r="M271" s="152">
        <v>1.9626859999999999</v>
      </c>
      <c r="N271" s="152">
        <v>1.794146</v>
      </c>
      <c r="O271" s="152">
        <v>1.7923929999999999</v>
      </c>
      <c r="P271" s="152">
        <v>0.85625799999999996</v>
      </c>
      <c r="Q271" s="152">
        <v>1.7923929999999999</v>
      </c>
      <c r="R271" s="152" t="s">
        <v>1327</v>
      </c>
      <c r="S271" s="152">
        <v>101.61760200000001</v>
      </c>
      <c r="T271" s="152">
        <v>0.794014</v>
      </c>
      <c r="U271" s="152">
        <v>0.78223699999999996</v>
      </c>
      <c r="V271" s="152">
        <v>1.0040610000000001</v>
      </c>
      <c r="W271" s="152">
        <v>1000</v>
      </c>
      <c r="X271" s="152" t="s">
        <v>23</v>
      </c>
      <c r="Y271" s="152" t="s">
        <v>1328</v>
      </c>
      <c r="Z271" s="152" t="s">
        <v>1327</v>
      </c>
    </row>
    <row r="272" spans="1:26" x14ac:dyDescent="0.2">
      <c r="A272" s="152" t="s">
        <v>1537</v>
      </c>
      <c r="B272" s="152">
        <v>3.44</v>
      </c>
      <c r="C272" s="151">
        <v>43679</v>
      </c>
      <c r="D272" s="152">
        <v>0.76986299999999996</v>
      </c>
      <c r="E272" s="152" t="s">
        <v>1325</v>
      </c>
      <c r="F272" s="152" t="s">
        <v>1326</v>
      </c>
      <c r="G272" s="152"/>
      <c r="H272" s="152"/>
      <c r="I272" s="151">
        <v>43354</v>
      </c>
      <c r="J272" s="152">
        <v>1.7250000000000001</v>
      </c>
      <c r="K272" s="151">
        <v>43395</v>
      </c>
      <c r="L272" s="152">
        <v>1.927584</v>
      </c>
      <c r="M272" s="152">
        <v>2.0280369999999999</v>
      </c>
      <c r="N272" s="152">
        <v>1.9019779999999999</v>
      </c>
      <c r="O272" s="152">
        <v>1.7895730000000001</v>
      </c>
      <c r="P272" s="152">
        <v>0.74211400000000005</v>
      </c>
      <c r="Q272" s="152">
        <v>1.7895730000000001</v>
      </c>
      <c r="R272" s="152" t="s">
        <v>1327</v>
      </c>
      <c r="S272" s="152">
        <v>101.246942</v>
      </c>
      <c r="T272" s="152">
        <v>0.79167100000000001</v>
      </c>
      <c r="U272" s="152">
        <v>0.75879600000000003</v>
      </c>
      <c r="V272" s="152">
        <v>0.95585500000000001</v>
      </c>
      <c r="W272" s="152">
        <v>1000</v>
      </c>
      <c r="X272" s="152" t="s">
        <v>23</v>
      </c>
      <c r="Y272" s="152" t="s">
        <v>1328</v>
      </c>
      <c r="Z272" s="152" t="s">
        <v>1327</v>
      </c>
    </row>
    <row r="273" spans="1:26" x14ac:dyDescent="0.2">
      <c r="A273" s="152" t="s">
        <v>1538</v>
      </c>
      <c r="B273" s="152">
        <v>4.0949999999999998</v>
      </c>
      <c r="C273" s="151">
        <v>43729</v>
      </c>
      <c r="D273" s="152">
        <v>0.90684900000000002</v>
      </c>
      <c r="E273" s="152" t="s">
        <v>1325</v>
      </c>
      <c r="F273" s="152" t="s">
        <v>1326</v>
      </c>
      <c r="G273" s="152"/>
      <c r="H273" s="152"/>
      <c r="I273" s="151" t="s">
        <v>1327</v>
      </c>
      <c r="J273" s="152" t="s">
        <v>1327</v>
      </c>
      <c r="K273" s="151">
        <v>43395</v>
      </c>
      <c r="L273" s="152">
        <v>1.9605600000000001</v>
      </c>
      <c r="M273" s="152">
        <v>2.0741510000000001</v>
      </c>
      <c r="N273" s="152">
        <v>1.933495</v>
      </c>
      <c r="O273" s="152">
        <v>1.820417</v>
      </c>
      <c r="P273" s="152">
        <v>1.3571519999999999</v>
      </c>
      <c r="Q273" s="152">
        <v>1.820417</v>
      </c>
      <c r="R273" s="152" t="s">
        <v>1327</v>
      </c>
      <c r="S273" s="152">
        <v>102.042816</v>
      </c>
      <c r="T273" s="152">
        <v>0.38145200000000001</v>
      </c>
      <c r="U273" s="152">
        <v>0.88476399999999999</v>
      </c>
      <c r="V273" s="152">
        <v>1.225975</v>
      </c>
      <c r="W273" s="152">
        <v>1000</v>
      </c>
      <c r="X273" s="152" t="s">
        <v>23</v>
      </c>
      <c r="Y273" s="152" t="s">
        <v>1328</v>
      </c>
      <c r="Z273" s="152" t="s">
        <v>1327</v>
      </c>
    </row>
    <row r="274" spans="1:26" x14ac:dyDescent="0.2">
      <c r="A274" s="152" t="s">
        <v>1539</v>
      </c>
      <c r="B274" s="152">
        <v>4.5999999999999996</v>
      </c>
      <c r="C274" s="151">
        <v>43738</v>
      </c>
      <c r="D274" s="152">
        <v>0.93150699999999997</v>
      </c>
      <c r="E274" s="152" t="s">
        <v>1325</v>
      </c>
      <c r="F274" s="152" t="s">
        <v>1326</v>
      </c>
      <c r="G274" s="152"/>
      <c r="H274" s="152"/>
      <c r="I274" s="152" t="s">
        <v>1327</v>
      </c>
      <c r="J274" s="152" t="s">
        <v>1327</v>
      </c>
      <c r="K274" s="151">
        <v>43395</v>
      </c>
      <c r="L274" s="152">
        <v>1.966496</v>
      </c>
      <c r="M274" s="152">
        <v>2.082452</v>
      </c>
      <c r="N274" s="152">
        <v>1.9391670000000001</v>
      </c>
      <c r="O274" s="152">
        <v>1.8225880000000001</v>
      </c>
      <c r="P274" s="152">
        <v>1.463149</v>
      </c>
      <c r="Q274" s="152">
        <v>1.8225880000000001</v>
      </c>
      <c r="R274" s="152" t="s">
        <v>1327</v>
      </c>
      <c r="S274" s="152">
        <v>102.560258</v>
      </c>
      <c r="T274" s="152">
        <v>0.31506800000000001</v>
      </c>
      <c r="U274" s="152">
        <v>0.90803</v>
      </c>
      <c r="V274" s="152">
        <v>1.2797590000000001</v>
      </c>
      <c r="W274" s="152">
        <v>1000</v>
      </c>
      <c r="X274" s="152" t="s">
        <v>23</v>
      </c>
      <c r="Y274" s="152" t="s">
        <v>1328</v>
      </c>
      <c r="Z274" s="152" t="s">
        <v>1327</v>
      </c>
    </row>
    <row r="275" spans="1:26" x14ac:dyDescent="0.2">
      <c r="A275" s="152" t="s">
        <v>1540</v>
      </c>
      <c r="B275" s="152">
        <v>3.97</v>
      </c>
      <c r="C275" s="151">
        <v>43729</v>
      </c>
      <c r="D275" s="152">
        <v>0.90684900000000002</v>
      </c>
      <c r="E275" s="152" t="s">
        <v>1325</v>
      </c>
      <c r="F275" s="152" t="s">
        <v>1326</v>
      </c>
      <c r="G275" s="152"/>
      <c r="H275" s="152"/>
      <c r="I275" s="152">
        <v>42488</v>
      </c>
      <c r="J275" s="152">
        <v>1.74</v>
      </c>
      <c r="K275" s="151">
        <v>43395</v>
      </c>
      <c r="L275" s="152">
        <v>1.9605600000000001</v>
      </c>
      <c r="M275" s="152">
        <v>2.0741510000000001</v>
      </c>
      <c r="N275" s="152">
        <v>1.933495</v>
      </c>
      <c r="O275" s="152">
        <v>1.820449</v>
      </c>
      <c r="P275" s="152">
        <v>1.3571519999999999</v>
      </c>
      <c r="Q275" s="152">
        <v>1.820449</v>
      </c>
      <c r="R275" s="152" t="s">
        <v>1327</v>
      </c>
      <c r="S275" s="152">
        <v>101.930899</v>
      </c>
      <c r="T275" s="152">
        <v>0.36980800000000003</v>
      </c>
      <c r="U275" s="152">
        <v>0.88505299999999998</v>
      </c>
      <c r="V275" s="152">
        <v>1.226491</v>
      </c>
      <c r="W275" s="152">
        <v>1000</v>
      </c>
      <c r="X275" s="152" t="s">
        <v>23</v>
      </c>
      <c r="Y275" s="152" t="s">
        <v>1328</v>
      </c>
      <c r="Z275" s="152" t="s">
        <v>1327</v>
      </c>
    </row>
    <row r="276" spans="1:26" x14ac:dyDescent="0.2">
      <c r="A276" s="152" t="s">
        <v>1541</v>
      </c>
      <c r="B276" s="152">
        <v>1.75</v>
      </c>
      <c r="C276" s="151">
        <v>43713</v>
      </c>
      <c r="D276" s="152">
        <v>0.86301399999999995</v>
      </c>
      <c r="E276" s="152" t="s">
        <v>1325</v>
      </c>
      <c r="F276" s="152" t="s">
        <v>1326</v>
      </c>
      <c r="G276" s="152"/>
      <c r="H276" s="152"/>
      <c r="I276" s="151" t="s">
        <v>1327</v>
      </c>
      <c r="J276" s="152" t="s">
        <v>1327</v>
      </c>
      <c r="K276" s="151">
        <v>43395</v>
      </c>
      <c r="L276" s="152">
        <v>1.950008</v>
      </c>
      <c r="M276" s="152">
        <v>2.0593949999999999</v>
      </c>
      <c r="N276" s="152">
        <v>1.9234089999999999</v>
      </c>
      <c r="O276" s="152">
        <v>1.817431</v>
      </c>
      <c r="P276" s="152">
        <v>1.1652830000000001</v>
      </c>
      <c r="Q276" s="152">
        <v>1.817431</v>
      </c>
      <c r="R276" s="152" t="s">
        <v>1327</v>
      </c>
      <c r="S276" s="152">
        <v>99.949180999999996</v>
      </c>
      <c r="T276" s="152">
        <v>0.23972599999999999</v>
      </c>
      <c r="U276" s="152">
        <v>0.84687000000000001</v>
      </c>
      <c r="V276" s="152">
        <v>1.138922</v>
      </c>
      <c r="W276" s="152">
        <v>1000</v>
      </c>
      <c r="X276" s="152" t="s">
        <v>23</v>
      </c>
      <c r="Y276" s="152" t="s">
        <v>1328</v>
      </c>
      <c r="Z276" s="152" t="s">
        <v>1327</v>
      </c>
    </row>
    <row r="277" spans="1:26" x14ac:dyDescent="0.2">
      <c r="A277" s="152" t="s">
        <v>1542</v>
      </c>
      <c r="B277" s="152">
        <v>4.13</v>
      </c>
      <c r="C277" s="151">
        <v>43914</v>
      </c>
      <c r="D277" s="152">
        <v>1.413699</v>
      </c>
      <c r="E277" s="152" t="s">
        <v>1325</v>
      </c>
      <c r="F277" s="152" t="s">
        <v>1326</v>
      </c>
      <c r="G277" s="152"/>
      <c r="H277" s="152"/>
      <c r="I277" s="151">
        <v>43377</v>
      </c>
      <c r="J277" s="152">
        <v>1.89</v>
      </c>
      <c r="K277" s="151">
        <v>43371</v>
      </c>
      <c r="L277" s="152">
        <v>2.082821</v>
      </c>
      <c r="M277" s="152">
        <v>2.1820599999999999</v>
      </c>
      <c r="N277" s="152">
        <v>1.9775119999999999</v>
      </c>
      <c r="O277" s="152">
        <v>1.931397</v>
      </c>
      <c r="P277" s="152">
        <v>3.3017430000000001</v>
      </c>
      <c r="Q277" s="152">
        <v>1.931397</v>
      </c>
      <c r="R277" s="152" t="s">
        <v>1327</v>
      </c>
      <c r="S277" s="152">
        <v>103.061289</v>
      </c>
      <c r="T277" s="152">
        <v>0.350767</v>
      </c>
      <c r="U277" s="152">
        <v>1.3681239999999999</v>
      </c>
      <c r="V277" s="152">
        <v>2.5726689999999999</v>
      </c>
      <c r="W277" s="152">
        <v>1000</v>
      </c>
      <c r="X277" s="152" t="s">
        <v>23</v>
      </c>
      <c r="Y277" s="152" t="s">
        <v>1328</v>
      </c>
      <c r="Z277" s="152" t="s">
        <v>1327</v>
      </c>
    </row>
    <row r="278" spans="1:26" x14ac:dyDescent="0.2">
      <c r="A278" s="152" t="s">
        <v>1543</v>
      </c>
      <c r="B278" s="152">
        <v>3.5550000000000002</v>
      </c>
      <c r="C278" s="151">
        <v>43944</v>
      </c>
      <c r="D278" s="152">
        <v>1.4958899999999999</v>
      </c>
      <c r="E278" s="152" t="s">
        <v>1325</v>
      </c>
      <c r="F278" s="152" t="s">
        <v>1326</v>
      </c>
      <c r="G278" s="152"/>
      <c r="H278" s="152"/>
      <c r="I278" s="151" t="s">
        <v>1327</v>
      </c>
      <c r="J278" s="152" t="s">
        <v>1327</v>
      </c>
      <c r="K278" s="151">
        <v>43395</v>
      </c>
      <c r="L278" s="152">
        <v>2.147548</v>
      </c>
      <c r="M278" s="152">
        <v>2.2546330000000001</v>
      </c>
      <c r="N278" s="152">
        <v>2.0996190000000001</v>
      </c>
      <c r="O278" s="152">
        <v>1.9571160000000001</v>
      </c>
      <c r="P278" s="152">
        <v>3.5779969999999999</v>
      </c>
      <c r="Q278" s="152">
        <v>1.9571160000000001</v>
      </c>
      <c r="R278" s="152" t="s">
        <v>1327</v>
      </c>
      <c r="S278" s="152">
        <v>102.344847</v>
      </c>
      <c r="T278" s="152">
        <v>1.9479E-2</v>
      </c>
      <c r="U278" s="152">
        <v>1.4532160000000001</v>
      </c>
      <c r="V278" s="152">
        <v>2.8517969999999999</v>
      </c>
      <c r="W278" s="152">
        <v>1000</v>
      </c>
      <c r="X278" s="152" t="s">
        <v>23</v>
      </c>
      <c r="Y278" s="152" t="s">
        <v>1328</v>
      </c>
      <c r="Z278" s="152" t="s">
        <v>1327</v>
      </c>
    </row>
    <row r="279" spans="1:26" x14ac:dyDescent="0.2">
      <c r="A279" s="152" t="s">
        <v>1544</v>
      </c>
      <c r="B279" s="152">
        <v>3.1909999999999998</v>
      </c>
      <c r="C279" s="151">
        <v>43928</v>
      </c>
      <c r="D279" s="152">
        <v>1.4520550000000001</v>
      </c>
      <c r="E279" s="152" t="s">
        <v>1325</v>
      </c>
      <c r="F279" s="152" t="s">
        <v>1326</v>
      </c>
      <c r="G279" s="152"/>
      <c r="H279" s="152"/>
      <c r="I279" s="151">
        <v>41922</v>
      </c>
      <c r="J279" s="152">
        <v>3.1909999999999998</v>
      </c>
      <c r="K279" s="151">
        <v>43395</v>
      </c>
      <c r="L279" s="152">
        <v>2.1330450000000001</v>
      </c>
      <c r="M279" s="152">
        <v>2.2414329999999998</v>
      </c>
      <c r="N279" s="152">
        <v>2.0868579999999999</v>
      </c>
      <c r="O279" s="152">
        <v>1.9438089999999999</v>
      </c>
      <c r="P279" s="152">
        <v>3.431813</v>
      </c>
      <c r="Q279" s="152">
        <v>1.9438089999999999</v>
      </c>
      <c r="R279" s="152" t="s">
        <v>1327</v>
      </c>
      <c r="S279" s="152">
        <v>101.77753300000001</v>
      </c>
      <c r="T279" s="152">
        <v>0.157364</v>
      </c>
      <c r="U279" s="152">
        <v>1.412388</v>
      </c>
      <c r="V279" s="152">
        <v>2.7126950000000001</v>
      </c>
      <c r="W279" s="152">
        <v>1000</v>
      </c>
      <c r="X279" s="152" t="s">
        <v>23</v>
      </c>
      <c r="Y279" s="152" t="s">
        <v>1328</v>
      </c>
      <c r="Z279" s="152" t="s">
        <v>1327</v>
      </c>
    </row>
    <row r="280" spans="1:26" x14ac:dyDescent="0.2">
      <c r="A280" s="152" t="s">
        <v>1545</v>
      </c>
      <c r="B280" s="152">
        <v>3.39</v>
      </c>
      <c r="C280" s="151">
        <v>43967</v>
      </c>
      <c r="D280" s="152">
        <v>1.5589040000000001</v>
      </c>
      <c r="E280" s="152" t="s">
        <v>1325</v>
      </c>
      <c r="F280" s="152" t="s">
        <v>1326</v>
      </c>
      <c r="G280" s="152"/>
      <c r="H280" s="152"/>
      <c r="I280" s="152" t="s">
        <v>1327</v>
      </c>
      <c r="J280" s="152" t="s">
        <v>1327</v>
      </c>
      <c r="K280" s="151">
        <v>43395</v>
      </c>
      <c r="L280" s="152">
        <v>2.1683970000000001</v>
      </c>
      <c r="M280" s="152">
        <v>2.2736070000000002</v>
      </c>
      <c r="N280" s="152">
        <v>2.117963</v>
      </c>
      <c r="O280" s="152">
        <v>1.970499</v>
      </c>
      <c r="P280" s="152">
        <v>3.7836979999999998</v>
      </c>
      <c r="Q280" s="152">
        <v>1.970499</v>
      </c>
      <c r="R280" s="152" t="s">
        <v>1327</v>
      </c>
      <c r="S280" s="152">
        <v>102.155783</v>
      </c>
      <c r="T280" s="152">
        <v>1.5046029999999999</v>
      </c>
      <c r="U280" s="152">
        <v>1.496848</v>
      </c>
      <c r="V280" s="152">
        <v>3.0351699999999999</v>
      </c>
      <c r="W280" s="152">
        <v>1000</v>
      </c>
      <c r="X280" s="152" t="s">
        <v>23</v>
      </c>
      <c r="Y280" s="152" t="s">
        <v>1328</v>
      </c>
      <c r="Z280" s="152" t="s">
        <v>1327</v>
      </c>
    </row>
    <row r="281" spans="1:26" x14ac:dyDescent="0.2">
      <c r="A281" s="152" t="s">
        <v>1546</v>
      </c>
      <c r="B281" s="152">
        <v>2.54</v>
      </c>
      <c r="C281" s="151">
        <v>43977</v>
      </c>
      <c r="D281" s="152">
        <v>1.586301</v>
      </c>
      <c r="E281" s="152" t="s">
        <v>1325</v>
      </c>
      <c r="F281" s="152" t="s">
        <v>1326</v>
      </c>
      <c r="G281" s="152"/>
      <c r="H281" s="152"/>
      <c r="I281" s="151" t="s">
        <v>1327</v>
      </c>
      <c r="J281" s="152" t="s">
        <v>1327</v>
      </c>
      <c r="K281" s="151">
        <v>43395</v>
      </c>
      <c r="L281" s="152">
        <v>2.1774619999999998</v>
      </c>
      <c r="M281" s="152">
        <v>2.2818559999999999</v>
      </c>
      <c r="N281" s="152">
        <v>2.1259389999999998</v>
      </c>
      <c r="O281" s="152">
        <v>1.9791799999999999</v>
      </c>
      <c r="P281" s="152">
        <v>3.8715579999999998</v>
      </c>
      <c r="Q281" s="152">
        <v>1.9791799999999999</v>
      </c>
      <c r="R281" s="152" t="s">
        <v>1327</v>
      </c>
      <c r="S281" s="152">
        <v>100.860969</v>
      </c>
      <c r="T281" s="152">
        <v>1.0577529999999999</v>
      </c>
      <c r="U281" s="152">
        <v>1.5354019999999999</v>
      </c>
      <c r="V281" s="152">
        <v>3.1587999999999998</v>
      </c>
      <c r="W281" s="152">
        <v>1000</v>
      </c>
      <c r="X281" s="152" t="s">
        <v>23</v>
      </c>
      <c r="Y281" s="152" t="s">
        <v>1328</v>
      </c>
      <c r="Z281" s="152" t="s">
        <v>1327</v>
      </c>
    </row>
    <row r="282" spans="1:26" x14ac:dyDescent="0.2">
      <c r="A282" s="152" t="s">
        <v>1547</v>
      </c>
      <c r="B282" s="152">
        <v>6.27</v>
      </c>
      <c r="C282" s="151">
        <v>44022</v>
      </c>
      <c r="D282" s="152">
        <v>1.709589</v>
      </c>
      <c r="E282" s="152" t="s">
        <v>1325</v>
      </c>
      <c r="F282" s="152" t="s">
        <v>1326</v>
      </c>
      <c r="G282" s="152"/>
      <c r="H282" s="152"/>
      <c r="I282" s="151">
        <v>39923</v>
      </c>
      <c r="J282" s="152">
        <v>4.21</v>
      </c>
      <c r="K282" s="151">
        <v>43395</v>
      </c>
      <c r="L282" s="152">
        <v>2.21428</v>
      </c>
      <c r="M282" s="152">
        <v>2.3150059999999999</v>
      </c>
      <c r="N282" s="152">
        <v>2.1578560000000002</v>
      </c>
      <c r="O282" s="152">
        <v>2.0078740000000002</v>
      </c>
      <c r="P282" s="152">
        <v>4.2557460000000003</v>
      </c>
      <c r="Q282" s="152">
        <v>2.0078740000000002</v>
      </c>
      <c r="R282" s="152" t="s">
        <v>1327</v>
      </c>
      <c r="S282" s="152">
        <v>107.10375999999999</v>
      </c>
      <c r="T282" s="152">
        <v>1.838055</v>
      </c>
      <c r="U282" s="152">
        <v>1.609402</v>
      </c>
      <c r="V282" s="152">
        <v>3.4776229999999999</v>
      </c>
      <c r="W282" s="152">
        <v>1000</v>
      </c>
      <c r="X282" s="152" t="s">
        <v>23</v>
      </c>
      <c r="Y282" s="152" t="s">
        <v>1328</v>
      </c>
      <c r="Z282" s="152" t="s">
        <v>1327</v>
      </c>
    </row>
    <row r="283" spans="1:26" x14ac:dyDescent="0.2">
      <c r="A283" s="152" t="s">
        <v>1548</v>
      </c>
      <c r="B283" s="152">
        <v>4.09</v>
      </c>
      <c r="C283" s="151">
        <v>44052</v>
      </c>
      <c r="D283" s="152">
        <v>1.7917810000000001</v>
      </c>
      <c r="E283" s="152" t="s">
        <v>1325</v>
      </c>
      <c r="F283" s="152" t="s">
        <v>1326</v>
      </c>
      <c r="G283" s="152"/>
      <c r="H283" s="152"/>
      <c r="I283" s="152">
        <v>43062</v>
      </c>
      <c r="J283" s="152">
        <v>1.7450000000000001</v>
      </c>
      <c r="K283" s="151">
        <v>43395</v>
      </c>
      <c r="L283" s="152">
        <v>2.2323050000000002</v>
      </c>
      <c r="M283" s="152">
        <v>2.3305859999999998</v>
      </c>
      <c r="N283" s="152">
        <v>2.1726139999999998</v>
      </c>
      <c r="O283" s="152">
        <v>2.0284300000000002</v>
      </c>
      <c r="P283" s="152">
        <v>4.5022779999999996</v>
      </c>
      <c r="Q283" s="152">
        <v>2.0284300000000002</v>
      </c>
      <c r="R283" s="152" t="s">
        <v>1327</v>
      </c>
      <c r="S283" s="152">
        <v>103.59301600000001</v>
      </c>
      <c r="T283" s="152">
        <v>0.86282199999999998</v>
      </c>
      <c r="U283" s="152">
        <v>1.717733</v>
      </c>
      <c r="V283" s="152">
        <v>3.8640210000000002</v>
      </c>
      <c r="W283" s="152">
        <v>1000</v>
      </c>
      <c r="X283" s="152" t="s">
        <v>23</v>
      </c>
      <c r="Y283" s="152" t="s">
        <v>1328</v>
      </c>
      <c r="Z283" s="152" t="s">
        <v>1327</v>
      </c>
    </row>
    <row r="284" spans="1:26" x14ac:dyDescent="0.2">
      <c r="A284" s="152" t="s">
        <v>1549</v>
      </c>
      <c r="B284" s="152">
        <v>2.44</v>
      </c>
      <c r="C284" s="151">
        <v>44053</v>
      </c>
      <c r="D284" s="152">
        <v>1.794521</v>
      </c>
      <c r="E284" s="152" t="s">
        <v>1325</v>
      </c>
      <c r="F284" s="152" t="s">
        <v>1326</v>
      </c>
      <c r="G284" s="152"/>
      <c r="H284" s="152"/>
      <c r="I284" s="152">
        <v>42740</v>
      </c>
      <c r="J284" s="152">
        <v>2.1</v>
      </c>
      <c r="K284" s="151">
        <v>43395</v>
      </c>
      <c r="L284" s="152">
        <v>2.2329050000000001</v>
      </c>
      <c r="M284" s="152">
        <v>2.331105</v>
      </c>
      <c r="N284" s="152">
        <v>2.1731050000000001</v>
      </c>
      <c r="O284" s="152">
        <v>2.0309089999999999</v>
      </c>
      <c r="P284" s="152">
        <v>4.51037</v>
      </c>
      <c r="Q284" s="152">
        <v>2.0309089999999999</v>
      </c>
      <c r="R284" s="152" t="s">
        <v>1327</v>
      </c>
      <c r="S284" s="152">
        <v>100.706357</v>
      </c>
      <c r="T284" s="152">
        <v>0.50805500000000003</v>
      </c>
      <c r="U284" s="152">
        <v>1.742491</v>
      </c>
      <c r="V284" s="152">
        <v>3.938434</v>
      </c>
      <c r="W284" s="152">
        <v>1000</v>
      </c>
      <c r="X284" s="152" t="s">
        <v>23</v>
      </c>
      <c r="Y284" s="152" t="s">
        <v>1328</v>
      </c>
      <c r="Z284" s="152" t="s">
        <v>1327</v>
      </c>
    </row>
    <row r="285" spans="1:26" x14ac:dyDescent="0.2">
      <c r="A285" s="152" t="s">
        <v>1550</v>
      </c>
      <c r="B285" s="152">
        <v>4.8499999999999996</v>
      </c>
      <c r="C285" s="151">
        <v>44099</v>
      </c>
      <c r="D285" s="152">
        <v>1.9205479999999999</v>
      </c>
      <c r="E285" s="152" t="s">
        <v>1325</v>
      </c>
      <c r="F285" s="152" t="s">
        <v>1326</v>
      </c>
      <c r="G285" s="152"/>
      <c r="H285" s="152"/>
      <c r="I285" s="152">
        <v>39709</v>
      </c>
      <c r="J285" s="152">
        <v>4.8499999999999996</v>
      </c>
      <c r="K285" s="151">
        <v>43395</v>
      </c>
      <c r="L285" s="152">
        <v>2.2605439999999999</v>
      </c>
      <c r="M285" s="152">
        <v>2.354994</v>
      </c>
      <c r="N285" s="152">
        <v>2.1957339999999999</v>
      </c>
      <c r="O285" s="152">
        <v>2.0599569999999998</v>
      </c>
      <c r="P285" s="152">
        <v>4.8742840000000003</v>
      </c>
      <c r="Q285" s="152">
        <v>2.0599569999999998</v>
      </c>
      <c r="R285" s="152" t="s">
        <v>1327</v>
      </c>
      <c r="S285" s="152">
        <v>105.227332</v>
      </c>
      <c r="T285" s="152">
        <v>0.39862999999999998</v>
      </c>
      <c r="U285" s="152">
        <v>1.8270500000000001</v>
      </c>
      <c r="V285" s="152">
        <v>4.3155340000000004</v>
      </c>
      <c r="W285" s="152">
        <v>1000</v>
      </c>
      <c r="X285" s="152" t="s">
        <v>23</v>
      </c>
      <c r="Y285" s="152" t="s">
        <v>1328</v>
      </c>
      <c r="Z285" s="152" t="s">
        <v>1327</v>
      </c>
    </row>
    <row r="286" spans="1:26" x14ac:dyDescent="0.2">
      <c r="A286" s="152" t="s">
        <v>1551</v>
      </c>
      <c r="B286" s="152">
        <v>3.45</v>
      </c>
      <c r="C286" s="151">
        <v>44097</v>
      </c>
      <c r="D286" s="152">
        <v>1.915068</v>
      </c>
      <c r="E286" s="152" t="s">
        <v>1325</v>
      </c>
      <c r="F286" s="152" t="s">
        <v>1326</v>
      </c>
      <c r="G286" s="152"/>
      <c r="H286" s="152"/>
      <c r="I286" s="151" t="s">
        <v>1327</v>
      </c>
      <c r="J286" s="152" t="s">
        <v>1327</v>
      </c>
      <c r="K286" s="151">
        <v>43395</v>
      </c>
      <c r="L286" s="152">
        <v>2.2593420000000002</v>
      </c>
      <c r="M286" s="152">
        <v>2.3539560000000002</v>
      </c>
      <c r="N286" s="152">
        <v>2.19475</v>
      </c>
      <c r="O286" s="152">
        <v>2.060737</v>
      </c>
      <c r="P286" s="152">
        <v>4.8587910000000001</v>
      </c>
      <c r="Q286" s="152">
        <v>2.060737</v>
      </c>
      <c r="R286" s="152" t="s">
        <v>1327</v>
      </c>
      <c r="S286" s="152">
        <v>102.599383</v>
      </c>
      <c r="T286" s="152">
        <v>0.30246600000000001</v>
      </c>
      <c r="U286" s="152">
        <v>1.8397300000000001</v>
      </c>
      <c r="V286" s="152">
        <v>4.3494400000000004</v>
      </c>
      <c r="W286" s="152">
        <v>1000</v>
      </c>
      <c r="X286" s="152" t="s">
        <v>23</v>
      </c>
      <c r="Y286" s="152" t="s">
        <v>1328</v>
      </c>
      <c r="Z286" s="152" t="s">
        <v>1327</v>
      </c>
    </row>
    <row r="287" spans="1:26" x14ac:dyDescent="0.2">
      <c r="A287" s="152" t="s">
        <v>1552</v>
      </c>
      <c r="B287" s="152">
        <v>4.34</v>
      </c>
      <c r="C287" s="151">
        <v>44087</v>
      </c>
      <c r="D287" s="152">
        <v>1.8876710000000001</v>
      </c>
      <c r="E287" s="152" t="s">
        <v>1325</v>
      </c>
      <c r="F287" s="152" t="s">
        <v>1326</v>
      </c>
      <c r="G287" s="152"/>
      <c r="H287" s="152"/>
      <c r="I287" s="151">
        <v>41913</v>
      </c>
      <c r="J287" s="152">
        <v>3.3</v>
      </c>
      <c r="K287" s="151">
        <v>43395</v>
      </c>
      <c r="L287" s="152">
        <v>2.2533340000000002</v>
      </c>
      <c r="M287" s="152">
        <v>2.3487629999999999</v>
      </c>
      <c r="N287" s="152">
        <v>2.1898309999999999</v>
      </c>
      <c r="O287" s="152">
        <v>2.0551900000000001</v>
      </c>
      <c r="P287" s="152">
        <v>4.7808859999999997</v>
      </c>
      <c r="Q287" s="152">
        <v>2.0551900000000001</v>
      </c>
      <c r="R287" s="152" t="s">
        <v>1327</v>
      </c>
      <c r="S287" s="152">
        <v>104.210049</v>
      </c>
      <c r="T287" s="152">
        <v>0.49939699999999998</v>
      </c>
      <c r="U287" s="152">
        <v>1.801042</v>
      </c>
      <c r="V287" s="152">
        <v>4.2016429999999998</v>
      </c>
      <c r="W287" s="152">
        <v>1000</v>
      </c>
      <c r="X287" s="152" t="s">
        <v>23</v>
      </c>
      <c r="Y287" s="152" t="s">
        <v>1328</v>
      </c>
      <c r="Z287" s="152" t="s">
        <v>1327</v>
      </c>
    </row>
    <row r="288" spans="1:26" x14ac:dyDescent="0.2">
      <c r="A288" s="152" t="s">
        <v>1553</v>
      </c>
      <c r="B288" s="152">
        <v>4.1500000000000004</v>
      </c>
      <c r="C288" s="151">
        <v>44098</v>
      </c>
      <c r="D288" s="152">
        <v>1.917808</v>
      </c>
      <c r="E288" s="152" t="s">
        <v>1325</v>
      </c>
      <c r="F288" s="152" t="s">
        <v>1326</v>
      </c>
      <c r="G288" s="152"/>
      <c r="H288" s="152"/>
      <c r="I288" s="151">
        <v>42488</v>
      </c>
      <c r="J288" s="152">
        <v>1.75</v>
      </c>
      <c r="K288" s="151">
        <v>43395</v>
      </c>
      <c r="L288" s="152">
        <v>2.2599429999999998</v>
      </c>
      <c r="M288" s="152">
        <v>2.3544749999999999</v>
      </c>
      <c r="N288" s="152">
        <v>2.1952419999999999</v>
      </c>
      <c r="O288" s="152">
        <v>2.0603410000000002</v>
      </c>
      <c r="P288" s="152">
        <v>4.8665409999999998</v>
      </c>
      <c r="Q288" s="152">
        <v>2.0603410000000002</v>
      </c>
      <c r="R288" s="152" t="s">
        <v>1327</v>
      </c>
      <c r="S288" s="152">
        <v>103.91152099999999</v>
      </c>
      <c r="T288" s="152">
        <v>0.352466</v>
      </c>
      <c r="U288" s="152">
        <v>1.8332710000000001</v>
      </c>
      <c r="V288" s="152">
        <v>4.3321579999999997</v>
      </c>
      <c r="W288" s="152">
        <v>1000</v>
      </c>
      <c r="X288" s="152" t="s">
        <v>23</v>
      </c>
      <c r="Y288" s="152" t="s">
        <v>1328</v>
      </c>
      <c r="Z288" s="152" t="s">
        <v>1327</v>
      </c>
    </row>
    <row r="289" spans="1:26" x14ac:dyDescent="0.2">
      <c r="A289" s="152" t="s">
        <v>1554</v>
      </c>
      <c r="B289" s="152">
        <v>3.8</v>
      </c>
      <c r="C289" s="151">
        <v>44363</v>
      </c>
      <c r="D289" s="152">
        <v>2.6438359999999999</v>
      </c>
      <c r="E289" s="152" t="s">
        <v>1325</v>
      </c>
      <c r="F289" s="152" t="s">
        <v>1326</v>
      </c>
      <c r="G289" s="152"/>
      <c r="H289" s="152"/>
      <c r="I289" s="151">
        <v>40704</v>
      </c>
      <c r="J289" s="152">
        <v>3.8</v>
      </c>
      <c r="K289" s="151">
        <v>43395</v>
      </c>
      <c r="L289" s="152">
        <v>2.4191639999999999</v>
      </c>
      <c r="M289" s="152">
        <v>2.4920969999999998</v>
      </c>
      <c r="N289" s="152">
        <v>2.3256030000000001</v>
      </c>
      <c r="O289" s="152">
        <v>2.1336970000000002</v>
      </c>
      <c r="P289" s="152">
        <v>6.6997249999999999</v>
      </c>
      <c r="Q289" s="152">
        <v>2.1336970000000002</v>
      </c>
      <c r="R289" s="152" t="s">
        <v>1327</v>
      </c>
      <c r="S289" s="152">
        <v>104.252011</v>
      </c>
      <c r="T289" s="152">
        <v>1.363836</v>
      </c>
      <c r="U289" s="152">
        <v>2.4833349999999998</v>
      </c>
      <c r="V289" s="152">
        <v>7.6174200000000001</v>
      </c>
      <c r="W289" s="152">
        <v>1000</v>
      </c>
      <c r="X289" s="152" t="s">
        <v>23</v>
      </c>
      <c r="Y289" s="152" t="s">
        <v>1328</v>
      </c>
      <c r="Z289" s="152" t="s">
        <v>1327</v>
      </c>
    </row>
    <row r="290" spans="1:26" x14ac:dyDescent="0.2">
      <c r="A290" s="152" t="s">
        <v>1555</v>
      </c>
      <c r="B290" s="152">
        <v>3.79</v>
      </c>
      <c r="C290" s="151">
        <v>44394</v>
      </c>
      <c r="D290" s="152">
        <v>2.7287669999999999</v>
      </c>
      <c r="E290" s="152" t="s">
        <v>1325</v>
      </c>
      <c r="F290" s="152" t="s">
        <v>1326</v>
      </c>
      <c r="G290" s="152"/>
      <c r="H290" s="152"/>
      <c r="I290" s="152">
        <v>42292</v>
      </c>
      <c r="J290" s="152">
        <v>2.7549999999999999</v>
      </c>
      <c r="K290" s="151">
        <v>43395</v>
      </c>
      <c r="L290" s="152">
        <v>2.437789</v>
      </c>
      <c r="M290" s="152">
        <v>2.5081959999999999</v>
      </c>
      <c r="N290" s="152">
        <v>2.3408530000000001</v>
      </c>
      <c r="O290" s="152">
        <v>2.1420629999999998</v>
      </c>
      <c r="P290" s="152">
        <v>6.8898109999999999</v>
      </c>
      <c r="Q290" s="152">
        <v>2.1420629999999998</v>
      </c>
      <c r="R290" s="152" t="s">
        <v>1327</v>
      </c>
      <c r="S290" s="152">
        <v>104.329414</v>
      </c>
      <c r="T290" s="152">
        <v>1.0383560000000001</v>
      </c>
      <c r="U290" s="152">
        <v>2.570265</v>
      </c>
      <c r="V290" s="152">
        <v>8.0992160000000002</v>
      </c>
      <c r="W290" s="152">
        <v>1000</v>
      </c>
      <c r="X290" s="152" t="s">
        <v>23</v>
      </c>
      <c r="Y290" s="152" t="s">
        <v>1328</v>
      </c>
      <c r="Z290" s="152" t="s">
        <v>1327</v>
      </c>
    </row>
    <row r="291" spans="1:26" x14ac:dyDescent="0.2">
      <c r="A291" s="152" t="s">
        <v>1556</v>
      </c>
      <c r="B291" s="152">
        <v>1.94</v>
      </c>
      <c r="C291" s="151">
        <v>44444</v>
      </c>
      <c r="D291" s="152">
        <v>2.8657530000000002</v>
      </c>
      <c r="E291" s="152" t="s">
        <v>1325</v>
      </c>
      <c r="F291" s="152" t="s">
        <v>1326</v>
      </c>
      <c r="G291" s="152"/>
      <c r="H291" s="152"/>
      <c r="I291" s="151">
        <v>43178</v>
      </c>
      <c r="J291" s="152">
        <v>1.67</v>
      </c>
      <c r="K291" s="151">
        <v>43395</v>
      </c>
      <c r="L291" s="152">
        <v>2.4678309999999999</v>
      </c>
      <c r="M291" s="152">
        <v>2.5341619999999998</v>
      </c>
      <c r="N291" s="152">
        <v>2.3654500000000001</v>
      </c>
      <c r="O291" s="152">
        <v>2.1722320000000002</v>
      </c>
      <c r="P291" s="152">
        <v>7.1874630000000002</v>
      </c>
      <c r="Q291" s="152">
        <v>2.1722320000000002</v>
      </c>
      <c r="R291" s="152" t="s">
        <v>1327</v>
      </c>
      <c r="S291" s="152">
        <v>99.366544000000005</v>
      </c>
      <c r="T291" s="152">
        <v>0.26575300000000002</v>
      </c>
      <c r="U291" s="152">
        <v>2.7575289999999999</v>
      </c>
      <c r="V291" s="152">
        <v>9.0916580000000007</v>
      </c>
      <c r="W291" s="152">
        <v>1000</v>
      </c>
      <c r="X291" s="152" t="s">
        <v>23</v>
      </c>
      <c r="Y291" s="152" t="s">
        <v>1328</v>
      </c>
      <c r="Z291" s="152" t="s">
        <v>1327</v>
      </c>
    </row>
    <row r="292" spans="1:26" x14ac:dyDescent="0.2">
      <c r="A292" s="152" t="s">
        <v>1557</v>
      </c>
      <c r="B292" s="152">
        <v>4.3</v>
      </c>
      <c r="C292" s="151">
        <v>44583</v>
      </c>
      <c r="D292" s="152">
        <v>3.246575</v>
      </c>
      <c r="E292" s="152" t="s">
        <v>1325</v>
      </c>
      <c r="F292" s="152" t="s">
        <v>1326</v>
      </c>
      <c r="G292" s="152"/>
      <c r="H292" s="152"/>
      <c r="I292" s="152">
        <v>42373</v>
      </c>
      <c r="J292" s="152">
        <v>2.5</v>
      </c>
      <c r="K292" s="151">
        <v>43395</v>
      </c>
      <c r="L292" s="152">
        <v>2.5569030000000001</v>
      </c>
      <c r="M292" s="152">
        <v>2.6194030000000001</v>
      </c>
      <c r="N292" s="152">
        <v>2.4557039999999999</v>
      </c>
      <c r="O292" s="152">
        <v>2.2574149999999999</v>
      </c>
      <c r="P292" s="152">
        <v>7.9626020000000004</v>
      </c>
      <c r="Q292" s="152">
        <v>2.2574149999999999</v>
      </c>
      <c r="R292" s="152" t="s">
        <v>1327</v>
      </c>
      <c r="S292" s="152">
        <v>106.333845</v>
      </c>
      <c r="T292" s="152">
        <v>1.119178</v>
      </c>
      <c r="U292" s="152">
        <v>3.0048189999999999</v>
      </c>
      <c r="V292" s="152">
        <v>10.910454</v>
      </c>
      <c r="W292" s="152">
        <v>1000</v>
      </c>
      <c r="X292" s="152" t="s">
        <v>23</v>
      </c>
      <c r="Y292" s="152" t="s">
        <v>1328</v>
      </c>
      <c r="Z292" s="152" t="s">
        <v>1327</v>
      </c>
    </row>
    <row r="293" spans="1:26" x14ac:dyDescent="0.2">
      <c r="A293" s="152" t="s">
        <v>1558</v>
      </c>
      <c r="B293" s="152">
        <v>4.16</v>
      </c>
      <c r="C293" s="151">
        <v>44649</v>
      </c>
      <c r="D293" s="152">
        <v>3.427397</v>
      </c>
      <c r="E293" s="152" t="s">
        <v>1325</v>
      </c>
      <c r="F293" s="152" t="s">
        <v>1326</v>
      </c>
      <c r="G293" s="152"/>
      <c r="H293" s="152"/>
      <c r="I293" s="152">
        <v>43364</v>
      </c>
      <c r="J293" s="152">
        <v>2.2999999999999998</v>
      </c>
      <c r="K293" s="151">
        <v>43395</v>
      </c>
      <c r="L293" s="152">
        <v>2.621686</v>
      </c>
      <c r="M293" s="152">
        <v>2.684186</v>
      </c>
      <c r="N293" s="152">
        <v>2.5250080000000001</v>
      </c>
      <c r="O293" s="152">
        <v>2.318244</v>
      </c>
      <c r="P293" s="152">
        <v>8.3066189999999995</v>
      </c>
      <c r="Q293" s="152">
        <v>2.318244</v>
      </c>
      <c r="R293" s="152" t="s">
        <v>1327</v>
      </c>
      <c r="S293" s="152">
        <v>106.045552</v>
      </c>
      <c r="T293" s="152">
        <v>0.29632900000000001</v>
      </c>
      <c r="U293" s="152">
        <v>3.1881680000000001</v>
      </c>
      <c r="V293" s="152">
        <v>12.126283000000001</v>
      </c>
      <c r="W293" s="152">
        <v>1000</v>
      </c>
      <c r="X293" s="152" t="s">
        <v>23</v>
      </c>
      <c r="Y293" s="152" t="s">
        <v>1328</v>
      </c>
      <c r="Z293" s="152" t="s">
        <v>1327</v>
      </c>
    </row>
    <row r="294" spans="1:26" x14ac:dyDescent="0.2">
      <c r="A294" s="152" t="s">
        <v>588</v>
      </c>
      <c r="B294" s="152">
        <v>4.0049999999999999</v>
      </c>
      <c r="C294" s="151">
        <v>44661</v>
      </c>
      <c r="D294" s="152">
        <v>3.4602740000000001</v>
      </c>
      <c r="E294" s="152" t="s">
        <v>1325</v>
      </c>
      <c r="F294" s="152" t="s">
        <v>1326</v>
      </c>
      <c r="G294" s="152"/>
      <c r="H294" s="152"/>
      <c r="I294" s="151">
        <v>42376</v>
      </c>
      <c r="J294" s="152">
        <v>2.7</v>
      </c>
      <c r="K294" s="151">
        <v>43395</v>
      </c>
      <c r="L294" s="152">
        <v>2.633464</v>
      </c>
      <c r="M294" s="152">
        <v>2.695964</v>
      </c>
      <c r="N294" s="152">
        <v>2.5376080000000001</v>
      </c>
      <c r="O294" s="152">
        <v>2.3293550000000001</v>
      </c>
      <c r="P294" s="152">
        <v>8.3676549999999992</v>
      </c>
      <c r="Q294" s="152">
        <v>2.3293550000000001</v>
      </c>
      <c r="R294" s="152" t="s">
        <v>1327</v>
      </c>
      <c r="S294" s="152">
        <v>105.540127</v>
      </c>
      <c r="T294" s="152">
        <v>0.16458900000000001</v>
      </c>
      <c r="U294" s="152">
        <v>3.2268669999999999</v>
      </c>
      <c r="V294" s="152">
        <v>12.382287</v>
      </c>
      <c r="W294" s="152">
        <v>1000</v>
      </c>
      <c r="X294" s="152" t="s">
        <v>23</v>
      </c>
      <c r="Y294" s="152" t="s">
        <v>1328</v>
      </c>
      <c r="Z294" s="152" t="s">
        <v>1327</v>
      </c>
    </row>
    <row r="295" spans="1:26" x14ac:dyDescent="0.2">
      <c r="A295" s="152" t="s">
        <v>1559</v>
      </c>
      <c r="B295" s="152">
        <v>3.84</v>
      </c>
      <c r="C295" s="151">
        <v>44765</v>
      </c>
      <c r="D295" s="152">
        <v>3.7452049999999999</v>
      </c>
      <c r="E295" s="152" t="s">
        <v>1325</v>
      </c>
      <c r="F295" s="152" t="s">
        <v>1326</v>
      </c>
      <c r="G295" s="152"/>
      <c r="H295" s="152"/>
      <c r="I295" s="152">
        <v>41829</v>
      </c>
      <c r="J295" s="152">
        <v>3.9</v>
      </c>
      <c r="K295" s="151">
        <v>43395</v>
      </c>
      <c r="L295" s="152">
        <v>2.7148289999999999</v>
      </c>
      <c r="M295" s="152">
        <v>2.7773289999999999</v>
      </c>
      <c r="N295" s="152">
        <v>2.626096</v>
      </c>
      <c r="O295" s="152">
        <v>2.3986529999999999</v>
      </c>
      <c r="P295" s="152">
        <v>8.8785319999999999</v>
      </c>
      <c r="Q295" s="152">
        <v>2.3986529999999999</v>
      </c>
      <c r="R295" s="152" t="s">
        <v>1327</v>
      </c>
      <c r="S295" s="152">
        <v>105.116562</v>
      </c>
      <c r="T295" s="152">
        <v>0.98893200000000003</v>
      </c>
      <c r="U295" s="152">
        <v>3.4591229999999999</v>
      </c>
      <c r="V295" s="152">
        <v>14.220219</v>
      </c>
      <c r="W295" s="152">
        <v>1000</v>
      </c>
      <c r="X295" s="152" t="s">
        <v>23</v>
      </c>
      <c r="Y295" s="152" t="s">
        <v>1328</v>
      </c>
      <c r="Z295" s="152" t="s">
        <v>1327</v>
      </c>
    </row>
    <row r="296" spans="1:26" x14ac:dyDescent="0.2">
      <c r="A296" s="152" t="s">
        <v>1560</v>
      </c>
      <c r="B296" s="152">
        <v>3.75</v>
      </c>
      <c r="C296" s="151">
        <v>44782</v>
      </c>
      <c r="D296" s="152">
        <v>3.7917809999999998</v>
      </c>
      <c r="E296" s="152" t="s">
        <v>1325</v>
      </c>
      <c r="F296" s="152" t="s">
        <v>1326</v>
      </c>
      <c r="G296" s="152"/>
      <c r="H296" s="152"/>
      <c r="I296" s="152">
        <v>43210</v>
      </c>
      <c r="J296" s="152">
        <v>1.85</v>
      </c>
      <c r="K296" s="151">
        <v>43395</v>
      </c>
      <c r="L296" s="152">
        <v>2.7214529999999999</v>
      </c>
      <c r="M296" s="152">
        <v>2.7839529999999999</v>
      </c>
      <c r="N296" s="152">
        <v>2.6338849999999998</v>
      </c>
      <c r="O296" s="152">
        <v>2.4061849999999998</v>
      </c>
      <c r="P296" s="152">
        <v>8.9591130000000003</v>
      </c>
      <c r="Q296" s="152">
        <v>2.4061849999999998</v>
      </c>
      <c r="R296" s="152" t="s">
        <v>1327</v>
      </c>
      <c r="S296" s="152">
        <v>104.825693</v>
      </c>
      <c r="T296" s="152">
        <v>0.79109600000000002</v>
      </c>
      <c r="U296" s="152">
        <v>3.5099010000000002</v>
      </c>
      <c r="V296" s="152">
        <v>14.589287000000001</v>
      </c>
      <c r="W296" s="152">
        <v>1000</v>
      </c>
      <c r="X296" s="152" t="s">
        <v>23</v>
      </c>
      <c r="Y296" s="152" t="s">
        <v>1328</v>
      </c>
      <c r="Z296" s="152" t="s">
        <v>1327</v>
      </c>
    </row>
    <row r="297" spans="1:26" x14ac:dyDescent="0.2">
      <c r="A297" s="152" t="s">
        <v>1561</v>
      </c>
      <c r="B297" s="152">
        <v>1.85</v>
      </c>
      <c r="C297" s="151">
        <v>44795</v>
      </c>
      <c r="D297" s="152">
        <v>3.8273969999999999</v>
      </c>
      <c r="E297" s="152" t="s">
        <v>1325</v>
      </c>
      <c r="F297" s="152" t="s">
        <v>1326</v>
      </c>
      <c r="G297" s="152"/>
      <c r="H297" s="152"/>
      <c r="I297" s="152">
        <v>43377</v>
      </c>
      <c r="J297" s="152">
        <v>2.3199999999999998</v>
      </c>
      <c r="K297" s="151">
        <v>43327</v>
      </c>
      <c r="L297" s="152">
        <v>2.4106070000000002</v>
      </c>
      <c r="M297" s="152">
        <v>2.62453</v>
      </c>
      <c r="N297" s="152">
        <v>2.3643380000000001</v>
      </c>
      <c r="O297" s="152">
        <v>2.41954</v>
      </c>
      <c r="P297" s="152">
        <v>9.0202069999999992</v>
      </c>
      <c r="Q297" s="152">
        <v>2.41954</v>
      </c>
      <c r="R297" s="152" t="s">
        <v>1327</v>
      </c>
      <c r="S297" s="152">
        <v>97.920396999999994</v>
      </c>
      <c r="T297" s="152">
        <v>0.32438400000000001</v>
      </c>
      <c r="U297" s="152">
        <v>3.6568320000000001</v>
      </c>
      <c r="V297" s="152">
        <v>15.476953</v>
      </c>
      <c r="W297" s="152">
        <v>1000</v>
      </c>
      <c r="X297" s="152" t="s">
        <v>23</v>
      </c>
      <c r="Y297" s="152" t="s">
        <v>1328</v>
      </c>
      <c r="Z297" s="152" t="s">
        <v>1327</v>
      </c>
    </row>
    <row r="298" spans="1:26" x14ac:dyDescent="0.2">
      <c r="A298" s="152" t="s">
        <v>1562</v>
      </c>
      <c r="B298" s="152">
        <v>3.8</v>
      </c>
      <c r="C298" s="151">
        <v>44810</v>
      </c>
      <c r="D298" s="152">
        <v>3.868493</v>
      </c>
      <c r="E298" s="152" t="s">
        <v>1325</v>
      </c>
      <c r="F298" s="152" t="s">
        <v>1326</v>
      </c>
      <c r="G298" s="152"/>
      <c r="H298" s="152"/>
      <c r="I298" s="151">
        <v>43377</v>
      </c>
      <c r="J298" s="152">
        <v>2.33</v>
      </c>
      <c r="K298" s="151">
        <v>43350</v>
      </c>
      <c r="L298" s="152">
        <v>2.525468</v>
      </c>
      <c r="M298" s="152">
        <v>2.5980569999999998</v>
      </c>
      <c r="N298" s="152">
        <v>2.3530440000000001</v>
      </c>
      <c r="O298" s="152">
        <v>2.4208189999999998</v>
      </c>
      <c r="P298" s="152">
        <v>9.0901429999999994</v>
      </c>
      <c r="Q298" s="152">
        <v>2.4208189999999998</v>
      </c>
      <c r="R298" s="152" t="s">
        <v>1327</v>
      </c>
      <c r="S298" s="152">
        <v>105.06874500000001</v>
      </c>
      <c r="T298" s="152">
        <v>0.51013699999999995</v>
      </c>
      <c r="U298" s="152">
        <v>3.5745019999999998</v>
      </c>
      <c r="V298" s="152">
        <v>15.084343000000001</v>
      </c>
      <c r="W298" s="152">
        <v>1000</v>
      </c>
      <c r="X298" s="152" t="s">
        <v>23</v>
      </c>
      <c r="Y298" s="152" t="s">
        <v>1328</v>
      </c>
      <c r="Z298" s="152" t="s">
        <v>1327</v>
      </c>
    </row>
    <row r="299" spans="1:26" x14ac:dyDescent="0.2">
      <c r="A299" s="152" t="s">
        <v>1563</v>
      </c>
      <c r="B299" s="152">
        <v>2.81</v>
      </c>
      <c r="C299" s="151">
        <v>44833</v>
      </c>
      <c r="D299" s="152">
        <v>3.9315069999999999</v>
      </c>
      <c r="E299" s="152" t="s">
        <v>1325</v>
      </c>
      <c r="F299" s="152" t="s">
        <v>1326</v>
      </c>
      <c r="G299" s="152"/>
      <c r="H299" s="152"/>
      <c r="I299" s="152">
        <v>42788</v>
      </c>
      <c r="J299" s="152">
        <v>2.4</v>
      </c>
      <c r="K299" s="151">
        <v>43395</v>
      </c>
      <c r="L299" s="152">
        <v>2.7413249999999998</v>
      </c>
      <c r="M299" s="152">
        <v>2.8038249999999998</v>
      </c>
      <c r="N299" s="152">
        <v>2.6572499999999999</v>
      </c>
      <c r="O299" s="152">
        <v>2.4317009999999999</v>
      </c>
      <c r="P299" s="152">
        <v>9.1962390000000003</v>
      </c>
      <c r="Q299" s="152">
        <v>2.4317009999999999</v>
      </c>
      <c r="R299" s="152" t="s">
        <v>1327</v>
      </c>
      <c r="S299" s="152">
        <v>101.41837099999999</v>
      </c>
      <c r="T299" s="152">
        <v>0.20016400000000001</v>
      </c>
      <c r="U299" s="152">
        <v>3.692704</v>
      </c>
      <c r="V299" s="152">
        <v>15.885842</v>
      </c>
      <c r="W299" s="152">
        <v>1000</v>
      </c>
      <c r="X299" s="152" t="s">
        <v>23</v>
      </c>
      <c r="Y299" s="152" t="s">
        <v>1328</v>
      </c>
      <c r="Z299" s="152" t="s">
        <v>1327</v>
      </c>
    </row>
    <row r="300" spans="1:26" x14ac:dyDescent="0.2">
      <c r="A300" s="152" t="s">
        <v>1564</v>
      </c>
      <c r="B300" s="152">
        <v>2.71</v>
      </c>
      <c r="C300" s="151">
        <v>44910</v>
      </c>
      <c r="D300" s="152">
        <v>4.1424659999999998</v>
      </c>
      <c r="E300" s="152" t="s">
        <v>1325</v>
      </c>
      <c r="F300" s="152" t="s">
        <v>1326</v>
      </c>
      <c r="G300" s="152"/>
      <c r="H300" s="152"/>
      <c r="I300" s="152">
        <v>42353</v>
      </c>
      <c r="J300" s="152">
        <v>2.71</v>
      </c>
      <c r="K300" s="151">
        <v>43395</v>
      </c>
      <c r="L300" s="152">
        <v>2.771328</v>
      </c>
      <c r="M300" s="152">
        <v>2.833828</v>
      </c>
      <c r="N300" s="152">
        <v>2.692526</v>
      </c>
      <c r="O300" s="152">
        <v>2.4480970000000002</v>
      </c>
      <c r="P300" s="152">
        <v>9.5418149999999997</v>
      </c>
      <c r="Q300" s="152">
        <v>2.4480970000000002</v>
      </c>
      <c r="R300" s="152" t="s">
        <v>1327</v>
      </c>
      <c r="S300" s="152">
        <v>101.01975400000001</v>
      </c>
      <c r="T300" s="152">
        <v>0.98005500000000001</v>
      </c>
      <c r="U300" s="152">
        <v>3.8607649999999998</v>
      </c>
      <c r="V300" s="152">
        <v>17.406175999999999</v>
      </c>
      <c r="W300" s="152">
        <v>1000</v>
      </c>
      <c r="X300" s="152" t="s">
        <v>23</v>
      </c>
      <c r="Y300" s="152" t="s">
        <v>1328</v>
      </c>
      <c r="Z300" s="152" t="s">
        <v>1327</v>
      </c>
    </row>
    <row r="301" spans="1:26" x14ac:dyDescent="0.2">
      <c r="A301" s="152" t="s">
        <v>1565</v>
      </c>
      <c r="B301" s="152">
        <v>3.6850000000000001</v>
      </c>
      <c r="C301" s="151">
        <v>45039</v>
      </c>
      <c r="D301" s="152">
        <v>4.4958900000000002</v>
      </c>
      <c r="E301" s="152" t="s">
        <v>1325</v>
      </c>
      <c r="F301" s="152" t="s">
        <v>1326</v>
      </c>
      <c r="G301" s="152"/>
      <c r="H301" s="152"/>
      <c r="I301" s="151">
        <v>41375</v>
      </c>
      <c r="J301" s="152">
        <v>3.6850480000000001</v>
      </c>
      <c r="K301" s="151">
        <v>43395</v>
      </c>
      <c r="L301" s="152">
        <v>2.8142309999999999</v>
      </c>
      <c r="M301" s="152">
        <v>2.8767309999999999</v>
      </c>
      <c r="N301" s="152">
        <v>2.744265</v>
      </c>
      <c r="O301" s="152">
        <v>2.4872930000000002</v>
      </c>
      <c r="P301" s="152">
        <v>10.090176</v>
      </c>
      <c r="Q301" s="152">
        <v>2.4872930000000002</v>
      </c>
      <c r="R301" s="152" t="s">
        <v>1327</v>
      </c>
      <c r="S301" s="152">
        <v>105.066868</v>
      </c>
      <c r="T301" s="152">
        <v>2.0192000000000002E-2</v>
      </c>
      <c r="U301" s="152">
        <v>4.1386820000000002</v>
      </c>
      <c r="V301" s="152">
        <v>19.927631000000002</v>
      </c>
      <c r="W301" s="152">
        <v>1000</v>
      </c>
      <c r="X301" s="152" t="s">
        <v>23</v>
      </c>
      <c r="Y301" s="152" t="s">
        <v>1328</v>
      </c>
      <c r="Z301" s="152" t="s">
        <v>1327</v>
      </c>
    </row>
    <row r="302" spans="1:26" x14ac:dyDescent="0.2">
      <c r="A302" s="152" t="s">
        <v>1566</v>
      </c>
      <c r="B302" s="152">
        <v>3.73</v>
      </c>
      <c r="C302" s="151">
        <v>45062</v>
      </c>
      <c r="D302" s="152">
        <v>4.5589040000000001</v>
      </c>
      <c r="E302" s="152" t="s">
        <v>1325</v>
      </c>
      <c r="F302" s="152" t="s">
        <v>1326</v>
      </c>
      <c r="G302" s="152"/>
      <c r="H302" s="152"/>
      <c r="I302" s="151">
        <v>43278</v>
      </c>
      <c r="J302" s="152">
        <v>2.25</v>
      </c>
      <c r="K302" s="151">
        <v>43395</v>
      </c>
      <c r="L302" s="152">
        <v>2.8218489999999998</v>
      </c>
      <c r="M302" s="152">
        <v>2.8843489999999998</v>
      </c>
      <c r="N302" s="152">
        <v>2.7534589999999999</v>
      </c>
      <c r="O302" s="152">
        <v>2.4928110000000001</v>
      </c>
      <c r="P302" s="152">
        <v>10.184229</v>
      </c>
      <c r="Q302" s="152">
        <v>2.4928110000000001</v>
      </c>
      <c r="R302" s="152" t="s">
        <v>1327</v>
      </c>
      <c r="S302" s="152">
        <v>105.28536</v>
      </c>
      <c r="T302" s="152">
        <v>1.6555070000000001</v>
      </c>
      <c r="U302" s="152">
        <v>4.129588</v>
      </c>
      <c r="V302" s="152">
        <v>20.135159000000002</v>
      </c>
      <c r="W302" s="152">
        <v>1000</v>
      </c>
      <c r="X302" s="152" t="s">
        <v>23</v>
      </c>
      <c r="Y302" s="152" t="s">
        <v>1328</v>
      </c>
      <c r="Z302" s="152" t="s">
        <v>1327</v>
      </c>
    </row>
    <row r="303" spans="1:26" x14ac:dyDescent="0.2">
      <c r="A303" s="152" t="s">
        <v>1567</v>
      </c>
      <c r="B303" s="152">
        <v>6.5389999999999997</v>
      </c>
      <c r="C303" s="151">
        <v>45110</v>
      </c>
      <c r="D303" s="152">
        <v>4.6904110000000001</v>
      </c>
      <c r="E303" s="152" t="s">
        <v>1325</v>
      </c>
      <c r="F303" s="152" t="s">
        <v>1326</v>
      </c>
      <c r="G303" s="152"/>
      <c r="H303" s="152"/>
      <c r="I303" s="151" t="s">
        <v>1327</v>
      </c>
      <c r="J303" s="152" t="s">
        <v>1327</v>
      </c>
      <c r="K303" s="151">
        <v>43395</v>
      </c>
      <c r="L303" s="152">
        <v>2.8393000000000002</v>
      </c>
      <c r="M303" s="152">
        <v>2.9018000000000002</v>
      </c>
      <c r="N303" s="152">
        <v>2.774197</v>
      </c>
      <c r="O303" s="152">
        <v>2.4954399999999999</v>
      </c>
      <c r="P303" s="152">
        <v>10.377126000000001</v>
      </c>
      <c r="Q303" s="152">
        <v>2.4954399999999999</v>
      </c>
      <c r="R303" s="152" t="s">
        <v>1327</v>
      </c>
      <c r="S303" s="152">
        <v>117.766887</v>
      </c>
      <c r="T303" s="152">
        <v>2.0423179999999999</v>
      </c>
      <c r="U303" s="152">
        <v>4.0498120000000002</v>
      </c>
      <c r="V303" s="152">
        <v>19.904057999999999</v>
      </c>
      <c r="W303" s="152">
        <v>1000</v>
      </c>
      <c r="X303" s="152" t="s">
        <v>23</v>
      </c>
      <c r="Y303" s="152" t="s">
        <v>1328</v>
      </c>
      <c r="Z303" s="152" t="s">
        <v>1327</v>
      </c>
    </row>
    <row r="304" spans="1:26" x14ac:dyDescent="0.2">
      <c r="A304" s="152" t="s">
        <v>1568</v>
      </c>
      <c r="B304" s="152">
        <v>4.03</v>
      </c>
      <c r="C304" s="151">
        <v>45118</v>
      </c>
      <c r="D304" s="152">
        <v>4.7123290000000004</v>
      </c>
      <c r="E304" s="152" t="s">
        <v>1325</v>
      </c>
      <c r="F304" s="152" t="s">
        <v>1326</v>
      </c>
      <c r="G304" s="152"/>
      <c r="H304" s="152"/>
      <c r="I304" s="151">
        <v>40728</v>
      </c>
      <c r="J304" s="152">
        <v>4.0282640000000001</v>
      </c>
      <c r="K304" s="151">
        <v>43395</v>
      </c>
      <c r="L304" s="152">
        <v>2.8427259999999999</v>
      </c>
      <c r="M304" s="152">
        <v>2.9052259999999999</v>
      </c>
      <c r="N304" s="152">
        <v>2.7781709999999999</v>
      </c>
      <c r="O304" s="152">
        <v>2.5095369999999999</v>
      </c>
      <c r="P304" s="152">
        <v>10.408842</v>
      </c>
      <c r="Q304" s="152">
        <v>2.5095369999999999</v>
      </c>
      <c r="R304" s="152" t="s">
        <v>1327</v>
      </c>
      <c r="S304" s="152">
        <v>106.700068</v>
      </c>
      <c r="T304" s="152">
        <v>1.170356</v>
      </c>
      <c r="U304" s="152">
        <v>4.255757</v>
      </c>
      <c r="V304" s="152">
        <v>21.314779999999999</v>
      </c>
      <c r="W304" s="152">
        <v>1000</v>
      </c>
      <c r="X304" s="152" t="s">
        <v>23</v>
      </c>
      <c r="Y304" s="152" t="s">
        <v>1328</v>
      </c>
      <c r="Z304" s="152" t="s">
        <v>1327</v>
      </c>
    </row>
    <row r="305" spans="1:26" x14ac:dyDescent="0.2">
      <c r="A305" s="152" t="s">
        <v>1569</v>
      </c>
      <c r="B305" s="152">
        <v>3.99</v>
      </c>
      <c r="C305" s="151">
        <v>45163</v>
      </c>
      <c r="D305" s="152">
        <v>4.8356159999999999</v>
      </c>
      <c r="E305" s="152" t="s">
        <v>1325</v>
      </c>
      <c r="F305" s="152" t="s">
        <v>1326</v>
      </c>
      <c r="G305" s="152"/>
      <c r="H305" s="152"/>
      <c r="I305" s="152">
        <v>43241</v>
      </c>
      <c r="J305" s="152">
        <v>2.25</v>
      </c>
      <c r="K305" s="151">
        <v>43395</v>
      </c>
      <c r="L305" s="152">
        <v>2.8619979999999998</v>
      </c>
      <c r="M305" s="152">
        <v>2.9244979999999998</v>
      </c>
      <c r="N305" s="152">
        <v>2.8005249999999999</v>
      </c>
      <c r="O305" s="152">
        <v>2.5224869999999999</v>
      </c>
      <c r="P305" s="152">
        <v>10.585005000000001</v>
      </c>
      <c r="Q305" s="152">
        <v>2.5224869999999999</v>
      </c>
      <c r="R305" s="152" t="s">
        <v>1327</v>
      </c>
      <c r="S305" s="152">
        <v>106.623936</v>
      </c>
      <c r="T305" s="152">
        <v>0.66682200000000003</v>
      </c>
      <c r="U305" s="152">
        <v>4.380369</v>
      </c>
      <c r="V305" s="152">
        <v>22.444866000000001</v>
      </c>
      <c r="W305" s="152">
        <v>1000</v>
      </c>
      <c r="X305" s="152" t="s">
        <v>23</v>
      </c>
      <c r="Y305" s="152" t="s">
        <v>1328</v>
      </c>
      <c r="Z305" s="152" t="s">
        <v>1327</v>
      </c>
    </row>
    <row r="306" spans="1:26" x14ac:dyDescent="0.2">
      <c r="A306" s="152" t="s">
        <v>1570</v>
      </c>
      <c r="B306" s="152">
        <v>4.59</v>
      </c>
      <c r="C306" s="151">
        <v>45175</v>
      </c>
      <c r="D306" s="152">
        <v>4.868493</v>
      </c>
      <c r="E306" s="152" t="s">
        <v>1325</v>
      </c>
      <c r="F306" s="152" t="s">
        <v>1326</v>
      </c>
      <c r="G306" s="152"/>
      <c r="H306" s="152"/>
      <c r="I306" s="151" t="s">
        <v>1327</v>
      </c>
      <c r="J306" s="152" t="s">
        <v>1327</v>
      </c>
      <c r="K306" s="151">
        <v>43395</v>
      </c>
      <c r="L306" s="152">
        <v>2.867137</v>
      </c>
      <c r="M306" s="152">
        <v>2.929637</v>
      </c>
      <c r="N306" s="152">
        <v>2.806486</v>
      </c>
      <c r="O306" s="152">
        <v>2.5269750000000002</v>
      </c>
      <c r="P306" s="152">
        <v>10.631353000000001</v>
      </c>
      <c r="Q306" s="152">
        <v>2.5269750000000002</v>
      </c>
      <c r="R306" s="152" t="s">
        <v>1327</v>
      </c>
      <c r="S306" s="152">
        <v>109.39847</v>
      </c>
      <c r="T306" s="152">
        <v>0.61619199999999996</v>
      </c>
      <c r="U306" s="152">
        <v>4.3566159999999998</v>
      </c>
      <c r="V306" s="152">
        <v>22.336734</v>
      </c>
      <c r="W306" s="152">
        <v>1000</v>
      </c>
      <c r="X306" s="152" t="s">
        <v>23</v>
      </c>
      <c r="Y306" s="152" t="s">
        <v>1328</v>
      </c>
      <c r="Z306" s="152" t="s">
        <v>1327</v>
      </c>
    </row>
    <row r="307" spans="1:26" x14ac:dyDescent="0.2">
      <c r="A307" s="152" t="s">
        <v>1571</v>
      </c>
      <c r="B307" s="152">
        <v>4.3499999999999996</v>
      </c>
      <c r="C307" s="151">
        <v>45199</v>
      </c>
      <c r="D307" s="152">
        <v>4.934247</v>
      </c>
      <c r="E307" s="152" t="s">
        <v>1325</v>
      </c>
      <c r="F307" s="152" t="s">
        <v>1326</v>
      </c>
      <c r="G307" s="152"/>
      <c r="H307" s="152"/>
      <c r="I307" s="151">
        <v>41894</v>
      </c>
      <c r="J307" s="152">
        <v>3.7549999999999999</v>
      </c>
      <c r="K307" s="151">
        <v>43395</v>
      </c>
      <c r="L307" s="152">
        <v>2.8774150000000001</v>
      </c>
      <c r="M307" s="152">
        <v>2.9399150000000001</v>
      </c>
      <c r="N307" s="152">
        <v>2.8184079999999998</v>
      </c>
      <c r="O307" s="152">
        <v>2.5343610000000001</v>
      </c>
      <c r="P307" s="152">
        <v>10.723276</v>
      </c>
      <c r="Q307" s="152">
        <v>2.5343610000000001</v>
      </c>
      <c r="R307" s="152" t="s">
        <v>1327</v>
      </c>
      <c r="S307" s="152">
        <v>108.37686600000001</v>
      </c>
      <c r="T307" s="152">
        <v>0.29794500000000002</v>
      </c>
      <c r="U307" s="152">
        <v>4.4401859999999997</v>
      </c>
      <c r="V307" s="152">
        <v>23.070025999999999</v>
      </c>
      <c r="W307" s="152">
        <v>1000</v>
      </c>
      <c r="X307" s="152" t="s">
        <v>23</v>
      </c>
      <c r="Y307" s="152" t="s">
        <v>1328</v>
      </c>
      <c r="Z307" s="152" t="s">
        <v>1327</v>
      </c>
    </row>
    <row r="308" spans="1:26" x14ac:dyDescent="0.2">
      <c r="A308" s="152" t="s">
        <v>1572</v>
      </c>
      <c r="B308" s="152">
        <v>4.3499999999999996</v>
      </c>
      <c r="C308" s="151">
        <v>45193</v>
      </c>
      <c r="D308" s="152">
        <v>4.917808</v>
      </c>
      <c r="E308" s="152" t="s">
        <v>1325</v>
      </c>
      <c r="F308" s="152" t="s">
        <v>1326</v>
      </c>
      <c r="G308" s="152"/>
      <c r="H308" s="152"/>
      <c r="I308" s="151">
        <v>41816</v>
      </c>
      <c r="J308" s="152">
        <v>3.96</v>
      </c>
      <c r="K308" s="151">
        <v>43395</v>
      </c>
      <c r="L308" s="152">
        <v>2.8748450000000001</v>
      </c>
      <c r="M308" s="152">
        <v>2.9373450000000001</v>
      </c>
      <c r="N308" s="152">
        <v>2.8154270000000001</v>
      </c>
      <c r="O308" s="152">
        <v>2.5328240000000002</v>
      </c>
      <c r="P308" s="152">
        <v>10.700392000000001</v>
      </c>
      <c r="Q308" s="152">
        <v>2.5328240000000002</v>
      </c>
      <c r="R308" s="152" t="s">
        <v>1327</v>
      </c>
      <c r="S308" s="152">
        <v>108.35775099999999</v>
      </c>
      <c r="T308" s="152">
        <v>0.369452</v>
      </c>
      <c r="U308" s="152">
        <v>4.4240050000000002</v>
      </c>
      <c r="V308" s="152">
        <v>22.918589000000001</v>
      </c>
      <c r="W308" s="152">
        <v>1000</v>
      </c>
      <c r="X308" s="152" t="s">
        <v>23</v>
      </c>
      <c r="Y308" s="152" t="s">
        <v>1328</v>
      </c>
      <c r="Z308" s="152" t="s">
        <v>1327</v>
      </c>
    </row>
    <row r="309" spans="1:26" x14ac:dyDescent="0.2">
      <c r="A309" s="152" t="s">
        <v>1573</v>
      </c>
      <c r="B309" s="152">
        <v>4.0199999999999996</v>
      </c>
      <c r="C309" s="151">
        <v>45390</v>
      </c>
      <c r="D309" s="152">
        <v>5.4575339999999999</v>
      </c>
      <c r="E309" s="152" t="s">
        <v>1325</v>
      </c>
      <c r="F309" s="152" t="s">
        <v>1326</v>
      </c>
      <c r="G309" s="152"/>
      <c r="H309" s="152"/>
      <c r="I309" s="151">
        <v>41726</v>
      </c>
      <c r="J309" s="152">
        <v>4.0193329999999996</v>
      </c>
      <c r="K309" s="151">
        <v>43395</v>
      </c>
      <c r="L309" s="152">
        <v>2.9446889999999999</v>
      </c>
      <c r="M309" s="152">
        <v>3.0180699999999998</v>
      </c>
      <c r="N309" s="152">
        <v>2.8841800000000002</v>
      </c>
      <c r="O309" s="152">
        <v>2.587866</v>
      </c>
      <c r="P309" s="152">
        <v>11.420463</v>
      </c>
      <c r="Q309" s="152">
        <v>2.587866</v>
      </c>
      <c r="R309" s="152" t="s">
        <v>1327</v>
      </c>
      <c r="S309" s="152">
        <v>107.243138</v>
      </c>
      <c r="T309" s="152">
        <v>0.18723300000000001</v>
      </c>
      <c r="U309" s="152">
        <v>4.8990910000000003</v>
      </c>
      <c r="V309" s="152">
        <v>27.873992999999999</v>
      </c>
      <c r="W309" s="152">
        <v>1000</v>
      </c>
      <c r="X309" s="152" t="s">
        <v>23</v>
      </c>
      <c r="Y309" s="152" t="s">
        <v>1328</v>
      </c>
      <c r="Z309" s="152" t="s">
        <v>1327</v>
      </c>
    </row>
    <row r="310" spans="1:26" x14ac:dyDescent="0.2">
      <c r="A310" s="152" t="s">
        <v>1574</v>
      </c>
      <c r="B310" s="152">
        <v>3.84</v>
      </c>
      <c r="C310" s="151">
        <v>45441</v>
      </c>
      <c r="D310" s="152">
        <v>5.5972600000000003</v>
      </c>
      <c r="E310" s="152" t="s">
        <v>1325</v>
      </c>
      <c r="F310" s="152" t="s">
        <v>1326</v>
      </c>
      <c r="G310" s="152"/>
      <c r="H310" s="152"/>
      <c r="I310" s="151" t="s">
        <v>1327</v>
      </c>
      <c r="J310" s="152" t="s">
        <v>1327</v>
      </c>
      <c r="K310" s="151">
        <v>43395</v>
      </c>
      <c r="L310" s="152">
        <v>2.961589</v>
      </c>
      <c r="M310" s="152">
        <v>3.0382530000000001</v>
      </c>
      <c r="N310" s="152">
        <v>2.9001709999999998</v>
      </c>
      <c r="O310" s="152">
        <v>2.6031620000000002</v>
      </c>
      <c r="P310" s="152">
        <v>11.59707</v>
      </c>
      <c r="Q310" s="152">
        <v>2.6031620000000002</v>
      </c>
      <c r="R310" s="152" t="s">
        <v>1327</v>
      </c>
      <c r="S310" s="152">
        <v>106.384387</v>
      </c>
      <c r="T310" s="152">
        <v>1.5675619999999999</v>
      </c>
      <c r="U310" s="152">
        <v>4.970091</v>
      </c>
      <c r="V310" s="152">
        <v>28.969398999999999</v>
      </c>
      <c r="W310" s="152">
        <v>1000</v>
      </c>
      <c r="X310" s="152" t="s">
        <v>23</v>
      </c>
      <c r="Y310" s="152" t="s">
        <v>1328</v>
      </c>
      <c r="Z310" s="152" t="s">
        <v>1327</v>
      </c>
    </row>
    <row r="311" spans="1:26" x14ac:dyDescent="0.2">
      <c r="A311" s="152" t="s">
        <v>1575</v>
      </c>
      <c r="B311" s="152">
        <v>3.88</v>
      </c>
      <c r="C311" s="151">
        <v>45511</v>
      </c>
      <c r="D311" s="152">
        <v>5.7890410000000001</v>
      </c>
      <c r="E311" s="152" t="s">
        <v>1325</v>
      </c>
      <c r="F311" s="152" t="s">
        <v>1326</v>
      </c>
      <c r="G311" s="152"/>
      <c r="H311" s="152"/>
      <c r="I311" s="151">
        <v>42291</v>
      </c>
      <c r="J311" s="152">
        <v>2.98</v>
      </c>
      <c r="K311" s="151">
        <v>43395</v>
      </c>
      <c r="L311" s="152">
        <v>2.9847839999999999</v>
      </c>
      <c r="M311" s="152">
        <v>3.0659550000000002</v>
      </c>
      <c r="N311" s="152">
        <v>2.9221200000000001</v>
      </c>
      <c r="O311" s="152">
        <v>2.626636</v>
      </c>
      <c r="P311" s="152">
        <v>11.833475999999999</v>
      </c>
      <c r="Q311" s="152">
        <v>2.626636</v>
      </c>
      <c r="R311" s="152" t="s">
        <v>1327</v>
      </c>
      <c r="S311" s="152">
        <v>106.669966</v>
      </c>
      <c r="T311" s="152">
        <v>0.839781</v>
      </c>
      <c r="U311" s="152">
        <v>5.1537670000000002</v>
      </c>
      <c r="V311" s="152">
        <v>30.932773999999998</v>
      </c>
      <c r="W311" s="152">
        <v>1000</v>
      </c>
      <c r="X311" s="152" t="s">
        <v>23</v>
      </c>
      <c r="Y311" s="152" t="s">
        <v>1328</v>
      </c>
      <c r="Z311" s="152" t="s">
        <v>1327</v>
      </c>
    </row>
    <row r="312" spans="1:26" x14ac:dyDescent="0.2">
      <c r="A312" s="152" t="s">
        <v>1576</v>
      </c>
      <c r="B312" s="152">
        <v>4.42</v>
      </c>
      <c r="C312" s="151">
        <v>45542</v>
      </c>
      <c r="D312" s="152">
        <v>5.8739730000000003</v>
      </c>
      <c r="E312" s="152" t="s">
        <v>1325</v>
      </c>
      <c r="F312" s="152" t="s">
        <v>1326</v>
      </c>
      <c r="G312" s="152"/>
      <c r="H312" s="152"/>
      <c r="I312" s="152" t="s">
        <v>1327</v>
      </c>
      <c r="J312" s="152" t="s">
        <v>1327</v>
      </c>
      <c r="K312" s="151">
        <v>43395</v>
      </c>
      <c r="L312" s="152">
        <v>2.9950559999999999</v>
      </c>
      <c r="M312" s="152">
        <v>3.0782240000000001</v>
      </c>
      <c r="N312" s="152">
        <v>2.9318399999999998</v>
      </c>
      <c r="O312" s="152">
        <v>2.6379000000000001</v>
      </c>
      <c r="P312" s="152">
        <v>11.936044000000001</v>
      </c>
      <c r="Q312" s="152">
        <v>2.6379000000000001</v>
      </c>
      <c r="R312" s="152" t="s">
        <v>1327</v>
      </c>
      <c r="S312" s="152">
        <v>109.63942400000001</v>
      </c>
      <c r="T312" s="152">
        <v>0.58126</v>
      </c>
      <c r="U312" s="152">
        <v>5.1684530000000004</v>
      </c>
      <c r="V312" s="152">
        <v>31.252417000000001</v>
      </c>
      <c r="W312" s="152">
        <v>1000</v>
      </c>
      <c r="X312" s="152" t="s">
        <v>23</v>
      </c>
      <c r="Y312" s="152" t="s">
        <v>1328</v>
      </c>
      <c r="Z312" s="152" t="s">
        <v>1327</v>
      </c>
    </row>
    <row r="313" spans="1:26" x14ac:dyDescent="0.2">
      <c r="A313" s="152" t="s">
        <v>1577</v>
      </c>
      <c r="B313" s="152">
        <v>4.5999999999999996</v>
      </c>
      <c r="C313" s="151">
        <v>45563</v>
      </c>
      <c r="D313" s="152">
        <v>5.9315069999999999</v>
      </c>
      <c r="E313" s="152" t="s">
        <v>1325</v>
      </c>
      <c r="F313" s="152" t="s">
        <v>1326</v>
      </c>
      <c r="G313" s="152"/>
      <c r="H313" s="152"/>
      <c r="I313" s="151" t="s">
        <v>1327</v>
      </c>
      <c r="J313" s="152" t="s">
        <v>1327</v>
      </c>
      <c r="K313" s="151">
        <v>43395</v>
      </c>
      <c r="L313" s="152">
        <v>3.0020150000000001</v>
      </c>
      <c r="M313" s="152">
        <v>3.0865339999999999</v>
      </c>
      <c r="N313" s="152">
        <v>2.9384250000000001</v>
      </c>
      <c r="O313" s="152">
        <v>2.64418</v>
      </c>
      <c r="P313" s="152">
        <v>12.004808000000001</v>
      </c>
      <c r="Q313" s="152">
        <v>2.64418</v>
      </c>
      <c r="R313" s="152" t="s">
        <v>1327</v>
      </c>
      <c r="S313" s="152">
        <v>110.672922</v>
      </c>
      <c r="T313" s="152">
        <v>0.34027400000000002</v>
      </c>
      <c r="U313" s="152">
        <v>5.2054939999999998</v>
      </c>
      <c r="V313" s="152">
        <v>31.705162999999999</v>
      </c>
      <c r="W313" s="152">
        <v>1000</v>
      </c>
      <c r="X313" s="152" t="s">
        <v>23</v>
      </c>
      <c r="Y313" s="152" t="s">
        <v>1328</v>
      </c>
      <c r="Z313" s="152" t="s">
        <v>1327</v>
      </c>
    </row>
    <row r="314" spans="1:26" x14ac:dyDescent="0.2">
      <c r="A314" s="152" t="s">
        <v>1578</v>
      </c>
      <c r="B314" s="152">
        <v>3.23</v>
      </c>
      <c r="C314" s="151">
        <v>45623</v>
      </c>
      <c r="D314" s="152">
        <v>6.0958899999999998</v>
      </c>
      <c r="E314" s="152" t="s">
        <v>1325</v>
      </c>
      <c r="F314" s="152" t="s">
        <v>1326</v>
      </c>
      <c r="G314" s="152"/>
      <c r="H314" s="152"/>
      <c r="I314" s="151">
        <v>41969</v>
      </c>
      <c r="J314" s="152">
        <v>3.23</v>
      </c>
      <c r="K314" s="151">
        <v>43395</v>
      </c>
      <c r="L314" s="152">
        <v>3.0218970000000001</v>
      </c>
      <c r="M314" s="152">
        <v>3.1102789999999998</v>
      </c>
      <c r="N314" s="152">
        <v>2.9572379999999998</v>
      </c>
      <c r="O314" s="152">
        <v>2.6724679999999998</v>
      </c>
      <c r="P314" s="152">
        <v>12.198176</v>
      </c>
      <c r="Q314" s="152">
        <v>2.6724679999999998</v>
      </c>
      <c r="R314" s="152" t="s">
        <v>1327</v>
      </c>
      <c r="S314" s="152">
        <v>103.099677</v>
      </c>
      <c r="T314" s="152">
        <v>1.336247</v>
      </c>
      <c r="U314" s="152">
        <v>5.4441660000000001</v>
      </c>
      <c r="V314" s="152">
        <v>34.363174999999998</v>
      </c>
      <c r="W314" s="152">
        <v>1000</v>
      </c>
      <c r="X314" s="152" t="s">
        <v>23</v>
      </c>
      <c r="Y314" s="152" t="s">
        <v>1328</v>
      </c>
      <c r="Z314" s="152" t="s">
        <v>1327</v>
      </c>
    </row>
    <row r="315" spans="1:26" x14ac:dyDescent="0.2">
      <c r="A315" s="152" t="s">
        <v>1579</v>
      </c>
      <c r="B315" s="152">
        <v>3.64</v>
      </c>
      <c r="C315" s="151">
        <v>45760</v>
      </c>
      <c r="D315" s="152">
        <v>6.4712329999999998</v>
      </c>
      <c r="E315" s="152" t="s">
        <v>1325</v>
      </c>
      <c r="F315" s="152" t="s">
        <v>1326</v>
      </c>
      <c r="G315" s="152"/>
      <c r="H315" s="152"/>
      <c r="I315" s="151">
        <v>42362</v>
      </c>
      <c r="J315" s="152">
        <v>2.9</v>
      </c>
      <c r="K315" s="151">
        <v>43395</v>
      </c>
      <c r="L315" s="152">
        <v>3.0672929999999998</v>
      </c>
      <c r="M315" s="152">
        <v>3.1644960000000002</v>
      </c>
      <c r="N315" s="152">
        <v>3.0001950000000002</v>
      </c>
      <c r="O315" s="152">
        <v>2.7187350000000001</v>
      </c>
      <c r="P315" s="152">
        <v>12.623416000000001</v>
      </c>
      <c r="Q315" s="152">
        <v>2.7187350000000001</v>
      </c>
      <c r="R315" s="152" t="s">
        <v>1327</v>
      </c>
      <c r="S315" s="152">
        <v>105.433025</v>
      </c>
      <c r="T315" s="152">
        <v>0.119671</v>
      </c>
      <c r="U315" s="152">
        <v>5.7550520000000001</v>
      </c>
      <c r="V315" s="152">
        <v>38.170423</v>
      </c>
      <c r="W315" s="152">
        <v>1000</v>
      </c>
      <c r="X315" s="152" t="s">
        <v>23</v>
      </c>
      <c r="Y315" s="152" t="s">
        <v>1328</v>
      </c>
      <c r="Z315" s="152" t="s">
        <v>1327</v>
      </c>
    </row>
    <row r="316" spans="1:26" x14ac:dyDescent="0.2">
      <c r="A316" s="152" t="s">
        <v>1580</v>
      </c>
      <c r="B316" s="152">
        <v>4.49</v>
      </c>
      <c r="C316" s="151">
        <v>45924</v>
      </c>
      <c r="D316" s="152">
        <v>6.9205480000000001</v>
      </c>
      <c r="E316" s="152" t="s">
        <v>1325</v>
      </c>
      <c r="F316" s="152" t="s">
        <v>1326</v>
      </c>
      <c r="G316" s="152"/>
      <c r="H316" s="152"/>
      <c r="I316" s="152" t="s">
        <v>1327</v>
      </c>
      <c r="J316" s="152" t="s">
        <v>1327</v>
      </c>
      <c r="K316" s="151">
        <v>43395</v>
      </c>
      <c r="L316" s="152">
        <v>3.1216370000000002</v>
      </c>
      <c r="M316" s="152">
        <v>3.2293989999999999</v>
      </c>
      <c r="N316" s="152">
        <v>3.0516179999999999</v>
      </c>
      <c r="O316" s="152">
        <v>2.766953</v>
      </c>
      <c r="P316" s="152">
        <v>13.105219</v>
      </c>
      <c r="Q316" s="152">
        <v>2.766953</v>
      </c>
      <c r="R316" s="152" t="s">
        <v>1327</v>
      </c>
      <c r="S316" s="152">
        <v>110.787345</v>
      </c>
      <c r="T316" s="152">
        <v>0.38134200000000001</v>
      </c>
      <c r="U316" s="152">
        <v>5.9676450000000001</v>
      </c>
      <c r="V316" s="152">
        <v>41.660283999999997</v>
      </c>
      <c r="W316" s="152">
        <v>1000</v>
      </c>
      <c r="X316" s="152" t="s">
        <v>23</v>
      </c>
      <c r="Y316" s="152" t="s">
        <v>1328</v>
      </c>
      <c r="Z316" s="152" t="s">
        <v>1327</v>
      </c>
    </row>
    <row r="317" spans="1:26" x14ac:dyDescent="0.2">
      <c r="A317" s="152" t="s">
        <v>1581</v>
      </c>
      <c r="B317" s="152">
        <v>4.4770000000000003</v>
      </c>
      <c r="C317" s="151">
        <v>45930</v>
      </c>
      <c r="D317" s="152">
        <v>6.9369860000000001</v>
      </c>
      <c r="E317" s="152" t="s">
        <v>1325</v>
      </c>
      <c r="F317" s="152" t="s">
        <v>1326</v>
      </c>
      <c r="G317" s="152"/>
      <c r="H317" s="152"/>
      <c r="I317" s="151">
        <v>41543</v>
      </c>
      <c r="J317" s="152">
        <v>4.4770000000000003</v>
      </c>
      <c r="K317" s="151">
        <v>43395</v>
      </c>
      <c r="L317" s="152">
        <v>3.1236250000000001</v>
      </c>
      <c r="M317" s="152">
        <v>3.231773</v>
      </c>
      <c r="N317" s="152">
        <v>3.053499</v>
      </c>
      <c r="O317" s="152">
        <v>2.7688549999999998</v>
      </c>
      <c r="P317" s="152">
        <v>13.122323</v>
      </c>
      <c r="Q317" s="152">
        <v>2.7688549999999998</v>
      </c>
      <c r="R317" s="152" t="s">
        <v>1327</v>
      </c>
      <c r="S317" s="152">
        <v>110.71681700000001</v>
      </c>
      <c r="T317" s="152">
        <v>0.30664400000000003</v>
      </c>
      <c r="U317" s="152">
        <v>5.9855739999999997</v>
      </c>
      <c r="V317" s="152">
        <v>41.878413000000002</v>
      </c>
      <c r="W317" s="152">
        <v>1000</v>
      </c>
      <c r="X317" s="152" t="s">
        <v>23</v>
      </c>
      <c r="Y317" s="152" t="s">
        <v>1328</v>
      </c>
      <c r="Z317" s="152" t="s">
        <v>1327</v>
      </c>
    </row>
    <row r="318" spans="1:26" x14ac:dyDescent="0.2">
      <c r="A318" s="152" t="s">
        <v>1582</v>
      </c>
      <c r="B318" s="152">
        <v>2.67</v>
      </c>
      <c r="C318" s="151">
        <v>46603</v>
      </c>
      <c r="D318" s="152">
        <v>8.7808220000000006</v>
      </c>
      <c r="E318" s="152" t="s">
        <v>1325</v>
      </c>
      <c r="F318" s="152" t="s">
        <v>1326</v>
      </c>
      <c r="G318" s="152"/>
      <c r="H318" s="152"/>
      <c r="I318" s="151">
        <v>42949</v>
      </c>
      <c r="J318" s="152">
        <v>2.67</v>
      </c>
      <c r="K318" s="151">
        <v>43395</v>
      </c>
      <c r="L318" s="152">
        <v>3.3207749999999998</v>
      </c>
      <c r="M318" s="152">
        <v>3.472254</v>
      </c>
      <c r="N318" s="152">
        <v>3.2386650000000001</v>
      </c>
      <c r="O318" s="152">
        <v>2.9586440000000001</v>
      </c>
      <c r="P318" s="152">
        <v>14.845665</v>
      </c>
      <c r="Q318" s="152">
        <v>2.9586440000000001</v>
      </c>
      <c r="R318" s="152" t="s">
        <v>1327</v>
      </c>
      <c r="S318" s="152">
        <v>97.769189999999995</v>
      </c>
      <c r="T318" s="152">
        <v>0.59983600000000004</v>
      </c>
      <c r="U318" s="152">
        <v>7.7115070000000001</v>
      </c>
      <c r="V318" s="152">
        <v>67.899389999999997</v>
      </c>
      <c r="W318" s="152">
        <v>1000</v>
      </c>
      <c r="X318" s="152" t="s">
        <v>23</v>
      </c>
      <c r="Y318" s="152" t="s">
        <v>1328</v>
      </c>
      <c r="Z318" s="152" t="s">
        <v>1327</v>
      </c>
    </row>
    <row r="319" spans="1:26" x14ac:dyDescent="0.2">
      <c r="A319" s="152" t="s">
        <v>1583</v>
      </c>
      <c r="B319" s="152">
        <v>2.64</v>
      </c>
      <c r="C319" s="151">
        <v>46841</v>
      </c>
      <c r="D319" s="152">
        <v>9.4328769999999995</v>
      </c>
      <c r="E319" s="152" t="s">
        <v>1325</v>
      </c>
      <c r="F319" s="152" t="s">
        <v>1326</v>
      </c>
      <c r="G319" s="152"/>
      <c r="H319" s="152"/>
      <c r="I319" s="151" t="s">
        <v>1327</v>
      </c>
      <c r="J319" s="152" t="s">
        <v>1327</v>
      </c>
      <c r="K319" s="151">
        <v>43395</v>
      </c>
      <c r="L319" s="152">
        <v>3.3603170000000002</v>
      </c>
      <c r="M319" s="152">
        <v>3.5271189999999999</v>
      </c>
      <c r="N319" s="152">
        <v>3.273968</v>
      </c>
      <c r="O319" s="152">
        <v>2.9682409999999999</v>
      </c>
      <c r="P319" s="152">
        <v>15.378107999999999</v>
      </c>
      <c r="Q319" s="152">
        <v>2.9682409999999999</v>
      </c>
      <c r="R319" s="152" t="s">
        <v>1327</v>
      </c>
      <c r="S319" s="152">
        <v>97.328277999999997</v>
      </c>
      <c r="T319" s="152">
        <v>0.188055</v>
      </c>
      <c r="U319" s="152">
        <v>8.2486940000000004</v>
      </c>
      <c r="V319" s="152">
        <v>77.475168999999994</v>
      </c>
      <c r="W319" s="152">
        <v>1000</v>
      </c>
      <c r="X319" s="152" t="s">
        <v>23</v>
      </c>
      <c r="Y319" s="152" t="s">
        <v>1328</v>
      </c>
      <c r="Z319" s="152" t="s">
        <v>1327</v>
      </c>
    </row>
    <row r="320" spans="1:26" x14ac:dyDescent="0.2">
      <c r="A320" s="152" t="s">
        <v>1584</v>
      </c>
      <c r="B320" s="152">
        <v>4</v>
      </c>
      <c r="C320" s="151">
        <v>47359</v>
      </c>
      <c r="D320" s="152">
        <v>10.852055</v>
      </c>
      <c r="E320" s="152" t="s">
        <v>1325</v>
      </c>
      <c r="F320" s="152" t="s">
        <v>1326</v>
      </c>
      <c r="G320" s="152"/>
      <c r="H320" s="152"/>
      <c r="I320" s="151">
        <v>42291</v>
      </c>
      <c r="J320" s="152">
        <v>3.3039999999999998</v>
      </c>
      <c r="K320" s="151">
        <v>43395</v>
      </c>
      <c r="L320" s="152">
        <v>3.5379209999999999</v>
      </c>
      <c r="M320" s="152">
        <v>3.710718</v>
      </c>
      <c r="N320" s="152">
        <v>3.4578690000000001</v>
      </c>
      <c r="O320" s="152">
        <v>3.204329</v>
      </c>
      <c r="P320" s="152">
        <v>16.430306000000002</v>
      </c>
      <c r="Q320" s="152">
        <v>3.204329</v>
      </c>
      <c r="R320" s="152" t="s">
        <v>1327</v>
      </c>
      <c r="S320" s="152">
        <v>107.23215</v>
      </c>
      <c r="T320" s="152">
        <v>0.62465800000000005</v>
      </c>
      <c r="U320" s="152">
        <v>8.7928960000000007</v>
      </c>
      <c r="V320" s="152">
        <v>91.740132000000003</v>
      </c>
      <c r="W320" s="152">
        <v>1000</v>
      </c>
      <c r="X320" s="152" t="s">
        <v>23</v>
      </c>
      <c r="Y320" s="152" t="s">
        <v>1328</v>
      </c>
      <c r="Z320" s="152" t="s">
        <v>1327</v>
      </c>
    </row>
    <row r="321" spans="1:26" x14ac:dyDescent="0.2">
      <c r="A321" s="152" t="s">
        <v>1585</v>
      </c>
      <c r="B321" s="152">
        <v>3.26</v>
      </c>
      <c r="C321" s="151">
        <v>47832</v>
      </c>
      <c r="D321" s="152">
        <v>12.147945</v>
      </c>
      <c r="E321" s="152" t="s">
        <v>1325</v>
      </c>
      <c r="F321" s="152" t="s">
        <v>1326</v>
      </c>
      <c r="G321" s="152"/>
      <c r="H321" s="152"/>
      <c r="I321" s="151">
        <v>42633</v>
      </c>
      <c r="J321" s="152">
        <v>2.9175</v>
      </c>
      <c r="K321" s="151">
        <v>43395</v>
      </c>
      <c r="L321" s="152">
        <v>3.6744140000000001</v>
      </c>
      <c r="M321" s="152">
        <v>3.8363260000000001</v>
      </c>
      <c r="N321" s="152">
        <v>3.609394</v>
      </c>
      <c r="O321" s="152">
        <v>3.3285629999999999</v>
      </c>
      <c r="P321" s="152">
        <v>17.286360999999999</v>
      </c>
      <c r="Q321" s="152">
        <v>3.3285629999999999</v>
      </c>
      <c r="R321" s="152" t="s">
        <v>1327</v>
      </c>
      <c r="S321" s="152">
        <v>99.312696000000003</v>
      </c>
      <c r="T321" s="152">
        <v>1.1789590000000001</v>
      </c>
      <c r="U321" s="152">
        <v>9.8326150000000005</v>
      </c>
      <c r="V321" s="152">
        <v>114.56024499999999</v>
      </c>
      <c r="W321" s="152">
        <v>1000</v>
      </c>
      <c r="X321" s="152" t="s">
        <v>23</v>
      </c>
      <c r="Y321" s="152" t="s">
        <v>1328</v>
      </c>
      <c r="Z321" s="152" t="s">
        <v>1327</v>
      </c>
    </row>
    <row r="322" spans="1:26" x14ac:dyDescent="0.2">
      <c r="A322" s="152" t="s">
        <v>1586</v>
      </c>
      <c r="B322" s="152">
        <v>2.8</v>
      </c>
      <c r="C322" s="151">
        <v>48016</v>
      </c>
      <c r="D322" s="152">
        <v>12.652055000000001</v>
      </c>
      <c r="E322" s="152" t="s">
        <v>1325</v>
      </c>
      <c r="F322" s="152" t="s">
        <v>1326</v>
      </c>
      <c r="G322" s="152"/>
      <c r="H322" s="152"/>
      <c r="I322" s="152">
        <v>42537</v>
      </c>
      <c r="J322" s="152">
        <v>2.8</v>
      </c>
      <c r="K322" s="151">
        <v>43395</v>
      </c>
      <c r="L322" s="152">
        <v>3.7275109999999998</v>
      </c>
      <c r="M322" s="152">
        <v>3.8851879999999999</v>
      </c>
      <c r="N322" s="152">
        <v>3.6683379999999999</v>
      </c>
      <c r="O322" s="152">
        <v>3.3501219999999998</v>
      </c>
      <c r="P322" s="152">
        <v>17.596764</v>
      </c>
      <c r="Q322" s="152">
        <v>3.3501219999999998</v>
      </c>
      <c r="R322" s="152" t="s">
        <v>1327</v>
      </c>
      <c r="S322" s="152">
        <v>94.360843000000003</v>
      </c>
      <c r="T322" s="152">
        <v>0.99726000000000004</v>
      </c>
      <c r="U322" s="152">
        <v>10.382342</v>
      </c>
      <c r="V322" s="152">
        <v>126.440015</v>
      </c>
      <c r="W322" s="152">
        <v>1000</v>
      </c>
      <c r="X322" s="152" t="s">
        <v>23</v>
      </c>
      <c r="Y322" s="152" t="s">
        <v>1328</v>
      </c>
      <c r="Z322" s="152" t="s">
        <v>1327</v>
      </c>
    </row>
    <row r="323" spans="1:26" x14ac:dyDescent="0.2">
      <c r="A323" s="152" t="s">
        <v>1587</v>
      </c>
      <c r="B323" s="152"/>
      <c r="C323" s="151"/>
      <c r="D323" s="152"/>
      <c r="E323" s="152"/>
      <c r="F323" s="152"/>
      <c r="G323" s="152"/>
      <c r="H323" s="152"/>
      <c r="I323" s="151"/>
      <c r="J323" s="152"/>
      <c r="K323" s="151"/>
      <c r="L323" s="152"/>
      <c r="M323" s="152"/>
      <c r="N323" s="152"/>
      <c r="O323" s="152"/>
      <c r="P323" s="152"/>
      <c r="Q323" s="152"/>
      <c r="R323" s="152"/>
      <c r="S323" s="152"/>
      <c r="T323" s="152"/>
      <c r="U323" s="152"/>
      <c r="V323" s="152"/>
      <c r="W323" s="152"/>
      <c r="X323" s="152"/>
      <c r="Y323" s="152"/>
      <c r="Z323" s="152"/>
    </row>
    <row r="324" spans="1:26" x14ac:dyDescent="0.2">
      <c r="A324" s="152" t="s">
        <v>1588</v>
      </c>
      <c r="B324" s="152">
        <v>4.4189999999999996</v>
      </c>
      <c r="C324" s="151">
        <v>43550</v>
      </c>
      <c r="D324" s="152">
        <v>0.41643799999999997</v>
      </c>
      <c r="E324" s="152" t="s">
        <v>1325</v>
      </c>
      <c r="F324" s="152" t="s">
        <v>1326</v>
      </c>
      <c r="G324" s="152"/>
      <c r="H324" s="152"/>
      <c r="I324" s="151">
        <v>43336</v>
      </c>
      <c r="J324" s="152">
        <v>1.7324999999999999</v>
      </c>
      <c r="K324" s="151">
        <v>41320</v>
      </c>
      <c r="L324" s="152">
        <v>3.6415199999999999</v>
      </c>
      <c r="M324" s="152">
        <v>4.5723859999999998</v>
      </c>
      <c r="N324" s="152">
        <v>3.635103</v>
      </c>
      <c r="O324" s="152">
        <v>1.8953040000000001</v>
      </c>
      <c r="P324" s="152">
        <v>20.066887999999999</v>
      </c>
      <c r="Q324" s="152">
        <v>1.8953040000000001</v>
      </c>
      <c r="R324" s="152" t="s">
        <v>1327</v>
      </c>
      <c r="S324" s="152">
        <v>101.058629</v>
      </c>
      <c r="T324" s="152">
        <v>0.35109899999999999</v>
      </c>
      <c r="U324" s="152">
        <v>0.41252899999999998</v>
      </c>
      <c r="V324" s="152">
        <v>0.37450800000000001</v>
      </c>
      <c r="W324" s="152">
        <v>1000</v>
      </c>
      <c r="X324" s="152" t="s">
        <v>23</v>
      </c>
      <c r="Y324" s="152" t="s">
        <v>1328</v>
      </c>
      <c r="Z324" s="152" t="s">
        <v>1327</v>
      </c>
    </row>
    <row r="325" spans="1:26" x14ac:dyDescent="0.2">
      <c r="A325" s="152" t="s">
        <v>1589</v>
      </c>
      <c r="B325" s="152">
        <v>4.25</v>
      </c>
      <c r="C325" s="151">
        <v>43578</v>
      </c>
      <c r="D325" s="152">
        <v>0.49315100000000001</v>
      </c>
      <c r="E325" s="152" t="s">
        <v>1325</v>
      </c>
      <c r="F325" s="152" t="s">
        <v>1326</v>
      </c>
      <c r="G325" s="152"/>
      <c r="H325" s="152"/>
      <c r="I325" s="152" t="s">
        <v>1327</v>
      </c>
      <c r="J325" s="152" t="s">
        <v>1327</v>
      </c>
      <c r="K325" s="151">
        <v>41362</v>
      </c>
      <c r="L325" s="152">
        <v>3.6076950000000001</v>
      </c>
      <c r="M325" s="152">
        <v>4.5724</v>
      </c>
      <c r="N325" s="152">
        <v>3.5895280000000001</v>
      </c>
      <c r="O325" s="152">
        <v>1.8629500000000001</v>
      </c>
      <c r="P325" s="152">
        <v>12.80297</v>
      </c>
      <c r="Q325" s="152">
        <v>1.8629500000000001</v>
      </c>
      <c r="R325" s="152" t="s">
        <v>1327</v>
      </c>
      <c r="S325" s="152">
        <v>101.17207399999999</v>
      </c>
      <c r="T325" s="152">
        <v>2.3288E-2</v>
      </c>
      <c r="U325" s="152">
        <v>0.48859999999999998</v>
      </c>
      <c r="V325" s="152">
        <v>0.48077500000000001</v>
      </c>
      <c r="W325" s="152">
        <v>1000</v>
      </c>
      <c r="X325" s="152" t="s">
        <v>23</v>
      </c>
      <c r="Y325" s="152" t="s">
        <v>1328</v>
      </c>
      <c r="Z325" s="152" t="s">
        <v>1327</v>
      </c>
    </row>
    <row r="326" spans="1:26" x14ac:dyDescent="0.2">
      <c r="A326" s="152" t="s">
        <v>1590</v>
      </c>
      <c r="B326" s="152">
        <v>3.92</v>
      </c>
      <c r="C326" s="151">
        <v>43585</v>
      </c>
      <c r="D326" s="152">
        <v>0.51232900000000003</v>
      </c>
      <c r="E326" s="152" t="s">
        <v>1325</v>
      </c>
      <c r="F326" s="152" t="s">
        <v>1326</v>
      </c>
      <c r="G326" s="152"/>
      <c r="H326" s="152"/>
      <c r="I326" s="151" t="s">
        <v>1327</v>
      </c>
      <c r="J326" s="152" t="s">
        <v>1327</v>
      </c>
      <c r="K326" s="151">
        <v>41362</v>
      </c>
      <c r="L326" s="152">
        <v>3.607192</v>
      </c>
      <c r="M326" s="152">
        <v>4.6723999999999997</v>
      </c>
      <c r="N326" s="152">
        <v>3.588025</v>
      </c>
      <c r="O326" s="152">
        <v>1.86626</v>
      </c>
      <c r="P326" s="152">
        <v>12.865879</v>
      </c>
      <c r="Q326" s="152">
        <v>1.86626</v>
      </c>
      <c r="R326" s="152" t="s">
        <v>1327</v>
      </c>
      <c r="S326" s="152">
        <v>101.045373</v>
      </c>
      <c r="T326" s="152">
        <v>-5.3698999999999997E-2</v>
      </c>
      <c r="U326" s="152">
        <v>0.50894899999999998</v>
      </c>
      <c r="V326" s="152">
        <v>0.51115200000000005</v>
      </c>
      <c r="W326" s="152">
        <v>1000</v>
      </c>
      <c r="X326" s="152" t="s">
        <v>23</v>
      </c>
      <c r="Y326" s="152" t="s">
        <v>1328</v>
      </c>
      <c r="Z326" s="152" t="s">
        <v>1327</v>
      </c>
    </row>
    <row r="327" spans="1:26" x14ac:dyDescent="0.2">
      <c r="A327" s="152" t="s">
        <v>1591</v>
      </c>
      <c r="B327" s="152">
        <v>3.9</v>
      </c>
      <c r="C327" s="151">
        <v>43669</v>
      </c>
      <c r="D327" s="152">
        <v>0.74246599999999996</v>
      </c>
      <c r="E327" s="152" t="s">
        <v>1325</v>
      </c>
      <c r="F327" s="152" t="s">
        <v>1326</v>
      </c>
      <c r="G327" s="152"/>
      <c r="H327" s="152"/>
      <c r="I327" s="151" t="s">
        <v>1327</v>
      </c>
      <c r="J327" s="152" t="s">
        <v>1327</v>
      </c>
      <c r="K327" s="151">
        <v>41362</v>
      </c>
      <c r="L327" s="152">
        <v>3.5649229999999998</v>
      </c>
      <c r="M327" s="152">
        <v>4.6985000000000001</v>
      </c>
      <c r="N327" s="152">
        <v>3.542856</v>
      </c>
      <c r="O327" s="152">
        <v>1.9115599999999999</v>
      </c>
      <c r="P327" s="152">
        <v>13.385681999999999</v>
      </c>
      <c r="Q327" s="152">
        <v>1.9115599999999999</v>
      </c>
      <c r="R327" s="152" t="s">
        <v>1327</v>
      </c>
      <c r="S327" s="152">
        <v>101.44868200000001</v>
      </c>
      <c r="T327" s="152">
        <v>1.0043839999999999</v>
      </c>
      <c r="U327" s="152">
        <v>0.73012500000000002</v>
      </c>
      <c r="V327" s="152">
        <v>0.89924700000000002</v>
      </c>
      <c r="W327" s="152">
        <v>1000</v>
      </c>
      <c r="X327" s="152" t="s">
        <v>23</v>
      </c>
      <c r="Y327" s="152" t="s">
        <v>1328</v>
      </c>
      <c r="Z327" s="152" t="s">
        <v>1327</v>
      </c>
    </row>
    <row r="328" spans="1:26" x14ac:dyDescent="0.2">
      <c r="A328" s="152" t="s">
        <v>1592</v>
      </c>
      <c r="B328" s="152">
        <v>6.05</v>
      </c>
      <c r="C328" s="151">
        <v>43703</v>
      </c>
      <c r="D328" s="152">
        <v>0.83561600000000003</v>
      </c>
      <c r="E328" s="152" t="s">
        <v>1325</v>
      </c>
      <c r="F328" s="152" t="s">
        <v>1326</v>
      </c>
      <c r="G328" s="152"/>
      <c r="H328" s="152"/>
      <c r="I328" s="151">
        <v>42649</v>
      </c>
      <c r="J328" s="152">
        <v>1.76</v>
      </c>
      <c r="K328" s="151">
        <v>41516</v>
      </c>
      <c r="L328" s="152">
        <v>4.1383549999999998</v>
      </c>
      <c r="M328" s="152">
        <v>5.3581799999999999</v>
      </c>
      <c r="N328" s="152">
        <v>3.9029210000000001</v>
      </c>
      <c r="O328" s="152">
        <v>1.921049</v>
      </c>
      <c r="P328" s="152">
        <v>13.703236</v>
      </c>
      <c r="Q328" s="152">
        <v>1.921049</v>
      </c>
      <c r="R328" s="152" t="s">
        <v>1327</v>
      </c>
      <c r="S328" s="152">
        <v>103.39507999999999</v>
      </c>
      <c r="T328" s="152">
        <v>0.99452099999999999</v>
      </c>
      <c r="U328" s="152">
        <v>0.81747899999999996</v>
      </c>
      <c r="V328" s="152">
        <v>1.0799799999999999</v>
      </c>
      <c r="W328" s="152">
        <v>1000</v>
      </c>
      <c r="X328" s="152" t="s">
        <v>23</v>
      </c>
      <c r="Y328" s="152" t="s">
        <v>1328</v>
      </c>
      <c r="Z328" s="152" t="s">
        <v>1327</v>
      </c>
    </row>
    <row r="329" spans="1:26" x14ac:dyDescent="0.2">
      <c r="A329" s="152" t="s">
        <v>1593</v>
      </c>
      <c r="B329" s="152">
        <v>3.87</v>
      </c>
      <c r="C329" s="151">
        <v>43683</v>
      </c>
      <c r="D329" s="152">
        <v>0.78082200000000002</v>
      </c>
      <c r="E329" s="152" t="s">
        <v>1325</v>
      </c>
      <c r="F329" s="152" t="s">
        <v>1326</v>
      </c>
      <c r="G329" s="152"/>
      <c r="H329" s="152"/>
      <c r="I329" s="152" t="s">
        <v>1327</v>
      </c>
      <c r="J329" s="152" t="s">
        <v>1327</v>
      </c>
      <c r="K329" s="151">
        <v>41362</v>
      </c>
      <c r="L329" s="152">
        <v>3.5845050000000001</v>
      </c>
      <c r="M329" s="152">
        <v>4.7072000000000003</v>
      </c>
      <c r="N329" s="152">
        <v>3.5631930000000001</v>
      </c>
      <c r="O329" s="152">
        <v>1.917546</v>
      </c>
      <c r="P329" s="152">
        <v>13.656048999999999</v>
      </c>
      <c r="Q329" s="152">
        <v>1.917546</v>
      </c>
      <c r="R329" s="152" t="s">
        <v>1327</v>
      </c>
      <c r="S329" s="152">
        <v>101.49570900000001</v>
      </c>
      <c r="T329" s="152">
        <v>0.84821899999999995</v>
      </c>
      <c r="U329" s="152">
        <v>0.76816399999999996</v>
      </c>
      <c r="V329" s="152">
        <v>0.97503700000000004</v>
      </c>
      <c r="W329" s="152">
        <v>1000</v>
      </c>
      <c r="X329" s="152" t="s">
        <v>23</v>
      </c>
      <c r="Y329" s="152" t="s">
        <v>1328</v>
      </c>
      <c r="Z329" s="152" t="s">
        <v>1327</v>
      </c>
    </row>
    <row r="330" spans="1:26" x14ac:dyDescent="0.2">
      <c r="A330" s="152" t="s">
        <v>1594</v>
      </c>
      <c r="B330" s="152">
        <v>1.94</v>
      </c>
      <c r="C330" s="151">
        <v>43708</v>
      </c>
      <c r="D330" s="152">
        <v>0.84931500000000004</v>
      </c>
      <c r="E330" s="152" t="s">
        <v>1325</v>
      </c>
      <c r="F330" s="152" t="s">
        <v>1326</v>
      </c>
      <c r="G330" s="152"/>
      <c r="H330" s="152"/>
      <c r="I330" s="151">
        <v>42943</v>
      </c>
      <c r="J330" s="152">
        <v>1.68</v>
      </c>
      <c r="K330" s="151" t="s">
        <v>1327</v>
      </c>
      <c r="L330" s="152" t="s">
        <v>1327</v>
      </c>
      <c r="M330" s="152" t="s">
        <v>1327</v>
      </c>
      <c r="N330" s="152" t="s">
        <v>1327</v>
      </c>
      <c r="O330" s="152">
        <v>1.9404809999999999</v>
      </c>
      <c r="P330" s="152">
        <v>13.579533</v>
      </c>
      <c r="Q330" s="152">
        <v>1.9404809999999999</v>
      </c>
      <c r="R330" s="152" t="s">
        <v>1327</v>
      </c>
      <c r="S330" s="152">
        <v>100.00657099999999</v>
      </c>
      <c r="T330" s="152">
        <v>0.29232900000000001</v>
      </c>
      <c r="U330" s="152">
        <v>0.83232600000000001</v>
      </c>
      <c r="V330" s="152">
        <v>1.1072649999999999</v>
      </c>
      <c r="W330" s="152">
        <v>1000</v>
      </c>
      <c r="X330" s="152" t="s">
        <v>23</v>
      </c>
      <c r="Y330" s="152" t="s">
        <v>1328</v>
      </c>
      <c r="Z330" s="152" t="s">
        <v>1327</v>
      </c>
    </row>
    <row r="331" spans="1:26" x14ac:dyDescent="0.2">
      <c r="A331" s="152" t="s">
        <v>1595</v>
      </c>
      <c r="B331" s="152">
        <v>5.2024999999999997</v>
      </c>
      <c r="C331" s="151">
        <v>43961</v>
      </c>
      <c r="D331" s="152">
        <v>1.5424659999999999</v>
      </c>
      <c r="E331" s="152" t="s">
        <v>1325</v>
      </c>
      <c r="F331" s="152" t="s">
        <v>1326</v>
      </c>
      <c r="G331" s="152"/>
      <c r="H331" s="152"/>
      <c r="I331" s="152">
        <v>38469</v>
      </c>
      <c r="J331" s="152">
        <v>5.2</v>
      </c>
      <c r="K331" s="151">
        <v>41453</v>
      </c>
      <c r="L331" s="152">
        <v>3.9765839999999999</v>
      </c>
      <c r="M331" s="152">
        <v>5.0624000000000002</v>
      </c>
      <c r="N331" s="152">
        <v>3.9619960000000001</v>
      </c>
      <c r="O331" s="152">
        <v>1.9963599999999999</v>
      </c>
      <c r="P331" s="152">
        <v>6.9763549999999999</v>
      </c>
      <c r="Q331" s="152">
        <v>1.9963599999999999</v>
      </c>
      <c r="R331" s="152" t="s">
        <v>1327</v>
      </c>
      <c r="S331" s="152">
        <v>104.828042</v>
      </c>
      <c r="T331" s="152">
        <v>2.3945750000000001</v>
      </c>
      <c r="U331" s="152">
        <v>1.457052</v>
      </c>
      <c r="V331" s="152">
        <v>2.9220269999999999</v>
      </c>
      <c r="W331" s="152">
        <v>1000</v>
      </c>
      <c r="X331" s="152" t="s">
        <v>23</v>
      </c>
      <c r="Y331" s="152" t="s">
        <v>1328</v>
      </c>
      <c r="Z331" s="152" t="s">
        <v>1327</v>
      </c>
    </row>
    <row r="332" spans="1:26" x14ac:dyDescent="0.2">
      <c r="A332" s="152" t="s">
        <v>1596</v>
      </c>
      <c r="B332" s="152">
        <v>3.76</v>
      </c>
      <c r="C332" s="151">
        <v>44031</v>
      </c>
      <c r="D332" s="152">
        <v>1.7342470000000001</v>
      </c>
      <c r="E332" s="152" t="s">
        <v>1325</v>
      </c>
      <c r="F332" s="152" t="s">
        <v>1326</v>
      </c>
      <c r="G332" s="152"/>
      <c r="H332" s="152"/>
      <c r="I332" s="152" t="s">
        <v>1327</v>
      </c>
      <c r="J332" s="152" t="s">
        <v>1327</v>
      </c>
      <c r="K332" s="151">
        <v>41362</v>
      </c>
      <c r="L332" s="152">
        <v>3.7531180000000002</v>
      </c>
      <c r="M332" s="152">
        <v>4.7746000000000004</v>
      </c>
      <c r="N332" s="152">
        <v>3.7485889999999999</v>
      </c>
      <c r="O332" s="152">
        <v>2.0458959999999999</v>
      </c>
      <c r="P332" s="152">
        <v>7.321542</v>
      </c>
      <c r="Q332" s="152">
        <v>2.0458959999999999</v>
      </c>
      <c r="R332" s="152" t="s">
        <v>1327</v>
      </c>
      <c r="S332" s="152">
        <v>102.89040300000001</v>
      </c>
      <c r="T332" s="152">
        <v>1.0095339999999999</v>
      </c>
      <c r="U332" s="152">
        <v>1.6649259999999999</v>
      </c>
      <c r="V332" s="152">
        <v>3.6546789999999998</v>
      </c>
      <c r="W332" s="152">
        <v>1000</v>
      </c>
      <c r="X332" s="152" t="s">
        <v>23</v>
      </c>
      <c r="Y332" s="152" t="s">
        <v>1328</v>
      </c>
      <c r="Z332" s="152" t="s">
        <v>1327</v>
      </c>
    </row>
    <row r="333" spans="1:26" x14ac:dyDescent="0.2">
      <c r="A333" s="152" t="s">
        <v>1597</v>
      </c>
      <c r="B333" s="152">
        <v>3.72</v>
      </c>
      <c r="C333" s="151">
        <v>44073</v>
      </c>
      <c r="D333" s="152">
        <v>1.849315</v>
      </c>
      <c r="E333" s="152" t="s">
        <v>1325</v>
      </c>
      <c r="F333" s="152" t="s">
        <v>1326</v>
      </c>
      <c r="G333" s="152"/>
      <c r="H333" s="152"/>
      <c r="I333" s="151">
        <v>41149</v>
      </c>
      <c r="J333" s="152">
        <v>3.72</v>
      </c>
      <c r="K333" s="151">
        <v>41362</v>
      </c>
      <c r="L333" s="152">
        <v>3.7291349999999999</v>
      </c>
      <c r="M333" s="152">
        <v>4.7789000000000001</v>
      </c>
      <c r="N333" s="152">
        <v>3.7232419999999999</v>
      </c>
      <c r="O333" s="152">
        <v>2.0737329999999998</v>
      </c>
      <c r="P333" s="152">
        <v>7.4465899999999996</v>
      </c>
      <c r="Q333" s="152">
        <v>2.0737329999999998</v>
      </c>
      <c r="R333" s="152" t="s">
        <v>1327</v>
      </c>
      <c r="S333" s="152">
        <v>102.968309</v>
      </c>
      <c r="T333" s="152">
        <v>0.57074000000000003</v>
      </c>
      <c r="U333" s="152">
        <v>1.7736700000000001</v>
      </c>
      <c r="V333" s="152">
        <v>4.0817569999999996</v>
      </c>
      <c r="W333" s="152">
        <v>1000</v>
      </c>
      <c r="X333" s="152" t="s">
        <v>23</v>
      </c>
      <c r="Y333" s="152" t="s">
        <v>1328</v>
      </c>
      <c r="Z333" s="152" t="s">
        <v>1327</v>
      </c>
    </row>
    <row r="334" spans="1:26" x14ac:dyDescent="0.2">
      <c r="A334" s="152" t="s">
        <v>1598</v>
      </c>
      <c r="B334" s="152">
        <v>3.73</v>
      </c>
      <c r="C334" s="151">
        <v>44080</v>
      </c>
      <c r="D334" s="152">
        <v>1.868493</v>
      </c>
      <c r="E334" s="152" t="s">
        <v>1325</v>
      </c>
      <c r="F334" s="152" t="s">
        <v>1326</v>
      </c>
      <c r="G334" s="152"/>
      <c r="H334" s="152"/>
      <c r="I334" s="151">
        <v>41844</v>
      </c>
      <c r="J334" s="152">
        <v>3.6</v>
      </c>
      <c r="K334" s="151">
        <v>41362</v>
      </c>
      <c r="L334" s="152">
        <v>3.7568139999999999</v>
      </c>
      <c r="M334" s="152">
        <v>4.7831999999999999</v>
      </c>
      <c r="N334" s="152">
        <v>3.7506629999999999</v>
      </c>
      <c r="O334" s="152">
        <v>2.0800290000000001</v>
      </c>
      <c r="P334" s="152">
        <v>7.4847679999999999</v>
      </c>
      <c r="Q334" s="152">
        <v>2.0800290000000001</v>
      </c>
      <c r="R334" s="152" t="s">
        <v>1327</v>
      </c>
      <c r="S334" s="152">
        <v>103.011084</v>
      </c>
      <c r="T334" s="152">
        <v>0.50073999999999996</v>
      </c>
      <c r="U334" s="152">
        <v>1.789749</v>
      </c>
      <c r="V334" s="152">
        <v>4.1471210000000003</v>
      </c>
      <c r="W334" s="152">
        <v>1000</v>
      </c>
      <c r="X334" s="152" t="s">
        <v>23</v>
      </c>
      <c r="Y334" s="152" t="s">
        <v>1328</v>
      </c>
      <c r="Z334" s="152" t="s">
        <v>1327</v>
      </c>
    </row>
    <row r="335" spans="1:26" x14ac:dyDescent="0.2">
      <c r="A335" s="152" t="s">
        <v>1599</v>
      </c>
      <c r="B335" s="152">
        <v>3.99</v>
      </c>
      <c r="C335" s="151">
        <v>44094</v>
      </c>
      <c r="D335" s="152">
        <v>1.906849</v>
      </c>
      <c r="E335" s="152" t="s">
        <v>1325</v>
      </c>
      <c r="F335" s="152" t="s">
        <v>1326</v>
      </c>
      <c r="G335" s="152"/>
      <c r="H335" s="152"/>
      <c r="I335" s="152">
        <v>41303</v>
      </c>
      <c r="J335" s="152">
        <v>3.84</v>
      </c>
      <c r="K335" s="151">
        <v>41362</v>
      </c>
      <c r="L335" s="152">
        <v>3.7350729999999999</v>
      </c>
      <c r="M335" s="152">
        <v>4.9832000000000001</v>
      </c>
      <c r="N335" s="152">
        <v>3.727233</v>
      </c>
      <c r="O335" s="152">
        <v>2.08447</v>
      </c>
      <c r="P335" s="152">
        <v>7.4227780000000001</v>
      </c>
      <c r="Q335" s="152">
        <v>2.08447</v>
      </c>
      <c r="R335" s="152" t="s">
        <v>1327</v>
      </c>
      <c r="S335" s="152">
        <v>103.546482</v>
      </c>
      <c r="T335" s="152">
        <v>0.38260300000000003</v>
      </c>
      <c r="U335" s="152">
        <v>1.8242670000000001</v>
      </c>
      <c r="V335" s="152">
        <v>4.2924980000000001</v>
      </c>
      <c r="W335" s="152">
        <v>1000</v>
      </c>
      <c r="X335" s="152" t="s">
        <v>23</v>
      </c>
      <c r="Y335" s="152" t="s">
        <v>1328</v>
      </c>
      <c r="Z335" s="152" t="s">
        <v>1327</v>
      </c>
    </row>
    <row r="336" spans="1:26" x14ac:dyDescent="0.2">
      <c r="A336" s="152" t="s">
        <v>1600</v>
      </c>
      <c r="B336" s="152">
        <v>4.6449999999999996</v>
      </c>
      <c r="C336" s="151">
        <v>44281</v>
      </c>
      <c r="D336" s="152">
        <v>2.4191780000000001</v>
      </c>
      <c r="E336" s="152" t="s">
        <v>1325</v>
      </c>
      <c r="F336" s="152" t="s">
        <v>1326</v>
      </c>
      <c r="G336" s="152"/>
      <c r="H336" s="152"/>
      <c r="I336" s="151" t="s">
        <v>1327</v>
      </c>
      <c r="J336" s="152" t="s">
        <v>1327</v>
      </c>
      <c r="K336" s="151">
        <v>41362</v>
      </c>
      <c r="L336" s="152">
        <v>3.661203</v>
      </c>
      <c r="M336" s="152">
        <v>5.0090000000000003</v>
      </c>
      <c r="N336" s="152">
        <v>3.643716</v>
      </c>
      <c r="O336" s="152">
        <v>2.1239460000000001</v>
      </c>
      <c r="P336" s="152">
        <v>7.4333369999999999</v>
      </c>
      <c r="Q336" s="152">
        <v>2.1239460000000001</v>
      </c>
      <c r="R336" s="152" t="s">
        <v>1327</v>
      </c>
      <c r="S336" s="152">
        <v>105.925146</v>
      </c>
      <c r="T336" s="152">
        <v>0.36905500000000002</v>
      </c>
      <c r="U336" s="152">
        <v>2.285012</v>
      </c>
      <c r="V336" s="152">
        <v>6.4984710000000003</v>
      </c>
      <c r="W336" s="152">
        <v>1000</v>
      </c>
      <c r="X336" s="152" t="s">
        <v>23</v>
      </c>
      <c r="Y336" s="152" t="s">
        <v>1328</v>
      </c>
      <c r="Z336" s="152" t="s">
        <v>1327</v>
      </c>
    </row>
    <row r="337" spans="1:26" x14ac:dyDescent="0.2">
      <c r="A337" s="152" t="s">
        <v>1601</v>
      </c>
      <c r="B337" s="152">
        <v>4.24</v>
      </c>
      <c r="C337" s="151">
        <v>44316</v>
      </c>
      <c r="D337" s="152">
        <v>2.5150679999999999</v>
      </c>
      <c r="E337" s="152" t="s">
        <v>1325</v>
      </c>
      <c r="F337" s="152" t="s">
        <v>1326</v>
      </c>
      <c r="G337" s="152"/>
      <c r="H337" s="152"/>
      <c r="I337" s="151">
        <v>39931</v>
      </c>
      <c r="J337" s="152">
        <v>4.2393840000000003</v>
      </c>
      <c r="K337" s="151">
        <v>41362</v>
      </c>
      <c r="L337" s="152">
        <v>3.6776439999999999</v>
      </c>
      <c r="M337" s="152">
        <v>5.0209000000000001</v>
      </c>
      <c r="N337" s="152">
        <v>3.6598299999999999</v>
      </c>
      <c r="O337" s="152">
        <v>2.1311</v>
      </c>
      <c r="P337" s="152">
        <v>7.5321550000000004</v>
      </c>
      <c r="Q337" s="152">
        <v>2.1311</v>
      </c>
      <c r="R337" s="152" t="s">
        <v>1327</v>
      </c>
      <c r="S337" s="152">
        <v>105.13538200000001</v>
      </c>
      <c r="T337" s="152">
        <v>-5.8082000000000002E-2</v>
      </c>
      <c r="U337" s="152">
        <v>2.3894980000000001</v>
      </c>
      <c r="V337" s="152">
        <v>7.0278229999999997</v>
      </c>
      <c r="W337" s="152">
        <v>1000</v>
      </c>
      <c r="X337" s="152" t="s">
        <v>23</v>
      </c>
      <c r="Y337" s="152" t="s">
        <v>1328</v>
      </c>
      <c r="Z337" s="152" t="s">
        <v>1327</v>
      </c>
    </row>
    <row r="338" spans="1:26" x14ac:dyDescent="0.2">
      <c r="A338" s="152" t="s">
        <v>1602</v>
      </c>
      <c r="B338" s="152">
        <v>4.3099999999999996</v>
      </c>
      <c r="C338" s="151">
        <v>44400</v>
      </c>
      <c r="D338" s="152">
        <v>2.7452049999999999</v>
      </c>
      <c r="E338" s="152" t="s">
        <v>1325</v>
      </c>
      <c r="F338" s="152" t="s">
        <v>1326</v>
      </c>
      <c r="G338" s="152"/>
      <c r="H338" s="152"/>
      <c r="I338" s="152">
        <v>40014</v>
      </c>
      <c r="J338" s="152">
        <v>4.3099999999999996</v>
      </c>
      <c r="K338" s="151">
        <v>41362</v>
      </c>
      <c r="L338" s="152">
        <v>3.72858</v>
      </c>
      <c r="M338" s="152">
        <v>5.0312260000000002</v>
      </c>
      <c r="N338" s="152">
        <v>3.7083659999999998</v>
      </c>
      <c r="O338" s="152">
        <v>2.1538200000000001</v>
      </c>
      <c r="P338" s="152">
        <v>7.967943</v>
      </c>
      <c r="Q338" s="152">
        <v>2.1538200000000001</v>
      </c>
      <c r="R338" s="152" t="s">
        <v>1327</v>
      </c>
      <c r="S338" s="152">
        <v>105.699905</v>
      </c>
      <c r="T338" s="152">
        <v>1.1099730000000001</v>
      </c>
      <c r="U338" s="152">
        <v>2.5704920000000002</v>
      </c>
      <c r="V338" s="152">
        <v>8.1249319999999994</v>
      </c>
      <c r="W338" s="152">
        <v>1000</v>
      </c>
      <c r="X338" s="152" t="s">
        <v>23</v>
      </c>
      <c r="Y338" s="152" t="s">
        <v>1328</v>
      </c>
      <c r="Z338" s="152" t="s">
        <v>1327</v>
      </c>
    </row>
    <row r="339" spans="1:26" x14ac:dyDescent="0.2">
      <c r="A339" s="152" t="s">
        <v>1603</v>
      </c>
      <c r="B339" s="152">
        <v>6.2350000000000003</v>
      </c>
      <c r="C339" s="151">
        <v>44418</v>
      </c>
      <c r="D339" s="152">
        <v>2.794521</v>
      </c>
      <c r="E339" s="152" t="s">
        <v>1325</v>
      </c>
      <c r="F339" s="152" t="s">
        <v>1326</v>
      </c>
      <c r="G339" s="152"/>
      <c r="H339" s="152"/>
      <c r="I339" s="151">
        <v>38960</v>
      </c>
      <c r="J339" s="152">
        <v>6.2468709999999996</v>
      </c>
      <c r="K339" s="151">
        <v>41453</v>
      </c>
      <c r="L339" s="152">
        <v>4.0791060000000003</v>
      </c>
      <c r="M339" s="152">
        <v>5.1266210000000001</v>
      </c>
      <c r="N339" s="152">
        <v>4.0582130000000003</v>
      </c>
      <c r="O339" s="152">
        <v>2.157454</v>
      </c>
      <c r="P339" s="152">
        <v>8.0126329999999992</v>
      </c>
      <c r="Q339" s="152">
        <v>2.157454</v>
      </c>
      <c r="R339" s="152" t="s">
        <v>1327</v>
      </c>
      <c r="S339" s="152">
        <v>110.976198</v>
      </c>
      <c r="T339" s="152">
        <v>1.2982469999999999</v>
      </c>
      <c r="U339" s="152">
        <v>2.5642179999999999</v>
      </c>
      <c r="V339" s="152">
        <v>8.1706430000000001</v>
      </c>
      <c r="W339" s="152">
        <v>1000</v>
      </c>
      <c r="X339" s="152" t="s">
        <v>23</v>
      </c>
      <c r="Y339" s="152" t="s">
        <v>1328</v>
      </c>
      <c r="Z339" s="152" t="s">
        <v>1327</v>
      </c>
    </row>
    <row r="340" spans="1:26" x14ac:dyDescent="0.2">
      <c r="A340" s="152" t="s">
        <v>1604</v>
      </c>
      <c r="B340" s="152">
        <v>6.07</v>
      </c>
      <c r="C340" s="151">
        <v>44439</v>
      </c>
      <c r="D340" s="152">
        <v>2.852055</v>
      </c>
      <c r="E340" s="152" t="s">
        <v>1325</v>
      </c>
      <c r="F340" s="152" t="s">
        <v>1326</v>
      </c>
      <c r="G340" s="152"/>
      <c r="H340" s="152"/>
      <c r="I340" s="151">
        <v>41828</v>
      </c>
      <c r="J340" s="152">
        <v>3.85</v>
      </c>
      <c r="K340" s="151">
        <v>41698</v>
      </c>
      <c r="L340" s="152">
        <v>4.0083409999999997</v>
      </c>
      <c r="M340" s="152">
        <v>5.0842260000000001</v>
      </c>
      <c r="N340" s="152">
        <v>4.0083409999999997</v>
      </c>
      <c r="O340" s="152">
        <v>2.1724030000000001</v>
      </c>
      <c r="P340" s="152">
        <v>8.0734809999999992</v>
      </c>
      <c r="Q340" s="152">
        <v>2.1724030000000001</v>
      </c>
      <c r="R340" s="152" t="s">
        <v>1327</v>
      </c>
      <c r="S340" s="152">
        <v>110.718925</v>
      </c>
      <c r="T340" s="152">
        <v>0.91465799999999997</v>
      </c>
      <c r="U340" s="152">
        <v>2.6172650000000002</v>
      </c>
      <c r="V340" s="152">
        <v>8.4652779999999996</v>
      </c>
      <c r="W340" s="152">
        <v>1000</v>
      </c>
      <c r="X340" s="152" t="s">
        <v>23</v>
      </c>
      <c r="Y340" s="152" t="s">
        <v>1328</v>
      </c>
      <c r="Z340" s="152" t="s">
        <v>1327</v>
      </c>
    </row>
    <row r="341" spans="1:26" x14ac:dyDescent="0.2">
      <c r="A341" s="152" t="s">
        <v>1605</v>
      </c>
      <c r="B341" s="152">
        <v>4.3899999999999997</v>
      </c>
      <c r="C341" s="151">
        <v>44428</v>
      </c>
      <c r="D341" s="152">
        <v>2.8219180000000001</v>
      </c>
      <c r="E341" s="152" t="s">
        <v>1325</v>
      </c>
      <c r="F341" s="152" t="s">
        <v>1326</v>
      </c>
      <c r="G341" s="152"/>
      <c r="H341" s="152"/>
      <c r="I341" s="151" t="s">
        <v>1327</v>
      </c>
      <c r="J341" s="152" t="s">
        <v>1327</v>
      </c>
      <c r="K341" s="151">
        <v>41362</v>
      </c>
      <c r="L341" s="152">
        <v>3.9619300000000002</v>
      </c>
      <c r="M341" s="152">
        <v>4.6346679999999996</v>
      </c>
      <c r="N341" s="152">
        <v>3.9493390000000002</v>
      </c>
      <c r="O341" s="152">
        <v>2.1655030000000002</v>
      </c>
      <c r="P341" s="152">
        <v>8.1830479999999994</v>
      </c>
      <c r="Q341" s="152">
        <v>2.1655030000000002</v>
      </c>
      <c r="R341" s="152" t="s">
        <v>1327</v>
      </c>
      <c r="S341" s="152">
        <v>106.039761</v>
      </c>
      <c r="T341" s="152">
        <v>0.79380799999999996</v>
      </c>
      <c r="U341" s="152">
        <v>2.6438039999999998</v>
      </c>
      <c r="V341" s="152">
        <v>8.5470810000000004</v>
      </c>
      <c r="W341" s="152">
        <v>1000</v>
      </c>
      <c r="X341" s="152" t="s">
        <v>23</v>
      </c>
      <c r="Y341" s="152" t="s">
        <v>1328</v>
      </c>
      <c r="Z341" s="152" t="s">
        <v>1327</v>
      </c>
    </row>
    <row r="342" spans="1:26" x14ac:dyDescent="0.2">
      <c r="A342" s="152" t="s">
        <v>1606</v>
      </c>
      <c r="B342" s="152">
        <v>3.74</v>
      </c>
      <c r="C342" s="152">
        <v>44803</v>
      </c>
      <c r="D342" s="152">
        <v>3.8493149999999998</v>
      </c>
      <c r="E342" s="152" t="s">
        <v>1325</v>
      </c>
      <c r="F342" s="152" t="s">
        <v>1326</v>
      </c>
      <c r="G342" s="152"/>
      <c r="H342" s="152"/>
      <c r="I342" s="152">
        <v>41145</v>
      </c>
      <c r="J342" s="152">
        <v>3.7406130000000002</v>
      </c>
      <c r="K342" s="152">
        <v>41362</v>
      </c>
      <c r="L342" s="152">
        <v>3.693829</v>
      </c>
      <c r="M342" s="152">
        <v>4.6759740000000001</v>
      </c>
      <c r="N342" s="152">
        <v>3.6599550000000001</v>
      </c>
      <c r="O342" s="152">
        <v>2.408153</v>
      </c>
      <c r="P342" s="152">
        <v>8.1459600000000005</v>
      </c>
      <c r="Q342" s="152">
        <v>2.408153</v>
      </c>
      <c r="R342" s="152" t="s">
        <v>1327</v>
      </c>
      <c r="S342" s="152">
        <v>104.866113</v>
      </c>
      <c r="T342" s="152">
        <v>0.57380799999999998</v>
      </c>
      <c r="U342" s="152">
        <v>3.561842</v>
      </c>
      <c r="V342" s="152">
        <v>14.981147999999999</v>
      </c>
      <c r="W342" s="152">
        <v>1000</v>
      </c>
      <c r="X342" s="152" t="s">
        <v>23</v>
      </c>
      <c r="Y342" s="152" t="s">
        <v>1328</v>
      </c>
      <c r="Z342" s="152" t="s">
        <v>1327</v>
      </c>
    </row>
    <row r="343" spans="1:26" x14ac:dyDescent="0.2">
      <c r="A343" s="152" t="s">
        <v>1607</v>
      </c>
      <c r="B343" s="152">
        <v>3.84</v>
      </c>
      <c r="C343" s="151">
        <v>44816</v>
      </c>
      <c r="D343" s="152">
        <v>3.8849320000000001</v>
      </c>
      <c r="E343" s="152" t="s">
        <v>1325</v>
      </c>
      <c r="F343" s="152" t="s">
        <v>1326</v>
      </c>
      <c r="G343" s="152"/>
      <c r="H343" s="152"/>
      <c r="I343" s="152">
        <v>41878</v>
      </c>
      <c r="J343" s="152">
        <v>3.8</v>
      </c>
      <c r="K343" s="151">
        <v>41362</v>
      </c>
      <c r="L343" s="152">
        <v>3.7531850000000002</v>
      </c>
      <c r="M343" s="152">
        <v>4.7794160000000003</v>
      </c>
      <c r="N343" s="152">
        <v>3.7193000000000001</v>
      </c>
      <c r="O343" s="152">
        <v>2.4151739999999999</v>
      </c>
      <c r="P343" s="152">
        <v>8.3841420000000006</v>
      </c>
      <c r="Q343" s="152">
        <v>2.4151739999999999</v>
      </c>
      <c r="R343" s="152" t="s">
        <v>1327</v>
      </c>
      <c r="S343" s="152">
        <v>105.25822700000001</v>
      </c>
      <c r="T343" s="152">
        <v>0.45238400000000001</v>
      </c>
      <c r="U343" s="152">
        <v>3.5886879999999999</v>
      </c>
      <c r="V343" s="152">
        <v>15.197361000000001</v>
      </c>
      <c r="W343" s="152">
        <v>1000</v>
      </c>
      <c r="X343" s="152" t="s">
        <v>23</v>
      </c>
      <c r="Y343" s="152" t="s">
        <v>1328</v>
      </c>
      <c r="Z343" s="152" t="s">
        <v>1327</v>
      </c>
    </row>
    <row r="344" spans="1:26" x14ac:dyDescent="0.2">
      <c r="A344" s="152" t="s">
        <v>1608</v>
      </c>
      <c r="B344" s="152">
        <v>4.0999999999999996</v>
      </c>
      <c r="C344" s="151">
        <v>44823</v>
      </c>
      <c r="D344" s="152">
        <v>3.9041100000000002</v>
      </c>
      <c r="E344" s="152" t="s">
        <v>1325</v>
      </c>
      <c r="F344" s="152" t="s">
        <v>1326</v>
      </c>
      <c r="G344" s="152"/>
      <c r="H344" s="152"/>
      <c r="I344" s="151">
        <v>41816</v>
      </c>
      <c r="J344" s="152">
        <v>3.93</v>
      </c>
      <c r="K344" s="151">
        <v>41362</v>
      </c>
      <c r="L344" s="152">
        <v>3.759347</v>
      </c>
      <c r="M344" s="152">
        <v>4.7794160000000003</v>
      </c>
      <c r="N344" s="152">
        <v>3.724815</v>
      </c>
      <c r="O344" s="152">
        <v>2.419613</v>
      </c>
      <c r="P344" s="152">
        <v>8.7773769999999995</v>
      </c>
      <c r="Q344" s="152">
        <v>2.419613</v>
      </c>
      <c r="R344" s="152" t="s">
        <v>1327</v>
      </c>
      <c r="S344" s="152">
        <v>106.228678</v>
      </c>
      <c r="T344" s="152">
        <v>0.40438400000000002</v>
      </c>
      <c r="U344" s="152">
        <v>3.593477</v>
      </c>
      <c r="V344" s="152">
        <v>15.262053</v>
      </c>
      <c r="W344" s="152">
        <v>1000</v>
      </c>
      <c r="X344" s="152" t="s">
        <v>23</v>
      </c>
      <c r="Y344" s="152" t="s">
        <v>1328</v>
      </c>
      <c r="Z344" s="152" t="s">
        <v>1327</v>
      </c>
    </row>
    <row r="345" spans="1:26" x14ac:dyDescent="0.2">
      <c r="A345" s="152" t="s">
        <v>1609</v>
      </c>
      <c r="B345" s="152">
        <v>3.89</v>
      </c>
      <c r="C345" s="151">
        <v>44992</v>
      </c>
      <c r="D345" s="152">
        <v>4.3671230000000003</v>
      </c>
      <c r="E345" s="152" t="s">
        <v>1325</v>
      </c>
      <c r="F345" s="152" t="s">
        <v>1326</v>
      </c>
      <c r="G345" s="152"/>
      <c r="H345" s="152"/>
      <c r="I345" s="151" t="s">
        <v>1327</v>
      </c>
      <c r="J345" s="152" t="s">
        <v>1327</v>
      </c>
      <c r="K345" s="152">
        <v>41362</v>
      </c>
      <c r="L345" s="152">
        <v>3.7884690000000001</v>
      </c>
      <c r="M345" s="152">
        <v>5.1141120000000004</v>
      </c>
      <c r="N345" s="152">
        <v>3.7555019999999999</v>
      </c>
      <c r="O345" s="152">
        <v>2.4579469999999999</v>
      </c>
      <c r="P345" s="152">
        <v>8.7506799999999991</v>
      </c>
      <c r="Q345" s="152">
        <v>2.4579469999999999</v>
      </c>
      <c r="R345" s="152" t="s">
        <v>1327</v>
      </c>
      <c r="S345" s="152">
        <v>105.905878</v>
      </c>
      <c r="T345" s="152">
        <v>0.51156199999999996</v>
      </c>
      <c r="U345" s="152">
        <v>3.9982449999999998</v>
      </c>
      <c r="V345" s="152">
        <v>18.746541000000001</v>
      </c>
      <c r="W345" s="152">
        <v>1000</v>
      </c>
      <c r="X345" s="152" t="s">
        <v>23</v>
      </c>
      <c r="Y345" s="152" t="s">
        <v>1328</v>
      </c>
      <c r="Z345" s="152" t="s">
        <v>1327</v>
      </c>
    </row>
    <row r="346" spans="1:26" x14ac:dyDescent="0.2">
      <c r="A346" s="152" t="s">
        <v>1610</v>
      </c>
      <c r="B346" s="152">
        <v>3.84</v>
      </c>
      <c r="C346" s="151">
        <v>45013</v>
      </c>
      <c r="D346" s="152">
        <v>4.424658</v>
      </c>
      <c r="E346" s="152" t="s">
        <v>1325</v>
      </c>
      <c r="F346" s="152" t="s">
        <v>1326</v>
      </c>
      <c r="G346" s="152"/>
      <c r="H346" s="152"/>
      <c r="I346" s="151" t="s">
        <v>1327</v>
      </c>
      <c r="J346" s="152" t="s">
        <v>1327</v>
      </c>
      <c r="K346" s="151">
        <v>41362</v>
      </c>
      <c r="L346" s="152">
        <v>3.82803</v>
      </c>
      <c r="M346" s="152">
        <v>5.3141119999999997</v>
      </c>
      <c r="N346" s="152">
        <v>3.8182779999999998</v>
      </c>
      <c r="O346" s="152">
        <v>2.4685709999999998</v>
      </c>
      <c r="P346" s="152">
        <v>9.1172620000000002</v>
      </c>
      <c r="Q346" s="152">
        <v>2.4685709999999998</v>
      </c>
      <c r="R346" s="152" t="s">
        <v>1327</v>
      </c>
      <c r="S346" s="152">
        <v>105.72601899999999</v>
      </c>
      <c r="T346" s="152">
        <v>0.284055</v>
      </c>
      <c r="U346" s="152">
        <v>4.058192</v>
      </c>
      <c r="V346" s="152">
        <v>19.251642</v>
      </c>
      <c r="W346" s="152">
        <v>1000</v>
      </c>
      <c r="X346" s="152" t="s">
        <v>23</v>
      </c>
      <c r="Y346" s="152" t="s">
        <v>1328</v>
      </c>
      <c r="Z346" s="152" t="s">
        <v>1327</v>
      </c>
    </row>
    <row r="347" spans="1:26" x14ac:dyDescent="0.2">
      <c r="A347" s="152" t="s">
        <v>1611</v>
      </c>
      <c r="B347" s="152">
        <v>3.66</v>
      </c>
      <c r="C347" s="151">
        <v>45069</v>
      </c>
      <c r="D347" s="152">
        <v>4.5780820000000002</v>
      </c>
      <c r="E347" s="152" t="s">
        <v>1325</v>
      </c>
      <c r="F347" s="152" t="s">
        <v>1326</v>
      </c>
      <c r="G347" s="152"/>
      <c r="H347" s="152"/>
      <c r="I347" s="152">
        <v>41410</v>
      </c>
      <c r="J347" s="152">
        <v>3.6582080000000001</v>
      </c>
      <c r="K347" s="151" t="s">
        <v>1327</v>
      </c>
      <c r="L347" s="152" t="s">
        <v>1327</v>
      </c>
      <c r="M347" s="152" t="s">
        <v>1327</v>
      </c>
      <c r="N347" s="152" t="s">
        <v>1327</v>
      </c>
      <c r="O347" s="152">
        <v>2.4885519999999999</v>
      </c>
      <c r="P347" s="152">
        <v>9.502205</v>
      </c>
      <c r="Q347" s="152">
        <v>2.4885519999999999</v>
      </c>
      <c r="R347" s="152" t="s">
        <v>1327</v>
      </c>
      <c r="S347" s="152">
        <v>105.024097</v>
      </c>
      <c r="T347" s="152">
        <v>1.5542469999999999</v>
      </c>
      <c r="U347" s="152">
        <v>4.1545500000000004</v>
      </c>
      <c r="V347" s="152">
        <v>20.340019999999999</v>
      </c>
      <c r="W347" s="152">
        <v>1000</v>
      </c>
      <c r="X347" s="152" t="s">
        <v>23</v>
      </c>
      <c r="Y347" s="152" t="s">
        <v>1328</v>
      </c>
      <c r="Z347" s="152" t="s">
        <v>1327</v>
      </c>
    </row>
    <row r="348" spans="1:26" x14ac:dyDescent="0.2">
      <c r="A348" s="152" t="s">
        <v>1612</v>
      </c>
      <c r="B348" s="152">
        <v>4.1399999999999997</v>
      </c>
      <c r="C348" s="151">
        <v>45104</v>
      </c>
      <c r="D348" s="152">
        <v>4.6739730000000002</v>
      </c>
      <c r="E348" s="152" t="s">
        <v>1325</v>
      </c>
      <c r="F348" s="152" t="s">
        <v>1326</v>
      </c>
      <c r="G348" s="152"/>
      <c r="H348" s="152"/>
      <c r="I348" s="152" t="s">
        <v>1327</v>
      </c>
      <c r="J348" s="152" t="s">
        <v>1327</v>
      </c>
      <c r="K348" s="151" t="s">
        <v>1327</v>
      </c>
      <c r="L348" s="152" t="s">
        <v>1327</v>
      </c>
      <c r="M348" s="152" t="s">
        <v>1327</v>
      </c>
      <c r="N348" s="152" t="s">
        <v>1327</v>
      </c>
      <c r="O348" s="152">
        <v>2.499482</v>
      </c>
      <c r="P348" s="152">
        <v>9.6736120000000003</v>
      </c>
      <c r="Q348" s="152">
        <v>2.499482</v>
      </c>
      <c r="R348" s="152" t="s">
        <v>1327</v>
      </c>
      <c r="S348" s="152">
        <v>107.183927</v>
      </c>
      <c r="T348" s="152">
        <v>1.3610960000000001</v>
      </c>
      <c r="U348" s="152">
        <v>4.2065469999999996</v>
      </c>
      <c r="V348" s="152">
        <v>20.894964999999999</v>
      </c>
      <c r="W348" s="152">
        <v>1000</v>
      </c>
      <c r="X348" s="152" t="s">
        <v>23</v>
      </c>
      <c r="Y348" s="152" t="s">
        <v>1328</v>
      </c>
      <c r="Z348" s="152" t="s">
        <v>1327</v>
      </c>
    </row>
    <row r="349" spans="1:26" x14ac:dyDescent="0.2">
      <c r="A349" s="152" t="s">
        <v>1613</v>
      </c>
      <c r="B349" s="152">
        <v>5.59</v>
      </c>
      <c r="C349" s="151">
        <v>45166</v>
      </c>
      <c r="D349" s="152">
        <v>4.8438359999999996</v>
      </c>
      <c r="E349" s="152" t="s">
        <v>1325</v>
      </c>
      <c r="F349" s="152" t="s">
        <v>1326</v>
      </c>
      <c r="G349" s="152"/>
      <c r="H349" s="152"/>
      <c r="I349" s="152">
        <v>39681</v>
      </c>
      <c r="J349" s="152">
        <v>5.5899830000000001</v>
      </c>
      <c r="K349" s="151">
        <v>41362</v>
      </c>
      <c r="L349" s="152">
        <v>3.9800589999999998</v>
      </c>
      <c r="M349" s="152">
        <v>5.5488759999999999</v>
      </c>
      <c r="N349" s="152">
        <v>3.9541879999999998</v>
      </c>
      <c r="O349" s="152">
        <v>2.5072960000000002</v>
      </c>
      <c r="P349" s="152">
        <v>9.7618259999999992</v>
      </c>
      <c r="Q349" s="152">
        <v>2.5072960000000002</v>
      </c>
      <c r="R349" s="152" t="s">
        <v>1327</v>
      </c>
      <c r="S349" s="152">
        <v>113.95577400000001</v>
      </c>
      <c r="T349" s="152">
        <v>0.88827400000000001</v>
      </c>
      <c r="U349" s="152">
        <v>4.266362</v>
      </c>
      <c r="V349" s="152">
        <v>21.677579999999999</v>
      </c>
      <c r="W349" s="152">
        <v>1000</v>
      </c>
      <c r="X349" s="152" t="s">
        <v>23</v>
      </c>
      <c r="Y349" s="152" t="s">
        <v>1328</v>
      </c>
      <c r="Z349" s="152" t="s">
        <v>1327</v>
      </c>
    </row>
    <row r="350" spans="1:26" x14ac:dyDescent="0.2">
      <c r="A350" s="152" t="s">
        <v>1614</v>
      </c>
      <c r="B350" s="152">
        <v>4.93</v>
      </c>
      <c r="C350" s="151">
        <v>45334</v>
      </c>
      <c r="D350" s="152">
        <v>5.3041099999999997</v>
      </c>
      <c r="E350" s="152" t="s">
        <v>1325</v>
      </c>
      <c r="F350" s="152" t="s">
        <v>1326</v>
      </c>
      <c r="G350" s="152"/>
      <c r="H350" s="152"/>
      <c r="I350" s="152">
        <v>39856</v>
      </c>
      <c r="J350" s="152">
        <v>4.93</v>
      </c>
      <c r="K350" s="151">
        <v>41362</v>
      </c>
      <c r="L350" s="152">
        <v>4.0202410000000004</v>
      </c>
      <c r="M350" s="152">
        <v>5.5905940000000003</v>
      </c>
      <c r="N350" s="152">
        <v>3.9949560000000002</v>
      </c>
      <c r="O350" s="152">
        <v>2.5595949999999998</v>
      </c>
      <c r="P350" s="152">
        <v>10.733368</v>
      </c>
      <c r="Q350" s="152">
        <v>2.5595949999999998</v>
      </c>
      <c r="R350" s="152" t="s">
        <v>1327</v>
      </c>
      <c r="S350" s="152">
        <v>111.657437</v>
      </c>
      <c r="T350" s="152">
        <v>0.99950700000000003</v>
      </c>
      <c r="U350" s="152">
        <v>4.6665989999999997</v>
      </c>
      <c r="V350" s="152">
        <v>25.741906</v>
      </c>
      <c r="W350" s="152">
        <v>1000</v>
      </c>
      <c r="X350" s="152" t="s">
        <v>23</v>
      </c>
      <c r="Y350" s="152" t="s">
        <v>1328</v>
      </c>
      <c r="Z350" s="152" t="s">
        <v>1327</v>
      </c>
    </row>
    <row r="351" spans="1:26" x14ac:dyDescent="0.2">
      <c r="A351" s="152" t="s">
        <v>1615</v>
      </c>
      <c r="B351" s="152">
        <v>4.53</v>
      </c>
      <c r="C351" s="151">
        <v>45405</v>
      </c>
      <c r="D351" s="152">
        <v>5.4986300000000004</v>
      </c>
      <c r="E351" s="152" t="s">
        <v>1325</v>
      </c>
      <c r="F351" s="152" t="s">
        <v>1326</v>
      </c>
      <c r="G351" s="152"/>
      <c r="H351" s="152"/>
      <c r="I351" s="151" t="s">
        <v>1327</v>
      </c>
      <c r="J351" s="152" t="s">
        <v>1327</v>
      </c>
      <c r="K351" s="151">
        <v>41348</v>
      </c>
      <c r="L351" s="152">
        <v>4.178687</v>
      </c>
      <c r="M351" s="152">
        <v>5.7089999999999996</v>
      </c>
      <c r="N351" s="152">
        <v>4.1690139999999998</v>
      </c>
      <c r="O351" s="152">
        <v>2.579167</v>
      </c>
      <c r="P351" s="152">
        <v>10.391296000000001</v>
      </c>
      <c r="Q351" s="152">
        <v>2.579167</v>
      </c>
      <c r="R351" s="152" t="s">
        <v>1327</v>
      </c>
      <c r="S351" s="152">
        <v>109.93823500000001</v>
      </c>
      <c r="T351" s="152">
        <v>2.4822E-2</v>
      </c>
      <c r="U351" s="152">
        <v>4.891572</v>
      </c>
      <c r="V351" s="152">
        <v>27.916530999999999</v>
      </c>
      <c r="W351" s="152">
        <v>1000</v>
      </c>
      <c r="X351" s="152" t="s">
        <v>23</v>
      </c>
      <c r="Y351" s="152" t="s">
        <v>1328</v>
      </c>
      <c r="Z351" s="152" t="s">
        <v>1327</v>
      </c>
    </row>
    <row r="352" spans="1:26" x14ac:dyDescent="0.2">
      <c r="A352" s="152" t="s">
        <v>1616</v>
      </c>
      <c r="B352" s="152">
        <v>4.9379999999999997</v>
      </c>
      <c r="C352" s="151">
        <v>45461</v>
      </c>
      <c r="D352" s="152">
        <v>5.6520549999999998</v>
      </c>
      <c r="E352" s="152" t="s">
        <v>1325</v>
      </c>
      <c r="F352" s="152" t="s">
        <v>1326</v>
      </c>
      <c r="G352" s="152"/>
      <c r="H352" s="152"/>
      <c r="I352" s="152">
        <v>39976</v>
      </c>
      <c r="J352" s="152">
        <v>4.9379999999999997</v>
      </c>
      <c r="K352" s="151">
        <v>41453</v>
      </c>
      <c r="L352" s="152">
        <v>4.3510910000000003</v>
      </c>
      <c r="M352" s="152">
        <v>5.9556110000000002</v>
      </c>
      <c r="N352" s="152">
        <v>4.3435100000000002</v>
      </c>
      <c r="O352" s="152">
        <v>2.5925289999999999</v>
      </c>
      <c r="P352" s="152">
        <v>10.433909</v>
      </c>
      <c r="Q352" s="152">
        <v>2.5925289999999999</v>
      </c>
      <c r="R352" s="152" t="s">
        <v>1327</v>
      </c>
      <c r="S352" s="152">
        <v>112.239251</v>
      </c>
      <c r="T352" s="152">
        <v>1.7452110000000001</v>
      </c>
      <c r="U352" s="152">
        <v>4.9018329999999999</v>
      </c>
      <c r="V352" s="152">
        <v>28.574081</v>
      </c>
      <c r="W352" s="152">
        <v>1000</v>
      </c>
      <c r="X352" s="152" t="s">
        <v>23</v>
      </c>
      <c r="Y352" s="152" t="s">
        <v>1328</v>
      </c>
      <c r="Z352" s="152" t="s">
        <v>1327</v>
      </c>
    </row>
    <row r="353" spans="1:26" x14ac:dyDescent="0.2">
      <c r="A353" s="152" t="s">
        <v>1617</v>
      </c>
      <c r="B353" s="152">
        <v>4.54</v>
      </c>
      <c r="C353" s="151">
        <v>45496</v>
      </c>
      <c r="D353" s="152">
        <v>5.7479449999999996</v>
      </c>
      <c r="E353" s="152" t="s">
        <v>1325</v>
      </c>
      <c r="F353" s="152" t="s">
        <v>1326</v>
      </c>
      <c r="G353" s="152"/>
      <c r="H353" s="152"/>
      <c r="I353" s="151">
        <v>40011</v>
      </c>
      <c r="J353" s="152">
        <v>4.5382910000000001</v>
      </c>
      <c r="K353" s="152">
        <v>41362</v>
      </c>
      <c r="L353" s="152">
        <v>4.1364590000000003</v>
      </c>
      <c r="M353" s="152">
        <v>4.9240000000000004</v>
      </c>
      <c r="N353" s="152">
        <v>4.1173890000000002</v>
      </c>
      <c r="O353" s="152">
        <v>2.6053359999999999</v>
      </c>
      <c r="P353" s="152">
        <v>10.554289000000001</v>
      </c>
      <c r="Q353" s="152">
        <v>2.6053359999999999</v>
      </c>
      <c r="R353" s="152" t="s">
        <v>1327</v>
      </c>
      <c r="S353" s="152">
        <v>110.241294</v>
      </c>
      <c r="T353" s="152">
        <v>1.169205</v>
      </c>
      <c r="U353" s="152">
        <v>5.0406380000000004</v>
      </c>
      <c r="V353" s="152">
        <v>29.916999000000001</v>
      </c>
      <c r="W353" s="152">
        <v>1000</v>
      </c>
      <c r="X353" s="152" t="s">
        <v>23</v>
      </c>
      <c r="Y353" s="152" t="s">
        <v>1328</v>
      </c>
      <c r="Z353" s="152" t="s">
        <v>1327</v>
      </c>
    </row>
    <row r="354" spans="1:26" x14ac:dyDescent="0.2">
      <c r="A354" s="152" t="s">
        <v>1618</v>
      </c>
      <c r="B354" s="152">
        <v>4.5</v>
      </c>
      <c r="C354" s="151">
        <v>45503</v>
      </c>
      <c r="D354" s="152">
        <v>5.7671229999999998</v>
      </c>
      <c r="E354" s="152" t="s">
        <v>1325</v>
      </c>
      <c r="F354" s="152" t="s">
        <v>1326</v>
      </c>
      <c r="G354" s="152"/>
      <c r="H354" s="152"/>
      <c r="I354" s="151" t="s">
        <v>1327</v>
      </c>
      <c r="J354" s="152" t="s">
        <v>1327</v>
      </c>
      <c r="K354" s="151">
        <v>41362</v>
      </c>
      <c r="L354" s="152">
        <v>4.1097919999999997</v>
      </c>
      <c r="M354" s="152">
        <v>5.024</v>
      </c>
      <c r="N354" s="152">
        <v>4.0836790000000001</v>
      </c>
      <c r="O354" s="152">
        <v>2.6088490000000002</v>
      </c>
      <c r="P354" s="152">
        <v>10.666325000000001</v>
      </c>
      <c r="Q354" s="152">
        <v>2.6088490000000002</v>
      </c>
      <c r="R354" s="152" t="s">
        <v>1327</v>
      </c>
      <c r="S354" s="152">
        <v>110.04063499999999</v>
      </c>
      <c r="T354" s="152">
        <v>1.072603</v>
      </c>
      <c r="U354" s="152">
        <v>5.0637270000000001</v>
      </c>
      <c r="V354" s="152">
        <v>30.150711000000001</v>
      </c>
      <c r="W354" s="152">
        <v>1000</v>
      </c>
      <c r="X354" s="152" t="s">
        <v>23</v>
      </c>
      <c r="Y354" s="152" t="s">
        <v>1328</v>
      </c>
      <c r="Z354" s="152" t="s">
        <v>1327</v>
      </c>
    </row>
    <row r="355" spans="1:26" x14ac:dyDescent="0.2">
      <c r="A355" s="152" t="s">
        <v>1619</v>
      </c>
      <c r="B355" s="152">
        <v>4.5</v>
      </c>
      <c r="C355" s="151">
        <v>45524</v>
      </c>
      <c r="D355" s="152">
        <v>5.8246580000000003</v>
      </c>
      <c r="E355" s="152" t="s">
        <v>1325</v>
      </c>
      <c r="F355" s="152" t="s">
        <v>1326</v>
      </c>
      <c r="G355" s="152"/>
      <c r="H355" s="152"/>
      <c r="I355" s="152" t="s">
        <v>1327</v>
      </c>
      <c r="J355" s="152" t="s">
        <v>1327</v>
      </c>
      <c r="K355" s="151">
        <v>41362</v>
      </c>
      <c r="L355" s="152">
        <v>4.1822600000000003</v>
      </c>
      <c r="M355" s="152">
        <v>5.1304999999999996</v>
      </c>
      <c r="N355" s="152">
        <v>4.1508969999999996</v>
      </c>
      <c r="O355" s="152">
        <v>2.6167899999999999</v>
      </c>
      <c r="P355" s="152">
        <v>10.80368</v>
      </c>
      <c r="Q355" s="152">
        <v>2.6167899999999999</v>
      </c>
      <c r="R355" s="152" t="s">
        <v>1327</v>
      </c>
      <c r="S355" s="152">
        <v>110.088859</v>
      </c>
      <c r="T355" s="152">
        <v>0.81369899999999995</v>
      </c>
      <c r="U355" s="152">
        <v>5.1201600000000003</v>
      </c>
      <c r="V355" s="152">
        <v>30.753513000000002</v>
      </c>
      <c r="W355" s="152">
        <v>1000</v>
      </c>
      <c r="X355" s="152" t="s">
        <v>23</v>
      </c>
      <c r="Y355" s="152" t="s">
        <v>1328</v>
      </c>
      <c r="Z355" s="152" t="s">
        <v>1327</v>
      </c>
    </row>
    <row r="356" spans="1:26" x14ac:dyDescent="0.2">
      <c r="A356" s="152" t="s">
        <v>1620</v>
      </c>
      <c r="B356" s="152">
        <v>4.49</v>
      </c>
      <c r="C356" s="151">
        <v>45531</v>
      </c>
      <c r="D356" s="152">
        <v>5.8438359999999996</v>
      </c>
      <c r="E356" s="152" t="s">
        <v>1325</v>
      </c>
      <c r="F356" s="152" t="s">
        <v>1326</v>
      </c>
      <c r="G356" s="152"/>
      <c r="H356" s="152"/>
      <c r="I356" s="151" t="s">
        <v>1327</v>
      </c>
      <c r="J356" s="152" t="s">
        <v>1327</v>
      </c>
      <c r="K356" s="151">
        <v>41362</v>
      </c>
      <c r="L356" s="152">
        <v>4.1349280000000004</v>
      </c>
      <c r="M356" s="152">
        <v>5.1304999999999996</v>
      </c>
      <c r="N356" s="152">
        <v>4.1031709999999997</v>
      </c>
      <c r="O356" s="152">
        <v>2.6195249999999999</v>
      </c>
      <c r="P356" s="152">
        <v>10.850053000000001</v>
      </c>
      <c r="Q356" s="152">
        <v>2.6195249999999999</v>
      </c>
      <c r="R356" s="152" t="s">
        <v>1327</v>
      </c>
      <c r="S356" s="152">
        <v>110.050501</v>
      </c>
      <c r="T356" s="152">
        <v>0.72578100000000001</v>
      </c>
      <c r="U356" s="152">
        <v>5.1400480000000002</v>
      </c>
      <c r="V356" s="152">
        <v>30.964680999999999</v>
      </c>
      <c r="W356" s="152">
        <v>1000</v>
      </c>
      <c r="X356" s="152" t="s">
        <v>23</v>
      </c>
      <c r="Y356" s="152" t="s">
        <v>1328</v>
      </c>
      <c r="Z356" s="152" t="s">
        <v>1327</v>
      </c>
    </row>
    <row r="357" spans="1:26" x14ac:dyDescent="0.2">
      <c r="A357" s="152" t="s">
        <v>1621</v>
      </c>
      <c r="B357" s="152">
        <v>3.9780000000000002</v>
      </c>
      <c r="C357" s="151">
        <v>45744</v>
      </c>
      <c r="D357" s="152">
        <v>6.427397</v>
      </c>
      <c r="E357" s="152" t="s">
        <v>1325</v>
      </c>
      <c r="F357" s="152" t="s">
        <v>1326</v>
      </c>
      <c r="G357" s="152"/>
      <c r="H357" s="152"/>
      <c r="I357" s="151">
        <v>41359</v>
      </c>
      <c r="J357" s="152">
        <v>3.9780000000000002</v>
      </c>
      <c r="K357" s="151">
        <v>41362</v>
      </c>
      <c r="L357" s="152">
        <v>3.9760499999999999</v>
      </c>
      <c r="M357" s="152">
        <v>5.1760000000000002</v>
      </c>
      <c r="N357" s="152">
        <v>3.9760499999999999</v>
      </c>
      <c r="O357" s="152">
        <v>2.7012619999999998</v>
      </c>
      <c r="P357" s="152">
        <v>11.619712</v>
      </c>
      <c r="Q357" s="152">
        <v>2.7012619999999998</v>
      </c>
      <c r="R357" s="152" t="s">
        <v>1327</v>
      </c>
      <c r="S357" s="152">
        <v>107.495774</v>
      </c>
      <c r="T357" s="152">
        <v>0.294263</v>
      </c>
      <c r="U357" s="152">
        <v>5.6674610000000003</v>
      </c>
      <c r="V357" s="152">
        <v>37.255974000000002</v>
      </c>
      <c r="W357" s="152">
        <v>1000</v>
      </c>
      <c r="X357" s="152" t="s">
        <v>23</v>
      </c>
      <c r="Y357" s="152" t="s">
        <v>1328</v>
      </c>
      <c r="Z357" s="152" t="s">
        <v>1327</v>
      </c>
    </row>
    <row r="358" spans="1:26" x14ac:dyDescent="0.2">
      <c r="A358" s="152" t="s">
        <v>1622</v>
      </c>
      <c r="B358" s="152">
        <v>2.73</v>
      </c>
      <c r="C358" s="151">
        <v>46065</v>
      </c>
      <c r="D358" s="152">
        <v>7.3068489999999997</v>
      </c>
      <c r="E358" s="152" t="s">
        <v>1325</v>
      </c>
      <c r="F358" s="152" t="s">
        <v>1326</v>
      </c>
      <c r="G358" s="152"/>
      <c r="H358" s="152"/>
      <c r="I358" s="151" t="s">
        <v>1327</v>
      </c>
      <c r="J358" s="152" t="s">
        <v>1327</v>
      </c>
      <c r="K358" s="151" t="s">
        <v>1327</v>
      </c>
      <c r="L358" s="152" t="s">
        <v>1327</v>
      </c>
      <c r="M358" s="152" t="s">
        <v>1327</v>
      </c>
      <c r="N358" s="152" t="s">
        <v>1327</v>
      </c>
      <c r="O358" s="152">
        <v>2.8535729999999999</v>
      </c>
      <c r="P358" s="152">
        <v>17.024135000000001</v>
      </c>
      <c r="Q358" s="152">
        <v>2.8535729999999999</v>
      </c>
      <c r="R358" s="152" t="s">
        <v>1327</v>
      </c>
      <c r="S358" s="152">
        <v>99.177186000000006</v>
      </c>
      <c r="T358" s="152">
        <v>0.55347900000000005</v>
      </c>
      <c r="U358" s="152">
        <v>6.5372979999999998</v>
      </c>
      <c r="V358" s="152">
        <v>48.725780999999998</v>
      </c>
      <c r="W358" s="152">
        <v>1000</v>
      </c>
      <c r="X358" s="152" t="s">
        <v>23</v>
      </c>
      <c r="Y358" s="152" t="s">
        <v>1328</v>
      </c>
      <c r="Z358" s="152" t="s">
        <v>1327</v>
      </c>
    </row>
    <row r="359" spans="1:26" x14ac:dyDescent="0.2">
      <c r="A359" s="152" t="s">
        <v>1623</v>
      </c>
      <c r="B359" s="152">
        <v>2.59</v>
      </c>
      <c r="C359" s="151">
        <v>46277</v>
      </c>
      <c r="D359" s="152">
        <v>7.8876710000000001</v>
      </c>
      <c r="E359" s="152" t="s">
        <v>1325</v>
      </c>
      <c r="F359" s="152" t="s">
        <v>1326</v>
      </c>
      <c r="G359" s="152"/>
      <c r="H359" s="152"/>
      <c r="I359" s="152" t="s">
        <v>1327</v>
      </c>
      <c r="J359" s="152" t="s">
        <v>1327</v>
      </c>
      <c r="K359" s="151" t="s">
        <v>1327</v>
      </c>
      <c r="L359" s="152" t="s">
        <v>1327</v>
      </c>
      <c r="M359" s="152" t="s">
        <v>1327</v>
      </c>
      <c r="N359" s="152" t="s">
        <v>1327</v>
      </c>
      <c r="O359" s="152">
        <v>2.9036430000000002</v>
      </c>
      <c r="P359" s="152">
        <v>17.379024999999999</v>
      </c>
      <c r="Q359" s="152">
        <v>2.9036430000000002</v>
      </c>
      <c r="R359" s="152" t="s">
        <v>1327</v>
      </c>
      <c r="S359" s="152">
        <v>97.814403999999996</v>
      </c>
      <c r="T359" s="152">
        <v>0.30512299999999998</v>
      </c>
      <c r="U359" s="152">
        <v>7.0424899999999999</v>
      </c>
      <c r="V359" s="152">
        <v>56.293165999999999</v>
      </c>
      <c r="W359" s="152">
        <v>1000</v>
      </c>
      <c r="X359" s="152" t="s">
        <v>23</v>
      </c>
      <c r="Y359" s="152" t="s">
        <v>1328</v>
      </c>
      <c r="Z359" s="152" t="s">
        <v>1327</v>
      </c>
    </row>
    <row r="360" spans="1:26" x14ac:dyDescent="0.2">
      <c r="A360" s="152" t="s">
        <v>1624</v>
      </c>
      <c r="B360" s="152">
        <v>4.25</v>
      </c>
      <c r="C360" s="151">
        <v>46819</v>
      </c>
      <c r="D360" s="152">
        <v>9.3726029999999998</v>
      </c>
      <c r="E360" s="152" t="s">
        <v>1325</v>
      </c>
      <c r="F360" s="152" t="s">
        <v>1326</v>
      </c>
      <c r="G360" s="152"/>
      <c r="H360" s="152"/>
      <c r="I360" s="151" t="s">
        <v>1327</v>
      </c>
      <c r="J360" s="152" t="s">
        <v>1327</v>
      </c>
      <c r="K360" s="151" t="s">
        <v>1327</v>
      </c>
      <c r="L360" s="152" t="s">
        <v>1327</v>
      </c>
      <c r="M360" s="152" t="s">
        <v>1327</v>
      </c>
      <c r="N360" s="152" t="s">
        <v>1327</v>
      </c>
      <c r="O360" s="152">
        <v>2.9729190000000001</v>
      </c>
      <c r="P360" s="152">
        <v>17.355153000000001</v>
      </c>
      <c r="Q360" s="152">
        <v>2.9729190000000001</v>
      </c>
      <c r="R360" s="152" t="s">
        <v>1327</v>
      </c>
      <c r="S360" s="152">
        <v>110.386377</v>
      </c>
      <c r="T360" s="152">
        <v>0.55890399999999996</v>
      </c>
      <c r="U360" s="152">
        <v>7.755903</v>
      </c>
      <c r="V360" s="152">
        <v>70.948932999999997</v>
      </c>
      <c r="W360" s="152">
        <v>1000</v>
      </c>
      <c r="X360" s="152" t="s">
        <v>23</v>
      </c>
      <c r="Y360" s="152" t="s">
        <v>1328</v>
      </c>
      <c r="Z360" s="152" t="s">
        <v>1327</v>
      </c>
    </row>
    <row r="361" spans="1:26" x14ac:dyDescent="0.2">
      <c r="A361" s="152" t="s">
        <v>1625</v>
      </c>
      <c r="B361" s="152">
        <v>4.2249999999999996</v>
      </c>
      <c r="C361" s="151">
        <v>46840</v>
      </c>
      <c r="D361" s="152">
        <v>9.4301370000000002</v>
      </c>
      <c r="E361" s="152" t="s">
        <v>1325</v>
      </c>
      <c r="F361" s="152" t="s">
        <v>1326</v>
      </c>
      <c r="G361" s="152"/>
      <c r="H361" s="152"/>
      <c r="I361" s="151">
        <v>41365</v>
      </c>
      <c r="J361" s="152">
        <v>4.18</v>
      </c>
      <c r="K361" s="151" t="s">
        <v>1327</v>
      </c>
      <c r="L361" s="152" t="s">
        <v>1327</v>
      </c>
      <c r="M361" s="152" t="s">
        <v>1327</v>
      </c>
      <c r="N361" s="152" t="s">
        <v>1327</v>
      </c>
      <c r="O361" s="152">
        <v>2.968521</v>
      </c>
      <c r="P361" s="152">
        <v>17.154834000000001</v>
      </c>
      <c r="Q361" s="152">
        <v>2.968521</v>
      </c>
      <c r="R361" s="152" t="s">
        <v>1327</v>
      </c>
      <c r="S361" s="152">
        <v>110.276495</v>
      </c>
      <c r="T361" s="152">
        <v>0.31253399999999998</v>
      </c>
      <c r="U361" s="152">
        <v>7.8189989999999998</v>
      </c>
      <c r="V361" s="152">
        <v>71.942407000000003</v>
      </c>
      <c r="W361" s="152">
        <v>1000</v>
      </c>
      <c r="X361" s="152" t="s">
        <v>23</v>
      </c>
      <c r="Y361" s="152" t="s">
        <v>1328</v>
      </c>
      <c r="Z361" s="152" t="s">
        <v>1327</v>
      </c>
    </row>
    <row r="362" spans="1:26" x14ac:dyDescent="0.2">
      <c r="A362" s="152" t="s">
        <v>1626</v>
      </c>
      <c r="B362" s="152">
        <v>4.7249999999999996</v>
      </c>
      <c r="C362" s="151">
        <v>47007</v>
      </c>
      <c r="D362" s="152">
        <v>9.8876709999999992</v>
      </c>
      <c r="E362" s="152" t="s">
        <v>1325</v>
      </c>
      <c r="F362" s="152" t="s">
        <v>1326</v>
      </c>
      <c r="G362" s="152"/>
      <c r="H362" s="152"/>
      <c r="I362" s="151">
        <v>41516</v>
      </c>
      <c r="J362" s="152">
        <v>4.726801</v>
      </c>
      <c r="K362" s="151" t="s">
        <v>1327</v>
      </c>
      <c r="L362" s="152" t="s">
        <v>1327</v>
      </c>
      <c r="M362" s="152" t="s">
        <v>1327</v>
      </c>
      <c r="N362" s="152" t="s">
        <v>1327</v>
      </c>
      <c r="O362" s="152">
        <v>2.9580250000000001</v>
      </c>
      <c r="P362" s="152">
        <v>17.002103999999999</v>
      </c>
      <c r="Q362" s="152">
        <v>2.9580250000000001</v>
      </c>
      <c r="R362" s="152" t="s">
        <v>1327</v>
      </c>
      <c r="S362" s="152">
        <v>115.052567</v>
      </c>
      <c r="T362" s="152">
        <v>0.56958900000000001</v>
      </c>
      <c r="U362" s="152">
        <v>7.9951949999999998</v>
      </c>
      <c r="V362" s="152">
        <v>76.227568000000005</v>
      </c>
      <c r="W362" s="152">
        <v>1000</v>
      </c>
      <c r="X362" s="152" t="s">
        <v>23</v>
      </c>
      <c r="Y362" s="152" t="s">
        <v>1328</v>
      </c>
      <c r="Z362" s="152" t="s">
        <v>1327</v>
      </c>
    </row>
    <row r="363" spans="1:26" x14ac:dyDescent="0.2">
      <c r="A363" s="152" t="s">
        <v>1627</v>
      </c>
      <c r="B363" s="152">
        <v>2.67</v>
      </c>
      <c r="C363" s="151">
        <v>47994</v>
      </c>
      <c r="D363" s="152">
        <v>12.591780999999999</v>
      </c>
      <c r="E363" s="152" t="s">
        <v>1325</v>
      </c>
      <c r="F363" s="152" t="s">
        <v>1326</v>
      </c>
      <c r="G363" s="152"/>
      <c r="H363" s="152"/>
      <c r="I363" s="151" t="s">
        <v>1327</v>
      </c>
      <c r="J363" s="152" t="s">
        <v>1327</v>
      </c>
      <c r="K363" s="151" t="s">
        <v>1327</v>
      </c>
      <c r="L363" s="152" t="s">
        <v>1327</v>
      </c>
      <c r="M363" s="152" t="s">
        <v>1327</v>
      </c>
      <c r="N363" s="152" t="s">
        <v>1327</v>
      </c>
      <c r="O363" s="152">
        <v>3.4121290000000002</v>
      </c>
      <c r="P363" s="152">
        <v>23.915635999999999</v>
      </c>
      <c r="Q363" s="152">
        <v>3.4121290000000002</v>
      </c>
      <c r="R363" s="152" t="s">
        <v>1327</v>
      </c>
      <c r="S363" s="152">
        <v>92.444400000000002</v>
      </c>
      <c r="T363" s="152">
        <v>1.11189</v>
      </c>
      <c r="U363" s="152">
        <v>10.381050999999999</v>
      </c>
      <c r="V363" s="152">
        <v>126.14443799999999</v>
      </c>
      <c r="W363" s="152">
        <v>1000</v>
      </c>
      <c r="X363" s="152" t="s">
        <v>23</v>
      </c>
      <c r="Y363" s="152" t="s">
        <v>1328</v>
      </c>
      <c r="Z363" s="152" t="s">
        <v>1327</v>
      </c>
    </row>
    <row r="364" spans="1:26" x14ac:dyDescent="0.2">
      <c r="A364" s="152" t="s">
        <v>1628</v>
      </c>
      <c r="B364" s="152">
        <v>3.22</v>
      </c>
      <c r="C364" s="151">
        <v>48637</v>
      </c>
      <c r="D364" s="152">
        <v>14.353425</v>
      </c>
      <c r="E364" s="152" t="s">
        <v>1325</v>
      </c>
      <c r="F364" s="152" t="s">
        <v>1326</v>
      </c>
      <c r="G364" s="152"/>
      <c r="H364" s="152"/>
      <c r="I364" s="152" t="s">
        <v>1327</v>
      </c>
      <c r="J364" s="152" t="s">
        <v>1327</v>
      </c>
      <c r="K364" s="151" t="s">
        <v>1327</v>
      </c>
      <c r="L364" s="152" t="s">
        <v>1327</v>
      </c>
      <c r="M364" s="152" t="s">
        <v>1327</v>
      </c>
      <c r="N364" s="152" t="s">
        <v>1327</v>
      </c>
      <c r="O364" s="152">
        <v>3.545175</v>
      </c>
      <c r="P364" s="152">
        <v>24.466943000000001</v>
      </c>
      <c r="Q364" s="152">
        <v>3.545175</v>
      </c>
      <c r="R364" s="152" t="s">
        <v>1327</v>
      </c>
      <c r="S364" s="152">
        <v>96.352416000000005</v>
      </c>
      <c r="T364" s="152">
        <v>0.52049299999999998</v>
      </c>
      <c r="U364" s="152">
        <v>11.27731</v>
      </c>
      <c r="V364" s="152">
        <v>152.12773799999999</v>
      </c>
      <c r="W364" s="152">
        <v>1000</v>
      </c>
      <c r="X364" s="152" t="s">
        <v>23</v>
      </c>
      <c r="Y364" s="152" t="s">
        <v>1328</v>
      </c>
      <c r="Z364" s="152" t="s">
        <v>1327</v>
      </c>
    </row>
    <row r="365" spans="1:26" x14ac:dyDescent="0.2">
      <c r="A365" s="152" t="s">
        <v>1629</v>
      </c>
      <c r="B365" s="152">
        <v>3.57</v>
      </c>
      <c r="C365" s="151">
        <v>48759</v>
      </c>
      <c r="D365" s="152">
        <v>14.687671</v>
      </c>
      <c r="E365" s="152" t="s">
        <v>1325</v>
      </c>
      <c r="F365" s="152" t="s">
        <v>1326</v>
      </c>
      <c r="G365" s="152"/>
      <c r="H365" s="152"/>
      <c r="I365" s="151" t="s">
        <v>1327</v>
      </c>
      <c r="J365" s="152" t="s">
        <v>1327</v>
      </c>
      <c r="K365" s="151" t="s">
        <v>1327</v>
      </c>
      <c r="L365" s="152" t="s">
        <v>1327</v>
      </c>
      <c r="M365" s="152" t="s">
        <v>1327</v>
      </c>
      <c r="N365" s="152" t="s">
        <v>1327</v>
      </c>
      <c r="O365" s="152">
        <v>3.7347649999999999</v>
      </c>
      <c r="P365" s="152">
        <v>43.488878</v>
      </c>
      <c r="Q365" s="152">
        <v>3.7347649999999999</v>
      </c>
      <c r="R365" s="152" t="s">
        <v>1327</v>
      </c>
      <c r="S365" s="152">
        <v>98.142498000000003</v>
      </c>
      <c r="T365" s="152">
        <v>1.154137</v>
      </c>
      <c r="U365" s="152">
        <v>11.174817000000001</v>
      </c>
      <c r="V365" s="152">
        <v>152.48413600000001</v>
      </c>
      <c r="W365" s="152">
        <v>1000</v>
      </c>
      <c r="X365" s="152" t="s">
        <v>23</v>
      </c>
      <c r="Y365" s="152" t="s">
        <v>1328</v>
      </c>
      <c r="Z365" s="152" t="s">
        <v>1327</v>
      </c>
    </row>
    <row r="366" spans="1:26" x14ac:dyDescent="0.2">
      <c r="A366" s="152" t="s">
        <v>1630</v>
      </c>
      <c r="B366" s="152">
        <v>4.5599999999999996</v>
      </c>
      <c r="C366" s="151">
        <v>48789</v>
      </c>
      <c r="D366" s="152">
        <v>14.769863000000001</v>
      </c>
      <c r="E366" s="152" t="s">
        <v>1325</v>
      </c>
      <c r="F366" s="152" t="s">
        <v>1326</v>
      </c>
      <c r="G366" s="152"/>
      <c r="H366" s="152"/>
      <c r="I366" s="151" t="s">
        <v>1327</v>
      </c>
      <c r="J366" s="152" t="s">
        <v>1327</v>
      </c>
      <c r="K366" s="151" t="s">
        <v>1327</v>
      </c>
      <c r="L366" s="152" t="s">
        <v>1327</v>
      </c>
      <c r="M366" s="152" t="s">
        <v>1327</v>
      </c>
      <c r="N366" s="152" t="s">
        <v>1327</v>
      </c>
      <c r="O366" s="152">
        <v>3.5853220000000001</v>
      </c>
      <c r="P366" s="152">
        <v>30.522134000000001</v>
      </c>
      <c r="Q366" s="152">
        <v>3.5853220000000001</v>
      </c>
      <c r="R366" s="152" t="s">
        <v>1327</v>
      </c>
      <c r="S366" s="152">
        <v>111.073651</v>
      </c>
      <c r="T366" s="152">
        <v>1.099397</v>
      </c>
      <c r="U366" s="152">
        <v>10.830741</v>
      </c>
      <c r="V366" s="152">
        <v>146.10354699999999</v>
      </c>
      <c r="W366" s="152">
        <v>1000</v>
      </c>
      <c r="X366" s="152" t="s">
        <v>23</v>
      </c>
      <c r="Y366" s="152" t="s">
        <v>1328</v>
      </c>
      <c r="Z366" s="152" t="s">
        <v>1327</v>
      </c>
    </row>
    <row r="367" spans="1:26" x14ac:dyDescent="0.2">
      <c r="A367" s="152" t="s">
        <v>1631</v>
      </c>
      <c r="B367" s="152">
        <v>4.58</v>
      </c>
      <c r="C367" s="151">
        <v>48828</v>
      </c>
      <c r="D367" s="152">
        <v>14.876711999999999</v>
      </c>
      <c r="E367" s="152" t="s">
        <v>1325</v>
      </c>
      <c r="F367" s="152" t="s">
        <v>1326</v>
      </c>
      <c r="G367" s="152"/>
      <c r="H367" s="152"/>
      <c r="I367" s="151" t="s">
        <v>1327</v>
      </c>
      <c r="J367" s="152" t="s">
        <v>1327</v>
      </c>
      <c r="K367" s="151" t="s">
        <v>1327</v>
      </c>
      <c r="L367" s="152" t="s">
        <v>1327</v>
      </c>
      <c r="M367" s="152" t="s">
        <v>1327</v>
      </c>
      <c r="N367" s="152" t="s">
        <v>1327</v>
      </c>
      <c r="O367" s="152">
        <v>3.5972379999999999</v>
      </c>
      <c r="P367" s="152">
        <v>31.2605</v>
      </c>
      <c r="Q367" s="152">
        <v>3.5972379999999999</v>
      </c>
      <c r="R367" s="152" t="s">
        <v>1327</v>
      </c>
      <c r="S367" s="152">
        <v>111.251729</v>
      </c>
      <c r="T367" s="152">
        <v>0.61484899999999998</v>
      </c>
      <c r="U367" s="152">
        <v>10.915713999999999</v>
      </c>
      <c r="V367" s="152">
        <v>148.02539100000001</v>
      </c>
      <c r="W367" s="152">
        <v>1000</v>
      </c>
      <c r="X367" s="152" t="s">
        <v>23</v>
      </c>
      <c r="Y367" s="152" t="s">
        <v>1328</v>
      </c>
      <c r="Z367" s="152" t="s">
        <v>1327</v>
      </c>
    </row>
    <row r="368" spans="1:26" x14ac:dyDescent="0.2">
      <c r="A368" s="152" t="s">
        <v>1632</v>
      </c>
      <c r="B368" s="152">
        <v>3.54</v>
      </c>
      <c r="C368" s="151">
        <v>50246</v>
      </c>
      <c r="D368" s="152">
        <v>18.761644</v>
      </c>
      <c r="E368" s="152" t="s">
        <v>1325</v>
      </c>
      <c r="F368" s="152" t="s">
        <v>1326</v>
      </c>
      <c r="G368" s="152"/>
      <c r="H368" s="152"/>
      <c r="I368" s="152">
        <v>42949</v>
      </c>
      <c r="J368" s="152">
        <v>3.536</v>
      </c>
      <c r="K368" s="151" t="s">
        <v>1327</v>
      </c>
      <c r="L368" s="152" t="s">
        <v>1327</v>
      </c>
      <c r="M368" s="152" t="s">
        <v>1327</v>
      </c>
      <c r="N368" s="152" t="s">
        <v>1327</v>
      </c>
      <c r="O368" s="152">
        <v>3.7495759999999998</v>
      </c>
      <c r="P368" s="152">
        <v>43.327727000000003</v>
      </c>
      <c r="Q368" s="152">
        <v>3.7495759999999998</v>
      </c>
      <c r="R368" s="152" t="s">
        <v>1327</v>
      </c>
      <c r="S368" s="152">
        <v>97.177012000000005</v>
      </c>
      <c r="T368" s="152">
        <v>0.89227400000000001</v>
      </c>
      <c r="U368" s="152">
        <v>13.405609999999999</v>
      </c>
      <c r="V368" s="152">
        <v>226.02585300000001</v>
      </c>
      <c r="W368" s="152">
        <v>1000</v>
      </c>
      <c r="X368" s="152" t="s">
        <v>23</v>
      </c>
      <c r="Y368" s="152" t="s">
        <v>1328</v>
      </c>
      <c r="Z368" s="152" t="s">
        <v>1327</v>
      </c>
    </row>
    <row r="369" spans="1:26" x14ac:dyDescent="0.2">
      <c r="A369" s="152" t="s">
        <v>1633</v>
      </c>
      <c r="B369" s="152">
        <v>3.46</v>
      </c>
      <c r="C369" s="151">
        <v>50463</v>
      </c>
      <c r="D369" s="152">
        <v>19.356164</v>
      </c>
      <c r="E369" s="152" t="s">
        <v>1325</v>
      </c>
      <c r="F369" s="152" t="s">
        <v>1326</v>
      </c>
      <c r="G369" s="152"/>
      <c r="H369" s="152"/>
      <c r="I369" s="152" t="s">
        <v>1327</v>
      </c>
      <c r="J369" s="152" t="s">
        <v>1327</v>
      </c>
      <c r="K369" s="151" t="s">
        <v>1327</v>
      </c>
      <c r="L369" s="152" t="s">
        <v>1327</v>
      </c>
      <c r="M369" s="152" t="s">
        <v>1327</v>
      </c>
      <c r="N369" s="152" t="s">
        <v>1327</v>
      </c>
      <c r="O369" s="152">
        <v>3.7879719999999999</v>
      </c>
      <c r="P369" s="152">
        <v>45.706983000000001</v>
      </c>
      <c r="Q369" s="152">
        <v>3.7879719999999999</v>
      </c>
      <c r="R369" s="152" t="s">
        <v>1327</v>
      </c>
      <c r="S369" s="152">
        <v>95.513936000000001</v>
      </c>
      <c r="T369" s="152">
        <v>0.55928800000000001</v>
      </c>
      <c r="U369" s="152">
        <v>13.782024</v>
      </c>
      <c r="V369" s="152">
        <v>238.90008399999999</v>
      </c>
      <c r="W369" s="152">
        <v>1000</v>
      </c>
      <c r="X369" s="152" t="s">
        <v>23</v>
      </c>
      <c r="Y369" s="152" t="s">
        <v>1328</v>
      </c>
      <c r="Z369" s="152" t="s">
        <v>1327</v>
      </c>
    </row>
    <row r="370" spans="1:26" x14ac:dyDescent="0.2">
      <c r="A370" s="152" t="s">
        <v>1634</v>
      </c>
      <c r="B370" s="152">
        <v>3.78</v>
      </c>
      <c r="C370" s="151">
        <v>50585</v>
      </c>
      <c r="D370" s="152">
        <v>19.690411000000001</v>
      </c>
      <c r="E370" s="152" t="s">
        <v>1325</v>
      </c>
      <c r="F370" s="152" t="s">
        <v>1326</v>
      </c>
      <c r="G370" s="152"/>
      <c r="H370" s="152"/>
      <c r="I370" s="151">
        <v>43321</v>
      </c>
      <c r="J370" s="152">
        <v>3.95</v>
      </c>
      <c r="K370" s="152" t="s">
        <v>1327</v>
      </c>
      <c r="L370" s="152" t="s">
        <v>1327</v>
      </c>
      <c r="M370" s="152" t="s">
        <v>1327</v>
      </c>
      <c r="N370" s="152" t="s">
        <v>1327</v>
      </c>
      <c r="O370" s="152">
        <v>4.0616690000000002</v>
      </c>
      <c r="P370" s="152">
        <v>73.736374999999995</v>
      </c>
      <c r="Q370" s="152">
        <v>4.0616690000000002</v>
      </c>
      <c r="R370" s="152" t="s">
        <v>1327</v>
      </c>
      <c r="S370" s="152">
        <v>96.199044000000001</v>
      </c>
      <c r="T370" s="152">
        <v>1.222027</v>
      </c>
      <c r="U370" s="152">
        <v>13.482082</v>
      </c>
      <c r="V370" s="152">
        <v>234.259274</v>
      </c>
      <c r="W370" s="152">
        <v>1000</v>
      </c>
      <c r="X370" s="152" t="s">
        <v>23</v>
      </c>
      <c r="Y370" s="152" t="s">
        <v>1328</v>
      </c>
      <c r="Z370" s="152" t="s">
        <v>1327</v>
      </c>
    </row>
    <row r="371" spans="1:26" x14ac:dyDescent="0.2">
      <c r="A371" s="152" t="s">
        <v>300</v>
      </c>
      <c r="B371" s="152">
        <v>2.69</v>
      </c>
      <c r="C371" s="151">
        <v>43457</v>
      </c>
      <c r="D371" s="152">
        <v>0.16164400000000001</v>
      </c>
      <c r="E371" s="152" t="s">
        <v>1325</v>
      </c>
      <c r="F371" s="152" t="s">
        <v>1326</v>
      </c>
      <c r="G371" s="152"/>
      <c r="H371" s="152"/>
      <c r="I371" s="152">
        <v>43374</v>
      </c>
      <c r="J371" s="152">
        <v>1.4410000000000001</v>
      </c>
      <c r="K371" s="152" t="s">
        <v>1327</v>
      </c>
      <c r="L371" s="152" t="s">
        <v>1327</v>
      </c>
      <c r="M371" s="152" t="s">
        <v>1327</v>
      </c>
      <c r="N371" s="152" t="s">
        <v>1327</v>
      </c>
      <c r="O371" s="152">
        <v>1.554254</v>
      </c>
      <c r="P371" s="152">
        <v>15.494902</v>
      </c>
      <c r="Q371" s="152">
        <v>1.554254</v>
      </c>
      <c r="R371" s="152" t="s">
        <v>1327</v>
      </c>
      <c r="S371" s="152">
        <v>100.177824</v>
      </c>
      <c r="T371" s="152">
        <v>0.91386299999999998</v>
      </c>
      <c r="U371" s="152">
        <v>0.16039700000000001</v>
      </c>
      <c r="V371" s="152">
        <v>0.105308</v>
      </c>
      <c r="W371" s="152">
        <v>1000</v>
      </c>
      <c r="X371" s="152" t="s">
        <v>23</v>
      </c>
      <c r="Y371" s="152" t="s">
        <v>1328</v>
      </c>
      <c r="Z371" s="152" t="s">
        <v>1327</v>
      </c>
    </row>
    <row r="372" spans="1:26" x14ac:dyDescent="0.2">
      <c r="A372" s="152" t="s">
        <v>1635</v>
      </c>
      <c r="B372" s="152">
        <v>2.4500000000000002</v>
      </c>
      <c r="C372" s="151">
        <v>43554</v>
      </c>
      <c r="D372" s="152">
        <v>0.42739700000000003</v>
      </c>
      <c r="E372" s="152" t="s">
        <v>1325</v>
      </c>
      <c r="F372" s="152" t="s">
        <v>1326</v>
      </c>
      <c r="G372" s="152"/>
      <c r="H372" s="152"/>
      <c r="I372" s="151">
        <v>43339</v>
      </c>
      <c r="J372" s="152">
        <v>1.6850000000000001</v>
      </c>
      <c r="K372" s="151" t="s">
        <v>1327</v>
      </c>
      <c r="L372" s="152" t="s">
        <v>1327</v>
      </c>
      <c r="M372" s="152" t="s">
        <v>1327</v>
      </c>
      <c r="N372" s="152" t="s">
        <v>1327</v>
      </c>
      <c r="O372" s="152">
        <v>1.8541780000000001</v>
      </c>
      <c r="P372" s="152">
        <v>15.243373999999999</v>
      </c>
      <c r="Q372" s="152">
        <v>1.8541780000000001</v>
      </c>
      <c r="R372" s="152" t="s">
        <v>1327</v>
      </c>
      <c r="S372" s="152">
        <v>100.26185</v>
      </c>
      <c r="T372" s="152">
        <v>0.16780800000000001</v>
      </c>
      <c r="U372" s="152">
        <v>0.42347099999999999</v>
      </c>
      <c r="V372" s="152">
        <v>0.38911899999999999</v>
      </c>
      <c r="W372" s="152">
        <v>1000</v>
      </c>
      <c r="X372" s="152" t="s">
        <v>23</v>
      </c>
      <c r="Y372" s="152" t="s">
        <v>1328</v>
      </c>
      <c r="Z372" s="152" t="s">
        <v>1327</v>
      </c>
    </row>
    <row r="373" spans="1:26" x14ac:dyDescent="0.2">
      <c r="A373" s="152" t="s">
        <v>1636</v>
      </c>
      <c r="B373" s="152">
        <v>1.79</v>
      </c>
      <c r="C373" s="151">
        <v>43598</v>
      </c>
      <c r="D373" s="152">
        <v>0.54794500000000002</v>
      </c>
      <c r="E373" s="152" t="s">
        <v>1325</v>
      </c>
      <c r="F373" s="152" t="s">
        <v>1326</v>
      </c>
      <c r="G373" s="152"/>
      <c r="H373" s="152"/>
      <c r="I373" s="151">
        <v>43312</v>
      </c>
      <c r="J373" s="152">
        <v>1.71</v>
      </c>
      <c r="K373" s="151" t="s">
        <v>1327</v>
      </c>
      <c r="L373" s="152" t="s">
        <v>1327</v>
      </c>
      <c r="M373" s="152" t="s">
        <v>1327</v>
      </c>
      <c r="N373" s="152" t="s">
        <v>1327</v>
      </c>
      <c r="O373" s="152">
        <v>1.9119010000000001</v>
      </c>
      <c r="P373" s="152">
        <v>17.216087000000002</v>
      </c>
      <c r="Q373" s="152">
        <v>1.9119010000000001</v>
      </c>
      <c r="R373" s="152" t="s">
        <v>1327</v>
      </c>
      <c r="S373" s="152">
        <v>99.925619999999995</v>
      </c>
      <c r="T373" s="152">
        <v>0.80917799999999995</v>
      </c>
      <c r="U373" s="152">
        <v>0.542431</v>
      </c>
      <c r="V373" s="152">
        <v>0.56503700000000001</v>
      </c>
      <c r="W373" s="152">
        <v>1000</v>
      </c>
      <c r="X373" s="152" t="s">
        <v>23</v>
      </c>
      <c r="Y373" s="152" t="s">
        <v>1328</v>
      </c>
      <c r="Z373" s="152" t="s">
        <v>1327</v>
      </c>
    </row>
    <row r="374" spans="1:26" x14ac:dyDescent="0.2">
      <c r="A374" s="152" t="s">
        <v>1637</v>
      </c>
      <c r="B374" s="152">
        <v>1.91</v>
      </c>
      <c r="C374" s="151">
        <v>43674</v>
      </c>
      <c r="D374" s="152">
        <v>0.75616399999999995</v>
      </c>
      <c r="E374" s="152" t="s">
        <v>1325</v>
      </c>
      <c r="F374" s="152" t="s">
        <v>1326</v>
      </c>
      <c r="G374" s="152"/>
      <c r="H374" s="152"/>
      <c r="I374" s="152">
        <v>43181</v>
      </c>
      <c r="J374" s="152">
        <v>1.5</v>
      </c>
      <c r="K374" s="151" t="s">
        <v>1327</v>
      </c>
      <c r="L374" s="152" t="s">
        <v>1327</v>
      </c>
      <c r="M374" s="152" t="s">
        <v>1327</v>
      </c>
      <c r="N374" s="152" t="s">
        <v>1327</v>
      </c>
      <c r="O374" s="152">
        <v>1.966672</v>
      </c>
      <c r="P374" s="152">
        <v>18.773824000000001</v>
      </c>
      <c r="Q374" s="152">
        <v>1.966672</v>
      </c>
      <c r="R374" s="152" t="s">
        <v>1327</v>
      </c>
      <c r="S374" s="152">
        <v>99.948425999999998</v>
      </c>
      <c r="T374" s="152">
        <v>0.46572599999999997</v>
      </c>
      <c r="U374" s="152">
        <v>0.74818600000000002</v>
      </c>
      <c r="V374" s="152">
        <v>0.93252999999999997</v>
      </c>
      <c r="W374" s="152">
        <v>1000</v>
      </c>
      <c r="X374" s="152" t="s">
        <v>23</v>
      </c>
      <c r="Y374" s="152" t="s">
        <v>1328</v>
      </c>
      <c r="Z374" s="152" t="s">
        <v>1327</v>
      </c>
    </row>
    <row r="375" spans="1:26" x14ac:dyDescent="0.2">
      <c r="A375" s="152" t="s">
        <v>1638</v>
      </c>
      <c r="B375" s="152">
        <v>2.09</v>
      </c>
      <c r="C375" s="151">
        <v>43920</v>
      </c>
      <c r="D375" s="152">
        <v>1.430137</v>
      </c>
      <c r="E375" s="152" t="s">
        <v>1325</v>
      </c>
      <c r="F375" s="152" t="s">
        <v>1326</v>
      </c>
      <c r="G375" s="152"/>
      <c r="H375" s="152"/>
      <c r="I375" s="151">
        <v>43174</v>
      </c>
      <c r="J375" s="152">
        <v>1.54</v>
      </c>
      <c r="K375" s="151" t="s">
        <v>1327</v>
      </c>
      <c r="L375" s="152" t="s">
        <v>1327</v>
      </c>
      <c r="M375" s="152" t="s">
        <v>1327</v>
      </c>
      <c r="N375" s="152" t="s">
        <v>1327</v>
      </c>
      <c r="O375" s="152">
        <v>2.087583</v>
      </c>
      <c r="P375" s="152">
        <v>18.466916999999999</v>
      </c>
      <c r="Q375" s="152">
        <v>2.087583</v>
      </c>
      <c r="R375" s="152" t="s">
        <v>1327</v>
      </c>
      <c r="S375" s="152">
        <v>100.011298</v>
      </c>
      <c r="T375" s="152">
        <v>0.143151</v>
      </c>
      <c r="U375" s="152">
        <v>1.3973530000000001</v>
      </c>
      <c r="V375" s="152">
        <v>2.6564549999999998</v>
      </c>
      <c r="W375" s="152">
        <v>1000</v>
      </c>
      <c r="X375" s="152" t="s">
        <v>23</v>
      </c>
      <c r="Y375" s="152" t="s">
        <v>1328</v>
      </c>
      <c r="Z375" s="152" t="s">
        <v>1327</v>
      </c>
    </row>
    <row r="376" spans="1:26" x14ac:dyDescent="0.2">
      <c r="A376" s="152" t="s">
        <v>1639</v>
      </c>
      <c r="B376" s="152">
        <v>3.73</v>
      </c>
      <c r="C376" s="151">
        <v>44097</v>
      </c>
      <c r="D376" s="152">
        <v>1.915068</v>
      </c>
      <c r="E376" s="152" t="s">
        <v>1325</v>
      </c>
      <c r="F376" s="152" t="s">
        <v>1326</v>
      </c>
      <c r="G376" s="152"/>
      <c r="H376" s="152"/>
      <c r="I376" s="151">
        <v>42564</v>
      </c>
      <c r="J376" s="152">
        <v>2</v>
      </c>
      <c r="K376" s="151" t="s">
        <v>1327</v>
      </c>
      <c r="L376" s="152" t="s">
        <v>1327</v>
      </c>
      <c r="M376" s="152" t="s">
        <v>1327</v>
      </c>
      <c r="N376" s="152" t="s">
        <v>1327</v>
      </c>
      <c r="O376" s="152">
        <v>2.197797</v>
      </c>
      <c r="P376" s="152">
        <v>18.694873000000001</v>
      </c>
      <c r="Q376" s="152">
        <v>2.197797</v>
      </c>
      <c r="R376" s="152" t="s">
        <v>1327</v>
      </c>
      <c r="S376" s="152">
        <v>102.86182599999999</v>
      </c>
      <c r="T376" s="152">
        <v>0.32701400000000003</v>
      </c>
      <c r="U376" s="152">
        <v>1.8347070000000001</v>
      </c>
      <c r="V376" s="152">
        <v>4.3318009999999996</v>
      </c>
      <c r="W376" s="152">
        <v>1000</v>
      </c>
      <c r="X376" s="152" t="s">
        <v>23</v>
      </c>
      <c r="Y376" s="152" t="s">
        <v>1328</v>
      </c>
      <c r="Z376" s="152" t="s">
        <v>1327</v>
      </c>
    </row>
    <row r="377" spans="1:26" x14ac:dyDescent="0.2">
      <c r="A377" s="152" t="s">
        <v>1640</v>
      </c>
      <c r="B377" s="152">
        <v>1.92</v>
      </c>
      <c r="C377" s="151">
        <v>44179</v>
      </c>
      <c r="D377" s="152">
        <v>2.139726</v>
      </c>
      <c r="E377" s="152" t="s">
        <v>1325</v>
      </c>
      <c r="F377" s="152" t="s">
        <v>1326</v>
      </c>
      <c r="G377" s="152"/>
      <c r="H377" s="152"/>
      <c r="I377" s="152" t="s">
        <v>1327</v>
      </c>
      <c r="J377" s="152" t="s">
        <v>1327</v>
      </c>
      <c r="K377" s="151" t="s">
        <v>1327</v>
      </c>
      <c r="L377" s="152" t="s">
        <v>1327</v>
      </c>
      <c r="M377" s="152" t="s">
        <v>1327</v>
      </c>
      <c r="N377" s="152" t="s">
        <v>1327</v>
      </c>
      <c r="O377" s="152">
        <v>2.2178019999999998</v>
      </c>
      <c r="P377" s="152">
        <v>18.600695000000002</v>
      </c>
      <c r="Q377" s="152">
        <v>2.2178019999999998</v>
      </c>
      <c r="R377" s="152" t="s">
        <v>1327</v>
      </c>
      <c r="S377" s="152">
        <v>99.378103999999993</v>
      </c>
      <c r="T377" s="152">
        <v>0.69961600000000002</v>
      </c>
      <c r="U377" s="152">
        <v>2.0667710000000001</v>
      </c>
      <c r="V377" s="152">
        <v>5.361059</v>
      </c>
      <c r="W377" s="152">
        <v>1000</v>
      </c>
      <c r="X377" s="152" t="s">
        <v>23</v>
      </c>
      <c r="Y377" s="152" t="s">
        <v>1328</v>
      </c>
      <c r="Z377" s="152" t="s">
        <v>1327</v>
      </c>
    </row>
    <row r="378" spans="1:26" x14ac:dyDescent="0.2">
      <c r="A378" s="152" t="s">
        <v>1641</v>
      </c>
      <c r="B378" s="152">
        <v>2.25</v>
      </c>
      <c r="C378" s="151">
        <v>44285</v>
      </c>
      <c r="D378" s="152">
        <v>2.4301370000000002</v>
      </c>
      <c r="E378" s="152" t="s">
        <v>1325</v>
      </c>
      <c r="F378" s="152" t="s">
        <v>1326</v>
      </c>
      <c r="G378" s="152"/>
      <c r="H378" s="152"/>
      <c r="I378" s="152" t="s">
        <v>1327</v>
      </c>
      <c r="J378" s="152" t="s">
        <v>1327</v>
      </c>
      <c r="K378" s="151" t="s">
        <v>1327</v>
      </c>
      <c r="L378" s="152" t="s">
        <v>1327</v>
      </c>
      <c r="M378" s="152" t="s">
        <v>1327</v>
      </c>
      <c r="N378" s="152" t="s">
        <v>1327</v>
      </c>
      <c r="O378" s="152">
        <v>2.2564479999999998</v>
      </c>
      <c r="P378" s="152">
        <v>20.424382000000001</v>
      </c>
      <c r="Q378" s="152">
        <v>2.2564479999999998</v>
      </c>
      <c r="R378" s="152" t="s">
        <v>1327</v>
      </c>
      <c r="S378" s="152">
        <v>99.993315999999993</v>
      </c>
      <c r="T378" s="152">
        <v>0.15411</v>
      </c>
      <c r="U378" s="152">
        <v>2.3459159999999999</v>
      </c>
      <c r="V378" s="152">
        <v>6.7412260000000002</v>
      </c>
      <c r="W378" s="152">
        <v>1000</v>
      </c>
      <c r="X378" s="152" t="s">
        <v>23</v>
      </c>
      <c r="Y378" s="152" t="s">
        <v>1328</v>
      </c>
      <c r="Z378" s="152" t="s">
        <v>1327</v>
      </c>
    </row>
    <row r="379" spans="1:26" x14ac:dyDescent="0.2">
      <c r="A379" s="152" t="s">
        <v>1642</v>
      </c>
      <c r="B379" s="152">
        <v>1.86</v>
      </c>
      <c r="C379" s="151">
        <v>44297</v>
      </c>
      <c r="D379" s="152">
        <v>2.4630139999999998</v>
      </c>
      <c r="E379" s="152" t="s">
        <v>1325</v>
      </c>
      <c r="F379" s="152" t="s">
        <v>1326</v>
      </c>
      <c r="G379" s="152"/>
      <c r="H379" s="152"/>
      <c r="I379" s="152">
        <v>43391</v>
      </c>
      <c r="J379" s="152">
        <v>2.34</v>
      </c>
      <c r="K379" s="151" t="s">
        <v>1327</v>
      </c>
      <c r="L379" s="152" t="s">
        <v>1327</v>
      </c>
      <c r="M379" s="152" t="s">
        <v>1327</v>
      </c>
      <c r="N379" s="152" t="s">
        <v>1327</v>
      </c>
      <c r="O379" s="152">
        <v>2.3412920000000002</v>
      </c>
      <c r="P379" s="152">
        <v>28.714165000000001</v>
      </c>
      <c r="Q379" s="152">
        <v>2.3412920000000002</v>
      </c>
      <c r="R379" s="152" t="s">
        <v>1327</v>
      </c>
      <c r="S379" s="152">
        <v>98.857995000000003</v>
      </c>
      <c r="T379" s="152">
        <v>7.1342000000000003E-2</v>
      </c>
      <c r="U379" s="152">
        <v>2.386371</v>
      </c>
      <c r="V379" s="152">
        <v>6.9397039999999999</v>
      </c>
      <c r="W379" s="152">
        <v>1000</v>
      </c>
      <c r="X379" s="152" t="s">
        <v>23</v>
      </c>
      <c r="Y379" s="152" t="s">
        <v>1328</v>
      </c>
      <c r="Z379" s="152" t="s">
        <v>1327</v>
      </c>
    </row>
    <row r="380" spans="1:26" x14ac:dyDescent="0.2">
      <c r="A380" s="152" t="s">
        <v>1643</v>
      </c>
      <c r="B380" s="152">
        <v>1.93</v>
      </c>
      <c r="C380" s="151">
        <v>44329</v>
      </c>
      <c r="D380" s="152">
        <v>2.5506850000000001</v>
      </c>
      <c r="E380" s="152" t="s">
        <v>1325</v>
      </c>
      <c r="F380" s="152" t="s">
        <v>1326</v>
      </c>
      <c r="G380" s="152"/>
      <c r="H380" s="152"/>
      <c r="I380" s="151">
        <v>43147</v>
      </c>
      <c r="J380" s="152">
        <v>1.9</v>
      </c>
      <c r="K380" s="151" t="s">
        <v>1327</v>
      </c>
      <c r="L380" s="152" t="s">
        <v>1327</v>
      </c>
      <c r="M380" s="152" t="s">
        <v>1327</v>
      </c>
      <c r="N380" s="152" t="s">
        <v>1327</v>
      </c>
      <c r="O380" s="152">
        <v>2.3220260000000001</v>
      </c>
      <c r="P380" s="152">
        <v>26.508502</v>
      </c>
      <c r="Q380" s="152">
        <v>2.3220260000000001</v>
      </c>
      <c r="R380" s="152" t="s">
        <v>1327</v>
      </c>
      <c r="S380" s="152">
        <v>99.025575000000003</v>
      </c>
      <c r="T380" s="152">
        <v>0.87246599999999996</v>
      </c>
      <c r="U380" s="152">
        <v>2.4523190000000001</v>
      </c>
      <c r="V380" s="152">
        <v>7.3492850000000001</v>
      </c>
      <c r="W380" s="152">
        <v>1000</v>
      </c>
      <c r="X380" s="152" t="s">
        <v>23</v>
      </c>
      <c r="Y380" s="152" t="s">
        <v>1328</v>
      </c>
      <c r="Z380" s="152" t="s">
        <v>1327</v>
      </c>
    </row>
    <row r="381" spans="1:26" x14ac:dyDescent="0.2">
      <c r="A381" s="152" t="s">
        <v>1644</v>
      </c>
      <c r="B381" s="152">
        <v>2.11</v>
      </c>
      <c r="C381" s="151">
        <v>44405</v>
      </c>
      <c r="D381" s="152">
        <v>2.7589039999999998</v>
      </c>
      <c r="E381" s="152" t="s">
        <v>1325</v>
      </c>
      <c r="F381" s="152" t="s">
        <v>1326</v>
      </c>
      <c r="G381" s="152"/>
      <c r="H381" s="152"/>
      <c r="I381" s="152">
        <v>43147</v>
      </c>
      <c r="J381" s="152">
        <v>1.98</v>
      </c>
      <c r="K381" s="152" t="s">
        <v>1327</v>
      </c>
      <c r="L381" s="152" t="s">
        <v>1327</v>
      </c>
      <c r="M381" s="152" t="s">
        <v>1327</v>
      </c>
      <c r="N381" s="152" t="s">
        <v>1327</v>
      </c>
      <c r="O381" s="152">
        <v>2.3472529999999998</v>
      </c>
      <c r="P381" s="152">
        <v>27.031545000000001</v>
      </c>
      <c r="Q381" s="152">
        <v>2.3472529999999998</v>
      </c>
      <c r="R381" s="152" t="s">
        <v>1327</v>
      </c>
      <c r="S381" s="152">
        <v>99.359249000000005</v>
      </c>
      <c r="T381" s="152">
        <v>0.51449299999999998</v>
      </c>
      <c r="U381" s="152">
        <v>2.6516160000000002</v>
      </c>
      <c r="V381" s="152">
        <v>8.4751809999999992</v>
      </c>
      <c r="W381" s="152">
        <v>1000</v>
      </c>
      <c r="X381" s="152" t="s">
        <v>23</v>
      </c>
      <c r="Y381" s="152" t="s">
        <v>1328</v>
      </c>
      <c r="Z381" s="152" t="s">
        <v>1327</v>
      </c>
    </row>
    <row r="382" spans="1:26" x14ac:dyDescent="0.2">
      <c r="A382" s="152" t="s">
        <v>1645</v>
      </c>
      <c r="B382" s="152">
        <v>2.48</v>
      </c>
      <c r="C382" s="151">
        <v>44466</v>
      </c>
      <c r="D382" s="152">
        <v>2.9260269999999999</v>
      </c>
      <c r="E382" s="152" t="s">
        <v>1325</v>
      </c>
      <c r="F382" s="152" t="s">
        <v>1326</v>
      </c>
      <c r="G382" s="152"/>
      <c r="H382" s="152"/>
      <c r="I382" s="152" t="s">
        <v>1327</v>
      </c>
      <c r="J382" s="152" t="s">
        <v>1327</v>
      </c>
      <c r="K382" s="152" t="s">
        <v>1327</v>
      </c>
      <c r="L382" s="152" t="s">
        <v>1327</v>
      </c>
      <c r="M382" s="152" t="s">
        <v>1327</v>
      </c>
      <c r="N382" s="152" t="s">
        <v>1327</v>
      </c>
      <c r="O382" s="152">
        <v>2.5039639999999999</v>
      </c>
      <c r="P382" s="152">
        <v>39.785170999999998</v>
      </c>
      <c r="Q382" s="152">
        <v>2.5039639999999999</v>
      </c>
      <c r="R382" s="152" t="s">
        <v>1327</v>
      </c>
      <c r="S382" s="152">
        <v>99.942092000000002</v>
      </c>
      <c r="T382" s="152">
        <v>0.190247</v>
      </c>
      <c r="U382" s="152">
        <v>2.7937880000000002</v>
      </c>
      <c r="V382" s="152">
        <v>9.3394329999999997</v>
      </c>
      <c r="W382" s="152">
        <v>1000</v>
      </c>
      <c r="X382" s="152" t="s">
        <v>23</v>
      </c>
      <c r="Y382" s="152" t="s">
        <v>1328</v>
      </c>
      <c r="Z382" s="152" t="s">
        <v>1327</v>
      </c>
    </row>
    <row r="383" spans="1:26" x14ac:dyDescent="0.2">
      <c r="A383" s="152" t="s">
        <v>1646</v>
      </c>
      <c r="B383" s="152">
        <v>3.37</v>
      </c>
      <c r="C383" s="151">
        <v>44735</v>
      </c>
      <c r="D383" s="152">
        <v>3.663014</v>
      </c>
      <c r="E383" s="152" t="s">
        <v>1325</v>
      </c>
      <c r="F383" s="152" t="s">
        <v>1326</v>
      </c>
      <c r="G383" s="152"/>
      <c r="H383" s="152"/>
      <c r="I383" s="152">
        <v>42270</v>
      </c>
      <c r="J383" s="152">
        <v>3.11</v>
      </c>
      <c r="K383" s="152" t="s">
        <v>1327</v>
      </c>
      <c r="L383" s="152" t="s">
        <v>1327</v>
      </c>
      <c r="M383" s="152" t="s">
        <v>1327</v>
      </c>
      <c r="N383" s="152" t="s">
        <v>1327</v>
      </c>
      <c r="O383" s="152">
        <v>2.5690900000000001</v>
      </c>
      <c r="P383" s="152">
        <v>27.189133999999999</v>
      </c>
      <c r="Q383" s="152">
        <v>2.5690900000000001</v>
      </c>
      <c r="R383" s="152" t="s">
        <v>1327</v>
      </c>
      <c r="S383" s="152">
        <v>102.774959</v>
      </c>
      <c r="T383" s="152">
        <v>1.1448769999999999</v>
      </c>
      <c r="U383" s="152">
        <v>3.3975780000000002</v>
      </c>
      <c r="V383" s="152">
        <v>13.714670999999999</v>
      </c>
      <c r="W383" s="152">
        <v>1000</v>
      </c>
      <c r="X383" s="152" t="s">
        <v>23</v>
      </c>
      <c r="Y383" s="152" t="s">
        <v>1328</v>
      </c>
      <c r="Z383" s="152" t="s">
        <v>1327</v>
      </c>
    </row>
    <row r="384" spans="1:26" x14ac:dyDescent="0.2">
      <c r="A384" s="152" t="s">
        <v>1647</v>
      </c>
      <c r="B384" s="152">
        <v>2.27</v>
      </c>
      <c r="C384" s="151">
        <v>44909</v>
      </c>
      <c r="D384" s="152">
        <v>4.1397259999999996</v>
      </c>
      <c r="E384" s="152" t="s">
        <v>1325</v>
      </c>
      <c r="F384" s="152" t="s">
        <v>1326</v>
      </c>
      <c r="G384" s="152"/>
      <c r="H384" s="152"/>
      <c r="I384" s="151">
        <v>43378</v>
      </c>
      <c r="J384" s="152">
        <v>2.5</v>
      </c>
      <c r="K384" s="152" t="s">
        <v>1327</v>
      </c>
      <c r="L384" s="152" t="s">
        <v>1327</v>
      </c>
      <c r="M384" s="152" t="s">
        <v>1327</v>
      </c>
      <c r="N384" s="152" t="s">
        <v>1327</v>
      </c>
      <c r="O384" s="152">
        <v>2.6083989999999999</v>
      </c>
      <c r="P384" s="152">
        <v>25.580089999999998</v>
      </c>
      <c r="Q384" s="152">
        <v>2.6083989999999999</v>
      </c>
      <c r="R384" s="152" t="s">
        <v>1327</v>
      </c>
      <c r="S384" s="152">
        <v>98.676490000000001</v>
      </c>
      <c r="T384" s="152">
        <v>0.82715099999999997</v>
      </c>
      <c r="U384" s="152">
        <v>3.8877199999999998</v>
      </c>
      <c r="V384" s="152">
        <v>17.547822</v>
      </c>
      <c r="W384" s="152">
        <v>1000</v>
      </c>
      <c r="X384" s="152" t="s">
        <v>23</v>
      </c>
      <c r="Y384" s="152" t="s">
        <v>1328</v>
      </c>
      <c r="Z384" s="152" t="s">
        <v>1327</v>
      </c>
    </row>
    <row r="385" spans="1:26" x14ac:dyDescent="0.2">
      <c r="A385" s="152" t="s">
        <v>1648</v>
      </c>
      <c r="B385" s="152">
        <v>2.13</v>
      </c>
      <c r="C385" s="151">
        <v>45027</v>
      </c>
      <c r="D385" s="152">
        <v>4.4630140000000003</v>
      </c>
      <c r="E385" s="152" t="s">
        <v>1325</v>
      </c>
      <c r="F385" s="152" t="s">
        <v>1326</v>
      </c>
      <c r="G385" s="152"/>
      <c r="H385" s="152"/>
      <c r="I385" s="151" t="s">
        <v>1327</v>
      </c>
      <c r="J385" s="152" t="s">
        <v>1327</v>
      </c>
      <c r="K385" s="152" t="s">
        <v>1327</v>
      </c>
      <c r="L385" s="152" t="s">
        <v>1327</v>
      </c>
      <c r="M385" s="152" t="s">
        <v>1327</v>
      </c>
      <c r="N385" s="152" t="s">
        <v>1327</v>
      </c>
      <c r="O385" s="152">
        <v>2.6943760000000001</v>
      </c>
      <c r="P385" s="152">
        <v>30.691821000000001</v>
      </c>
      <c r="Q385" s="152">
        <v>2.6943760000000001</v>
      </c>
      <c r="R385" s="152" t="s">
        <v>1327</v>
      </c>
      <c r="S385" s="152">
        <v>97.645410999999996</v>
      </c>
      <c r="T385" s="152">
        <v>8.1698999999999994E-2</v>
      </c>
      <c r="U385" s="152">
        <v>4.2156159999999998</v>
      </c>
      <c r="V385" s="152">
        <v>20.3398</v>
      </c>
      <c r="W385" s="152">
        <v>1000</v>
      </c>
      <c r="X385" s="152" t="s">
        <v>23</v>
      </c>
      <c r="Y385" s="152" t="s">
        <v>1328</v>
      </c>
      <c r="Z385" s="152" t="s">
        <v>1327</v>
      </c>
    </row>
    <row r="386" spans="1:26" x14ac:dyDescent="0.2">
      <c r="A386" s="152" t="s">
        <v>1649</v>
      </c>
      <c r="B386" s="152">
        <v>2.36</v>
      </c>
      <c r="C386" s="151">
        <v>45105</v>
      </c>
      <c r="D386" s="152">
        <v>4.6767120000000002</v>
      </c>
      <c r="E386" s="152" t="s">
        <v>1325</v>
      </c>
      <c r="F386" s="152" t="s">
        <v>1326</v>
      </c>
      <c r="G386" s="152"/>
      <c r="H386" s="152"/>
      <c r="I386" s="152">
        <v>43384</v>
      </c>
      <c r="J386" s="152">
        <v>2.7</v>
      </c>
      <c r="K386" s="152" t="s">
        <v>1327</v>
      </c>
      <c r="L386" s="152" t="s">
        <v>1327</v>
      </c>
      <c r="M386" s="152" t="s">
        <v>1327</v>
      </c>
      <c r="N386" s="152" t="s">
        <v>1327</v>
      </c>
      <c r="O386" s="152">
        <v>2.802972</v>
      </c>
      <c r="P386" s="152">
        <v>39.474429000000001</v>
      </c>
      <c r="Q386" s="152">
        <v>2.802972</v>
      </c>
      <c r="R386" s="152" t="s">
        <v>1327</v>
      </c>
      <c r="S386" s="152">
        <v>98.066433000000004</v>
      </c>
      <c r="T386" s="152">
        <v>0.76942500000000003</v>
      </c>
      <c r="U386" s="152">
        <v>4.3565839999999998</v>
      </c>
      <c r="V386" s="152">
        <v>21.865528000000001</v>
      </c>
      <c r="W386" s="152">
        <v>1000</v>
      </c>
      <c r="X386" s="152" t="s">
        <v>23</v>
      </c>
      <c r="Y386" s="152" t="s">
        <v>1328</v>
      </c>
      <c r="Z386" s="152" t="s">
        <v>1327</v>
      </c>
    </row>
    <row r="387" spans="1:26" x14ac:dyDescent="0.2">
      <c r="A387" s="152" t="s">
        <v>1650</v>
      </c>
      <c r="B387" s="152">
        <v>3.53</v>
      </c>
      <c r="C387" s="151">
        <v>45899</v>
      </c>
      <c r="D387" s="152">
        <v>6.852055</v>
      </c>
      <c r="E387" s="152" t="s">
        <v>1325</v>
      </c>
      <c r="F387" s="152" t="s">
        <v>1326</v>
      </c>
      <c r="G387" s="152"/>
      <c r="H387" s="152"/>
      <c r="I387" s="152" t="s">
        <v>1327</v>
      </c>
      <c r="J387" s="152" t="s">
        <v>1327</v>
      </c>
      <c r="K387" s="152" t="s">
        <v>1327</v>
      </c>
      <c r="L387" s="152" t="s">
        <v>1327</v>
      </c>
      <c r="M387" s="152" t="s">
        <v>1327</v>
      </c>
      <c r="N387" s="152" t="s">
        <v>1327</v>
      </c>
      <c r="O387" s="152">
        <v>3.0229509999999999</v>
      </c>
      <c r="P387" s="152">
        <v>39.126593</v>
      </c>
      <c r="Q387" s="152">
        <v>3.0229509999999999</v>
      </c>
      <c r="R387" s="152" t="s">
        <v>1327</v>
      </c>
      <c r="S387" s="152">
        <v>103.129047</v>
      </c>
      <c r="T387" s="152">
        <v>0.241781</v>
      </c>
      <c r="U387" s="152">
        <v>6.0482459999999998</v>
      </c>
      <c r="V387" s="152">
        <v>42.173048999999999</v>
      </c>
      <c r="W387" s="152">
        <v>1000</v>
      </c>
      <c r="X387" s="152" t="s">
        <v>23</v>
      </c>
      <c r="Y387" s="152" t="s">
        <v>1328</v>
      </c>
      <c r="Z387" s="152" t="s">
        <v>1327</v>
      </c>
    </row>
    <row r="388" spans="1:26" x14ac:dyDescent="0.2">
      <c r="A388" s="152" t="s">
        <v>1651</v>
      </c>
      <c r="B388" s="152">
        <v>2.76</v>
      </c>
      <c r="C388" s="151">
        <v>46111</v>
      </c>
      <c r="D388" s="152">
        <v>7.4328770000000004</v>
      </c>
      <c r="E388" s="152" t="s">
        <v>1325</v>
      </c>
      <c r="F388" s="152" t="s">
        <v>1326</v>
      </c>
      <c r="G388" s="152"/>
      <c r="H388" s="152"/>
      <c r="I388" s="152" t="s">
        <v>1327</v>
      </c>
      <c r="J388" s="152" t="s">
        <v>1327</v>
      </c>
      <c r="K388" s="152" t="s">
        <v>1327</v>
      </c>
      <c r="L388" s="152" t="s">
        <v>1327</v>
      </c>
      <c r="M388" s="152" t="s">
        <v>1327</v>
      </c>
      <c r="N388" s="152" t="s">
        <v>1327</v>
      </c>
      <c r="O388" s="152">
        <v>3.095132</v>
      </c>
      <c r="P388" s="152">
        <v>40.556759</v>
      </c>
      <c r="Q388" s="152">
        <v>3.095132</v>
      </c>
      <c r="R388" s="152" t="s">
        <v>1327</v>
      </c>
      <c r="S388" s="152">
        <v>97.801427000000004</v>
      </c>
      <c r="T388" s="152">
        <v>0.18904099999999999</v>
      </c>
      <c r="U388" s="152">
        <v>6.6409669999999998</v>
      </c>
      <c r="V388" s="152">
        <v>50.181406000000003</v>
      </c>
      <c r="W388" s="152">
        <v>1000</v>
      </c>
      <c r="X388" s="152" t="s">
        <v>23</v>
      </c>
      <c r="Y388" s="152" t="s">
        <v>1328</v>
      </c>
      <c r="Z388" s="152" t="s">
        <v>1327</v>
      </c>
    </row>
    <row r="389" spans="1:26" x14ac:dyDescent="0.2">
      <c r="A389" s="152" t="s">
        <v>1652</v>
      </c>
      <c r="B389" s="152">
        <v>2.97</v>
      </c>
      <c r="C389" s="151">
        <v>46735</v>
      </c>
      <c r="D389" s="152">
        <v>9.1424660000000006</v>
      </c>
      <c r="E389" s="152" t="s">
        <v>1325</v>
      </c>
      <c r="F389" s="152" t="s">
        <v>1326</v>
      </c>
      <c r="G389" s="152"/>
      <c r="H389" s="152"/>
      <c r="I389" s="152">
        <v>43083</v>
      </c>
      <c r="J389" s="152">
        <v>2.97</v>
      </c>
      <c r="K389" s="152" t="s">
        <v>1327</v>
      </c>
      <c r="L389" s="152" t="s">
        <v>1327</v>
      </c>
      <c r="M389" s="152" t="s">
        <v>1327</v>
      </c>
      <c r="N389" s="152" t="s">
        <v>1327</v>
      </c>
      <c r="O389" s="152">
        <v>3.2081680000000001</v>
      </c>
      <c r="P389" s="152">
        <v>39.144413</v>
      </c>
      <c r="Q389" s="152">
        <v>3.2081680000000001</v>
      </c>
      <c r="R389" s="152" t="s">
        <v>1327</v>
      </c>
      <c r="S389" s="152">
        <v>98.120275000000007</v>
      </c>
      <c r="T389" s="152">
        <v>1.082219</v>
      </c>
      <c r="U389" s="152">
        <v>7.8439810000000003</v>
      </c>
      <c r="V389" s="152">
        <v>71.207138999999998</v>
      </c>
      <c r="W389" s="152">
        <v>1000</v>
      </c>
      <c r="X389" s="152" t="s">
        <v>23</v>
      </c>
      <c r="Y389" s="152" t="s">
        <v>1328</v>
      </c>
      <c r="Z389" s="152" t="s">
        <v>1327</v>
      </c>
    </row>
    <row r="390" spans="1:26" x14ac:dyDescent="0.2">
      <c r="A390" s="152" t="s">
        <v>1653</v>
      </c>
      <c r="B390" s="152">
        <v>2.9</v>
      </c>
      <c r="C390" s="151">
        <v>46854</v>
      </c>
      <c r="D390" s="152">
        <v>9.4684930000000005</v>
      </c>
      <c r="E390" s="152" t="s">
        <v>1325</v>
      </c>
      <c r="F390" s="152" t="s">
        <v>1326</v>
      </c>
      <c r="G390" s="152"/>
      <c r="H390" s="152"/>
      <c r="I390" s="152" t="s">
        <v>1327</v>
      </c>
      <c r="J390" s="152" t="s">
        <v>1327</v>
      </c>
      <c r="K390" s="152" t="s">
        <v>1327</v>
      </c>
      <c r="L390" s="152" t="s">
        <v>1327</v>
      </c>
      <c r="M390" s="152" t="s">
        <v>1327</v>
      </c>
      <c r="N390" s="152" t="s">
        <v>1327</v>
      </c>
      <c r="O390" s="152">
        <v>3.2278039999999999</v>
      </c>
      <c r="P390" s="152">
        <v>42.267890999999999</v>
      </c>
      <c r="Q390" s="152">
        <v>3.2278039999999999</v>
      </c>
      <c r="R390" s="152" t="s">
        <v>1327</v>
      </c>
      <c r="S390" s="152">
        <v>97.349024</v>
      </c>
      <c r="T390" s="152">
        <v>0.111233</v>
      </c>
      <c r="U390" s="152">
        <v>8.1807719999999993</v>
      </c>
      <c r="V390" s="152">
        <v>76.692988</v>
      </c>
      <c r="W390" s="152">
        <v>1000</v>
      </c>
      <c r="X390" s="152" t="s">
        <v>23</v>
      </c>
      <c r="Y390" s="152" t="s">
        <v>1328</v>
      </c>
      <c r="Z390" s="152" t="s">
        <v>1327</v>
      </c>
    </row>
    <row r="391" spans="1:26" x14ac:dyDescent="0.2">
      <c r="A391" s="152" t="s">
        <v>1654</v>
      </c>
      <c r="B391" s="152">
        <v>3.54</v>
      </c>
      <c r="C391" s="151">
        <v>47023</v>
      </c>
      <c r="D391" s="152">
        <v>9.9315069999999999</v>
      </c>
      <c r="E391" s="152" t="s">
        <v>1325</v>
      </c>
      <c r="F391" s="152" t="s">
        <v>1326</v>
      </c>
      <c r="G391" s="152"/>
      <c r="H391" s="152"/>
      <c r="I391" s="151" t="s">
        <v>1327</v>
      </c>
      <c r="J391" s="152" t="s">
        <v>1327</v>
      </c>
      <c r="K391" s="152" t="s">
        <v>1327</v>
      </c>
      <c r="L391" s="152" t="s">
        <v>1327</v>
      </c>
      <c r="M391" s="152" t="s">
        <v>1327</v>
      </c>
      <c r="N391" s="152" t="s">
        <v>1327</v>
      </c>
      <c r="O391" s="152">
        <v>3.568946</v>
      </c>
      <c r="P391" s="152">
        <v>77.689633999999998</v>
      </c>
      <c r="Q391" s="152">
        <v>3.568946</v>
      </c>
      <c r="R391" s="152" t="s">
        <v>1327</v>
      </c>
      <c r="S391" s="152">
        <v>99.772409999999994</v>
      </c>
      <c r="T391" s="152">
        <v>0.27156200000000003</v>
      </c>
      <c r="U391" s="152">
        <v>8.2773660000000007</v>
      </c>
      <c r="V391" s="152">
        <v>80.061796999999999</v>
      </c>
      <c r="W391" s="152">
        <v>1000</v>
      </c>
      <c r="X391" s="152" t="s">
        <v>23</v>
      </c>
      <c r="Y391" s="152" t="s">
        <v>1328</v>
      </c>
      <c r="Z391" s="152" t="s">
        <v>1327</v>
      </c>
    </row>
    <row r="392" spans="1:26" x14ac:dyDescent="0.2">
      <c r="A392" s="152" t="s">
        <v>1655</v>
      </c>
      <c r="B392" s="152">
        <v>3.17</v>
      </c>
      <c r="C392" s="151">
        <v>47584</v>
      </c>
      <c r="D392" s="152">
        <v>11.468493</v>
      </c>
      <c r="E392" s="152" t="s">
        <v>1325</v>
      </c>
      <c r="F392" s="152" t="s">
        <v>1326</v>
      </c>
      <c r="G392" s="152"/>
      <c r="H392" s="152"/>
      <c r="I392" s="152" t="s">
        <v>1327</v>
      </c>
      <c r="J392" s="152" t="s">
        <v>1327</v>
      </c>
      <c r="K392" s="152" t="s">
        <v>1327</v>
      </c>
      <c r="L392" s="152" t="s">
        <v>1327</v>
      </c>
      <c r="M392" s="152" t="s">
        <v>1327</v>
      </c>
      <c r="N392" s="152" t="s">
        <v>1327</v>
      </c>
      <c r="O392" s="152">
        <v>3.5108959999999998</v>
      </c>
      <c r="P392" s="152">
        <v>37.026490000000003</v>
      </c>
      <c r="Q392" s="152">
        <v>3.5108959999999998</v>
      </c>
      <c r="R392" s="152" t="s">
        <v>1327</v>
      </c>
      <c r="S392" s="152">
        <v>96.809631999999993</v>
      </c>
      <c r="T392" s="152">
        <v>0.121589</v>
      </c>
      <c r="U392" s="152">
        <v>9.4840979999999995</v>
      </c>
      <c r="V392" s="152">
        <v>104.968164</v>
      </c>
      <c r="W392" s="152">
        <v>1000</v>
      </c>
      <c r="X392" s="152" t="s">
        <v>23</v>
      </c>
      <c r="Y392" s="152" t="s">
        <v>1328</v>
      </c>
      <c r="Z392" s="152" t="s">
        <v>1327</v>
      </c>
    </row>
    <row r="393" spans="1:26" x14ac:dyDescent="0.2">
      <c r="A393" s="152" t="s">
        <v>1656</v>
      </c>
      <c r="B393" s="152">
        <v>3.3</v>
      </c>
      <c r="C393" s="151">
        <v>47662</v>
      </c>
      <c r="D393" s="152">
        <v>11.682192000000001</v>
      </c>
      <c r="E393" s="152" t="s">
        <v>1325</v>
      </c>
      <c r="F393" s="152" t="s">
        <v>1326</v>
      </c>
      <c r="G393" s="152"/>
      <c r="H393" s="152"/>
      <c r="I393" s="152" t="s">
        <v>1327</v>
      </c>
      <c r="J393" s="152" t="s">
        <v>1327</v>
      </c>
      <c r="K393" s="152" t="s">
        <v>1327</v>
      </c>
      <c r="L393" s="152" t="s">
        <v>1327</v>
      </c>
      <c r="M393" s="152" t="s">
        <v>1327</v>
      </c>
      <c r="N393" s="152" t="s">
        <v>1327</v>
      </c>
      <c r="O393" s="152">
        <v>3.5660050000000001</v>
      </c>
      <c r="P393" s="152">
        <v>42.102255999999997</v>
      </c>
      <c r="Q393" s="152">
        <v>3.5660050000000001</v>
      </c>
      <c r="R393" s="152" t="s">
        <v>1327</v>
      </c>
      <c r="S393" s="152">
        <v>97.469941000000006</v>
      </c>
      <c r="T393" s="152">
        <v>1.07589</v>
      </c>
      <c r="U393" s="152">
        <v>9.4796589999999998</v>
      </c>
      <c r="V393" s="152">
        <v>106.393314</v>
      </c>
      <c r="W393" s="152">
        <v>1000</v>
      </c>
      <c r="X393" s="152" t="s">
        <v>23</v>
      </c>
      <c r="Y393" s="152" t="s">
        <v>1328</v>
      </c>
      <c r="Z393" s="152" t="s">
        <v>1327</v>
      </c>
    </row>
    <row r="394" spans="1:26" x14ac:dyDescent="0.2">
      <c r="A394" s="152" t="s">
        <v>1657</v>
      </c>
      <c r="B394" s="152">
        <v>2.7</v>
      </c>
      <c r="C394" s="151">
        <v>47981</v>
      </c>
      <c r="D394" s="152">
        <v>12.556164000000001</v>
      </c>
      <c r="E394" s="152" t="s">
        <v>1325</v>
      </c>
      <c r="F394" s="152" t="s">
        <v>1326</v>
      </c>
      <c r="G394" s="152"/>
      <c r="H394" s="152"/>
      <c r="I394" s="151">
        <v>42503</v>
      </c>
      <c r="J394" s="152">
        <v>2.7</v>
      </c>
      <c r="K394" s="152" t="s">
        <v>1327</v>
      </c>
      <c r="L394" s="152" t="s">
        <v>1327</v>
      </c>
      <c r="M394" s="152" t="s">
        <v>1327</v>
      </c>
      <c r="N394" s="152" t="s">
        <v>1327</v>
      </c>
      <c r="O394" s="152">
        <v>3.6207880000000001</v>
      </c>
      <c r="P394" s="152">
        <v>45.428834000000002</v>
      </c>
      <c r="Q394" s="152">
        <v>3.6207880000000001</v>
      </c>
      <c r="R394" s="152" t="s">
        <v>1327</v>
      </c>
      <c r="S394" s="152">
        <v>90.765658000000002</v>
      </c>
      <c r="T394" s="152">
        <v>1.220548</v>
      </c>
      <c r="U394" s="152">
        <v>10.291867999999999</v>
      </c>
      <c r="V394" s="152">
        <v>124.459929</v>
      </c>
      <c r="W394" s="152">
        <v>1000</v>
      </c>
      <c r="X394" s="152" t="s">
        <v>23</v>
      </c>
      <c r="Y394" s="152" t="s">
        <v>1328</v>
      </c>
      <c r="Z394" s="152" t="s">
        <v>1327</v>
      </c>
    </row>
    <row r="395" spans="1:26" x14ac:dyDescent="0.2">
      <c r="A395" s="152" t="s">
        <v>1658</v>
      </c>
      <c r="B395" s="152">
        <v>2.99</v>
      </c>
      <c r="C395" s="151">
        <v>48057</v>
      </c>
      <c r="D395" s="152">
        <v>12.764384</v>
      </c>
      <c r="E395" s="152" t="s">
        <v>1325</v>
      </c>
      <c r="F395" s="152" t="s">
        <v>1326</v>
      </c>
      <c r="G395" s="152"/>
      <c r="H395" s="152"/>
      <c r="I395" s="151">
        <v>43018</v>
      </c>
      <c r="J395" s="152">
        <v>3.27</v>
      </c>
      <c r="K395" s="152" t="s">
        <v>1327</v>
      </c>
      <c r="L395" s="152" t="s">
        <v>1327</v>
      </c>
      <c r="M395" s="152" t="s">
        <v>1327</v>
      </c>
      <c r="N395" s="152" t="s">
        <v>1327</v>
      </c>
      <c r="O395" s="152">
        <v>3.6477189999999999</v>
      </c>
      <c r="P395" s="152">
        <v>47.967320999999998</v>
      </c>
      <c r="Q395" s="152">
        <v>3.6477189999999999</v>
      </c>
      <c r="R395" s="152" t="s">
        <v>1327</v>
      </c>
      <c r="S395" s="152">
        <v>93.321636999999996</v>
      </c>
      <c r="T395" s="152">
        <v>0.72906800000000005</v>
      </c>
      <c r="U395" s="152">
        <v>10.344453</v>
      </c>
      <c r="V395" s="152">
        <v>126.238514</v>
      </c>
      <c r="W395" s="152">
        <v>1000</v>
      </c>
      <c r="X395" s="152" t="s">
        <v>23</v>
      </c>
      <c r="Y395" s="152" t="s">
        <v>1328</v>
      </c>
      <c r="Z395" s="152" t="s">
        <v>1327</v>
      </c>
    </row>
    <row r="396" spans="1:26" x14ac:dyDescent="0.2">
      <c r="A396" s="152" t="s">
        <v>1659</v>
      </c>
      <c r="B396" s="152">
        <v>3.31</v>
      </c>
      <c r="C396" s="151">
        <v>48562</v>
      </c>
      <c r="D396" s="152">
        <v>14.147945</v>
      </c>
      <c r="E396" s="152" t="s">
        <v>1325</v>
      </c>
      <c r="F396" s="152" t="s">
        <v>1326</v>
      </c>
      <c r="G396" s="152"/>
      <c r="H396" s="152"/>
      <c r="I396" s="151">
        <v>43109</v>
      </c>
      <c r="J396" s="152">
        <v>3.3094999999999999</v>
      </c>
      <c r="K396" s="152" t="s">
        <v>1327</v>
      </c>
      <c r="L396" s="152" t="s">
        <v>1327</v>
      </c>
      <c r="M396" s="152" t="s">
        <v>1327</v>
      </c>
      <c r="N396" s="152" t="s">
        <v>1327</v>
      </c>
      <c r="O396" s="152">
        <v>3.7685930000000001</v>
      </c>
      <c r="P396" s="152">
        <v>48.792085999999998</v>
      </c>
      <c r="Q396" s="152">
        <v>3.7685930000000001</v>
      </c>
      <c r="R396" s="152" t="s">
        <v>1327</v>
      </c>
      <c r="S396" s="152">
        <v>95.001915999999994</v>
      </c>
      <c r="T396" s="152">
        <v>1.20611</v>
      </c>
      <c r="U396" s="152">
        <v>10.970763</v>
      </c>
      <c r="V396" s="152">
        <v>145.54219900000001</v>
      </c>
      <c r="W396" s="152">
        <v>1000</v>
      </c>
      <c r="X396" s="152" t="s">
        <v>23</v>
      </c>
      <c r="Y396" s="152" t="s">
        <v>1328</v>
      </c>
      <c r="Z396" s="152" t="s">
        <v>1327</v>
      </c>
    </row>
    <row r="397" spans="1:26" x14ac:dyDescent="0.2">
      <c r="A397" s="152" t="s">
        <v>1660</v>
      </c>
      <c r="B397" s="152">
        <v>3.45</v>
      </c>
      <c r="C397" s="151">
        <v>48680</v>
      </c>
      <c r="D397" s="152">
        <v>14.471233</v>
      </c>
      <c r="E397" s="152" t="s">
        <v>1325</v>
      </c>
      <c r="F397" s="152" t="s">
        <v>1326</v>
      </c>
      <c r="G397" s="152"/>
      <c r="H397" s="152"/>
      <c r="I397" s="152" t="s">
        <v>1327</v>
      </c>
      <c r="J397" s="152" t="s">
        <v>1327</v>
      </c>
      <c r="K397" s="152" t="s">
        <v>1327</v>
      </c>
      <c r="L397" s="152" t="s">
        <v>1327</v>
      </c>
      <c r="M397" s="152" t="s">
        <v>1327</v>
      </c>
      <c r="N397" s="152" t="s">
        <v>1327</v>
      </c>
      <c r="O397" s="152">
        <v>3.7918940000000001</v>
      </c>
      <c r="P397" s="152">
        <v>49.812975000000002</v>
      </c>
      <c r="Q397" s="152">
        <v>3.7918940000000001</v>
      </c>
      <c r="R397" s="152" t="s">
        <v>1327</v>
      </c>
      <c r="S397" s="152">
        <v>96.224708000000007</v>
      </c>
      <c r="T397" s="152">
        <v>0.132329</v>
      </c>
      <c r="U397" s="152">
        <v>11.207989</v>
      </c>
      <c r="V397" s="152">
        <v>151.22377800000001</v>
      </c>
      <c r="W397" s="152">
        <v>1000</v>
      </c>
      <c r="X397" s="152" t="s">
        <v>23</v>
      </c>
      <c r="Y397" s="152" t="s">
        <v>1328</v>
      </c>
      <c r="Z397" s="152" t="s">
        <v>1327</v>
      </c>
    </row>
    <row r="398" spans="1:26" x14ac:dyDescent="0.2">
      <c r="A398" s="152" t="s">
        <v>1661</v>
      </c>
      <c r="B398" s="152">
        <v>3.7</v>
      </c>
      <c r="C398" s="151">
        <v>43632</v>
      </c>
      <c r="D398" s="152">
        <v>0.641096</v>
      </c>
      <c r="E398" s="152" t="s">
        <v>1325</v>
      </c>
      <c r="F398" s="152" t="s">
        <v>1326</v>
      </c>
      <c r="G398" s="152"/>
      <c r="H398" s="152"/>
      <c r="I398" s="151" t="s">
        <v>1327</v>
      </c>
      <c r="J398" s="152" t="s">
        <v>1327</v>
      </c>
      <c r="K398" s="152">
        <v>41362</v>
      </c>
      <c r="L398" s="152">
        <v>3.4851269999999999</v>
      </c>
      <c r="M398" s="152">
        <v>4.6898</v>
      </c>
      <c r="N398" s="152">
        <v>3.4623279999999999</v>
      </c>
      <c r="O398" s="152">
        <v>1.833202</v>
      </c>
      <c r="P398" s="152">
        <v>6.0657880000000004</v>
      </c>
      <c r="Q398" s="152">
        <v>1.833202</v>
      </c>
      <c r="R398" s="152" t="s">
        <v>1327</v>
      </c>
      <c r="S398" s="152">
        <v>101.18013000000001</v>
      </c>
      <c r="T398" s="152">
        <v>1.3279449999999999</v>
      </c>
      <c r="U398" s="152">
        <v>0.62771200000000005</v>
      </c>
      <c r="V398" s="152">
        <v>0.70936699999999997</v>
      </c>
      <c r="W398" s="152">
        <v>1000</v>
      </c>
      <c r="X398" s="152" t="s">
        <v>23</v>
      </c>
      <c r="Y398" s="152" t="s">
        <v>1328</v>
      </c>
      <c r="Z398" s="152" t="s">
        <v>1327</v>
      </c>
    </row>
    <row r="399" spans="1:26" x14ac:dyDescent="0.2">
      <c r="A399" s="152" t="s">
        <v>1662</v>
      </c>
      <c r="B399" s="152">
        <v>3.25</v>
      </c>
      <c r="C399" s="151">
        <v>43733</v>
      </c>
      <c r="D399" s="152">
        <v>0.91780799999999996</v>
      </c>
      <c r="E399" s="152" t="s">
        <v>1325</v>
      </c>
      <c r="F399" s="152" t="s">
        <v>1326</v>
      </c>
      <c r="G399" s="152"/>
      <c r="H399" s="152"/>
      <c r="I399" s="151">
        <v>42956</v>
      </c>
      <c r="J399" s="152">
        <v>1.71</v>
      </c>
      <c r="K399" s="152" t="s">
        <v>1327</v>
      </c>
      <c r="L399" s="152" t="s">
        <v>1327</v>
      </c>
      <c r="M399" s="152" t="s">
        <v>1327</v>
      </c>
      <c r="N399" s="152" t="s">
        <v>1327</v>
      </c>
      <c r="O399" s="152">
        <v>1.9718059999999999</v>
      </c>
      <c r="P399" s="152">
        <v>16.497202999999999</v>
      </c>
      <c r="Q399" s="152">
        <v>1.9718059999999999</v>
      </c>
      <c r="R399" s="152" t="s">
        <v>1327</v>
      </c>
      <c r="S399" s="152">
        <v>101.164028</v>
      </c>
      <c r="T399" s="152">
        <v>0.267123</v>
      </c>
      <c r="U399" s="152">
        <v>0.89690999999999999</v>
      </c>
      <c r="V399" s="152">
        <v>1.252359</v>
      </c>
      <c r="W399" s="152">
        <v>1000</v>
      </c>
      <c r="X399" s="152" t="s">
        <v>23</v>
      </c>
      <c r="Y399" s="152" t="s">
        <v>1328</v>
      </c>
      <c r="Z399" s="152" t="s">
        <v>1327</v>
      </c>
    </row>
    <row r="400" spans="1:26" x14ac:dyDescent="0.2">
      <c r="A400" s="152" t="s">
        <v>1663</v>
      </c>
      <c r="B400" s="152">
        <v>5.3</v>
      </c>
      <c r="C400" s="151">
        <v>43742</v>
      </c>
      <c r="D400" s="152">
        <v>0.94246600000000003</v>
      </c>
      <c r="E400" s="152" t="s">
        <v>1325</v>
      </c>
      <c r="F400" s="152" t="s">
        <v>1326</v>
      </c>
      <c r="G400" s="152"/>
      <c r="H400" s="152"/>
      <c r="I400" s="151">
        <v>39352</v>
      </c>
      <c r="J400" s="152">
        <v>5.2991849999999996</v>
      </c>
      <c r="K400" s="152">
        <v>41453</v>
      </c>
      <c r="L400" s="152">
        <v>3.9176479999999998</v>
      </c>
      <c r="M400" s="152">
        <v>5.0194999999999999</v>
      </c>
      <c r="N400" s="152">
        <v>3.7170519999999998</v>
      </c>
      <c r="O400" s="152">
        <v>1.964591</v>
      </c>
      <c r="P400" s="152">
        <v>16.258365000000001</v>
      </c>
      <c r="Q400" s="152">
        <v>1.964591</v>
      </c>
      <c r="R400" s="152" t="s">
        <v>1327</v>
      </c>
      <c r="S400" s="152">
        <v>103.100979</v>
      </c>
      <c r="T400" s="152">
        <v>0.30493199999999998</v>
      </c>
      <c r="U400" s="152">
        <v>0.91936099999999998</v>
      </c>
      <c r="V400" s="152">
        <v>1.306505</v>
      </c>
      <c r="W400" s="152">
        <v>1000</v>
      </c>
      <c r="X400" s="152" t="s">
        <v>23</v>
      </c>
      <c r="Y400" s="152" t="s">
        <v>1328</v>
      </c>
      <c r="Z400" s="152" t="s">
        <v>1327</v>
      </c>
    </row>
    <row r="401" spans="1:26" x14ac:dyDescent="0.2">
      <c r="A401" s="152" t="s">
        <v>1664</v>
      </c>
      <c r="B401" s="152">
        <v>5.8979999999999997</v>
      </c>
      <c r="C401" s="151">
        <v>44068</v>
      </c>
      <c r="D401" s="152">
        <v>1.8356159999999999</v>
      </c>
      <c r="E401" s="152" t="s">
        <v>1325</v>
      </c>
      <c r="F401" s="152" t="s">
        <v>1326</v>
      </c>
      <c r="G401" s="152"/>
      <c r="H401" s="152"/>
      <c r="I401" s="152">
        <v>38587</v>
      </c>
      <c r="J401" s="152">
        <v>5.8955789999999997</v>
      </c>
      <c r="K401" s="152">
        <v>41381</v>
      </c>
      <c r="L401" s="152">
        <v>3.6943489999999999</v>
      </c>
      <c r="M401" s="152">
        <v>4.8396670000000004</v>
      </c>
      <c r="N401" s="152">
        <v>3.6405050000000001</v>
      </c>
      <c r="O401" s="152">
        <v>2.1423830000000001</v>
      </c>
      <c r="P401" s="152">
        <v>15.48517</v>
      </c>
      <c r="Q401" s="152">
        <v>2.1423830000000001</v>
      </c>
      <c r="R401" s="152" t="s">
        <v>1327</v>
      </c>
      <c r="S401" s="152">
        <v>106.70205900000001</v>
      </c>
      <c r="T401" s="152">
        <v>0.98569300000000004</v>
      </c>
      <c r="U401" s="152">
        <v>1.737384</v>
      </c>
      <c r="V401" s="152">
        <v>3.964299</v>
      </c>
      <c r="W401" s="152">
        <v>1000</v>
      </c>
      <c r="X401" s="152" t="s">
        <v>23</v>
      </c>
      <c r="Y401" s="152" t="s">
        <v>1328</v>
      </c>
      <c r="Z401" s="152" t="s">
        <v>1327</v>
      </c>
    </row>
    <row r="402" spans="1:26" x14ac:dyDescent="0.2">
      <c r="A402" s="152" t="s">
        <v>1665</v>
      </c>
      <c r="B402" s="152">
        <v>5.73</v>
      </c>
      <c r="C402" s="151">
        <v>44479</v>
      </c>
      <c r="D402" s="152">
        <v>2.9616440000000002</v>
      </c>
      <c r="E402" s="152" t="s">
        <v>1325</v>
      </c>
      <c r="F402" s="152" t="s">
        <v>1326</v>
      </c>
      <c r="G402" s="152"/>
      <c r="H402" s="152"/>
      <c r="I402" s="152">
        <v>39020</v>
      </c>
      <c r="J402" s="152">
        <v>5.7449440000000003</v>
      </c>
      <c r="K402" s="152">
        <v>41348</v>
      </c>
      <c r="L402" s="152">
        <v>3.8486769999999999</v>
      </c>
      <c r="M402" s="152">
        <v>4.9310739999999997</v>
      </c>
      <c r="N402" s="152">
        <v>3.8443520000000002</v>
      </c>
      <c r="O402" s="152">
        <v>2.2650839999999999</v>
      </c>
      <c r="P402" s="152">
        <v>15.801163000000001</v>
      </c>
      <c r="Q402" s="152">
        <v>2.2650839999999999</v>
      </c>
      <c r="R402" s="152" t="s">
        <v>1327</v>
      </c>
      <c r="S402" s="152">
        <v>109.86462400000001</v>
      </c>
      <c r="T402" s="152">
        <v>0.23547899999999999</v>
      </c>
      <c r="U402" s="152">
        <v>2.736243</v>
      </c>
      <c r="V402" s="152">
        <v>9.147157</v>
      </c>
      <c r="W402" s="152">
        <v>1000</v>
      </c>
      <c r="X402" s="152" t="s">
        <v>23</v>
      </c>
      <c r="Y402" s="152" t="s">
        <v>1328</v>
      </c>
      <c r="Z402" s="152" t="s">
        <v>1327</v>
      </c>
    </row>
    <row r="403" spans="1:26" x14ac:dyDescent="0.2">
      <c r="A403" s="152" t="s">
        <v>1666</v>
      </c>
      <c r="B403" s="152">
        <v>4.68</v>
      </c>
      <c r="C403" s="151">
        <v>44677</v>
      </c>
      <c r="D403" s="152">
        <v>3.5041099999999998</v>
      </c>
      <c r="E403" s="152" t="s">
        <v>1325</v>
      </c>
      <c r="F403" s="152" t="s">
        <v>1326</v>
      </c>
      <c r="G403" s="152"/>
      <c r="H403" s="152"/>
      <c r="I403" s="151">
        <v>41730</v>
      </c>
      <c r="J403" s="152">
        <v>4</v>
      </c>
      <c r="K403" s="152">
        <v>41381</v>
      </c>
      <c r="L403" s="152">
        <v>3.720685</v>
      </c>
      <c r="M403" s="152">
        <v>5.2622049999999998</v>
      </c>
      <c r="N403" s="152">
        <v>3.7093590000000001</v>
      </c>
      <c r="O403" s="152">
        <v>2.4221210000000002</v>
      </c>
      <c r="P403" s="152">
        <v>16.766403</v>
      </c>
      <c r="Q403" s="152">
        <v>2.4221210000000002</v>
      </c>
      <c r="R403" s="152" t="s">
        <v>1327</v>
      </c>
      <c r="S403" s="152">
        <v>107.538984</v>
      </c>
      <c r="T403" s="152">
        <v>-1.2822E-2</v>
      </c>
      <c r="U403" s="152">
        <v>3.2421700000000002</v>
      </c>
      <c r="V403" s="152">
        <v>12.536507</v>
      </c>
      <c r="W403" s="152">
        <v>1000</v>
      </c>
      <c r="X403" s="152" t="s">
        <v>23</v>
      </c>
      <c r="Y403" s="152" t="s">
        <v>1328</v>
      </c>
      <c r="Z403" s="152" t="s">
        <v>1327</v>
      </c>
    </row>
    <row r="404" spans="1:26" x14ac:dyDescent="0.2">
      <c r="A404" s="152" t="s">
        <v>1667</v>
      </c>
      <c r="B404" s="152">
        <v>4.6500000000000004</v>
      </c>
      <c r="C404" s="151">
        <v>44689</v>
      </c>
      <c r="D404" s="152">
        <v>3.5369860000000002</v>
      </c>
      <c r="E404" s="152" t="s">
        <v>1325</v>
      </c>
      <c r="F404" s="152" t="s">
        <v>1326</v>
      </c>
      <c r="G404" s="152"/>
      <c r="H404" s="152"/>
      <c r="I404" s="151">
        <v>40044</v>
      </c>
      <c r="J404" s="152">
        <v>4.84</v>
      </c>
      <c r="K404" s="152">
        <v>41453</v>
      </c>
      <c r="L404" s="152">
        <v>4.085159</v>
      </c>
      <c r="M404" s="152">
        <v>5.566268</v>
      </c>
      <c r="N404" s="152">
        <v>4.0760069999999997</v>
      </c>
      <c r="O404" s="152">
        <v>2.4384320000000002</v>
      </c>
      <c r="P404" s="152">
        <v>17.660678000000001</v>
      </c>
      <c r="Q404" s="152">
        <v>2.4384320000000002</v>
      </c>
      <c r="R404" s="152" t="s">
        <v>1327</v>
      </c>
      <c r="S404" s="152">
        <v>107.45497400000001</v>
      </c>
      <c r="T404" s="152">
        <v>-0.17835599999999999</v>
      </c>
      <c r="U404" s="152">
        <v>3.2782269999999998</v>
      </c>
      <c r="V404" s="152">
        <v>12.787302</v>
      </c>
      <c r="W404" s="152">
        <v>1000</v>
      </c>
      <c r="X404" s="152" t="s">
        <v>23</v>
      </c>
      <c r="Y404" s="152" t="s">
        <v>1328</v>
      </c>
      <c r="Z404" s="152" t="s">
        <v>1327</v>
      </c>
    </row>
    <row r="405" spans="1:26" x14ac:dyDescent="0.2">
      <c r="A405" s="152" t="s">
        <v>1668</v>
      </c>
      <c r="B405" s="152">
        <v>5.2949999999999999</v>
      </c>
      <c r="C405" s="151">
        <v>44831</v>
      </c>
      <c r="D405" s="152">
        <v>3.9260269999999999</v>
      </c>
      <c r="E405" s="152" t="s">
        <v>1325</v>
      </c>
      <c r="F405" s="152" t="s">
        <v>1326</v>
      </c>
      <c r="G405" s="152"/>
      <c r="H405" s="152"/>
      <c r="I405" s="151">
        <v>39346</v>
      </c>
      <c r="J405" s="152">
        <v>5.2956979999999998</v>
      </c>
      <c r="K405" s="152">
        <v>41381</v>
      </c>
      <c r="L405" s="152">
        <v>3.802654</v>
      </c>
      <c r="M405" s="152">
        <v>5.019158</v>
      </c>
      <c r="N405" s="152">
        <v>3.7648259999999998</v>
      </c>
      <c r="O405" s="152">
        <v>2.4772460000000001</v>
      </c>
      <c r="P405" s="152">
        <v>14.927477</v>
      </c>
      <c r="Q405" s="152">
        <v>2.4772460000000001</v>
      </c>
      <c r="R405" s="152" t="s">
        <v>1327</v>
      </c>
      <c r="S405" s="152">
        <v>110.482112</v>
      </c>
      <c r="T405" s="152">
        <v>0.406192</v>
      </c>
      <c r="U405" s="152">
        <v>3.552327</v>
      </c>
      <c r="V405" s="152">
        <v>15.065042</v>
      </c>
      <c r="W405" s="152">
        <v>1000</v>
      </c>
      <c r="X405" s="152" t="s">
        <v>23</v>
      </c>
      <c r="Y405" s="152" t="s">
        <v>1328</v>
      </c>
      <c r="Z405" s="152" t="s">
        <v>1327</v>
      </c>
    </row>
    <row r="406" spans="1:26" x14ac:dyDescent="0.2">
      <c r="A406" s="152" t="s">
        <v>1669</v>
      </c>
      <c r="B406" s="152">
        <v>5.41</v>
      </c>
      <c r="C406" s="151">
        <v>44838</v>
      </c>
      <c r="D406" s="152">
        <v>3.9452050000000001</v>
      </c>
      <c r="E406" s="152" t="s">
        <v>1325</v>
      </c>
      <c r="F406" s="152" t="s">
        <v>1326</v>
      </c>
      <c r="G406" s="152"/>
      <c r="H406" s="152"/>
      <c r="I406" s="151">
        <v>39352</v>
      </c>
      <c r="J406" s="152">
        <v>5.4092820000000001</v>
      </c>
      <c r="K406" s="152">
        <v>41453</v>
      </c>
      <c r="L406" s="152">
        <v>4.1184019999999997</v>
      </c>
      <c r="M406" s="152">
        <v>5.3882950000000003</v>
      </c>
      <c r="N406" s="152">
        <v>4.1032970000000004</v>
      </c>
      <c r="O406" s="152">
        <v>2.4774060000000002</v>
      </c>
      <c r="P406" s="152">
        <v>15.011551000000001</v>
      </c>
      <c r="Q406" s="152">
        <v>2.4774060000000002</v>
      </c>
      <c r="R406" s="152" t="s">
        <v>1327</v>
      </c>
      <c r="S406" s="152">
        <v>110.952603</v>
      </c>
      <c r="T406" s="152">
        <v>0.31125999999999998</v>
      </c>
      <c r="U406" s="152">
        <v>3.5683240000000001</v>
      </c>
      <c r="V406" s="152">
        <v>15.197265</v>
      </c>
      <c r="W406" s="152">
        <v>1000</v>
      </c>
      <c r="X406" s="152" t="s">
        <v>23</v>
      </c>
      <c r="Y406" s="152" t="s">
        <v>1328</v>
      </c>
      <c r="Z406" s="152" t="s">
        <v>1327</v>
      </c>
    </row>
    <row r="407" spans="1:26" x14ac:dyDescent="0.2">
      <c r="A407" s="152" t="s">
        <v>1670</v>
      </c>
      <c r="B407" s="152">
        <v>6.38</v>
      </c>
      <c r="C407" s="151">
        <v>45131</v>
      </c>
      <c r="D407" s="152">
        <v>4.7479449999999996</v>
      </c>
      <c r="E407" s="152" t="s">
        <v>1325</v>
      </c>
      <c r="F407" s="152" t="s">
        <v>1326</v>
      </c>
      <c r="G407" s="152"/>
      <c r="H407" s="152"/>
      <c r="I407" s="151">
        <v>39653</v>
      </c>
      <c r="J407" s="152">
        <v>6.38</v>
      </c>
      <c r="K407" s="152">
        <v>41362</v>
      </c>
      <c r="L407" s="152">
        <v>3.7584460000000002</v>
      </c>
      <c r="M407" s="152">
        <v>4.9419240000000002</v>
      </c>
      <c r="N407" s="152">
        <v>3.7333980000000002</v>
      </c>
      <c r="O407" s="152">
        <v>2.5494119999999998</v>
      </c>
      <c r="P407" s="152">
        <v>15.236361</v>
      </c>
      <c r="Q407" s="152">
        <v>2.5494119999999998</v>
      </c>
      <c r="R407" s="152" t="s">
        <v>1327</v>
      </c>
      <c r="S407" s="152">
        <v>117.001254</v>
      </c>
      <c r="T407" s="152">
        <v>1.625589</v>
      </c>
      <c r="U407" s="152">
        <v>4.1153589999999998</v>
      </c>
      <c r="V407" s="152">
        <v>20.451039999999999</v>
      </c>
      <c r="W407" s="152">
        <v>1000</v>
      </c>
      <c r="X407" s="152" t="s">
        <v>23</v>
      </c>
      <c r="Y407" s="152" t="s">
        <v>1328</v>
      </c>
      <c r="Z407" s="152" t="s">
        <v>1327</v>
      </c>
    </row>
    <row r="408" spans="1:26" x14ac:dyDescent="0.2">
      <c r="A408" s="152" t="s">
        <v>1671</v>
      </c>
      <c r="B408" s="152">
        <v>5.7</v>
      </c>
      <c r="C408" s="151">
        <v>45159</v>
      </c>
      <c r="D408" s="152">
        <v>4.8246580000000003</v>
      </c>
      <c r="E408" s="152" t="s">
        <v>1325</v>
      </c>
      <c r="F408" s="152" t="s">
        <v>1326</v>
      </c>
      <c r="G408" s="152"/>
      <c r="H408" s="152"/>
      <c r="I408" s="152" t="s">
        <v>1327</v>
      </c>
      <c r="J408" s="152" t="s">
        <v>1327</v>
      </c>
      <c r="K408" s="152">
        <v>41348</v>
      </c>
      <c r="L408" s="152">
        <v>3.9365019999999999</v>
      </c>
      <c r="M408" s="152">
        <v>5.2551180000000004</v>
      </c>
      <c r="N408" s="152">
        <v>3.925799</v>
      </c>
      <c r="O408" s="152">
        <v>2.5619670000000001</v>
      </c>
      <c r="P408" s="152">
        <v>15.518547</v>
      </c>
      <c r="Q408" s="152">
        <v>2.5619670000000001</v>
      </c>
      <c r="R408" s="152" t="s">
        <v>1327</v>
      </c>
      <c r="S408" s="152">
        <v>114.132868</v>
      </c>
      <c r="T408" s="152">
        <v>1.0150680000000001</v>
      </c>
      <c r="U408" s="152">
        <v>4.2376750000000003</v>
      </c>
      <c r="V408" s="152">
        <v>21.436644999999999</v>
      </c>
      <c r="W408" s="152">
        <v>1000</v>
      </c>
      <c r="X408" s="152" t="s">
        <v>23</v>
      </c>
      <c r="Y408" s="152" t="s">
        <v>1328</v>
      </c>
      <c r="Z408" s="152" t="s">
        <v>1327</v>
      </c>
    </row>
    <row r="409" spans="1:26" x14ac:dyDescent="0.2">
      <c r="A409" s="152" t="s">
        <v>1672</v>
      </c>
      <c r="B409" s="152">
        <v>5.59</v>
      </c>
      <c r="C409" s="151">
        <v>45166</v>
      </c>
      <c r="D409" s="152">
        <v>4.8438359999999996</v>
      </c>
      <c r="E409" s="152" t="s">
        <v>1325</v>
      </c>
      <c r="F409" s="152" t="s">
        <v>1326</v>
      </c>
      <c r="G409" s="152"/>
      <c r="H409" s="152"/>
      <c r="I409" s="151">
        <v>39689</v>
      </c>
      <c r="J409" s="152">
        <v>5.59</v>
      </c>
      <c r="K409" s="152">
        <v>41362</v>
      </c>
      <c r="L409" s="152">
        <v>3.9482719999999998</v>
      </c>
      <c r="M409" s="152">
        <v>5.0488759999999999</v>
      </c>
      <c r="N409" s="152">
        <v>3.9223780000000001</v>
      </c>
      <c r="O409" s="152">
        <v>2.5649130000000002</v>
      </c>
      <c r="P409" s="152">
        <v>15.602202999999999</v>
      </c>
      <c r="Q409" s="152">
        <v>2.5649130000000002</v>
      </c>
      <c r="R409" s="152" t="s">
        <v>1327</v>
      </c>
      <c r="S409" s="152">
        <v>113.673883</v>
      </c>
      <c r="T409" s="152">
        <v>0.88827400000000001</v>
      </c>
      <c r="U409" s="152">
        <v>4.2643589999999998</v>
      </c>
      <c r="V409" s="152">
        <v>21.660153000000001</v>
      </c>
      <c r="W409" s="152">
        <v>1000</v>
      </c>
      <c r="X409" s="152" t="s">
        <v>23</v>
      </c>
      <c r="Y409" s="152" t="s">
        <v>1328</v>
      </c>
      <c r="Z409" s="152" t="s">
        <v>1327</v>
      </c>
    </row>
    <row r="410" spans="1:26" x14ac:dyDescent="0.2">
      <c r="A410" s="152" t="s">
        <v>1673</v>
      </c>
      <c r="B410" s="152">
        <v>5.25</v>
      </c>
      <c r="C410" s="151">
        <v>45180</v>
      </c>
      <c r="D410" s="152">
        <v>4.8821919999999999</v>
      </c>
      <c r="E410" s="152" t="s">
        <v>1325</v>
      </c>
      <c r="F410" s="152" t="s">
        <v>1326</v>
      </c>
      <c r="G410" s="152"/>
      <c r="H410" s="152"/>
      <c r="I410" s="152">
        <v>39702</v>
      </c>
      <c r="J410" s="152">
        <v>5.25</v>
      </c>
      <c r="K410" s="152">
        <v>41362</v>
      </c>
      <c r="L410" s="152">
        <v>3.8677030000000001</v>
      </c>
      <c r="M410" s="152">
        <v>4.855829</v>
      </c>
      <c r="N410" s="152">
        <v>3.8414480000000002</v>
      </c>
      <c r="O410" s="152">
        <v>2.5834329999999999</v>
      </c>
      <c r="P410" s="152">
        <v>16.555579999999999</v>
      </c>
      <c r="Q410" s="152">
        <v>2.5834329999999999</v>
      </c>
      <c r="R410" s="152" t="s">
        <v>1327</v>
      </c>
      <c r="S410" s="152">
        <v>112.160034</v>
      </c>
      <c r="T410" s="152">
        <v>0.63287700000000002</v>
      </c>
      <c r="U410" s="152">
        <v>4.3181960000000004</v>
      </c>
      <c r="V410" s="152">
        <v>22.096018999999998</v>
      </c>
      <c r="W410" s="152">
        <v>1000</v>
      </c>
      <c r="X410" s="152" t="s">
        <v>23</v>
      </c>
      <c r="Y410" s="152" t="s">
        <v>1328</v>
      </c>
      <c r="Z410" s="152" t="s">
        <v>1327</v>
      </c>
    </row>
    <row r="411" spans="1:26" x14ac:dyDescent="0.2">
      <c r="A411" s="152" t="s">
        <v>1674</v>
      </c>
      <c r="B411" s="152">
        <v>5.2649999999999997</v>
      </c>
      <c r="C411" s="151">
        <v>45187</v>
      </c>
      <c r="D411" s="152">
        <v>4.90137</v>
      </c>
      <c r="E411" s="152" t="s">
        <v>1325</v>
      </c>
      <c r="F411" s="152" t="s">
        <v>1326</v>
      </c>
      <c r="G411" s="152"/>
      <c r="H411" s="152"/>
      <c r="I411" s="152">
        <v>39709</v>
      </c>
      <c r="J411" s="152">
        <v>5.2649999999999997</v>
      </c>
      <c r="K411" s="152">
        <v>41362</v>
      </c>
      <c r="L411" s="152">
        <v>3.9310200000000002</v>
      </c>
      <c r="M411" s="152">
        <v>4.855829</v>
      </c>
      <c r="N411" s="152">
        <v>3.903877</v>
      </c>
      <c r="O411" s="152">
        <v>2.5870609999999998</v>
      </c>
      <c r="P411" s="152">
        <v>16.774000999999998</v>
      </c>
      <c r="Q411" s="152">
        <v>2.5870609999999998</v>
      </c>
      <c r="R411" s="152" t="s">
        <v>1327</v>
      </c>
      <c r="S411" s="152">
        <v>112.256068</v>
      </c>
      <c r="T411" s="152">
        <v>0.53371199999999996</v>
      </c>
      <c r="U411" s="152">
        <v>4.3358990000000004</v>
      </c>
      <c r="V411" s="152">
        <v>22.260389</v>
      </c>
      <c r="W411" s="152">
        <v>1000</v>
      </c>
      <c r="X411" s="152" t="s">
        <v>23</v>
      </c>
      <c r="Y411" s="152" t="s">
        <v>1328</v>
      </c>
      <c r="Z411" s="152" t="s">
        <v>1327</v>
      </c>
    </row>
    <row r="412" spans="1:26" x14ac:dyDescent="0.2">
      <c r="A412" s="152" t="s">
        <v>1675</v>
      </c>
      <c r="B412" s="152">
        <v>5.38</v>
      </c>
      <c r="C412" s="151">
        <v>45201</v>
      </c>
      <c r="D412" s="152">
        <v>4.9397260000000003</v>
      </c>
      <c r="E412" s="152" t="s">
        <v>1325</v>
      </c>
      <c r="F412" s="152" t="s">
        <v>1326</v>
      </c>
      <c r="G412" s="152"/>
      <c r="H412" s="152"/>
      <c r="I412" s="151">
        <v>43305</v>
      </c>
      <c r="J412" s="152">
        <v>2.5299999999999998</v>
      </c>
      <c r="K412" s="152">
        <v>41362</v>
      </c>
      <c r="L412" s="152">
        <v>3.988702</v>
      </c>
      <c r="M412" s="152">
        <v>4.8627820000000002</v>
      </c>
      <c r="N412" s="152">
        <v>3.9817330000000002</v>
      </c>
      <c r="O412" s="152">
        <v>2.6729180000000001</v>
      </c>
      <c r="P412" s="152">
        <v>25.361820000000002</v>
      </c>
      <c r="Q412" s="152">
        <v>2.6729180000000001</v>
      </c>
      <c r="R412" s="152" t="s">
        <v>1327</v>
      </c>
      <c r="S412" s="152">
        <v>112.445075</v>
      </c>
      <c r="T412" s="152">
        <v>0.33901399999999998</v>
      </c>
      <c r="U412" s="152">
        <v>4.3650380000000002</v>
      </c>
      <c r="V412" s="152">
        <v>22.547422999999998</v>
      </c>
      <c r="W412" s="152">
        <v>1000</v>
      </c>
      <c r="X412" s="152" t="s">
        <v>23</v>
      </c>
      <c r="Y412" s="152" t="s">
        <v>1328</v>
      </c>
      <c r="Z412" s="152" t="s">
        <v>1327</v>
      </c>
    </row>
    <row r="413" spans="1:26" x14ac:dyDescent="0.2">
      <c r="A413" s="152" t="s">
        <v>1676</v>
      </c>
      <c r="B413" s="152">
        <v>4.5199999999999996</v>
      </c>
      <c r="C413" s="151">
        <v>45476</v>
      </c>
      <c r="D413" s="152">
        <v>5.6931510000000003</v>
      </c>
      <c r="E413" s="152" t="s">
        <v>1325</v>
      </c>
      <c r="F413" s="152" t="s">
        <v>1326</v>
      </c>
      <c r="G413" s="152"/>
      <c r="H413" s="152"/>
      <c r="I413" s="152" t="s">
        <v>1327</v>
      </c>
      <c r="J413" s="152" t="s">
        <v>1327</v>
      </c>
      <c r="K413" s="152">
        <v>41362</v>
      </c>
      <c r="L413" s="152">
        <v>4.1389820000000004</v>
      </c>
      <c r="M413" s="152">
        <v>5.024</v>
      </c>
      <c r="N413" s="152">
        <v>4.1100289999999999</v>
      </c>
      <c r="O413" s="152">
        <v>2.6883789999999999</v>
      </c>
      <c r="P413" s="152">
        <v>19.582446999999998</v>
      </c>
      <c r="Q413" s="152">
        <v>2.6883789999999999</v>
      </c>
      <c r="R413" s="152" t="s">
        <v>1327</v>
      </c>
      <c r="S413" s="152">
        <v>109.58497699999999</v>
      </c>
      <c r="T413" s="152">
        <v>1.411726</v>
      </c>
      <c r="U413" s="152">
        <v>4.984985</v>
      </c>
      <c r="V413" s="152">
        <v>29.328583999999999</v>
      </c>
      <c r="W413" s="152">
        <v>1000</v>
      </c>
      <c r="X413" s="152" t="s">
        <v>23</v>
      </c>
      <c r="Y413" s="152" t="s">
        <v>1328</v>
      </c>
      <c r="Z413" s="152" t="s">
        <v>1327</v>
      </c>
    </row>
    <row r="414" spans="1:26" x14ac:dyDescent="0.2">
      <c r="A414" s="152" t="s">
        <v>1677</v>
      </c>
      <c r="B414" s="152">
        <v>4.5</v>
      </c>
      <c r="C414" s="151">
        <v>45538</v>
      </c>
      <c r="D414" s="152">
        <v>5.8630139999999997</v>
      </c>
      <c r="E414" s="152" t="s">
        <v>1325</v>
      </c>
      <c r="F414" s="152" t="s">
        <v>1326</v>
      </c>
      <c r="G414" s="152"/>
      <c r="H414" s="152"/>
      <c r="I414" s="152" t="s">
        <v>1327</v>
      </c>
      <c r="J414" s="152" t="s">
        <v>1327</v>
      </c>
      <c r="K414" s="152">
        <v>41362</v>
      </c>
      <c r="L414" s="152">
        <v>4.1601970000000001</v>
      </c>
      <c r="M414" s="152">
        <v>5.2370000000000001</v>
      </c>
      <c r="N414" s="152">
        <v>4.1280919999999997</v>
      </c>
      <c r="O414" s="152">
        <v>2.696364</v>
      </c>
      <c r="P414" s="152">
        <v>18.034134999999999</v>
      </c>
      <c r="Q414" s="152">
        <v>2.696364</v>
      </c>
      <c r="R414" s="152" t="s">
        <v>1327</v>
      </c>
      <c r="S414" s="152">
        <v>109.72157</v>
      </c>
      <c r="T414" s="152">
        <v>0.641096</v>
      </c>
      <c r="U414" s="152">
        <v>5.1462849999999998</v>
      </c>
      <c r="V414" s="152">
        <v>31.037023000000001</v>
      </c>
      <c r="W414" s="152">
        <v>1000</v>
      </c>
      <c r="X414" s="152" t="s">
        <v>23</v>
      </c>
      <c r="Y414" s="152" t="s">
        <v>1328</v>
      </c>
      <c r="Z414" s="152" t="s">
        <v>1327</v>
      </c>
    </row>
    <row r="415" spans="1:26" x14ac:dyDescent="0.2">
      <c r="A415" s="152" t="s">
        <v>1678</v>
      </c>
      <c r="B415" s="152">
        <v>4.5999999999999996</v>
      </c>
      <c r="C415" s="151">
        <v>45565</v>
      </c>
      <c r="D415" s="152">
        <v>5.9369860000000001</v>
      </c>
      <c r="E415" s="152" t="s">
        <v>1325</v>
      </c>
      <c r="F415" s="152" t="s">
        <v>1326</v>
      </c>
      <c r="G415" s="152"/>
      <c r="H415" s="152"/>
      <c r="I415" s="152" t="s">
        <v>1327</v>
      </c>
      <c r="J415" s="152" t="s">
        <v>1327</v>
      </c>
      <c r="K415" s="152">
        <v>41362</v>
      </c>
      <c r="L415" s="152">
        <v>4.1497590000000004</v>
      </c>
      <c r="M415" s="152">
        <v>5.1369999999999996</v>
      </c>
      <c r="N415" s="152">
        <v>4.1162749999999999</v>
      </c>
      <c r="O415" s="152">
        <v>2.7121580000000001</v>
      </c>
      <c r="P415" s="152">
        <v>18.823716000000001</v>
      </c>
      <c r="Q415" s="152">
        <v>2.7121580000000001</v>
      </c>
      <c r="R415" s="152" t="s">
        <v>1327</v>
      </c>
      <c r="S415" s="152">
        <v>110.289782</v>
      </c>
      <c r="T415" s="152">
        <v>0.31506800000000001</v>
      </c>
      <c r="U415" s="152">
        <v>5.2077669999999996</v>
      </c>
      <c r="V415" s="152">
        <v>31.732016000000002</v>
      </c>
      <c r="W415" s="152">
        <v>1000</v>
      </c>
      <c r="X415" s="152" t="s">
        <v>23</v>
      </c>
      <c r="Y415" s="152" t="s">
        <v>1328</v>
      </c>
      <c r="Z415" s="152" t="s">
        <v>1327</v>
      </c>
    </row>
    <row r="416" spans="1:26" x14ac:dyDescent="0.2">
      <c r="A416" s="152" t="s">
        <v>1679</v>
      </c>
      <c r="B416" s="152">
        <v>3.8</v>
      </c>
      <c r="C416" s="151">
        <v>45546</v>
      </c>
      <c r="D416" s="152">
        <v>5.8849320000000001</v>
      </c>
      <c r="E416" s="152" t="s">
        <v>1325</v>
      </c>
      <c r="F416" s="152" t="s">
        <v>1326</v>
      </c>
      <c r="G416" s="152"/>
      <c r="H416" s="152"/>
      <c r="I416" s="151">
        <v>41891</v>
      </c>
      <c r="J416" s="152">
        <v>3.8</v>
      </c>
      <c r="K416" s="152" t="s">
        <v>1327</v>
      </c>
      <c r="L416" s="152" t="s">
        <v>1327</v>
      </c>
      <c r="M416" s="152" t="s">
        <v>1327</v>
      </c>
      <c r="N416" s="152" t="s">
        <v>1327</v>
      </c>
      <c r="O416" s="152">
        <v>2.7053319999999998</v>
      </c>
      <c r="P416" s="152">
        <v>18.239996000000001</v>
      </c>
      <c r="Q416" s="152">
        <v>2.7053319999999998</v>
      </c>
      <c r="R416" s="152" t="s">
        <v>1327</v>
      </c>
      <c r="S416" s="152">
        <v>105.92288499999999</v>
      </c>
      <c r="T416" s="152">
        <v>0.45808199999999999</v>
      </c>
      <c r="U416" s="152">
        <v>5.2460979999999999</v>
      </c>
      <c r="V416" s="152">
        <v>31.915604999999999</v>
      </c>
      <c r="W416" s="152">
        <v>1000</v>
      </c>
      <c r="X416" s="152" t="s">
        <v>23</v>
      </c>
      <c r="Y416" s="152" t="s">
        <v>1328</v>
      </c>
      <c r="Z416" s="152" t="s">
        <v>1327</v>
      </c>
    </row>
    <row r="417" spans="1:26" x14ac:dyDescent="0.2">
      <c r="A417" s="152" t="s">
        <v>1680</v>
      </c>
      <c r="B417" s="152">
        <v>3.75</v>
      </c>
      <c r="C417" s="151">
        <v>45930</v>
      </c>
      <c r="D417" s="152">
        <v>6.9369860000000001</v>
      </c>
      <c r="E417" s="152" t="s">
        <v>1325</v>
      </c>
      <c r="F417" s="152" t="s">
        <v>1326</v>
      </c>
      <c r="G417" s="152"/>
      <c r="H417" s="152"/>
      <c r="I417" s="151">
        <v>40452</v>
      </c>
      <c r="J417" s="152">
        <v>3.75</v>
      </c>
      <c r="K417" s="152">
        <v>41453</v>
      </c>
      <c r="L417" s="152">
        <v>4.4284299999999996</v>
      </c>
      <c r="M417" s="152">
        <v>5.5333889999999997</v>
      </c>
      <c r="N417" s="152">
        <v>4.427308</v>
      </c>
      <c r="O417" s="152">
        <v>2.8391709999999999</v>
      </c>
      <c r="P417" s="152">
        <v>19.636109000000001</v>
      </c>
      <c r="Q417" s="152">
        <v>2.8391709999999999</v>
      </c>
      <c r="R417" s="152" t="s">
        <v>1327</v>
      </c>
      <c r="S417" s="152">
        <v>105.70523799999999</v>
      </c>
      <c r="T417" s="152">
        <v>0.25684899999999999</v>
      </c>
      <c r="U417" s="152">
        <v>6.0883580000000004</v>
      </c>
      <c r="V417" s="152">
        <v>42.862501999999999</v>
      </c>
      <c r="W417" s="152">
        <v>1000</v>
      </c>
      <c r="X417" s="152" t="s">
        <v>23</v>
      </c>
      <c r="Y417" s="152" t="s">
        <v>1328</v>
      </c>
      <c r="Z417" s="152" t="s">
        <v>1327</v>
      </c>
    </row>
    <row r="418" spans="1:26" x14ac:dyDescent="0.2">
      <c r="A418" s="152" t="s">
        <v>1681</v>
      </c>
      <c r="B418" s="152">
        <v>4.63</v>
      </c>
      <c r="C418" s="151">
        <v>45912</v>
      </c>
      <c r="D418" s="152">
        <v>6.8876710000000001</v>
      </c>
      <c r="E418" s="152" t="s">
        <v>1325</v>
      </c>
      <c r="F418" s="152" t="s">
        <v>1326</v>
      </c>
      <c r="G418" s="152"/>
      <c r="H418" s="152"/>
      <c r="I418" s="151">
        <v>41606</v>
      </c>
      <c r="J418" s="152">
        <v>4.5449999999999999</v>
      </c>
      <c r="K418" s="152" t="s">
        <v>1327</v>
      </c>
      <c r="L418" s="152" t="s">
        <v>1327</v>
      </c>
      <c r="M418" s="152" t="s">
        <v>1327</v>
      </c>
      <c r="N418" s="152" t="s">
        <v>1327</v>
      </c>
      <c r="O418" s="152">
        <v>2.8261440000000002</v>
      </c>
      <c r="P418" s="152">
        <v>19.554677000000002</v>
      </c>
      <c r="Q418" s="152">
        <v>2.8261440000000002</v>
      </c>
      <c r="R418" s="152" t="s">
        <v>1327</v>
      </c>
      <c r="S418" s="152">
        <v>111.22016499999999</v>
      </c>
      <c r="T418" s="152">
        <v>0.54545200000000005</v>
      </c>
      <c r="U418" s="152">
        <v>5.9120819999999998</v>
      </c>
      <c r="V418" s="152">
        <v>41.030976000000003</v>
      </c>
      <c r="W418" s="152">
        <v>1000</v>
      </c>
      <c r="X418" s="152" t="s">
        <v>23</v>
      </c>
      <c r="Y418" s="152" t="s">
        <v>1328</v>
      </c>
      <c r="Z418" s="152" t="s">
        <v>1327</v>
      </c>
    </row>
    <row r="419" spans="1:26" x14ac:dyDescent="0.2">
      <c r="A419" s="152" t="s">
        <v>1682</v>
      </c>
      <c r="B419" s="152">
        <v>4.07</v>
      </c>
      <c r="C419" s="151">
        <v>46287</v>
      </c>
      <c r="D419" s="152">
        <v>7.9150679999999998</v>
      </c>
      <c r="E419" s="152" t="s">
        <v>1325</v>
      </c>
      <c r="F419" s="152" t="s">
        <v>1326</v>
      </c>
      <c r="G419" s="152"/>
      <c r="H419" s="152"/>
      <c r="I419" s="152">
        <v>40802</v>
      </c>
      <c r="J419" s="152">
        <v>4.0704950000000002</v>
      </c>
      <c r="K419" s="152">
        <v>41348</v>
      </c>
      <c r="L419" s="152">
        <v>4.3857119999999998</v>
      </c>
      <c r="M419" s="152">
        <v>5.2628579999999996</v>
      </c>
      <c r="N419" s="152">
        <v>4.3807640000000001</v>
      </c>
      <c r="O419" s="152">
        <v>2.9247960000000002</v>
      </c>
      <c r="P419" s="152">
        <v>20.823692000000001</v>
      </c>
      <c r="Q419" s="152">
        <v>2.9247960000000002</v>
      </c>
      <c r="R419" s="152" t="s">
        <v>1327</v>
      </c>
      <c r="S419" s="152">
        <v>108.045337</v>
      </c>
      <c r="T419" s="152">
        <v>0.36797299999999999</v>
      </c>
      <c r="U419" s="152">
        <v>6.7649629999999998</v>
      </c>
      <c r="V419" s="152">
        <v>53.367744000000002</v>
      </c>
      <c r="W419" s="152">
        <v>1000</v>
      </c>
      <c r="X419" s="152" t="s">
        <v>23</v>
      </c>
      <c r="Y419" s="152" t="s">
        <v>1328</v>
      </c>
      <c r="Z419" s="152" t="s">
        <v>1327</v>
      </c>
    </row>
    <row r="420" spans="1:26" x14ac:dyDescent="0.2">
      <c r="A420" s="152" t="s">
        <v>1683</v>
      </c>
      <c r="B420" s="152">
        <v>3.94</v>
      </c>
      <c r="C420" s="151">
        <v>46643</v>
      </c>
      <c r="D420" s="152">
        <v>8.8904110000000003</v>
      </c>
      <c r="E420" s="152" t="s">
        <v>1325</v>
      </c>
      <c r="F420" s="152" t="s">
        <v>1326</v>
      </c>
      <c r="G420" s="152"/>
      <c r="H420" s="152"/>
      <c r="I420" s="152" t="s">
        <v>1327</v>
      </c>
      <c r="J420" s="152" t="s">
        <v>1327</v>
      </c>
      <c r="K420" s="151" t="s">
        <v>1327</v>
      </c>
      <c r="L420" s="152" t="s">
        <v>1327</v>
      </c>
      <c r="M420" s="152" t="s">
        <v>1327</v>
      </c>
      <c r="N420" s="152" t="s">
        <v>1327</v>
      </c>
      <c r="O420" s="152">
        <v>3.1085129999999999</v>
      </c>
      <c r="P420" s="152">
        <v>30.646217</v>
      </c>
      <c r="Q420" s="152">
        <v>3.1085129999999999</v>
      </c>
      <c r="R420" s="152" t="s">
        <v>1327</v>
      </c>
      <c r="S420" s="152">
        <v>106.42298599999999</v>
      </c>
      <c r="T420" s="152">
        <v>0.45337</v>
      </c>
      <c r="U420" s="152">
        <v>7.4784639999999998</v>
      </c>
      <c r="V420" s="152">
        <v>65.439483999999993</v>
      </c>
      <c r="W420" s="152">
        <v>1000</v>
      </c>
      <c r="X420" s="152" t="s">
        <v>23</v>
      </c>
      <c r="Y420" s="152" t="s">
        <v>1328</v>
      </c>
      <c r="Z420" s="152" t="s">
        <v>1327</v>
      </c>
    </row>
    <row r="421" spans="1:26" x14ac:dyDescent="0.2">
      <c r="A421" s="152" t="s">
        <v>1684</v>
      </c>
      <c r="B421" s="152">
        <v>2.72</v>
      </c>
      <c r="C421" s="151">
        <v>46644</v>
      </c>
      <c r="D421" s="152">
        <v>8.8931509999999996</v>
      </c>
      <c r="E421" s="152" t="s">
        <v>1325</v>
      </c>
      <c r="F421" s="152" t="s">
        <v>1326</v>
      </c>
      <c r="G421" s="152"/>
      <c r="H421" s="152"/>
      <c r="I421" s="151">
        <v>43090</v>
      </c>
      <c r="J421" s="152">
        <v>3.02</v>
      </c>
      <c r="K421" s="151" t="s">
        <v>1327</v>
      </c>
      <c r="L421" s="152" t="s">
        <v>1327</v>
      </c>
      <c r="M421" s="152" t="s">
        <v>1327</v>
      </c>
      <c r="N421" s="152" t="s">
        <v>1327</v>
      </c>
      <c r="O421" s="152">
        <v>3.1497229999999998</v>
      </c>
      <c r="P421" s="152">
        <v>33.313904999999998</v>
      </c>
      <c r="Q421" s="152">
        <v>3.1497229999999998</v>
      </c>
      <c r="R421" s="152" t="s">
        <v>1327</v>
      </c>
      <c r="S421" s="152">
        <v>96.701887999999997</v>
      </c>
      <c r="T421" s="152">
        <v>0.30553399999999997</v>
      </c>
      <c r="U421" s="152">
        <v>7.7840059999999998</v>
      </c>
      <c r="V421" s="152">
        <v>69.143557999999999</v>
      </c>
      <c r="W421" s="152">
        <v>1000</v>
      </c>
      <c r="X421" s="152" t="s">
        <v>23</v>
      </c>
      <c r="Y421" s="152" t="s">
        <v>1328</v>
      </c>
      <c r="Z421" s="152" t="s">
        <v>1327</v>
      </c>
    </row>
    <row r="422" spans="1:26" x14ac:dyDescent="0.2">
      <c r="A422" s="152" t="s">
        <v>1685</v>
      </c>
      <c r="B422" s="152">
        <v>4.7350000000000003</v>
      </c>
      <c r="C422" s="151">
        <v>47008</v>
      </c>
      <c r="D422" s="152">
        <v>9.8904110000000003</v>
      </c>
      <c r="E422" s="152" t="s">
        <v>1325</v>
      </c>
      <c r="F422" s="152" t="s">
        <v>1326</v>
      </c>
      <c r="G422" s="152"/>
      <c r="H422" s="152"/>
      <c r="I422" s="152">
        <v>41729</v>
      </c>
      <c r="J422" s="152">
        <v>4.4850000000000003</v>
      </c>
      <c r="K422" s="151" t="s">
        <v>1327</v>
      </c>
      <c r="L422" s="152" t="s">
        <v>1327</v>
      </c>
      <c r="M422" s="152" t="s">
        <v>1327</v>
      </c>
      <c r="N422" s="152" t="s">
        <v>1327</v>
      </c>
      <c r="O422" s="152">
        <v>3.0795530000000002</v>
      </c>
      <c r="P422" s="152">
        <v>29.348790999999999</v>
      </c>
      <c r="Q422" s="152">
        <v>3.0795530000000002</v>
      </c>
      <c r="R422" s="152" t="s">
        <v>1327</v>
      </c>
      <c r="S422" s="152">
        <v>114.023623</v>
      </c>
      <c r="T422" s="152">
        <v>0.55782200000000004</v>
      </c>
      <c r="U422" s="152">
        <v>7.9805429999999999</v>
      </c>
      <c r="V422" s="152">
        <v>76.022835000000001</v>
      </c>
      <c r="W422" s="152">
        <v>1000</v>
      </c>
      <c r="X422" s="152" t="s">
        <v>23</v>
      </c>
      <c r="Y422" s="152" t="s">
        <v>1328</v>
      </c>
      <c r="Z422" s="152" t="s">
        <v>1327</v>
      </c>
    </row>
    <row r="423" spans="1:26" x14ac:dyDescent="0.2">
      <c r="A423" s="152" t="s">
        <v>1686</v>
      </c>
      <c r="B423" s="152">
        <v>3.98</v>
      </c>
      <c r="C423" s="151">
        <v>47365</v>
      </c>
      <c r="D423" s="152">
        <v>10.868493000000001</v>
      </c>
      <c r="E423" s="152" t="s">
        <v>1325</v>
      </c>
      <c r="F423" s="152" t="s">
        <v>1326</v>
      </c>
      <c r="G423" s="152"/>
      <c r="H423" s="152"/>
      <c r="I423" s="151">
        <v>41885</v>
      </c>
      <c r="J423" s="152">
        <v>3.98</v>
      </c>
      <c r="K423" s="152" t="s">
        <v>1327</v>
      </c>
      <c r="L423" s="152" t="s">
        <v>1327</v>
      </c>
      <c r="M423" s="152" t="s">
        <v>1327</v>
      </c>
      <c r="N423" s="152" t="s">
        <v>1327</v>
      </c>
      <c r="O423" s="152">
        <v>3.3141090000000002</v>
      </c>
      <c r="P423" s="152">
        <v>27.029095999999999</v>
      </c>
      <c r="Q423" s="152">
        <v>3.3141090000000002</v>
      </c>
      <c r="R423" s="152" t="s">
        <v>1327</v>
      </c>
      <c r="S423" s="152">
        <v>106.04306699999999</v>
      </c>
      <c r="T423" s="152">
        <v>0.55610999999999999</v>
      </c>
      <c r="U423" s="152">
        <v>8.7940330000000007</v>
      </c>
      <c r="V423" s="152">
        <v>91.776666000000006</v>
      </c>
      <c r="W423" s="152">
        <v>1000</v>
      </c>
      <c r="X423" s="152" t="s">
        <v>23</v>
      </c>
      <c r="Y423" s="152" t="s">
        <v>1328</v>
      </c>
      <c r="Z423" s="152" t="s">
        <v>1327</v>
      </c>
    </row>
    <row r="424" spans="1:26" x14ac:dyDescent="0.2">
      <c r="A424" s="152" t="s">
        <v>1687</v>
      </c>
      <c r="B424" s="152">
        <v>3.47</v>
      </c>
      <c r="C424" s="151">
        <v>47729</v>
      </c>
      <c r="D424" s="152">
        <v>11.865753</v>
      </c>
      <c r="E424" s="152" t="s">
        <v>1325</v>
      </c>
      <c r="F424" s="152" t="s">
        <v>1326</v>
      </c>
      <c r="G424" s="152"/>
      <c r="H424" s="152"/>
      <c r="I424" s="151" t="s">
        <v>1327</v>
      </c>
      <c r="J424" s="152" t="s">
        <v>1327</v>
      </c>
      <c r="K424" s="151" t="s">
        <v>1327</v>
      </c>
      <c r="L424" s="152" t="s">
        <v>1327</v>
      </c>
      <c r="M424" s="152" t="s">
        <v>1327</v>
      </c>
      <c r="N424" s="152" t="s">
        <v>1327</v>
      </c>
      <c r="O424" s="152">
        <v>3.4069039999999999</v>
      </c>
      <c r="P424" s="152">
        <v>25.754936000000001</v>
      </c>
      <c r="Q424" s="152">
        <v>3.4069039999999999</v>
      </c>
      <c r="R424" s="152" t="s">
        <v>1327</v>
      </c>
      <c r="S424" s="152">
        <v>100.62233500000001</v>
      </c>
      <c r="T424" s="152">
        <v>0.49435600000000002</v>
      </c>
      <c r="U424" s="152">
        <v>9.6136280000000003</v>
      </c>
      <c r="V424" s="152">
        <v>109.207283</v>
      </c>
      <c r="W424" s="152">
        <v>1000</v>
      </c>
      <c r="X424" s="152" t="s">
        <v>23</v>
      </c>
      <c r="Y424" s="152" t="s">
        <v>1328</v>
      </c>
      <c r="Z424" s="152" t="s">
        <v>1327</v>
      </c>
    </row>
    <row r="425" spans="1:26" x14ac:dyDescent="0.2">
      <c r="A425" s="152" t="s">
        <v>1688</v>
      </c>
      <c r="B425" s="152">
        <v>5.28</v>
      </c>
      <c r="C425" s="151">
        <v>43614</v>
      </c>
      <c r="D425" s="152">
        <v>0.591781</v>
      </c>
      <c r="E425" s="152" t="s">
        <v>1325</v>
      </c>
      <c r="F425" s="152" t="s">
        <v>1326</v>
      </c>
      <c r="G425" s="152"/>
      <c r="H425" s="152"/>
      <c r="I425" s="151" t="s">
        <v>1327</v>
      </c>
      <c r="J425" s="152" t="s">
        <v>1327</v>
      </c>
      <c r="K425" s="151">
        <v>41320</v>
      </c>
      <c r="L425" s="152">
        <v>3.648091</v>
      </c>
      <c r="M425" s="152">
        <v>4.7866710000000001</v>
      </c>
      <c r="N425" s="152">
        <v>3.6213410000000001</v>
      </c>
      <c r="O425" s="152">
        <v>1.774856</v>
      </c>
      <c r="P425" s="152">
        <v>2.1006800000000001</v>
      </c>
      <c r="Q425" s="152">
        <v>1.774856</v>
      </c>
      <c r="R425" s="152" t="s">
        <v>1327</v>
      </c>
      <c r="S425" s="152">
        <v>102.045051</v>
      </c>
      <c r="T425" s="152">
        <v>2.1553969999999998</v>
      </c>
      <c r="U425" s="152">
        <v>0.57811400000000002</v>
      </c>
      <c r="V425" s="152">
        <v>0.62678500000000004</v>
      </c>
      <c r="W425" s="152">
        <v>1000</v>
      </c>
      <c r="X425" s="152" t="s">
        <v>23</v>
      </c>
      <c r="Y425" s="152" t="s">
        <v>1328</v>
      </c>
      <c r="Z425" s="152" t="s">
        <v>1327</v>
      </c>
    </row>
    <row r="426" spans="1:26" x14ac:dyDescent="0.2">
      <c r="A426" s="152" t="s">
        <v>1689</v>
      </c>
      <c r="B426" s="152">
        <v>3.58</v>
      </c>
      <c r="C426" s="151">
        <v>43635</v>
      </c>
      <c r="D426" s="152">
        <v>0.64931499999999998</v>
      </c>
      <c r="E426" s="152" t="s">
        <v>1325</v>
      </c>
      <c r="F426" s="152" t="s">
        <v>1326</v>
      </c>
      <c r="G426" s="152"/>
      <c r="H426" s="152"/>
      <c r="I426" s="151">
        <v>42712</v>
      </c>
      <c r="J426" s="152">
        <v>1.91</v>
      </c>
      <c r="K426" s="151" t="s">
        <v>1327</v>
      </c>
      <c r="L426" s="152" t="s">
        <v>1327</v>
      </c>
      <c r="M426" s="152" t="s">
        <v>1327</v>
      </c>
      <c r="N426" s="152" t="s">
        <v>1327</v>
      </c>
      <c r="O426" s="152">
        <v>1.838112</v>
      </c>
      <c r="P426" s="152">
        <v>6.4122890000000003</v>
      </c>
      <c r="Q426" s="152">
        <v>1.838112</v>
      </c>
      <c r="R426" s="152" t="s">
        <v>1327</v>
      </c>
      <c r="S426" s="152">
        <v>101.114925</v>
      </c>
      <c r="T426" s="152">
        <v>1.255452</v>
      </c>
      <c r="U426" s="152">
        <v>0.63612000000000002</v>
      </c>
      <c r="V426" s="152">
        <v>0.72401800000000005</v>
      </c>
      <c r="W426" s="152">
        <v>1000</v>
      </c>
      <c r="X426" s="152" t="s">
        <v>23</v>
      </c>
      <c r="Y426" s="152" t="s">
        <v>1328</v>
      </c>
      <c r="Z426" s="152" t="s">
        <v>1327</v>
      </c>
    </row>
    <row r="427" spans="1:26" x14ac:dyDescent="0.2">
      <c r="A427" s="152" t="s">
        <v>1690</v>
      </c>
      <c r="B427" s="152">
        <v>5.12</v>
      </c>
      <c r="C427" s="151">
        <v>43665</v>
      </c>
      <c r="D427" s="152">
        <v>0.73150700000000002</v>
      </c>
      <c r="E427" s="152" t="s">
        <v>1325</v>
      </c>
      <c r="F427" s="152" t="s">
        <v>1326</v>
      </c>
      <c r="G427" s="152"/>
      <c r="H427" s="152"/>
      <c r="I427" s="151">
        <v>39279</v>
      </c>
      <c r="J427" s="152">
        <v>5.12</v>
      </c>
      <c r="K427" s="151">
        <v>41516</v>
      </c>
      <c r="L427" s="152">
        <v>4.2447949999999999</v>
      </c>
      <c r="M427" s="152">
        <v>5.3357109999999999</v>
      </c>
      <c r="N427" s="152">
        <v>3.8664879999999999</v>
      </c>
      <c r="O427" s="152">
        <v>1.831226</v>
      </c>
      <c r="P427" s="152">
        <v>5.3933</v>
      </c>
      <c r="Q427" s="152">
        <v>1.831226</v>
      </c>
      <c r="R427" s="152" t="s">
        <v>1327</v>
      </c>
      <c r="S427" s="152">
        <v>102.368244</v>
      </c>
      <c r="T427" s="152">
        <v>1.3746849999999999</v>
      </c>
      <c r="U427" s="152">
        <v>0.71676799999999996</v>
      </c>
      <c r="V427" s="152">
        <v>0.87477300000000002</v>
      </c>
      <c r="W427" s="152">
        <v>1000</v>
      </c>
      <c r="X427" s="152" t="s">
        <v>23</v>
      </c>
      <c r="Y427" s="152" t="s">
        <v>1328</v>
      </c>
      <c r="Z427" s="152" t="s">
        <v>1327</v>
      </c>
    </row>
    <row r="428" spans="1:26" x14ac:dyDescent="0.2">
      <c r="A428" s="152" t="s">
        <v>1691</v>
      </c>
      <c r="B428" s="152">
        <v>3.28</v>
      </c>
      <c r="C428" s="151">
        <v>43731</v>
      </c>
      <c r="D428" s="152">
        <v>0.91232899999999995</v>
      </c>
      <c r="E428" s="152" t="s">
        <v>1325</v>
      </c>
      <c r="F428" s="152" t="s">
        <v>1326</v>
      </c>
      <c r="G428" s="152"/>
      <c r="H428" s="152"/>
      <c r="I428" s="151">
        <v>42412</v>
      </c>
      <c r="J428" s="152">
        <v>1.7549999999999999</v>
      </c>
      <c r="K428" s="151" t="s">
        <v>1327</v>
      </c>
      <c r="L428" s="152" t="s">
        <v>1327</v>
      </c>
      <c r="M428" s="152" t="s">
        <v>1327</v>
      </c>
      <c r="N428" s="152" t="s">
        <v>1327</v>
      </c>
      <c r="O428" s="152">
        <v>1.8606229999999999</v>
      </c>
      <c r="P428" s="152">
        <v>5.3500030000000001</v>
      </c>
      <c r="Q428" s="152">
        <v>1.8606229999999999</v>
      </c>
      <c r="R428" s="152" t="s">
        <v>1327</v>
      </c>
      <c r="S428" s="152">
        <v>101.284757</v>
      </c>
      <c r="T428" s="152">
        <v>0.28756199999999998</v>
      </c>
      <c r="U428" s="152">
        <v>0.89190899999999995</v>
      </c>
      <c r="V428" s="152">
        <v>1.2412160000000001</v>
      </c>
      <c r="W428" s="152">
        <v>1000</v>
      </c>
      <c r="X428" s="152" t="s">
        <v>23</v>
      </c>
      <c r="Y428" s="152" t="s">
        <v>1328</v>
      </c>
      <c r="Z428" s="152" t="s">
        <v>1327</v>
      </c>
    </row>
    <row r="429" spans="1:26" x14ac:dyDescent="0.2">
      <c r="A429" s="152" t="s">
        <v>1692</v>
      </c>
      <c r="B429" s="152">
        <v>3.89</v>
      </c>
      <c r="C429" s="151">
        <v>43779</v>
      </c>
      <c r="D429" s="152">
        <v>1.043836</v>
      </c>
      <c r="E429" s="152" t="s">
        <v>1325</v>
      </c>
      <c r="F429" s="152" t="s">
        <v>1326</v>
      </c>
      <c r="G429" s="152"/>
      <c r="H429" s="152"/>
      <c r="I429" s="151" t="s">
        <v>1327</v>
      </c>
      <c r="J429" s="152" t="s">
        <v>1327</v>
      </c>
      <c r="K429" s="151">
        <v>41362</v>
      </c>
      <c r="L429" s="152">
        <v>3.7851110000000001</v>
      </c>
      <c r="M429" s="152">
        <v>4.8351749999999996</v>
      </c>
      <c r="N429" s="152">
        <v>3.771512</v>
      </c>
      <c r="O429" s="152">
        <v>1.86033</v>
      </c>
      <c r="P429" s="152">
        <v>5.0225999999999997</v>
      </c>
      <c r="Q429" s="152">
        <v>1.86033</v>
      </c>
      <c r="R429" s="152" t="s">
        <v>1327</v>
      </c>
      <c r="S429" s="152">
        <v>102.07189099999999</v>
      </c>
      <c r="T429" s="152">
        <v>1.7904659999999999</v>
      </c>
      <c r="U429" s="152">
        <v>1.0064930000000001</v>
      </c>
      <c r="V429" s="152">
        <v>1.533785</v>
      </c>
      <c r="W429" s="152">
        <v>1000</v>
      </c>
      <c r="X429" s="152" t="s">
        <v>23</v>
      </c>
      <c r="Y429" s="152" t="s">
        <v>1328</v>
      </c>
      <c r="Z429" s="152" t="s">
        <v>1327</v>
      </c>
    </row>
    <row r="430" spans="1:26" x14ac:dyDescent="0.2">
      <c r="A430" s="152" t="s">
        <v>1693</v>
      </c>
      <c r="B430" s="152">
        <v>3.82</v>
      </c>
      <c r="C430" s="151">
        <v>43861</v>
      </c>
      <c r="D430" s="152">
        <v>1.2684930000000001</v>
      </c>
      <c r="E430" s="152" t="s">
        <v>1325</v>
      </c>
      <c r="F430" s="152" t="s">
        <v>1326</v>
      </c>
      <c r="G430" s="152"/>
      <c r="H430" s="152"/>
      <c r="I430" s="151" t="s">
        <v>1327</v>
      </c>
      <c r="J430" s="152" t="s">
        <v>1327</v>
      </c>
      <c r="K430" s="151">
        <v>41362</v>
      </c>
      <c r="L430" s="152">
        <v>3.755125</v>
      </c>
      <c r="M430" s="152">
        <v>4.8487999999999998</v>
      </c>
      <c r="N430" s="152">
        <v>3.7314690000000001</v>
      </c>
      <c r="O430" s="152">
        <v>1.902093</v>
      </c>
      <c r="P430" s="152">
        <v>4.6772999999999998</v>
      </c>
      <c r="Q430" s="152">
        <v>1.902093</v>
      </c>
      <c r="R430" s="152" t="s">
        <v>1327</v>
      </c>
      <c r="S430" s="152">
        <v>102.374568</v>
      </c>
      <c r="T430" s="152">
        <v>0.90005500000000005</v>
      </c>
      <c r="U430" s="152">
        <v>1.2292879999999999</v>
      </c>
      <c r="V430" s="152">
        <v>2.1417860000000002</v>
      </c>
      <c r="W430" s="152">
        <v>1000</v>
      </c>
      <c r="X430" s="152" t="s">
        <v>23</v>
      </c>
      <c r="Y430" s="152" t="s">
        <v>1328</v>
      </c>
      <c r="Z430" s="152" t="s">
        <v>1327</v>
      </c>
    </row>
    <row r="431" spans="1:26" x14ac:dyDescent="0.2">
      <c r="A431" s="152" t="s">
        <v>1694</v>
      </c>
      <c r="B431" s="152">
        <v>5.15</v>
      </c>
      <c r="C431" s="151">
        <v>44003</v>
      </c>
      <c r="D431" s="152">
        <v>1.6575340000000001</v>
      </c>
      <c r="E431" s="152" t="s">
        <v>1325</v>
      </c>
      <c r="F431" s="152" t="s">
        <v>1326</v>
      </c>
      <c r="G431" s="152"/>
      <c r="H431" s="152"/>
      <c r="I431" s="151">
        <v>39254</v>
      </c>
      <c r="J431" s="152">
        <v>5.15</v>
      </c>
      <c r="K431" s="151">
        <v>41698</v>
      </c>
      <c r="L431" s="152">
        <v>3.82884</v>
      </c>
      <c r="M431" s="152">
        <v>4.7756689999999997</v>
      </c>
      <c r="N431" s="152">
        <v>3.82884</v>
      </c>
      <c r="O431" s="152">
        <v>2.006243</v>
      </c>
      <c r="P431" s="152">
        <v>4.7839</v>
      </c>
      <c r="Q431" s="152">
        <v>2.006243</v>
      </c>
      <c r="R431" s="152" t="s">
        <v>1327</v>
      </c>
      <c r="S431" s="152">
        <v>105.086118</v>
      </c>
      <c r="T431" s="152">
        <v>1.7778080000000001</v>
      </c>
      <c r="U431" s="152">
        <v>1.56884</v>
      </c>
      <c r="V431" s="152">
        <v>3.3149259999999998</v>
      </c>
      <c r="W431" s="152">
        <v>1000</v>
      </c>
      <c r="X431" s="152" t="s">
        <v>23</v>
      </c>
      <c r="Y431" s="152" t="s">
        <v>1328</v>
      </c>
      <c r="Z431" s="152" t="s">
        <v>1327</v>
      </c>
    </row>
    <row r="432" spans="1:26" x14ac:dyDescent="0.2">
      <c r="A432" s="152" t="s">
        <v>1695</v>
      </c>
      <c r="B432" s="152">
        <v>4.07</v>
      </c>
      <c r="C432" s="151">
        <v>44051</v>
      </c>
      <c r="D432" s="152">
        <v>1.7890410000000001</v>
      </c>
      <c r="E432" s="152" t="s">
        <v>1325</v>
      </c>
      <c r="F432" s="152" t="s">
        <v>1326</v>
      </c>
      <c r="G432" s="152"/>
      <c r="H432" s="152"/>
      <c r="I432" s="152">
        <v>41660</v>
      </c>
      <c r="J432" s="152">
        <v>4</v>
      </c>
      <c r="K432" s="151" t="s">
        <v>1327</v>
      </c>
      <c r="L432" s="152" t="s">
        <v>1327</v>
      </c>
      <c r="M432" s="152" t="s">
        <v>1327</v>
      </c>
      <c r="N432" s="152" t="s">
        <v>1327</v>
      </c>
      <c r="O432" s="152">
        <v>2.034951</v>
      </c>
      <c r="P432" s="152">
        <v>5.2083000000000004</v>
      </c>
      <c r="Q432" s="152">
        <v>2.034951</v>
      </c>
      <c r="R432" s="152" t="s">
        <v>1327</v>
      </c>
      <c r="S432" s="152">
        <v>103.541011</v>
      </c>
      <c r="T432" s="152">
        <v>0.869753</v>
      </c>
      <c r="U432" s="152">
        <v>1.71522</v>
      </c>
      <c r="V432" s="152">
        <v>3.8538559999999999</v>
      </c>
      <c r="W432" s="152">
        <v>1000</v>
      </c>
      <c r="X432" s="152" t="s">
        <v>23</v>
      </c>
      <c r="Y432" s="152" t="s">
        <v>1328</v>
      </c>
      <c r="Z432" s="152" t="s">
        <v>1327</v>
      </c>
    </row>
    <row r="433" spans="1:26" x14ac:dyDescent="0.2">
      <c r="A433" s="152" t="s">
        <v>1696</v>
      </c>
      <c r="B433" s="152">
        <v>3.49</v>
      </c>
      <c r="C433" s="151">
        <v>44097</v>
      </c>
      <c r="D433" s="152">
        <v>1.915068</v>
      </c>
      <c r="E433" s="152" t="s">
        <v>1325</v>
      </c>
      <c r="F433" s="152" t="s">
        <v>1326</v>
      </c>
      <c r="G433" s="152"/>
      <c r="H433" s="152"/>
      <c r="I433" s="151">
        <v>40444</v>
      </c>
      <c r="J433" s="152">
        <v>3.49</v>
      </c>
      <c r="K433" s="151">
        <v>41381</v>
      </c>
      <c r="L433" s="152">
        <v>3.9749500000000002</v>
      </c>
      <c r="M433" s="152">
        <v>4.843</v>
      </c>
      <c r="N433" s="152">
        <v>3.6434920000000002</v>
      </c>
      <c r="O433" s="152">
        <v>2.071402</v>
      </c>
      <c r="P433" s="152">
        <v>5.9372999999999996</v>
      </c>
      <c r="Q433" s="152">
        <v>2.071402</v>
      </c>
      <c r="R433" s="152" t="s">
        <v>1327</v>
      </c>
      <c r="S433" s="152">
        <v>102.653807</v>
      </c>
      <c r="T433" s="152">
        <v>0.30597299999999999</v>
      </c>
      <c r="U433" s="152">
        <v>1.8390960000000001</v>
      </c>
      <c r="V433" s="152">
        <v>4.3473100000000002</v>
      </c>
      <c r="W433" s="152">
        <v>1000</v>
      </c>
      <c r="X433" s="152" t="s">
        <v>23</v>
      </c>
      <c r="Y433" s="152" t="s">
        <v>1328</v>
      </c>
      <c r="Z433" s="152" t="s">
        <v>1327</v>
      </c>
    </row>
    <row r="434" spans="1:26" x14ac:dyDescent="0.2">
      <c r="A434" s="152" t="s">
        <v>1697</v>
      </c>
      <c r="B434" s="152">
        <v>6.53</v>
      </c>
      <c r="C434" s="151">
        <v>44341</v>
      </c>
      <c r="D434" s="152">
        <v>2.5835620000000001</v>
      </c>
      <c r="E434" s="152" t="s">
        <v>1325</v>
      </c>
      <c r="F434" s="152" t="s">
        <v>1326</v>
      </c>
      <c r="G434" s="152"/>
      <c r="H434" s="152"/>
      <c r="I434" s="151">
        <v>42258</v>
      </c>
      <c r="J434" s="152">
        <v>2.97</v>
      </c>
      <c r="K434" s="151">
        <v>41698</v>
      </c>
      <c r="L434" s="152">
        <v>4.0555510000000004</v>
      </c>
      <c r="M434" s="152">
        <v>5.185314</v>
      </c>
      <c r="N434" s="152">
        <v>4.0555510000000004</v>
      </c>
      <c r="O434" s="152">
        <v>2.1332930000000001</v>
      </c>
      <c r="P434" s="152">
        <v>7.7862470000000004</v>
      </c>
      <c r="Q434" s="152">
        <v>2.1332930000000001</v>
      </c>
      <c r="R434" s="152" t="s">
        <v>1327</v>
      </c>
      <c r="S434" s="152">
        <v>110.97126</v>
      </c>
      <c r="T434" s="152">
        <v>2.7372329999999998</v>
      </c>
      <c r="U434" s="152">
        <v>2.3479230000000002</v>
      </c>
      <c r="V434" s="152">
        <v>7.0124769999999996</v>
      </c>
      <c r="W434" s="152">
        <v>1000</v>
      </c>
      <c r="X434" s="152" t="s">
        <v>23</v>
      </c>
      <c r="Y434" s="152" t="s">
        <v>1328</v>
      </c>
      <c r="Z434" s="152" t="s">
        <v>1327</v>
      </c>
    </row>
    <row r="435" spans="1:26" x14ac:dyDescent="0.2">
      <c r="A435" s="152" t="s">
        <v>1698</v>
      </c>
      <c r="B435" s="152">
        <v>4.25</v>
      </c>
      <c r="C435" s="151">
        <v>44405</v>
      </c>
      <c r="D435" s="152">
        <v>2.7589039999999998</v>
      </c>
      <c r="E435" s="152" t="s">
        <v>1325</v>
      </c>
      <c r="F435" s="152" t="s">
        <v>1326</v>
      </c>
      <c r="G435" s="152"/>
      <c r="H435" s="152"/>
      <c r="I435" s="151">
        <v>40745</v>
      </c>
      <c r="J435" s="152">
        <v>4.2478619999999996</v>
      </c>
      <c r="K435" s="151">
        <v>41362</v>
      </c>
      <c r="L435" s="152">
        <v>4.0926980000000004</v>
      </c>
      <c r="M435" s="152">
        <v>5.2312260000000004</v>
      </c>
      <c r="N435" s="152">
        <v>4.0763920000000002</v>
      </c>
      <c r="O435" s="152">
        <v>2.1710259999999999</v>
      </c>
      <c r="P435" s="152">
        <v>9.5360549999999993</v>
      </c>
      <c r="Q435" s="152">
        <v>2.1710259999999999</v>
      </c>
      <c r="R435" s="152" t="s">
        <v>1327</v>
      </c>
      <c r="S435" s="152">
        <v>105.52052</v>
      </c>
      <c r="T435" s="152">
        <v>1.0363009999999999</v>
      </c>
      <c r="U435" s="152">
        <v>2.5855899999999998</v>
      </c>
      <c r="V435" s="152">
        <v>8.2074049999999996</v>
      </c>
      <c r="W435" s="152">
        <v>1000</v>
      </c>
      <c r="X435" s="152" t="s">
        <v>23</v>
      </c>
      <c r="Y435" s="152" t="s">
        <v>1328</v>
      </c>
      <c r="Z435" s="152" t="s">
        <v>1327</v>
      </c>
    </row>
    <row r="436" spans="1:26" x14ac:dyDescent="0.2">
      <c r="A436" s="152" t="s">
        <v>1699</v>
      </c>
      <c r="B436" s="152">
        <v>4.58</v>
      </c>
      <c r="C436" s="151">
        <v>44469</v>
      </c>
      <c r="D436" s="152">
        <v>2.934247</v>
      </c>
      <c r="E436" s="152" t="s">
        <v>1325</v>
      </c>
      <c r="F436" s="152" t="s">
        <v>1326</v>
      </c>
      <c r="G436" s="152"/>
      <c r="H436" s="152"/>
      <c r="I436" s="151" t="s">
        <v>1327</v>
      </c>
      <c r="J436" s="152" t="s">
        <v>1327</v>
      </c>
      <c r="K436" s="151">
        <v>41362</v>
      </c>
      <c r="L436" s="152">
        <v>4.0590260000000002</v>
      </c>
      <c r="M436" s="152">
        <v>4.6381110000000003</v>
      </c>
      <c r="N436" s="152">
        <v>4.044753</v>
      </c>
      <c r="O436" s="152">
        <v>2.2013050000000001</v>
      </c>
      <c r="P436" s="152">
        <v>9.4530609999999999</v>
      </c>
      <c r="Q436" s="152">
        <v>2.2013050000000001</v>
      </c>
      <c r="R436" s="152" t="s">
        <v>1327</v>
      </c>
      <c r="S436" s="152">
        <v>106.725358</v>
      </c>
      <c r="T436" s="152">
        <v>0.31369900000000001</v>
      </c>
      <c r="U436" s="152">
        <v>2.740561</v>
      </c>
      <c r="V436" s="152">
        <v>9.1243339999999993</v>
      </c>
      <c r="W436" s="152">
        <v>1000</v>
      </c>
      <c r="X436" s="152" t="s">
        <v>23</v>
      </c>
      <c r="Y436" s="152" t="s">
        <v>1328</v>
      </c>
      <c r="Z436" s="152" t="s">
        <v>1327</v>
      </c>
    </row>
    <row r="437" spans="1:26" x14ac:dyDescent="0.2">
      <c r="A437" s="152" t="s">
        <v>1700</v>
      </c>
      <c r="B437" s="152">
        <v>3.75</v>
      </c>
      <c r="C437" s="151">
        <v>44552</v>
      </c>
      <c r="D437" s="152">
        <v>3.1616439999999999</v>
      </c>
      <c r="E437" s="152" t="s">
        <v>1325</v>
      </c>
      <c r="F437" s="152" t="s">
        <v>1326</v>
      </c>
      <c r="G437" s="152"/>
      <c r="H437" s="152"/>
      <c r="I437" s="152">
        <v>42598</v>
      </c>
      <c r="J437" s="152">
        <v>2.0699999999999998</v>
      </c>
      <c r="K437" s="151">
        <v>41362</v>
      </c>
      <c r="L437" s="152">
        <v>4.0631760000000003</v>
      </c>
      <c r="M437" s="152">
        <v>4.9484370000000002</v>
      </c>
      <c r="N437" s="152">
        <v>4.0616279999999998</v>
      </c>
      <c r="O437" s="152">
        <v>2.264052</v>
      </c>
      <c r="P437" s="152">
        <v>10.958978999999999</v>
      </c>
      <c r="Q437" s="152">
        <v>2.264052</v>
      </c>
      <c r="R437" s="152" t="s">
        <v>1327</v>
      </c>
      <c r="S437" s="152">
        <v>104.498062</v>
      </c>
      <c r="T437" s="152">
        <v>1.2842469999999999</v>
      </c>
      <c r="U437" s="152">
        <v>2.9435549999999999</v>
      </c>
      <c r="V437" s="152">
        <v>10.475250000000001</v>
      </c>
      <c r="W437" s="152">
        <v>1000</v>
      </c>
      <c r="X437" s="152" t="s">
        <v>23</v>
      </c>
      <c r="Y437" s="152" t="s">
        <v>1328</v>
      </c>
      <c r="Z437" s="152" t="s">
        <v>1327</v>
      </c>
    </row>
    <row r="438" spans="1:26" x14ac:dyDescent="0.2">
      <c r="A438" s="152" t="s">
        <v>1701</v>
      </c>
      <c r="B438" s="152">
        <v>4.3449999999999998</v>
      </c>
      <c r="C438" s="151">
        <v>44705</v>
      </c>
      <c r="D438" s="152">
        <v>3.5808219999999999</v>
      </c>
      <c r="E438" s="152" t="s">
        <v>1325</v>
      </c>
      <c r="F438" s="152" t="s">
        <v>1326</v>
      </c>
      <c r="G438" s="152"/>
      <c r="H438" s="152"/>
      <c r="I438" s="152">
        <v>39220</v>
      </c>
      <c r="J438" s="152">
        <v>4.3449999999999998</v>
      </c>
      <c r="K438" s="151">
        <v>41698</v>
      </c>
      <c r="L438" s="152">
        <v>4.099011</v>
      </c>
      <c r="M438" s="152">
        <v>5.1809620000000001</v>
      </c>
      <c r="N438" s="152">
        <v>4.099011</v>
      </c>
      <c r="O438" s="152">
        <v>2.4053909999999998</v>
      </c>
      <c r="P438" s="152">
        <v>13.076667</v>
      </c>
      <c r="Q438" s="152">
        <v>2.4053909999999998</v>
      </c>
      <c r="R438" s="152" t="s">
        <v>1327</v>
      </c>
      <c r="S438" s="152">
        <v>106.599445</v>
      </c>
      <c r="T438" s="152">
        <v>1.8332329999999999</v>
      </c>
      <c r="U438" s="152">
        <v>3.2694800000000002</v>
      </c>
      <c r="V438" s="152">
        <v>12.903919999999999</v>
      </c>
      <c r="W438" s="152">
        <v>1000</v>
      </c>
      <c r="X438" s="152" t="s">
        <v>23</v>
      </c>
      <c r="Y438" s="152" t="s">
        <v>1328</v>
      </c>
      <c r="Z438" s="152" t="s">
        <v>1327</v>
      </c>
    </row>
    <row r="439" spans="1:26" x14ac:dyDescent="0.2">
      <c r="A439" s="152" t="s">
        <v>1702</v>
      </c>
      <c r="B439" s="152">
        <v>3.91</v>
      </c>
      <c r="C439" s="151">
        <v>44740</v>
      </c>
      <c r="D439" s="152">
        <v>3.6767120000000002</v>
      </c>
      <c r="E439" s="152" t="s">
        <v>1325</v>
      </c>
      <c r="F439" s="152" t="s">
        <v>1326</v>
      </c>
      <c r="G439" s="152"/>
      <c r="H439" s="152"/>
      <c r="I439" s="152" t="s">
        <v>1327</v>
      </c>
      <c r="J439" s="152" t="s">
        <v>1327</v>
      </c>
      <c r="K439" s="151">
        <v>41362</v>
      </c>
      <c r="L439" s="152">
        <v>3.894075</v>
      </c>
      <c r="M439" s="152">
        <v>5.2690890000000001</v>
      </c>
      <c r="N439" s="152">
        <v>3.8869189999999998</v>
      </c>
      <c r="O439" s="152">
        <v>2.4346169999999998</v>
      </c>
      <c r="P439" s="152">
        <v>13.532697000000001</v>
      </c>
      <c r="Q439" s="152">
        <v>2.4346169999999998</v>
      </c>
      <c r="R439" s="152" t="s">
        <v>1327</v>
      </c>
      <c r="S439" s="152">
        <v>105.149013</v>
      </c>
      <c r="T439" s="152">
        <v>1.274767</v>
      </c>
      <c r="U439" s="152">
        <v>3.384125</v>
      </c>
      <c r="V439" s="152">
        <v>13.677511000000001</v>
      </c>
      <c r="W439" s="152">
        <v>1000</v>
      </c>
      <c r="X439" s="152" t="s">
        <v>23</v>
      </c>
      <c r="Y439" s="152" t="s">
        <v>1328</v>
      </c>
      <c r="Z439" s="152" t="s">
        <v>1327</v>
      </c>
    </row>
    <row r="440" spans="1:26" x14ac:dyDescent="0.2">
      <c r="A440" s="152" t="s">
        <v>1703</v>
      </c>
      <c r="B440" s="152">
        <v>3.65</v>
      </c>
      <c r="C440" s="151">
        <v>44757</v>
      </c>
      <c r="D440" s="152">
        <v>3.7232880000000002</v>
      </c>
      <c r="E440" s="152" t="s">
        <v>1325</v>
      </c>
      <c r="F440" s="152" t="s">
        <v>1326</v>
      </c>
      <c r="G440" s="152"/>
      <c r="H440" s="152"/>
      <c r="I440" s="151">
        <v>40375</v>
      </c>
      <c r="J440" s="152">
        <v>3.65</v>
      </c>
      <c r="K440" s="152">
        <v>41362</v>
      </c>
      <c r="L440" s="152">
        <v>4.2740330000000002</v>
      </c>
      <c r="M440" s="152">
        <v>5.272532</v>
      </c>
      <c r="N440" s="152">
        <v>4.2622949999999999</v>
      </c>
      <c r="O440" s="152">
        <v>2.4358339999999998</v>
      </c>
      <c r="P440" s="152">
        <v>12.905199</v>
      </c>
      <c r="Q440" s="152">
        <v>2.4358339999999998</v>
      </c>
      <c r="R440" s="152" t="s">
        <v>1327</v>
      </c>
      <c r="S440" s="152">
        <v>104.280581</v>
      </c>
      <c r="T440" s="152">
        <v>1.02</v>
      </c>
      <c r="U440" s="152">
        <v>3.4470730000000001</v>
      </c>
      <c r="V440" s="152">
        <v>14.109997999999999</v>
      </c>
      <c r="W440" s="152">
        <v>1000</v>
      </c>
      <c r="X440" s="152" t="s">
        <v>23</v>
      </c>
      <c r="Y440" s="152" t="s">
        <v>1328</v>
      </c>
      <c r="Z440" s="152" t="s">
        <v>1327</v>
      </c>
    </row>
    <row r="441" spans="1:26" x14ac:dyDescent="0.2">
      <c r="A441" s="152" t="s">
        <v>1704</v>
      </c>
      <c r="B441" s="152">
        <v>3.71</v>
      </c>
      <c r="C441" s="151">
        <v>44782</v>
      </c>
      <c r="D441" s="152">
        <v>3.7917809999999998</v>
      </c>
      <c r="E441" s="152" t="s">
        <v>1325</v>
      </c>
      <c r="F441" s="152" t="s">
        <v>1326</v>
      </c>
      <c r="G441" s="152"/>
      <c r="H441" s="152"/>
      <c r="I441" s="151">
        <v>41122</v>
      </c>
      <c r="J441" s="152">
        <v>3.71</v>
      </c>
      <c r="K441" s="151">
        <v>41362</v>
      </c>
      <c r="L441" s="152">
        <v>4.3318719999999997</v>
      </c>
      <c r="M441" s="152">
        <v>5.2759739999999997</v>
      </c>
      <c r="N441" s="152">
        <v>4.3191509999999997</v>
      </c>
      <c r="O441" s="152">
        <v>2.4513560000000001</v>
      </c>
      <c r="P441" s="152">
        <v>13.516531000000001</v>
      </c>
      <c r="Q441" s="152">
        <v>2.4513560000000001</v>
      </c>
      <c r="R441" s="152" t="s">
        <v>1327</v>
      </c>
      <c r="S441" s="152">
        <v>104.514548</v>
      </c>
      <c r="T441" s="152">
        <v>0.78265799999999996</v>
      </c>
      <c r="U441" s="152">
        <v>3.5110779999999999</v>
      </c>
      <c r="V441" s="152">
        <v>14.593633000000001</v>
      </c>
      <c r="W441" s="152">
        <v>1000</v>
      </c>
      <c r="X441" s="152" t="s">
        <v>23</v>
      </c>
      <c r="Y441" s="152" t="s">
        <v>1328</v>
      </c>
      <c r="Z441" s="152" t="s">
        <v>1327</v>
      </c>
    </row>
    <row r="442" spans="1:26" x14ac:dyDescent="0.2">
      <c r="A442" s="152" t="s">
        <v>1705</v>
      </c>
      <c r="B442" s="152">
        <v>4.9000000000000004</v>
      </c>
      <c r="C442" s="151">
        <v>44985</v>
      </c>
      <c r="D442" s="152">
        <v>4.3479450000000002</v>
      </c>
      <c r="E442" s="152" t="s">
        <v>1325</v>
      </c>
      <c r="F442" s="152" t="s">
        <v>1326</v>
      </c>
      <c r="G442" s="152"/>
      <c r="H442" s="152"/>
      <c r="I442" s="151">
        <v>41771</v>
      </c>
      <c r="J442" s="152">
        <v>3.94</v>
      </c>
      <c r="K442" s="152">
        <v>41362</v>
      </c>
      <c r="L442" s="152">
        <v>4.1687909999999997</v>
      </c>
      <c r="M442" s="152">
        <v>4.907159</v>
      </c>
      <c r="N442" s="152">
        <v>4.1673010000000001</v>
      </c>
      <c r="O442" s="152">
        <v>2.517541</v>
      </c>
      <c r="P442" s="152">
        <v>15.5038</v>
      </c>
      <c r="Q442" s="152">
        <v>2.517541</v>
      </c>
      <c r="R442" s="152" t="s">
        <v>1327</v>
      </c>
      <c r="S442" s="152">
        <v>109.724791</v>
      </c>
      <c r="T442" s="152">
        <v>0.77863000000000004</v>
      </c>
      <c r="U442" s="152">
        <v>3.9115820000000001</v>
      </c>
      <c r="V442" s="152">
        <v>18.159085000000001</v>
      </c>
      <c r="W442" s="152">
        <v>1000</v>
      </c>
      <c r="X442" s="152" t="s">
        <v>23</v>
      </c>
      <c r="Y442" s="152" t="s">
        <v>1328</v>
      </c>
      <c r="Z442" s="152" t="s">
        <v>1327</v>
      </c>
    </row>
    <row r="443" spans="1:26" x14ac:dyDescent="0.2">
      <c r="A443" s="152" t="s">
        <v>1706</v>
      </c>
      <c r="B443" s="152">
        <v>3.96</v>
      </c>
      <c r="C443" s="151">
        <v>44971</v>
      </c>
      <c r="D443" s="152">
        <v>4.3095889999999999</v>
      </c>
      <c r="E443" s="152" t="s">
        <v>1325</v>
      </c>
      <c r="F443" s="152" t="s">
        <v>1326</v>
      </c>
      <c r="G443" s="152"/>
      <c r="H443" s="152"/>
      <c r="I443" s="151">
        <v>41851</v>
      </c>
      <c r="J443" s="152">
        <v>3.94</v>
      </c>
      <c r="K443" s="151">
        <v>41362</v>
      </c>
      <c r="L443" s="152">
        <v>3.9081260000000002</v>
      </c>
      <c r="M443" s="152">
        <v>5.1071590000000002</v>
      </c>
      <c r="N443" s="152">
        <v>3.9037000000000002</v>
      </c>
      <c r="O443" s="152">
        <v>2.4957590000000001</v>
      </c>
      <c r="P443" s="152">
        <v>13.31</v>
      </c>
      <c r="Q443" s="152">
        <v>2.4957590000000001</v>
      </c>
      <c r="R443" s="152" t="s">
        <v>1327</v>
      </c>
      <c r="S443" s="152">
        <v>105.924922</v>
      </c>
      <c r="T443" s="152">
        <v>0.78115100000000004</v>
      </c>
      <c r="U443" s="152">
        <v>3.9356270000000002</v>
      </c>
      <c r="V443" s="152">
        <v>18.229316000000001</v>
      </c>
      <c r="W443" s="152">
        <v>1000</v>
      </c>
      <c r="X443" s="152" t="s">
        <v>23</v>
      </c>
      <c r="Y443" s="152" t="s">
        <v>1328</v>
      </c>
      <c r="Z443" s="152" t="s">
        <v>1327</v>
      </c>
    </row>
    <row r="444" spans="1:26" x14ac:dyDescent="0.2">
      <c r="A444" s="152" t="s">
        <v>1707</v>
      </c>
      <c r="B444" s="152">
        <v>3.79</v>
      </c>
      <c r="C444" s="151">
        <v>45055</v>
      </c>
      <c r="D444" s="152">
        <v>4.5397259999999999</v>
      </c>
      <c r="E444" s="152" t="s">
        <v>1325</v>
      </c>
      <c r="F444" s="152" t="s">
        <v>1326</v>
      </c>
      <c r="G444" s="152"/>
      <c r="H444" s="152"/>
      <c r="I444" s="152">
        <v>42523</v>
      </c>
      <c r="J444" s="152">
        <v>2.5975000000000001</v>
      </c>
      <c r="K444" s="152" t="s">
        <v>1327</v>
      </c>
      <c r="L444" s="152" t="s">
        <v>1327</v>
      </c>
      <c r="M444" s="152" t="s">
        <v>1327</v>
      </c>
      <c r="N444" s="152" t="s">
        <v>1327</v>
      </c>
      <c r="O444" s="152">
        <v>2.549096</v>
      </c>
      <c r="P444" s="152">
        <v>16.135168</v>
      </c>
      <c r="Q444" s="152">
        <v>2.549096</v>
      </c>
      <c r="R444" s="152" t="s">
        <v>1327</v>
      </c>
      <c r="S444" s="152">
        <v>105.27293400000001</v>
      </c>
      <c r="T444" s="152">
        <v>1.7548220000000001</v>
      </c>
      <c r="U444" s="152">
        <v>4.1038920000000001</v>
      </c>
      <c r="V444" s="152">
        <v>19.923494000000002</v>
      </c>
      <c r="W444" s="152">
        <v>1000</v>
      </c>
      <c r="X444" s="152" t="s">
        <v>23</v>
      </c>
      <c r="Y444" s="152" t="s">
        <v>1328</v>
      </c>
      <c r="Z444" s="152" t="s">
        <v>1327</v>
      </c>
    </row>
    <row r="445" spans="1:26" x14ac:dyDescent="0.2">
      <c r="A445" s="152" t="s">
        <v>1708</v>
      </c>
      <c r="B445" s="152">
        <v>4.05</v>
      </c>
      <c r="C445" s="151">
        <v>45118</v>
      </c>
      <c r="D445" s="152">
        <v>4.7123290000000004</v>
      </c>
      <c r="E445" s="152" t="s">
        <v>1325</v>
      </c>
      <c r="F445" s="152" t="s">
        <v>1326</v>
      </c>
      <c r="G445" s="152"/>
      <c r="H445" s="152"/>
      <c r="I445" s="151" t="s">
        <v>1327</v>
      </c>
      <c r="J445" s="152" t="s">
        <v>1327</v>
      </c>
      <c r="K445" s="152" t="s">
        <v>1327</v>
      </c>
      <c r="L445" s="152" t="s">
        <v>1327</v>
      </c>
      <c r="M445" s="152" t="s">
        <v>1327</v>
      </c>
      <c r="N445" s="152" t="s">
        <v>1327</v>
      </c>
      <c r="O445" s="152">
        <v>2.5723449999999999</v>
      </c>
      <c r="P445" s="152">
        <v>16.784600000000001</v>
      </c>
      <c r="Q445" s="152">
        <v>2.5723449999999999</v>
      </c>
      <c r="R445" s="152" t="s">
        <v>1327</v>
      </c>
      <c r="S445" s="152">
        <v>106.50033999999999</v>
      </c>
      <c r="T445" s="152">
        <v>1.176164</v>
      </c>
      <c r="U445" s="152">
        <v>4.2521100000000001</v>
      </c>
      <c r="V445" s="152">
        <v>21.286397000000001</v>
      </c>
      <c r="W445" s="152">
        <v>1000</v>
      </c>
      <c r="X445" s="152" t="s">
        <v>23</v>
      </c>
      <c r="Y445" s="152" t="s">
        <v>1328</v>
      </c>
      <c r="Z445" s="152" t="s">
        <v>1327</v>
      </c>
    </row>
    <row r="446" spans="1:26" x14ac:dyDescent="0.2">
      <c r="A446" s="152" t="s">
        <v>1709</v>
      </c>
      <c r="B446" s="152">
        <v>3.98</v>
      </c>
      <c r="C446" s="151">
        <v>45156</v>
      </c>
      <c r="D446" s="152">
        <v>4.8164379999999998</v>
      </c>
      <c r="E446" s="152" t="s">
        <v>1325</v>
      </c>
      <c r="F446" s="152" t="s">
        <v>1326</v>
      </c>
      <c r="G446" s="152"/>
      <c r="H446" s="152"/>
      <c r="I446" s="151">
        <v>41711</v>
      </c>
      <c r="J446" s="152">
        <v>4.0599999999999996</v>
      </c>
      <c r="K446" s="152">
        <v>41362</v>
      </c>
      <c r="L446" s="152">
        <v>4.1325240000000001</v>
      </c>
      <c r="M446" s="152">
        <v>5.1488759999999996</v>
      </c>
      <c r="N446" s="152">
        <v>4.1223219999999996</v>
      </c>
      <c r="O446" s="152">
        <v>2.579396</v>
      </c>
      <c r="P446" s="152">
        <v>16.513386000000001</v>
      </c>
      <c r="Q446" s="152">
        <v>2.579396</v>
      </c>
      <c r="R446" s="152" t="s">
        <v>1327</v>
      </c>
      <c r="S446" s="152">
        <v>106.287981</v>
      </c>
      <c r="T446" s="152">
        <v>0.741479</v>
      </c>
      <c r="U446" s="152">
        <v>4.3604029999999998</v>
      </c>
      <c r="V446" s="152">
        <v>22.259063999999999</v>
      </c>
      <c r="W446" s="152">
        <v>1000</v>
      </c>
      <c r="X446" s="152" t="s">
        <v>23</v>
      </c>
      <c r="Y446" s="152" t="s">
        <v>1328</v>
      </c>
      <c r="Z446" s="152" t="s">
        <v>1327</v>
      </c>
    </row>
    <row r="447" spans="1:26" x14ac:dyDescent="0.2">
      <c r="A447" s="152" t="s">
        <v>1710</v>
      </c>
      <c r="B447" s="152">
        <v>3.895</v>
      </c>
      <c r="C447" s="151">
        <v>45184</v>
      </c>
      <c r="D447" s="152">
        <v>4.8931509999999996</v>
      </c>
      <c r="E447" s="152" t="s">
        <v>1325</v>
      </c>
      <c r="F447" s="152" t="s">
        <v>1326</v>
      </c>
      <c r="G447" s="152"/>
      <c r="H447" s="152"/>
      <c r="I447" s="151" t="s">
        <v>1327</v>
      </c>
      <c r="J447" s="152" t="s">
        <v>1327</v>
      </c>
      <c r="K447" s="152">
        <v>41362</v>
      </c>
      <c r="L447" s="152">
        <v>4.1805729999999999</v>
      </c>
      <c r="M447" s="152">
        <v>5.1558289999999998</v>
      </c>
      <c r="N447" s="152">
        <v>4.1677720000000003</v>
      </c>
      <c r="O447" s="152">
        <v>2.5944950000000002</v>
      </c>
      <c r="P447" s="152">
        <v>16.9087</v>
      </c>
      <c r="Q447" s="152">
        <v>2.5944950000000002</v>
      </c>
      <c r="R447" s="152" t="s">
        <v>1327</v>
      </c>
      <c r="S447" s="152">
        <v>105.946141</v>
      </c>
      <c r="T447" s="152">
        <v>0.42684899999999998</v>
      </c>
      <c r="U447" s="152">
        <v>4.4345420000000004</v>
      </c>
      <c r="V447" s="152">
        <v>22.931213</v>
      </c>
      <c r="W447" s="152">
        <v>1000</v>
      </c>
      <c r="X447" s="152" t="s">
        <v>23</v>
      </c>
      <c r="Y447" s="152" t="s">
        <v>1328</v>
      </c>
      <c r="Z447" s="152" t="s">
        <v>1327</v>
      </c>
    </row>
    <row r="448" spans="1:26" x14ac:dyDescent="0.2">
      <c r="A448" s="152" t="s">
        <v>1711</v>
      </c>
      <c r="B448" s="152">
        <v>4.8499999999999996</v>
      </c>
      <c r="C448" s="151">
        <v>45468</v>
      </c>
      <c r="D448" s="152">
        <v>5.671233</v>
      </c>
      <c r="E448" s="152" t="s">
        <v>1325</v>
      </c>
      <c r="F448" s="152" t="s">
        <v>1326</v>
      </c>
      <c r="G448" s="152"/>
      <c r="H448" s="152"/>
      <c r="I448" s="152">
        <v>39983</v>
      </c>
      <c r="J448" s="152">
        <v>4.8499999999999996</v>
      </c>
      <c r="K448" s="152">
        <v>41362</v>
      </c>
      <c r="L448" s="152">
        <v>4.086239</v>
      </c>
      <c r="M448" s="152">
        <v>5.4175000000000004</v>
      </c>
      <c r="N448" s="152">
        <v>4.0377289999999997</v>
      </c>
      <c r="O448" s="152">
        <v>2.6543950000000001</v>
      </c>
      <c r="P448" s="152">
        <v>16.44209</v>
      </c>
      <c r="Q448" s="152">
        <v>2.6543950000000001</v>
      </c>
      <c r="R448" s="152" t="s">
        <v>1327</v>
      </c>
      <c r="S448" s="152">
        <v>111.47145399999999</v>
      </c>
      <c r="T448" s="152">
        <v>1.6210960000000001</v>
      </c>
      <c r="U448" s="152">
        <v>4.9271070000000003</v>
      </c>
      <c r="V448" s="152">
        <v>28.814115000000001</v>
      </c>
      <c r="W448" s="152">
        <v>1000</v>
      </c>
      <c r="X448" s="152" t="s">
        <v>23</v>
      </c>
      <c r="Y448" s="152" t="s">
        <v>1328</v>
      </c>
      <c r="Z448" s="152" t="s">
        <v>1327</v>
      </c>
    </row>
    <row r="449" spans="1:26" x14ac:dyDescent="0.2">
      <c r="A449" s="152" t="s">
        <v>1712</v>
      </c>
      <c r="B449" s="152">
        <v>3.83</v>
      </c>
      <c r="C449" s="151">
        <v>45560</v>
      </c>
      <c r="D449" s="152">
        <v>5.9232880000000003</v>
      </c>
      <c r="E449" s="152" t="s">
        <v>1325</v>
      </c>
      <c r="F449" s="152" t="s">
        <v>1326</v>
      </c>
      <c r="G449" s="152"/>
      <c r="H449" s="152"/>
      <c r="I449" s="151" t="s">
        <v>1327</v>
      </c>
      <c r="J449" s="152" t="s">
        <v>1327</v>
      </c>
      <c r="K449" s="151" t="s">
        <v>1327</v>
      </c>
      <c r="L449" s="152" t="s">
        <v>1327</v>
      </c>
      <c r="M449" s="152" t="s">
        <v>1327</v>
      </c>
      <c r="N449" s="152" t="s">
        <v>1327</v>
      </c>
      <c r="O449" s="152">
        <v>2.6975189999999998</v>
      </c>
      <c r="P449" s="152">
        <v>17.011030000000002</v>
      </c>
      <c r="Q449" s="152">
        <v>2.6975189999999998</v>
      </c>
      <c r="R449" s="152" t="s">
        <v>1327</v>
      </c>
      <c r="S449" s="152">
        <v>106.16601</v>
      </c>
      <c r="T449" s="152">
        <v>0.31479499999999999</v>
      </c>
      <c r="U449" s="152">
        <v>5.2808020000000004</v>
      </c>
      <c r="V449" s="152">
        <v>32.307329000000003</v>
      </c>
      <c r="W449" s="152">
        <v>1000</v>
      </c>
      <c r="X449" s="152" t="s">
        <v>23</v>
      </c>
      <c r="Y449" s="152" t="s">
        <v>1328</v>
      </c>
      <c r="Z449" s="152" t="s">
        <v>1327</v>
      </c>
    </row>
    <row r="450" spans="1:26" x14ac:dyDescent="0.2">
      <c r="A450" s="152" t="s">
        <v>1713</v>
      </c>
      <c r="B450" s="152">
        <v>4.82</v>
      </c>
      <c r="C450" s="151">
        <v>45622</v>
      </c>
      <c r="D450" s="152">
        <v>6.0931509999999998</v>
      </c>
      <c r="E450" s="152" t="s">
        <v>1325</v>
      </c>
      <c r="F450" s="152" t="s">
        <v>1326</v>
      </c>
      <c r="G450" s="152"/>
      <c r="H450" s="152"/>
      <c r="I450" s="151" t="s">
        <v>1327</v>
      </c>
      <c r="J450" s="152" t="s">
        <v>1327</v>
      </c>
      <c r="K450" s="151">
        <v>41362</v>
      </c>
      <c r="L450" s="152">
        <v>4.2398910000000001</v>
      </c>
      <c r="M450" s="152">
        <v>5.45</v>
      </c>
      <c r="N450" s="152">
        <v>4.1966279999999996</v>
      </c>
      <c r="O450" s="152">
        <v>2.7087910000000002</v>
      </c>
      <c r="P450" s="152">
        <v>17.005944</v>
      </c>
      <c r="Q450" s="152">
        <v>2.7087910000000002</v>
      </c>
      <c r="R450" s="152" t="s">
        <v>1327</v>
      </c>
      <c r="S450" s="152">
        <v>111.75323899999999</v>
      </c>
      <c r="T450" s="152">
        <v>2.0072329999999998</v>
      </c>
      <c r="U450" s="152">
        <v>5.2316209999999996</v>
      </c>
      <c r="V450" s="152">
        <v>32.578825000000002</v>
      </c>
      <c r="W450" s="152">
        <v>1000</v>
      </c>
      <c r="X450" s="152" t="s">
        <v>23</v>
      </c>
      <c r="Y450" s="152" t="s">
        <v>1328</v>
      </c>
      <c r="Z450" s="152" t="s">
        <v>1327</v>
      </c>
    </row>
    <row r="451" spans="1:26" x14ac:dyDescent="0.2">
      <c r="A451" s="152" t="s">
        <v>1714</v>
      </c>
      <c r="B451" s="152">
        <v>4.33</v>
      </c>
      <c r="C451" s="151">
        <v>45741</v>
      </c>
      <c r="D451" s="152">
        <v>6.4191779999999996</v>
      </c>
      <c r="E451" s="152" t="s">
        <v>1325</v>
      </c>
      <c r="F451" s="152" t="s">
        <v>1326</v>
      </c>
      <c r="G451" s="152"/>
      <c r="H451" s="152"/>
      <c r="I451" s="152" t="s">
        <v>1327</v>
      </c>
      <c r="J451" s="152" t="s">
        <v>1327</v>
      </c>
      <c r="K451" s="151">
        <v>41362</v>
      </c>
      <c r="L451" s="152">
        <v>4.6113439999999999</v>
      </c>
      <c r="M451" s="152">
        <v>5.6760000000000002</v>
      </c>
      <c r="N451" s="152">
        <v>4.6099889999999997</v>
      </c>
      <c r="O451" s="152">
        <v>2.7464780000000002</v>
      </c>
      <c r="P451" s="152">
        <v>16.561509000000001</v>
      </c>
      <c r="Q451" s="152">
        <v>2.7464780000000002</v>
      </c>
      <c r="R451" s="152" t="s">
        <v>1327</v>
      </c>
      <c r="S451" s="152">
        <v>109.269721</v>
      </c>
      <c r="T451" s="152">
        <v>0.35588999999999998</v>
      </c>
      <c r="U451" s="152">
        <v>5.6116450000000002</v>
      </c>
      <c r="V451" s="152">
        <v>36.727100999999998</v>
      </c>
      <c r="W451" s="152">
        <v>1000</v>
      </c>
      <c r="X451" s="152" t="s">
        <v>23</v>
      </c>
      <c r="Y451" s="152" t="s">
        <v>1328</v>
      </c>
      <c r="Z451" s="152" t="s">
        <v>1327</v>
      </c>
    </row>
    <row r="452" spans="1:26" x14ac:dyDescent="0.2">
      <c r="A452" s="152" t="s">
        <v>1715</v>
      </c>
      <c r="B452" s="152">
        <v>4.3979999999999997</v>
      </c>
      <c r="C452" s="151">
        <v>45828</v>
      </c>
      <c r="D452" s="152">
        <v>6.6575340000000001</v>
      </c>
      <c r="E452" s="152" t="s">
        <v>1325</v>
      </c>
      <c r="F452" s="152" t="s">
        <v>1326</v>
      </c>
      <c r="G452" s="152"/>
      <c r="H452" s="152"/>
      <c r="I452" s="151">
        <v>41438</v>
      </c>
      <c r="J452" s="152">
        <v>4.3973560000000003</v>
      </c>
      <c r="K452" s="152" t="s">
        <v>1327</v>
      </c>
      <c r="L452" s="152" t="s">
        <v>1327</v>
      </c>
      <c r="M452" s="152" t="s">
        <v>1327</v>
      </c>
      <c r="N452" s="152" t="s">
        <v>1327</v>
      </c>
      <c r="O452" s="152">
        <v>2.7790309999999998</v>
      </c>
      <c r="P452" s="152">
        <v>17.281666000000001</v>
      </c>
      <c r="Q452" s="152">
        <v>2.7790309999999998</v>
      </c>
      <c r="R452" s="152" t="s">
        <v>1327</v>
      </c>
      <c r="S452" s="152">
        <v>109.76355700000001</v>
      </c>
      <c r="T452" s="152">
        <v>1.5302629999999999</v>
      </c>
      <c r="U452" s="152">
        <v>5.7259229999999999</v>
      </c>
      <c r="V452" s="152">
        <v>38.678545999999997</v>
      </c>
      <c r="W452" s="152">
        <v>1000</v>
      </c>
      <c r="X452" s="152" t="s">
        <v>23</v>
      </c>
      <c r="Y452" s="152" t="s">
        <v>1328</v>
      </c>
      <c r="Z452" s="152" t="s">
        <v>1327</v>
      </c>
    </row>
    <row r="453" spans="1:26" x14ac:dyDescent="0.2">
      <c r="A453" s="152" t="s">
        <v>1716</v>
      </c>
      <c r="B453" s="152">
        <v>4.18</v>
      </c>
      <c r="C453" s="151">
        <v>46007</v>
      </c>
      <c r="D453" s="152">
        <v>7.147945</v>
      </c>
      <c r="E453" s="152" t="s">
        <v>1325</v>
      </c>
      <c r="F453" s="152" t="s">
        <v>1326</v>
      </c>
      <c r="G453" s="152"/>
      <c r="H453" s="152"/>
      <c r="I453" s="151" t="s">
        <v>1327</v>
      </c>
      <c r="J453" s="152" t="s">
        <v>1327</v>
      </c>
      <c r="K453" s="151">
        <v>41362</v>
      </c>
      <c r="L453" s="152">
        <v>4.5772409999999999</v>
      </c>
      <c r="M453" s="152">
        <v>5.1085000000000003</v>
      </c>
      <c r="N453" s="152">
        <v>4.558243</v>
      </c>
      <c r="O453" s="152">
        <v>2.8276119999999998</v>
      </c>
      <c r="P453" s="152">
        <v>17.059778999999999</v>
      </c>
      <c r="Q453" s="152">
        <v>2.8276119999999998</v>
      </c>
      <c r="R453" s="152" t="s">
        <v>1327</v>
      </c>
      <c r="S453" s="152">
        <v>108.68242100000001</v>
      </c>
      <c r="T453" s="152">
        <v>1.500219</v>
      </c>
      <c r="U453" s="152">
        <v>6.121537</v>
      </c>
      <c r="V453" s="152">
        <v>44.106231999999999</v>
      </c>
      <c r="W453" s="152">
        <v>1000</v>
      </c>
      <c r="X453" s="152" t="s">
        <v>23</v>
      </c>
      <c r="Y453" s="152" t="s">
        <v>1328</v>
      </c>
      <c r="Z453" s="152" t="s">
        <v>1327</v>
      </c>
    </row>
    <row r="454" spans="1:26" x14ac:dyDescent="0.2">
      <c r="A454" s="152" t="s">
        <v>1717</v>
      </c>
      <c r="B454" s="152">
        <v>4.12</v>
      </c>
      <c r="C454" s="151">
        <v>46140</v>
      </c>
      <c r="D454" s="152">
        <v>7.5123290000000003</v>
      </c>
      <c r="E454" s="152" t="s">
        <v>1325</v>
      </c>
      <c r="F454" s="152" t="s">
        <v>1326</v>
      </c>
      <c r="G454" s="152"/>
      <c r="H454" s="152"/>
      <c r="I454" s="151">
        <v>40654</v>
      </c>
      <c r="J454" s="152">
        <v>4.12</v>
      </c>
      <c r="K454" s="152">
        <v>41362</v>
      </c>
      <c r="L454" s="152">
        <v>4.5358200000000002</v>
      </c>
      <c r="M454" s="152">
        <v>5.4604999999999997</v>
      </c>
      <c r="N454" s="152">
        <v>4.5243510000000002</v>
      </c>
      <c r="O454" s="152">
        <v>2.8575339999999998</v>
      </c>
      <c r="P454" s="152">
        <v>17.216367000000002</v>
      </c>
      <c r="Q454" s="152">
        <v>2.8575339999999998</v>
      </c>
      <c r="R454" s="152" t="s">
        <v>1327</v>
      </c>
      <c r="S454" s="152">
        <v>108.477086</v>
      </c>
      <c r="T454" s="152">
        <v>-3.3862999999999997E-2</v>
      </c>
      <c r="U454" s="152">
        <v>6.4900190000000002</v>
      </c>
      <c r="V454" s="152">
        <v>48.907800000000002</v>
      </c>
      <c r="W454" s="152">
        <v>1000</v>
      </c>
      <c r="X454" s="152" t="s">
        <v>23</v>
      </c>
      <c r="Y454" s="152" t="s">
        <v>1328</v>
      </c>
      <c r="Z454" s="152" t="s">
        <v>1327</v>
      </c>
    </row>
    <row r="455" spans="1:26" x14ac:dyDescent="0.2">
      <c r="A455" s="152" t="s">
        <v>1718</v>
      </c>
      <c r="B455" s="152">
        <v>4.2</v>
      </c>
      <c r="C455" s="151">
        <v>46196</v>
      </c>
      <c r="D455" s="152">
        <v>7.6657529999999996</v>
      </c>
      <c r="E455" s="152" t="s">
        <v>1325</v>
      </c>
      <c r="F455" s="152" t="s">
        <v>1326</v>
      </c>
      <c r="G455" s="152"/>
      <c r="H455" s="152"/>
      <c r="I455" s="152" t="s">
        <v>1327</v>
      </c>
      <c r="J455" s="152" t="s">
        <v>1327</v>
      </c>
      <c r="K455" s="151">
        <v>41362</v>
      </c>
      <c r="L455" s="152">
        <v>4.543463</v>
      </c>
      <c r="M455" s="152">
        <v>5.7735000000000003</v>
      </c>
      <c r="N455" s="152">
        <v>4.5334560000000002</v>
      </c>
      <c r="O455" s="152">
        <v>2.8635320000000002</v>
      </c>
      <c r="P455" s="152">
        <v>16.820477</v>
      </c>
      <c r="Q455" s="152">
        <v>2.8635320000000002</v>
      </c>
      <c r="R455" s="152" t="s">
        <v>1327</v>
      </c>
      <c r="S455" s="152">
        <v>109.126752</v>
      </c>
      <c r="T455" s="152">
        <v>1.426849</v>
      </c>
      <c r="U455" s="152">
        <v>6.5054259999999999</v>
      </c>
      <c r="V455" s="152">
        <v>49.863162000000003</v>
      </c>
      <c r="W455" s="152">
        <v>1000</v>
      </c>
      <c r="X455" s="152" t="s">
        <v>23</v>
      </c>
      <c r="Y455" s="152" t="s">
        <v>1328</v>
      </c>
      <c r="Z455" s="152" t="s">
        <v>1327</v>
      </c>
    </row>
    <row r="456" spans="1:26" x14ac:dyDescent="0.2">
      <c r="A456" s="152" t="s">
        <v>1719</v>
      </c>
      <c r="B456" s="152">
        <v>4.03</v>
      </c>
      <c r="C456" s="151">
        <v>46513</v>
      </c>
      <c r="D456" s="152">
        <v>8.5342470000000006</v>
      </c>
      <c r="E456" s="152" t="s">
        <v>1325</v>
      </c>
      <c r="F456" s="152" t="s">
        <v>1326</v>
      </c>
      <c r="G456" s="152"/>
      <c r="H456" s="152"/>
      <c r="I456" s="152" t="s">
        <v>1327</v>
      </c>
      <c r="J456" s="152" t="s">
        <v>1327</v>
      </c>
      <c r="K456" s="151">
        <v>41016</v>
      </c>
      <c r="L456" s="152">
        <v>4.6431230000000001</v>
      </c>
      <c r="M456" s="152">
        <v>4.6431230000000001</v>
      </c>
      <c r="N456" s="152">
        <v>0</v>
      </c>
      <c r="O456" s="152">
        <v>3.0020349999999998</v>
      </c>
      <c r="P456" s="152">
        <v>23.026313999999999</v>
      </c>
      <c r="Q456" s="152">
        <v>3.0020349999999998</v>
      </c>
      <c r="R456" s="152" t="s">
        <v>1327</v>
      </c>
      <c r="S456" s="152">
        <v>107.688682</v>
      </c>
      <c r="T456" s="152">
        <v>-0.132493</v>
      </c>
      <c r="U456" s="152">
        <v>7.2581530000000001</v>
      </c>
      <c r="V456" s="152">
        <v>61.284922999999999</v>
      </c>
      <c r="W456" s="152">
        <v>1000</v>
      </c>
      <c r="X456" s="152" t="s">
        <v>23</v>
      </c>
      <c r="Y456" s="152" t="s">
        <v>1328</v>
      </c>
      <c r="Z456" s="152" t="s">
        <v>1327</v>
      </c>
    </row>
    <row r="457" spans="1:26" x14ac:dyDescent="0.2">
      <c r="A457" s="152" t="s">
        <v>1720</v>
      </c>
      <c r="B457" s="152">
        <v>3.19</v>
      </c>
      <c r="C457" s="151">
        <v>46532</v>
      </c>
      <c r="D457" s="152">
        <v>8.5863010000000006</v>
      </c>
      <c r="E457" s="152" t="s">
        <v>1325</v>
      </c>
      <c r="F457" s="152" t="s">
        <v>1326</v>
      </c>
      <c r="G457" s="152"/>
      <c r="H457" s="152"/>
      <c r="I457" s="151" t="s">
        <v>1327</v>
      </c>
      <c r="J457" s="152" t="s">
        <v>1327</v>
      </c>
      <c r="K457" s="151" t="s">
        <v>1327</v>
      </c>
      <c r="L457" s="152" t="s">
        <v>1327</v>
      </c>
      <c r="M457" s="152" t="s">
        <v>1327</v>
      </c>
      <c r="N457" s="152" t="s">
        <v>1327</v>
      </c>
      <c r="O457" s="152">
        <v>3.0136120000000002</v>
      </c>
      <c r="P457" s="152">
        <v>22.755942000000001</v>
      </c>
      <c r="Q457" s="152">
        <v>3.0136120000000002</v>
      </c>
      <c r="R457" s="152" t="s">
        <v>1327</v>
      </c>
      <c r="S457" s="152">
        <v>101.310726</v>
      </c>
      <c r="T457" s="152">
        <v>1.337178</v>
      </c>
      <c r="U457" s="152">
        <v>7.3769470000000004</v>
      </c>
      <c r="V457" s="152">
        <v>63.227156000000001</v>
      </c>
      <c r="W457" s="152">
        <v>1000</v>
      </c>
      <c r="X457" s="152" t="s">
        <v>23</v>
      </c>
      <c r="Y457" s="152" t="s">
        <v>1328</v>
      </c>
      <c r="Z457" s="152" t="s">
        <v>1327</v>
      </c>
    </row>
    <row r="458" spans="1:26" x14ac:dyDescent="0.2">
      <c r="A458" s="152" t="s">
        <v>1721</v>
      </c>
      <c r="B458" s="152">
        <v>4.17</v>
      </c>
      <c r="C458" s="151">
        <v>46545</v>
      </c>
      <c r="D458" s="152">
        <v>8.6219180000000009</v>
      </c>
      <c r="E458" s="152" t="s">
        <v>1325</v>
      </c>
      <c r="F458" s="152" t="s">
        <v>1326</v>
      </c>
      <c r="G458" s="152"/>
      <c r="H458" s="152"/>
      <c r="I458" s="151" t="s">
        <v>1327</v>
      </c>
      <c r="J458" s="152" t="s">
        <v>1327</v>
      </c>
      <c r="K458" s="152" t="s">
        <v>1327</v>
      </c>
      <c r="L458" s="152" t="s">
        <v>1327</v>
      </c>
      <c r="M458" s="152" t="s">
        <v>1327</v>
      </c>
      <c r="N458" s="152" t="s">
        <v>1327</v>
      </c>
      <c r="O458" s="152">
        <v>3.0086729999999999</v>
      </c>
      <c r="P458" s="152">
        <v>22.953156</v>
      </c>
      <c r="Q458" s="152">
        <v>3.0086729999999999</v>
      </c>
      <c r="R458" s="152" t="s">
        <v>1327</v>
      </c>
      <c r="S458" s="152">
        <v>108.74978</v>
      </c>
      <c r="T458" s="152">
        <v>1.5994520000000001</v>
      </c>
      <c r="U458" s="152">
        <v>7.177257</v>
      </c>
      <c r="V458" s="152">
        <v>61.029795999999997</v>
      </c>
      <c r="W458" s="152">
        <v>1000</v>
      </c>
      <c r="X458" s="152" t="s">
        <v>23</v>
      </c>
      <c r="Y458" s="152" t="s">
        <v>1328</v>
      </c>
      <c r="Z458" s="152" t="s">
        <v>1327</v>
      </c>
    </row>
    <row r="459" spans="1:26" x14ac:dyDescent="0.2">
      <c r="A459" s="152" t="s">
        <v>1722</v>
      </c>
      <c r="B459" s="152">
        <v>3.4</v>
      </c>
      <c r="C459" s="151">
        <v>46647</v>
      </c>
      <c r="D459" s="152">
        <v>8.90137</v>
      </c>
      <c r="E459" s="152" t="s">
        <v>1325</v>
      </c>
      <c r="F459" s="152" t="s">
        <v>1326</v>
      </c>
      <c r="G459" s="152"/>
      <c r="H459" s="152"/>
      <c r="I459" s="151" t="s">
        <v>1327</v>
      </c>
      <c r="J459" s="152" t="s">
        <v>1327</v>
      </c>
      <c r="K459" s="151" t="s">
        <v>1327</v>
      </c>
      <c r="L459" s="152" t="s">
        <v>1327</v>
      </c>
      <c r="M459" s="152" t="s">
        <v>1327</v>
      </c>
      <c r="N459" s="152" t="s">
        <v>1327</v>
      </c>
      <c r="O459" s="152">
        <v>3.0400969999999998</v>
      </c>
      <c r="P459" s="152">
        <v>22.988629</v>
      </c>
      <c r="Q459" s="152">
        <v>3.0400969999999998</v>
      </c>
      <c r="R459" s="152" t="s">
        <v>1327</v>
      </c>
      <c r="S459" s="152">
        <v>102.797528</v>
      </c>
      <c r="T459" s="152">
        <v>0.35397299999999998</v>
      </c>
      <c r="U459" s="152">
        <v>7.6240759999999996</v>
      </c>
      <c r="V459" s="152">
        <v>67.253290000000007</v>
      </c>
      <c r="W459" s="152">
        <v>1000</v>
      </c>
      <c r="X459" s="152" t="s">
        <v>23</v>
      </c>
      <c r="Y459" s="152" t="s">
        <v>1328</v>
      </c>
      <c r="Z459" s="152" t="s">
        <v>1327</v>
      </c>
    </row>
    <row r="460" spans="1:26" x14ac:dyDescent="0.2">
      <c r="A460" s="152" t="s">
        <v>1723</v>
      </c>
      <c r="B460" s="152">
        <v>3.17</v>
      </c>
      <c r="C460" s="151">
        <v>46939</v>
      </c>
      <c r="D460" s="152">
        <v>9.7013700000000007</v>
      </c>
      <c r="E460" s="152" t="s">
        <v>1325</v>
      </c>
      <c r="F460" s="152" t="s">
        <v>1326</v>
      </c>
      <c r="G460" s="152"/>
      <c r="H460" s="152"/>
      <c r="I460" s="151">
        <v>43320</v>
      </c>
      <c r="J460" s="152">
        <v>3.0990000000000002</v>
      </c>
      <c r="K460" s="151" t="s">
        <v>1327</v>
      </c>
      <c r="L460" s="152" t="s">
        <v>1327</v>
      </c>
      <c r="M460" s="152" t="s">
        <v>1327</v>
      </c>
      <c r="N460" s="152" t="s">
        <v>1327</v>
      </c>
      <c r="O460" s="152">
        <v>3.1957339999999999</v>
      </c>
      <c r="P460" s="152">
        <v>40.334766000000002</v>
      </c>
      <c r="Q460" s="152">
        <v>3.1957339999999999</v>
      </c>
      <c r="R460" s="152" t="s">
        <v>1327</v>
      </c>
      <c r="S460" s="152">
        <v>99.770833999999994</v>
      </c>
      <c r="T460" s="152">
        <v>0.97271200000000002</v>
      </c>
      <c r="U460" s="152">
        <v>8.2119710000000001</v>
      </c>
      <c r="V460" s="152">
        <v>78.442134999999993</v>
      </c>
      <c r="W460" s="152">
        <v>1000</v>
      </c>
      <c r="X460" s="152" t="s">
        <v>23</v>
      </c>
      <c r="Y460" s="152" t="s">
        <v>1328</v>
      </c>
      <c r="Z460" s="152" t="s">
        <v>1327</v>
      </c>
    </row>
    <row r="461" spans="1:26" x14ac:dyDescent="0.2">
      <c r="A461" s="152" t="s">
        <v>1724</v>
      </c>
      <c r="B461" s="152">
        <v>4.49</v>
      </c>
      <c r="C461" s="151">
        <v>47029</v>
      </c>
      <c r="D461" s="152">
        <v>9.9479450000000007</v>
      </c>
      <c r="E461" s="152" t="s">
        <v>1325</v>
      </c>
      <c r="F461" s="152" t="s">
        <v>1326</v>
      </c>
      <c r="G461" s="152"/>
      <c r="H461" s="152"/>
      <c r="I461" s="151" t="s">
        <v>1327</v>
      </c>
      <c r="J461" s="152" t="s">
        <v>1327</v>
      </c>
      <c r="K461" s="151" t="s">
        <v>1327</v>
      </c>
      <c r="L461" s="152" t="s">
        <v>1327</v>
      </c>
      <c r="M461" s="152" t="s">
        <v>1327</v>
      </c>
      <c r="N461" s="152" t="s">
        <v>1327</v>
      </c>
      <c r="O461" s="152">
        <v>3.0792320000000002</v>
      </c>
      <c r="P461" s="152">
        <v>28.732282000000001</v>
      </c>
      <c r="Q461" s="152">
        <v>3.0792320000000002</v>
      </c>
      <c r="R461" s="152" t="s">
        <v>1327</v>
      </c>
      <c r="S461" s="152">
        <v>112.00398199999999</v>
      </c>
      <c r="T461" s="152">
        <v>0.27062999999999998</v>
      </c>
      <c r="U461" s="152">
        <v>8.0993910000000007</v>
      </c>
      <c r="V461" s="152">
        <v>77.806864000000004</v>
      </c>
      <c r="W461" s="152">
        <v>1000</v>
      </c>
      <c r="X461" s="152" t="s">
        <v>23</v>
      </c>
      <c r="Y461" s="152" t="s">
        <v>1328</v>
      </c>
      <c r="Z461" s="152" t="s">
        <v>1327</v>
      </c>
    </row>
    <row r="462" spans="1:26" x14ac:dyDescent="0.2">
      <c r="A462" s="152" t="s">
        <v>1725</v>
      </c>
      <c r="B462" s="152">
        <v>4.09</v>
      </c>
      <c r="C462" s="151">
        <v>47386</v>
      </c>
      <c r="D462" s="152">
        <v>10.926026999999999</v>
      </c>
      <c r="E462" s="152" t="s">
        <v>1325</v>
      </c>
      <c r="F462" s="152" t="s">
        <v>1326</v>
      </c>
      <c r="G462" s="152"/>
      <c r="H462" s="152"/>
      <c r="I462" s="152">
        <v>42026</v>
      </c>
      <c r="J462" s="152">
        <v>3.46</v>
      </c>
      <c r="K462" s="151" t="s">
        <v>1327</v>
      </c>
      <c r="L462" s="152" t="s">
        <v>1327</v>
      </c>
      <c r="M462" s="152" t="s">
        <v>1327</v>
      </c>
      <c r="N462" s="152" t="s">
        <v>1327</v>
      </c>
      <c r="O462" s="152">
        <v>3.2609439999999998</v>
      </c>
      <c r="P462" s="152">
        <v>20.563517999999998</v>
      </c>
      <c r="Q462" s="152">
        <v>3.2609439999999998</v>
      </c>
      <c r="R462" s="152" t="s">
        <v>1327</v>
      </c>
      <c r="S462" s="152">
        <v>107.57641700000001</v>
      </c>
      <c r="T462" s="152">
        <v>0.33616400000000002</v>
      </c>
      <c r="U462" s="152">
        <v>8.8244849999999992</v>
      </c>
      <c r="V462" s="152">
        <v>92.426883000000004</v>
      </c>
      <c r="W462" s="152">
        <v>1000</v>
      </c>
      <c r="X462" s="152" t="s">
        <v>23</v>
      </c>
      <c r="Y462" s="152" t="s">
        <v>1328</v>
      </c>
      <c r="Z462" s="152" t="s">
        <v>1327</v>
      </c>
    </row>
    <row r="463" spans="1:26" x14ac:dyDescent="0.2">
      <c r="A463" s="152" t="s">
        <v>1726</v>
      </c>
      <c r="B463" s="152">
        <v>3.48</v>
      </c>
      <c r="C463" s="151">
        <v>47552</v>
      </c>
      <c r="D463" s="152">
        <v>11.380822</v>
      </c>
      <c r="E463" s="152" t="s">
        <v>1325</v>
      </c>
      <c r="F463" s="152" t="s">
        <v>1326</v>
      </c>
      <c r="G463" s="152"/>
      <c r="H463" s="152"/>
      <c r="I463" s="151" t="s">
        <v>1327</v>
      </c>
      <c r="J463" s="152" t="s">
        <v>1327</v>
      </c>
      <c r="K463" s="151" t="s">
        <v>1327</v>
      </c>
      <c r="L463" s="152" t="s">
        <v>1327</v>
      </c>
      <c r="M463" s="152" t="s">
        <v>1327</v>
      </c>
      <c r="N463" s="152" t="s">
        <v>1327</v>
      </c>
      <c r="O463" s="152">
        <v>3.338158</v>
      </c>
      <c r="P463" s="152">
        <v>20.780905000000001</v>
      </c>
      <c r="Q463" s="152">
        <v>3.338158</v>
      </c>
      <c r="R463" s="152" t="s">
        <v>1327</v>
      </c>
      <c r="S463" s="152">
        <v>101.344696</v>
      </c>
      <c r="T463" s="152">
        <v>0.42904100000000001</v>
      </c>
      <c r="U463" s="152">
        <v>9.3075639999999993</v>
      </c>
      <c r="V463" s="152">
        <v>101.95344900000001</v>
      </c>
      <c r="W463" s="152">
        <v>1000</v>
      </c>
      <c r="X463" s="152" t="s">
        <v>23</v>
      </c>
      <c r="Y463" s="152" t="s">
        <v>1328</v>
      </c>
      <c r="Z463" s="152" t="s">
        <v>1327</v>
      </c>
    </row>
    <row r="464" spans="1:26" x14ac:dyDescent="0.2">
      <c r="A464" s="152" t="s">
        <v>1727</v>
      </c>
      <c r="B464" s="152">
        <v>2.4</v>
      </c>
      <c r="C464" s="151">
        <v>47967</v>
      </c>
      <c r="D464" s="152">
        <v>12.517808</v>
      </c>
      <c r="E464" s="152" t="s">
        <v>1325</v>
      </c>
      <c r="F464" s="152" t="s">
        <v>1326</v>
      </c>
      <c r="G464" s="152"/>
      <c r="H464" s="152"/>
      <c r="I464" s="151">
        <v>42488</v>
      </c>
      <c r="J464" s="152">
        <v>2.3997389999999998</v>
      </c>
      <c r="K464" s="151" t="s">
        <v>1327</v>
      </c>
      <c r="L464" s="152" t="s">
        <v>1327</v>
      </c>
      <c r="M464" s="152" t="s">
        <v>1327</v>
      </c>
      <c r="N464" s="152" t="s">
        <v>1327</v>
      </c>
      <c r="O464" s="152">
        <v>3.4192450000000001</v>
      </c>
      <c r="P464" s="152">
        <v>24.078202000000001</v>
      </c>
      <c r="Q464" s="152">
        <v>3.4192450000000001</v>
      </c>
      <c r="R464" s="152" t="s">
        <v>1327</v>
      </c>
      <c r="S464" s="152">
        <v>89.695711000000003</v>
      </c>
      <c r="T464" s="152">
        <v>-2.6301000000000001E-2</v>
      </c>
      <c r="U464" s="152">
        <v>10.589332000000001</v>
      </c>
      <c r="V464" s="152">
        <v>128.61218</v>
      </c>
      <c r="W464" s="152">
        <v>1000</v>
      </c>
      <c r="X464" s="152" t="s">
        <v>23</v>
      </c>
      <c r="Y464" s="152" t="s">
        <v>1328</v>
      </c>
      <c r="Z464" s="152" t="s">
        <v>1327</v>
      </c>
    </row>
    <row r="465" spans="1:26" x14ac:dyDescent="0.2">
      <c r="A465" s="152" t="s">
        <v>1728</v>
      </c>
      <c r="B465" s="152">
        <v>3.72</v>
      </c>
      <c r="C465" s="151">
        <v>49444</v>
      </c>
      <c r="D465" s="152">
        <v>16.564384</v>
      </c>
      <c r="E465" s="152" t="s">
        <v>1325</v>
      </c>
      <c r="F465" s="152" t="s">
        <v>1326</v>
      </c>
      <c r="G465" s="152"/>
      <c r="H465" s="152"/>
      <c r="I465" s="152" t="s">
        <v>1327</v>
      </c>
      <c r="J465" s="152" t="s">
        <v>1327</v>
      </c>
      <c r="K465" s="151" t="s">
        <v>1327</v>
      </c>
      <c r="L465" s="152" t="s">
        <v>1327</v>
      </c>
      <c r="M465" s="152" t="s">
        <v>1327</v>
      </c>
      <c r="N465" s="152" t="s">
        <v>1327</v>
      </c>
      <c r="O465" s="152">
        <v>3.557976</v>
      </c>
      <c r="P465" s="152">
        <v>24.570402999999999</v>
      </c>
      <c r="Q465" s="152">
        <v>3.557976</v>
      </c>
      <c r="R465" s="152" t="s">
        <v>1327</v>
      </c>
      <c r="S465" s="152">
        <v>101.997196</v>
      </c>
      <c r="T465" s="152">
        <v>1.66126</v>
      </c>
      <c r="U465" s="152">
        <v>12.140480999999999</v>
      </c>
      <c r="V465" s="152">
        <v>183.73786100000001</v>
      </c>
      <c r="W465" s="152">
        <v>1000</v>
      </c>
      <c r="X465" s="152" t="s">
        <v>23</v>
      </c>
      <c r="Y465" s="152" t="s">
        <v>1328</v>
      </c>
      <c r="Z465" s="152" t="s">
        <v>1327</v>
      </c>
    </row>
    <row r="466" spans="1:26" x14ac:dyDescent="0.2">
      <c r="A466" s="152" t="s">
        <v>1729</v>
      </c>
      <c r="B466" s="152">
        <v>3.84</v>
      </c>
      <c r="C466" s="151">
        <v>51373</v>
      </c>
      <c r="D466" s="152">
        <v>21.849315000000001</v>
      </c>
      <c r="E466" s="152" t="s">
        <v>1325</v>
      </c>
      <c r="F466" s="152" t="s">
        <v>1326</v>
      </c>
      <c r="G466" s="152"/>
      <c r="H466" s="152"/>
      <c r="I466" s="151" t="s">
        <v>1327</v>
      </c>
      <c r="J466" s="152" t="s">
        <v>1327</v>
      </c>
      <c r="K466" s="151" t="s">
        <v>1327</v>
      </c>
      <c r="L466" s="152" t="s">
        <v>1327</v>
      </c>
      <c r="M466" s="152" t="s">
        <v>1327</v>
      </c>
      <c r="N466" s="152" t="s">
        <v>1327</v>
      </c>
      <c r="O466" s="152">
        <v>3.6456650000000002</v>
      </c>
      <c r="P466" s="152">
        <v>24.519852</v>
      </c>
      <c r="Q466" s="152">
        <v>3.6456650000000002</v>
      </c>
      <c r="R466" s="152" t="s">
        <v>1327</v>
      </c>
      <c r="S466" s="152">
        <v>102.889157</v>
      </c>
      <c r="T466" s="152">
        <v>0.64175300000000002</v>
      </c>
      <c r="U466" s="152">
        <v>14.727183999999999</v>
      </c>
      <c r="V466" s="152">
        <v>280.57056599999999</v>
      </c>
      <c r="W466" s="152">
        <v>1000</v>
      </c>
      <c r="X466" s="152" t="s">
        <v>23</v>
      </c>
      <c r="Y466" s="152" t="s">
        <v>1328</v>
      </c>
      <c r="Z466" s="152" t="s">
        <v>1327</v>
      </c>
    </row>
    <row r="467" spans="1:26" x14ac:dyDescent="0.2">
      <c r="A467" s="152" t="s">
        <v>1730</v>
      </c>
      <c r="B467" s="152">
        <v>1.75</v>
      </c>
      <c r="C467" s="151">
        <v>44272</v>
      </c>
      <c r="D467" s="152">
        <v>2.3945210000000001</v>
      </c>
      <c r="E467" s="152" t="s">
        <v>1325</v>
      </c>
      <c r="F467" s="152" t="s">
        <v>1326</v>
      </c>
      <c r="G467" s="152"/>
      <c r="H467" s="152"/>
      <c r="I467" s="151" t="s">
        <v>1327</v>
      </c>
      <c r="J467" s="152" t="s">
        <v>1327</v>
      </c>
      <c r="K467" s="151" t="s">
        <v>1327</v>
      </c>
      <c r="L467" s="152" t="s">
        <v>1327</v>
      </c>
      <c r="M467" s="152" t="s">
        <v>1327</v>
      </c>
      <c r="N467" s="152" t="s">
        <v>1327</v>
      </c>
      <c r="O467" s="152">
        <v>2.052915</v>
      </c>
      <c r="P467" s="152">
        <v>5.6485E-2</v>
      </c>
      <c r="Q467" s="152">
        <v>2.052915</v>
      </c>
      <c r="R467" s="152" t="s">
        <v>1327</v>
      </c>
      <c r="S467" s="152">
        <v>99.302943999999997</v>
      </c>
      <c r="T467" s="152">
        <v>0.18219199999999999</v>
      </c>
      <c r="U467" s="152">
        <v>2.3247330000000002</v>
      </c>
      <c r="V467" s="152">
        <v>6.6167990000000003</v>
      </c>
      <c r="W467" s="152">
        <v>1000</v>
      </c>
      <c r="X467" s="152" t="s">
        <v>23</v>
      </c>
      <c r="Y467" s="152" t="s">
        <v>1328</v>
      </c>
      <c r="Z467" s="152" t="s">
        <v>1327</v>
      </c>
    </row>
    <row r="468" spans="1:26" x14ac:dyDescent="0.2">
      <c r="A468" s="152" t="s">
        <v>1731</v>
      </c>
      <c r="B468" s="152">
        <v>3.4350000000000001</v>
      </c>
      <c r="C468" s="151">
        <v>44850</v>
      </c>
      <c r="D468" s="152">
        <v>3.9780820000000001</v>
      </c>
      <c r="E468" s="152" t="s">
        <v>1325</v>
      </c>
      <c r="F468" s="152" t="s">
        <v>1326</v>
      </c>
      <c r="G468" s="152"/>
      <c r="H468" s="152"/>
      <c r="I468" s="151">
        <v>41922</v>
      </c>
      <c r="J468" s="152">
        <v>3.4356719999999998</v>
      </c>
      <c r="K468" s="151" t="s">
        <v>1327</v>
      </c>
      <c r="L468" s="152" t="s">
        <v>1327</v>
      </c>
      <c r="M468" s="152" t="s">
        <v>1327</v>
      </c>
      <c r="N468" s="152" t="s">
        <v>1327</v>
      </c>
      <c r="O468" s="152">
        <v>2.489811</v>
      </c>
      <c r="P468" s="152">
        <v>15.171639000000001</v>
      </c>
      <c r="Q468" s="152">
        <v>2.489811</v>
      </c>
      <c r="R468" s="152" t="s">
        <v>1327</v>
      </c>
      <c r="S468" s="152">
        <v>103.559482</v>
      </c>
      <c r="T468" s="152">
        <v>8.4698999999999997E-2</v>
      </c>
      <c r="U468" s="152">
        <v>3.7041219999999999</v>
      </c>
      <c r="V468" s="152">
        <v>16.050671999999999</v>
      </c>
      <c r="W468" s="152">
        <v>1000</v>
      </c>
      <c r="X468" s="152" t="s">
        <v>23</v>
      </c>
      <c r="Y468" s="152" t="s">
        <v>1328</v>
      </c>
      <c r="Z468" s="152" t="s">
        <v>1327</v>
      </c>
    </row>
    <row r="469" spans="1:26" x14ac:dyDescent="0.2">
      <c r="A469" s="152" t="s">
        <v>1732</v>
      </c>
      <c r="B469" s="152">
        <v>2.99</v>
      </c>
      <c r="C469" s="151">
        <v>45074</v>
      </c>
      <c r="D469" s="152">
        <v>4.5917810000000001</v>
      </c>
      <c r="E469" s="152" t="s">
        <v>1325</v>
      </c>
      <c r="F469" s="152" t="s">
        <v>1326</v>
      </c>
      <c r="G469" s="152"/>
      <c r="H469" s="152"/>
      <c r="I469" s="151">
        <v>42947</v>
      </c>
      <c r="J469" s="152">
        <v>2.2999999999999998</v>
      </c>
      <c r="K469" s="151" t="s">
        <v>1327</v>
      </c>
      <c r="L469" s="152" t="s">
        <v>1327</v>
      </c>
      <c r="M469" s="152" t="s">
        <v>1327</v>
      </c>
      <c r="N469" s="152" t="s">
        <v>1327</v>
      </c>
      <c r="O469" s="152">
        <v>2.594646</v>
      </c>
      <c r="P469" s="152">
        <v>19.762736</v>
      </c>
      <c r="Q469" s="152">
        <v>2.594646</v>
      </c>
      <c r="R469" s="152" t="s">
        <v>1327</v>
      </c>
      <c r="S469" s="152">
        <v>101.68776699999999</v>
      </c>
      <c r="T469" s="152">
        <v>1.2287669999999999</v>
      </c>
      <c r="U469" s="152">
        <v>4.2231930000000002</v>
      </c>
      <c r="V469" s="152">
        <v>20.805344999999999</v>
      </c>
      <c r="W469" s="152">
        <v>1000</v>
      </c>
      <c r="X469" s="152" t="s">
        <v>23</v>
      </c>
      <c r="Y469" s="152" t="s">
        <v>1328</v>
      </c>
      <c r="Z469" s="152" t="s">
        <v>1327</v>
      </c>
    </row>
    <row r="470" spans="1:26" x14ac:dyDescent="0.2">
      <c r="A470" s="152" t="s">
        <v>1733</v>
      </c>
      <c r="B470" s="152">
        <v>3.14</v>
      </c>
      <c r="C470" s="151">
        <v>45193</v>
      </c>
      <c r="D470" s="152">
        <v>4.917808</v>
      </c>
      <c r="E470" s="152" t="s">
        <v>1325</v>
      </c>
      <c r="F470" s="152" t="s">
        <v>1326</v>
      </c>
      <c r="G470" s="152"/>
      <c r="H470" s="152"/>
      <c r="I470" s="151">
        <v>42269</v>
      </c>
      <c r="J470" s="152">
        <v>3.14</v>
      </c>
      <c r="K470" s="152" t="s">
        <v>1327</v>
      </c>
      <c r="L470" s="152" t="s">
        <v>1327</v>
      </c>
      <c r="M470" s="152" t="s">
        <v>1327</v>
      </c>
      <c r="N470" s="152" t="s">
        <v>1327</v>
      </c>
      <c r="O470" s="152">
        <v>2.6712509999999998</v>
      </c>
      <c r="P470" s="152">
        <v>24.078488</v>
      </c>
      <c r="Q470" s="152">
        <v>2.6712509999999998</v>
      </c>
      <c r="R470" s="152" t="s">
        <v>1327</v>
      </c>
      <c r="S470" s="152">
        <v>102.155417</v>
      </c>
      <c r="T470" s="152">
        <v>0.26668500000000001</v>
      </c>
      <c r="U470" s="152">
        <v>4.5211360000000003</v>
      </c>
      <c r="V470" s="152">
        <v>23.591975999999999</v>
      </c>
      <c r="W470" s="152">
        <v>1000</v>
      </c>
      <c r="X470" s="152" t="s">
        <v>23</v>
      </c>
      <c r="Y470" s="152" t="s">
        <v>1328</v>
      </c>
      <c r="Z470" s="152" t="s">
        <v>1327</v>
      </c>
    </row>
    <row r="471" spans="1:26" x14ac:dyDescent="0.2">
      <c r="A471" s="152" t="s">
        <v>1734</v>
      </c>
      <c r="B471" s="152">
        <v>2.2000000000000002</v>
      </c>
      <c r="C471" s="151">
        <v>43752</v>
      </c>
      <c r="D471" s="152">
        <v>0.96986300000000003</v>
      </c>
      <c r="E471" s="152" t="s">
        <v>1325</v>
      </c>
      <c r="F471" s="152" t="s">
        <v>1326</v>
      </c>
      <c r="G471" s="152" t="s">
        <v>41</v>
      </c>
      <c r="H471" s="152"/>
      <c r="I471" s="152">
        <v>42954</v>
      </c>
      <c r="J471" s="152">
        <v>1.9275</v>
      </c>
      <c r="K471" s="152" t="s">
        <v>1327</v>
      </c>
      <c r="L471" s="152" t="s">
        <v>1327</v>
      </c>
      <c r="M471" s="152" t="s">
        <v>1327</v>
      </c>
      <c r="N471" s="152" t="s">
        <v>1327</v>
      </c>
      <c r="O471" s="152">
        <v>2.160361</v>
      </c>
      <c r="P471" s="152">
        <v>35.746983999999998</v>
      </c>
      <c r="Q471" s="152">
        <v>2.160361</v>
      </c>
      <c r="R471" s="152" t="s">
        <v>1327</v>
      </c>
      <c r="S471" s="152">
        <v>100.04045499999999</v>
      </c>
      <c r="T471" s="152">
        <v>6.6300999999999999E-2</v>
      </c>
      <c r="U471" s="152">
        <v>0.952762</v>
      </c>
      <c r="V471" s="152">
        <v>1.38168</v>
      </c>
      <c r="W471" s="152">
        <v>1000</v>
      </c>
      <c r="X471" s="152" t="s">
        <v>23</v>
      </c>
      <c r="Y471" s="152" t="s">
        <v>1328</v>
      </c>
      <c r="Z471" s="152" t="s">
        <v>1327</v>
      </c>
    </row>
    <row r="472" spans="1:26" x14ac:dyDescent="0.2">
      <c r="A472" s="152" t="s">
        <v>1735</v>
      </c>
      <c r="B472" s="152">
        <v>2.15</v>
      </c>
      <c r="C472" s="151">
        <v>44164</v>
      </c>
      <c r="D472" s="152">
        <v>2.09863</v>
      </c>
      <c r="E472" s="152" t="s">
        <v>1325</v>
      </c>
      <c r="F472" s="152" t="s">
        <v>1326</v>
      </c>
      <c r="G472" s="152" t="s">
        <v>41</v>
      </c>
      <c r="H472" s="152"/>
      <c r="I472" s="151">
        <v>43256</v>
      </c>
      <c r="J472" s="152">
        <v>2.145</v>
      </c>
      <c r="K472" s="151" t="s">
        <v>1327</v>
      </c>
      <c r="L472" s="152" t="s">
        <v>1327</v>
      </c>
      <c r="M472" s="152" t="s">
        <v>1327</v>
      </c>
      <c r="N472" s="152" t="s">
        <v>1327</v>
      </c>
      <c r="O472" s="152">
        <v>2.3848240000000001</v>
      </c>
      <c r="P472" s="152">
        <v>35.868051000000001</v>
      </c>
      <c r="Q472" s="152">
        <v>2.3848240000000001</v>
      </c>
      <c r="R472" s="152" t="s">
        <v>1327</v>
      </c>
      <c r="S472" s="152">
        <v>99.512878000000001</v>
      </c>
      <c r="T472" s="152">
        <v>0.87767099999999998</v>
      </c>
      <c r="U472" s="152">
        <v>2.0190220000000001</v>
      </c>
      <c r="V472" s="152">
        <v>5.1489820000000002</v>
      </c>
      <c r="W472" s="152">
        <v>1000</v>
      </c>
      <c r="X472" s="152" t="s">
        <v>23</v>
      </c>
      <c r="Y472" s="152" t="s">
        <v>1328</v>
      </c>
      <c r="Z472" s="152" t="s">
        <v>1327</v>
      </c>
    </row>
    <row r="473" spans="1:26" x14ac:dyDescent="0.2">
      <c r="A473" s="152" t="s">
        <v>1736</v>
      </c>
      <c r="B473" s="152">
        <v>2.6</v>
      </c>
      <c r="C473" s="151">
        <v>44354</v>
      </c>
      <c r="D473" s="152">
        <v>2.6191779999999998</v>
      </c>
      <c r="E473" s="152" t="s">
        <v>1325</v>
      </c>
      <c r="F473" s="152" t="s">
        <v>1326</v>
      </c>
      <c r="G473" s="152" t="s">
        <v>41</v>
      </c>
      <c r="H473" s="152"/>
      <c r="I473" s="152">
        <v>43153</v>
      </c>
      <c r="J473" s="152">
        <v>2.2200000000000002</v>
      </c>
      <c r="K473" s="151" t="s">
        <v>1327</v>
      </c>
      <c r="L473" s="152" t="s">
        <v>1327</v>
      </c>
      <c r="M473" s="152" t="s">
        <v>1327</v>
      </c>
      <c r="N473" s="152" t="s">
        <v>1327</v>
      </c>
      <c r="O473" s="152">
        <v>2.5918749999999999</v>
      </c>
      <c r="P473" s="152">
        <v>53.083807999999998</v>
      </c>
      <c r="Q473" s="152">
        <v>2.5918749999999999</v>
      </c>
      <c r="R473" s="152" t="s">
        <v>1327</v>
      </c>
      <c r="S473" s="152">
        <v>100.015366</v>
      </c>
      <c r="T473" s="152">
        <v>0.99726000000000004</v>
      </c>
      <c r="U473" s="152">
        <v>2.490923</v>
      </c>
      <c r="V473" s="152">
        <v>7.5954540000000001</v>
      </c>
      <c r="W473" s="152">
        <v>1000</v>
      </c>
      <c r="X473" s="152" t="s">
        <v>23</v>
      </c>
      <c r="Y473" s="152" t="s">
        <v>1328</v>
      </c>
      <c r="Z473" s="152" t="s">
        <v>1327</v>
      </c>
    </row>
    <row r="474" spans="1:26" x14ac:dyDescent="0.2">
      <c r="A474" s="152" t="s">
        <v>1737</v>
      </c>
      <c r="B474" s="152">
        <v>2.76</v>
      </c>
      <c r="C474" s="151">
        <v>44483</v>
      </c>
      <c r="D474" s="152">
        <v>2.9726029999999999</v>
      </c>
      <c r="E474" s="152" t="s">
        <v>1325</v>
      </c>
      <c r="F474" s="152" t="s">
        <v>1326</v>
      </c>
      <c r="G474" s="152" t="s">
        <v>41</v>
      </c>
      <c r="H474" s="152"/>
      <c r="I474" s="151">
        <v>43018</v>
      </c>
      <c r="J474" s="152">
        <v>2.3450000000000002</v>
      </c>
      <c r="K474" s="151" t="s">
        <v>1327</v>
      </c>
      <c r="L474" s="152" t="s">
        <v>1327</v>
      </c>
      <c r="M474" s="152" t="s">
        <v>1327</v>
      </c>
      <c r="N474" s="152" t="s">
        <v>1327</v>
      </c>
      <c r="O474" s="152">
        <v>2.7374350000000001</v>
      </c>
      <c r="P474" s="152">
        <v>62.844870999999998</v>
      </c>
      <c r="Q474" s="152">
        <v>2.7374350000000001</v>
      </c>
      <c r="R474" s="152" t="s">
        <v>1327</v>
      </c>
      <c r="S474" s="152">
        <v>100.067144</v>
      </c>
      <c r="T474" s="152">
        <v>8.3178000000000002E-2</v>
      </c>
      <c r="U474" s="152">
        <v>2.8295469999999998</v>
      </c>
      <c r="V474" s="152">
        <v>9.5720609999999997</v>
      </c>
      <c r="W474" s="152">
        <v>1000</v>
      </c>
      <c r="X474" s="152" t="s">
        <v>23</v>
      </c>
      <c r="Y474" s="152" t="s">
        <v>1328</v>
      </c>
      <c r="Z474" s="152" t="s">
        <v>1327</v>
      </c>
    </row>
    <row r="475" spans="1:26" x14ac:dyDescent="0.2">
      <c r="A475" s="152" t="s">
        <v>1738</v>
      </c>
      <c r="B475" s="152">
        <v>2.89</v>
      </c>
      <c r="C475" s="151">
        <v>45084</v>
      </c>
      <c r="D475" s="152">
        <v>4.6191779999999998</v>
      </c>
      <c r="E475" s="152" t="s">
        <v>1325</v>
      </c>
      <c r="F475" s="152" t="s">
        <v>1326</v>
      </c>
      <c r="G475" s="152" t="s">
        <v>41</v>
      </c>
      <c r="H475" s="152"/>
      <c r="I475" s="152">
        <v>43173</v>
      </c>
      <c r="J475" s="152">
        <v>2.58</v>
      </c>
      <c r="K475" s="152" t="s">
        <v>1327</v>
      </c>
      <c r="L475" s="152" t="s">
        <v>1327</v>
      </c>
      <c r="M475" s="152" t="s">
        <v>1327</v>
      </c>
      <c r="N475" s="152" t="s">
        <v>1327</v>
      </c>
      <c r="O475" s="152">
        <v>3.1025100000000001</v>
      </c>
      <c r="P475" s="152">
        <v>70.762422000000001</v>
      </c>
      <c r="Q475" s="152">
        <v>3.1025100000000001</v>
      </c>
      <c r="R475" s="152" t="s">
        <v>1327</v>
      </c>
      <c r="S475" s="152">
        <v>99.086292999999998</v>
      </c>
      <c r="T475" s="152">
        <v>1.108493</v>
      </c>
      <c r="U475" s="152">
        <v>4.2415180000000001</v>
      </c>
      <c r="V475" s="152">
        <v>20.949992000000002</v>
      </c>
      <c r="W475" s="152">
        <v>1000</v>
      </c>
      <c r="X475" s="152" t="s">
        <v>23</v>
      </c>
      <c r="Y475" s="152" t="s">
        <v>1328</v>
      </c>
      <c r="Z475" s="152" t="s">
        <v>1327</v>
      </c>
    </row>
    <row r="476" spans="1:26" x14ac:dyDescent="0.2">
      <c r="A476" s="152" t="s">
        <v>1739</v>
      </c>
      <c r="B476" s="152">
        <v>2.96</v>
      </c>
      <c r="C476" s="151">
        <v>45160</v>
      </c>
      <c r="D476" s="152">
        <v>4.8273970000000004</v>
      </c>
      <c r="E476" s="152" t="s">
        <v>1325</v>
      </c>
      <c r="F476" s="152" t="s">
        <v>1326</v>
      </c>
      <c r="G476" s="152" t="s">
        <v>41</v>
      </c>
      <c r="H476" s="152"/>
      <c r="I476" s="152">
        <v>42996</v>
      </c>
      <c r="J476" s="152">
        <v>2.65</v>
      </c>
      <c r="K476" s="151" t="s">
        <v>1327</v>
      </c>
      <c r="L476" s="152" t="s">
        <v>1327</v>
      </c>
      <c r="M476" s="152" t="s">
        <v>1327</v>
      </c>
      <c r="N476" s="152" t="s">
        <v>1327</v>
      </c>
      <c r="O476" s="152">
        <v>3.1248230000000001</v>
      </c>
      <c r="P476" s="152">
        <v>71.241732999999996</v>
      </c>
      <c r="Q476" s="152">
        <v>3.1248230000000001</v>
      </c>
      <c r="R476" s="152" t="s">
        <v>1327</v>
      </c>
      <c r="S476" s="152">
        <v>99.251794000000004</v>
      </c>
      <c r="T476" s="152">
        <v>0.51901399999999998</v>
      </c>
      <c r="U476" s="152">
        <v>4.442177</v>
      </c>
      <c r="V476" s="152">
        <v>22.807614000000001</v>
      </c>
      <c r="W476" s="152">
        <v>1000</v>
      </c>
      <c r="X476" s="152" t="s">
        <v>23</v>
      </c>
      <c r="Y476" s="152" t="s">
        <v>1328</v>
      </c>
      <c r="Z476" s="152" t="s">
        <v>1327</v>
      </c>
    </row>
    <row r="477" spans="1:26" x14ac:dyDescent="0.2">
      <c r="A477" s="152" t="s">
        <v>1740</v>
      </c>
      <c r="B477" s="152">
        <v>3.01</v>
      </c>
      <c r="C477" s="151">
        <v>45213</v>
      </c>
      <c r="D477" s="152">
        <v>4.9726030000000003</v>
      </c>
      <c r="E477" s="152" t="s">
        <v>1325</v>
      </c>
      <c r="F477" s="152" t="s">
        <v>1326</v>
      </c>
      <c r="G477" s="152" t="s">
        <v>41</v>
      </c>
      <c r="H477" s="152"/>
      <c r="I477" s="152" t="s">
        <v>1327</v>
      </c>
      <c r="J477" s="152" t="s">
        <v>1327</v>
      </c>
      <c r="K477" s="151" t="s">
        <v>1327</v>
      </c>
      <c r="L477" s="152" t="s">
        <v>1327</v>
      </c>
      <c r="M477" s="152" t="s">
        <v>1327</v>
      </c>
      <c r="N477" s="152" t="s">
        <v>1327</v>
      </c>
      <c r="O477" s="152">
        <v>3.1885880000000002</v>
      </c>
      <c r="P477" s="152">
        <v>76.183717999999999</v>
      </c>
      <c r="Q477" s="152">
        <v>3.1885880000000002</v>
      </c>
      <c r="R477" s="152" t="s">
        <v>1327</v>
      </c>
      <c r="S477" s="152">
        <v>99.188802999999993</v>
      </c>
      <c r="T477" s="152">
        <v>9.0712000000000001E-2</v>
      </c>
      <c r="U477" s="152">
        <v>4.5732030000000004</v>
      </c>
      <c r="V477" s="152">
        <v>24.065242999999999</v>
      </c>
      <c r="W477" s="152">
        <v>1000</v>
      </c>
      <c r="X477" s="152" t="s">
        <v>23</v>
      </c>
      <c r="Y477" s="152" t="s">
        <v>1328</v>
      </c>
      <c r="Z477" s="152" t="s">
        <v>1327</v>
      </c>
    </row>
    <row r="478" spans="1:26" x14ac:dyDescent="0.2">
      <c r="A478" s="152" t="s">
        <v>1741</v>
      </c>
      <c r="B478" s="152">
        <v>2.33</v>
      </c>
      <c r="C478" s="151">
        <v>44422</v>
      </c>
      <c r="D478" s="152">
        <v>2.8054790000000001</v>
      </c>
      <c r="E478" s="152" t="s">
        <v>1325</v>
      </c>
      <c r="F478" s="152" t="s">
        <v>1326</v>
      </c>
      <c r="G478" s="152"/>
      <c r="H478" s="152"/>
      <c r="I478" s="151" t="s">
        <v>1327</v>
      </c>
      <c r="J478" s="152" t="s">
        <v>1327</v>
      </c>
      <c r="K478" s="152" t="s">
        <v>1327</v>
      </c>
      <c r="L478" s="152" t="s">
        <v>1327</v>
      </c>
      <c r="M478" s="152" t="s">
        <v>1327</v>
      </c>
      <c r="N478" s="152" t="s">
        <v>1327</v>
      </c>
      <c r="O478" s="152">
        <v>2.460766</v>
      </c>
      <c r="P478" s="152">
        <v>37.962322999999998</v>
      </c>
      <c r="Q478" s="152">
        <v>2.460766</v>
      </c>
      <c r="R478" s="152" t="s">
        <v>1327</v>
      </c>
      <c r="S478" s="152">
        <v>99.636176000000006</v>
      </c>
      <c r="T478" s="152">
        <v>0.45961600000000002</v>
      </c>
      <c r="U478" s="152">
        <v>2.688523</v>
      </c>
      <c r="V478" s="152">
        <v>8.7022849999999998</v>
      </c>
      <c r="W478" s="152">
        <v>1000</v>
      </c>
      <c r="X478" s="152" t="s">
        <v>23</v>
      </c>
      <c r="Y478" s="152" t="s">
        <v>1328</v>
      </c>
      <c r="Z478" s="152" t="s">
        <v>1327</v>
      </c>
    </row>
    <row r="479" spans="1:26" x14ac:dyDescent="0.2">
      <c r="A479" s="152" t="s">
        <v>1742</v>
      </c>
      <c r="B479" s="152"/>
      <c r="C479" s="151"/>
      <c r="D479" s="152"/>
      <c r="E479" s="152"/>
      <c r="F479" s="152"/>
      <c r="G479" s="152"/>
      <c r="H479" s="152"/>
      <c r="I479" s="152"/>
      <c r="J479" s="152"/>
      <c r="K479" s="151"/>
      <c r="L479" s="152"/>
      <c r="M479" s="152"/>
      <c r="N479" s="152"/>
      <c r="O479" s="152"/>
      <c r="P479" s="152"/>
      <c r="Q479" s="152"/>
      <c r="R479" s="152"/>
      <c r="S479" s="152"/>
      <c r="T479" s="152"/>
      <c r="U479" s="152"/>
      <c r="V479" s="152"/>
      <c r="W479" s="152"/>
      <c r="X479" s="152"/>
      <c r="Y479" s="152"/>
      <c r="Z479" s="152"/>
    </row>
    <row r="480" spans="1:26" x14ac:dyDescent="0.2">
      <c r="A480" s="152" t="s">
        <v>1743</v>
      </c>
      <c r="B480" s="152">
        <v>5.45</v>
      </c>
      <c r="C480" s="151">
        <v>43556</v>
      </c>
      <c r="D480" s="152">
        <v>0.43287700000000001</v>
      </c>
      <c r="E480" s="152" t="s">
        <v>1325</v>
      </c>
      <c r="F480" s="152" t="s">
        <v>1326</v>
      </c>
      <c r="G480" s="152"/>
      <c r="H480" s="152"/>
      <c r="I480" s="151" t="s">
        <v>1327</v>
      </c>
      <c r="J480" s="152" t="s">
        <v>1327</v>
      </c>
      <c r="K480" s="151" t="s">
        <v>1327</v>
      </c>
      <c r="L480" s="152" t="s">
        <v>1327</v>
      </c>
      <c r="M480" s="152" t="s">
        <v>1327</v>
      </c>
      <c r="N480" s="152" t="s">
        <v>1327</v>
      </c>
      <c r="O480" s="152">
        <v>5.6266319999999999</v>
      </c>
      <c r="P480" s="152">
        <v>408.09482700000001</v>
      </c>
      <c r="Q480" s="152">
        <v>5.6266319999999999</v>
      </c>
      <c r="R480" s="152" t="s">
        <v>1327</v>
      </c>
      <c r="S480" s="152">
        <v>99.911394000000001</v>
      </c>
      <c r="T480" s="152">
        <v>0.35835600000000001</v>
      </c>
      <c r="U480" s="152">
        <v>0.42693399999999998</v>
      </c>
      <c r="V480" s="152">
        <v>0.28833199999999998</v>
      </c>
      <c r="W480" s="152">
        <v>1000</v>
      </c>
      <c r="X480" s="152" t="s">
        <v>23</v>
      </c>
      <c r="Y480" s="152" t="s">
        <v>1328</v>
      </c>
      <c r="Z480" s="152" t="s">
        <v>1327</v>
      </c>
    </row>
    <row r="481" spans="1:26" x14ac:dyDescent="0.2">
      <c r="A481" s="152" t="s">
        <v>1744</v>
      </c>
      <c r="B481" s="152">
        <v>5</v>
      </c>
      <c r="C481" s="151">
        <v>43666</v>
      </c>
      <c r="D481" s="152">
        <v>0.73424699999999998</v>
      </c>
      <c r="E481" s="152" t="s">
        <v>1325</v>
      </c>
      <c r="F481" s="152" t="s">
        <v>1326</v>
      </c>
      <c r="G481" s="152"/>
      <c r="H481" s="152"/>
      <c r="I481" s="152" t="s">
        <v>1327</v>
      </c>
      <c r="J481" s="152" t="s">
        <v>1327</v>
      </c>
      <c r="K481" s="151" t="s">
        <v>1327</v>
      </c>
      <c r="L481" s="152" t="s">
        <v>1327</v>
      </c>
      <c r="M481" s="152" t="s">
        <v>1327</v>
      </c>
      <c r="N481" s="152" t="s">
        <v>1327</v>
      </c>
      <c r="O481" s="152">
        <v>5.7431210000000004</v>
      </c>
      <c r="P481" s="152">
        <v>410.48314599999998</v>
      </c>
      <c r="Q481" s="152">
        <v>5.7431210000000004</v>
      </c>
      <c r="R481" s="152" t="s">
        <v>1327</v>
      </c>
      <c r="S481" s="152">
        <v>99.455854000000002</v>
      </c>
      <c r="T481" s="152">
        <v>6.8492999999999998E-2</v>
      </c>
      <c r="U481" s="152">
        <v>0.71878699999999995</v>
      </c>
      <c r="V481" s="152">
        <v>0.69747800000000004</v>
      </c>
      <c r="W481" s="152">
        <v>1000</v>
      </c>
      <c r="X481" s="152" t="s">
        <v>23</v>
      </c>
      <c r="Y481" s="152" t="s">
        <v>1328</v>
      </c>
      <c r="Z481" s="152" t="s">
        <v>1327</v>
      </c>
    </row>
    <row r="482" spans="1:26" x14ac:dyDescent="0.2">
      <c r="A482" s="152" t="s">
        <v>1745</v>
      </c>
      <c r="B482" s="152">
        <v>5.25</v>
      </c>
      <c r="C482" s="151">
        <v>43861</v>
      </c>
      <c r="D482" s="152">
        <v>1.2684930000000001</v>
      </c>
      <c r="E482" s="152" t="s">
        <v>1325</v>
      </c>
      <c r="F482" s="152" t="s">
        <v>1326</v>
      </c>
      <c r="G482" s="152"/>
      <c r="H482" s="152"/>
      <c r="I482" s="152" t="s">
        <v>1327</v>
      </c>
      <c r="J482" s="152" t="s">
        <v>1327</v>
      </c>
      <c r="K482" s="151" t="s">
        <v>1327</v>
      </c>
      <c r="L482" s="152" t="s">
        <v>1327</v>
      </c>
      <c r="M482" s="152" t="s">
        <v>1327</v>
      </c>
      <c r="N482" s="152" t="s">
        <v>1327</v>
      </c>
      <c r="O482" s="152">
        <v>5.8538119999999996</v>
      </c>
      <c r="P482" s="152">
        <v>411.01919900000001</v>
      </c>
      <c r="Q482" s="152">
        <v>5.8538119999999996</v>
      </c>
      <c r="R482" s="152" t="s">
        <v>1327</v>
      </c>
      <c r="S482" s="152">
        <v>99.268780000000007</v>
      </c>
      <c r="T482" s="152">
        <v>-8.6301000000000003E-2</v>
      </c>
      <c r="U482" s="152">
        <v>1.2165269999999999</v>
      </c>
      <c r="V482" s="152">
        <v>1.8021860000000001</v>
      </c>
      <c r="W482" s="152">
        <v>1000</v>
      </c>
      <c r="X482" s="152" t="s">
        <v>23</v>
      </c>
      <c r="Y482" s="152" t="s">
        <v>1328</v>
      </c>
      <c r="Z482" s="152" t="s">
        <v>1327</v>
      </c>
    </row>
    <row r="483" spans="1:26" x14ac:dyDescent="0.2">
      <c r="A483" s="152" t="s">
        <v>1746</v>
      </c>
      <c r="B483" s="152">
        <v>5.95</v>
      </c>
      <c r="C483" s="151">
        <v>43926</v>
      </c>
      <c r="D483" s="152">
        <v>1.4465749999999999</v>
      </c>
      <c r="E483" s="152" t="s">
        <v>1325</v>
      </c>
      <c r="F483" s="152" t="s">
        <v>1326</v>
      </c>
      <c r="G483" s="152"/>
      <c r="H483" s="152"/>
      <c r="I483" s="152" t="s">
        <v>1327</v>
      </c>
      <c r="J483" s="152" t="s">
        <v>1327</v>
      </c>
      <c r="K483" s="152" t="s">
        <v>1327</v>
      </c>
      <c r="L483" s="152" t="s">
        <v>1327</v>
      </c>
      <c r="M483" s="152" t="s">
        <v>1327</v>
      </c>
      <c r="N483" s="152" t="s">
        <v>1327</v>
      </c>
      <c r="O483" s="152">
        <v>6.1500120000000003</v>
      </c>
      <c r="P483" s="152">
        <v>438.569345</v>
      </c>
      <c r="Q483" s="152">
        <v>6.1500120000000003</v>
      </c>
      <c r="R483" s="152" t="s">
        <v>1327</v>
      </c>
      <c r="S483" s="152">
        <v>99.710943</v>
      </c>
      <c r="T483" s="152">
        <v>0.32602700000000001</v>
      </c>
      <c r="U483" s="152">
        <v>1.3721699999999999</v>
      </c>
      <c r="V483" s="152">
        <v>2.2661850000000001</v>
      </c>
      <c r="W483" s="152">
        <v>1000</v>
      </c>
      <c r="X483" s="152" t="s">
        <v>23</v>
      </c>
      <c r="Y483" s="152" t="s">
        <v>1328</v>
      </c>
      <c r="Z483" s="152" t="s">
        <v>1327</v>
      </c>
    </row>
    <row r="484" spans="1:26" x14ac:dyDescent="0.2">
      <c r="A484" s="152" t="s">
        <v>1747</v>
      </c>
      <c r="B484" s="152">
        <v>5.4</v>
      </c>
      <c r="C484" s="151">
        <v>44105</v>
      </c>
      <c r="D484" s="152">
        <v>1.9369860000000001</v>
      </c>
      <c r="E484" s="152" t="s">
        <v>1325</v>
      </c>
      <c r="F484" s="152" t="s">
        <v>1326</v>
      </c>
      <c r="G484" s="152"/>
      <c r="H484" s="152"/>
      <c r="I484" s="152">
        <v>43342</v>
      </c>
      <c r="J484" s="152">
        <v>5.8</v>
      </c>
      <c r="K484" s="152" t="s">
        <v>1327</v>
      </c>
      <c r="L484" s="152" t="s">
        <v>1327</v>
      </c>
      <c r="M484" s="152" t="s">
        <v>1327</v>
      </c>
      <c r="N484" s="152" t="s">
        <v>1327</v>
      </c>
      <c r="O484" s="152">
        <v>5.8902159999999997</v>
      </c>
      <c r="P484" s="152">
        <v>401.097398</v>
      </c>
      <c r="Q484" s="152">
        <v>5.8902159999999997</v>
      </c>
      <c r="R484" s="152" t="s">
        <v>1327</v>
      </c>
      <c r="S484" s="152">
        <v>99.095775000000003</v>
      </c>
      <c r="T484" s="152">
        <v>0.29588999999999999</v>
      </c>
      <c r="U484" s="152">
        <v>1.8210329999999999</v>
      </c>
      <c r="V484" s="152">
        <v>3.8670969999999998</v>
      </c>
      <c r="W484" s="152">
        <v>1000</v>
      </c>
      <c r="X484" s="152" t="s">
        <v>23</v>
      </c>
      <c r="Y484" s="152" t="s">
        <v>1328</v>
      </c>
      <c r="Z484" s="152" t="s">
        <v>1327</v>
      </c>
    </row>
    <row r="485" spans="1:26" x14ac:dyDescent="0.2">
      <c r="A485" s="152" t="s">
        <v>1748</v>
      </c>
      <c r="B485" s="152">
        <v>5.95</v>
      </c>
      <c r="C485" s="151">
        <v>44316</v>
      </c>
      <c r="D485" s="152">
        <v>2.5150679999999999</v>
      </c>
      <c r="E485" s="152" t="s">
        <v>1325</v>
      </c>
      <c r="F485" s="152" t="s">
        <v>1326</v>
      </c>
      <c r="G485" s="152"/>
      <c r="H485" s="152"/>
      <c r="I485" s="152" t="s">
        <v>1327</v>
      </c>
      <c r="J485" s="152" t="s">
        <v>1327</v>
      </c>
      <c r="K485" s="152" t="s">
        <v>1327</v>
      </c>
      <c r="L485" s="152" t="s">
        <v>1327</v>
      </c>
      <c r="M485" s="152" t="s">
        <v>1327</v>
      </c>
      <c r="N485" s="152" t="s">
        <v>1327</v>
      </c>
      <c r="O485" s="152">
        <v>6.4084620000000001</v>
      </c>
      <c r="P485" s="152">
        <v>450.45103</v>
      </c>
      <c r="Q485" s="152">
        <v>6.4084620000000001</v>
      </c>
      <c r="R485" s="152" t="s">
        <v>1327</v>
      </c>
      <c r="S485" s="152">
        <v>98.943140999999997</v>
      </c>
      <c r="T485" s="152">
        <v>-9.7808000000000006E-2</v>
      </c>
      <c r="U485" s="152">
        <v>2.3196300000000001</v>
      </c>
      <c r="V485" s="152">
        <v>6.1745939999999999</v>
      </c>
      <c r="W485" s="152">
        <v>1000</v>
      </c>
      <c r="X485" s="152" t="s">
        <v>23</v>
      </c>
      <c r="Y485" s="152" t="s">
        <v>1328</v>
      </c>
      <c r="Z485" s="152" t="s">
        <v>1327</v>
      </c>
    </row>
    <row r="486" spans="1:26" x14ac:dyDescent="0.2">
      <c r="A486" s="152" t="s">
        <v>1749</v>
      </c>
      <c r="B486" s="152">
        <v>5.95</v>
      </c>
      <c r="C486" s="151">
        <v>44316</v>
      </c>
      <c r="D486" s="152">
        <v>2.5150679999999999</v>
      </c>
      <c r="E486" s="152" t="s">
        <v>1355</v>
      </c>
      <c r="F486" s="152" t="s">
        <v>1326</v>
      </c>
      <c r="G486" s="152"/>
      <c r="H486" s="152"/>
      <c r="I486" s="152" t="s">
        <v>1327</v>
      </c>
      <c r="J486" s="152" t="s">
        <v>1327</v>
      </c>
      <c r="K486" s="152" t="s">
        <v>1327</v>
      </c>
      <c r="L486" s="152" t="s">
        <v>1327</v>
      </c>
      <c r="M486" s="152" t="s">
        <v>1327</v>
      </c>
      <c r="N486" s="152" t="s">
        <v>1327</v>
      </c>
      <c r="O486" s="152">
        <v>6.3856159999999997</v>
      </c>
      <c r="P486" s="152">
        <v>450.62525299999999</v>
      </c>
      <c r="Q486" s="152">
        <v>6.3856159999999997</v>
      </c>
      <c r="R486" s="152" t="s">
        <v>1327</v>
      </c>
      <c r="S486" s="152">
        <v>99.129063000000002</v>
      </c>
      <c r="T486" s="152">
        <v>-9.7808000000000006E-2</v>
      </c>
      <c r="U486" s="152">
        <v>2.0055329999999998</v>
      </c>
      <c r="V486" s="152">
        <v>4.9348289999999997</v>
      </c>
      <c r="W486" s="152">
        <v>850</v>
      </c>
      <c r="X486" s="152" t="s">
        <v>23</v>
      </c>
      <c r="Y486" s="152" t="s">
        <v>1328</v>
      </c>
      <c r="Z486" s="152" t="s">
        <v>1327</v>
      </c>
    </row>
    <row r="487" spans="1:26" x14ac:dyDescent="0.2">
      <c r="A487" s="152" t="s">
        <v>1750</v>
      </c>
      <c r="B487" s="152">
        <v>5.95</v>
      </c>
      <c r="C487" s="151">
        <v>44488</v>
      </c>
      <c r="D487" s="152">
        <v>2.9863010000000001</v>
      </c>
      <c r="E487" s="152" t="s">
        <v>1325</v>
      </c>
      <c r="F487" s="152" t="s">
        <v>1326</v>
      </c>
      <c r="G487" s="152"/>
      <c r="H487" s="152"/>
      <c r="I487" s="152" t="s">
        <v>1327</v>
      </c>
      <c r="J487" s="152" t="s">
        <v>1327</v>
      </c>
      <c r="K487" s="152" t="s">
        <v>1327</v>
      </c>
      <c r="L487" s="152" t="s">
        <v>1327</v>
      </c>
      <c r="M487" s="152" t="s">
        <v>1327</v>
      </c>
      <c r="N487" s="152" t="s">
        <v>1327</v>
      </c>
      <c r="O487" s="152">
        <v>5.9433939999999996</v>
      </c>
      <c r="P487" s="152">
        <v>395.637181</v>
      </c>
      <c r="Q487" s="152">
        <v>5.9433939999999996</v>
      </c>
      <c r="R487" s="152" t="s">
        <v>1327</v>
      </c>
      <c r="S487" s="152">
        <v>100.00513100000001</v>
      </c>
      <c r="T487" s="152">
        <v>9.7808000000000006E-2</v>
      </c>
      <c r="U487" s="152">
        <v>2.7148979999999998</v>
      </c>
      <c r="V487" s="152">
        <v>8.4225379999999994</v>
      </c>
      <c r="W487" s="152">
        <v>1000</v>
      </c>
      <c r="X487" s="152" t="s">
        <v>23</v>
      </c>
      <c r="Y487" s="152" t="s">
        <v>1328</v>
      </c>
      <c r="Z487" s="152" t="s">
        <v>1327</v>
      </c>
    </row>
    <row r="488" spans="1:26" x14ac:dyDescent="0.2">
      <c r="A488" s="152" t="s">
        <v>638</v>
      </c>
      <c r="B488" s="152">
        <v>2.68</v>
      </c>
      <c r="C488" s="151">
        <v>43942</v>
      </c>
      <c r="D488" s="152">
        <v>1.4904109999999999</v>
      </c>
      <c r="E488" s="152" t="s">
        <v>1325</v>
      </c>
      <c r="F488" s="152" t="s">
        <v>1326</v>
      </c>
      <c r="G488" s="152" t="s">
        <v>116</v>
      </c>
      <c r="H488" s="152"/>
      <c r="I488" s="151">
        <v>43194</v>
      </c>
      <c r="J488" s="152">
        <v>1.77</v>
      </c>
      <c r="K488" s="152" t="s">
        <v>1327</v>
      </c>
      <c r="L488" s="152" t="s">
        <v>1327</v>
      </c>
      <c r="M488" s="152" t="s">
        <v>1327</v>
      </c>
      <c r="N488" s="152" t="s">
        <v>1327</v>
      </c>
      <c r="O488" s="152">
        <v>2.394056</v>
      </c>
      <c r="P488" s="152">
        <v>47.758755999999998</v>
      </c>
      <c r="Q488" s="152">
        <v>2.394056</v>
      </c>
      <c r="R488" s="152" t="s">
        <v>1327</v>
      </c>
      <c r="S488" s="152">
        <v>100.41894600000001</v>
      </c>
      <c r="T488" s="152">
        <v>2.937E-2</v>
      </c>
      <c r="U488" s="152">
        <v>1.4506060000000001</v>
      </c>
      <c r="V488" s="152">
        <v>2.8366579999999999</v>
      </c>
      <c r="W488" s="152">
        <v>1000</v>
      </c>
      <c r="X488" s="152" t="s">
        <v>23</v>
      </c>
      <c r="Y488" s="152" t="s">
        <v>1328</v>
      </c>
      <c r="Z488" s="152" t="s">
        <v>1327</v>
      </c>
    </row>
    <row r="489" spans="1:26" x14ac:dyDescent="0.2">
      <c r="A489" s="152" t="s">
        <v>640</v>
      </c>
      <c r="B489" s="152">
        <v>3</v>
      </c>
      <c r="C489" s="151">
        <v>44307</v>
      </c>
      <c r="D489" s="152">
        <v>2.4904109999999999</v>
      </c>
      <c r="E489" s="152" t="s">
        <v>1325</v>
      </c>
      <c r="F489" s="152" t="s">
        <v>1326</v>
      </c>
      <c r="G489" s="152" t="s">
        <v>116</v>
      </c>
      <c r="H489" s="152"/>
      <c r="I489" s="152">
        <v>43084</v>
      </c>
      <c r="J489" s="152">
        <v>2.5</v>
      </c>
      <c r="K489" s="152" t="s">
        <v>1327</v>
      </c>
      <c r="L489" s="152" t="s">
        <v>1327</v>
      </c>
      <c r="M489" s="152" t="s">
        <v>1327</v>
      </c>
      <c r="N489" s="152" t="s">
        <v>1327</v>
      </c>
      <c r="O489" s="152">
        <v>2.6737489999999999</v>
      </c>
      <c r="P489" s="152">
        <v>62.292853000000001</v>
      </c>
      <c r="Q489" s="152">
        <v>2.6737489999999999</v>
      </c>
      <c r="R489" s="152" t="s">
        <v>1327</v>
      </c>
      <c r="S489" s="152">
        <v>100.78404</v>
      </c>
      <c r="T489" s="152">
        <v>3.2877000000000003E-2</v>
      </c>
      <c r="U489" s="152">
        <v>2.383337</v>
      </c>
      <c r="V489" s="152">
        <v>6.957452</v>
      </c>
      <c r="W489" s="152">
        <v>1000</v>
      </c>
      <c r="X489" s="152" t="s">
        <v>23</v>
      </c>
      <c r="Y489" s="152" t="s">
        <v>1328</v>
      </c>
      <c r="Z489" s="152" t="s">
        <v>1327</v>
      </c>
    </row>
    <row r="490" spans="1:26" x14ac:dyDescent="0.2">
      <c r="A490" s="152" t="s">
        <v>641</v>
      </c>
      <c r="B490" s="152">
        <v>3.25</v>
      </c>
      <c r="C490" s="151">
        <v>44672</v>
      </c>
      <c r="D490" s="152">
        <v>3.4904109999999999</v>
      </c>
      <c r="E490" s="152" t="s">
        <v>1325</v>
      </c>
      <c r="F490" s="152" t="s">
        <v>1326</v>
      </c>
      <c r="G490" s="152" t="s">
        <v>116</v>
      </c>
      <c r="H490" s="152"/>
      <c r="I490" s="151">
        <v>43111</v>
      </c>
      <c r="J490" s="152">
        <v>2.5</v>
      </c>
      <c r="K490" s="152" t="s">
        <v>1327</v>
      </c>
      <c r="L490" s="152" t="s">
        <v>1327</v>
      </c>
      <c r="M490" s="152" t="s">
        <v>1327</v>
      </c>
      <c r="N490" s="152" t="s">
        <v>1327</v>
      </c>
      <c r="O490" s="152">
        <v>2.9694340000000001</v>
      </c>
      <c r="P490" s="152">
        <v>72.003001999999995</v>
      </c>
      <c r="Q490" s="152">
        <v>2.9694340000000001</v>
      </c>
      <c r="R490" s="152" t="s">
        <v>1327</v>
      </c>
      <c r="S490" s="152">
        <v>100.927234</v>
      </c>
      <c r="T490" s="152">
        <v>3.5616000000000002E-2</v>
      </c>
      <c r="U490" s="152">
        <v>3.2764419999999999</v>
      </c>
      <c r="V490" s="152">
        <v>12.668263</v>
      </c>
      <c r="W490" s="152">
        <v>1000</v>
      </c>
      <c r="X490" s="152" t="s">
        <v>23</v>
      </c>
      <c r="Y490" s="152" t="s">
        <v>1328</v>
      </c>
      <c r="Z490" s="152" t="s">
        <v>1327</v>
      </c>
    </row>
    <row r="491" spans="1:26" x14ac:dyDescent="0.2">
      <c r="A491" s="152" t="s">
        <v>1751</v>
      </c>
      <c r="B491" s="152">
        <v>3.58</v>
      </c>
      <c r="C491" s="151">
        <v>45037</v>
      </c>
      <c r="D491" s="152">
        <v>4.4904109999999999</v>
      </c>
      <c r="E491" s="152" t="s">
        <v>1325</v>
      </c>
      <c r="F491" s="152" t="s">
        <v>1326</v>
      </c>
      <c r="G491" s="152" t="s">
        <v>116</v>
      </c>
      <c r="H491" s="152"/>
      <c r="I491" s="152">
        <v>43231</v>
      </c>
      <c r="J491" s="152">
        <v>2.82</v>
      </c>
      <c r="K491" s="152" t="s">
        <v>1327</v>
      </c>
      <c r="L491" s="152" t="s">
        <v>1327</v>
      </c>
      <c r="M491" s="152" t="s">
        <v>1327</v>
      </c>
      <c r="N491" s="152" t="s">
        <v>1327</v>
      </c>
      <c r="O491" s="152">
        <v>3.2639689999999999</v>
      </c>
      <c r="P491" s="152">
        <v>88.869483000000002</v>
      </c>
      <c r="Q491" s="152">
        <v>3.2639689999999999</v>
      </c>
      <c r="R491" s="152" t="s">
        <v>1327</v>
      </c>
      <c r="S491" s="152">
        <v>101.31392700000001</v>
      </c>
      <c r="T491" s="152">
        <v>3.9232999999999997E-2</v>
      </c>
      <c r="U491" s="152">
        <v>4.1189780000000003</v>
      </c>
      <c r="V491" s="152">
        <v>19.740469999999998</v>
      </c>
      <c r="W491" s="152">
        <v>1000</v>
      </c>
      <c r="X491" s="152" t="s">
        <v>23</v>
      </c>
      <c r="Y491" s="152" t="s">
        <v>1328</v>
      </c>
      <c r="Z491" s="152" t="s">
        <v>1327</v>
      </c>
    </row>
    <row r="492" spans="1:26" x14ac:dyDescent="0.2">
      <c r="A492" s="152" t="s">
        <v>1752</v>
      </c>
      <c r="B492" s="152">
        <v>3.76</v>
      </c>
      <c r="C492" s="151">
        <v>45403</v>
      </c>
      <c r="D492" s="152">
        <v>5.4931510000000001</v>
      </c>
      <c r="E492" s="152" t="s">
        <v>1325</v>
      </c>
      <c r="F492" s="152" t="s">
        <v>1326</v>
      </c>
      <c r="G492" s="152" t="s">
        <v>116</v>
      </c>
      <c r="H492" s="152"/>
      <c r="I492" s="152" t="s">
        <v>1327</v>
      </c>
      <c r="J492" s="152" t="s">
        <v>1327</v>
      </c>
      <c r="K492" s="152" t="s">
        <v>1327</v>
      </c>
      <c r="L492" s="152" t="s">
        <v>1327</v>
      </c>
      <c r="M492" s="152" t="s">
        <v>1327</v>
      </c>
      <c r="N492" s="152" t="s">
        <v>1327</v>
      </c>
      <c r="O492" s="152">
        <v>3.4580959999999998</v>
      </c>
      <c r="P492" s="152">
        <v>99.201538999999997</v>
      </c>
      <c r="Q492" s="152">
        <v>3.4580959999999998</v>
      </c>
      <c r="R492" s="152" t="s">
        <v>1327</v>
      </c>
      <c r="S492" s="152">
        <v>101.502082</v>
      </c>
      <c r="T492" s="152">
        <v>4.1204999999999999E-2</v>
      </c>
      <c r="U492" s="152">
        <v>4.9264729999999997</v>
      </c>
      <c r="V492" s="152">
        <v>28.105823999999998</v>
      </c>
      <c r="W492" s="152">
        <v>1000</v>
      </c>
      <c r="X492" s="152" t="s">
        <v>23</v>
      </c>
      <c r="Y492" s="152" t="s">
        <v>1328</v>
      </c>
      <c r="Z492" s="152" t="s">
        <v>1327</v>
      </c>
    </row>
    <row r="493" spans="1:26" x14ac:dyDescent="0.2">
      <c r="A493" s="152" t="s">
        <v>1753</v>
      </c>
      <c r="B493" s="152">
        <v>4.01</v>
      </c>
      <c r="C493" s="151">
        <v>46133</v>
      </c>
      <c r="D493" s="152">
        <v>7.4931510000000001</v>
      </c>
      <c r="E493" s="152" t="s">
        <v>1325</v>
      </c>
      <c r="F493" s="152" t="s">
        <v>1326</v>
      </c>
      <c r="G493" s="152" t="s">
        <v>116</v>
      </c>
      <c r="H493" s="152"/>
      <c r="I493" s="152">
        <v>43315</v>
      </c>
      <c r="J493" s="152">
        <v>3.63</v>
      </c>
      <c r="K493" s="152" t="s">
        <v>1327</v>
      </c>
      <c r="L493" s="152" t="s">
        <v>1327</v>
      </c>
      <c r="M493" s="152" t="s">
        <v>1327</v>
      </c>
      <c r="N493" s="152" t="s">
        <v>1327</v>
      </c>
      <c r="O493" s="152">
        <v>3.8233000000000001</v>
      </c>
      <c r="P493" s="152">
        <v>115.460784</v>
      </c>
      <c r="Q493" s="152">
        <v>3.8233000000000001</v>
      </c>
      <c r="R493" s="152" t="s">
        <v>1327</v>
      </c>
      <c r="S493" s="152">
        <v>101.210767</v>
      </c>
      <c r="T493" s="152">
        <v>4.3944999999999998E-2</v>
      </c>
      <c r="U493" s="152">
        <v>6.4228059999999996</v>
      </c>
      <c r="V493" s="152">
        <v>48.030631999999997</v>
      </c>
      <c r="W493" s="152">
        <v>1000</v>
      </c>
      <c r="X493" s="152" t="s">
        <v>23</v>
      </c>
      <c r="Y493" s="152" t="s">
        <v>1328</v>
      </c>
      <c r="Z493" s="152" t="s">
        <v>1327</v>
      </c>
    </row>
    <row r="494" spans="1:26" x14ac:dyDescent="0.2">
      <c r="A494" s="152" t="s">
        <v>1754</v>
      </c>
      <c r="B494" s="152">
        <v>4.17</v>
      </c>
      <c r="C494" s="151">
        <v>46498</v>
      </c>
      <c r="D494" s="152">
        <v>8.4931509999999992</v>
      </c>
      <c r="E494" s="152" t="s">
        <v>1325</v>
      </c>
      <c r="F494" s="152" t="s">
        <v>1326</v>
      </c>
      <c r="G494" s="152" t="s">
        <v>116</v>
      </c>
      <c r="H494" s="152"/>
      <c r="I494" s="151">
        <v>42850</v>
      </c>
      <c r="J494" s="152">
        <v>4.1680000000000001</v>
      </c>
      <c r="K494" s="152" t="s">
        <v>1327</v>
      </c>
      <c r="L494" s="152" t="s">
        <v>1327</v>
      </c>
      <c r="M494" s="152" t="s">
        <v>1327</v>
      </c>
      <c r="N494" s="152" t="s">
        <v>1327</v>
      </c>
      <c r="O494" s="152">
        <v>3.937894</v>
      </c>
      <c r="P494" s="152">
        <v>118.782595</v>
      </c>
      <c r="Q494" s="152">
        <v>3.937894</v>
      </c>
      <c r="R494" s="152" t="s">
        <v>1327</v>
      </c>
      <c r="S494" s="152">
        <v>101.666118</v>
      </c>
      <c r="T494" s="152">
        <v>4.5698999999999997E-2</v>
      </c>
      <c r="U494" s="152">
        <v>7.1036760000000001</v>
      </c>
      <c r="V494" s="152">
        <v>59.208938000000003</v>
      </c>
      <c r="W494" s="152">
        <v>1000</v>
      </c>
      <c r="X494" s="152" t="s">
        <v>23</v>
      </c>
      <c r="Y494" s="152" t="s">
        <v>1328</v>
      </c>
      <c r="Z494" s="152" t="s">
        <v>1327</v>
      </c>
    </row>
    <row r="495" spans="1:26" x14ac:dyDescent="0.2">
      <c r="A495" s="152" t="s">
        <v>1755</v>
      </c>
      <c r="B495" s="152">
        <v>4.33</v>
      </c>
      <c r="C495" s="151">
        <v>46864</v>
      </c>
      <c r="D495" s="152">
        <v>9.4958899999999993</v>
      </c>
      <c r="E495" s="152" t="s">
        <v>1325</v>
      </c>
      <c r="F495" s="152" t="s">
        <v>1326</v>
      </c>
      <c r="G495" s="152" t="s">
        <v>116</v>
      </c>
      <c r="H495" s="152"/>
      <c r="I495" s="151">
        <v>43376</v>
      </c>
      <c r="J495" s="152">
        <v>3.9975000000000001</v>
      </c>
      <c r="K495" s="152" t="s">
        <v>1327</v>
      </c>
      <c r="L495" s="152" t="s">
        <v>1327</v>
      </c>
      <c r="M495" s="152" t="s">
        <v>1327</v>
      </c>
      <c r="N495" s="152" t="s">
        <v>1327</v>
      </c>
      <c r="O495" s="152">
        <v>4.0170089999999998</v>
      </c>
      <c r="P495" s="152">
        <v>124.442272</v>
      </c>
      <c r="Q495" s="152">
        <v>4.0170089999999998</v>
      </c>
      <c r="R495" s="152" t="s">
        <v>1327</v>
      </c>
      <c r="S495" s="152">
        <v>102.454482</v>
      </c>
      <c r="T495" s="152">
        <v>4.7452000000000001E-2</v>
      </c>
      <c r="U495" s="152">
        <v>7.7438669999999998</v>
      </c>
      <c r="V495" s="152">
        <v>71.030794</v>
      </c>
      <c r="W495" s="152">
        <v>1000</v>
      </c>
      <c r="X495" s="152" t="s">
        <v>23</v>
      </c>
      <c r="Y495" s="152" t="s">
        <v>1328</v>
      </c>
      <c r="Z495" s="152" t="s">
        <v>1327</v>
      </c>
    </row>
    <row r="496" spans="1:26" x14ac:dyDescent="0.2">
      <c r="A496" s="152" t="s">
        <v>1756</v>
      </c>
      <c r="B496" s="152">
        <v>4.3499999999999996</v>
      </c>
      <c r="C496" s="151">
        <v>47229</v>
      </c>
      <c r="D496" s="152">
        <v>10.495889999999999</v>
      </c>
      <c r="E496" s="152" t="s">
        <v>1325</v>
      </c>
      <c r="F496" s="152" t="s">
        <v>1326</v>
      </c>
      <c r="G496" s="152" t="s">
        <v>116</v>
      </c>
      <c r="H496" s="152"/>
      <c r="I496" s="151" t="s">
        <v>1327</v>
      </c>
      <c r="J496" s="152" t="s">
        <v>1327</v>
      </c>
      <c r="K496" s="152" t="s">
        <v>1327</v>
      </c>
      <c r="L496" s="152" t="s">
        <v>1327</v>
      </c>
      <c r="M496" s="152" t="s">
        <v>1327</v>
      </c>
      <c r="N496" s="152" t="s">
        <v>1327</v>
      </c>
      <c r="O496" s="152">
        <v>4.2614330000000002</v>
      </c>
      <c r="P496" s="152">
        <v>135.718615</v>
      </c>
      <c r="Q496" s="152">
        <v>4.2614330000000002</v>
      </c>
      <c r="R496" s="152" t="s">
        <v>1327</v>
      </c>
      <c r="S496" s="152">
        <v>100.748204</v>
      </c>
      <c r="T496" s="152">
        <v>4.7670999999999998E-2</v>
      </c>
      <c r="U496" s="152">
        <v>8.3575839999999992</v>
      </c>
      <c r="V496" s="152">
        <v>83.520285000000001</v>
      </c>
      <c r="W496" s="152">
        <v>1000</v>
      </c>
      <c r="X496" s="152" t="s">
        <v>23</v>
      </c>
      <c r="Y496" s="152" t="s">
        <v>1328</v>
      </c>
      <c r="Z496" s="152" t="s">
        <v>1327</v>
      </c>
    </row>
    <row r="497" spans="1:26" x14ac:dyDescent="0.2">
      <c r="A497" s="152" t="s">
        <v>1757</v>
      </c>
      <c r="B497" s="152">
        <v>4.4800000000000004</v>
      </c>
      <c r="C497" s="151">
        <v>47594</v>
      </c>
      <c r="D497" s="152">
        <v>11.495889999999999</v>
      </c>
      <c r="E497" s="152" t="s">
        <v>1325</v>
      </c>
      <c r="F497" s="152" t="s">
        <v>1326</v>
      </c>
      <c r="G497" s="152" t="s">
        <v>116</v>
      </c>
      <c r="H497" s="152"/>
      <c r="I497" s="151">
        <v>42872</v>
      </c>
      <c r="J497" s="152">
        <v>4.6500000000000004</v>
      </c>
      <c r="K497" s="152" t="s">
        <v>1327</v>
      </c>
      <c r="L497" s="152" t="s">
        <v>1327</v>
      </c>
      <c r="M497" s="152" t="s">
        <v>1327</v>
      </c>
      <c r="N497" s="152" t="s">
        <v>1327</v>
      </c>
      <c r="O497" s="152">
        <v>4.4863169999999997</v>
      </c>
      <c r="P497" s="152">
        <v>139.967659</v>
      </c>
      <c r="Q497" s="152">
        <v>4.4863169999999997</v>
      </c>
      <c r="R497" s="152" t="s">
        <v>1327</v>
      </c>
      <c r="S497" s="152">
        <v>99.949315999999996</v>
      </c>
      <c r="T497" s="152">
        <v>4.9096000000000001E-2</v>
      </c>
      <c r="U497" s="152">
        <v>8.8978850000000005</v>
      </c>
      <c r="V497" s="152">
        <v>95.892698999999993</v>
      </c>
      <c r="W497" s="152">
        <v>1000</v>
      </c>
      <c r="X497" s="152" t="s">
        <v>23</v>
      </c>
      <c r="Y497" s="152" t="s">
        <v>1328</v>
      </c>
      <c r="Z497" s="152" t="s">
        <v>1327</v>
      </c>
    </row>
    <row r="498" spans="1:26" x14ac:dyDescent="0.2">
      <c r="A498" s="152" t="s">
        <v>1758</v>
      </c>
      <c r="B498" s="152">
        <v>4.79</v>
      </c>
      <c r="C498" s="151">
        <v>48325</v>
      </c>
      <c r="D498" s="152">
        <v>13.49863</v>
      </c>
      <c r="E498" s="152" t="s">
        <v>1325</v>
      </c>
      <c r="F498" s="152" t="s">
        <v>1326</v>
      </c>
      <c r="G498" s="152" t="s">
        <v>116</v>
      </c>
      <c r="H498" s="152"/>
      <c r="I498" s="151">
        <v>42872</v>
      </c>
      <c r="J498" s="152">
        <v>4.8499999999999996</v>
      </c>
      <c r="K498" s="152" t="s">
        <v>1327</v>
      </c>
      <c r="L498" s="152" t="s">
        <v>1327</v>
      </c>
      <c r="M498" s="152" t="s">
        <v>1327</v>
      </c>
      <c r="N498" s="152" t="s">
        <v>1327</v>
      </c>
      <c r="O498" s="152">
        <v>4.7019979999999997</v>
      </c>
      <c r="P498" s="152">
        <v>153.777781</v>
      </c>
      <c r="Q498" s="152">
        <v>4.7019979999999997</v>
      </c>
      <c r="R498" s="152" t="s">
        <v>1327</v>
      </c>
      <c r="S498" s="152">
        <v>100.877545</v>
      </c>
      <c r="T498" s="152">
        <v>5.2492999999999998E-2</v>
      </c>
      <c r="U498" s="152">
        <v>9.8668750000000003</v>
      </c>
      <c r="V498" s="152">
        <v>121.186992</v>
      </c>
      <c r="W498" s="152">
        <v>1000</v>
      </c>
      <c r="X498" s="152" t="s">
        <v>23</v>
      </c>
      <c r="Y498" s="152" t="s">
        <v>1328</v>
      </c>
      <c r="Z498" s="152" t="s">
        <v>1327</v>
      </c>
    </row>
    <row r="499" spans="1:26" x14ac:dyDescent="0.2">
      <c r="A499" s="152" t="s">
        <v>1759</v>
      </c>
      <c r="B499" s="152">
        <v>5.5</v>
      </c>
      <c r="C499" s="151">
        <v>43534</v>
      </c>
      <c r="D499" s="152">
        <v>0.37260300000000002</v>
      </c>
      <c r="E499" s="152" t="s">
        <v>1325</v>
      </c>
      <c r="F499" s="152" t="s">
        <v>1326</v>
      </c>
      <c r="G499" s="152"/>
      <c r="H499" s="152"/>
      <c r="I499" s="151">
        <v>43357</v>
      </c>
      <c r="J499" s="152">
        <v>5.6050000000000004</v>
      </c>
      <c r="K499" s="152" t="s">
        <v>1327</v>
      </c>
      <c r="L499" s="152" t="s">
        <v>1327</v>
      </c>
      <c r="M499" s="152" t="s">
        <v>1327</v>
      </c>
      <c r="N499" s="152" t="s">
        <v>1327</v>
      </c>
      <c r="O499" s="152">
        <v>5.7584869999999997</v>
      </c>
      <c r="P499" s="152">
        <v>426.828867</v>
      </c>
      <c r="Q499" s="152">
        <v>5.7584869999999997</v>
      </c>
      <c r="R499" s="152" t="s">
        <v>1327</v>
      </c>
      <c r="S499" s="152">
        <v>99.905835999999994</v>
      </c>
      <c r="T499" s="152">
        <v>0.67808199999999996</v>
      </c>
      <c r="U499" s="152">
        <v>0.36734600000000001</v>
      </c>
      <c r="V499" s="152">
        <v>0.22628899999999999</v>
      </c>
      <c r="W499" s="152">
        <v>1000</v>
      </c>
      <c r="X499" s="152" t="s">
        <v>23</v>
      </c>
      <c r="Y499" s="152" t="s">
        <v>1328</v>
      </c>
      <c r="Z499" s="152" t="s">
        <v>1327</v>
      </c>
    </row>
    <row r="500" spans="1:26" x14ac:dyDescent="0.2">
      <c r="A500" s="152" t="s">
        <v>1760</v>
      </c>
      <c r="B500" s="152">
        <v>5.5</v>
      </c>
      <c r="C500" s="151">
        <v>43646</v>
      </c>
      <c r="D500" s="152">
        <v>0.67945199999999994</v>
      </c>
      <c r="E500" s="152" t="s">
        <v>1325</v>
      </c>
      <c r="F500" s="152" t="s">
        <v>1326</v>
      </c>
      <c r="G500" s="152"/>
      <c r="H500" s="152"/>
      <c r="I500" s="151" t="s">
        <v>1327</v>
      </c>
      <c r="J500" s="152" t="s">
        <v>1327</v>
      </c>
      <c r="K500" s="152" t="s">
        <v>1327</v>
      </c>
      <c r="L500" s="152" t="s">
        <v>1327</v>
      </c>
      <c r="M500" s="152" t="s">
        <v>1327</v>
      </c>
      <c r="N500" s="152" t="s">
        <v>1327</v>
      </c>
      <c r="O500" s="152">
        <v>5.911918</v>
      </c>
      <c r="P500" s="152">
        <v>426.65832399999999</v>
      </c>
      <c r="Q500" s="152">
        <v>5.911918</v>
      </c>
      <c r="R500" s="152" t="s">
        <v>1327</v>
      </c>
      <c r="S500" s="152">
        <v>99.728848999999997</v>
      </c>
      <c r="T500" s="152">
        <v>0.37671199999999999</v>
      </c>
      <c r="U500" s="152">
        <v>0.66091</v>
      </c>
      <c r="V500" s="152">
        <v>0.60363599999999995</v>
      </c>
      <c r="W500" s="152">
        <v>1000</v>
      </c>
      <c r="X500" s="152" t="s">
        <v>23</v>
      </c>
      <c r="Y500" s="152" t="s">
        <v>1328</v>
      </c>
      <c r="Z500" s="152" t="s">
        <v>1327</v>
      </c>
    </row>
    <row r="501" spans="1:26" x14ac:dyDescent="0.2">
      <c r="A501" s="152" t="s">
        <v>1761</v>
      </c>
      <c r="B501" s="152">
        <v>6</v>
      </c>
      <c r="C501" s="151">
        <v>43744</v>
      </c>
      <c r="D501" s="152">
        <v>0.94794500000000004</v>
      </c>
      <c r="E501" s="152" t="s">
        <v>1325</v>
      </c>
      <c r="F501" s="152" t="s">
        <v>1326</v>
      </c>
      <c r="G501" s="152"/>
      <c r="H501" s="152"/>
      <c r="I501" s="151" t="s">
        <v>1327</v>
      </c>
      <c r="J501" s="152" t="s">
        <v>1327</v>
      </c>
      <c r="K501" s="152" t="s">
        <v>1327</v>
      </c>
      <c r="L501" s="152" t="s">
        <v>1327</v>
      </c>
      <c r="M501" s="152" t="s">
        <v>1327</v>
      </c>
      <c r="N501" s="152" t="s">
        <v>1327</v>
      </c>
      <c r="O501" s="152">
        <v>6.2117250000000004</v>
      </c>
      <c r="P501" s="152">
        <v>456.42322200000001</v>
      </c>
      <c r="Q501" s="152">
        <v>6.2117250000000004</v>
      </c>
      <c r="R501" s="152" t="s">
        <v>1327</v>
      </c>
      <c r="S501" s="152">
        <v>99.791962999999996</v>
      </c>
      <c r="T501" s="152">
        <v>0.31232900000000002</v>
      </c>
      <c r="U501" s="152">
        <v>0.91383300000000001</v>
      </c>
      <c r="V501" s="152">
        <v>1.072063</v>
      </c>
      <c r="W501" s="152">
        <v>1000</v>
      </c>
      <c r="X501" s="152" t="s">
        <v>23</v>
      </c>
      <c r="Y501" s="152" t="s">
        <v>1328</v>
      </c>
      <c r="Z501" s="152" t="s">
        <v>1327</v>
      </c>
    </row>
    <row r="502" spans="1:26" x14ac:dyDescent="0.2">
      <c r="A502" s="152" t="s">
        <v>1762</v>
      </c>
      <c r="B502" s="152">
        <v>6</v>
      </c>
      <c r="C502" s="151">
        <v>43868</v>
      </c>
      <c r="D502" s="152">
        <v>1.287671</v>
      </c>
      <c r="E502" s="152" t="s">
        <v>1325</v>
      </c>
      <c r="F502" s="152" t="s">
        <v>1326</v>
      </c>
      <c r="G502" s="152"/>
      <c r="H502" s="152"/>
      <c r="I502" s="151" t="s">
        <v>1327</v>
      </c>
      <c r="J502" s="152" t="s">
        <v>1327</v>
      </c>
      <c r="K502" s="152" t="s">
        <v>1327</v>
      </c>
      <c r="L502" s="152" t="s">
        <v>1327</v>
      </c>
      <c r="M502" s="152" t="s">
        <v>1327</v>
      </c>
      <c r="N502" s="152" t="s">
        <v>1327</v>
      </c>
      <c r="O502" s="152">
        <v>6.5095989999999997</v>
      </c>
      <c r="P502" s="152">
        <v>480.23631399999999</v>
      </c>
      <c r="Q502" s="152">
        <v>6.5095989999999997</v>
      </c>
      <c r="R502" s="152" t="s">
        <v>1327</v>
      </c>
      <c r="S502" s="152">
        <v>99.361569000000003</v>
      </c>
      <c r="T502" s="152">
        <v>1.2657529999999999</v>
      </c>
      <c r="U502" s="152">
        <v>1.2135929999999999</v>
      </c>
      <c r="V502" s="152">
        <v>1.8168960000000001</v>
      </c>
      <c r="W502" s="152">
        <v>1000</v>
      </c>
      <c r="X502" s="152" t="s">
        <v>23</v>
      </c>
      <c r="Y502" s="152" t="s">
        <v>1328</v>
      </c>
      <c r="Z502" s="152" t="s">
        <v>1327</v>
      </c>
    </row>
    <row r="503" spans="1:26" x14ac:dyDescent="0.2">
      <c r="A503" s="152" t="s">
        <v>1763</v>
      </c>
      <c r="B503" s="152">
        <v>6.5</v>
      </c>
      <c r="C503" s="151">
        <v>44018</v>
      </c>
      <c r="D503" s="152">
        <v>1.6986300000000001</v>
      </c>
      <c r="E503" s="152" t="s">
        <v>1325</v>
      </c>
      <c r="F503" s="152" t="s">
        <v>1326</v>
      </c>
      <c r="G503" s="152"/>
      <c r="H503" s="152"/>
      <c r="I503" s="152" t="s">
        <v>1327</v>
      </c>
      <c r="J503" s="152" t="s">
        <v>1327</v>
      </c>
      <c r="K503" s="152" t="s">
        <v>1327</v>
      </c>
      <c r="L503" s="152" t="s">
        <v>1327</v>
      </c>
      <c r="M503" s="152" t="s">
        <v>1327</v>
      </c>
      <c r="N503" s="152" t="s">
        <v>1327</v>
      </c>
      <c r="O503" s="152">
        <v>6.7430199999999996</v>
      </c>
      <c r="P503" s="152">
        <v>494.72387500000002</v>
      </c>
      <c r="Q503" s="152">
        <v>6.7430199999999996</v>
      </c>
      <c r="R503" s="152" t="s">
        <v>1327</v>
      </c>
      <c r="S503" s="152">
        <v>99.597211999999999</v>
      </c>
      <c r="T503" s="152">
        <v>0.33835599999999999</v>
      </c>
      <c r="U503" s="152">
        <v>1.5912310000000001</v>
      </c>
      <c r="V503" s="152">
        <v>3.0033210000000001</v>
      </c>
      <c r="W503" s="152">
        <v>1000</v>
      </c>
      <c r="X503" s="152" t="s">
        <v>23</v>
      </c>
      <c r="Y503" s="152" t="s">
        <v>1328</v>
      </c>
      <c r="Z503" s="152" t="s">
        <v>1327</v>
      </c>
    </row>
    <row r="504" spans="1:26" x14ac:dyDescent="0.2">
      <c r="A504" s="152" t="s">
        <v>1764</v>
      </c>
      <c r="B504" s="152">
        <v>6.5</v>
      </c>
      <c r="C504" s="152">
        <v>44088</v>
      </c>
      <c r="D504" s="152">
        <v>1.8904110000000001</v>
      </c>
      <c r="E504" s="152" t="s">
        <v>1325</v>
      </c>
      <c r="F504" s="152" t="s">
        <v>1326</v>
      </c>
      <c r="G504" s="152"/>
      <c r="H504" s="152"/>
      <c r="I504" s="152" t="s">
        <v>1327</v>
      </c>
      <c r="J504" s="152" t="s">
        <v>1327</v>
      </c>
      <c r="K504" s="152" t="s">
        <v>1327</v>
      </c>
      <c r="L504" s="152" t="s">
        <v>1327</v>
      </c>
      <c r="M504" s="152" t="s">
        <v>1327</v>
      </c>
      <c r="N504" s="152" t="s">
        <v>1327</v>
      </c>
      <c r="O504" s="152">
        <v>6.5510950000000001</v>
      </c>
      <c r="P504" s="152">
        <v>469.45029599999998</v>
      </c>
      <c r="Q504" s="152">
        <v>6.5510950000000001</v>
      </c>
      <c r="R504" s="152" t="s">
        <v>1327</v>
      </c>
      <c r="S504" s="152">
        <v>99.911180000000002</v>
      </c>
      <c r="T504" s="152">
        <v>0.73013700000000004</v>
      </c>
      <c r="U504" s="152">
        <v>1.749843</v>
      </c>
      <c r="V504" s="152">
        <v>3.6135090000000001</v>
      </c>
      <c r="W504" s="152">
        <v>1000</v>
      </c>
      <c r="X504" s="152" t="s">
        <v>23</v>
      </c>
      <c r="Y504" s="152" t="s">
        <v>1328</v>
      </c>
      <c r="Z504" s="152" t="s">
        <v>1327</v>
      </c>
    </row>
    <row r="505" spans="1:26" x14ac:dyDescent="0.2">
      <c r="A505" s="152" t="s">
        <v>1765</v>
      </c>
      <c r="B505" s="152">
        <v>5.8</v>
      </c>
      <c r="C505" s="151">
        <v>44109</v>
      </c>
      <c r="D505" s="152">
        <v>1.947945</v>
      </c>
      <c r="E505" s="152" t="s">
        <v>1325</v>
      </c>
      <c r="F505" s="152" t="s">
        <v>1326</v>
      </c>
      <c r="G505" s="152"/>
      <c r="H505" s="152"/>
      <c r="I505" s="152" t="s">
        <v>1327</v>
      </c>
      <c r="J505" s="152" t="s">
        <v>1327</v>
      </c>
      <c r="K505" s="152" t="s">
        <v>1327</v>
      </c>
      <c r="L505" s="152" t="s">
        <v>1327</v>
      </c>
      <c r="M505" s="152" t="s">
        <v>1327</v>
      </c>
      <c r="N505" s="152" t="s">
        <v>1327</v>
      </c>
      <c r="O505" s="152">
        <v>6.3386760000000004</v>
      </c>
      <c r="P505" s="152">
        <v>447.31185699999997</v>
      </c>
      <c r="Q505" s="152">
        <v>6.3386760000000004</v>
      </c>
      <c r="R505" s="152" t="s">
        <v>1327</v>
      </c>
      <c r="S505" s="152">
        <v>99.006670999999997</v>
      </c>
      <c r="T505" s="152">
        <v>0.31780799999999998</v>
      </c>
      <c r="U505" s="152">
        <v>1.820568</v>
      </c>
      <c r="V505" s="152">
        <v>3.8728600000000002</v>
      </c>
      <c r="W505" s="152">
        <v>1000</v>
      </c>
      <c r="X505" s="152" t="s">
        <v>23</v>
      </c>
      <c r="Y505" s="152" t="s">
        <v>1328</v>
      </c>
      <c r="Z505" s="152" t="s">
        <v>1327</v>
      </c>
    </row>
    <row r="506" spans="1:26" x14ac:dyDescent="0.2">
      <c r="A506" s="152" t="s">
        <v>1766</v>
      </c>
      <c r="B506" s="152">
        <v>2.87</v>
      </c>
      <c r="C506" s="151">
        <v>43517</v>
      </c>
      <c r="D506" s="152">
        <v>0.32602700000000001</v>
      </c>
      <c r="E506" s="152" t="s">
        <v>1325</v>
      </c>
      <c r="F506" s="152" t="s">
        <v>1326</v>
      </c>
      <c r="G506" s="152"/>
      <c r="H506" s="152" t="s">
        <v>500</v>
      </c>
      <c r="I506" s="152" t="s">
        <v>1327</v>
      </c>
      <c r="J506" s="152" t="s">
        <v>1327</v>
      </c>
      <c r="K506" s="152" t="s">
        <v>1327</v>
      </c>
      <c r="L506" s="152" t="s">
        <v>1327</v>
      </c>
      <c r="M506" s="152" t="s">
        <v>1327</v>
      </c>
      <c r="N506" s="152" t="s">
        <v>1327</v>
      </c>
      <c r="O506" s="152">
        <v>2.2082540000000002</v>
      </c>
      <c r="P506" s="152">
        <v>58.871837999999997</v>
      </c>
      <c r="Q506" s="152">
        <v>2.2082540000000002</v>
      </c>
      <c r="R506" s="152" t="s">
        <v>1327</v>
      </c>
      <c r="S506" s="152">
        <v>100.20021699999999</v>
      </c>
      <c r="T506" s="152">
        <v>0.51109599999999999</v>
      </c>
      <c r="U506" s="152">
        <v>0.322467</v>
      </c>
      <c r="V506" s="152">
        <v>0.26345800000000003</v>
      </c>
      <c r="W506" s="152">
        <v>1000</v>
      </c>
      <c r="X506" s="152" t="s">
        <v>23</v>
      </c>
      <c r="Y506" s="152" t="s">
        <v>1328</v>
      </c>
      <c r="Z506" s="152" t="s">
        <v>1327</v>
      </c>
    </row>
    <row r="507" spans="1:26" x14ac:dyDescent="0.2">
      <c r="A507" s="152" t="s">
        <v>1767</v>
      </c>
      <c r="B507" s="152">
        <v>2.5</v>
      </c>
      <c r="C507" s="151">
        <v>43676</v>
      </c>
      <c r="D507" s="152">
        <v>0.76164399999999999</v>
      </c>
      <c r="E507" s="152" t="s">
        <v>1325</v>
      </c>
      <c r="F507" s="152" t="s">
        <v>1326</v>
      </c>
      <c r="G507" s="152"/>
      <c r="H507" s="152" t="s">
        <v>500</v>
      </c>
      <c r="I507" s="152">
        <v>42627</v>
      </c>
      <c r="J507" s="152">
        <v>2.5</v>
      </c>
      <c r="K507" s="152" t="s">
        <v>1327</v>
      </c>
      <c r="L507" s="152" t="s">
        <v>1327</v>
      </c>
      <c r="M507" s="152" t="s">
        <v>1327</v>
      </c>
      <c r="N507" s="152" t="s">
        <v>1327</v>
      </c>
      <c r="O507" s="152">
        <v>2.3694109999999999</v>
      </c>
      <c r="P507" s="152">
        <v>59.713886000000002</v>
      </c>
      <c r="Q507" s="152">
        <v>2.3694109999999999</v>
      </c>
      <c r="R507" s="152" t="s">
        <v>1327</v>
      </c>
      <c r="S507" s="152">
        <v>100.098652</v>
      </c>
      <c r="T507" s="152">
        <v>-3.4247E-2</v>
      </c>
      <c r="U507" s="152">
        <v>0.754583</v>
      </c>
      <c r="V507" s="152">
        <v>0.75882300000000003</v>
      </c>
      <c r="W507" s="152">
        <v>1000</v>
      </c>
      <c r="X507" s="152" t="s">
        <v>23</v>
      </c>
      <c r="Y507" s="152" t="s">
        <v>1328</v>
      </c>
      <c r="Z507" s="152" t="s">
        <v>1327</v>
      </c>
    </row>
    <row r="508" spans="1:26" x14ac:dyDescent="0.2">
      <c r="A508" s="152" t="s">
        <v>1768</v>
      </c>
      <c r="B508" s="152">
        <v>2.73</v>
      </c>
      <c r="C508" s="151">
        <v>43820</v>
      </c>
      <c r="D508" s="152">
        <v>1.156164</v>
      </c>
      <c r="E508" s="152" t="s">
        <v>1325</v>
      </c>
      <c r="F508" s="152" t="s">
        <v>1326</v>
      </c>
      <c r="G508" s="152"/>
      <c r="H508" s="152" t="s">
        <v>500</v>
      </c>
      <c r="I508" s="152">
        <v>43109</v>
      </c>
      <c r="J508" s="152">
        <v>2.105</v>
      </c>
      <c r="K508" s="152" t="s">
        <v>1327</v>
      </c>
      <c r="L508" s="152" t="s">
        <v>1327</v>
      </c>
      <c r="M508" s="152" t="s">
        <v>1327</v>
      </c>
      <c r="N508" s="152" t="s">
        <v>1327</v>
      </c>
      <c r="O508" s="152">
        <v>2.4192559999999999</v>
      </c>
      <c r="P508" s="152">
        <v>60.265231</v>
      </c>
      <c r="Q508" s="152">
        <v>2.4192559999999999</v>
      </c>
      <c r="R508" s="152" t="s">
        <v>1327</v>
      </c>
      <c r="S508" s="152">
        <v>100.354629</v>
      </c>
      <c r="T508" s="152">
        <v>0.254301</v>
      </c>
      <c r="U508" s="152">
        <v>1.1325210000000001</v>
      </c>
      <c r="V508" s="152">
        <v>1.576222</v>
      </c>
      <c r="W508" s="152">
        <v>1000</v>
      </c>
      <c r="X508" s="152" t="s">
        <v>23</v>
      </c>
      <c r="Y508" s="152" t="s">
        <v>1328</v>
      </c>
      <c r="Z508" s="152" t="s">
        <v>1327</v>
      </c>
    </row>
    <row r="509" spans="1:26" x14ac:dyDescent="0.2">
      <c r="A509" s="152" t="s">
        <v>1769</v>
      </c>
      <c r="B509" s="152">
        <v>2.5</v>
      </c>
      <c r="C509" s="151">
        <v>44061</v>
      </c>
      <c r="D509" s="152">
        <v>1.816438</v>
      </c>
      <c r="E509" s="152" t="s">
        <v>1325</v>
      </c>
      <c r="F509" s="152" t="s">
        <v>1326</v>
      </c>
      <c r="G509" s="152"/>
      <c r="H509" s="152" t="s">
        <v>500</v>
      </c>
      <c r="I509" s="152" t="s">
        <v>1327</v>
      </c>
      <c r="J509" s="152" t="s">
        <v>1327</v>
      </c>
      <c r="K509" s="152" t="s">
        <v>1327</v>
      </c>
      <c r="L509" s="152" t="s">
        <v>1327</v>
      </c>
      <c r="M509" s="152" t="s">
        <v>1327</v>
      </c>
      <c r="N509" s="152" t="s">
        <v>1327</v>
      </c>
      <c r="O509" s="152">
        <v>2.5959669999999999</v>
      </c>
      <c r="P509" s="152">
        <v>61.902472000000003</v>
      </c>
      <c r="Q509" s="152">
        <v>2.5959669999999999</v>
      </c>
      <c r="R509" s="152" t="s">
        <v>1327</v>
      </c>
      <c r="S509" s="152">
        <v>99.824798999999999</v>
      </c>
      <c r="T509" s="152">
        <v>0.46575299999999997</v>
      </c>
      <c r="U509" s="152">
        <v>1.761331</v>
      </c>
      <c r="V509" s="152">
        <v>3.5912090000000001</v>
      </c>
      <c r="W509" s="152">
        <v>1000</v>
      </c>
      <c r="X509" s="152" t="s">
        <v>23</v>
      </c>
      <c r="Y509" s="152" t="s">
        <v>1328</v>
      </c>
      <c r="Z509" s="152" t="s">
        <v>1327</v>
      </c>
    </row>
    <row r="510" spans="1:26" x14ac:dyDescent="0.2">
      <c r="A510" s="152" t="s">
        <v>1770</v>
      </c>
      <c r="B510" s="152">
        <v>2.5</v>
      </c>
      <c r="C510" s="151">
        <v>44088</v>
      </c>
      <c r="D510" s="152">
        <v>1.8904110000000001</v>
      </c>
      <c r="E510" s="152" t="s">
        <v>1325</v>
      </c>
      <c r="F510" s="152" t="s">
        <v>1326</v>
      </c>
      <c r="G510" s="152"/>
      <c r="H510" s="152" t="s">
        <v>500</v>
      </c>
      <c r="I510" s="152" t="s">
        <v>1327</v>
      </c>
      <c r="J510" s="152" t="s">
        <v>1327</v>
      </c>
      <c r="K510" s="152" t="s">
        <v>1327</v>
      </c>
      <c r="L510" s="152" t="s">
        <v>1327</v>
      </c>
      <c r="M510" s="152" t="s">
        <v>1327</v>
      </c>
      <c r="N510" s="152" t="s">
        <v>1327</v>
      </c>
      <c r="O510" s="152">
        <v>2.6350250000000002</v>
      </c>
      <c r="P510" s="152">
        <v>62.969797</v>
      </c>
      <c r="Q510" s="152">
        <v>2.6350250000000002</v>
      </c>
      <c r="R510" s="152" t="s">
        <v>1327</v>
      </c>
      <c r="S510" s="152">
        <v>99.762275000000002</v>
      </c>
      <c r="T510" s="152">
        <v>0.28082200000000002</v>
      </c>
      <c r="U510" s="152">
        <v>1.8227580000000001</v>
      </c>
      <c r="V510" s="152">
        <v>4.2625960000000003</v>
      </c>
      <c r="W510" s="152">
        <v>1000</v>
      </c>
      <c r="X510" s="152" t="s">
        <v>23</v>
      </c>
      <c r="Y510" s="152" t="s">
        <v>1328</v>
      </c>
      <c r="Z510" s="152" t="s">
        <v>1327</v>
      </c>
    </row>
    <row r="511" spans="1:26" x14ac:dyDescent="0.2">
      <c r="A511" s="152" t="s">
        <v>1771</v>
      </c>
      <c r="B511" s="152">
        <v>2.5</v>
      </c>
      <c r="C511" s="151">
        <v>44095</v>
      </c>
      <c r="D511" s="152">
        <v>1.909589</v>
      </c>
      <c r="E511" s="152" t="s">
        <v>1325</v>
      </c>
      <c r="F511" s="152" t="s">
        <v>1326</v>
      </c>
      <c r="G511" s="152"/>
      <c r="H511" s="152" t="s">
        <v>500</v>
      </c>
      <c r="I511" s="152" t="s">
        <v>1327</v>
      </c>
      <c r="J511" s="152" t="s">
        <v>1327</v>
      </c>
      <c r="K511" s="152" t="s">
        <v>1327</v>
      </c>
      <c r="L511" s="152" t="s">
        <v>1327</v>
      </c>
      <c r="M511" s="152" t="s">
        <v>1327</v>
      </c>
      <c r="N511" s="152" t="s">
        <v>1327</v>
      </c>
      <c r="O511" s="152">
        <v>2.6398920000000001</v>
      </c>
      <c r="P511" s="152">
        <v>63.200007999999997</v>
      </c>
      <c r="Q511" s="152">
        <v>2.6398920000000001</v>
      </c>
      <c r="R511" s="152" t="s">
        <v>1327</v>
      </c>
      <c r="S511" s="152">
        <v>99.751043999999993</v>
      </c>
      <c r="T511" s="152">
        <v>0.232877</v>
      </c>
      <c r="U511" s="152">
        <v>1.8416399999999999</v>
      </c>
      <c r="V511" s="152">
        <v>4.3410859999999998</v>
      </c>
      <c r="W511" s="152">
        <v>1000</v>
      </c>
      <c r="X511" s="152" t="s">
        <v>23</v>
      </c>
      <c r="Y511" s="152" t="s">
        <v>1328</v>
      </c>
      <c r="Z511" s="152" t="s">
        <v>1327</v>
      </c>
    </row>
    <row r="512" spans="1:26" x14ac:dyDescent="0.2">
      <c r="A512" s="152" t="s">
        <v>1772</v>
      </c>
      <c r="B512" s="152">
        <v>2.37</v>
      </c>
      <c r="C512" s="151">
        <v>44180</v>
      </c>
      <c r="D512" s="152">
        <v>2.1424660000000002</v>
      </c>
      <c r="E512" s="152" t="s">
        <v>1325</v>
      </c>
      <c r="F512" s="152" t="s">
        <v>1326</v>
      </c>
      <c r="G512" s="152"/>
      <c r="H512" s="152" t="s">
        <v>500</v>
      </c>
      <c r="I512" s="152">
        <v>43168</v>
      </c>
      <c r="J512" s="152">
        <v>2.14</v>
      </c>
      <c r="K512" s="152" t="s">
        <v>1327</v>
      </c>
      <c r="L512" s="152" t="s">
        <v>1327</v>
      </c>
      <c r="M512" s="152" t="s">
        <v>1327</v>
      </c>
      <c r="N512" s="152" t="s">
        <v>1327</v>
      </c>
      <c r="O512" s="152">
        <v>2.6700279999999998</v>
      </c>
      <c r="P512" s="152">
        <v>64.360588000000007</v>
      </c>
      <c r="Q512" s="152">
        <v>2.6700279999999998</v>
      </c>
      <c r="R512" s="152" t="s">
        <v>1327</v>
      </c>
      <c r="S512" s="152">
        <v>99.375197999999997</v>
      </c>
      <c r="T512" s="152">
        <v>0.85709599999999997</v>
      </c>
      <c r="U512" s="152">
        <v>2.054179</v>
      </c>
      <c r="V512" s="152">
        <v>5.3151970000000004</v>
      </c>
      <c r="W512" s="152">
        <v>1000</v>
      </c>
      <c r="X512" s="152" t="s">
        <v>23</v>
      </c>
      <c r="Y512" s="152" t="s">
        <v>1328</v>
      </c>
      <c r="Z512" s="152" t="s">
        <v>1327</v>
      </c>
    </row>
    <row r="513" spans="1:26" x14ac:dyDescent="0.2">
      <c r="A513" s="152" t="s">
        <v>1773</v>
      </c>
      <c r="B513" s="152">
        <v>3.48</v>
      </c>
      <c r="C513" s="151">
        <v>44551</v>
      </c>
      <c r="D513" s="152">
        <v>3.1589040000000002</v>
      </c>
      <c r="E513" s="152" t="s">
        <v>1325</v>
      </c>
      <c r="F513" s="152" t="s">
        <v>1326</v>
      </c>
      <c r="G513" s="152"/>
      <c r="H513" s="152" t="s">
        <v>500</v>
      </c>
      <c r="I513" s="151">
        <v>43004</v>
      </c>
      <c r="J513" s="152">
        <v>2.74</v>
      </c>
      <c r="K513" s="152" t="s">
        <v>1327</v>
      </c>
      <c r="L513" s="152" t="s">
        <v>1327</v>
      </c>
      <c r="M513" s="152" t="s">
        <v>1327</v>
      </c>
      <c r="N513" s="152" t="s">
        <v>1327</v>
      </c>
      <c r="O513" s="152">
        <v>3.0437159999999999</v>
      </c>
      <c r="P513" s="152">
        <v>91.098817999999994</v>
      </c>
      <c r="Q513" s="152">
        <v>3.0437159999999999</v>
      </c>
      <c r="R513" s="152" t="s">
        <v>1327</v>
      </c>
      <c r="S513" s="152">
        <v>101.309787</v>
      </c>
      <c r="T513" s="152">
        <v>0.32416400000000001</v>
      </c>
      <c r="U513" s="152">
        <v>2.9719310000000001</v>
      </c>
      <c r="V513" s="152">
        <v>9.8782209999999999</v>
      </c>
      <c r="W513" s="152">
        <v>1000</v>
      </c>
      <c r="X513" s="152" t="s">
        <v>23</v>
      </c>
      <c r="Y513" s="152" t="s">
        <v>1328</v>
      </c>
      <c r="Z513" s="152" t="s">
        <v>1327</v>
      </c>
    </row>
    <row r="514" spans="1:26" x14ac:dyDescent="0.2">
      <c r="A514" s="152" t="s">
        <v>1774</v>
      </c>
      <c r="B514" s="152">
        <v>2.93</v>
      </c>
      <c r="C514" s="151">
        <v>44910</v>
      </c>
      <c r="D514" s="152">
        <v>4.1424659999999998</v>
      </c>
      <c r="E514" s="152" t="s">
        <v>1325</v>
      </c>
      <c r="F514" s="152" t="s">
        <v>1326</v>
      </c>
      <c r="G514" s="152"/>
      <c r="H514" s="152" t="s">
        <v>500</v>
      </c>
      <c r="I514" s="151">
        <v>43214</v>
      </c>
      <c r="J514" s="152">
        <v>2.78</v>
      </c>
      <c r="K514" s="152" t="s">
        <v>1327</v>
      </c>
      <c r="L514" s="152" t="s">
        <v>1327</v>
      </c>
      <c r="M514" s="152" t="s">
        <v>1327</v>
      </c>
      <c r="N514" s="152" t="s">
        <v>1327</v>
      </c>
      <c r="O514" s="152">
        <v>3.3156119999999998</v>
      </c>
      <c r="P514" s="152">
        <v>97.613100000000003</v>
      </c>
      <c r="Q514" s="152">
        <v>3.3156119999999998</v>
      </c>
      <c r="R514" s="152" t="s">
        <v>1327</v>
      </c>
      <c r="S514" s="152">
        <v>98.513355000000004</v>
      </c>
      <c r="T514" s="152">
        <v>1.0596159999999999</v>
      </c>
      <c r="U514" s="152">
        <v>3.8225289999999998</v>
      </c>
      <c r="V514" s="152">
        <v>17.133168000000001</v>
      </c>
      <c r="W514" s="152">
        <v>1000</v>
      </c>
      <c r="X514" s="152" t="s">
        <v>23</v>
      </c>
      <c r="Y514" s="152" t="s">
        <v>1328</v>
      </c>
      <c r="Z514" s="152" t="s">
        <v>1327</v>
      </c>
    </row>
    <row r="515" spans="1:26" x14ac:dyDescent="0.2">
      <c r="A515" s="152" t="s">
        <v>1775</v>
      </c>
      <c r="B515" s="152">
        <v>3.1</v>
      </c>
      <c r="C515" s="151">
        <v>43627</v>
      </c>
      <c r="D515" s="152">
        <v>0.62739699999999998</v>
      </c>
      <c r="E515" s="152" t="s">
        <v>1325</v>
      </c>
      <c r="F515" s="152" t="s">
        <v>1326</v>
      </c>
      <c r="G515" s="152"/>
      <c r="H515" s="152"/>
      <c r="I515" s="151" t="s">
        <v>1327</v>
      </c>
      <c r="J515" s="152" t="s">
        <v>1327</v>
      </c>
      <c r="K515" s="152" t="s">
        <v>1327</v>
      </c>
      <c r="L515" s="152" t="s">
        <v>1327</v>
      </c>
      <c r="M515" s="152" t="s">
        <v>1327</v>
      </c>
      <c r="N515" s="152" t="s">
        <v>1327</v>
      </c>
      <c r="O515" s="152">
        <v>3.1513640000000001</v>
      </c>
      <c r="P515" s="152">
        <v>142.36526000000001</v>
      </c>
      <c r="Q515" s="152">
        <v>3.1513640000000001</v>
      </c>
      <c r="R515" s="152" t="s">
        <v>1327</v>
      </c>
      <c r="S515" s="152">
        <v>99.969724999999997</v>
      </c>
      <c r="T515" s="152">
        <v>0.288767</v>
      </c>
      <c r="U515" s="152">
        <v>0.62056699999999998</v>
      </c>
      <c r="V515" s="152">
        <v>0.54108900000000004</v>
      </c>
      <c r="W515" s="152">
        <v>1000</v>
      </c>
      <c r="X515" s="152" t="s">
        <v>23</v>
      </c>
      <c r="Y515" s="152" t="s">
        <v>1328</v>
      </c>
      <c r="Z515" s="152" t="s">
        <v>1327</v>
      </c>
    </row>
    <row r="516" spans="1:26" x14ac:dyDescent="0.2">
      <c r="A516" s="152" t="s">
        <v>1776</v>
      </c>
      <c r="B516" s="152">
        <v>3.09</v>
      </c>
      <c r="C516" s="151">
        <v>44110</v>
      </c>
      <c r="D516" s="152">
        <v>1.950685</v>
      </c>
      <c r="E516" s="152" t="s">
        <v>1325</v>
      </c>
      <c r="F516" s="152" t="s">
        <v>1326</v>
      </c>
      <c r="G516" s="152"/>
      <c r="H516" s="152"/>
      <c r="I516" s="151" t="s">
        <v>1327</v>
      </c>
      <c r="J516" s="152" t="s">
        <v>1327</v>
      </c>
      <c r="K516" s="152" t="s">
        <v>1327</v>
      </c>
      <c r="L516" s="152" t="s">
        <v>1327</v>
      </c>
      <c r="M516" s="152" t="s">
        <v>1327</v>
      </c>
      <c r="N516" s="152" t="s">
        <v>1327</v>
      </c>
      <c r="O516" s="152">
        <v>3.418777</v>
      </c>
      <c r="P516" s="152">
        <v>142.02552</v>
      </c>
      <c r="Q516" s="152">
        <v>3.418777</v>
      </c>
      <c r="R516" s="152" t="s">
        <v>1327</v>
      </c>
      <c r="S516" s="152">
        <v>99.388890000000004</v>
      </c>
      <c r="T516" s="152">
        <v>0.16084899999999999</v>
      </c>
      <c r="U516" s="152">
        <v>1.8692740000000001</v>
      </c>
      <c r="V516" s="152">
        <v>4.4624740000000003</v>
      </c>
      <c r="W516" s="152">
        <v>1000</v>
      </c>
      <c r="X516" s="152" t="s">
        <v>23</v>
      </c>
      <c r="Y516" s="152" t="s">
        <v>1328</v>
      </c>
      <c r="Z516" s="152" t="s">
        <v>1327</v>
      </c>
    </row>
    <row r="517" spans="1:26" x14ac:dyDescent="0.2">
      <c r="A517" s="152" t="s">
        <v>1777</v>
      </c>
      <c r="B517" s="152">
        <v>3.75</v>
      </c>
      <c r="C517" s="151">
        <v>44465</v>
      </c>
      <c r="D517" s="152">
        <v>2.9232879999999999</v>
      </c>
      <c r="E517" s="152" t="s">
        <v>1325</v>
      </c>
      <c r="F517" s="152" t="s">
        <v>1326</v>
      </c>
      <c r="G517" s="152"/>
      <c r="H517" s="152"/>
      <c r="I517" s="152" t="s">
        <v>1327</v>
      </c>
      <c r="J517" s="152" t="s">
        <v>1327</v>
      </c>
      <c r="K517" s="152" t="s">
        <v>1327</v>
      </c>
      <c r="L517" s="152" t="s">
        <v>1327</v>
      </c>
      <c r="M517" s="152" t="s">
        <v>1327</v>
      </c>
      <c r="N517" s="152" t="s">
        <v>1327</v>
      </c>
      <c r="O517" s="152">
        <v>3.757701</v>
      </c>
      <c r="P517" s="152">
        <v>167.629333</v>
      </c>
      <c r="Q517" s="152">
        <v>3.757701</v>
      </c>
      <c r="R517" s="152" t="s">
        <v>1327</v>
      </c>
      <c r="S517" s="152">
        <v>99.976517999999999</v>
      </c>
      <c r="T517" s="152">
        <v>0.29794500000000002</v>
      </c>
      <c r="U517" s="152">
        <v>2.734477</v>
      </c>
      <c r="V517" s="152">
        <v>9.0412689999999998</v>
      </c>
      <c r="W517" s="152">
        <v>1000</v>
      </c>
      <c r="X517" s="152" t="s">
        <v>23</v>
      </c>
      <c r="Y517" s="152" t="s">
        <v>1328</v>
      </c>
      <c r="Z517" s="152" t="s">
        <v>1327</v>
      </c>
    </row>
    <row r="518" spans="1:26" x14ac:dyDescent="0.2">
      <c r="A518" s="152" t="s">
        <v>1778</v>
      </c>
      <c r="B518" s="152">
        <v>3.5</v>
      </c>
      <c r="C518" s="151">
        <v>45133</v>
      </c>
      <c r="D518" s="152">
        <v>4.753425</v>
      </c>
      <c r="E518" s="152" t="s">
        <v>1325</v>
      </c>
      <c r="F518" s="152" t="s">
        <v>1326</v>
      </c>
      <c r="G518" s="152"/>
      <c r="H518" s="152"/>
      <c r="I518" s="151" t="s">
        <v>1327</v>
      </c>
      <c r="J518" s="152" t="s">
        <v>1327</v>
      </c>
      <c r="K518" s="152" t="s">
        <v>1327</v>
      </c>
      <c r="L518" s="152" t="s">
        <v>1327</v>
      </c>
      <c r="M518" s="152" t="s">
        <v>1327</v>
      </c>
      <c r="N518" s="152" t="s">
        <v>1327</v>
      </c>
      <c r="O518" s="152">
        <v>3.9051830000000001</v>
      </c>
      <c r="P518" s="152">
        <v>153.61510000000001</v>
      </c>
      <c r="Q518" s="152">
        <v>3.9051830000000001</v>
      </c>
      <c r="R518" s="152" t="s">
        <v>1327</v>
      </c>
      <c r="S518" s="152">
        <v>98.242191000000005</v>
      </c>
      <c r="T518" s="152">
        <v>0.23972599999999999</v>
      </c>
      <c r="U518" s="152">
        <v>4.3441840000000003</v>
      </c>
      <c r="V518" s="152">
        <v>20.961383000000001</v>
      </c>
      <c r="W518" s="152">
        <v>1000</v>
      </c>
      <c r="X518" s="152" t="s">
        <v>23</v>
      </c>
      <c r="Y518" s="152" t="s">
        <v>1328</v>
      </c>
      <c r="Z518" s="152" t="s">
        <v>1327</v>
      </c>
    </row>
    <row r="519" spans="1:26" x14ac:dyDescent="0.2">
      <c r="A519" s="152" t="s">
        <v>1779</v>
      </c>
      <c r="B519" s="152">
        <v>6.5</v>
      </c>
      <c r="C519" s="151">
        <v>43750</v>
      </c>
      <c r="D519" s="152">
        <v>0.96438400000000002</v>
      </c>
      <c r="E519" s="152" t="s">
        <v>1325</v>
      </c>
      <c r="F519" s="152" t="s">
        <v>1326</v>
      </c>
      <c r="G519" s="152"/>
      <c r="H519" s="152"/>
      <c r="I519" s="151">
        <v>43391</v>
      </c>
      <c r="J519" s="152">
        <v>6.75</v>
      </c>
      <c r="K519" s="152" t="s">
        <v>1327</v>
      </c>
      <c r="L519" s="152" t="s">
        <v>1327</v>
      </c>
      <c r="M519" s="152" t="s">
        <v>1327</v>
      </c>
      <c r="N519" s="152" t="s">
        <v>1327</v>
      </c>
      <c r="O519" s="152">
        <v>6.7587739999999998</v>
      </c>
      <c r="P519" s="152">
        <v>513.83504600000003</v>
      </c>
      <c r="Q519" s="152">
        <v>6.7587739999999998</v>
      </c>
      <c r="R519" s="152" t="s">
        <v>1327</v>
      </c>
      <c r="S519" s="152">
        <v>99.744926000000007</v>
      </c>
      <c r="T519" s="152">
        <v>0.23150699999999999</v>
      </c>
      <c r="U519" s="152">
        <v>0.92701</v>
      </c>
      <c r="V519" s="152">
        <v>1.100163</v>
      </c>
      <c r="W519" s="152">
        <v>1000</v>
      </c>
      <c r="X519" s="152" t="s">
        <v>23</v>
      </c>
      <c r="Y519" s="152" t="s">
        <v>1328</v>
      </c>
      <c r="Z519" s="152" t="s">
        <v>1327</v>
      </c>
    </row>
    <row r="520" spans="1:26" x14ac:dyDescent="0.2">
      <c r="A520" s="152" t="s">
        <v>1780</v>
      </c>
      <c r="B520" s="152">
        <v>6.5</v>
      </c>
      <c r="C520" s="151">
        <v>43976</v>
      </c>
      <c r="D520" s="152">
        <v>1.5835619999999999</v>
      </c>
      <c r="E520" s="152" t="s">
        <v>1325</v>
      </c>
      <c r="F520" s="152" t="s">
        <v>1326</v>
      </c>
      <c r="G520" s="152"/>
      <c r="H520" s="152"/>
      <c r="I520" s="151" t="s">
        <v>1327</v>
      </c>
      <c r="J520" s="152" t="s">
        <v>1327</v>
      </c>
      <c r="K520" s="152" t="s">
        <v>1327</v>
      </c>
      <c r="L520" s="152" t="s">
        <v>1327</v>
      </c>
      <c r="M520" s="152" t="s">
        <v>1327</v>
      </c>
      <c r="N520" s="152" t="s">
        <v>1327</v>
      </c>
      <c r="O520" s="152">
        <v>6.8468229999999997</v>
      </c>
      <c r="P520" s="152">
        <v>508.34539599999999</v>
      </c>
      <c r="Q520" s="152">
        <v>6.8468229999999997</v>
      </c>
      <c r="R520" s="152" t="s">
        <v>1327</v>
      </c>
      <c r="S520" s="152">
        <v>99.466808</v>
      </c>
      <c r="T520" s="152">
        <v>1.086301</v>
      </c>
      <c r="U520" s="152">
        <v>1.4776100000000001</v>
      </c>
      <c r="V520" s="152">
        <v>2.626655</v>
      </c>
      <c r="W520" s="152">
        <v>1000</v>
      </c>
      <c r="X520" s="152" t="s">
        <v>23</v>
      </c>
      <c r="Y520" s="152" t="s">
        <v>1328</v>
      </c>
      <c r="Z520" s="152" t="s">
        <v>1327</v>
      </c>
    </row>
    <row r="521" spans="1:26" x14ac:dyDescent="0.2">
      <c r="A521" s="152" t="s">
        <v>1781</v>
      </c>
      <c r="B521" s="152">
        <v>6.75</v>
      </c>
      <c r="C521" s="151">
        <v>44119</v>
      </c>
      <c r="D521" s="152">
        <v>1.9753419999999999</v>
      </c>
      <c r="E521" s="152" t="s">
        <v>1325</v>
      </c>
      <c r="F521" s="152" t="s">
        <v>1326</v>
      </c>
      <c r="G521" s="152"/>
      <c r="H521" s="152"/>
      <c r="I521" s="152" t="s">
        <v>1327</v>
      </c>
      <c r="J521" s="152" t="s">
        <v>1327</v>
      </c>
      <c r="K521" s="152" t="s">
        <v>1327</v>
      </c>
      <c r="L521" s="152" t="s">
        <v>1327</v>
      </c>
      <c r="M521" s="152" t="s">
        <v>1327</v>
      </c>
      <c r="N521" s="152" t="s">
        <v>1327</v>
      </c>
      <c r="O521" s="152">
        <v>6.7456100000000001</v>
      </c>
      <c r="P521" s="152">
        <v>490.52333900000002</v>
      </c>
      <c r="Q521" s="152">
        <v>6.7456100000000001</v>
      </c>
      <c r="R521" s="152" t="s">
        <v>1327</v>
      </c>
      <c r="S521" s="152">
        <v>99.993590999999995</v>
      </c>
      <c r="T521" s="152">
        <v>0.12945200000000001</v>
      </c>
      <c r="U521" s="152">
        <v>1.8340810000000001</v>
      </c>
      <c r="V521" s="152">
        <v>3.938577</v>
      </c>
      <c r="W521" s="152">
        <v>1000</v>
      </c>
      <c r="X521" s="152" t="s">
        <v>23</v>
      </c>
      <c r="Y521" s="152" t="s">
        <v>1328</v>
      </c>
      <c r="Z521" s="152" t="s">
        <v>1327</v>
      </c>
    </row>
    <row r="522" spans="1:26" x14ac:dyDescent="0.2">
      <c r="A522" s="152" t="s">
        <v>473</v>
      </c>
      <c r="B522" s="152">
        <v>2.2799999999999998</v>
      </c>
      <c r="C522" s="151">
        <v>44109</v>
      </c>
      <c r="D522" s="152">
        <v>1.947945</v>
      </c>
      <c r="E522" s="152" t="s">
        <v>1325</v>
      </c>
      <c r="F522" s="152" t="s">
        <v>1326</v>
      </c>
      <c r="G522" s="152" t="s">
        <v>47</v>
      </c>
      <c r="H522" s="152"/>
      <c r="I522" s="151">
        <v>43297</v>
      </c>
      <c r="J522" s="152">
        <v>2.0099999999999998</v>
      </c>
      <c r="K522" s="152" t="s">
        <v>1327</v>
      </c>
      <c r="L522" s="152" t="s">
        <v>1327</v>
      </c>
      <c r="M522" s="152" t="s">
        <v>1327</v>
      </c>
      <c r="N522" s="152" t="s">
        <v>1327</v>
      </c>
      <c r="O522" s="152">
        <v>2.5835309999999998</v>
      </c>
      <c r="P522" s="152">
        <v>57.361320999999997</v>
      </c>
      <c r="Q522" s="152">
        <v>2.5835309999999998</v>
      </c>
      <c r="R522" s="152" t="s">
        <v>1327</v>
      </c>
      <c r="S522" s="152">
        <v>99.430543999999998</v>
      </c>
      <c r="T522" s="152">
        <v>0.124932</v>
      </c>
      <c r="U522" s="152">
        <v>1.8857999999999999</v>
      </c>
      <c r="V522" s="152">
        <v>4.5244200000000001</v>
      </c>
      <c r="W522" s="152">
        <v>1000</v>
      </c>
      <c r="X522" s="152" t="s">
        <v>23</v>
      </c>
      <c r="Y522" s="152" t="s">
        <v>1328</v>
      </c>
      <c r="Z522" s="152" t="s">
        <v>1327</v>
      </c>
    </row>
    <row r="523" spans="1:26" x14ac:dyDescent="0.2">
      <c r="A523" s="152" t="s">
        <v>1782</v>
      </c>
      <c r="B523" s="152">
        <v>2.69</v>
      </c>
      <c r="C523" s="151">
        <v>44839</v>
      </c>
      <c r="D523" s="152">
        <v>3.9479449999999998</v>
      </c>
      <c r="E523" s="152" t="s">
        <v>1325</v>
      </c>
      <c r="F523" s="152" t="s">
        <v>1326</v>
      </c>
      <c r="G523" s="152" t="s">
        <v>47</v>
      </c>
      <c r="H523" s="152"/>
      <c r="I523" s="151">
        <v>43367</v>
      </c>
      <c r="J523" s="152">
        <v>2.8</v>
      </c>
      <c r="K523" s="152" t="s">
        <v>1327</v>
      </c>
      <c r="L523" s="152" t="s">
        <v>1327</v>
      </c>
      <c r="M523" s="152" t="s">
        <v>1327</v>
      </c>
      <c r="N523" s="152" t="s">
        <v>1327</v>
      </c>
      <c r="O523" s="152">
        <v>2.9425590000000001</v>
      </c>
      <c r="P523" s="152">
        <v>60.911512999999999</v>
      </c>
      <c r="Q523" s="152">
        <v>2.9425590000000001</v>
      </c>
      <c r="R523" s="152" t="s">
        <v>1327</v>
      </c>
      <c r="S523" s="152">
        <v>99.068743999999995</v>
      </c>
      <c r="T523" s="152">
        <v>0.147397</v>
      </c>
      <c r="U523" s="152">
        <v>3.707284</v>
      </c>
      <c r="V523" s="152">
        <v>15.984306999999999</v>
      </c>
      <c r="W523" s="152">
        <v>1000</v>
      </c>
      <c r="X523" s="152" t="s">
        <v>23</v>
      </c>
      <c r="Y523" s="152" t="s">
        <v>1328</v>
      </c>
      <c r="Z523" s="152" t="s">
        <v>1327</v>
      </c>
    </row>
    <row r="524" spans="1:26" x14ac:dyDescent="0.2">
      <c r="A524" s="152" t="s">
        <v>1783</v>
      </c>
      <c r="B524" s="152">
        <v>3.04</v>
      </c>
      <c r="C524" s="151">
        <v>45570</v>
      </c>
      <c r="D524" s="152">
        <v>5.950685</v>
      </c>
      <c r="E524" s="152" t="s">
        <v>1325</v>
      </c>
      <c r="F524" s="152" t="s">
        <v>1326</v>
      </c>
      <c r="G524" s="152" t="s">
        <v>47</v>
      </c>
      <c r="H524" s="152"/>
      <c r="I524" s="151">
        <v>43397</v>
      </c>
      <c r="J524" s="152">
        <v>3.5525000000000002</v>
      </c>
      <c r="K524" s="152" t="s">
        <v>1327</v>
      </c>
      <c r="L524" s="152" t="s">
        <v>1327</v>
      </c>
      <c r="M524" s="152" t="s">
        <v>1327</v>
      </c>
      <c r="N524" s="152" t="s">
        <v>1327</v>
      </c>
      <c r="O524" s="152">
        <v>3.5525000000000002</v>
      </c>
      <c r="P524" s="152">
        <v>103.06569500000001</v>
      </c>
      <c r="Q524" s="152">
        <v>3.5525000000000002</v>
      </c>
      <c r="R524" s="152" t="s">
        <v>1327</v>
      </c>
      <c r="S524" s="152">
        <v>97.278407000000001</v>
      </c>
      <c r="T524" s="152">
        <v>0.166575</v>
      </c>
      <c r="U524" s="152">
        <v>5.3700359999999998</v>
      </c>
      <c r="V524" s="152">
        <v>33.053913999999999</v>
      </c>
      <c r="W524" s="152">
        <v>1000</v>
      </c>
      <c r="X524" s="152" t="s">
        <v>23</v>
      </c>
      <c r="Y524" s="152" t="s">
        <v>1328</v>
      </c>
      <c r="Z524" s="152" t="s">
        <v>1327</v>
      </c>
    </row>
    <row r="525" spans="1:26" x14ac:dyDescent="0.2">
      <c r="A525" s="152" t="s">
        <v>1784</v>
      </c>
      <c r="B525" s="152">
        <v>3.6</v>
      </c>
      <c r="C525" s="151">
        <v>45872</v>
      </c>
      <c r="D525" s="152">
        <v>6.7780820000000004</v>
      </c>
      <c r="E525" s="152" t="s">
        <v>1325</v>
      </c>
      <c r="F525" s="152" t="s">
        <v>1326</v>
      </c>
      <c r="G525" s="152" t="s">
        <v>47</v>
      </c>
      <c r="H525" s="152"/>
      <c r="I525" s="151" t="s">
        <v>1327</v>
      </c>
      <c r="J525" s="152" t="s">
        <v>1327</v>
      </c>
      <c r="K525" s="152" t="s">
        <v>1327</v>
      </c>
      <c r="L525" s="152" t="s">
        <v>1327</v>
      </c>
      <c r="M525" s="152" t="s">
        <v>1327</v>
      </c>
      <c r="N525" s="152" t="s">
        <v>1327</v>
      </c>
      <c r="O525" s="152">
        <v>3.759849</v>
      </c>
      <c r="P525" s="152">
        <v>115.20034099999999</v>
      </c>
      <c r="Q525" s="152">
        <v>3.759849</v>
      </c>
      <c r="R525" s="152" t="s">
        <v>1327</v>
      </c>
      <c r="S525" s="152">
        <v>99.032610000000005</v>
      </c>
      <c r="T525" s="152">
        <v>0.81862999999999997</v>
      </c>
      <c r="U525" s="152">
        <v>5.9107729999999998</v>
      </c>
      <c r="V525" s="152">
        <v>40.628227000000003</v>
      </c>
      <c r="W525" s="152">
        <v>1000</v>
      </c>
      <c r="X525" s="152" t="s">
        <v>23</v>
      </c>
      <c r="Y525" s="152" t="s">
        <v>1328</v>
      </c>
      <c r="Z525" s="152" t="s">
        <v>1327</v>
      </c>
    </row>
    <row r="526" spans="1:26" x14ac:dyDescent="0.2">
      <c r="A526" s="152" t="s">
        <v>1785</v>
      </c>
      <c r="B526" s="152">
        <v>4</v>
      </c>
      <c r="C526" s="151">
        <v>46968</v>
      </c>
      <c r="D526" s="152">
        <v>9.7808220000000006</v>
      </c>
      <c r="E526" s="152" t="s">
        <v>1325</v>
      </c>
      <c r="F526" s="152" t="s">
        <v>1326</v>
      </c>
      <c r="G526" s="152" t="s">
        <v>47</v>
      </c>
      <c r="H526" s="152"/>
      <c r="I526" s="152" t="s">
        <v>1327</v>
      </c>
      <c r="J526" s="152" t="s">
        <v>1327</v>
      </c>
      <c r="K526" s="152" t="s">
        <v>1327</v>
      </c>
      <c r="L526" s="152" t="s">
        <v>1327</v>
      </c>
      <c r="M526" s="152" t="s">
        <v>1327</v>
      </c>
      <c r="N526" s="152" t="s">
        <v>1327</v>
      </c>
      <c r="O526" s="152">
        <v>4.1636470000000001</v>
      </c>
      <c r="P526" s="152">
        <v>139.948982</v>
      </c>
      <c r="Q526" s="152">
        <v>4.1636470000000001</v>
      </c>
      <c r="R526" s="152" t="s">
        <v>1327</v>
      </c>
      <c r="S526" s="152">
        <v>98.675106</v>
      </c>
      <c r="T526" s="152">
        <v>0.90958899999999998</v>
      </c>
      <c r="U526" s="152">
        <v>7.9372290000000003</v>
      </c>
      <c r="V526" s="152">
        <v>74.978596999999993</v>
      </c>
      <c r="W526" s="152">
        <v>1000</v>
      </c>
      <c r="X526" s="152" t="s">
        <v>23</v>
      </c>
      <c r="Y526" s="152" t="s">
        <v>1328</v>
      </c>
      <c r="Z526" s="152" t="s">
        <v>1327</v>
      </c>
    </row>
    <row r="527" spans="1:26" x14ac:dyDescent="0.2">
      <c r="A527" s="152" t="s">
        <v>1786</v>
      </c>
      <c r="B527" s="152">
        <v>9</v>
      </c>
      <c r="C527" s="151">
        <v>78759</v>
      </c>
      <c r="D527" s="152">
        <v>96.879452000000001</v>
      </c>
      <c r="E527" s="152" t="s">
        <v>1325</v>
      </c>
      <c r="F527" s="152" t="s">
        <v>1326</v>
      </c>
      <c r="G527" s="152" t="s">
        <v>1279</v>
      </c>
      <c r="H527" s="152"/>
      <c r="I527" s="152">
        <v>43056</v>
      </c>
      <c r="J527" s="152" t="s">
        <v>1327</v>
      </c>
      <c r="K527" s="152" t="s">
        <v>1327</v>
      </c>
      <c r="L527" s="152" t="s">
        <v>1327</v>
      </c>
      <c r="M527" s="152" t="s">
        <v>1327</v>
      </c>
      <c r="N527" s="152" t="s">
        <v>1327</v>
      </c>
      <c r="O527" s="152" t="s">
        <v>1327</v>
      </c>
      <c r="P527" s="152" t="s">
        <v>1327</v>
      </c>
      <c r="Q527" s="152" t="s">
        <v>1327</v>
      </c>
      <c r="R527" s="152" t="s">
        <v>1327</v>
      </c>
      <c r="S527" s="152">
        <v>102.618697</v>
      </c>
      <c r="T527" s="152" t="s">
        <v>1327</v>
      </c>
      <c r="U527" s="152" t="s">
        <v>1327</v>
      </c>
      <c r="V527" s="152" t="s">
        <v>1327</v>
      </c>
      <c r="W527" s="152">
        <v>1000</v>
      </c>
      <c r="X527" s="152" t="s">
        <v>23</v>
      </c>
      <c r="Y527" s="152" t="s">
        <v>1328</v>
      </c>
      <c r="Z527" s="152" t="s">
        <v>1327</v>
      </c>
    </row>
    <row r="528" spans="1:26" x14ac:dyDescent="0.2">
      <c r="A528" s="152" t="s">
        <v>1787</v>
      </c>
      <c r="B528" s="152">
        <v>8.5</v>
      </c>
      <c r="C528" s="151">
        <v>79026</v>
      </c>
      <c r="D528" s="152">
        <v>97.610958999999994</v>
      </c>
      <c r="E528" s="152" t="s">
        <v>1325</v>
      </c>
      <c r="F528" s="152" t="s">
        <v>1326</v>
      </c>
      <c r="G528" s="152" t="s">
        <v>1279</v>
      </c>
      <c r="H528" s="152"/>
      <c r="I528" s="152">
        <v>43313</v>
      </c>
      <c r="J528" s="152" t="s">
        <v>1327</v>
      </c>
      <c r="K528" s="152" t="s">
        <v>1327</v>
      </c>
      <c r="L528" s="152" t="s">
        <v>1327</v>
      </c>
      <c r="M528" s="152" t="s">
        <v>1327</v>
      </c>
      <c r="N528" s="152" t="s">
        <v>1327</v>
      </c>
      <c r="O528" s="152" t="s">
        <v>1327</v>
      </c>
      <c r="P528" s="152" t="s">
        <v>1327</v>
      </c>
      <c r="Q528" s="152" t="s">
        <v>1327</v>
      </c>
      <c r="R528" s="152" t="s">
        <v>1327</v>
      </c>
      <c r="S528" s="152">
        <v>102.998193</v>
      </c>
      <c r="T528" s="152" t="s">
        <v>1327</v>
      </c>
      <c r="U528" s="152" t="s">
        <v>1327</v>
      </c>
      <c r="V528" s="152" t="s">
        <v>1327</v>
      </c>
      <c r="W528" s="152">
        <v>1000</v>
      </c>
      <c r="X528" s="152" t="s">
        <v>23</v>
      </c>
      <c r="Y528" s="152" t="s">
        <v>1328</v>
      </c>
      <c r="Z528" s="152" t="s">
        <v>1327</v>
      </c>
    </row>
    <row r="529" spans="1:26" x14ac:dyDescent="0.2">
      <c r="A529" s="152" t="s">
        <v>1788</v>
      </c>
      <c r="B529" s="152">
        <v>8</v>
      </c>
      <c r="C529" s="151">
        <v>79313</v>
      </c>
      <c r="D529" s="152">
        <v>98.397260000000003</v>
      </c>
      <c r="E529" s="152" t="s">
        <v>1325</v>
      </c>
      <c r="F529" s="152" t="s">
        <v>1326</v>
      </c>
      <c r="G529" s="152" t="s">
        <v>1279</v>
      </c>
      <c r="H529" s="152"/>
      <c r="I529" s="152" t="s">
        <v>1327</v>
      </c>
      <c r="J529" s="152" t="s">
        <v>1327</v>
      </c>
      <c r="K529" s="152" t="s">
        <v>1327</v>
      </c>
      <c r="L529" s="152" t="s">
        <v>1327</v>
      </c>
      <c r="M529" s="152" t="s">
        <v>1327</v>
      </c>
      <c r="N529" s="152" t="s">
        <v>1327</v>
      </c>
      <c r="O529" s="152" t="s">
        <v>1327</v>
      </c>
      <c r="P529" s="152" t="s">
        <v>1327</v>
      </c>
      <c r="Q529" s="152" t="s">
        <v>1327</v>
      </c>
      <c r="R529" s="152" t="s">
        <v>1327</v>
      </c>
      <c r="S529" s="152">
        <v>100.95693900000001</v>
      </c>
      <c r="T529" s="152" t="s">
        <v>1327</v>
      </c>
      <c r="U529" s="152" t="s">
        <v>1327</v>
      </c>
      <c r="V529" s="152" t="s">
        <v>1327</v>
      </c>
      <c r="W529" s="152">
        <v>1000</v>
      </c>
      <c r="X529" s="152" t="s">
        <v>23</v>
      </c>
      <c r="Y529" s="152" t="s">
        <v>1328</v>
      </c>
      <c r="Z529" s="152" t="s">
        <v>1327</v>
      </c>
    </row>
    <row r="530" spans="1:26" x14ac:dyDescent="0.2">
      <c r="A530" s="152" t="s">
        <v>1789</v>
      </c>
      <c r="B530" s="152">
        <v>8</v>
      </c>
      <c r="C530" s="151">
        <v>79334</v>
      </c>
      <c r="D530" s="152">
        <v>98.454795000000004</v>
      </c>
      <c r="E530" s="152" t="s">
        <v>1325</v>
      </c>
      <c r="F530" s="152" t="s">
        <v>1326</v>
      </c>
      <c r="G530" s="152" t="s">
        <v>1279</v>
      </c>
      <c r="H530" s="152"/>
      <c r="I530" s="152" t="s">
        <v>1327</v>
      </c>
      <c r="J530" s="152" t="s">
        <v>1327</v>
      </c>
      <c r="K530" s="152" t="s">
        <v>1327</v>
      </c>
      <c r="L530" s="152" t="s">
        <v>1327</v>
      </c>
      <c r="M530" s="152" t="s">
        <v>1327</v>
      </c>
      <c r="N530" s="152" t="s">
        <v>1327</v>
      </c>
      <c r="O530" s="152" t="s">
        <v>1327</v>
      </c>
      <c r="P530" s="152" t="s">
        <v>1327</v>
      </c>
      <c r="Q530" s="152" t="s">
        <v>1327</v>
      </c>
      <c r="R530" s="152" t="s">
        <v>1327</v>
      </c>
      <c r="S530" s="152">
        <v>100.713065</v>
      </c>
      <c r="T530" s="152" t="s">
        <v>1327</v>
      </c>
      <c r="U530" s="152" t="s">
        <v>1327</v>
      </c>
      <c r="V530" s="152" t="s">
        <v>1327</v>
      </c>
      <c r="W530" s="152">
        <v>1000</v>
      </c>
      <c r="X530" s="152" t="s">
        <v>23</v>
      </c>
      <c r="Y530" s="152" t="s">
        <v>1328</v>
      </c>
      <c r="Z530" s="152" t="s">
        <v>1327</v>
      </c>
    </row>
    <row r="531" spans="1:26" x14ac:dyDescent="0.2">
      <c r="A531" s="152" t="s">
        <v>1790</v>
      </c>
      <c r="B531" s="152">
        <v>8.5</v>
      </c>
      <c r="C531" s="151">
        <v>79893</v>
      </c>
      <c r="D531" s="152">
        <v>99.986300999999997</v>
      </c>
      <c r="E531" s="152" t="s">
        <v>1325</v>
      </c>
      <c r="F531" s="152" t="s">
        <v>1326</v>
      </c>
      <c r="G531" s="152" t="s">
        <v>1279</v>
      </c>
      <c r="H531" s="152"/>
      <c r="I531" s="152" t="s">
        <v>1327</v>
      </c>
      <c r="J531" s="152" t="s">
        <v>1327</v>
      </c>
      <c r="K531" s="152" t="s">
        <v>1327</v>
      </c>
      <c r="L531" s="152" t="s">
        <v>1327</v>
      </c>
      <c r="M531" s="152" t="s">
        <v>1327</v>
      </c>
      <c r="N531" s="152" t="s">
        <v>1327</v>
      </c>
      <c r="O531" s="152" t="s">
        <v>1327</v>
      </c>
      <c r="P531" s="152" t="s">
        <v>1327</v>
      </c>
      <c r="Q531" s="152" t="s">
        <v>1327</v>
      </c>
      <c r="R531" s="152" t="s">
        <v>1327</v>
      </c>
      <c r="S531" s="152">
        <v>100.34299300000001</v>
      </c>
      <c r="T531" s="152" t="s">
        <v>1327</v>
      </c>
      <c r="U531" s="152" t="s">
        <v>1327</v>
      </c>
      <c r="V531" s="152" t="s">
        <v>1327</v>
      </c>
      <c r="W531" s="152">
        <v>1000</v>
      </c>
      <c r="X531" s="152" t="s">
        <v>23</v>
      </c>
      <c r="Y531" s="152" t="s">
        <v>1328</v>
      </c>
      <c r="Z531" s="152" t="s">
        <v>1327</v>
      </c>
    </row>
    <row r="532" spans="1:26" x14ac:dyDescent="0.2">
      <c r="A532" s="152" t="s">
        <v>1791</v>
      </c>
      <c r="B532" s="152">
        <v>8.5</v>
      </c>
      <c r="C532" s="151">
        <v>79902</v>
      </c>
      <c r="D532" s="152">
        <v>100.010959</v>
      </c>
      <c r="E532" s="152" t="s">
        <v>1325</v>
      </c>
      <c r="F532" s="152" t="s">
        <v>1326</v>
      </c>
      <c r="G532" s="152" t="s">
        <v>1279</v>
      </c>
      <c r="H532" s="152"/>
      <c r="I532" s="151" t="s">
        <v>1327</v>
      </c>
      <c r="J532" s="152" t="s">
        <v>1327</v>
      </c>
      <c r="K532" s="152" t="s">
        <v>1327</v>
      </c>
      <c r="L532" s="152" t="s">
        <v>1327</v>
      </c>
      <c r="M532" s="152" t="s">
        <v>1327</v>
      </c>
      <c r="N532" s="152" t="s">
        <v>1327</v>
      </c>
      <c r="O532" s="152" t="s">
        <v>1327</v>
      </c>
      <c r="P532" s="152" t="s">
        <v>1327</v>
      </c>
      <c r="Q532" s="152" t="s">
        <v>1327</v>
      </c>
      <c r="R532" s="152" t="s">
        <v>1327</v>
      </c>
      <c r="S532" s="152">
        <v>100.35485</v>
      </c>
      <c r="T532" s="152" t="s">
        <v>1327</v>
      </c>
      <c r="U532" s="152" t="s">
        <v>1327</v>
      </c>
      <c r="V532" s="152" t="s">
        <v>1327</v>
      </c>
      <c r="W532" s="152">
        <v>1000</v>
      </c>
      <c r="X532" s="152" t="s">
        <v>23</v>
      </c>
      <c r="Y532" s="152" t="s">
        <v>1328</v>
      </c>
      <c r="Z532" s="152" t="s">
        <v>1327</v>
      </c>
    </row>
    <row r="533" spans="1:26" x14ac:dyDescent="0.2">
      <c r="A533" s="152" t="s">
        <v>1792</v>
      </c>
      <c r="B533" s="152">
        <v>3.5</v>
      </c>
      <c r="C533" s="151">
        <v>43744</v>
      </c>
      <c r="D533" s="152">
        <v>0.94794500000000004</v>
      </c>
      <c r="E533" s="152" t="s">
        <v>1325</v>
      </c>
      <c r="F533" s="152" t="s">
        <v>1326</v>
      </c>
      <c r="G533" s="152" t="s">
        <v>35</v>
      </c>
      <c r="H533" s="152"/>
      <c r="I533" s="151" t="s">
        <v>1327</v>
      </c>
      <c r="J533" s="152" t="s">
        <v>1327</v>
      </c>
      <c r="K533" s="152" t="s">
        <v>1327</v>
      </c>
      <c r="L533" s="152" t="s">
        <v>1327</v>
      </c>
      <c r="M533" s="152" t="s">
        <v>1327</v>
      </c>
      <c r="N533" s="152" t="s">
        <v>1327</v>
      </c>
      <c r="O533" s="152">
        <v>3.6070329999999999</v>
      </c>
      <c r="P533" s="152">
        <v>185.51780600000001</v>
      </c>
      <c r="Q533" s="152">
        <v>3.6070329999999999</v>
      </c>
      <c r="R533" s="152" t="s">
        <v>1327</v>
      </c>
      <c r="S533" s="152">
        <v>99.892662000000001</v>
      </c>
      <c r="T533" s="152">
        <v>0.18219199999999999</v>
      </c>
      <c r="U533" s="152">
        <v>0.92868200000000001</v>
      </c>
      <c r="V533" s="152">
        <v>1.0998129999999999</v>
      </c>
      <c r="W533" s="152">
        <v>1000</v>
      </c>
      <c r="X533" s="152" t="s">
        <v>23</v>
      </c>
      <c r="Y533" s="152" t="s">
        <v>1328</v>
      </c>
      <c r="Z533" s="152" t="s">
        <v>1327</v>
      </c>
    </row>
    <row r="534" spans="1:26" x14ac:dyDescent="0.2">
      <c r="A534" s="152" t="s">
        <v>1793</v>
      </c>
      <c r="B534" s="152">
        <v>2.95</v>
      </c>
      <c r="C534" s="151">
        <v>43744</v>
      </c>
      <c r="D534" s="152">
        <v>0.94794500000000004</v>
      </c>
      <c r="E534" s="152" t="s">
        <v>1325</v>
      </c>
      <c r="F534" s="152" t="s">
        <v>1326</v>
      </c>
      <c r="G534" s="152" t="s">
        <v>35</v>
      </c>
      <c r="H534" s="152"/>
      <c r="I534" s="152" t="s">
        <v>1327</v>
      </c>
      <c r="J534" s="152" t="s">
        <v>1327</v>
      </c>
      <c r="K534" s="152" t="s">
        <v>1327</v>
      </c>
      <c r="L534" s="152" t="s">
        <v>1327</v>
      </c>
      <c r="M534" s="152" t="s">
        <v>1327</v>
      </c>
      <c r="N534" s="152" t="s">
        <v>1327</v>
      </c>
      <c r="O534" s="152">
        <v>3.5914950000000001</v>
      </c>
      <c r="P534" s="152">
        <v>183.89398299999999</v>
      </c>
      <c r="Q534" s="152">
        <v>3.5914950000000001</v>
      </c>
      <c r="R534" s="152" t="s">
        <v>1327</v>
      </c>
      <c r="S534" s="152">
        <v>99.397435000000002</v>
      </c>
      <c r="T534" s="152">
        <v>0.46876699999999999</v>
      </c>
      <c r="U534" s="152">
        <v>0.92759199999999997</v>
      </c>
      <c r="V534" s="152">
        <v>1.0989990000000001</v>
      </c>
      <c r="W534" s="152">
        <v>1000</v>
      </c>
      <c r="X534" s="152" t="s">
        <v>23</v>
      </c>
      <c r="Y534" s="152" t="s">
        <v>1328</v>
      </c>
      <c r="Z534" s="152" t="s">
        <v>1327</v>
      </c>
    </row>
    <row r="535" spans="1:26" x14ac:dyDescent="0.2">
      <c r="A535" s="152" t="s">
        <v>1794</v>
      </c>
      <c r="B535" s="152">
        <v>3.95</v>
      </c>
      <c r="C535" s="151">
        <v>43926</v>
      </c>
      <c r="D535" s="152">
        <v>1.4465749999999999</v>
      </c>
      <c r="E535" s="152" t="s">
        <v>1325</v>
      </c>
      <c r="F535" s="152" t="s">
        <v>1326</v>
      </c>
      <c r="G535" s="152"/>
      <c r="H535" s="152"/>
      <c r="I535" s="152">
        <v>42941</v>
      </c>
      <c r="J535" s="152">
        <v>3.75</v>
      </c>
      <c r="K535" s="152" t="s">
        <v>1327</v>
      </c>
      <c r="L535" s="152" t="s">
        <v>1327</v>
      </c>
      <c r="M535" s="152" t="s">
        <v>1327</v>
      </c>
      <c r="N535" s="152" t="s">
        <v>1327</v>
      </c>
      <c r="O535" s="152">
        <v>3.8076479999999999</v>
      </c>
      <c r="P535" s="152">
        <v>195.170545</v>
      </c>
      <c r="Q535" s="152">
        <v>3.8076479999999999</v>
      </c>
      <c r="R535" s="152" t="s">
        <v>1327</v>
      </c>
      <c r="S535" s="152">
        <v>100.19063</v>
      </c>
      <c r="T535" s="152">
        <v>0.21643799999999999</v>
      </c>
      <c r="U535" s="152">
        <v>1.397805</v>
      </c>
      <c r="V535" s="152">
        <v>2.331378</v>
      </c>
      <c r="W535" s="152">
        <v>1000</v>
      </c>
      <c r="X535" s="152" t="s">
        <v>23</v>
      </c>
      <c r="Y535" s="152" t="s">
        <v>1328</v>
      </c>
      <c r="Z535" s="152" t="s">
        <v>1327</v>
      </c>
    </row>
    <row r="536" spans="1:26" x14ac:dyDescent="0.2">
      <c r="A536" s="152" t="s">
        <v>1795</v>
      </c>
      <c r="B536" s="152">
        <v>3.8</v>
      </c>
      <c r="C536" s="151">
        <v>43981</v>
      </c>
      <c r="D536" s="152">
        <v>1.5972599999999999</v>
      </c>
      <c r="E536" s="152" t="s">
        <v>1325</v>
      </c>
      <c r="F536" s="152" t="s">
        <v>1326</v>
      </c>
      <c r="G536" s="152"/>
      <c r="H536" s="152"/>
      <c r="I536" s="152" t="s">
        <v>1327</v>
      </c>
      <c r="J536" s="152" t="s">
        <v>1327</v>
      </c>
      <c r="K536" s="152" t="s">
        <v>1327</v>
      </c>
      <c r="L536" s="152" t="s">
        <v>1327</v>
      </c>
      <c r="M536" s="152" t="s">
        <v>1327</v>
      </c>
      <c r="N536" s="152" t="s">
        <v>1327</v>
      </c>
      <c r="O536" s="152">
        <v>3.9642689999999998</v>
      </c>
      <c r="P536" s="152">
        <v>205.359634</v>
      </c>
      <c r="Q536" s="152">
        <v>3.9642689999999998</v>
      </c>
      <c r="R536" s="152" t="s">
        <v>1327</v>
      </c>
      <c r="S536" s="152">
        <v>99.729380000000006</v>
      </c>
      <c r="T536" s="152">
        <v>1.5408219999999999</v>
      </c>
      <c r="U536" s="152">
        <v>1.51329</v>
      </c>
      <c r="V536" s="152">
        <v>3.0914130000000002</v>
      </c>
      <c r="W536" s="152">
        <v>1000</v>
      </c>
      <c r="X536" s="152" t="s">
        <v>23</v>
      </c>
      <c r="Y536" s="152" t="s">
        <v>1328</v>
      </c>
      <c r="Z536" s="152" t="s">
        <v>1327</v>
      </c>
    </row>
    <row r="537" spans="1:26" x14ac:dyDescent="0.2">
      <c r="A537" s="152" t="s">
        <v>1796</v>
      </c>
      <c r="B537" s="152">
        <v>3.5</v>
      </c>
      <c r="C537" s="151">
        <v>44110</v>
      </c>
      <c r="D537" s="152">
        <v>1.950685</v>
      </c>
      <c r="E537" s="152" t="s">
        <v>1325</v>
      </c>
      <c r="F537" s="152" t="s">
        <v>1326</v>
      </c>
      <c r="G537" s="152" t="s">
        <v>35</v>
      </c>
      <c r="H537" s="152"/>
      <c r="I537" s="151">
        <v>43026</v>
      </c>
      <c r="J537" s="152">
        <v>3.5</v>
      </c>
      <c r="K537" s="152" t="s">
        <v>1327</v>
      </c>
      <c r="L537" s="152" t="s">
        <v>1327</v>
      </c>
      <c r="M537" s="152" t="s">
        <v>1327</v>
      </c>
      <c r="N537" s="152" t="s">
        <v>1327</v>
      </c>
      <c r="O537" s="152">
        <v>4.0224010000000003</v>
      </c>
      <c r="P537" s="152">
        <v>206.268609</v>
      </c>
      <c r="Q537" s="152">
        <v>4.0224010000000003</v>
      </c>
      <c r="R537" s="152" t="s">
        <v>1327</v>
      </c>
      <c r="S537" s="152">
        <v>99.017058000000006</v>
      </c>
      <c r="T537" s="152">
        <v>0.18219199999999999</v>
      </c>
      <c r="U537" s="152">
        <v>1.8711359999999999</v>
      </c>
      <c r="V537" s="152">
        <v>4.0347549999999996</v>
      </c>
      <c r="W537" s="152">
        <v>1000</v>
      </c>
      <c r="X537" s="152" t="s">
        <v>23</v>
      </c>
      <c r="Y537" s="152" t="s">
        <v>1328</v>
      </c>
      <c r="Z537" s="152" t="s">
        <v>1327</v>
      </c>
    </row>
    <row r="538" spans="1:26" x14ac:dyDescent="0.2">
      <c r="A538" s="152" t="s">
        <v>1797</v>
      </c>
      <c r="B538" s="152">
        <v>4</v>
      </c>
      <c r="C538" s="151">
        <v>44475</v>
      </c>
      <c r="D538" s="152">
        <v>2.950685</v>
      </c>
      <c r="E538" s="152" t="s">
        <v>1325</v>
      </c>
      <c r="F538" s="152" t="s">
        <v>1326</v>
      </c>
      <c r="G538" s="152"/>
      <c r="H538" s="152"/>
      <c r="I538" s="151" t="s">
        <v>1327</v>
      </c>
      <c r="J538" s="152" t="s">
        <v>1327</v>
      </c>
      <c r="K538" s="152" t="s">
        <v>1327</v>
      </c>
      <c r="L538" s="152" t="s">
        <v>1327</v>
      </c>
      <c r="M538" s="152" t="s">
        <v>1327</v>
      </c>
      <c r="N538" s="152" t="s">
        <v>1327</v>
      </c>
      <c r="O538" s="152">
        <v>4.2506750000000002</v>
      </c>
      <c r="P538" s="152">
        <v>220.105773</v>
      </c>
      <c r="Q538" s="152">
        <v>4.2506750000000002</v>
      </c>
      <c r="R538" s="152" t="s">
        <v>1327</v>
      </c>
      <c r="S538" s="152">
        <v>99.299373000000003</v>
      </c>
      <c r="T538" s="152">
        <v>0.20821899999999999</v>
      </c>
      <c r="U538" s="152">
        <v>2.7618589999999998</v>
      </c>
      <c r="V538" s="152">
        <v>8.5873100000000004</v>
      </c>
      <c r="W538" s="152">
        <v>1000</v>
      </c>
      <c r="X538" s="152" t="s">
        <v>23</v>
      </c>
      <c r="Y538" s="152" t="s">
        <v>1328</v>
      </c>
      <c r="Z538" s="152" t="s">
        <v>1327</v>
      </c>
    </row>
    <row r="539" spans="1:26" x14ac:dyDescent="0.2">
      <c r="A539" s="152" t="s">
        <v>1798</v>
      </c>
      <c r="B539" s="152">
        <v>3.95</v>
      </c>
      <c r="C539" s="151">
        <v>44620</v>
      </c>
      <c r="D539" s="152">
        <v>3.3479450000000002</v>
      </c>
      <c r="E539" s="152" t="s">
        <v>1325</v>
      </c>
      <c r="F539" s="152" t="s">
        <v>1326</v>
      </c>
      <c r="G539" s="152" t="s">
        <v>35</v>
      </c>
      <c r="H539" s="152"/>
      <c r="I539" s="151" t="s">
        <v>1327</v>
      </c>
      <c r="J539" s="152" t="s">
        <v>1327</v>
      </c>
      <c r="K539" s="152" t="s">
        <v>1327</v>
      </c>
      <c r="L539" s="152" t="s">
        <v>1327</v>
      </c>
      <c r="M539" s="152" t="s">
        <v>1327</v>
      </c>
      <c r="N539" s="152" t="s">
        <v>1327</v>
      </c>
      <c r="O539" s="152">
        <v>4.3647999999999998</v>
      </c>
      <c r="P539" s="152">
        <v>220.951649</v>
      </c>
      <c r="Q539" s="152">
        <v>4.3647999999999998</v>
      </c>
      <c r="R539" s="152" t="s">
        <v>1327</v>
      </c>
      <c r="S539" s="152">
        <v>98.706817000000001</v>
      </c>
      <c r="T539" s="152">
        <v>0.62767099999999998</v>
      </c>
      <c r="U539" s="152">
        <v>3.093588</v>
      </c>
      <c r="V539" s="152">
        <v>10.770572</v>
      </c>
      <c r="W539" s="152">
        <v>1000</v>
      </c>
      <c r="X539" s="152" t="s">
        <v>23</v>
      </c>
      <c r="Y539" s="152" t="s">
        <v>1328</v>
      </c>
      <c r="Z539" s="152" t="s">
        <v>1327</v>
      </c>
    </row>
    <row r="540" spans="1:26" x14ac:dyDescent="0.2">
      <c r="A540" s="152" t="s">
        <v>1799</v>
      </c>
      <c r="B540" s="152">
        <v>4.5</v>
      </c>
      <c r="C540" s="151">
        <v>43489</v>
      </c>
      <c r="D540" s="152">
        <v>0.24931500000000001</v>
      </c>
      <c r="E540" s="152" t="s">
        <v>1325</v>
      </c>
      <c r="F540" s="152" t="s">
        <v>1326</v>
      </c>
      <c r="G540" s="152" t="s">
        <v>116</v>
      </c>
      <c r="H540" s="152"/>
      <c r="I540" s="152">
        <v>43389</v>
      </c>
      <c r="J540" s="152">
        <v>1.85</v>
      </c>
      <c r="K540" s="152" t="s">
        <v>1327</v>
      </c>
      <c r="L540" s="152" t="s">
        <v>1327</v>
      </c>
      <c r="M540" s="152" t="s">
        <v>1327</v>
      </c>
      <c r="N540" s="152" t="s">
        <v>1327</v>
      </c>
      <c r="O540" s="152">
        <v>1.840096</v>
      </c>
      <c r="P540" s="152">
        <v>30.609190999999999</v>
      </c>
      <c r="Q540" s="152">
        <v>1.840096</v>
      </c>
      <c r="R540" s="152" t="s">
        <v>1327</v>
      </c>
      <c r="S540" s="152">
        <v>100.637548</v>
      </c>
      <c r="T540" s="152">
        <v>1.1465749999999999</v>
      </c>
      <c r="U540" s="152">
        <v>0.24704200000000001</v>
      </c>
      <c r="V540" s="152">
        <v>0.183425</v>
      </c>
      <c r="W540" s="152">
        <v>1000</v>
      </c>
      <c r="X540" s="152" t="s">
        <v>23</v>
      </c>
      <c r="Y540" s="152" t="s">
        <v>1328</v>
      </c>
      <c r="Z540" s="152" t="s">
        <v>1327</v>
      </c>
    </row>
    <row r="541" spans="1:26" x14ac:dyDescent="0.2">
      <c r="A541" s="152" t="s">
        <v>1800</v>
      </c>
      <c r="B541" s="152">
        <v>2.15</v>
      </c>
      <c r="C541" s="151">
        <v>43494</v>
      </c>
      <c r="D541" s="152">
        <v>0.26301400000000003</v>
      </c>
      <c r="E541" s="152" t="s">
        <v>1325</v>
      </c>
      <c r="F541" s="152" t="s">
        <v>1326</v>
      </c>
      <c r="G541" s="152" t="s">
        <v>116</v>
      </c>
      <c r="H541" s="152"/>
      <c r="I541" s="152">
        <v>43391</v>
      </c>
      <c r="J541" s="152">
        <v>1.87</v>
      </c>
      <c r="K541" s="152" t="s">
        <v>1327</v>
      </c>
      <c r="L541" s="152" t="s">
        <v>1327</v>
      </c>
      <c r="M541" s="152" t="s">
        <v>1327</v>
      </c>
      <c r="N541" s="152" t="s">
        <v>1327</v>
      </c>
      <c r="O541" s="152">
        <v>1.8526720000000001</v>
      </c>
      <c r="P541" s="152">
        <v>30.063604999999999</v>
      </c>
      <c r="Q541" s="152">
        <v>1.8526720000000001</v>
      </c>
      <c r="R541" s="152" t="s">
        <v>1327</v>
      </c>
      <c r="S541" s="152">
        <v>100.067582</v>
      </c>
      <c r="T541" s="152">
        <v>0.51835600000000004</v>
      </c>
      <c r="U541" s="152">
        <v>0.2606</v>
      </c>
      <c r="V541" s="152">
        <v>0.197016</v>
      </c>
      <c r="W541" s="152">
        <v>1000</v>
      </c>
      <c r="X541" s="152" t="s">
        <v>23</v>
      </c>
      <c r="Y541" s="152" t="s">
        <v>1328</v>
      </c>
      <c r="Z541" s="152" t="s">
        <v>1327</v>
      </c>
    </row>
    <row r="542" spans="1:26" x14ac:dyDescent="0.2">
      <c r="A542" s="152" t="s">
        <v>1801</v>
      </c>
      <c r="B542" s="152">
        <v>2.5499999999999998</v>
      </c>
      <c r="C542" s="151">
        <v>43484</v>
      </c>
      <c r="D542" s="152">
        <v>0.23561599999999999</v>
      </c>
      <c r="E542" s="152" t="s">
        <v>1325</v>
      </c>
      <c r="F542" s="152" t="s">
        <v>1326</v>
      </c>
      <c r="G542" s="152" t="s">
        <v>116</v>
      </c>
      <c r="H542" s="152"/>
      <c r="I542" s="151">
        <v>43377</v>
      </c>
      <c r="J542" s="152">
        <v>1.7350000000000001</v>
      </c>
      <c r="K542" s="152" t="s">
        <v>1327</v>
      </c>
      <c r="L542" s="152" t="s">
        <v>1327</v>
      </c>
      <c r="M542" s="152" t="s">
        <v>1327</v>
      </c>
      <c r="N542" s="152" t="s">
        <v>1327</v>
      </c>
      <c r="O542" s="152">
        <v>1.8573869999999999</v>
      </c>
      <c r="P542" s="152">
        <v>34.271174000000002</v>
      </c>
      <c r="Q542" s="152">
        <v>1.8573869999999999</v>
      </c>
      <c r="R542" s="152" t="s">
        <v>1327</v>
      </c>
      <c r="S542" s="152">
        <v>100.150136</v>
      </c>
      <c r="T542" s="152">
        <v>0.68465799999999999</v>
      </c>
      <c r="U542" s="152">
        <v>0.23344799999999999</v>
      </c>
      <c r="V542" s="152">
        <v>0.17014799999999999</v>
      </c>
      <c r="W542" s="152">
        <v>1000</v>
      </c>
      <c r="X542" s="152" t="s">
        <v>23</v>
      </c>
      <c r="Y542" s="152" t="s">
        <v>1328</v>
      </c>
      <c r="Z542" s="152" t="s">
        <v>1327</v>
      </c>
    </row>
    <row r="543" spans="1:26" x14ac:dyDescent="0.2">
      <c r="A543" s="152" t="s">
        <v>1802</v>
      </c>
      <c r="B543" s="152">
        <v>4.3600000000000003</v>
      </c>
      <c r="C543" s="151">
        <v>43673</v>
      </c>
      <c r="D543" s="152">
        <v>0.75342500000000001</v>
      </c>
      <c r="E543" s="152" t="s">
        <v>1325</v>
      </c>
      <c r="F543" s="152" t="s">
        <v>1326</v>
      </c>
      <c r="G543" s="152" t="s">
        <v>116</v>
      </c>
      <c r="H543" s="152"/>
      <c r="I543" s="152">
        <v>42219</v>
      </c>
      <c r="J543" s="152">
        <v>2.82</v>
      </c>
      <c r="K543" s="152" t="s">
        <v>1327</v>
      </c>
      <c r="L543" s="152" t="s">
        <v>1327</v>
      </c>
      <c r="M543" s="152" t="s">
        <v>1327</v>
      </c>
      <c r="N543" s="152" t="s">
        <v>1327</v>
      </c>
      <c r="O543" s="152">
        <v>2.1093790000000001</v>
      </c>
      <c r="P543" s="152">
        <v>32.639167</v>
      </c>
      <c r="Q543" s="152">
        <v>2.1093790000000001</v>
      </c>
      <c r="R543" s="152" t="s">
        <v>1327</v>
      </c>
      <c r="S543" s="152">
        <v>101.669534</v>
      </c>
      <c r="T543" s="152">
        <v>1.4334249999999999</v>
      </c>
      <c r="U543" s="152">
        <v>0.73308399999999996</v>
      </c>
      <c r="V543" s="152">
        <v>0.90706799999999999</v>
      </c>
      <c r="W543" s="152">
        <v>1000</v>
      </c>
      <c r="X543" s="152" t="s">
        <v>23</v>
      </c>
      <c r="Y543" s="152" t="s">
        <v>1328</v>
      </c>
      <c r="Z543" s="152" t="s">
        <v>1327</v>
      </c>
    </row>
    <row r="544" spans="1:26" x14ac:dyDescent="0.2">
      <c r="A544" s="152" t="s">
        <v>1803</v>
      </c>
      <c r="B544" s="152">
        <v>3.04</v>
      </c>
      <c r="C544" s="151">
        <v>43656</v>
      </c>
      <c r="D544" s="152">
        <v>0.70684899999999995</v>
      </c>
      <c r="E544" s="152" t="s">
        <v>1325</v>
      </c>
      <c r="F544" s="152" t="s">
        <v>1326</v>
      </c>
      <c r="G544" s="152" t="s">
        <v>116</v>
      </c>
      <c r="H544" s="152"/>
      <c r="I544" s="151">
        <v>43307</v>
      </c>
      <c r="J544" s="152">
        <v>1.73</v>
      </c>
      <c r="K544" s="152" t="s">
        <v>1327</v>
      </c>
      <c r="L544" s="152" t="s">
        <v>1327</v>
      </c>
      <c r="M544" s="152" t="s">
        <v>1327</v>
      </c>
      <c r="N544" s="152" t="s">
        <v>1327</v>
      </c>
      <c r="O544" s="152">
        <v>2.0891470000000001</v>
      </c>
      <c r="P544" s="152">
        <v>31.790763999999999</v>
      </c>
      <c r="Q544" s="152">
        <v>2.0891470000000001</v>
      </c>
      <c r="R544" s="152" t="s">
        <v>1327</v>
      </c>
      <c r="S544" s="152">
        <v>100.653147</v>
      </c>
      <c r="T544" s="152">
        <v>0.89117800000000003</v>
      </c>
      <c r="U544" s="152">
        <v>0.69623500000000005</v>
      </c>
      <c r="V544" s="152">
        <v>0.83285600000000004</v>
      </c>
      <c r="W544" s="152">
        <v>1000</v>
      </c>
      <c r="X544" s="152" t="s">
        <v>23</v>
      </c>
      <c r="Y544" s="152" t="s">
        <v>1328</v>
      </c>
      <c r="Z544" s="152" t="s">
        <v>1327</v>
      </c>
    </row>
    <row r="545" spans="1:26" x14ac:dyDescent="0.2">
      <c r="A545" s="152" t="s">
        <v>1804</v>
      </c>
      <c r="B545" s="152">
        <v>3.58</v>
      </c>
      <c r="C545" s="151">
        <v>43852</v>
      </c>
      <c r="D545" s="152">
        <v>1.2438359999999999</v>
      </c>
      <c r="E545" s="152" t="s">
        <v>1325</v>
      </c>
      <c r="F545" s="152" t="s">
        <v>1326</v>
      </c>
      <c r="G545" s="152" t="s">
        <v>116</v>
      </c>
      <c r="H545" s="152"/>
      <c r="I545" s="151">
        <v>43363</v>
      </c>
      <c r="J545" s="152">
        <v>2.25</v>
      </c>
      <c r="K545" s="152" t="s">
        <v>1327</v>
      </c>
      <c r="L545" s="152" t="s">
        <v>1327</v>
      </c>
      <c r="M545" s="152" t="s">
        <v>1327</v>
      </c>
      <c r="N545" s="152" t="s">
        <v>1327</v>
      </c>
      <c r="O545" s="152">
        <v>2.2548119999999998</v>
      </c>
      <c r="P545" s="152">
        <v>40.929229999999997</v>
      </c>
      <c r="Q545" s="152">
        <v>2.2548119999999998</v>
      </c>
      <c r="R545" s="152" t="s">
        <v>1327</v>
      </c>
      <c r="S545" s="152">
        <v>101.59922899999999</v>
      </c>
      <c r="T545" s="152">
        <v>0.93178099999999997</v>
      </c>
      <c r="U545" s="152">
        <v>1.2043109999999999</v>
      </c>
      <c r="V545" s="152">
        <v>2.0663230000000001</v>
      </c>
      <c r="W545" s="152">
        <v>1000</v>
      </c>
      <c r="X545" s="152" t="s">
        <v>23</v>
      </c>
      <c r="Y545" s="152" t="s">
        <v>1328</v>
      </c>
      <c r="Z545" s="152" t="s">
        <v>1327</v>
      </c>
    </row>
    <row r="546" spans="1:26" x14ac:dyDescent="0.2">
      <c r="A546" s="152" t="s">
        <v>1805</v>
      </c>
      <c r="B546" s="152">
        <v>2.5</v>
      </c>
      <c r="C546" s="151">
        <v>43920</v>
      </c>
      <c r="D546" s="152">
        <v>1.430137</v>
      </c>
      <c r="E546" s="152" t="s">
        <v>1325</v>
      </c>
      <c r="F546" s="152" t="s">
        <v>1326</v>
      </c>
      <c r="G546" s="152"/>
      <c r="H546" s="152"/>
      <c r="I546" s="151" t="s">
        <v>1327</v>
      </c>
      <c r="J546" s="152" t="s">
        <v>1327</v>
      </c>
      <c r="K546" s="152" t="s">
        <v>1327</v>
      </c>
      <c r="L546" s="152" t="s">
        <v>1327</v>
      </c>
      <c r="M546" s="152" t="s">
        <v>1327</v>
      </c>
      <c r="N546" s="152" t="s">
        <v>1327</v>
      </c>
      <c r="O546" s="152">
        <v>2.326724</v>
      </c>
      <c r="P546" s="152">
        <v>43.131658999999999</v>
      </c>
      <c r="Q546" s="152">
        <v>2.326724</v>
      </c>
      <c r="R546" s="152" t="s">
        <v>1327</v>
      </c>
      <c r="S546" s="152">
        <v>100.23249</v>
      </c>
      <c r="T546" s="152">
        <v>1.0136989999999999</v>
      </c>
      <c r="U546" s="152">
        <v>1.3835249999999999</v>
      </c>
      <c r="V546" s="152">
        <v>2.6278980000000001</v>
      </c>
      <c r="W546" s="152">
        <v>1000</v>
      </c>
      <c r="X546" s="152" t="s">
        <v>23</v>
      </c>
      <c r="Y546" s="152" t="s">
        <v>1328</v>
      </c>
      <c r="Z546" s="152" t="s">
        <v>1327</v>
      </c>
    </row>
    <row r="547" spans="1:26" x14ac:dyDescent="0.2">
      <c r="A547" s="152" t="s">
        <v>1806</v>
      </c>
      <c r="B547" s="152">
        <v>3.06</v>
      </c>
      <c r="C547" s="151">
        <v>44031</v>
      </c>
      <c r="D547" s="152">
        <v>1.7342470000000001</v>
      </c>
      <c r="E547" s="152" t="s">
        <v>1325</v>
      </c>
      <c r="F547" s="152" t="s">
        <v>1326</v>
      </c>
      <c r="G547" s="152" t="s">
        <v>116</v>
      </c>
      <c r="H547" s="152"/>
      <c r="I547" s="151">
        <v>43318</v>
      </c>
      <c r="J547" s="152">
        <v>2.25</v>
      </c>
      <c r="K547" s="152" t="s">
        <v>1327</v>
      </c>
      <c r="L547" s="152" t="s">
        <v>1327</v>
      </c>
      <c r="M547" s="152" t="s">
        <v>1327</v>
      </c>
      <c r="N547" s="152" t="s">
        <v>1327</v>
      </c>
      <c r="O547" s="152">
        <v>2.4432849999999999</v>
      </c>
      <c r="P547" s="152">
        <v>47.461540999999997</v>
      </c>
      <c r="Q547" s="152">
        <v>2.4432849999999999</v>
      </c>
      <c r="R547" s="152" t="s">
        <v>1327</v>
      </c>
      <c r="S547" s="152">
        <v>101.02689599999999</v>
      </c>
      <c r="T547" s="152">
        <v>0.82158900000000001</v>
      </c>
      <c r="U547" s="152">
        <v>1.670755</v>
      </c>
      <c r="V547" s="152">
        <v>3.6655509999999998</v>
      </c>
      <c r="W547" s="152">
        <v>1000</v>
      </c>
      <c r="X547" s="152" t="s">
        <v>23</v>
      </c>
      <c r="Y547" s="152" t="s">
        <v>1328</v>
      </c>
      <c r="Z547" s="152" t="s">
        <v>1327</v>
      </c>
    </row>
    <row r="548" spans="1:26" x14ac:dyDescent="0.2">
      <c r="A548" s="152" t="s">
        <v>1807</v>
      </c>
      <c r="B548" s="152">
        <v>2.5</v>
      </c>
      <c r="C548" s="151">
        <v>44242</v>
      </c>
      <c r="D548" s="152">
        <v>2.3123290000000001</v>
      </c>
      <c r="E548" s="152" t="s">
        <v>1325</v>
      </c>
      <c r="F548" s="152" t="s">
        <v>1326</v>
      </c>
      <c r="G548" s="152"/>
      <c r="H548" s="152"/>
      <c r="I548" s="151" t="s">
        <v>1327</v>
      </c>
      <c r="J548" s="152" t="s">
        <v>1327</v>
      </c>
      <c r="K548" s="152" t="s">
        <v>1327</v>
      </c>
      <c r="L548" s="152" t="s">
        <v>1327</v>
      </c>
      <c r="M548" s="152" t="s">
        <v>1327</v>
      </c>
      <c r="N548" s="152" t="s">
        <v>1327</v>
      </c>
      <c r="O548" s="152">
        <v>2.549601</v>
      </c>
      <c r="P548" s="152">
        <v>50.932946000000001</v>
      </c>
      <c r="Q548" s="152">
        <v>2.549601</v>
      </c>
      <c r="R548" s="152" t="s">
        <v>1327</v>
      </c>
      <c r="S548" s="152">
        <v>99.877292999999995</v>
      </c>
      <c r="T548" s="152">
        <v>0.48630099999999998</v>
      </c>
      <c r="U548" s="152">
        <v>2.2202709999999999</v>
      </c>
      <c r="V548" s="152">
        <v>6.1117419999999996</v>
      </c>
      <c r="W548" s="152">
        <v>1000</v>
      </c>
      <c r="X548" s="152" t="s">
        <v>23</v>
      </c>
      <c r="Y548" s="152" t="s">
        <v>1328</v>
      </c>
      <c r="Z548" s="152" t="s">
        <v>1327</v>
      </c>
    </row>
    <row r="549" spans="1:26" x14ac:dyDescent="0.2">
      <c r="A549" s="152" t="s">
        <v>1808</v>
      </c>
      <c r="B549" s="152">
        <v>2.35</v>
      </c>
      <c r="C549" s="151">
        <v>44305</v>
      </c>
      <c r="D549" s="152">
        <v>2.4849320000000001</v>
      </c>
      <c r="E549" s="152" t="s">
        <v>1325</v>
      </c>
      <c r="F549" s="152" t="s">
        <v>1326</v>
      </c>
      <c r="G549" s="152"/>
      <c r="H549" s="152"/>
      <c r="I549" s="152" t="s">
        <v>1327</v>
      </c>
      <c r="J549" s="152" t="s">
        <v>1327</v>
      </c>
      <c r="K549" s="152" t="s">
        <v>1327</v>
      </c>
      <c r="L549" s="152" t="s">
        <v>1327</v>
      </c>
      <c r="M549" s="152" t="s">
        <v>1327</v>
      </c>
      <c r="N549" s="152" t="s">
        <v>1327</v>
      </c>
      <c r="O549" s="152">
        <v>2.5728520000000001</v>
      </c>
      <c r="P549" s="152">
        <v>52.035288999999999</v>
      </c>
      <c r="Q549" s="152">
        <v>2.5728520000000001</v>
      </c>
      <c r="R549" s="152" t="s">
        <v>1327</v>
      </c>
      <c r="S549" s="152">
        <v>99.470404000000002</v>
      </c>
      <c r="T549" s="152">
        <v>3.8629999999999998E-2</v>
      </c>
      <c r="U549" s="152">
        <v>2.3938169999999999</v>
      </c>
      <c r="V549" s="152">
        <v>6.9933800000000002</v>
      </c>
      <c r="W549" s="152">
        <v>1000</v>
      </c>
      <c r="X549" s="152" t="s">
        <v>23</v>
      </c>
      <c r="Y549" s="152" t="s">
        <v>1328</v>
      </c>
      <c r="Z549" s="152" t="s">
        <v>1327</v>
      </c>
    </row>
    <row r="550" spans="1:26" x14ac:dyDescent="0.2">
      <c r="A550" s="152" t="s">
        <v>1809</v>
      </c>
      <c r="B550" s="152">
        <v>2.3199999999999998</v>
      </c>
      <c r="C550" s="151">
        <v>44399</v>
      </c>
      <c r="D550" s="152">
        <v>2.7424659999999998</v>
      </c>
      <c r="E550" s="152" t="s">
        <v>1325</v>
      </c>
      <c r="F550" s="152" t="s">
        <v>1326</v>
      </c>
      <c r="G550" s="152" t="s">
        <v>116</v>
      </c>
      <c r="H550" s="152"/>
      <c r="I550" s="152">
        <v>43395</v>
      </c>
      <c r="J550" s="152">
        <v>2.6549999999999998</v>
      </c>
      <c r="K550" s="152" t="s">
        <v>1327</v>
      </c>
      <c r="L550" s="152" t="s">
        <v>1327</v>
      </c>
      <c r="M550" s="152" t="s">
        <v>1327</v>
      </c>
      <c r="N550" s="152" t="s">
        <v>1327</v>
      </c>
      <c r="O550" s="152">
        <v>2.653759</v>
      </c>
      <c r="P550" s="152">
        <v>58.314520999999999</v>
      </c>
      <c r="Q550" s="152">
        <v>2.653759</v>
      </c>
      <c r="R550" s="152" t="s">
        <v>1327</v>
      </c>
      <c r="S550" s="152">
        <v>99.110923</v>
      </c>
      <c r="T550" s="152">
        <v>0.60383600000000004</v>
      </c>
      <c r="U550" s="152">
        <v>2.6238299999999999</v>
      </c>
      <c r="V550" s="152">
        <v>8.3251139999999992</v>
      </c>
      <c r="W550" s="152">
        <v>1000</v>
      </c>
      <c r="X550" s="152" t="s">
        <v>23</v>
      </c>
      <c r="Y550" s="152" t="s">
        <v>1328</v>
      </c>
      <c r="Z550" s="152" t="s">
        <v>1327</v>
      </c>
    </row>
    <row r="551" spans="1:26" x14ac:dyDescent="0.2">
      <c r="A551" s="152" t="s">
        <v>1810</v>
      </c>
      <c r="B551" s="152">
        <v>2.6</v>
      </c>
      <c r="C551" s="151">
        <v>44425</v>
      </c>
      <c r="D551" s="152">
        <v>2.8136990000000002</v>
      </c>
      <c r="E551" s="152" t="s">
        <v>1325</v>
      </c>
      <c r="F551" s="152" t="s">
        <v>1326</v>
      </c>
      <c r="G551" s="152"/>
      <c r="H551" s="152"/>
      <c r="I551" s="152">
        <v>43354</v>
      </c>
      <c r="J551" s="152">
        <v>2.5950000000000002</v>
      </c>
      <c r="K551" s="152" t="s">
        <v>1327</v>
      </c>
      <c r="L551" s="152" t="s">
        <v>1327</v>
      </c>
      <c r="M551" s="152" t="s">
        <v>1327</v>
      </c>
      <c r="N551" s="152" t="s">
        <v>1327</v>
      </c>
      <c r="O551" s="152">
        <v>2.638509</v>
      </c>
      <c r="P551" s="152">
        <v>55.524248</v>
      </c>
      <c r="Q551" s="152">
        <v>2.638509</v>
      </c>
      <c r="R551" s="152" t="s">
        <v>1327</v>
      </c>
      <c r="S551" s="152">
        <v>99.884107</v>
      </c>
      <c r="T551" s="152">
        <v>0.44164399999999998</v>
      </c>
      <c r="U551" s="152">
        <v>2.68235</v>
      </c>
      <c r="V551" s="152">
        <v>8.6760070000000002</v>
      </c>
      <c r="W551" s="152">
        <v>1000</v>
      </c>
      <c r="X551" s="152" t="s">
        <v>23</v>
      </c>
      <c r="Y551" s="152" t="s">
        <v>1328</v>
      </c>
      <c r="Z551" s="152" t="s">
        <v>1327</v>
      </c>
    </row>
    <row r="552" spans="1:26" x14ac:dyDescent="0.2">
      <c r="A552" s="152" t="s">
        <v>1811</v>
      </c>
      <c r="B552" s="152">
        <v>2.4</v>
      </c>
      <c r="C552" s="151">
        <v>44583</v>
      </c>
      <c r="D552" s="152">
        <v>3.246575</v>
      </c>
      <c r="E552" s="152" t="s">
        <v>1325</v>
      </c>
      <c r="F552" s="152" t="s">
        <v>1326</v>
      </c>
      <c r="G552" s="152" t="s">
        <v>116</v>
      </c>
      <c r="H552" s="152"/>
      <c r="I552" s="152">
        <v>43185</v>
      </c>
      <c r="J552" s="152">
        <v>2.11</v>
      </c>
      <c r="K552" s="152" t="s">
        <v>1327</v>
      </c>
      <c r="L552" s="152" t="s">
        <v>1327</v>
      </c>
      <c r="M552" s="152" t="s">
        <v>1327</v>
      </c>
      <c r="N552" s="152" t="s">
        <v>1327</v>
      </c>
      <c r="O552" s="152">
        <v>2.8072460000000001</v>
      </c>
      <c r="P552" s="152">
        <v>63.090592999999998</v>
      </c>
      <c r="Q552" s="152">
        <v>2.8072460000000001</v>
      </c>
      <c r="R552" s="152" t="s">
        <v>1327</v>
      </c>
      <c r="S552" s="152">
        <v>98.733760000000004</v>
      </c>
      <c r="T552" s="152">
        <v>0.62465800000000005</v>
      </c>
      <c r="U552" s="152">
        <v>3.07755</v>
      </c>
      <c r="V552" s="152">
        <v>11.235256</v>
      </c>
      <c r="W552" s="152">
        <v>1000</v>
      </c>
      <c r="X552" s="152" t="s">
        <v>23</v>
      </c>
      <c r="Y552" s="152" t="s">
        <v>1328</v>
      </c>
      <c r="Z552" s="152" t="s">
        <v>1327</v>
      </c>
    </row>
    <row r="553" spans="1:26" x14ac:dyDescent="0.2">
      <c r="A553" s="152" t="s">
        <v>1812</v>
      </c>
      <c r="B553" s="152">
        <v>2.81</v>
      </c>
      <c r="C553" s="151">
        <v>44599</v>
      </c>
      <c r="D553" s="152">
        <v>3.2904110000000002</v>
      </c>
      <c r="E553" s="152" t="s">
        <v>1325</v>
      </c>
      <c r="F553" s="152" t="s">
        <v>1326</v>
      </c>
      <c r="G553" s="152" t="s">
        <v>116</v>
      </c>
      <c r="H553" s="152"/>
      <c r="I553" s="151" t="s">
        <v>1327</v>
      </c>
      <c r="J553" s="152" t="s">
        <v>1327</v>
      </c>
      <c r="K553" s="152" t="s">
        <v>1327</v>
      </c>
      <c r="L553" s="152" t="s">
        <v>1327</v>
      </c>
      <c r="M553" s="152" t="s">
        <v>1327</v>
      </c>
      <c r="N553" s="152" t="s">
        <v>1327</v>
      </c>
      <c r="O553" s="152">
        <v>2.8847990000000001</v>
      </c>
      <c r="P553" s="152">
        <v>69.681608999999995</v>
      </c>
      <c r="Q553" s="152">
        <v>2.8847990000000001</v>
      </c>
      <c r="R553" s="152" t="s">
        <v>1327</v>
      </c>
      <c r="S553" s="152">
        <v>99.752979999999994</v>
      </c>
      <c r="T553" s="152">
        <v>0.60819199999999995</v>
      </c>
      <c r="U553" s="152">
        <v>3.1005669999999999</v>
      </c>
      <c r="V553" s="152">
        <v>11.424026</v>
      </c>
      <c r="W553" s="152">
        <v>1000</v>
      </c>
      <c r="X553" s="152" t="s">
        <v>23</v>
      </c>
      <c r="Y553" s="152" t="s">
        <v>1328</v>
      </c>
      <c r="Z553" s="152" t="s">
        <v>1327</v>
      </c>
    </row>
    <row r="554" spans="1:26" x14ac:dyDescent="0.2">
      <c r="A554" s="152" t="s">
        <v>1813</v>
      </c>
      <c r="B554" s="152">
        <v>2.94</v>
      </c>
      <c r="C554" s="151">
        <v>44780</v>
      </c>
      <c r="D554" s="152">
        <v>3.7863009999999999</v>
      </c>
      <c r="E554" s="152" t="s">
        <v>1325</v>
      </c>
      <c r="F554" s="152" t="s">
        <v>1326</v>
      </c>
      <c r="G554" s="152" t="s">
        <v>116</v>
      </c>
      <c r="H554" s="152"/>
      <c r="I554" s="152" t="s">
        <v>1327</v>
      </c>
      <c r="J554" s="152" t="s">
        <v>1327</v>
      </c>
      <c r="K554" s="152" t="s">
        <v>1327</v>
      </c>
      <c r="L554" s="152" t="s">
        <v>1327</v>
      </c>
      <c r="M554" s="152" t="s">
        <v>1327</v>
      </c>
      <c r="N554" s="152" t="s">
        <v>1327</v>
      </c>
      <c r="O554" s="152">
        <v>3.0303100000000001</v>
      </c>
      <c r="P554" s="152">
        <v>71.969339000000005</v>
      </c>
      <c r="Q554" s="152">
        <v>3.0303100000000001</v>
      </c>
      <c r="R554" s="152" t="s">
        <v>1327</v>
      </c>
      <c r="S554" s="152">
        <v>99.664343000000002</v>
      </c>
      <c r="T554" s="152">
        <v>0.63632900000000003</v>
      </c>
      <c r="U554" s="152">
        <v>3.5366300000000002</v>
      </c>
      <c r="V554" s="152">
        <v>14.695145999999999</v>
      </c>
      <c r="W554" s="152">
        <v>1000</v>
      </c>
      <c r="X554" s="152" t="s">
        <v>23</v>
      </c>
      <c r="Y554" s="152" t="s">
        <v>1328</v>
      </c>
      <c r="Z554" s="152" t="s">
        <v>1327</v>
      </c>
    </row>
    <row r="555" spans="1:26" x14ac:dyDescent="0.2">
      <c r="A555" s="152" t="s">
        <v>1814</v>
      </c>
      <c r="B555" s="152">
        <v>2.94</v>
      </c>
      <c r="C555" s="151">
        <v>44797</v>
      </c>
      <c r="D555" s="152">
        <v>3.8328769999999999</v>
      </c>
      <c r="E555" s="152" t="s">
        <v>1325</v>
      </c>
      <c r="F555" s="152" t="s">
        <v>1326</v>
      </c>
      <c r="G555" s="152"/>
      <c r="H555" s="152"/>
      <c r="I555" s="151" t="s">
        <v>1327</v>
      </c>
      <c r="J555" s="152" t="s">
        <v>1327</v>
      </c>
      <c r="K555" s="152" t="s">
        <v>1327</v>
      </c>
      <c r="L555" s="152" t="s">
        <v>1327</v>
      </c>
      <c r="M555" s="152" t="s">
        <v>1327</v>
      </c>
      <c r="N555" s="152" t="s">
        <v>1327</v>
      </c>
      <c r="O555" s="152">
        <v>3.031155</v>
      </c>
      <c r="P555" s="152">
        <v>71.498401999999999</v>
      </c>
      <c r="Q555" s="152">
        <v>3.031155</v>
      </c>
      <c r="R555" s="152" t="s">
        <v>1327</v>
      </c>
      <c r="S555" s="152">
        <v>99.657841000000005</v>
      </c>
      <c r="T555" s="152">
        <v>0.49939699999999998</v>
      </c>
      <c r="U555" s="152">
        <v>3.5824919999999998</v>
      </c>
      <c r="V555" s="152">
        <v>15.044226</v>
      </c>
      <c r="W555" s="152">
        <v>1000</v>
      </c>
      <c r="X555" s="152" t="s">
        <v>23</v>
      </c>
      <c r="Y555" s="152" t="s">
        <v>1328</v>
      </c>
      <c r="Z555" s="152" t="s">
        <v>1327</v>
      </c>
    </row>
    <row r="556" spans="1:26" x14ac:dyDescent="0.2">
      <c r="A556" s="152" t="s">
        <v>1815</v>
      </c>
      <c r="B556" s="152">
        <v>6.25</v>
      </c>
      <c r="C556" s="151">
        <v>43889</v>
      </c>
      <c r="D556" s="152">
        <v>1.345205</v>
      </c>
      <c r="E556" s="152" t="s">
        <v>1325</v>
      </c>
      <c r="F556" s="152" t="s">
        <v>1326</v>
      </c>
      <c r="G556" s="152"/>
      <c r="H556" s="152"/>
      <c r="I556" s="152">
        <v>43228</v>
      </c>
      <c r="J556" s="152">
        <v>6.31</v>
      </c>
      <c r="K556" s="152" t="s">
        <v>1327</v>
      </c>
      <c r="L556" s="152" t="s">
        <v>1327</v>
      </c>
      <c r="M556" s="152" t="s">
        <v>1327</v>
      </c>
      <c r="N556" s="152" t="s">
        <v>1327</v>
      </c>
      <c r="O556" s="152">
        <v>6.6027760000000004</v>
      </c>
      <c r="P556" s="152">
        <v>488.57492000000002</v>
      </c>
      <c r="Q556" s="152">
        <v>6.6027760000000004</v>
      </c>
      <c r="R556" s="152" t="s">
        <v>1327</v>
      </c>
      <c r="S556" s="152">
        <v>99.533714000000003</v>
      </c>
      <c r="T556" s="152">
        <v>0.95890399999999998</v>
      </c>
      <c r="U556" s="152">
        <v>1.267841</v>
      </c>
      <c r="V556" s="152">
        <v>1.966418</v>
      </c>
      <c r="W556" s="152">
        <v>1000</v>
      </c>
      <c r="X556" s="152" t="s">
        <v>23</v>
      </c>
      <c r="Y556" s="152" t="s">
        <v>1328</v>
      </c>
      <c r="Z556" s="152" t="s">
        <v>1327</v>
      </c>
    </row>
    <row r="557" spans="1:26" x14ac:dyDescent="0.2">
      <c r="A557" s="152" t="s">
        <v>1816</v>
      </c>
      <c r="B557" s="152">
        <v>5.25</v>
      </c>
      <c r="C557" s="151">
        <v>43724</v>
      </c>
      <c r="D557" s="152">
        <v>0.89315100000000003</v>
      </c>
      <c r="E557" s="152" t="s">
        <v>1325</v>
      </c>
      <c r="F557" s="152" t="s">
        <v>1326</v>
      </c>
      <c r="G557" s="152"/>
      <c r="H557" s="152"/>
      <c r="I557" s="152" t="s">
        <v>1327</v>
      </c>
      <c r="J557" s="152" t="s">
        <v>1327</v>
      </c>
      <c r="K557" s="152" t="s">
        <v>1327</v>
      </c>
      <c r="L557" s="152" t="s">
        <v>1327</v>
      </c>
      <c r="M557" s="152" t="s">
        <v>1327</v>
      </c>
      <c r="N557" s="152" t="s">
        <v>1327</v>
      </c>
      <c r="O557" s="152">
        <v>5.6244800000000001</v>
      </c>
      <c r="P557" s="152">
        <v>394.81536299999999</v>
      </c>
      <c r="Q557" s="152">
        <v>5.6244800000000001</v>
      </c>
      <c r="R557" s="152" t="s">
        <v>1327</v>
      </c>
      <c r="S557" s="152">
        <v>99.677363</v>
      </c>
      <c r="T557" s="152">
        <v>0.489041</v>
      </c>
      <c r="U557" s="152">
        <v>0.86352099999999998</v>
      </c>
      <c r="V557" s="152">
        <v>0.96876499999999999</v>
      </c>
      <c r="W557" s="152">
        <v>1000</v>
      </c>
      <c r="X557" s="152" t="s">
        <v>23</v>
      </c>
      <c r="Y557" s="152" t="s">
        <v>1328</v>
      </c>
      <c r="Z557" s="152" t="s">
        <v>1327</v>
      </c>
    </row>
    <row r="558" spans="1:26" x14ac:dyDescent="0.2">
      <c r="A558" s="152" t="s">
        <v>1817</v>
      </c>
      <c r="B558" s="152">
        <v>4.5</v>
      </c>
      <c r="C558" s="151">
        <v>43669</v>
      </c>
      <c r="D558" s="152">
        <v>0.74246599999999996</v>
      </c>
      <c r="E558" s="152" t="s">
        <v>1325</v>
      </c>
      <c r="F558" s="152" t="s">
        <v>1326</v>
      </c>
      <c r="G558" s="152"/>
      <c r="H558" s="152"/>
      <c r="I558" s="151" t="s">
        <v>1327</v>
      </c>
      <c r="J558" s="152" t="s">
        <v>1327</v>
      </c>
      <c r="K558" s="152" t="s">
        <v>1327</v>
      </c>
      <c r="L558" s="152" t="s">
        <v>1327</v>
      </c>
      <c r="M558" s="152" t="s">
        <v>1327</v>
      </c>
      <c r="N558" s="152" t="s">
        <v>1327</v>
      </c>
      <c r="O558" s="152">
        <v>4.7008890000000001</v>
      </c>
      <c r="P558" s="152">
        <v>298.56514900000002</v>
      </c>
      <c r="Q558" s="152">
        <v>4.7008890000000001</v>
      </c>
      <c r="R558" s="152" t="s">
        <v>1327</v>
      </c>
      <c r="S558" s="152">
        <v>99.829272000000003</v>
      </c>
      <c r="T558" s="152">
        <v>1.1589039999999999</v>
      </c>
      <c r="U558" s="152">
        <v>0.71867000000000003</v>
      </c>
      <c r="V558" s="152">
        <v>0.87271100000000001</v>
      </c>
      <c r="W558" s="152">
        <v>1000</v>
      </c>
      <c r="X558" s="152" t="s">
        <v>23</v>
      </c>
      <c r="Y558" s="152" t="s">
        <v>1328</v>
      </c>
      <c r="Z558" s="152" t="s">
        <v>1327</v>
      </c>
    </row>
    <row r="559" spans="1:26" x14ac:dyDescent="0.2">
      <c r="A559" s="152" t="s">
        <v>1818</v>
      </c>
      <c r="B559" s="152">
        <v>2.97</v>
      </c>
      <c r="C559" s="151">
        <v>43498</v>
      </c>
      <c r="D559" s="152">
        <v>0.27397300000000002</v>
      </c>
      <c r="E559" s="152" t="s">
        <v>1325</v>
      </c>
      <c r="F559" s="152" t="s">
        <v>1326</v>
      </c>
      <c r="G559" s="152"/>
      <c r="H559" s="152"/>
      <c r="I559" s="151">
        <v>42822</v>
      </c>
      <c r="J559" s="152">
        <v>2.97</v>
      </c>
      <c r="K559" s="152" t="s">
        <v>1327</v>
      </c>
      <c r="L559" s="152" t="s">
        <v>1327</v>
      </c>
      <c r="M559" s="152" t="s">
        <v>1327</v>
      </c>
      <c r="N559" s="152" t="s">
        <v>1327</v>
      </c>
      <c r="O559" s="152">
        <v>2.588975</v>
      </c>
      <c r="P559" s="152">
        <v>103.132024</v>
      </c>
      <c r="Q559" s="152">
        <v>2.588975</v>
      </c>
      <c r="R559" s="152" t="s">
        <v>1327</v>
      </c>
      <c r="S559" s="152">
        <v>100.088785</v>
      </c>
      <c r="T559" s="152">
        <v>0.68350699999999998</v>
      </c>
      <c r="U559" s="152">
        <v>0.27047100000000002</v>
      </c>
      <c r="V559" s="152">
        <v>0.20666200000000001</v>
      </c>
      <c r="W559" s="152">
        <v>1000</v>
      </c>
      <c r="X559" s="152" t="s">
        <v>23</v>
      </c>
      <c r="Y559" s="152" t="s">
        <v>1328</v>
      </c>
      <c r="Z559" s="152" t="s">
        <v>1327</v>
      </c>
    </row>
    <row r="560" spans="1:26" x14ac:dyDescent="0.2">
      <c r="A560" s="152" t="s">
        <v>1819</v>
      </c>
      <c r="B560" s="152">
        <v>2.97</v>
      </c>
      <c r="C560" s="151">
        <v>43517</v>
      </c>
      <c r="D560" s="152">
        <v>0.32602700000000001</v>
      </c>
      <c r="E560" s="152" t="s">
        <v>1325</v>
      </c>
      <c r="F560" s="152" t="s">
        <v>1326</v>
      </c>
      <c r="G560" s="152"/>
      <c r="H560" s="152"/>
      <c r="I560" s="151" t="s">
        <v>1327</v>
      </c>
      <c r="J560" s="152" t="s">
        <v>1327</v>
      </c>
      <c r="K560" s="152" t="s">
        <v>1327</v>
      </c>
      <c r="L560" s="152" t="s">
        <v>1327</v>
      </c>
      <c r="M560" s="152" t="s">
        <v>1327</v>
      </c>
      <c r="N560" s="152" t="s">
        <v>1327</v>
      </c>
      <c r="O560" s="152">
        <v>2.6657150000000001</v>
      </c>
      <c r="P560" s="152">
        <v>105.175284</v>
      </c>
      <c r="Q560" s="152">
        <v>2.6657150000000001</v>
      </c>
      <c r="R560" s="152" t="s">
        <v>1327</v>
      </c>
      <c r="S560" s="152">
        <v>100.083691</v>
      </c>
      <c r="T560" s="152">
        <v>0.52890400000000004</v>
      </c>
      <c r="U560" s="152">
        <v>0.321739</v>
      </c>
      <c r="V560" s="152">
        <v>0.26227</v>
      </c>
      <c r="W560" s="152">
        <v>1000</v>
      </c>
      <c r="X560" s="152" t="s">
        <v>23</v>
      </c>
      <c r="Y560" s="152" t="s">
        <v>1328</v>
      </c>
      <c r="Z560" s="152" t="s">
        <v>1327</v>
      </c>
    </row>
    <row r="561" spans="1:26" x14ac:dyDescent="0.2">
      <c r="A561" s="152" t="s">
        <v>1820</v>
      </c>
      <c r="B561" s="152">
        <v>2.92</v>
      </c>
      <c r="C561" s="151">
        <v>43545</v>
      </c>
      <c r="D561" s="152">
        <v>0.40273999999999999</v>
      </c>
      <c r="E561" s="152" t="s">
        <v>1325</v>
      </c>
      <c r="F561" s="152" t="s">
        <v>1326</v>
      </c>
      <c r="G561" s="152"/>
      <c r="H561" s="152"/>
      <c r="I561" s="151" t="s">
        <v>1327</v>
      </c>
      <c r="J561" s="152" t="s">
        <v>1327</v>
      </c>
      <c r="K561" s="152" t="s">
        <v>1327</v>
      </c>
      <c r="L561" s="152" t="s">
        <v>1327</v>
      </c>
      <c r="M561" s="152" t="s">
        <v>1327</v>
      </c>
      <c r="N561" s="152" t="s">
        <v>1327</v>
      </c>
      <c r="O561" s="152">
        <v>2.7488380000000001</v>
      </c>
      <c r="P561" s="152">
        <v>107.47500599999999</v>
      </c>
      <c r="Q561" s="152">
        <v>2.7488380000000001</v>
      </c>
      <c r="R561" s="152" t="s">
        <v>1327</v>
      </c>
      <c r="S561" s="152">
        <v>100.064347</v>
      </c>
      <c r="T561" s="152">
        <v>0.98399999999999999</v>
      </c>
      <c r="U561" s="152">
        <v>0.393897</v>
      </c>
      <c r="V561" s="152">
        <v>0.350217</v>
      </c>
      <c r="W561" s="152">
        <v>1000</v>
      </c>
      <c r="X561" s="152" t="s">
        <v>23</v>
      </c>
      <c r="Y561" s="152" t="s">
        <v>1328</v>
      </c>
      <c r="Z561" s="152" t="s">
        <v>1327</v>
      </c>
    </row>
    <row r="562" spans="1:26" x14ac:dyDescent="0.2">
      <c r="A562" s="152" t="s">
        <v>1821</v>
      </c>
      <c r="B562" s="152">
        <v>2.92</v>
      </c>
      <c r="C562" s="151">
        <v>43553</v>
      </c>
      <c r="D562" s="152">
        <v>0.42465799999999998</v>
      </c>
      <c r="E562" s="152" t="s">
        <v>1325</v>
      </c>
      <c r="F562" s="152" t="s">
        <v>1326</v>
      </c>
      <c r="G562" s="152"/>
      <c r="H562" s="152"/>
      <c r="I562" s="151" t="s">
        <v>1327</v>
      </c>
      <c r="J562" s="152" t="s">
        <v>1327</v>
      </c>
      <c r="K562" s="152" t="s">
        <v>1327</v>
      </c>
      <c r="L562" s="152" t="s">
        <v>1327</v>
      </c>
      <c r="M562" s="152" t="s">
        <v>1327</v>
      </c>
      <c r="N562" s="152" t="s">
        <v>1327</v>
      </c>
      <c r="O562" s="152">
        <v>2.7656860000000001</v>
      </c>
      <c r="P562" s="152">
        <v>107.611476</v>
      </c>
      <c r="Q562" s="152">
        <v>2.7656860000000001</v>
      </c>
      <c r="R562" s="152" t="s">
        <v>1327</v>
      </c>
      <c r="S562" s="152">
        <v>100.075423</v>
      </c>
      <c r="T562" s="152">
        <v>0.20799999999999999</v>
      </c>
      <c r="U562" s="152">
        <v>0.41886499999999999</v>
      </c>
      <c r="V562" s="152">
        <v>0.38202399999999997</v>
      </c>
      <c r="W562" s="152">
        <v>1000</v>
      </c>
      <c r="X562" s="152" t="s">
        <v>23</v>
      </c>
      <c r="Y562" s="152" t="s">
        <v>1328</v>
      </c>
      <c r="Z562" s="152" t="s">
        <v>1327</v>
      </c>
    </row>
    <row r="563" spans="1:26" x14ac:dyDescent="0.2">
      <c r="A563" s="152" t="s">
        <v>1822</v>
      </c>
      <c r="B563" s="152">
        <v>2.92</v>
      </c>
      <c r="C563" s="151">
        <v>43558</v>
      </c>
      <c r="D563" s="152">
        <v>0.43835600000000002</v>
      </c>
      <c r="E563" s="152" t="s">
        <v>1325</v>
      </c>
      <c r="F563" s="152" t="s">
        <v>1326</v>
      </c>
      <c r="G563" s="152"/>
      <c r="H563" s="152"/>
      <c r="I563" s="151" t="s">
        <v>1327</v>
      </c>
      <c r="J563" s="152" t="s">
        <v>1327</v>
      </c>
      <c r="K563" s="152" t="s">
        <v>1327</v>
      </c>
      <c r="L563" s="152" t="s">
        <v>1327</v>
      </c>
      <c r="M563" s="152" t="s">
        <v>1327</v>
      </c>
      <c r="N563" s="152" t="s">
        <v>1327</v>
      </c>
      <c r="O563" s="152">
        <v>2.778356</v>
      </c>
      <c r="P563" s="152">
        <v>108.095904</v>
      </c>
      <c r="Q563" s="152">
        <v>2.778356</v>
      </c>
      <c r="R563" s="152" t="s">
        <v>1327</v>
      </c>
      <c r="S563" s="152">
        <v>100.064205</v>
      </c>
      <c r="T563" s="152">
        <v>0.17599999999999999</v>
      </c>
      <c r="U563" s="152">
        <v>0.43235000000000001</v>
      </c>
      <c r="V563" s="152">
        <v>0.40014</v>
      </c>
      <c r="W563" s="152">
        <v>1000</v>
      </c>
      <c r="X563" s="152" t="s">
        <v>23</v>
      </c>
      <c r="Y563" s="152" t="s">
        <v>1328</v>
      </c>
      <c r="Z563" s="152" t="s">
        <v>1327</v>
      </c>
    </row>
    <row r="564" spans="1:26" x14ac:dyDescent="0.2">
      <c r="A564" s="152" t="s">
        <v>1823</v>
      </c>
      <c r="B564" s="152">
        <v>2.93</v>
      </c>
      <c r="C564" s="151">
        <v>43627</v>
      </c>
      <c r="D564" s="152">
        <v>0.62739699999999998</v>
      </c>
      <c r="E564" s="152" t="s">
        <v>1325</v>
      </c>
      <c r="F564" s="152" t="s">
        <v>1326</v>
      </c>
      <c r="G564" s="152"/>
      <c r="H564" s="152"/>
      <c r="I564" s="151" t="s">
        <v>1327</v>
      </c>
      <c r="J564" s="152" t="s">
        <v>1327</v>
      </c>
      <c r="K564" s="152" t="s">
        <v>1327</v>
      </c>
      <c r="L564" s="152" t="s">
        <v>1327</v>
      </c>
      <c r="M564" s="152" t="s">
        <v>1327</v>
      </c>
      <c r="N564" s="152" t="s">
        <v>1327</v>
      </c>
      <c r="O564" s="152">
        <v>2.8467129999999998</v>
      </c>
      <c r="P564" s="152">
        <v>108.430272</v>
      </c>
      <c r="Q564" s="152">
        <v>2.8467129999999998</v>
      </c>
      <c r="R564" s="152" t="s">
        <v>1327</v>
      </c>
      <c r="S564" s="152">
        <v>100.045601</v>
      </c>
      <c r="T564" s="152">
        <v>1.0515890000000001</v>
      </c>
      <c r="U564" s="152">
        <v>0.61169200000000001</v>
      </c>
      <c r="V564" s="152">
        <v>0.67897200000000002</v>
      </c>
      <c r="W564" s="152">
        <v>1000</v>
      </c>
      <c r="X564" s="152" t="s">
        <v>23</v>
      </c>
      <c r="Y564" s="152" t="s">
        <v>1328</v>
      </c>
      <c r="Z564" s="152" t="s">
        <v>1327</v>
      </c>
    </row>
    <row r="565" spans="1:26" x14ac:dyDescent="0.2">
      <c r="A565" s="152" t="s">
        <v>1824</v>
      </c>
      <c r="B565" s="152">
        <v>2.93</v>
      </c>
      <c r="C565" s="151">
        <v>43676</v>
      </c>
      <c r="D565" s="152">
        <v>0.76164399999999999</v>
      </c>
      <c r="E565" s="152" t="s">
        <v>1325</v>
      </c>
      <c r="F565" s="152" t="s">
        <v>1326</v>
      </c>
      <c r="G565" s="152"/>
      <c r="H565" s="152"/>
      <c r="I565" s="152" t="s">
        <v>1327</v>
      </c>
      <c r="J565" s="152" t="s">
        <v>1327</v>
      </c>
      <c r="K565" s="152" t="s">
        <v>1327</v>
      </c>
      <c r="L565" s="152" t="s">
        <v>1327</v>
      </c>
      <c r="M565" s="152" t="s">
        <v>1327</v>
      </c>
      <c r="N565" s="152" t="s">
        <v>1327</v>
      </c>
      <c r="O565" s="152">
        <v>2.8543620000000001</v>
      </c>
      <c r="P565" s="152">
        <v>109.098705</v>
      </c>
      <c r="Q565" s="152">
        <v>2.8543620000000001</v>
      </c>
      <c r="R565" s="152" t="s">
        <v>1327</v>
      </c>
      <c r="S565" s="152">
        <v>100.042265</v>
      </c>
      <c r="T565" s="152">
        <v>0.698384</v>
      </c>
      <c r="U565" s="152">
        <v>0.74786300000000006</v>
      </c>
      <c r="V565" s="152">
        <v>0.931427</v>
      </c>
      <c r="W565" s="152">
        <v>1000</v>
      </c>
      <c r="X565" s="152" t="s">
        <v>23</v>
      </c>
      <c r="Y565" s="152" t="s">
        <v>1328</v>
      </c>
      <c r="Z565" s="152" t="s">
        <v>1327</v>
      </c>
    </row>
    <row r="566" spans="1:26" x14ac:dyDescent="0.2">
      <c r="A566" s="152" t="s">
        <v>1825</v>
      </c>
      <c r="B566" s="152">
        <v>2.91</v>
      </c>
      <c r="C566" s="151">
        <v>43678</v>
      </c>
      <c r="D566" s="152">
        <v>0.767123</v>
      </c>
      <c r="E566" s="152" t="s">
        <v>1325</v>
      </c>
      <c r="F566" s="152" t="s">
        <v>1326</v>
      </c>
      <c r="G566" s="152"/>
      <c r="H566" s="152"/>
      <c r="I566" s="151" t="s">
        <v>1327</v>
      </c>
      <c r="J566" s="152" t="s">
        <v>1327</v>
      </c>
      <c r="K566" s="152" t="s">
        <v>1327</v>
      </c>
      <c r="L566" s="152" t="s">
        <v>1327</v>
      </c>
      <c r="M566" s="152" t="s">
        <v>1327</v>
      </c>
      <c r="N566" s="152" t="s">
        <v>1327</v>
      </c>
      <c r="O566" s="152">
        <v>2.8609879999999999</v>
      </c>
      <c r="P566" s="152">
        <v>109.723536</v>
      </c>
      <c r="Q566" s="152">
        <v>2.8609879999999999</v>
      </c>
      <c r="R566" s="152" t="s">
        <v>1327</v>
      </c>
      <c r="S566" s="152">
        <v>100.02260099999999</v>
      </c>
      <c r="T566" s="152">
        <v>0.67767100000000002</v>
      </c>
      <c r="U566" s="152">
        <v>0.75328799999999996</v>
      </c>
      <c r="V566" s="152">
        <v>0.94220899999999996</v>
      </c>
      <c r="W566" s="152">
        <v>1000</v>
      </c>
      <c r="X566" s="152" t="s">
        <v>23</v>
      </c>
      <c r="Y566" s="152" t="s">
        <v>1328</v>
      </c>
      <c r="Z566" s="152" t="s">
        <v>1327</v>
      </c>
    </row>
    <row r="567" spans="1:26" x14ac:dyDescent="0.2">
      <c r="A567" s="152" t="s">
        <v>1826</v>
      </c>
      <c r="B567" s="152">
        <v>2.95</v>
      </c>
      <c r="C567" s="151">
        <v>43889</v>
      </c>
      <c r="D567" s="152">
        <v>1.345205</v>
      </c>
      <c r="E567" s="152" t="s">
        <v>1325</v>
      </c>
      <c r="F567" s="152" t="s">
        <v>1326</v>
      </c>
      <c r="G567" s="152"/>
      <c r="H567" s="152"/>
      <c r="I567" s="152" t="s">
        <v>1327</v>
      </c>
      <c r="J567" s="152" t="s">
        <v>1327</v>
      </c>
      <c r="K567" s="152" t="s">
        <v>1327</v>
      </c>
      <c r="L567" s="152" t="s">
        <v>1327</v>
      </c>
      <c r="M567" s="152" t="s">
        <v>1327</v>
      </c>
      <c r="N567" s="152" t="s">
        <v>1327</v>
      </c>
      <c r="O567" s="152">
        <v>2.9577529999999999</v>
      </c>
      <c r="P567" s="152">
        <v>110.103241</v>
      </c>
      <c r="Q567" s="152">
        <v>2.9577529999999999</v>
      </c>
      <c r="R567" s="152" t="s">
        <v>1327</v>
      </c>
      <c r="S567" s="152">
        <v>99.983131</v>
      </c>
      <c r="T567" s="152">
        <v>0.46876699999999999</v>
      </c>
      <c r="U567" s="152">
        <v>1.3063020000000001</v>
      </c>
      <c r="V567" s="152">
        <v>2.0545110000000002</v>
      </c>
      <c r="W567" s="152">
        <v>1000</v>
      </c>
      <c r="X567" s="152" t="s">
        <v>23</v>
      </c>
      <c r="Y567" s="152" t="s">
        <v>1328</v>
      </c>
      <c r="Z567" s="152" t="s">
        <v>1327</v>
      </c>
    </row>
    <row r="568" spans="1:26" x14ac:dyDescent="0.2">
      <c r="A568" s="152" t="s">
        <v>1827</v>
      </c>
      <c r="B568" s="152">
        <v>2.96</v>
      </c>
      <c r="C568" s="151">
        <v>43966</v>
      </c>
      <c r="D568" s="152">
        <v>1.5561640000000001</v>
      </c>
      <c r="E568" s="152" t="s">
        <v>1325</v>
      </c>
      <c r="F568" s="152" t="s">
        <v>1326</v>
      </c>
      <c r="G568" s="152"/>
      <c r="H568" s="152"/>
      <c r="I568" s="152" t="s">
        <v>1327</v>
      </c>
      <c r="J568" s="152" t="s">
        <v>1327</v>
      </c>
      <c r="K568" s="152" t="s">
        <v>1327</v>
      </c>
      <c r="L568" s="152" t="s">
        <v>1327</v>
      </c>
      <c r="M568" s="152" t="s">
        <v>1327</v>
      </c>
      <c r="N568" s="152" t="s">
        <v>1327</v>
      </c>
      <c r="O568" s="152">
        <v>2.9845259999999998</v>
      </c>
      <c r="P568" s="152">
        <v>107.031228</v>
      </c>
      <c r="Q568" s="152">
        <v>2.9845259999999998</v>
      </c>
      <c r="R568" s="152" t="s">
        <v>1327</v>
      </c>
      <c r="S568" s="152">
        <v>99.962339999999998</v>
      </c>
      <c r="T568" s="152">
        <v>-1.6219000000000001E-2</v>
      </c>
      <c r="U568" s="152">
        <v>1.5137700000000001</v>
      </c>
      <c r="V568" s="152">
        <v>2.693727</v>
      </c>
      <c r="W568" s="152">
        <v>1000</v>
      </c>
      <c r="X568" s="152" t="s">
        <v>23</v>
      </c>
      <c r="Y568" s="152" t="s">
        <v>1328</v>
      </c>
      <c r="Z568" s="152" t="s">
        <v>1327</v>
      </c>
    </row>
    <row r="569" spans="1:26" x14ac:dyDescent="0.2">
      <c r="A569" s="152" t="s">
        <v>1828</v>
      </c>
      <c r="B569" s="152">
        <v>3.25</v>
      </c>
      <c r="C569" s="151">
        <v>44011</v>
      </c>
      <c r="D569" s="152">
        <v>1.6794519999999999</v>
      </c>
      <c r="E569" s="152" t="s">
        <v>1325</v>
      </c>
      <c r="F569" s="152" t="s">
        <v>1326</v>
      </c>
      <c r="G569" s="152"/>
      <c r="H569" s="152"/>
      <c r="I569" s="151" t="s">
        <v>1327</v>
      </c>
      <c r="J569" s="152" t="s">
        <v>1327</v>
      </c>
      <c r="K569" s="152" t="s">
        <v>1327</v>
      </c>
      <c r="L569" s="152" t="s">
        <v>1327</v>
      </c>
      <c r="M569" s="152" t="s">
        <v>1327</v>
      </c>
      <c r="N569" s="152" t="s">
        <v>1327</v>
      </c>
      <c r="O569" s="152">
        <v>3.0219109999999998</v>
      </c>
      <c r="P569" s="152">
        <v>107.099943</v>
      </c>
      <c r="Q569" s="152">
        <v>3.0219109999999998</v>
      </c>
      <c r="R569" s="152" t="s">
        <v>1327</v>
      </c>
      <c r="S569" s="152">
        <v>100.36345799999999</v>
      </c>
      <c r="T569" s="152">
        <v>1.0595889999999999</v>
      </c>
      <c r="U569" s="152">
        <v>1.6076269999999999</v>
      </c>
      <c r="V569" s="152">
        <v>3.4282879999999998</v>
      </c>
      <c r="W569" s="152">
        <v>1000</v>
      </c>
      <c r="X569" s="152" t="s">
        <v>23</v>
      </c>
      <c r="Y569" s="152" t="s">
        <v>1328</v>
      </c>
      <c r="Z569" s="152" t="s">
        <v>1327</v>
      </c>
    </row>
    <row r="570" spans="1:26" x14ac:dyDescent="0.2">
      <c r="A570" s="152" t="s">
        <v>1829</v>
      </c>
      <c r="B570" s="152">
        <v>2.98</v>
      </c>
      <c r="C570" s="151">
        <v>44019</v>
      </c>
      <c r="D570" s="152">
        <v>1.70137</v>
      </c>
      <c r="E570" s="152" t="s">
        <v>1325</v>
      </c>
      <c r="F570" s="152" t="s">
        <v>1326</v>
      </c>
      <c r="G570" s="152"/>
      <c r="H570" s="152"/>
      <c r="I570" s="151" t="s">
        <v>1327</v>
      </c>
      <c r="J570" s="152" t="s">
        <v>1327</v>
      </c>
      <c r="K570" s="152" t="s">
        <v>1327</v>
      </c>
      <c r="L570" s="152" t="s">
        <v>1327</v>
      </c>
      <c r="M570" s="152" t="s">
        <v>1327</v>
      </c>
      <c r="N570" s="152" t="s">
        <v>1327</v>
      </c>
      <c r="O570" s="152">
        <v>3.0153089999999998</v>
      </c>
      <c r="P570" s="152">
        <v>107.321364</v>
      </c>
      <c r="Q570" s="152">
        <v>3.0153089999999998</v>
      </c>
      <c r="R570" s="152" t="s">
        <v>1327</v>
      </c>
      <c r="S570" s="152">
        <v>99.935057999999998</v>
      </c>
      <c r="T570" s="152">
        <v>0.14695900000000001</v>
      </c>
      <c r="U570" s="152">
        <v>1.6519250000000001</v>
      </c>
      <c r="V570" s="152">
        <v>3.1783939999999999</v>
      </c>
      <c r="W570" s="152">
        <v>1000</v>
      </c>
      <c r="X570" s="152" t="s">
        <v>23</v>
      </c>
      <c r="Y570" s="152" t="s">
        <v>1328</v>
      </c>
      <c r="Z570" s="152" t="s">
        <v>1327</v>
      </c>
    </row>
    <row r="571" spans="1:26" x14ac:dyDescent="0.2">
      <c r="A571" s="152" t="s">
        <v>1830</v>
      </c>
      <c r="B571" s="152">
        <v>2.93</v>
      </c>
      <c r="C571" s="151">
        <v>44053</v>
      </c>
      <c r="D571" s="152">
        <v>1.794521</v>
      </c>
      <c r="E571" s="152" t="s">
        <v>1325</v>
      </c>
      <c r="F571" s="152" t="s">
        <v>1326</v>
      </c>
      <c r="G571" s="152"/>
      <c r="H571" s="152"/>
      <c r="I571" s="151" t="s">
        <v>1327</v>
      </c>
      <c r="J571" s="152" t="s">
        <v>1327</v>
      </c>
      <c r="K571" s="152" t="s">
        <v>1327</v>
      </c>
      <c r="L571" s="152" t="s">
        <v>1327</v>
      </c>
      <c r="M571" s="152" t="s">
        <v>1327</v>
      </c>
      <c r="N571" s="152" t="s">
        <v>1327</v>
      </c>
      <c r="O571" s="152">
        <v>3.0408569999999999</v>
      </c>
      <c r="P571" s="152">
        <v>108.084936</v>
      </c>
      <c r="Q571" s="152">
        <v>3.0408569999999999</v>
      </c>
      <c r="R571" s="152" t="s">
        <v>1327</v>
      </c>
      <c r="S571" s="152">
        <v>99.807372999999998</v>
      </c>
      <c r="T571" s="152">
        <v>-0.112384</v>
      </c>
      <c r="U571" s="152">
        <v>1.7445440000000001</v>
      </c>
      <c r="V571" s="152">
        <v>3.5158619999999998</v>
      </c>
      <c r="W571" s="152">
        <v>1000</v>
      </c>
      <c r="X571" s="152" t="s">
        <v>23</v>
      </c>
      <c r="Y571" s="152" t="s">
        <v>1328</v>
      </c>
      <c r="Z571" s="152" t="s">
        <v>1327</v>
      </c>
    </row>
    <row r="572" spans="1:26" x14ac:dyDescent="0.2">
      <c r="A572" s="152" t="s">
        <v>1831</v>
      </c>
      <c r="B572" s="152">
        <v>2.98</v>
      </c>
      <c r="C572" s="151">
        <v>44087</v>
      </c>
      <c r="D572" s="152">
        <v>1.8876710000000001</v>
      </c>
      <c r="E572" s="152" t="s">
        <v>1325</v>
      </c>
      <c r="F572" s="152" t="s">
        <v>1326</v>
      </c>
      <c r="G572" s="152"/>
      <c r="H572" s="152"/>
      <c r="I572" s="152" t="s">
        <v>1327</v>
      </c>
      <c r="J572" s="152" t="s">
        <v>1327</v>
      </c>
      <c r="K572" s="152" t="s">
        <v>1327</v>
      </c>
      <c r="L572" s="152" t="s">
        <v>1327</v>
      </c>
      <c r="M572" s="152" t="s">
        <v>1327</v>
      </c>
      <c r="N572" s="152" t="s">
        <v>1327</v>
      </c>
      <c r="O572" s="152">
        <v>3.0266600000000001</v>
      </c>
      <c r="P572" s="152">
        <v>104.390523</v>
      </c>
      <c r="Q572" s="152">
        <v>3.0266600000000001</v>
      </c>
      <c r="R572" s="152" t="s">
        <v>1327</v>
      </c>
      <c r="S572" s="152">
        <v>99.916196999999997</v>
      </c>
      <c r="T572" s="152">
        <v>0.34290399999999999</v>
      </c>
      <c r="U572" s="152">
        <v>1.819445</v>
      </c>
      <c r="V572" s="152">
        <v>3.8223820000000002</v>
      </c>
      <c r="W572" s="152">
        <v>1000</v>
      </c>
      <c r="X572" s="152" t="s">
        <v>23</v>
      </c>
      <c r="Y572" s="152" t="s">
        <v>1328</v>
      </c>
      <c r="Z572" s="152" t="s">
        <v>1327</v>
      </c>
    </row>
    <row r="573" spans="1:26" x14ac:dyDescent="0.2">
      <c r="A573" s="152" t="s">
        <v>1832</v>
      </c>
      <c r="B573" s="152">
        <v>2.86</v>
      </c>
      <c r="C573" s="151">
        <v>44242</v>
      </c>
      <c r="D573" s="152">
        <v>2.3123290000000001</v>
      </c>
      <c r="E573" s="152" t="s">
        <v>1325</v>
      </c>
      <c r="F573" s="152" t="s">
        <v>1326</v>
      </c>
      <c r="G573" s="152"/>
      <c r="H573" s="152"/>
      <c r="I573" s="152" t="s">
        <v>1327</v>
      </c>
      <c r="J573" s="152" t="s">
        <v>1327</v>
      </c>
      <c r="K573" s="152" t="s">
        <v>1327</v>
      </c>
      <c r="L573" s="152" t="s">
        <v>1327</v>
      </c>
      <c r="M573" s="152" t="s">
        <v>1327</v>
      </c>
      <c r="N573" s="152" t="s">
        <v>1327</v>
      </c>
      <c r="O573" s="152">
        <v>3.3053900000000001</v>
      </c>
      <c r="P573" s="152">
        <v>128.67036300000001</v>
      </c>
      <c r="Q573" s="152">
        <v>3.3053900000000001</v>
      </c>
      <c r="R573" s="152" t="s">
        <v>1327</v>
      </c>
      <c r="S573" s="152">
        <v>99.007979000000006</v>
      </c>
      <c r="T573" s="152">
        <v>0.55632899999999996</v>
      </c>
      <c r="U573" s="152">
        <v>2.2103700000000002</v>
      </c>
      <c r="V573" s="152">
        <v>5.5513349999999999</v>
      </c>
      <c r="W573" s="152">
        <v>1000</v>
      </c>
      <c r="X573" s="152" t="s">
        <v>23</v>
      </c>
      <c r="Y573" s="152" t="s">
        <v>1328</v>
      </c>
      <c r="Z573" s="152" t="s">
        <v>1327</v>
      </c>
    </row>
    <row r="574" spans="1:26" x14ac:dyDescent="0.2">
      <c r="A574" s="152" t="s">
        <v>1833</v>
      </c>
      <c r="B574" s="152">
        <v>2.86</v>
      </c>
      <c r="C574" s="151">
        <v>44280</v>
      </c>
      <c r="D574" s="152">
        <v>2.4164379999999999</v>
      </c>
      <c r="E574" s="152" t="s">
        <v>1325</v>
      </c>
      <c r="F574" s="152" t="s">
        <v>1326</v>
      </c>
      <c r="G574" s="152"/>
      <c r="H574" s="152"/>
      <c r="I574" s="152" t="s">
        <v>1327</v>
      </c>
      <c r="J574" s="152" t="s">
        <v>1327</v>
      </c>
      <c r="K574" s="152" t="s">
        <v>1327</v>
      </c>
      <c r="L574" s="152" t="s">
        <v>1327</v>
      </c>
      <c r="M574" s="152" t="s">
        <v>1327</v>
      </c>
      <c r="N574" s="152" t="s">
        <v>1327</v>
      </c>
      <c r="O574" s="152">
        <v>3.3122929999999999</v>
      </c>
      <c r="P574" s="152">
        <v>129.434337</v>
      </c>
      <c r="Q574" s="152">
        <v>3.3122929999999999</v>
      </c>
      <c r="R574" s="152" t="s">
        <v>1327</v>
      </c>
      <c r="S574" s="152">
        <v>98.954832999999994</v>
      </c>
      <c r="T574" s="152">
        <v>0.235068</v>
      </c>
      <c r="U574" s="152">
        <v>2.319013</v>
      </c>
      <c r="V574" s="152">
        <v>6.0703579999999997</v>
      </c>
      <c r="W574" s="152">
        <v>1000</v>
      </c>
      <c r="X574" s="152" t="s">
        <v>23</v>
      </c>
      <c r="Y574" s="152" t="s">
        <v>1328</v>
      </c>
      <c r="Z574" s="152" t="s">
        <v>1327</v>
      </c>
    </row>
    <row r="575" spans="1:26" x14ac:dyDescent="0.2">
      <c r="A575" s="152" t="s">
        <v>1834</v>
      </c>
      <c r="B575" s="152">
        <v>4.17</v>
      </c>
      <c r="C575" s="151">
        <v>43566</v>
      </c>
      <c r="D575" s="152">
        <v>0.46027400000000002</v>
      </c>
      <c r="E575" s="152" t="s">
        <v>1325</v>
      </c>
      <c r="F575" s="152" t="s">
        <v>1326</v>
      </c>
      <c r="G575" s="152"/>
      <c r="H575" s="152" t="s">
        <v>27</v>
      </c>
      <c r="I575" s="152">
        <v>43360</v>
      </c>
      <c r="J575" s="152">
        <v>1.85</v>
      </c>
      <c r="K575" s="152" t="s">
        <v>1327</v>
      </c>
      <c r="L575" s="152" t="s">
        <v>1327</v>
      </c>
      <c r="M575" s="152" t="s">
        <v>1327</v>
      </c>
      <c r="N575" s="152" t="s">
        <v>1327</v>
      </c>
      <c r="O575" s="152">
        <v>1.9244000000000001</v>
      </c>
      <c r="P575" s="152">
        <v>20.528213999999998</v>
      </c>
      <c r="Q575" s="152">
        <v>1.9244000000000001</v>
      </c>
      <c r="R575" s="152" t="s">
        <v>1327</v>
      </c>
      <c r="S575" s="152">
        <v>101.029113</v>
      </c>
      <c r="T575" s="152">
        <v>0.159945</v>
      </c>
      <c r="U575" s="152">
        <v>0.45588699999999999</v>
      </c>
      <c r="V575" s="152">
        <v>0.43360500000000002</v>
      </c>
      <c r="W575" s="152">
        <v>1000</v>
      </c>
      <c r="X575" s="152" t="s">
        <v>23</v>
      </c>
      <c r="Y575" s="152" t="s">
        <v>1328</v>
      </c>
      <c r="Z575" s="152" t="s">
        <v>1327</v>
      </c>
    </row>
    <row r="576" spans="1:26" x14ac:dyDescent="0.2">
      <c r="A576" s="152" t="s">
        <v>1835</v>
      </c>
      <c r="B576" s="152">
        <v>4.17</v>
      </c>
      <c r="C576" s="151">
        <v>43566</v>
      </c>
      <c r="D576" s="152">
        <v>0.46027400000000002</v>
      </c>
      <c r="E576" s="152" t="s">
        <v>1325</v>
      </c>
      <c r="F576" s="152" t="s">
        <v>1326</v>
      </c>
      <c r="G576" s="152"/>
      <c r="H576" s="152" t="s">
        <v>27</v>
      </c>
      <c r="I576" s="152">
        <v>43397</v>
      </c>
      <c r="J576" s="152">
        <v>1.9</v>
      </c>
      <c r="K576" s="152" t="s">
        <v>1327</v>
      </c>
      <c r="L576" s="152" t="s">
        <v>1327</v>
      </c>
      <c r="M576" s="152" t="s">
        <v>1327</v>
      </c>
      <c r="N576" s="152" t="s">
        <v>1327</v>
      </c>
      <c r="O576" s="152">
        <v>1.9</v>
      </c>
      <c r="P576" s="152">
        <v>18.064979000000001</v>
      </c>
      <c r="Q576" s="152">
        <v>1.9</v>
      </c>
      <c r="R576" s="152" t="s">
        <v>1327</v>
      </c>
      <c r="S576" s="152">
        <v>101.04037</v>
      </c>
      <c r="T576" s="152">
        <v>0.159945</v>
      </c>
      <c r="U576" s="152">
        <v>0.45594299999999999</v>
      </c>
      <c r="V576" s="152">
        <v>0.43370900000000001</v>
      </c>
      <c r="W576" s="152">
        <v>1000</v>
      </c>
      <c r="X576" s="152" t="s">
        <v>23</v>
      </c>
      <c r="Y576" s="152" t="s">
        <v>1328</v>
      </c>
      <c r="Z576" s="152" t="s">
        <v>1327</v>
      </c>
    </row>
    <row r="577" spans="1:26" x14ac:dyDescent="0.2">
      <c r="A577" s="152" t="s">
        <v>1836</v>
      </c>
      <c r="B577" s="152">
        <v>4.5599999999999996</v>
      </c>
      <c r="C577" s="151">
        <v>44297</v>
      </c>
      <c r="D577" s="152">
        <v>2.4630139999999998</v>
      </c>
      <c r="E577" s="152" t="s">
        <v>1325</v>
      </c>
      <c r="F577" s="152" t="s">
        <v>1326</v>
      </c>
      <c r="G577" s="152"/>
      <c r="H577" s="152" t="s">
        <v>27</v>
      </c>
      <c r="I577" s="152" t="s">
        <v>1327</v>
      </c>
      <c r="J577" s="152" t="s">
        <v>1327</v>
      </c>
      <c r="K577" s="152" t="s">
        <v>1327</v>
      </c>
      <c r="L577" s="152" t="s">
        <v>1327</v>
      </c>
      <c r="M577" s="152" t="s">
        <v>1327</v>
      </c>
      <c r="N577" s="152" t="s">
        <v>1327</v>
      </c>
      <c r="O577" s="152">
        <v>2.444029</v>
      </c>
      <c r="P577" s="152">
        <v>39.457523999999999</v>
      </c>
      <c r="Q577" s="152">
        <v>2.444029</v>
      </c>
      <c r="R577" s="152" t="s">
        <v>1327</v>
      </c>
      <c r="S577" s="152">
        <v>105.02796499999999</v>
      </c>
      <c r="T577" s="152">
        <v>0.174904</v>
      </c>
      <c r="U577" s="152">
        <v>2.3259789999999998</v>
      </c>
      <c r="V577" s="152">
        <v>6.7038080000000004</v>
      </c>
      <c r="W577" s="152">
        <v>1000</v>
      </c>
      <c r="X577" s="152" t="s">
        <v>23</v>
      </c>
      <c r="Y577" s="152" t="s">
        <v>1328</v>
      </c>
      <c r="Z577" s="152" t="s">
        <v>1327</v>
      </c>
    </row>
    <row r="578" spans="1:26" x14ac:dyDescent="0.2">
      <c r="A578" s="152" t="s">
        <v>527</v>
      </c>
      <c r="B578" s="152">
        <v>4.5599999999999996</v>
      </c>
      <c r="C578" s="151">
        <v>44297</v>
      </c>
      <c r="D578" s="152">
        <v>2.4630139999999998</v>
      </c>
      <c r="E578" s="152" t="s">
        <v>1325</v>
      </c>
      <c r="F578" s="152" t="s">
        <v>1326</v>
      </c>
      <c r="G578" s="152"/>
      <c r="H578" s="152" t="s">
        <v>27</v>
      </c>
      <c r="I578" s="151">
        <v>43370</v>
      </c>
      <c r="J578" s="152">
        <v>2.3725000000000001</v>
      </c>
      <c r="K578" s="152" t="s">
        <v>1327</v>
      </c>
      <c r="L578" s="152" t="s">
        <v>1327</v>
      </c>
      <c r="M578" s="152" t="s">
        <v>1327</v>
      </c>
      <c r="N578" s="152" t="s">
        <v>1327</v>
      </c>
      <c r="O578" s="152">
        <v>2.444029</v>
      </c>
      <c r="P578" s="152">
        <v>39.457523999999999</v>
      </c>
      <c r="Q578" s="152">
        <v>2.444029</v>
      </c>
      <c r="R578" s="152" t="s">
        <v>1327</v>
      </c>
      <c r="S578" s="152">
        <v>105.02796499999999</v>
      </c>
      <c r="T578" s="152">
        <v>0.174904</v>
      </c>
      <c r="U578" s="152">
        <v>2.3259789999999998</v>
      </c>
      <c r="V578" s="152">
        <v>6.7038080000000004</v>
      </c>
      <c r="W578" s="152">
        <v>1000</v>
      </c>
      <c r="X578" s="152" t="s">
        <v>23</v>
      </c>
      <c r="Y578" s="152" t="s">
        <v>1328</v>
      </c>
      <c r="Z578" s="152" t="s">
        <v>1327</v>
      </c>
    </row>
    <row r="579" spans="1:26" x14ac:dyDescent="0.2">
      <c r="A579" s="152" t="s">
        <v>1837</v>
      </c>
      <c r="B579" s="152">
        <v>2.5099999999999998</v>
      </c>
      <c r="C579" s="151">
        <v>45057</v>
      </c>
      <c r="D579" s="152">
        <v>4.5452050000000002</v>
      </c>
      <c r="E579" s="152" t="s">
        <v>1325</v>
      </c>
      <c r="F579" s="152" t="s">
        <v>1326</v>
      </c>
      <c r="G579" s="152"/>
      <c r="H579" s="152" t="s">
        <v>27</v>
      </c>
      <c r="I579" s="152">
        <v>43383</v>
      </c>
      <c r="J579" s="152">
        <v>2.87</v>
      </c>
      <c r="K579" s="152" t="s">
        <v>1327</v>
      </c>
      <c r="L579" s="152" t="s">
        <v>1327</v>
      </c>
      <c r="M579" s="152" t="s">
        <v>1327</v>
      </c>
      <c r="N579" s="152" t="s">
        <v>1327</v>
      </c>
      <c r="O579" s="152">
        <v>2.873472</v>
      </c>
      <c r="P579" s="152">
        <v>48.328744999999998</v>
      </c>
      <c r="Q579" s="152">
        <v>2.873472</v>
      </c>
      <c r="R579" s="152" t="s">
        <v>1327</v>
      </c>
      <c r="S579" s="152">
        <v>98.450095000000005</v>
      </c>
      <c r="T579" s="152">
        <v>1.1484110000000001</v>
      </c>
      <c r="U579" s="152">
        <v>4.2133380000000002</v>
      </c>
      <c r="V579" s="152">
        <v>20.605195999999999</v>
      </c>
      <c r="W579" s="152">
        <v>1000</v>
      </c>
      <c r="X579" s="152" t="s">
        <v>23</v>
      </c>
      <c r="Y579" s="152" t="s">
        <v>1328</v>
      </c>
      <c r="Z579" s="152" t="s">
        <v>1327</v>
      </c>
    </row>
    <row r="580" spans="1:26" x14ac:dyDescent="0.2">
      <c r="A580" s="152" t="s">
        <v>1838</v>
      </c>
      <c r="B580" s="152">
        <v>4.9400000000000004</v>
      </c>
      <c r="C580" s="151">
        <v>45393</v>
      </c>
      <c r="D580" s="152">
        <v>5.4657530000000003</v>
      </c>
      <c r="E580" s="152" t="s">
        <v>1325</v>
      </c>
      <c r="F580" s="152" t="s">
        <v>1326</v>
      </c>
      <c r="G580" s="152"/>
      <c r="H580" s="152" t="s">
        <v>27</v>
      </c>
      <c r="I580" s="152">
        <v>42123</v>
      </c>
      <c r="J580" s="152">
        <v>3.54</v>
      </c>
      <c r="K580" s="152" t="s">
        <v>1327</v>
      </c>
      <c r="L580" s="152" t="s">
        <v>1327</v>
      </c>
      <c r="M580" s="152" t="s">
        <v>1327</v>
      </c>
      <c r="N580" s="152" t="s">
        <v>1327</v>
      </c>
      <c r="O580" s="152">
        <v>3.1014919999999999</v>
      </c>
      <c r="P580" s="152">
        <v>63.922075</v>
      </c>
      <c r="Q580" s="152">
        <v>3.1014919999999999</v>
      </c>
      <c r="R580" s="152" t="s">
        <v>1327</v>
      </c>
      <c r="S580" s="152">
        <v>109.175044</v>
      </c>
      <c r="T580" s="152">
        <v>0.18947900000000001</v>
      </c>
      <c r="U580" s="152">
        <v>4.8006900000000003</v>
      </c>
      <c r="V580" s="152">
        <v>27.090123999999999</v>
      </c>
      <c r="W580" s="152">
        <v>1000</v>
      </c>
      <c r="X580" s="152" t="s">
        <v>23</v>
      </c>
      <c r="Y580" s="152" t="s">
        <v>1328</v>
      </c>
      <c r="Z580" s="152" t="s">
        <v>1327</v>
      </c>
    </row>
    <row r="581" spans="1:26" x14ac:dyDescent="0.2">
      <c r="A581" s="152" t="s">
        <v>1839</v>
      </c>
      <c r="B581" s="152">
        <v>4.9400000000000004</v>
      </c>
      <c r="C581" s="151">
        <v>45393</v>
      </c>
      <c r="D581" s="152">
        <v>5.4657530000000003</v>
      </c>
      <c r="E581" s="152" t="s">
        <v>1325</v>
      </c>
      <c r="F581" s="152" t="s">
        <v>1326</v>
      </c>
      <c r="G581" s="152"/>
      <c r="H581" s="152" t="s">
        <v>27</v>
      </c>
      <c r="I581" s="152">
        <v>43327</v>
      </c>
      <c r="J581" s="152">
        <v>3</v>
      </c>
      <c r="K581" s="152" t="s">
        <v>1327</v>
      </c>
      <c r="L581" s="152" t="s">
        <v>1327</v>
      </c>
      <c r="M581" s="152" t="s">
        <v>1327</v>
      </c>
      <c r="N581" s="152" t="s">
        <v>1327</v>
      </c>
      <c r="O581" s="152">
        <v>3.102687</v>
      </c>
      <c r="P581" s="152">
        <v>64.043368999999998</v>
      </c>
      <c r="Q581" s="152">
        <v>3.102687</v>
      </c>
      <c r="R581" s="152" t="s">
        <v>1327</v>
      </c>
      <c r="S581" s="152">
        <v>109.16876999999999</v>
      </c>
      <c r="T581" s="152">
        <v>0.18947900000000001</v>
      </c>
      <c r="U581" s="152">
        <v>4.8006419999999999</v>
      </c>
      <c r="V581" s="152">
        <v>27.089659000000001</v>
      </c>
      <c r="W581" s="152">
        <v>1000</v>
      </c>
      <c r="X581" s="152" t="s">
        <v>23</v>
      </c>
      <c r="Y581" s="152" t="s">
        <v>1328</v>
      </c>
      <c r="Z581" s="152" t="s">
        <v>1327</v>
      </c>
    </row>
    <row r="582" spans="1:26" x14ac:dyDescent="0.2">
      <c r="A582" s="152" t="s">
        <v>1840</v>
      </c>
      <c r="B582" s="152">
        <v>2.78</v>
      </c>
      <c r="C582" s="151">
        <v>46153</v>
      </c>
      <c r="D582" s="152">
        <v>7.5479450000000003</v>
      </c>
      <c r="E582" s="152" t="s">
        <v>1325</v>
      </c>
      <c r="F582" s="152" t="s">
        <v>1326</v>
      </c>
      <c r="G582" s="152"/>
      <c r="H582" s="152" t="s">
        <v>27</v>
      </c>
      <c r="I582" s="152">
        <v>43223</v>
      </c>
      <c r="J582" s="152">
        <v>3.16</v>
      </c>
      <c r="K582" s="152" t="s">
        <v>1327</v>
      </c>
      <c r="L582" s="152" t="s">
        <v>1327</v>
      </c>
      <c r="M582" s="152" t="s">
        <v>1327</v>
      </c>
      <c r="N582" s="152" t="s">
        <v>1327</v>
      </c>
      <c r="O582" s="152">
        <v>3.4366690000000002</v>
      </c>
      <c r="P582" s="152">
        <v>74.659246999999993</v>
      </c>
      <c r="Q582" s="152">
        <v>3.4366690000000002</v>
      </c>
      <c r="R582" s="152" t="s">
        <v>1327</v>
      </c>
      <c r="S582" s="152">
        <v>95.654973999999996</v>
      </c>
      <c r="T582" s="152">
        <v>1.2719450000000001</v>
      </c>
      <c r="U582" s="152">
        <v>6.637594</v>
      </c>
      <c r="V582" s="152">
        <v>50.764158000000002</v>
      </c>
      <c r="W582" s="152">
        <v>1000</v>
      </c>
      <c r="X582" s="152" t="s">
        <v>23</v>
      </c>
      <c r="Y582" s="152" t="s">
        <v>1328</v>
      </c>
      <c r="Z582" s="152" t="s">
        <v>1327</v>
      </c>
    </row>
    <row r="583" spans="1:26" x14ac:dyDescent="0.2">
      <c r="A583" s="152" t="s">
        <v>1841</v>
      </c>
      <c r="B583" s="152">
        <v>3.35</v>
      </c>
      <c r="C583" s="151">
        <v>46721</v>
      </c>
      <c r="D583" s="152">
        <v>9.1041100000000004</v>
      </c>
      <c r="E583" s="152" t="s">
        <v>1325</v>
      </c>
      <c r="F583" s="152" t="s">
        <v>1326</v>
      </c>
      <c r="G583" s="152"/>
      <c r="H583" s="152" t="s">
        <v>27</v>
      </c>
      <c r="I583" s="152">
        <v>43201</v>
      </c>
      <c r="J583" s="152">
        <v>3.24</v>
      </c>
      <c r="K583" s="152" t="s">
        <v>1327</v>
      </c>
      <c r="L583" s="152" t="s">
        <v>1327</v>
      </c>
      <c r="M583" s="152" t="s">
        <v>1327</v>
      </c>
      <c r="N583" s="152" t="s">
        <v>1327</v>
      </c>
      <c r="O583" s="152">
        <v>3.5652180000000002</v>
      </c>
      <c r="P583" s="152">
        <v>75.986642000000003</v>
      </c>
      <c r="Q583" s="152">
        <v>3.5652180000000002</v>
      </c>
      <c r="R583" s="152" t="s">
        <v>1327</v>
      </c>
      <c r="S583" s="152">
        <v>98.324061</v>
      </c>
      <c r="T583" s="152">
        <v>1.3583559999999999</v>
      </c>
      <c r="U583" s="152">
        <v>7.6629769999999997</v>
      </c>
      <c r="V583" s="152">
        <v>68.793910999999994</v>
      </c>
      <c r="W583" s="152">
        <v>1000</v>
      </c>
      <c r="X583" s="152" t="s">
        <v>23</v>
      </c>
      <c r="Y583" s="152" t="s">
        <v>1328</v>
      </c>
      <c r="Z583" s="152" t="s">
        <v>1327</v>
      </c>
    </row>
    <row r="584" spans="1:26" x14ac:dyDescent="0.2">
      <c r="A584" s="152" t="s">
        <v>1842</v>
      </c>
      <c r="B584" s="152">
        <v>2.2000000000000002</v>
      </c>
      <c r="C584" s="151">
        <v>43480</v>
      </c>
      <c r="D584" s="152">
        <v>0.224658</v>
      </c>
      <c r="E584" s="152" t="s">
        <v>1325</v>
      </c>
      <c r="F584" s="152" t="s">
        <v>1326</v>
      </c>
      <c r="G584" s="152" t="s">
        <v>193</v>
      </c>
      <c r="H584" s="152"/>
      <c r="I584" s="152">
        <v>43375</v>
      </c>
      <c r="J584" s="152">
        <v>1.73</v>
      </c>
      <c r="K584" s="152" t="s">
        <v>1327</v>
      </c>
      <c r="L584" s="152" t="s">
        <v>1327</v>
      </c>
      <c r="M584" s="152" t="s">
        <v>1327</v>
      </c>
      <c r="N584" s="152" t="s">
        <v>1327</v>
      </c>
      <c r="O584" s="152">
        <v>1.8707530000000001</v>
      </c>
      <c r="P584" s="152">
        <v>37.318378000000003</v>
      </c>
      <c r="Q584" s="152">
        <v>1.8707530000000001</v>
      </c>
      <c r="R584" s="152" t="s">
        <v>1327</v>
      </c>
      <c r="S584" s="152">
        <v>100.070143</v>
      </c>
      <c r="T584" s="152">
        <v>0.79561599999999999</v>
      </c>
      <c r="U584" s="152">
        <v>0.22166</v>
      </c>
      <c r="V584" s="152">
        <v>0.15901299999999999</v>
      </c>
      <c r="W584" s="152">
        <v>1000</v>
      </c>
      <c r="X584" s="152" t="s">
        <v>23</v>
      </c>
      <c r="Y584" s="152" t="s">
        <v>1328</v>
      </c>
      <c r="Z584" s="152" t="s">
        <v>1327</v>
      </c>
    </row>
    <row r="585" spans="1:26" x14ac:dyDescent="0.2">
      <c r="A585" s="152" t="s">
        <v>646</v>
      </c>
      <c r="B585" s="152">
        <v>1.99</v>
      </c>
      <c r="C585" s="151">
        <v>43674</v>
      </c>
      <c r="D585" s="152">
        <v>0.75616399999999995</v>
      </c>
      <c r="E585" s="152" t="s">
        <v>1325</v>
      </c>
      <c r="F585" s="152" t="s">
        <v>1326</v>
      </c>
      <c r="G585" s="152" t="s">
        <v>193</v>
      </c>
      <c r="H585" s="152"/>
      <c r="I585" s="152">
        <v>43376</v>
      </c>
      <c r="J585" s="152">
        <v>2.11</v>
      </c>
      <c r="K585" s="152" t="s">
        <v>1327</v>
      </c>
      <c r="L585" s="152" t="s">
        <v>1327</v>
      </c>
      <c r="M585" s="152" t="s">
        <v>1327</v>
      </c>
      <c r="N585" s="152" t="s">
        <v>1327</v>
      </c>
      <c r="O585" s="152">
        <v>2.1842760000000001</v>
      </c>
      <c r="P585" s="152">
        <v>40.884850999999998</v>
      </c>
      <c r="Q585" s="152">
        <v>2.1842760000000001</v>
      </c>
      <c r="R585" s="152" t="s">
        <v>1327</v>
      </c>
      <c r="S585" s="152">
        <v>99.844776999999993</v>
      </c>
      <c r="T585" s="152">
        <v>0.48523300000000003</v>
      </c>
      <c r="U585" s="152">
        <v>0.74718300000000004</v>
      </c>
      <c r="V585" s="152">
        <v>0.930226</v>
      </c>
      <c r="W585" s="152">
        <v>1000</v>
      </c>
      <c r="X585" s="152" t="s">
        <v>23</v>
      </c>
      <c r="Y585" s="152" t="s">
        <v>1328</v>
      </c>
      <c r="Z585" s="152" t="s">
        <v>1327</v>
      </c>
    </row>
    <row r="586" spans="1:26" x14ac:dyDescent="0.2">
      <c r="A586" s="152" t="s">
        <v>1843</v>
      </c>
      <c r="B586" s="152">
        <v>2.12</v>
      </c>
      <c r="C586" s="151">
        <v>44038</v>
      </c>
      <c r="D586" s="152">
        <v>1.753425</v>
      </c>
      <c r="E586" s="152" t="s">
        <v>1325</v>
      </c>
      <c r="F586" s="152" t="s">
        <v>1326</v>
      </c>
      <c r="G586" s="152" t="s">
        <v>193</v>
      </c>
      <c r="H586" s="152"/>
      <c r="I586" s="152">
        <v>43362</v>
      </c>
      <c r="J586" s="152">
        <v>2.4300000000000002</v>
      </c>
      <c r="K586" s="152" t="s">
        <v>1327</v>
      </c>
      <c r="L586" s="152" t="s">
        <v>1327</v>
      </c>
      <c r="M586" s="152" t="s">
        <v>1327</v>
      </c>
      <c r="N586" s="152" t="s">
        <v>1327</v>
      </c>
      <c r="O586" s="152">
        <v>2.466459</v>
      </c>
      <c r="P586" s="152">
        <v>49.319279000000002</v>
      </c>
      <c r="Q586" s="152">
        <v>2.466459</v>
      </c>
      <c r="R586" s="152" t="s">
        <v>1327</v>
      </c>
      <c r="S586" s="152">
        <v>99.398229999999998</v>
      </c>
      <c r="T586" s="152">
        <v>0.52854800000000002</v>
      </c>
      <c r="U586" s="152">
        <v>1.702431</v>
      </c>
      <c r="V586" s="152">
        <v>3.7739699999999998</v>
      </c>
      <c r="W586" s="152">
        <v>1000</v>
      </c>
      <c r="X586" s="152" t="s">
        <v>23</v>
      </c>
      <c r="Y586" s="152" t="s">
        <v>1328</v>
      </c>
      <c r="Z586" s="152" t="s">
        <v>1327</v>
      </c>
    </row>
    <row r="587" spans="1:26" x14ac:dyDescent="0.2">
      <c r="A587" s="152" t="s">
        <v>1844</v>
      </c>
      <c r="B587" s="152">
        <v>2.75</v>
      </c>
      <c r="C587" s="151">
        <v>43451</v>
      </c>
      <c r="D587" s="152">
        <v>0.145205</v>
      </c>
      <c r="E587" s="152" t="s">
        <v>1325</v>
      </c>
      <c r="F587" s="152" t="s">
        <v>1326</v>
      </c>
      <c r="G587" s="152"/>
      <c r="H587" s="152" t="s">
        <v>43</v>
      </c>
      <c r="I587" s="152">
        <v>43384</v>
      </c>
      <c r="J587" s="152">
        <v>1.6</v>
      </c>
      <c r="K587" s="152" t="s">
        <v>1327</v>
      </c>
      <c r="L587" s="152" t="s">
        <v>1327</v>
      </c>
      <c r="M587" s="152" t="s">
        <v>1327</v>
      </c>
      <c r="N587" s="152" t="s">
        <v>1327</v>
      </c>
      <c r="O587" s="152">
        <v>1.5955060000000001</v>
      </c>
      <c r="P587" s="152">
        <v>22.522099000000001</v>
      </c>
      <c r="Q587" s="152">
        <v>1.5955060000000001</v>
      </c>
      <c r="R587" s="152" t="s">
        <v>1327</v>
      </c>
      <c r="S587" s="152">
        <v>100.161888</v>
      </c>
      <c r="T587" s="152">
        <v>0.97945199999999999</v>
      </c>
      <c r="U587" s="152">
        <v>0.14405599999999999</v>
      </c>
      <c r="V587" s="152">
        <v>9.221E-2</v>
      </c>
      <c r="W587" s="152">
        <v>1000</v>
      </c>
      <c r="X587" s="152" t="s">
        <v>23</v>
      </c>
      <c r="Y587" s="152" t="s">
        <v>1328</v>
      </c>
      <c r="Z587" s="152" t="s">
        <v>1327</v>
      </c>
    </row>
    <row r="588" spans="1:26" x14ac:dyDescent="0.2">
      <c r="A588" s="152" t="s">
        <v>1845</v>
      </c>
      <c r="B588" s="152">
        <v>2.17</v>
      </c>
      <c r="C588" s="151">
        <v>43457</v>
      </c>
      <c r="D588" s="152">
        <v>0.16164400000000001</v>
      </c>
      <c r="E588" s="152" t="s">
        <v>1325</v>
      </c>
      <c r="F588" s="152" t="s">
        <v>1326</v>
      </c>
      <c r="G588" s="152"/>
      <c r="H588" s="152" t="s">
        <v>43</v>
      </c>
      <c r="I588" s="152">
        <v>43347</v>
      </c>
      <c r="J588" s="152">
        <v>1.49</v>
      </c>
      <c r="K588" s="152" t="s">
        <v>1327</v>
      </c>
      <c r="L588" s="152" t="s">
        <v>1327</v>
      </c>
      <c r="M588" s="152" t="s">
        <v>1327</v>
      </c>
      <c r="N588" s="152" t="s">
        <v>1327</v>
      </c>
      <c r="O588" s="152">
        <v>1.6117840000000001</v>
      </c>
      <c r="P588" s="152">
        <v>21.293465999999999</v>
      </c>
      <c r="Q588" s="152">
        <v>1.6117840000000001</v>
      </c>
      <c r="R588" s="152" t="s">
        <v>1327</v>
      </c>
      <c r="S588" s="152">
        <v>100.085829</v>
      </c>
      <c r="T588" s="152">
        <v>0.737205</v>
      </c>
      <c r="U588" s="152">
        <v>0.16035199999999999</v>
      </c>
      <c r="V588" s="152">
        <v>0.10524699999999999</v>
      </c>
      <c r="W588" s="152">
        <v>1000</v>
      </c>
      <c r="X588" s="152" t="s">
        <v>23</v>
      </c>
      <c r="Y588" s="152" t="s">
        <v>1328</v>
      </c>
      <c r="Z588" s="152" t="s">
        <v>1327</v>
      </c>
    </row>
    <row r="589" spans="1:26" x14ac:dyDescent="0.2">
      <c r="A589" s="152" t="s">
        <v>1846</v>
      </c>
      <c r="B589" s="152">
        <v>2.0299999999999998</v>
      </c>
      <c r="C589" s="151">
        <v>43532</v>
      </c>
      <c r="D589" s="152">
        <v>0.36712299999999998</v>
      </c>
      <c r="E589" s="152" t="s">
        <v>1325</v>
      </c>
      <c r="F589" s="152" t="s">
        <v>1326</v>
      </c>
      <c r="G589" s="152"/>
      <c r="H589" s="152" t="s">
        <v>43</v>
      </c>
      <c r="I589" s="152">
        <v>43354</v>
      </c>
      <c r="J589" s="152">
        <v>1.645</v>
      </c>
      <c r="K589" s="152" t="s">
        <v>1327</v>
      </c>
      <c r="L589" s="152" t="s">
        <v>1327</v>
      </c>
      <c r="M589" s="152" t="s">
        <v>1327</v>
      </c>
      <c r="N589" s="152" t="s">
        <v>1327</v>
      </c>
      <c r="O589" s="152">
        <v>1.9107259999999999</v>
      </c>
      <c r="P589" s="152">
        <v>25.153521000000001</v>
      </c>
      <c r="Q589" s="152">
        <v>1.9107259999999999</v>
      </c>
      <c r="R589" s="152" t="s">
        <v>1327</v>
      </c>
      <c r="S589" s="152">
        <v>100.05083</v>
      </c>
      <c r="T589" s="152">
        <v>0.26139699999999999</v>
      </c>
      <c r="U589" s="152">
        <v>0.363649</v>
      </c>
      <c r="V589" s="152">
        <v>0.31234499999999998</v>
      </c>
      <c r="W589" s="152">
        <v>1000</v>
      </c>
      <c r="X589" s="152" t="s">
        <v>23</v>
      </c>
      <c r="Y589" s="152" t="s">
        <v>1328</v>
      </c>
      <c r="Z589" s="152" t="s">
        <v>1327</v>
      </c>
    </row>
    <row r="590" spans="1:26" x14ac:dyDescent="0.2">
      <c r="A590" s="152" t="s">
        <v>1847</v>
      </c>
      <c r="B590" s="152">
        <v>2.71</v>
      </c>
      <c r="C590" s="151">
        <v>43821</v>
      </c>
      <c r="D590" s="152">
        <v>1.1589039999999999</v>
      </c>
      <c r="E590" s="152" t="s">
        <v>1325</v>
      </c>
      <c r="F590" s="152" t="s">
        <v>1326</v>
      </c>
      <c r="G590" s="152"/>
      <c r="H590" s="152" t="s">
        <v>43</v>
      </c>
      <c r="I590" s="152">
        <v>43301</v>
      </c>
      <c r="J590" s="152">
        <v>2.2200000000000002</v>
      </c>
      <c r="K590" s="152" t="s">
        <v>1327</v>
      </c>
      <c r="L590" s="152" t="s">
        <v>1327</v>
      </c>
      <c r="M590" s="152" t="s">
        <v>1327</v>
      </c>
      <c r="N590" s="152" t="s">
        <v>1327</v>
      </c>
      <c r="O590" s="152">
        <v>2.281701</v>
      </c>
      <c r="P590" s="152">
        <v>45.555906</v>
      </c>
      <c r="Q590" s="152">
        <v>2.281701</v>
      </c>
      <c r="R590" s="152" t="s">
        <v>1327</v>
      </c>
      <c r="S590" s="152">
        <v>100.481736</v>
      </c>
      <c r="T590" s="152">
        <v>0.92808199999999996</v>
      </c>
      <c r="U590" s="152">
        <v>1.126161</v>
      </c>
      <c r="V590" s="152">
        <v>1.840813</v>
      </c>
      <c r="W590" s="152">
        <v>1000</v>
      </c>
      <c r="X590" s="152" t="s">
        <v>23</v>
      </c>
      <c r="Y590" s="152" t="s">
        <v>1328</v>
      </c>
      <c r="Z590" s="152" t="s">
        <v>1327</v>
      </c>
    </row>
    <row r="591" spans="1:26" x14ac:dyDescent="0.2">
      <c r="A591" s="152" t="s">
        <v>1848</v>
      </c>
      <c r="B591" s="152">
        <v>2.1800000000000002</v>
      </c>
      <c r="C591" s="151">
        <v>43820</v>
      </c>
      <c r="D591" s="152">
        <v>1.156164</v>
      </c>
      <c r="E591" s="152" t="s">
        <v>1325</v>
      </c>
      <c r="F591" s="152" t="s">
        <v>1326</v>
      </c>
      <c r="G591" s="152"/>
      <c r="H591" s="152" t="s">
        <v>43</v>
      </c>
      <c r="I591" s="152">
        <v>43350</v>
      </c>
      <c r="J591" s="152">
        <v>2.02</v>
      </c>
      <c r="K591" s="152" t="s">
        <v>1327</v>
      </c>
      <c r="L591" s="152" t="s">
        <v>1327</v>
      </c>
      <c r="M591" s="152" t="s">
        <v>1327</v>
      </c>
      <c r="N591" s="152" t="s">
        <v>1327</v>
      </c>
      <c r="O591" s="152">
        <v>2.1720790000000001</v>
      </c>
      <c r="P591" s="152">
        <v>34.504986000000002</v>
      </c>
      <c r="Q591" s="152">
        <v>2.1720790000000001</v>
      </c>
      <c r="R591" s="152" t="s">
        <v>1327</v>
      </c>
      <c r="S591" s="152">
        <v>100.004744</v>
      </c>
      <c r="T591" s="152">
        <v>0.75254799999999999</v>
      </c>
      <c r="U591" s="152">
        <v>1.1278010000000001</v>
      </c>
      <c r="V591" s="152">
        <v>1.8426849999999999</v>
      </c>
      <c r="W591" s="152">
        <v>1000</v>
      </c>
      <c r="X591" s="152" t="s">
        <v>23</v>
      </c>
      <c r="Y591" s="152" t="s">
        <v>1328</v>
      </c>
      <c r="Z591" s="152" t="s">
        <v>1327</v>
      </c>
    </row>
    <row r="592" spans="1:26" x14ac:dyDescent="0.2">
      <c r="A592" s="152" t="s">
        <v>1849</v>
      </c>
      <c r="B592" s="152">
        <v>2.38</v>
      </c>
      <c r="C592" s="151">
        <v>44005</v>
      </c>
      <c r="D592" s="152">
        <v>1.663014</v>
      </c>
      <c r="E592" s="152" t="s">
        <v>1325</v>
      </c>
      <c r="F592" s="152" t="s">
        <v>1326</v>
      </c>
      <c r="G592" s="152"/>
      <c r="H592" s="152" t="s">
        <v>43</v>
      </c>
      <c r="I592" s="152">
        <v>43222</v>
      </c>
      <c r="J592" s="152">
        <v>2.2000000000000002</v>
      </c>
      <c r="K592" s="152" t="s">
        <v>1327</v>
      </c>
      <c r="L592" s="152" t="s">
        <v>1327</v>
      </c>
      <c r="M592" s="152" t="s">
        <v>1327</v>
      </c>
      <c r="N592" s="152" t="s">
        <v>1327</v>
      </c>
      <c r="O592" s="152">
        <v>2.633229</v>
      </c>
      <c r="P592" s="152">
        <v>67.741921000000005</v>
      </c>
      <c r="Q592" s="152">
        <v>2.633229</v>
      </c>
      <c r="R592" s="152" t="s">
        <v>1327</v>
      </c>
      <c r="S592" s="152">
        <v>99.585960999999998</v>
      </c>
      <c r="T592" s="152">
        <v>0.80854800000000004</v>
      </c>
      <c r="U592" s="152">
        <v>1.6054029999999999</v>
      </c>
      <c r="V592" s="152">
        <v>3.4084099999999999</v>
      </c>
      <c r="W592" s="152">
        <v>1000</v>
      </c>
      <c r="X592" s="152" t="s">
        <v>23</v>
      </c>
      <c r="Y592" s="152" t="s">
        <v>1328</v>
      </c>
      <c r="Z592" s="152" t="s">
        <v>1327</v>
      </c>
    </row>
    <row r="593" spans="1:26" x14ac:dyDescent="0.2">
      <c r="A593" s="152" t="s">
        <v>1850</v>
      </c>
      <c r="B593" s="152">
        <v>2.5</v>
      </c>
      <c r="C593" s="151">
        <v>44368</v>
      </c>
      <c r="D593" s="152">
        <v>2.6575340000000001</v>
      </c>
      <c r="E593" s="152" t="s">
        <v>1325</v>
      </c>
      <c r="F593" s="152" t="s">
        <v>1326</v>
      </c>
      <c r="G593" s="152"/>
      <c r="H593" s="152" t="s">
        <v>43</v>
      </c>
      <c r="I593" s="151" t="s">
        <v>1327</v>
      </c>
      <c r="J593" s="152" t="s">
        <v>1327</v>
      </c>
      <c r="K593" s="152" t="s">
        <v>1327</v>
      </c>
      <c r="L593" s="152" t="s">
        <v>1327</v>
      </c>
      <c r="M593" s="152" t="s">
        <v>1327</v>
      </c>
      <c r="N593" s="152" t="s">
        <v>1327</v>
      </c>
      <c r="O593" s="152">
        <v>2.778591</v>
      </c>
      <c r="P593" s="152">
        <v>71.625291000000004</v>
      </c>
      <c r="Q593" s="152">
        <v>2.778591</v>
      </c>
      <c r="R593" s="152" t="s">
        <v>1327</v>
      </c>
      <c r="S593" s="152">
        <v>99.286117000000004</v>
      </c>
      <c r="T593" s="152">
        <v>0.86301399999999995</v>
      </c>
      <c r="U593" s="152">
        <v>2.5295000000000001</v>
      </c>
      <c r="V593" s="152">
        <v>7.8018150000000004</v>
      </c>
      <c r="W593" s="152">
        <v>1000</v>
      </c>
      <c r="X593" s="152" t="s">
        <v>23</v>
      </c>
      <c r="Y593" s="152" t="s">
        <v>1328</v>
      </c>
      <c r="Z593" s="152" t="s">
        <v>1327</v>
      </c>
    </row>
    <row r="594" spans="1:26" x14ac:dyDescent="0.2">
      <c r="A594" s="152" t="s">
        <v>1851</v>
      </c>
      <c r="B594" s="152">
        <v>2.5299999999999998</v>
      </c>
      <c r="C594" s="151">
        <v>44447</v>
      </c>
      <c r="D594" s="152">
        <v>2.8739729999999999</v>
      </c>
      <c r="E594" s="152" t="s">
        <v>1325</v>
      </c>
      <c r="F594" s="152" t="s">
        <v>1326</v>
      </c>
      <c r="G594" s="152"/>
      <c r="H594" s="152" t="s">
        <v>43</v>
      </c>
      <c r="I594" s="151">
        <v>43117</v>
      </c>
      <c r="J594" s="152">
        <v>2.4</v>
      </c>
      <c r="K594" s="152" t="s">
        <v>1327</v>
      </c>
      <c r="L594" s="152" t="s">
        <v>1327</v>
      </c>
      <c r="M594" s="152" t="s">
        <v>1327</v>
      </c>
      <c r="N594" s="152" t="s">
        <v>1327</v>
      </c>
      <c r="O594" s="152">
        <v>2.9690110000000001</v>
      </c>
      <c r="P594" s="152">
        <v>87.672960000000003</v>
      </c>
      <c r="Q594" s="152">
        <v>2.9690110000000001</v>
      </c>
      <c r="R594" s="152" t="s">
        <v>1327</v>
      </c>
      <c r="S594" s="152">
        <v>98.810466000000005</v>
      </c>
      <c r="T594" s="152">
        <v>0.32578099999999999</v>
      </c>
      <c r="U594" s="152">
        <v>2.7336960000000001</v>
      </c>
      <c r="V594" s="152">
        <v>8.9778789999999997</v>
      </c>
      <c r="W594" s="152">
        <v>1000</v>
      </c>
      <c r="X594" s="152" t="s">
        <v>23</v>
      </c>
      <c r="Y594" s="152" t="s">
        <v>1328</v>
      </c>
      <c r="Z594" s="152" t="s">
        <v>1327</v>
      </c>
    </row>
    <row r="595" spans="1:26" x14ac:dyDescent="0.2">
      <c r="A595" s="152" t="s">
        <v>1852</v>
      </c>
      <c r="B595" s="152">
        <v>3.41</v>
      </c>
      <c r="C595" s="151">
        <v>44735</v>
      </c>
      <c r="D595" s="152">
        <v>3.663014</v>
      </c>
      <c r="E595" s="152" t="s">
        <v>1325</v>
      </c>
      <c r="F595" s="152" t="s">
        <v>1326</v>
      </c>
      <c r="G595" s="152"/>
      <c r="H595" s="152" t="s">
        <v>43</v>
      </c>
      <c r="I595" s="152">
        <v>43314</v>
      </c>
      <c r="J595" s="152">
        <v>3.07</v>
      </c>
      <c r="K595" s="152" t="s">
        <v>1327</v>
      </c>
      <c r="L595" s="152" t="s">
        <v>1327</v>
      </c>
      <c r="M595" s="152" t="s">
        <v>1327</v>
      </c>
      <c r="N595" s="152" t="s">
        <v>1327</v>
      </c>
      <c r="O595" s="152">
        <v>3.2938890000000001</v>
      </c>
      <c r="P595" s="152">
        <v>100.73814</v>
      </c>
      <c r="Q595" s="152">
        <v>3.2938890000000001</v>
      </c>
      <c r="R595" s="152" t="s">
        <v>1327</v>
      </c>
      <c r="S595" s="152">
        <v>100.389726</v>
      </c>
      <c r="T595" s="152">
        <v>1.158466</v>
      </c>
      <c r="U595" s="152">
        <v>3.3795869999999999</v>
      </c>
      <c r="V595" s="152">
        <v>13.587538</v>
      </c>
      <c r="W595" s="152">
        <v>1000</v>
      </c>
      <c r="X595" s="152" t="s">
        <v>23</v>
      </c>
      <c r="Y595" s="152" t="s">
        <v>1328</v>
      </c>
      <c r="Z595" s="152" t="s">
        <v>1327</v>
      </c>
    </row>
    <row r="596" spans="1:26" x14ac:dyDescent="0.2">
      <c r="A596" s="152" t="s">
        <v>1853</v>
      </c>
      <c r="B596" s="152">
        <v>3.44</v>
      </c>
      <c r="C596" s="151">
        <v>45177</v>
      </c>
      <c r="D596" s="152">
        <v>4.8739730000000003</v>
      </c>
      <c r="E596" s="152" t="s">
        <v>1325</v>
      </c>
      <c r="F596" s="152" t="s">
        <v>1326</v>
      </c>
      <c r="G596" s="152"/>
      <c r="H596" s="152" t="s">
        <v>43</v>
      </c>
      <c r="I596" s="151">
        <v>43377</v>
      </c>
      <c r="J596" s="152">
        <v>3.32</v>
      </c>
      <c r="K596" s="152" t="s">
        <v>1327</v>
      </c>
      <c r="L596" s="152" t="s">
        <v>1327</v>
      </c>
      <c r="M596" s="152" t="s">
        <v>1327</v>
      </c>
      <c r="N596" s="152" t="s">
        <v>1327</v>
      </c>
      <c r="O596" s="152">
        <v>3.367273</v>
      </c>
      <c r="P596" s="152">
        <v>95.180333000000005</v>
      </c>
      <c r="Q596" s="152">
        <v>3.367273</v>
      </c>
      <c r="R596" s="152" t="s">
        <v>1327</v>
      </c>
      <c r="S596" s="152">
        <v>100.335323</v>
      </c>
      <c r="T596" s="152">
        <v>0.44295899999999999</v>
      </c>
      <c r="U596" s="152">
        <v>4.4294880000000001</v>
      </c>
      <c r="V596" s="152">
        <v>22.797056999999999</v>
      </c>
      <c r="W596" s="152">
        <v>1000</v>
      </c>
      <c r="X596" s="152" t="s">
        <v>23</v>
      </c>
      <c r="Y596" s="152" t="s">
        <v>1328</v>
      </c>
      <c r="Z596" s="152" t="s">
        <v>1327</v>
      </c>
    </row>
    <row r="597" spans="1:26" x14ac:dyDescent="0.2">
      <c r="A597" s="152" t="s">
        <v>1854</v>
      </c>
      <c r="B597" s="152">
        <v>3.79</v>
      </c>
      <c r="C597" s="151">
        <v>45282</v>
      </c>
      <c r="D597" s="152">
        <v>5.1616439999999999</v>
      </c>
      <c r="E597" s="152" t="s">
        <v>1325</v>
      </c>
      <c r="F597" s="152" t="s">
        <v>1326</v>
      </c>
      <c r="G597" s="152"/>
      <c r="H597" s="152" t="s">
        <v>43</v>
      </c>
      <c r="I597" s="151" t="s">
        <v>1327</v>
      </c>
      <c r="J597" s="152" t="s">
        <v>1327</v>
      </c>
      <c r="K597" s="152" t="s">
        <v>1327</v>
      </c>
      <c r="L597" s="152" t="s">
        <v>1327</v>
      </c>
      <c r="M597" s="152" t="s">
        <v>1327</v>
      </c>
      <c r="N597" s="152" t="s">
        <v>1327</v>
      </c>
      <c r="O597" s="152">
        <v>3.3645779999999998</v>
      </c>
      <c r="P597" s="152">
        <v>93.089343999999997</v>
      </c>
      <c r="Q597" s="152">
        <v>3.3645779999999998</v>
      </c>
      <c r="R597" s="152" t="s">
        <v>1327</v>
      </c>
      <c r="S597" s="152">
        <v>101.990815</v>
      </c>
      <c r="T597" s="152">
        <v>1.2979449999999999</v>
      </c>
      <c r="U597" s="152">
        <v>4.6036960000000002</v>
      </c>
      <c r="V597" s="152">
        <v>24.877161999999998</v>
      </c>
      <c r="W597" s="152">
        <v>1000</v>
      </c>
      <c r="X597" s="152" t="s">
        <v>23</v>
      </c>
      <c r="Y597" s="152" t="s">
        <v>1328</v>
      </c>
      <c r="Z597" s="152" t="s">
        <v>1327</v>
      </c>
    </row>
    <row r="598" spans="1:26" x14ac:dyDescent="0.2">
      <c r="A598" s="152" t="s">
        <v>1855</v>
      </c>
      <c r="B598" s="152">
        <v>3.64</v>
      </c>
      <c r="C598" s="151">
        <v>45466</v>
      </c>
      <c r="D598" s="152">
        <v>5.6657529999999996</v>
      </c>
      <c r="E598" s="152" t="s">
        <v>1325</v>
      </c>
      <c r="F598" s="152" t="s">
        <v>1326</v>
      </c>
      <c r="G598" s="152"/>
      <c r="H598" s="152" t="s">
        <v>43</v>
      </c>
      <c r="I598" s="151">
        <v>43390</v>
      </c>
      <c r="J598" s="152">
        <v>3.52</v>
      </c>
      <c r="K598" s="152" t="s">
        <v>1327</v>
      </c>
      <c r="L598" s="152" t="s">
        <v>1327</v>
      </c>
      <c r="M598" s="152" t="s">
        <v>1327</v>
      </c>
      <c r="N598" s="152" t="s">
        <v>1327</v>
      </c>
      <c r="O598" s="152">
        <v>3.5496219999999998</v>
      </c>
      <c r="P598" s="152">
        <v>106.69114</v>
      </c>
      <c r="Q598" s="152">
        <v>3.5496219999999998</v>
      </c>
      <c r="R598" s="152" t="s">
        <v>1327</v>
      </c>
      <c r="S598" s="152">
        <v>100.45138300000001</v>
      </c>
      <c r="T598" s="152">
        <v>1.2366029999999999</v>
      </c>
      <c r="U598" s="152">
        <v>5.0181360000000002</v>
      </c>
      <c r="V598" s="152">
        <v>29.435651</v>
      </c>
      <c r="W598" s="152">
        <v>1000</v>
      </c>
      <c r="X598" s="152" t="s">
        <v>23</v>
      </c>
      <c r="Y598" s="152" t="s">
        <v>1328</v>
      </c>
      <c r="Z598" s="152" t="s">
        <v>1327</v>
      </c>
    </row>
    <row r="599" spans="1:26" x14ac:dyDescent="0.2">
      <c r="A599" s="152" t="s">
        <v>1856</v>
      </c>
      <c r="B599" s="152">
        <v>3.88</v>
      </c>
      <c r="C599" s="151">
        <v>45829</v>
      </c>
      <c r="D599" s="152">
        <v>6.6602740000000002</v>
      </c>
      <c r="E599" s="152" t="s">
        <v>1325</v>
      </c>
      <c r="F599" s="152" t="s">
        <v>1326</v>
      </c>
      <c r="G599" s="152"/>
      <c r="H599" s="152" t="s">
        <v>43</v>
      </c>
      <c r="I599" s="151">
        <v>43279</v>
      </c>
      <c r="J599" s="152">
        <v>3.88</v>
      </c>
      <c r="K599" s="152" t="s">
        <v>1327</v>
      </c>
      <c r="L599" s="152" t="s">
        <v>1327</v>
      </c>
      <c r="M599" s="152" t="s">
        <v>1327</v>
      </c>
      <c r="N599" s="152" t="s">
        <v>1327</v>
      </c>
      <c r="O599" s="152">
        <v>3.8015439999999998</v>
      </c>
      <c r="P599" s="152">
        <v>120.826234</v>
      </c>
      <c r="Q599" s="152">
        <v>3.8015439999999998</v>
      </c>
      <c r="R599" s="152" t="s">
        <v>1327</v>
      </c>
      <c r="S599" s="152">
        <v>100.448331</v>
      </c>
      <c r="T599" s="152">
        <v>1.3393969999999999</v>
      </c>
      <c r="U599" s="152">
        <v>5.7459790000000002</v>
      </c>
      <c r="V599" s="152">
        <v>38.760345000000001</v>
      </c>
      <c r="W599" s="152">
        <v>1000</v>
      </c>
      <c r="X599" s="152" t="s">
        <v>23</v>
      </c>
      <c r="Y599" s="152" t="s">
        <v>1328</v>
      </c>
      <c r="Z599" s="152" t="s">
        <v>1327</v>
      </c>
    </row>
    <row r="600" spans="1:26" x14ac:dyDescent="0.2">
      <c r="A600" s="152" t="s">
        <v>1857</v>
      </c>
      <c r="B600" s="152">
        <v>3.73</v>
      </c>
      <c r="C600" s="151">
        <v>45908</v>
      </c>
      <c r="D600" s="152">
        <v>6.8767120000000004</v>
      </c>
      <c r="E600" s="152" t="s">
        <v>1325</v>
      </c>
      <c r="F600" s="152" t="s">
        <v>1326</v>
      </c>
      <c r="G600" s="152"/>
      <c r="H600" s="152" t="s">
        <v>43</v>
      </c>
      <c r="I600" s="151">
        <v>43258</v>
      </c>
      <c r="J600" s="152">
        <v>3.53</v>
      </c>
      <c r="K600" s="152" t="s">
        <v>1327</v>
      </c>
      <c r="L600" s="152" t="s">
        <v>1327</v>
      </c>
      <c r="M600" s="152" t="s">
        <v>1327</v>
      </c>
      <c r="N600" s="152" t="s">
        <v>1327</v>
      </c>
      <c r="O600" s="152">
        <v>3.7488950000000001</v>
      </c>
      <c r="P600" s="152">
        <v>112.68494</v>
      </c>
      <c r="Q600" s="152">
        <v>3.7488950000000001</v>
      </c>
      <c r="R600" s="152" t="s">
        <v>1327</v>
      </c>
      <c r="S600" s="152">
        <v>99.898487000000003</v>
      </c>
      <c r="T600" s="152">
        <v>0.48030099999999998</v>
      </c>
      <c r="U600" s="152">
        <v>5.9794980000000004</v>
      </c>
      <c r="V600" s="152">
        <v>41.540498999999997</v>
      </c>
      <c r="W600" s="152">
        <v>1000</v>
      </c>
      <c r="X600" s="152" t="s">
        <v>23</v>
      </c>
      <c r="Y600" s="152" t="s">
        <v>1328</v>
      </c>
      <c r="Z600" s="152" t="s">
        <v>1327</v>
      </c>
    </row>
    <row r="601" spans="1:26" x14ac:dyDescent="0.2">
      <c r="A601" s="152" t="s">
        <v>1858</v>
      </c>
      <c r="B601" s="152">
        <v>3.92</v>
      </c>
      <c r="C601" s="151">
        <v>46561</v>
      </c>
      <c r="D601" s="152">
        <v>8.6657530000000005</v>
      </c>
      <c r="E601" s="152" t="s">
        <v>1325</v>
      </c>
      <c r="F601" s="152" t="s">
        <v>1326</v>
      </c>
      <c r="G601" s="152"/>
      <c r="H601" s="152" t="s">
        <v>43</v>
      </c>
      <c r="I601" s="151">
        <v>43179</v>
      </c>
      <c r="J601" s="152">
        <v>3.54</v>
      </c>
      <c r="K601" s="152" t="s">
        <v>1327</v>
      </c>
      <c r="L601" s="152" t="s">
        <v>1327</v>
      </c>
      <c r="M601" s="152" t="s">
        <v>1327</v>
      </c>
      <c r="N601" s="152" t="s">
        <v>1327</v>
      </c>
      <c r="O601" s="152">
        <v>3.7846470000000001</v>
      </c>
      <c r="P601" s="152">
        <v>101.333001</v>
      </c>
      <c r="Q601" s="152">
        <v>3.7846470000000001</v>
      </c>
      <c r="R601" s="152" t="s">
        <v>1327</v>
      </c>
      <c r="S601" s="152">
        <v>100.982304</v>
      </c>
      <c r="T601" s="152">
        <v>1.331726</v>
      </c>
      <c r="U601" s="152">
        <v>7.2034310000000001</v>
      </c>
      <c r="V601" s="152">
        <v>61.365493999999998</v>
      </c>
      <c r="W601" s="152">
        <v>1000</v>
      </c>
      <c r="X601" s="152" t="s">
        <v>23</v>
      </c>
      <c r="Y601" s="152" t="s">
        <v>1328</v>
      </c>
      <c r="Z601" s="152" t="s">
        <v>1327</v>
      </c>
    </row>
    <row r="602" spans="1:26" x14ac:dyDescent="0.2">
      <c r="A602" s="152" t="s">
        <v>1859</v>
      </c>
      <c r="B602" s="152">
        <v>3.91</v>
      </c>
      <c r="C602" s="151">
        <v>46638</v>
      </c>
      <c r="D602" s="152">
        <v>8.8767119999999995</v>
      </c>
      <c r="E602" s="152" t="s">
        <v>1325</v>
      </c>
      <c r="F602" s="152" t="s">
        <v>1326</v>
      </c>
      <c r="G602" s="152"/>
      <c r="H602" s="152" t="s">
        <v>43</v>
      </c>
      <c r="I602" s="151">
        <v>43360</v>
      </c>
      <c r="J602" s="152">
        <v>3.73</v>
      </c>
      <c r="K602" s="151" t="s">
        <v>1327</v>
      </c>
      <c r="L602" s="152" t="s">
        <v>1327</v>
      </c>
      <c r="M602" s="152" t="s">
        <v>1327</v>
      </c>
      <c r="N602" s="152" t="s">
        <v>1327</v>
      </c>
      <c r="O602" s="152">
        <v>3.7573509999999999</v>
      </c>
      <c r="P602" s="152">
        <v>96.760124000000005</v>
      </c>
      <c r="Q602" s="152">
        <v>3.7573509999999999</v>
      </c>
      <c r="R602" s="152" t="s">
        <v>1327</v>
      </c>
      <c r="S602" s="152">
        <v>101.154674</v>
      </c>
      <c r="T602" s="152">
        <v>0.50347900000000001</v>
      </c>
      <c r="U602" s="152">
        <v>7.4100450000000002</v>
      </c>
      <c r="V602" s="152">
        <v>64.473930999999993</v>
      </c>
      <c r="W602" s="152">
        <v>1000</v>
      </c>
      <c r="X602" s="152" t="s">
        <v>23</v>
      </c>
      <c r="Y602" s="152" t="s">
        <v>1328</v>
      </c>
      <c r="Z602" s="152" t="s">
        <v>1327</v>
      </c>
    </row>
    <row r="603" spans="1:26" x14ac:dyDescent="0.2">
      <c r="A603" s="152" t="s">
        <v>1860</v>
      </c>
      <c r="B603" s="152">
        <v>4.3</v>
      </c>
      <c r="C603" s="151">
        <v>46925</v>
      </c>
      <c r="D603" s="152">
        <v>9.6630140000000004</v>
      </c>
      <c r="E603" s="152" t="s">
        <v>1325</v>
      </c>
      <c r="F603" s="152" t="s">
        <v>1326</v>
      </c>
      <c r="G603" s="152"/>
      <c r="H603" s="152" t="s">
        <v>43</v>
      </c>
      <c r="I603" s="151">
        <v>43381</v>
      </c>
      <c r="J603" s="152">
        <v>4.12</v>
      </c>
      <c r="K603" s="152" t="s">
        <v>1327</v>
      </c>
      <c r="L603" s="152" t="s">
        <v>1327</v>
      </c>
      <c r="M603" s="152" t="s">
        <v>1327</v>
      </c>
      <c r="N603" s="152" t="s">
        <v>1327</v>
      </c>
      <c r="O603" s="152">
        <v>4.072781</v>
      </c>
      <c r="P603" s="152">
        <v>130.80056999999999</v>
      </c>
      <c r="Q603" s="152">
        <v>4.072781</v>
      </c>
      <c r="R603" s="152" t="s">
        <v>1327</v>
      </c>
      <c r="S603" s="152">
        <v>101.78858099999999</v>
      </c>
      <c r="T603" s="152">
        <v>1.4843839999999999</v>
      </c>
      <c r="U603" s="152">
        <v>7.7495909999999997</v>
      </c>
      <c r="V603" s="152">
        <v>72.180014999999997</v>
      </c>
      <c r="W603" s="152">
        <v>1000</v>
      </c>
      <c r="X603" s="152" t="s">
        <v>23</v>
      </c>
      <c r="Y603" s="152" t="s">
        <v>1328</v>
      </c>
      <c r="Z603" s="152" t="s">
        <v>1327</v>
      </c>
    </row>
    <row r="604" spans="1:26" x14ac:dyDescent="0.2">
      <c r="A604" s="152" t="s">
        <v>806</v>
      </c>
      <c r="B604" s="152">
        <v>4.83</v>
      </c>
      <c r="C604" s="151">
        <v>43609</v>
      </c>
      <c r="D604" s="152">
        <v>0.57808199999999998</v>
      </c>
      <c r="E604" s="152" t="s">
        <v>1325</v>
      </c>
      <c r="F604" s="152" t="s">
        <v>1326</v>
      </c>
      <c r="G604" s="152" t="s">
        <v>51</v>
      </c>
      <c r="H604" s="152"/>
      <c r="I604" s="151">
        <v>43349</v>
      </c>
      <c r="J604" s="152">
        <v>1.71</v>
      </c>
      <c r="K604" s="152">
        <v>42247</v>
      </c>
      <c r="L604" s="152">
        <v>2.8149999999999999</v>
      </c>
      <c r="M604" s="152">
        <v>3.4295779999999998</v>
      </c>
      <c r="N604" s="152">
        <v>2.8</v>
      </c>
      <c r="O604" s="152">
        <v>1.8919859999999999</v>
      </c>
      <c r="P604" s="152">
        <v>14.35557</v>
      </c>
      <c r="Q604" s="152">
        <v>1.8919859999999999</v>
      </c>
      <c r="R604" s="152" t="s">
        <v>1327</v>
      </c>
      <c r="S604" s="152">
        <v>101.67173699999999</v>
      </c>
      <c r="T604" s="152">
        <v>2.0378630000000002</v>
      </c>
      <c r="U604" s="152">
        <v>0.56521999999999994</v>
      </c>
      <c r="V604" s="152">
        <v>0.60500600000000004</v>
      </c>
      <c r="W604" s="152">
        <v>1000</v>
      </c>
      <c r="X604" s="152" t="s">
        <v>23</v>
      </c>
      <c r="Y604" s="152" t="s">
        <v>1328</v>
      </c>
      <c r="Z604" s="152" t="s">
        <v>1327</v>
      </c>
    </row>
    <row r="605" spans="1:26" x14ac:dyDescent="0.2">
      <c r="A605" s="152" t="s">
        <v>1861</v>
      </c>
      <c r="B605" s="152">
        <v>4.75</v>
      </c>
      <c r="C605" s="151">
        <v>44022</v>
      </c>
      <c r="D605" s="152">
        <v>1.709589</v>
      </c>
      <c r="E605" s="152" t="s">
        <v>1325</v>
      </c>
      <c r="F605" s="152" t="s">
        <v>1326</v>
      </c>
      <c r="G605" s="152" t="s">
        <v>51</v>
      </c>
      <c r="H605" s="152"/>
      <c r="I605" s="151">
        <v>43175</v>
      </c>
      <c r="J605" s="152">
        <v>1.73</v>
      </c>
      <c r="K605" s="152">
        <v>42094</v>
      </c>
      <c r="L605" s="152">
        <v>3.55</v>
      </c>
      <c r="M605" s="152">
        <v>4.1303580000000002</v>
      </c>
      <c r="N605" s="152">
        <v>3.5148570000000001</v>
      </c>
      <c r="O605" s="152">
        <v>2.3686940000000001</v>
      </c>
      <c r="P605" s="152">
        <v>40.603518999999999</v>
      </c>
      <c r="Q605" s="152">
        <v>2.3686940000000001</v>
      </c>
      <c r="R605" s="152" t="s">
        <v>1327</v>
      </c>
      <c r="S605" s="152">
        <v>103.946938</v>
      </c>
      <c r="T605" s="152">
        <v>1.392466</v>
      </c>
      <c r="U605" s="152">
        <v>1.6249340000000001</v>
      </c>
      <c r="V605" s="152">
        <v>3.5153219999999998</v>
      </c>
      <c r="W605" s="152">
        <v>1000</v>
      </c>
      <c r="X605" s="152" t="s">
        <v>23</v>
      </c>
      <c r="Y605" s="152" t="s">
        <v>1328</v>
      </c>
      <c r="Z605" s="152" t="s">
        <v>1327</v>
      </c>
    </row>
    <row r="606" spans="1:26" x14ac:dyDescent="0.2">
      <c r="A606" s="152" t="s">
        <v>529</v>
      </c>
      <c r="B606" s="152">
        <v>4.3600000000000003</v>
      </c>
      <c r="C606" s="151">
        <v>44016</v>
      </c>
      <c r="D606" s="152">
        <v>1.6931510000000001</v>
      </c>
      <c r="E606" s="152" t="s">
        <v>1325</v>
      </c>
      <c r="F606" s="152" t="s">
        <v>1326</v>
      </c>
      <c r="G606" s="152" t="s">
        <v>51</v>
      </c>
      <c r="H606" s="152"/>
      <c r="I606" s="151">
        <v>43333</v>
      </c>
      <c r="J606" s="152">
        <v>2.17</v>
      </c>
      <c r="K606" s="152">
        <v>42153</v>
      </c>
      <c r="L606" s="152">
        <v>3.3</v>
      </c>
      <c r="M606" s="152">
        <v>4.0455199999999998</v>
      </c>
      <c r="N606" s="152">
        <v>3.3</v>
      </c>
      <c r="O606" s="152">
        <v>2.3609870000000002</v>
      </c>
      <c r="P606" s="152">
        <v>40.132317999999998</v>
      </c>
      <c r="Q606" s="152">
        <v>2.3609870000000002</v>
      </c>
      <c r="R606" s="152" t="s">
        <v>1327</v>
      </c>
      <c r="S606" s="152">
        <v>103.28048200000001</v>
      </c>
      <c r="T606" s="152">
        <v>1.3498079999999999</v>
      </c>
      <c r="U606" s="152">
        <v>1.6137319999999999</v>
      </c>
      <c r="V606" s="152">
        <v>3.468413</v>
      </c>
      <c r="W606" s="152">
        <v>1000</v>
      </c>
      <c r="X606" s="152" t="s">
        <v>23</v>
      </c>
      <c r="Y606" s="152" t="s">
        <v>1328</v>
      </c>
      <c r="Z606" s="152" t="s">
        <v>1327</v>
      </c>
    </row>
    <row r="607" spans="1:26" x14ac:dyDescent="0.2">
      <c r="A607" s="152" t="s">
        <v>475</v>
      </c>
      <c r="B607" s="152">
        <v>5.4</v>
      </c>
      <c r="C607" s="151">
        <v>44287</v>
      </c>
      <c r="D607" s="152">
        <v>2.435616</v>
      </c>
      <c r="E607" s="152" t="s">
        <v>1325</v>
      </c>
      <c r="F607" s="152" t="s">
        <v>1326</v>
      </c>
      <c r="G607" s="152" t="s">
        <v>51</v>
      </c>
      <c r="H607" s="152"/>
      <c r="I607" s="151">
        <v>43329</v>
      </c>
      <c r="J607" s="152">
        <v>2.42</v>
      </c>
      <c r="K607" s="152">
        <v>42110</v>
      </c>
      <c r="L607" s="152">
        <v>3.6342189999999999</v>
      </c>
      <c r="M607" s="152">
        <v>4.2547509999999997</v>
      </c>
      <c r="N607" s="152">
        <v>3.6184379999999998</v>
      </c>
      <c r="O607" s="152">
        <v>2.6081379999999998</v>
      </c>
      <c r="P607" s="152">
        <v>56.361457999999999</v>
      </c>
      <c r="Q607" s="152">
        <v>2.6081379999999998</v>
      </c>
      <c r="R607" s="152" t="s">
        <v>1327</v>
      </c>
      <c r="S607" s="152">
        <v>106.545401</v>
      </c>
      <c r="T607" s="152">
        <v>0.35506799999999999</v>
      </c>
      <c r="U607" s="152">
        <v>2.2798660000000002</v>
      </c>
      <c r="V607" s="152">
        <v>6.4892029999999998</v>
      </c>
      <c r="W607" s="152">
        <v>1000</v>
      </c>
      <c r="X607" s="152" t="s">
        <v>23</v>
      </c>
      <c r="Y607" s="152" t="s">
        <v>1328</v>
      </c>
      <c r="Z607" s="152" t="s">
        <v>1327</v>
      </c>
    </row>
    <row r="608" spans="1:26" x14ac:dyDescent="0.2">
      <c r="A608" s="152" t="s">
        <v>1862</v>
      </c>
      <c r="B608" s="152">
        <v>5.04</v>
      </c>
      <c r="C608" s="151">
        <v>44705</v>
      </c>
      <c r="D608" s="152">
        <v>3.5808219999999999</v>
      </c>
      <c r="E608" s="152" t="s">
        <v>1325</v>
      </c>
      <c r="F608" s="152" t="s">
        <v>1326</v>
      </c>
      <c r="G608" s="152" t="s">
        <v>51</v>
      </c>
      <c r="H608" s="152"/>
      <c r="I608" s="151">
        <v>43347</v>
      </c>
      <c r="J608" s="152">
        <v>2.88</v>
      </c>
      <c r="K608" s="152">
        <v>42110</v>
      </c>
      <c r="L608" s="152">
        <v>3.7648860000000002</v>
      </c>
      <c r="M608" s="152">
        <v>4.3090590000000004</v>
      </c>
      <c r="N608" s="152">
        <v>3.75</v>
      </c>
      <c r="O608" s="152">
        <v>3.0095969999999999</v>
      </c>
      <c r="P608" s="152">
        <v>74.619587999999993</v>
      </c>
      <c r="Q608" s="152">
        <v>3.0095969999999999</v>
      </c>
      <c r="R608" s="152" t="s">
        <v>1327</v>
      </c>
      <c r="S608" s="152">
        <v>106.82298</v>
      </c>
      <c r="T608" s="152">
        <v>2.1264660000000002</v>
      </c>
      <c r="U608" s="152">
        <v>3.2201119999999999</v>
      </c>
      <c r="V608" s="152">
        <v>12.627596</v>
      </c>
      <c r="W608" s="152">
        <v>1000</v>
      </c>
      <c r="X608" s="152" t="s">
        <v>23</v>
      </c>
      <c r="Y608" s="152" t="s">
        <v>1328</v>
      </c>
      <c r="Z608" s="152" t="s">
        <v>1327</v>
      </c>
    </row>
    <row r="609" spans="1:26" x14ac:dyDescent="0.2">
      <c r="A609" s="152" t="s">
        <v>1863</v>
      </c>
      <c r="B609" s="152">
        <v>3.85</v>
      </c>
      <c r="C609" s="151">
        <v>44877</v>
      </c>
      <c r="D609" s="152">
        <v>4.0520550000000002</v>
      </c>
      <c r="E609" s="152" t="s">
        <v>1325</v>
      </c>
      <c r="F609" s="152" t="s">
        <v>1326</v>
      </c>
      <c r="G609" s="152"/>
      <c r="H609" s="152"/>
      <c r="I609" s="151" t="s">
        <v>1327</v>
      </c>
      <c r="J609" s="152" t="s">
        <v>1327</v>
      </c>
      <c r="K609" s="152" t="s">
        <v>1327</v>
      </c>
      <c r="L609" s="152" t="s">
        <v>1327</v>
      </c>
      <c r="M609" s="152" t="s">
        <v>1327</v>
      </c>
      <c r="N609" s="152" t="s">
        <v>1327</v>
      </c>
      <c r="O609" s="152">
        <v>3.1562160000000001</v>
      </c>
      <c r="P609" s="152">
        <v>82.518071000000006</v>
      </c>
      <c r="Q609" s="152">
        <v>3.1562160000000001</v>
      </c>
      <c r="R609" s="152" t="s">
        <v>1327</v>
      </c>
      <c r="S609" s="152">
        <v>102.600756</v>
      </c>
      <c r="T609" s="152">
        <v>1.7509589999999999</v>
      </c>
      <c r="U609" s="152">
        <v>3.6715779999999998</v>
      </c>
      <c r="V609" s="152">
        <v>16.076143999999999</v>
      </c>
      <c r="W609" s="152">
        <v>1000</v>
      </c>
      <c r="X609" s="152" t="s">
        <v>23</v>
      </c>
      <c r="Y609" s="152" t="s">
        <v>1328</v>
      </c>
      <c r="Z609" s="152" t="s">
        <v>1327</v>
      </c>
    </row>
    <row r="610" spans="1:26" x14ac:dyDescent="0.2">
      <c r="A610" s="152" t="s">
        <v>1864</v>
      </c>
      <c r="B610" s="152">
        <v>5.08</v>
      </c>
      <c r="C610" s="151">
        <v>45017</v>
      </c>
      <c r="D610" s="152">
        <v>4.4356159999999996</v>
      </c>
      <c r="E610" s="152" t="s">
        <v>1325</v>
      </c>
      <c r="F610" s="152" t="s">
        <v>1326</v>
      </c>
      <c r="G610" s="152" t="s">
        <v>51</v>
      </c>
      <c r="H610" s="152"/>
      <c r="I610" s="151">
        <v>43290</v>
      </c>
      <c r="J610" s="152">
        <v>2.92</v>
      </c>
      <c r="K610" s="152">
        <v>42153</v>
      </c>
      <c r="L610" s="152">
        <v>3.9</v>
      </c>
      <c r="M610" s="152">
        <v>4.4880250000000004</v>
      </c>
      <c r="N610" s="152">
        <v>3.9</v>
      </c>
      <c r="O610" s="152">
        <v>3.237311</v>
      </c>
      <c r="P610" s="152">
        <v>87.517246</v>
      </c>
      <c r="Q610" s="152">
        <v>3.237311</v>
      </c>
      <c r="R610" s="152" t="s">
        <v>1327</v>
      </c>
      <c r="S610" s="152">
        <v>107.557264</v>
      </c>
      <c r="T610" s="152">
        <v>0.33402700000000002</v>
      </c>
      <c r="U610" s="152">
        <v>3.9659390000000001</v>
      </c>
      <c r="V610" s="152">
        <v>18.640087999999999</v>
      </c>
      <c r="W610" s="152">
        <v>1000</v>
      </c>
      <c r="X610" s="152" t="s">
        <v>23</v>
      </c>
      <c r="Y610" s="152" t="s">
        <v>1328</v>
      </c>
      <c r="Z610" s="152" t="s">
        <v>1327</v>
      </c>
    </row>
    <row r="611" spans="1:26" x14ac:dyDescent="0.2">
      <c r="A611" s="152" t="s">
        <v>476</v>
      </c>
      <c r="B611" s="152">
        <v>4.8</v>
      </c>
      <c r="C611" s="151">
        <v>45477</v>
      </c>
      <c r="D611" s="152">
        <v>5.6958900000000003</v>
      </c>
      <c r="E611" s="152" t="s">
        <v>1325</v>
      </c>
      <c r="F611" s="152" t="s">
        <v>1326</v>
      </c>
      <c r="G611" s="152" t="s">
        <v>51</v>
      </c>
      <c r="H611" s="152"/>
      <c r="I611" s="152">
        <v>43355</v>
      </c>
      <c r="J611" s="152">
        <v>3.43</v>
      </c>
      <c r="K611" s="152" t="s">
        <v>1327</v>
      </c>
      <c r="L611" s="152" t="s">
        <v>1327</v>
      </c>
      <c r="M611" s="152" t="s">
        <v>1327</v>
      </c>
      <c r="N611" s="152" t="s">
        <v>1327</v>
      </c>
      <c r="O611" s="152">
        <v>3.469325</v>
      </c>
      <c r="P611" s="152">
        <v>99.066857999999996</v>
      </c>
      <c r="Q611" s="152">
        <v>3.469325</v>
      </c>
      <c r="R611" s="152" t="s">
        <v>1327</v>
      </c>
      <c r="S611" s="152">
        <v>106.79798700000001</v>
      </c>
      <c r="T611" s="152">
        <v>1.486027</v>
      </c>
      <c r="U611" s="152">
        <v>4.9223530000000002</v>
      </c>
      <c r="V611" s="152">
        <v>28.777356999999999</v>
      </c>
      <c r="W611" s="152">
        <v>1000</v>
      </c>
      <c r="X611" s="152" t="s">
        <v>23</v>
      </c>
      <c r="Y611" s="152" t="s">
        <v>1328</v>
      </c>
      <c r="Z611" s="152" t="s">
        <v>1327</v>
      </c>
    </row>
    <row r="612" spans="1:26" x14ac:dyDescent="0.2">
      <c r="A612" s="152" t="s">
        <v>1865</v>
      </c>
      <c r="B612" s="152">
        <v>5.05</v>
      </c>
      <c r="C612" s="151">
        <v>45848</v>
      </c>
      <c r="D612" s="152">
        <v>6.7123290000000004</v>
      </c>
      <c r="E612" s="152" t="s">
        <v>1325</v>
      </c>
      <c r="F612" s="152" t="s">
        <v>1326</v>
      </c>
      <c r="G612" s="152" t="s">
        <v>51</v>
      </c>
      <c r="H612" s="152"/>
      <c r="I612" s="151">
        <v>43357</v>
      </c>
      <c r="J612" s="152">
        <v>3.59</v>
      </c>
      <c r="K612" s="152">
        <v>42153</v>
      </c>
      <c r="L612" s="152">
        <v>4.1727970000000001</v>
      </c>
      <c r="M612" s="152">
        <v>4.1727970000000001</v>
      </c>
      <c r="N612" s="152">
        <v>2.7543959999999998</v>
      </c>
      <c r="O612" s="152">
        <v>3.5823309999999999</v>
      </c>
      <c r="P612" s="152">
        <v>99.011014000000003</v>
      </c>
      <c r="Q612" s="152">
        <v>3.5823309999999999</v>
      </c>
      <c r="R612" s="152" t="s">
        <v>1327</v>
      </c>
      <c r="S612" s="152">
        <v>108.660117</v>
      </c>
      <c r="T612" s="152">
        <v>1.4804109999999999</v>
      </c>
      <c r="U612" s="152">
        <v>5.6440159999999997</v>
      </c>
      <c r="V612" s="152">
        <v>38.003048999999997</v>
      </c>
      <c r="W612" s="152">
        <v>1000</v>
      </c>
      <c r="X612" s="152" t="s">
        <v>23</v>
      </c>
      <c r="Y612" s="152" t="s">
        <v>1328</v>
      </c>
      <c r="Z612" s="152" t="s">
        <v>1327</v>
      </c>
    </row>
    <row r="613" spans="1:26" x14ac:dyDescent="0.2">
      <c r="A613" s="152" t="s">
        <v>1866</v>
      </c>
      <c r="B613" s="152">
        <v>4</v>
      </c>
      <c r="C613" s="151">
        <v>45973</v>
      </c>
      <c r="D613" s="152">
        <v>7.0547950000000004</v>
      </c>
      <c r="E613" s="152" t="s">
        <v>1325</v>
      </c>
      <c r="F613" s="152" t="s">
        <v>1326</v>
      </c>
      <c r="G613" s="152"/>
      <c r="H613" s="152"/>
      <c r="I613" s="152">
        <v>42697</v>
      </c>
      <c r="J613" s="152">
        <v>4.04</v>
      </c>
      <c r="K613" s="152" t="s">
        <v>1327</v>
      </c>
      <c r="L613" s="152" t="s">
        <v>1327</v>
      </c>
      <c r="M613" s="152" t="s">
        <v>1327</v>
      </c>
      <c r="N613" s="152" t="s">
        <v>1327</v>
      </c>
      <c r="O613" s="152">
        <v>3.630001</v>
      </c>
      <c r="P613" s="152">
        <v>99.326492999999999</v>
      </c>
      <c r="Q613" s="152">
        <v>3.630001</v>
      </c>
      <c r="R613" s="152" t="s">
        <v>1327</v>
      </c>
      <c r="S613" s="152">
        <v>102.265092</v>
      </c>
      <c r="T613" s="152">
        <v>1.819178</v>
      </c>
      <c r="U613" s="152">
        <v>6.0070649999999999</v>
      </c>
      <c r="V613" s="152">
        <v>42.637777</v>
      </c>
      <c r="W613" s="152">
        <v>1000</v>
      </c>
      <c r="X613" s="152" t="s">
        <v>23</v>
      </c>
      <c r="Y613" s="152" t="s">
        <v>1328</v>
      </c>
      <c r="Z613" s="152" t="s">
        <v>1327</v>
      </c>
    </row>
    <row r="614" spans="1:26" x14ac:dyDescent="0.2">
      <c r="A614" s="152" t="s">
        <v>1867</v>
      </c>
      <c r="B614" s="152">
        <v>5.19</v>
      </c>
      <c r="C614" s="151">
        <v>46113</v>
      </c>
      <c r="D614" s="152">
        <v>7.4383559999999997</v>
      </c>
      <c r="E614" s="152" t="s">
        <v>1325</v>
      </c>
      <c r="F614" s="152" t="s">
        <v>1326</v>
      </c>
      <c r="G614" s="152" t="s">
        <v>51</v>
      </c>
      <c r="H614" s="152"/>
      <c r="I614" s="151">
        <v>41724</v>
      </c>
      <c r="J614" s="152">
        <v>4.79</v>
      </c>
      <c r="K614" s="152">
        <v>42153</v>
      </c>
      <c r="L614" s="152">
        <v>4.21584</v>
      </c>
      <c r="M614" s="152">
        <v>4.25</v>
      </c>
      <c r="N614" s="152">
        <v>2.777971</v>
      </c>
      <c r="O614" s="152">
        <v>3.6439539999999999</v>
      </c>
      <c r="P614" s="152">
        <v>98.649164999999996</v>
      </c>
      <c r="Q614" s="152">
        <v>3.6439539999999999</v>
      </c>
      <c r="R614" s="152" t="s">
        <v>1327</v>
      </c>
      <c r="S614" s="152">
        <v>109.992209</v>
      </c>
      <c r="T614" s="152">
        <v>0.34126000000000001</v>
      </c>
      <c r="U614" s="152">
        <v>6.1937920000000002</v>
      </c>
      <c r="V614" s="152">
        <v>45.542834999999997</v>
      </c>
      <c r="W614" s="152">
        <v>1000</v>
      </c>
      <c r="X614" s="152" t="s">
        <v>23</v>
      </c>
      <c r="Y614" s="152" t="s">
        <v>1328</v>
      </c>
      <c r="Z614" s="152" t="s">
        <v>1327</v>
      </c>
    </row>
    <row r="615" spans="1:26" x14ac:dyDescent="0.2">
      <c r="A615" s="152" t="s">
        <v>477</v>
      </c>
      <c r="B615" s="152">
        <v>4.17</v>
      </c>
      <c r="C615" s="151">
        <v>46498</v>
      </c>
      <c r="D615" s="152">
        <v>8.4931509999999992</v>
      </c>
      <c r="E615" s="152" t="s">
        <v>1325</v>
      </c>
      <c r="F615" s="152" t="s">
        <v>1326</v>
      </c>
      <c r="G615" s="152" t="s">
        <v>51</v>
      </c>
      <c r="H615" s="152"/>
      <c r="I615" s="151">
        <v>43375</v>
      </c>
      <c r="J615" s="152">
        <v>3.51</v>
      </c>
      <c r="K615" s="152" t="s">
        <v>1327</v>
      </c>
      <c r="L615" s="152" t="s">
        <v>1327</v>
      </c>
      <c r="M615" s="152" t="s">
        <v>1327</v>
      </c>
      <c r="N615" s="152" t="s">
        <v>1327</v>
      </c>
      <c r="O615" s="152">
        <v>3.5836459999999999</v>
      </c>
      <c r="P615" s="152">
        <v>82.638937999999996</v>
      </c>
      <c r="Q615" s="152">
        <v>3.5836459999999999</v>
      </c>
      <c r="R615" s="152" t="s">
        <v>1327</v>
      </c>
      <c r="S615" s="152">
        <v>104.263852</v>
      </c>
      <c r="T615" s="152">
        <v>4.5698999999999997E-2</v>
      </c>
      <c r="U615" s="152">
        <v>7.1346020000000001</v>
      </c>
      <c r="V615" s="152">
        <v>59.616216000000001</v>
      </c>
      <c r="W615" s="152">
        <v>1000</v>
      </c>
      <c r="X615" s="152" t="s">
        <v>23</v>
      </c>
      <c r="Y615" s="152" t="s">
        <v>1328</v>
      </c>
      <c r="Z615" s="152" t="s">
        <v>1327</v>
      </c>
    </row>
    <row r="616" spans="1:26" x14ac:dyDescent="0.2">
      <c r="A616" s="152" t="s">
        <v>1868</v>
      </c>
      <c r="B616" s="152">
        <v>4.0999999999999996</v>
      </c>
      <c r="C616" s="151">
        <v>46703</v>
      </c>
      <c r="D616" s="152">
        <v>9.0547950000000004</v>
      </c>
      <c r="E616" s="152" t="s">
        <v>1325</v>
      </c>
      <c r="F616" s="152" t="s">
        <v>1326</v>
      </c>
      <c r="G616" s="152"/>
      <c r="H616" s="152"/>
      <c r="I616" s="151" t="s">
        <v>1327</v>
      </c>
      <c r="J616" s="152" t="s">
        <v>1327</v>
      </c>
      <c r="K616" s="152" t="s">
        <v>1327</v>
      </c>
      <c r="L616" s="152" t="s">
        <v>1327</v>
      </c>
      <c r="M616" s="152" t="s">
        <v>1327</v>
      </c>
      <c r="N616" s="152" t="s">
        <v>1327</v>
      </c>
      <c r="O616" s="152">
        <v>3.8601549999999998</v>
      </c>
      <c r="P616" s="152">
        <v>107.036761</v>
      </c>
      <c r="Q616" s="152">
        <v>3.8601549999999998</v>
      </c>
      <c r="R616" s="152" t="s">
        <v>1327</v>
      </c>
      <c r="S616" s="152">
        <v>101.79868399999999</v>
      </c>
      <c r="T616" s="152">
        <v>1.8646579999999999</v>
      </c>
      <c r="U616" s="152">
        <v>7.3872239999999998</v>
      </c>
      <c r="V616" s="152">
        <v>65.248925999999997</v>
      </c>
      <c r="W616" s="152">
        <v>1000</v>
      </c>
      <c r="X616" s="152" t="s">
        <v>23</v>
      </c>
      <c r="Y616" s="152" t="s">
        <v>1328</v>
      </c>
      <c r="Z616" s="152" t="s">
        <v>1327</v>
      </c>
    </row>
    <row r="617" spans="1:26" x14ac:dyDescent="0.2">
      <c r="A617" s="152" t="s">
        <v>530</v>
      </c>
      <c r="B617" s="152">
        <v>1.94</v>
      </c>
      <c r="C617" s="151">
        <v>43400</v>
      </c>
      <c r="D617" s="152">
        <v>5.4790000000000004E-3</v>
      </c>
      <c r="E617" s="152" t="s">
        <v>1325</v>
      </c>
      <c r="F617" s="152" t="s">
        <v>1326</v>
      </c>
      <c r="G617" s="152"/>
      <c r="H617" s="152" t="s">
        <v>58</v>
      </c>
      <c r="I617" s="152">
        <v>43374</v>
      </c>
      <c r="J617" s="152">
        <v>1.33</v>
      </c>
      <c r="K617" s="152" t="s">
        <v>1327</v>
      </c>
      <c r="L617" s="152" t="s">
        <v>1327</v>
      </c>
      <c r="M617" s="152" t="s">
        <v>1327</v>
      </c>
      <c r="N617" s="152" t="s">
        <v>1327</v>
      </c>
      <c r="O617" s="152">
        <v>1.2557229999999999</v>
      </c>
      <c r="P617" s="152">
        <v>13.651835</v>
      </c>
      <c r="Q617" s="152">
        <v>1.2557229999999999</v>
      </c>
      <c r="R617" s="152" t="s">
        <v>1327</v>
      </c>
      <c r="S617" s="152">
        <v>100.001048</v>
      </c>
      <c r="T617" s="152">
        <v>0.96202699999999997</v>
      </c>
      <c r="U617" s="152">
        <v>5.4450000000000002E-3</v>
      </c>
      <c r="V617" s="152">
        <v>2.735E-3</v>
      </c>
      <c r="W617" s="152">
        <v>1000</v>
      </c>
      <c r="X617" s="152" t="s">
        <v>23</v>
      </c>
      <c r="Y617" s="152" t="s">
        <v>1328</v>
      </c>
      <c r="Z617" s="152" t="s">
        <v>1327</v>
      </c>
    </row>
    <row r="618" spans="1:26" x14ac:dyDescent="0.2">
      <c r="A618" s="152" t="s">
        <v>301</v>
      </c>
      <c r="B618" s="152">
        <v>1.86</v>
      </c>
      <c r="C618" s="151">
        <v>43525</v>
      </c>
      <c r="D618" s="152">
        <v>0.347945</v>
      </c>
      <c r="E618" s="152" t="s">
        <v>1325</v>
      </c>
      <c r="F618" s="152" t="s">
        <v>1326</v>
      </c>
      <c r="G618" s="152"/>
      <c r="H618" s="152" t="s">
        <v>58</v>
      </c>
      <c r="I618" s="151">
        <v>43395</v>
      </c>
      <c r="J618" s="152">
        <v>1.77</v>
      </c>
      <c r="K618" s="152" t="s">
        <v>1327</v>
      </c>
      <c r="L618" s="152" t="s">
        <v>1327</v>
      </c>
      <c r="M618" s="152" t="s">
        <v>1327</v>
      </c>
      <c r="N618" s="152" t="s">
        <v>1327</v>
      </c>
      <c r="O618" s="152">
        <v>1.763987</v>
      </c>
      <c r="P618" s="152">
        <v>11.964551</v>
      </c>
      <c r="Q618" s="152">
        <v>1.763987</v>
      </c>
      <c r="R618" s="152" t="s">
        <v>1327</v>
      </c>
      <c r="S618" s="152">
        <v>100.03994</v>
      </c>
      <c r="T618" s="152">
        <v>0.27517799999999998</v>
      </c>
      <c r="U618" s="152">
        <v>0.34490300000000002</v>
      </c>
      <c r="V618" s="152">
        <v>0.28990199999999999</v>
      </c>
      <c r="W618" s="152">
        <v>1000</v>
      </c>
      <c r="X618" s="152" t="s">
        <v>23</v>
      </c>
      <c r="Y618" s="152" t="s">
        <v>1328</v>
      </c>
      <c r="Z618" s="152" t="s">
        <v>1327</v>
      </c>
    </row>
    <row r="619" spans="1:26" x14ac:dyDescent="0.2">
      <c r="A619" s="152" t="s">
        <v>648</v>
      </c>
      <c r="B619" s="152">
        <v>1.96</v>
      </c>
      <c r="C619" s="151">
        <v>43640</v>
      </c>
      <c r="D619" s="152">
        <v>0.66301399999999999</v>
      </c>
      <c r="E619" s="152" t="s">
        <v>1325</v>
      </c>
      <c r="F619" s="152" t="s">
        <v>1326</v>
      </c>
      <c r="G619" s="152"/>
      <c r="H619" s="152" t="s">
        <v>58</v>
      </c>
      <c r="I619" s="151">
        <v>43376</v>
      </c>
      <c r="J619" s="152">
        <v>1.99</v>
      </c>
      <c r="K619" s="152" t="s">
        <v>1327</v>
      </c>
      <c r="L619" s="152" t="s">
        <v>1327</v>
      </c>
      <c r="M619" s="152" t="s">
        <v>1327</v>
      </c>
      <c r="N619" s="152" t="s">
        <v>1327</v>
      </c>
      <c r="O619" s="152">
        <v>2.0450490000000001</v>
      </c>
      <c r="P619" s="152">
        <v>27.052437000000001</v>
      </c>
      <c r="Q619" s="152">
        <v>2.0450490000000001</v>
      </c>
      <c r="R619" s="152" t="s">
        <v>1327</v>
      </c>
      <c r="S619" s="152">
        <v>99.940375000000003</v>
      </c>
      <c r="T619" s="152">
        <v>0.660493</v>
      </c>
      <c r="U619" s="152">
        <v>0.65285400000000005</v>
      </c>
      <c r="V619" s="152">
        <v>0.75169600000000003</v>
      </c>
      <c r="W619" s="152">
        <v>1000</v>
      </c>
      <c r="X619" s="152" t="s">
        <v>23</v>
      </c>
      <c r="Y619" s="152" t="s">
        <v>1328</v>
      </c>
      <c r="Z619" s="152" t="s">
        <v>1327</v>
      </c>
    </row>
    <row r="620" spans="1:26" x14ac:dyDescent="0.2">
      <c r="A620" s="152" t="s">
        <v>1869</v>
      </c>
      <c r="B620" s="152">
        <v>2.09</v>
      </c>
      <c r="C620" s="151">
        <v>43765</v>
      </c>
      <c r="D620" s="152">
        <v>1.005479</v>
      </c>
      <c r="E620" s="152" t="s">
        <v>1325</v>
      </c>
      <c r="F620" s="152" t="s">
        <v>1326</v>
      </c>
      <c r="G620" s="152"/>
      <c r="H620" s="152" t="s">
        <v>58</v>
      </c>
      <c r="I620" s="151">
        <v>43369</v>
      </c>
      <c r="J620" s="152">
        <v>2.09</v>
      </c>
      <c r="K620" s="152" t="s">
        <v>1327</v>
      </c>
      <c r="L620" s="152" t="s">
        <v>1327</v>
      </c>
      <c r="M620" s="152" t="s">
        <v>1327</v>
      </c>
      <c r="N620" s="152" t="s">
        <v>1327</v>
      </c>
      <c r="O620" s="152">
        <v>2.1250360000000001</v>
      </c>
      <c r="P620" s="152">
        <v>32.146017000000001</v>
      </c>
      <c r="Q620" s="152">
        <v>2.1250360000000001</v>
      </c>
      <c r="R620" s="152" t="s">
        <v>1327</v>
      </c>
      <c r="S620" s="152">
        <v>99.965389000000002</v>
      </c>
      <c r="T620" s="152">
        <v>-1.1452E-2</v>
      </c>
      <c r="U620" s="152">
        <v>0.98979099999999998</v>
      </c>
      <c r="V620" s="152">
        <v>1.471884</v>
      </c>
      <c r="W620" s="152">
        <v>1000</v>
      </c>
      <c r="X620" s="152" t="s">
        <v>23</v>
      </c>
      <c r="Y620" s="152" t="s">
        <v>1328</v>
      </c>
      <c r="Z620" s="152" t="s">
        <v>1327</v>
      </c>
    </row>
    <row r="621" spans="1:26" x14ac:dyDescent="0.2">
      <c r="A621" s="152" t="s">
        <v>1870</v>
      </c>
      <c r="B621" s="152">
        <v>2.25</v>
      </c>
      <c r="C621" s="151">
        <v>43919</v>
      </c>
      <c r="D621" s="152">
        <v>1.427397</v>
      </c>
      <c r="E621" s="152" t="s">
        <v>1325</v>
      </c>
      <c r="F621" s="152" t="s">
        <v>1326</v>
      </c>
      <c r="G621" s="152"/>
      <c r="H621" s="152" t="s">
        <v>58</v>
      </c>
      <c r="I621" s="151">
        <v>43362</v>
      </c>
      <c r="J621" s="152">
        <v>2.14</v>
      </c>
      <c r="K621" s="152" t="s">
        <v>1327</v>
      </c>
      <c r="L621" s="152" t="s">
        <v>1327</v>
      </c>
      <c r="M621" s="152" t="s">
        <v>1327</v>
      </c>
      <c r="N621" s="152" t="s">
        <v>1327</v>
      </c>
      <c r="O621" s="152">
        <v>2.2522880000000001</v>
      </c>
      <c r="P621" s="152">
        <v>35.169908999999997</v>
      </c>
      <c r="Q621" s="152">
        <v>2.2522880000000001</v>
      </c>
      <c r="R621" s="152" t="s">
        <v>1327</v>
      </c>
      <c r="S621" s="152">
        <v>100.005251</v>
      </c>
      <c r="T621" s="152">
        <v>0.160274</v>
      </c>
      <c r="U621" s="152">
        <v>1.392352</v>
      </c>
      <c r="V621" s="152">
        <v>2.6403650000000001</v>
      </c>
      <c r="W621" s="152">
        <v>1000</v>
      </c>
      <c r="X621" s="152" t="s">
        <v>23</v>
      </c>
      <c r="Y621" s="152" t="s">
        <v>1328</v>
      </c>
      <c r="Z621" s="152" t="s">
        <v>1327</v>
      </c>
    </row>
    <row r="622" spans="1:26" x14ac:dyDescent="0.2">
      <c r="A622" s="152" t="s">
        <v>478</v>
      </c>
      <c r="B622" s="152">
        <v>1.85</v>
      </c>
      <c r="C622" s="151">
        <v>44138</v>
      </c>
      <c r="D622" s="152">
        <v>2.0273970000000001</v>
      </c>
      <c r="E622" s="152" t="s">
        <v>1325</v>
      </c>
      <c r="F622" s="152" t="s">
        <v>1326</v>
      </c>
      <c r="G622" s="152"/>
      <c r="H622" s="152" t="s">
        <v>58</v>
      </c>
      <c r="I622" s="151">
        <v>43391</v>
      </c>
      <c r="J622" s="152">
        <v>2.5049999999999999</v>
      </c>
      <c r="K622" s="152" t="s">
        <v>1327</v>
      </c>
      <c r="L622" s="152" t="s">
        <v>1327</v>
      </c>
      <c r="M622" s="152" t="s">
        <v>1327</v>
      </c>
      <c r="N622" s="152" t="s">
        <v>1327</v>
      </c>
      <c r="O622" s="152">
        <v>2.5082990000000001</v>
      </c>
      <c r="P622" s="152">
        <v>48.977364000000001</v>
      </c>
      <c r="Q622" s="152">
        <v>2.5082990000000001</v>
      </c>
      <c r="R622" s="152" t="s">
        <v>1327</v>
      </c>
      <c r="S622" s="152">
        <v>98.708624</v>
      </c>
      <c r="T622" s="152">
        <v>-4.5615999999999997E-2</v>
      </c>
      <c r="U622" s="152">
        <v>1.9723889999999999</v>
      </c>
      <c r="V622" s="152">
        <v>4.8949800000000003</v>
      </c>
      <c r="W622" s="152">
        <v>1000</v>
      </c>
      <c r="X622" s="152" t="s">
        <v>23</v>
      </c>
      <c r="Y622" s="152" t="s">
        <v>1328</v>
      </c>
      <c r="Z622" s="152" t="s">
        <v>1327</v>
      </c>
    </row>
    <row r="623" spans="1:26" x14ac:dyDescent="0.2">
      <c r="A623" s="152" t="s">
        <v>649</v>
      </c>
      <c r="B623" s="152">
        <v>1.91</v>
      </c>
      <c r="C623" s="151">
        <v>44222</v>
      </c>
      <c r="D623" s="152">
        <v>2.2575340000000002</v>
      </c>
      <c r="E623" s="152" t="s">
        <v>1325</v>
      </c>
      <c r="F623" s="152" t="s">
        <v>1326</v>
      </c>
      <c r="G623" s="152"/>
      <c r="H623" s="152" t="s">
        <v>58</v>
      </c>
      <c r="I623" s="151">
        <v>43371</v>
      </c>
      <c r="J623" s="152">
        <v>2.4900000000000002</v>
      </c>
      <c r="K623" s="152" t="s">
        <v>1327</v>
      </c>
      <c r="L623" s="152" t="s">
        <v>1327</v>
      </c>
      <c r="M623" s="152" t="s">
        <v>1327</v>
      </c>
      <c r="N623" s="152" t="s">
        <v>1327</v>
      </c>
      <c r="O623" s="152">
        <v>2.5026160000000002</v>
      </c>
      <c r="P623" s="152">
        <v>46.479757999999997</v>
      </c>
      <c r="Q623" s="152">
        <v>2.5026160000000002</v>
      </c>
      <c r="R623" s="152" t="s">
        <v>1327</v>
      </c>
      <c r="S623" s="152">
        <v>98.699278000000007</v>
      </c>
      <c r="T623" s="152">
        <v>0.476192</v>
      </c>
      <c r="U623" s="152">
        <v>2.1802579999999998</v>
      </c>
      <c r="V623" s="152">
        <v>5.8974279999999997</v>
      </c>
      <c r="W623" s="152">
        <v>1000</v>
      </c>
      <c r="X623" s="152" t="s">
        <v>23</v>
      </c>
      <c r="Y623" s="152" t="s">
        <v>1328</v>
      </c>
      <c r="Z623" s="152" t="s">
        <v>1327</v>
      </c>
    </row>
    <row r="624" spans="1:26" x14ac:dyDescent="0.2">
      <c r="A624" s="152" t="s">
        <v>650</v>
      </c>
      <c r="B624" s="152">
        <v>2.2200000000000002</v>
      </c>
      <c r="C624" s="151">
        <v>44389</v>
      </c>
      <c r="D624" s="152">
        <v>2.715068</v>
      </c>
      <c r="E624" s="152" t="s">
        <v>1325</v>
      </c>
      <c r="F624" s="152" t="s">
        <v>1326</v>
      </c>
      <c r="G624" s="152"/>
      <c r="H624" s="152" t="s">
        <v>58</v>
      </c>
      <c r="I624" s="151">
        <v>43392</v>
      </c>
      <c r="J624" s="152">
        <v>2.48</v>
      </c>
      <c r="K624" s="151" t="s">
        <v>1327</v>
      </c>
      <c r="L624" s="152" t="s">
        <v>1327</v>
      </c>
      <c r="M624" s="152" t="s">
        <v>1327</v>
      </c>
      <c r="N624" s="152" t="s">
        <v>1327</v>
      </c>
      <c r="O624" s="152">
        <v>2.4803299999999999</v>
      </c>
      <c r="P624" s="152">
        <v>41.036667999999999</v>
      </c>
      <c r="Q624" s="152">
        <v>2.4803299999999999</v>
      </c>
      <c r="R624" s="152" t="s">
        <v>1327</v>
      </c>
      <c r="S624" s="152">
        <v>99.309389999999993</v>
      </c>
      <c r="T624" s="152">
        <v>0.63863000000000003</v>
      </c>
      <c r="U624" s="152">
        <v>2.602652</v>
      </c>
      <c r="V624" s="152">
        <v>8.1992539999999998</v>
      </c>
      <c r="W624" s="152">
        <v>1000</v>
      </c>
      <c r="X624" s="152" t="s">
        <v>23</v>
      </c>
      <c r="Y624" s="152" t="s">
        <v>1328</v>
      </c>
      <c r="Z624" s="152" t="s">
        <v>1327</v>
      </c>
    </row>
    <row r="625" spans="1:26" x14ac:dyDescent="0.2">
      <c r="A625" s="152" t="s">
        <v>1871</v>
      </c>
      <c r="B625" s="152">
        <v>3.5</v>
      </c>
      <c r="C625" s="151">
        <v>46429</v>
      </c>
      <c r="D625" s="152">
        <v>8.3041099999999997</v>
      </c>
      <c r="E625" s="152" t="s">
        <v>1325</v>
      </c>
      <c r="F625" s="152" t="s">
        <v>1326</v>
      </c>
      <c r="G625" s="152"/>
      <c r="H625" s="152" t="s">
        <v>27</v>
      </c>
      <c r="I625" s="151" t="s">
        <v>1327</v>
      </c>
      <c r="J625" s="152" t="s">
        <v>1327</v>
      </c>
      <c r="K625" s="151" t="s">
        <v>1327</v>
      </c>
      <c r="L625" s="152" t="s">
        <v>1327</v>
      </c>
      <c r="M625" s="152" t="s">
        <v>1327</v>
      </c>
      <c r="N625" s="152" t="s">
        <v>1327</v>
      </c>
      <c r="O625" s="152">
        <v>3.5725660000000001</v>
      </c>
      <c r="P625" s="152">
        <v>84.313151000000005</v>
      </c>
      <c r="Q625" s="152">
        <v>3.5725660000000001</v>
      </c>
      <c r="R625" s="152" t="s">
        <v>1327</v>
      </c>
      <c r="S625" s="152">
        <v>99.473181999999994</v>
      </c>
      <c r="T625" s="152">
        <v>0.71917799999999998</v>
      </c>
      <c r="U625" s="152">
        <v>7.1181409999999996</v>
      </c>
      <c r="V625" s="152">
        <v>57.474035999999998</v>
      </c>
      <c r="W625" s="152">
        <v>1000</v>
      </c>
      <c r="X625" s="152" t="s">
        <v>23</v>
      </c>
      <c r="Y625" s="152" t="s">
        <v>1328</v>
      </c>
      <c r="Z625" s="152" t="s">
        <v>1327</v>
      </c>
    </row>
    <row r="626" spans="1:26" x14ac:dyDescent="0.2">
      <c r="A626" s="152" t="s">
        <v>1872</v>
      </c>
      <c r="B626" s="152">
        <v>3.9</v>
      </c>
      <c r="C626" s="151">
        <v>46715</v>
      </c>
      <c r="D626" s="152">
        <v>9.0876710000000003</v>
      </c>
      <c r="E626" s="152" t="s">
        <v>1325</v>
      </c>
      <c r="F626" s="152" t="s">
        <v>1326</v>
      </c>
      <c r="G626" s="152"/>
      <c r="H626" s="152" t="s">
        <v>27</v>
      </c>
      <c r="I626" s="151">
        <v>43321</v>
      </c>
      <c r="J626" s="152">
        <v>3.55</v>
      </c>
      <c r="K626" s="151" t="s">
        <v>1327</v>
      </c>
      <c r="L626" s="152" t="s">
        <v>1327</v>
      </c>
      <c r="M626" s="152" t="s">
        <v>1327</v>
      </c>
      <c r="N626" s="152" t="s">
        <v>1327</v>
      </c>
      <c r="O626" s="152">
        <v>3.657683</v>
      </c>
      <c r="P626" s="152">
        <v>87.814077999999995</v>
      </c>
      <c r="Q626" s="152">
        <v>3.657683</v>
      </c>
      <c r="R626" s="152" t="s">
        <v>1327</v>
      </c>
      <c r="S626" s="152">
        <v>101.85637800000001</v>
      </c>
      <c r="T626" s="152">
        <v>0.662466</v>
      </c>
      <c r="U626" s="152">
        <v>7.5888179999999998</v>
      </c>
      <c r="V626" s="152">
        <v>66.21508</v>
      </c>
      <c r="W626" s="152">
        <v>1000</v>
      </c>
      <c r="X626" s="152" t="s">
        <v>23</v>
      </c>
      <c r="Y626" s="152" t="s">
        <v>1328</v>
      </c>
      <c r="Z626" s="152" t="s">
        <v>1327</v>
      </c>
    </row>
    <row r="627" spans="1:26" x14ac:dyDescent="0.2">
      <c r="A627" s="152" t="s">
        <v>1873</v>
      </c>
      <c r="B627" s="152">
        <v>3.4</v>
      </c>
      <c r="C627" s="151">
        <v>46708</v>
      </c>
      <c r="D627" s="152">
        <v>9.0684930000000001</v>
      </c>
      <c r="E627" s="152" t="s">
        <v>1325</v>
      </c>
      <c r="F627" s="152" t="s">
        <v>1326</v>
      </c>
      <c r="G627" s="152"/>
      <c r="H627" s="152" t="s">
        <v>27</v>
      </c>
      <c r="I627" s="151" t="s">
        <v>1327</v>
      </c>
      <c r="J627" s="152" t="s">
        <v>1327</v>
      </c>
      <c r="K627" s="151" t="s">
        <v>1327</v>
      </c>
      <c r="L627" s="152" t="s">
        <v>1327</v>
      </c>
      <c r="M627" s="152" t="s">
        <v>1327</v>
      </c>
      <c r="N627" s="152" t="s">
        <v>1327</v>
      </c>
      <c r="O627" s="152">
        <v>3.6263550000000002</v>
      </c>
      <c r="P627" s="152">
        <v>83.990740000000002</v>
      </c>
      <c r="Q627" s="152">
        <v>3.6263550000000002</v>
      </c>
      <c r="R627" s="152" t="s">
        <v>1327</v>
      </c>
      <c r="S627" s="152">
        <v>98.250517000000002</v>
      </c>
      <c r="T627" s="152">
        <v>0.64273999999999998</v>
      </c>
      <c r="U627" s="152">
        <v>7.7042120000000001</v>
      </c>
      <c r="V627" s="152">
        <v>67.539118999999999</v>
      </c>
      <c r="W627" s="152">
        <v>1000</v>
      </c>
      <c r="X627" s="152" t="s">
        <v>23</v>
      </c>
      <c r="Y627" s="152" t="s">
        <v>1328</v>
      </c>
      <c r="Z627" s="152" t="s">
        <v>1327</v>
      </c>
    </row>
    <row r="628" spans="1:26" x14ac:dyDescent="0.2">
      <c r="A628" s="152" t="s">
        <v>651</v>
      </c>
      <c r="B628" s="152">
        <v>2.87</v>
      </c>
      <c r="C628" s="151">
        <v>44223</v>
      </c>
      <c r="D628" s="152">
        <v>2.2602739999999999</v>
      </c>
      <c r="E628" s="152" t="s">
        <v>1325</v>
      </c>
      <c r="F628" s="152" t="s">
        <v>1326</v>
      </c>
      <c r="G628" s="152" t="s">
        <v>116</v>
      </c>
      <c r="H628" s="152"/>
      <c r="I628" s="151">
        <v>43353</v>
      </c>
      <c r="J628" s="152">
        <v>2.35</v>
      </c>
      <c r="K628" s="151" t="s">
        <v>1327</v>
      </c>
      <c r="L628" s="152" t="s">
        <v>1327</v>
      </c>
      <c r="M628" s="152" t="s">
        <v>1327</v>
      </c>
      <c r="N628" s="152" t="s">
        <v>1327</v>
      </c>
      <c r="O628" s="152">
        <v>2.4483779999999999</v>
      </c>
      <c r="P628" s="152">
        <v>41.117083000000001</v>
      </c>
      <c r="Q628" s="152">
        <v>2.4483779999999999</v>
      </c>
      <c r="R628" s="152" t="s">
        <v>1327</v>
      </c>
      <c r="S628" s="152">
        <v>100.906555</v>
      </c>
      <c r="T628" s="152">
        <v>0.70767100000000005</v>
      </c>
      <c r="U628" s="152">
        <v>2.1617449999999998</v>
      </c>
      <c r="V628" s="152">
        <v>5.8381489999999996</v>
      </c>
      <c r="W628" s="152">
        <v>1000</v>
      </c>
      <c r="X628" s="152" t="s">
        <v>23</v>
      </c>
      <c r="Y628" s="152" t="s">
        <v>1328</v>
      </c>
      <c r="Z628" s="152" t="s">
        <v>1327</v>
      </c>
    </row>
    <row r="629" spans="1:26" x14ac:dyDescent="0.2">
      <c r="A629" s="152" t="s">
        <v>653</v>
      </c>
      <c r="B629" s="152">
        <v>2.54</v>
      </c>
      <c r="C629" s="151">
        <v>44917</v>
      </c>
      <c r="D629" s="152">
        <v>4.1616439999999999</v>
      </c>
      <c r="E629" s="152" t="s">
        <v>1325</v>
      </c>
      <c r="F629" s="152" t="s">
        <v>1326</v>
      </c>
      <c r="G629" s="152" t="s">
        <v>116</v>
      </c>
      <c r="H629" s="152"/>
      <c r="I629" s="152" t="s">
        <v>1327</v>
      </c>
      <c r="J629" s="152" t="s">
        <v>1327</v>
      </c>
      <c r="K629" s="152" t="s">
        <v>1327</v>
      </c>
      <c r="L629" s="152" t="s">
        <v>1327</v>
      </c>
      <c r="M629" s="152" t="s">
        <v>1327</v>
      </c>
      <c r="N629" s="152" t="s">
        <v>1327</v>
      </c>
      <c r="O629" s="152">
        <v>2.887791</v>
      </c>
      <c r="P629" s="152">
        <v>53.838597</v>
      </c>
      <c r="Q629" s="152">
        <v>2.887791</v>
      </c>
      <c r="R629" s="152" t="s">
        <v>1327</v>
      </c>
      <c r="S629" s="152">
        <v>98.640775000000005</v>
      </c>
      <c r="T629" s="152">
        <v>0.86986300000000005</v>
      </c>
      <c r="U629" s="152">
        <v>3.8816130000000002</v>
      </c>
      <c r="V629" s="152">
        <v>17.547619999999998</v>
      </c>
      <c r="W629" s="152">
        <v>1000</v>
      </c>
      <c r="X629" s="152" t="s">
        <v>23</v>
      </c>
      <c r="Y629" s="152" t="s">
        <v>1328</v>
      </c>
      <c r="Z629" s="152" t="s">
        <v>1327</v>
      </c>
    </row>
    <row r="630" spans="1:26" x14ac:dyDescent="0.2">
      <c r="A630" s="152" t="s">
        <v>1874</v>
      </c>
      <c r="B630" s="152">
        <v>4.92</v>
      </c>
      <c r="C630" s="151">
        <v>43585</v>
      </c>
      <c r="D630" s="152">
        <v>0.51232900000000003</v>
      </c>
      <c r="E630" s="152" t="s">
        <v>1325</v>
      </c>
      <c r="F630" s="152" t="s">
        <v>1326</v>
      </c>
      <c r="G630" s="152" t="s">
        <v>47</v>
      </c>
      <c r="H630" s="152"/>
      <c r="I630" s="151">
        <v>43374</v>
      </c>
      <c r="J630" s="152">
        <v>1.84</v>
      </c>
      <c r="K630" s="151">
        <v>41516</v>
      </c>
      <c r="L630" s="152">
        <v>4.8981519999999996</v>
      </c>
      <c r="M630" s="152">
        <v>5.8683059999999996</v>
      </c>
      <c r="N630" s="152">
        <v>4.6145269999999998</v>
      </c>
      <c r="O630" s="152">
        <v>1.9948250000000001</v>
      </c>
      <c r="P630" s="152">
        <v>25.608253999999999</v>
      </c>
      <c r="Q630" s="152">
        <v>1.9948250000000001</v>
      </c>
      <c r="R630" s="152" t="s">
        <v>1327</v>
      </c>
      <c r="S630" s="152">
        <v>101.476812</v>
      </c>
      <c r="T630" s="152">
        <v>1.5770960000000001</v>
      </c>
      <c r="U630" s="152">
        <v>0.49946200000000002</v>
      </c>
      <c r="V630" s="152">
        <v>0.49922899999999998</v>
      </c>
      <c r="W630" s="152">
        <v>1000</v>
      </c>
      <c r="X630" s="152" t="s">
        <v>23</v>
      </c>
      <c r="Y630" s="152" t="s">
        <v>1328</v>
      </c>
      <c r="Z630" s="152" t="s">
        <v>1327</v>
      </c>
    </row>
    <row r="631" spans="1:26" x14ac:dyDescent="0.2">
      <c r="A631" s="152" t="s">
        <v>1875</v>
      </c>
      <c r="B631" s="152">
        <v>4.3499999999999996</v>
      </c>
      <c r="C631" s="151">
        <v>43566</v>
      </c>
      <c r="D631" s="152">
        <v>0.46027400000000002</v>
      </c>
      <c r="E631" s="152" t="s">
        <v>1325</v>
      </c>
      <c r="F631" s="152" t="s">
        <v>1326</v>
      </c>
      <c r="G631" s="152" t="s">
        <v>47</v>
      </c>
      <c r="H631" s="152"/>
      <c r="I631" s="151">
        <v>43298</v>
      </c>
      <c r="J631" s="152">
        <v>1.7</v>
      </c>
      <c r="K631" s="152" t="s">
        <v>1327</v>
      </c>
      <c r="L631" s="152" t="s">
        <v>1327</v>
      </c>
      <c r="M631" s="152" t="s">
        <v>1327</v>
      </c>
      <c r="N631" s="152" t="s">
        <v>1327</v>
      </c>
      <c r="O631" s="152">
        <v>2.0739399999999999</v>
      </c>
      <c r="P631" s="152">
        <v>35.876742</v>
      </c>
      <c r="Q631" s="152">
        <v>2.0739399999999999</v>
      </c>
      <c r="R631" s="152" t="s">
        <v>1327</v>
      </c>
      <c r="S631" s="152">
        <v>101.03147300000001</v>
      </c>
      <c r="T631" s="152">
        <v>1.3943840000000001</v>
      </c>
      <c r="U631" s="152">
        <v>0.44969900000000002</v>
      </c>
      <c r="V631" s="152">
        <v>0.42635499999999998</v>
      </c>
      <c r="W631" s="152">
        <v>1000</v>
      </c>
      <c r="X631" s="152" t="s">
        <v>23</v>
      </c>
      <c r="Y631" s="152" t="s">
        <v>1328</v>
      </c>
      <c r="Z631" s="152" t="s">
        <v>1327</v>
      </c>
    </row>
    <row r="632" spans="1:26" x14ac:dyDescent="0.2">
      <c r="A632" s="152" t="s">
        <v>1876</v>
      </c>
      <c r="B632" s="152">
        <v>2.13</v>
      </c>
      <c r="C632" s="151">
        <v>44053</v>
      </c>
      <c r="D632" s="152">
        <v>1.794521</v>
      </c>
      <c r="E632" s="152" t="s">
        <v>1325</v>
      </c>
      <c r="F632" s="152" t="s">
        <v>1326</v>
      </c>
      <c r="G632" s="152" t="s">
        <v>47</v>
      </c>
      <c r="H632" s="152"/>
      <c r="I632" s="151">
        <v>43332</v>
      </c>
      <c r="J632" s="152">
        <v>2.12</v>
      </c>
      <c r="K632" s="151" t="s">
        <v>1327</v>
      </c>
      <c r="L632" s="152" t="s">
        <v>1327</v>
      </c>
      <c r="M632" s="152" t="s">
        <v>1327</v>
      </c>
      <c r="N632" s="152" t="s">
        <v>1327</v>
      </c>
      <c r="O632" s="152">
        <v>2.269428</v>
      </c>
      <c r="P632" s="152">
        <v>28.601168999999999</v>
      </c>
      <c r="Q632" s="152">
        <v>2.269428</v>
      </c>
      <c r="R632" s="152" t="s">
        <v>1327</v>
      </c>
      <c r="S632" s="152">
        <v>99.745785999999995</v>
      </c>
      <c r="T632" s="152">
        <v>0.44350699999999998</v>
      </c>
      <c r="U632" s="152">
        <v>1.7446520000000001</v>
      </c>
      <c r="V632" s="152">
        <v>3.941344</v>
      </c>
      <c r="W632" s="152">
        <v>1000</v>
      </c>
      <c r="X632" s="152" t="s">
        <v>23</v>
      </c>
      <c r="Y632" s="152" t="s">
        <v>1328</v>
      </c>
      <c r="Z632" s="152" t="s">
        <v>1327</v>
      </c>
    </row>
    <row r="633" spans="1:26" x14ac:dyDescent="0.2">
      <c r="A633" s="152" t="s">
        <v>1877</v>
      </c>
      <c r="B633" s="152">
        <v>4.8099999999999996</v>
      </c>
      <c r="C633" s="151">
        <v>44297</v>
      </c>
      <c r="D633" s="152">
        <v>2.4630139999999998</v>
      </c>
      <c r="E633" s="152" t="s">
        <v>1325</v>
      </c>
      <c r="F633" s="152" t="s">
        <v>1326</v>
      </c>
      <c r="G633" s="152" t="s">
        <v>47</v>
      </c>
      <c r="H633" s="152"/>
      <c r="I633" s="151">
        <v>43354</v>
      </c>
      <c r="J633" s="152">
        <v>2.2400000000000002</v>
      </c>
      <c r="K633" s="152" t="s">
        <v>1327</v>
      </c>
      <c r="L633" s="152" t="s">
        <v>1327</v>
      </c>
      <c r="M633" s="152" t="s">
        <v>1327</v>
      </c>
      <c r="N633" s="152" t="s">
        <v>1327</v>
      </c>
      <c r="O633" s="152">
        <v>2.3335210000000002</v>
      </c>
      <c r="P633" s="152">
        <v>28.389408</v>
      </c>
      <c r="Q633" s="152">
        <v>2.3335210000000002</v>
      </c>
      <c r="R633" s="152" t="s">
        <v>1327</v>
      </c>
      <c r="S633" s="152">
        <v>105.881349</v>
      </c>
      <c r="T633" s="152">
        <v>1.541836</v>
      </c>
      <c r="U633" s="152">
        <v>2.2928869999999999</v>
      </c>
      <c r="V633" s="152">
        <v>6.6018369999999997</v>
      </c>
      <c r="W633" s="152">
        <v>1000</v>
      </c>
      <c r="X633" s="152" t="s">
        <v>23</v>
      </c>
      <c r="Y633" s="152" t="s">
        <v>1328</v>
      </c>
      <c r="Z633" s="152" t="s">
        <v>1327</v>
      </c>
    </row>
    <row r="634" spans="1:26" x14ac:dyDescent="0.2">
      <c r="A634" s="152" t="s">
        <v>1878</v>
      </c>
      <c r="B634" s="152">
        <v>5.35</v>
      </c>
      <c r="C634" s="151">
        <v>44681</v>
      </c>
      <c r="D634" s="152">
        <v>3.5150679999999999</v>
      </c>
      <c r="E634" s="152" t="s">
        <v>1325</v>
      </c>
      <c r="F634" s="152" t="s">
        <v>1326</v>
      </c>
      <c r="G634" s="152" t="s">
        <v>47</v>
      </c>
      <c r="H634" s="152"/>
      <c r="I634" s="151">
        <v>42878</v>
      </c>
      <c r="J634" s="152">
        <v>2.8959999999999999</v>
      </c>
      <c r="K634" s="151">
        <v>41698</v>
      </c>
      <c r="L634" s="152">
        <v>4.9740060000000001</v>
      </c>
      <c r="M634" s="152">
        <v>5.5813249999999996</v>
      </c>
      <c r="N634" s="152">
        <v>4.9262540000000001</v>
      </c>
      <c r="O634" s="152">
        <v>2.8250380000000002</v>
      </c>
      <c r="P634" s="152">
        <v>57.494602999999998</v>
      </c>
      <c r="Q634" s="152">
        <v>2.8250380000000002</v>
      </c>
      <c r="R634" s="152" t="s">
        <v>1327</v>
      </c>
      <c r="S634" s="152">
        <v>108.378638</v>
      </c>
      <c r="T634" s="152">
        <v>1.7149319999999999</v>
      </c>
      <c r="U634" s="152">
        <v>3.1657820000000001</v>
      </c>
      <c r="V634" s="152">
        <v>12.197924</v>
      </c>
      <c r="W634" s="152">
        <v>1000</v>
      </c>
      <c r="X634" s="152" t="s">
        <v>23</v>
      </c>
      <c r="Y634" s="152" t="s">
        <v>1328</v>
      </c>
      <c r="Z634" s="152" t="s">
        <v>1327</v>
      </c>
    </row>
    <row r="635" spans="1:26" x14ac:dyDescent="0.2">
      <c r="A635" s="152" t="s">
        <v>1879</v>
      </c>
      <c r="B635" s="152">
        <v>2.96</v>
      </c>
      <c r="C635" s="151">
        <v>45148</v>
      </c>
      <c r="D635" s="152">
        <v>4.7945209999999996</v>
      </c>
      <c r="E635" s="152" t="s">
        <v>1325</v>
      </c>
      <c r="F635" s="152" t="s">
        <v>1326</v>
      </c>
      <c r="G635" s="152" t="s">
        <v>47</v>
      </c>
      <c r="H635" s="152"/>
      <c r="I635" s="151" t="s">
        <v>1327</v>
      </c>
      <c r="J635" s="152" t="s">
        <v>1327</v>
      </c>
      <c r="K635" s="152" t="s">
        <v>1327</v>
      </c>
      <c r="L635" s="152" t="s">
        <v>1327</v>
      </c>
      <c r="M635" s="152" t="s">
        <v>1327</v>
      </c>
      <c r="N635" s="152" t="s">
        <v>1327</v>
      </c>
      <c r="O635" s="152">
        <v>3.082884</v>
      </c>
      <c r="P635" s="152">
        <v>67.268557000000001</v>
      </c>
      <c r="Q635" s="152">
        <v>3.082884</v>
      </c>
      <c r="R635" s="152" t="s">
        <v>1327</v>
      </c>
      <c r="S635" s="152">
        <v>99.441141000000002</v>
      </c>
      <c r="T635" s="152">
        <v>0.61632900000000002</v>
      </c>
      <c r="U635" s="152">
        <v>4.4110889999999996</v>
      </c>
      <c r="V635" s="152">
        <v>22.516798999999999</v>
      </c>
      <c r="W635" s="152">
        <v>1000</v>
      </c>
      <c r="X635" s="152" t="s">
        <v>23</v>
      </c>
      <c r="Y635" s="152" t="s">
        <v>1328</v>
      </c>
      <c r="Z635" s="152" t="s">
        <v>1327</v>
      </c>
    </row>
    <row r="636" spans="1:26" x14ac:dyDescent="0.2">
      <c r="A636" s="152" t="s">
        <v>1880</v>
      </c>
      <c r="B636" s="152">
        <v>5.18</v>
      </c>
      <c r="C636" s="151">
        <v>45393</v>
      </c>
      <c r="D636" s="152">
        <v>5.4657530000000003</v>
      </c>
      <c r="E636" s="152" t="s">
        <v>1325</v>
      </c>
      <c r="F636" s="152" t="s">
        <v>1326</v>
      </c>
      <c r="G636" s="152" t="s">
        <v>47</v>
      </c>
      <c r="H636" s="152"/>
      <c r="I636" s="152">
        <v>43314</v>
      </c>
      <c r="J636" s="152">
        <v>3.25</v>
      </c>
      <c r="K636" s="152" t="s">
        <v>1327</v>
      </c>
      <c r="L636" s="152" t="s">
        <v>1327</v>
      </c>
      <c r="M636" s="152" t="s">
        <v>1327</v>
      </c>
      <c r="N636" s="152" t="s">
        <v>1327</v>
      </c>
      <c r="O636" s="152">
        <v>3.4820199999999999</v>
      </c>
      <c r="P636" s="152">
        <v>102.95284700000001</v>
      </c>
      <c r="Q636" s="152">
        <v>3.4820199999999999</v>
      </c>
      <c r="R636" s="152" t="s">
        <v>1327</v>
      </c>
      <c r="S636" s="152">
        <v>108.373447</v>
      </c>
      <c r="T636" s="152">
        <v>1.6604380000000001</v>
      </c>
      <c r="U636" s="152">
        <v>4.703074</v>
      </c>
      <c r="V636" s="152">
        <v>26.434888000000001</v>
      </c>
      <c r="W636" s="152">
        <v>1000</v>
      </c>
      <c r="X636" s="152" t="s">
        <v>23</v>
      </c>
      <c r="Y636" s="152" t="s">
        <v>1328</v>
      </c>
      <c r="Z636" s="152" t="s">
        <v>1327</v>
      </c>
    </row>
    <row r="637" spans="1:26" x14ac:dyDescent="0.2">
      <c r="A637" s="152" t="s">
        <v>1881</v>
      </c>
      <c r="B637" s="152">
        <v>3.42</v>
      </c>
      <c r="C637" s="151">
        <v>45879</v>
      </c>
      <c r="D637" s="152">
        <v>6.7972599999999996</v>
      </c>
      <c r="E637" s="152" t="s">
        <v>1325</v>
      </c>
      <c r="F637" s="152" t="s">
        <v>1326</v>
      </c>
      <c r="G637" s="152" t="s">
        <v>47</v>
      </c>
      <c r="H637" s="152"/>
      <c r="I637" s="151" t="s">
        <v>1327</v>
      </c>
      <c r="J637" s="152" t="s">
        <v>1327</v>
      </c>
      <c r="K637" s="152" t="s">
        <v>1327</v>
      </c>
      <c r="L637" s="152" t="s">
        <v>1327</v>
      </c>
      <c r="M637" s="152" t="s">
        <v>1327</v>
      </c>
      <c r="N637" s="152" t="s">
        <v>1327</v>
      </c>
      <c r="O637" s="152">
        <v>3.5562339999999999</v>
      </c>
      <c r="P637" s="152">
        <v>94.081142</v>
      </c>
      <c r="Q637" s="152">
        <v>3.5562339999999999</v>
      </c>
      <c r="R637" s="152" t="s">
        <v>1327</v>
      </c>
      <c r="S637" s="152">
        <v>99.166252999999998</v>
      </c>
      <c r="T637" s="152">
        <v>0.71211000000000002</v>
      </c>
      <c r="U637" s="152">
        <v>5.9701919999999999</v>
      </c>
      <c r="V637" s="152">
        <v>41.262338</v>
      </c>
      <c r="W637" s="152">
        <v>1000</v>
      </c>
      <c r="X637" s="152" t="s">
        <v>23</v>
      </c>
      <c r="Y637" s="152" t="s">
        <v>1328</v>
      </c>
      <c r="Z637" s="152" t="s">
        <v>1327</v>
      </c>
    </row>
    <row r="638" spans="1:26" x14ac:dyDescent="0.2">
      <c r="A638" s="152" t="s">
        <v>1882</v>
      </c>
      <c r="B638" s="152">
        <v>4.72</v>
      </c>
      <c r="C638" s="151">
        <v>46449</v>
      </c>
      <c r="D638" s="152">
        <v>8.3589040000000008</v>
      </c>
      <c r="E638" s="152" t="s">
        <v>1325</v>
      </c>
      <c r="F638" s="152" t="s">
        <v>1326</v>
      </c>
      <c r="G638" s="152" t="s">
        <v>47</v>
      </c>
      <c r="H638" s="152"/>
      <c r="I638" s="151" t="s">
        <v>1327</v>
      </c>
      <c r="J638" s="152" t="s">
        <v>1327</v>
      </c>
      <c r="K638" s="152" t="s">
        <v>1327</v>
      </c>
      <c r="L638" s="152" t="s">
        <v>1327</v>
      </c>
      <c r="M638" s="152" t="s">
        <v>1327</v>
      </c>
      <c r="N638" s="152" t="s">
        <v>1327</v>
      </c>
      <c r="O638" s="152">
        <v>3.7434349999999998</v>
      </c>
      <c r="P638" s="152">
        <v>100.93798200000001</v>
      </c>
      <c r="Q638" s="152">
        <v>3.7434349999999998</v>
      </c>
      <c r="R638" s="152" t="s">
        <v>1327</v>
      </c>
      <c r="S638" s="152">
        <v>106.942232</v>
      </c>
      <c r="T638" s="152">
        <v>1.5129859999999999</v>
      </c>
      <c r="U638" s="152">
        <v>6.8276690000000002</v>
      </c>
      <c r="V638" s="152">
        <v>55.835011999999999</v>
      </c>
      <c r="W638" s="152">
        <v>1000</v>
      </c>
      <c r="X638" s="152" t="s">
        <v>23</v>
      </c>
      <c r="Y638" s="152" t="s">
        <v>1328</v>
      </c>
      <c r="Z638" s="152" t="s">
        <v>1327</v>
      </c>
    </row>
    <row r="639" spans="1:26" x14ac:dyDescent="0.2">
      <c r="A639" s="152" t="s">
        <v>1883</v>
      </c>
      <c r="B639" s="152">
        <v>5.05</v>
      </c>
      <c r="C639" s="151">
        <v>47545</v>
      </c>
      <c r="D639" s="152">
        <v>11.361644</v>
      </c>
      <c r="E639" s="152" t="s">
        <v>1325</v>
      </c>
      <c r="F639" s="152" t="s">
        <v>1326</v>
      </c>
      <c r="G639" s="152" t="s">
        <v>47</v>
      </c>
      <c r="H639" s="152"/>
      <c r="I639" s="151" t="s">
        <v>1327</v>
      </c>
      <c r="J639" s="152" t="s">
        <v>1327</v>
      </c>
      <c r="K639" s="152" t="s">
        <v>1327</v>
      </c>
      <c r="L639" s="152" t="s">
        <v>1327</v>
      </c>
      <c r="M639" s="152" t="s">
        <v>1327</v>
      </c>
      <c r="N639" s="152" t="s">
        <v>1327</v>
      </c>
      <c r="O639" s="152">
        <v>4.1135109999999999</v>
      </c>
      <c r="P639" s="152">
        <v>103.91726800000001</v>
      </c>
      <c r="Q639" s="152">
        <v>4.1135109999999999</v>
      </c>
      <c r="R639" s="152" t="s">
        <v>1327</v>
      </c>
      <c r="S639" s="152">
        <v>108.41788200000001</v>
      </c>
      <c r="T639" s="152">
        <v>1.6187670000000001</v>
      </c>
      <c r="U639" s="152">
        <v>8.5907900000000001</v>
      </c>
      <c r="V639" s="152">
        <v>91.196629999999999</v>
      </c>
      <c r="W639" s="152">
        <v>1000</v>
      </c>
      <c r="X639" s="152" t="s">
        <v>23</v>
      </c>
      <c r="Y639" s="152" t="s">
        <v>1328</v>
      </c>
      <c r="Z639" s="152" t="s">
        <v>1327</v>
      </c>
    </row>
    <row r="640" spans="1:26" x14ac:dyDescent="0.2">
      <c r="A640" s="152" t="s">
        <v>1884</v>
      </c>
      <c r="B640" s="152">
        <v>2.41</v>
      </c>
      <c r="C640" s="151">
        <v>43869</v>
      </c>
      <c r="D640" s="152">
        <v>1.290411</v>
      </c>
      <c r="E640" s="152" t="s">
        <v>1325</v>
      </c>
      <c r="F640" s="152" t="s">
        <v>1326</v>
      </c>
      <c r="G640" s="152" t="s">
        <v>41</v>
      </c>
      <c r="H640" s="152"/>
      <c r="I640" s="151">
        <v>43347</v>
      </c>
      <c r="J640" s="152">
        <v>2.0750000000000002</v>
      </c>
      <c r="K640" s="152" t="s">
        <v>1327</v>
      </c>
      <c r="L640" s="152" t="s">
        <v>1327</v>
      </c>
      <c r="M640" s="152" t="s">
        <v>1327</v>
      </c>
      <c r="N640" s="152" t="s">
        <v>1327</v>
      </c>
      <c r="O640" s="152">
        <v>2.158731</v>
      </c>
      <c r="P640" s="152">
        <v>29.957550000000001</v>
      </c>
      <c r="Q640" s="152">
        <v>2.158731</v>
      </c>
      <c r="R640" s="152" t="s">
        <v>1327</v>
      </c>
      <c r="S640" s="152">
        <v>100.306597</v>
      </c>
      <c r="T640" s="152">
        <v>0.51501399999999997</v>
      </c>
      <c r="U640" s="152">
        <v>1.2590680000000001</v>
      </c>
      <c r="V640" s="152">
        <v>2.2222559999999998</v>
      </c>
      <c r="W640" s="152">
        <v>1000</v>
      </c>
      <c r="X640" s="152" t="s">
        <v>23</v>
      </c>
      <c r="Y640" s="152" t="s">
        <v>1328</v>
      </c>
      <c r="Z640" s="152" t="s">
        <v>1327</v>
      </c>
    </row>
    <row r="641" spans="1:26" x14ac:dyDescent="0.2">
      <c r="A641" s="152" t="s">
        <v>1885</v>
      </c>
      <c r="B641" s="152">
        <v>4.1900000000000004</v>
      </c>
      <c r="C641" s="151">
        <v>43961</v>
      </c>
      <c r="D641" s="152">
        <v>1.5424659999999999</v>
      </c>
      <c r="E641" s="152" t="s">
        <v>1325</v>
      </c>
      <c r="F641" s="152" t="s">
        <v>1326</v>
      </c>
      <c r="G641" s="152"/>
      <c r="H641" s="152"/>
      <c r="I641" s="151">
        <v>43200</v>
      </c>
      <c r="J641" s="152">
        <v>1.6850000000000001</v>
      </c>
      <c r="K641" s="152" t="s">
        <v>1327</v>
      </c>
      <c r="L641" s="152" t="s">
        <v>1327</v>
      </c>
      <c r="M641" s="152" t="s">
        <v>1327</v>
      </c>
      <c r="N641" s="152" t="s">
        <v>1327</v>
      </c>
      <c r="O641" s="152">
        <v>2.2690459999999999</v>
      </c>
      <c r="P641" s="152">
        <v>34.48218</v>
      </c>
      <c r="Q641" s="152">
        <v>2.2690459999999999</v>
      </c>
      <c r="R641" s="152" t="s">
        <v>1327</v>
      </c>
      <c r="S641" s="152">
        <v>102.880005</v>
      </c>
      <c r="T641" s="152">
        <v>1.9285479999999999</v>
      </c>
      <c r="U641" s="152">
        <v>1.467724</v>
      </c>
      <c r="V641" s="152">
        <v>2.9443899999999998</v>
      </c>
      <c r="W641" s="152">
        <v>1000</v>
      </c>
      <c r="X641" s="152" t="s">
        <v>23</v>
      </c>
      <c r="Y641" s="152" t="s">
        <v>1328</v>
      </c>
      <c r="Z641" s="152" t="s">
        <v>1327</v>
      </c>
    </row>
    <row r="642" spans="1:26" x14ac:dyDescent="0.2">
      <c r="A642" s="152" t="s">
        <v>1886</v>
      </c>
      <c r="B642" s="152">
        <v>2.97</v>
      </c>
      <c r="C642" s="151">
        <v>44600</v>
      </c>
      <c r="D642" s="152">
        <v>3.2931509999999999</v>
      </c>
      <c r="E642" s="152" t="s">
        <v>1325</v>
      </c>
      <c r="F642" s="152" t="s">
        <v>1326</v>
      </c>
      <c r="G642" s="152" t="s">
        <v>41</v>
      </c>
      <c r="H642" s="152"/>
      <c r="I642" s="151">
        <v>43321</v>
      </c>
      <c r="J642" s="152">
        <v>2.52</v>
      </c>
      <c r="K642" s="152" t="s">
        <v>1327</v>
      </c>
      <c r="L642" s="152" t="s">
        <v>1327</v>
      </c>
      <c r="M642" s="152" t="s">
        <v>1327</v>
      </c>
      <c r="N642" s="152" t="s">
        <v>1327</v>
      </c>
      <c r="O642" s="152">
        <v>2.6863709999999998</v>
      </c>
      <c r="P642" s="152">
        <v>49.535063000000001</v>
      </c>
      <c r="Q642" s="152">
        <v>2.6863709999999998</v>
      </c>
      <c r="R642" s="152" t="s">
        <v>1327</v>
      </c>
      <c r="S642" s="152">
        <v>100.872893</v>
      </c>
      <c r="T642" s="152">
        <v>0.63468500000000005</v>
      </c>
      <c r="U642" s="152">
        <v>3.0996760000000001</v>
      </c>
      <c r="V642" s="152">
        <v>11.432326</v>
      </c>
      <c r="W642" s="152">
        <v>1000</v>
      </c>
      <c r="X642" s="152" t="s">
        <v>23</v>
      </c>
      <c r="Y642" s="152" t="s">
        <v>1328</v>
      </c>
      <c r="Z642" s="152" t="s">
        <v>1327</v>
      </c>
    </row>
    <row r="643" spans="1:26" x14ac:dyDescent="0.2">
      <c r="A643" s="152" t="s">
        <v>1887</v>
      </c>
      <c r="B643" s="152">
        <v>4.5</v>
      </c>
      <c r="C643" s="151">
        <v>44779</v>
      </c>
      <c r="D643" s="152">
        <v>3.7835619999999999</v>
      </c>
      <c r="E643" s="152" t="s">
        <v>1325</v>
      </c>
      <c r="F643" s="152" t="s">
        <v>1326</v>
      </c>
      <c r="G643" s="152"/>
      <c r="H643" s="152"/>
      <c r="I643" s="151" t="s">
        <v>1327</v>
      </c>
      <c r="J643" s="152" t="s">
        <v>1327</v>
      </c>
      <c r="K643" s="152">
        <v>41362</v>
      </c>
      <c r="L643" s="152">
        <v>4.4139429999999997</v>
      </c>
      <c r="M643" s="152">
        <v>4.431095</v>
      </c>
      <c r="N643" s="152">
        <v>4.4000000000000004</v>
      </c>
      <c r="O643" s="152">
        <v>2.8514629999999999</v>
      </c>
      <c r="P643" s="152">
        <v>54.531807000000001</v>
      </c>
      <c r="Q643" s="152">
        <v>2.8514629999999999</v>
      </c>
      <c r="R643" s="152" t="s">
        <v>1327</v>
      </c>
      <c r="S643" s="152">
        <v>105.852721</v>
      </c>
      <c r="T643" s="152">
        <v>0.98630099999999998</v>
      </c>
      <c r="U643" s="152">
        <v>3.4513370000000001</v>
      </c>
      <c r="V643" s="152">
        <v>14.23147</v>
      </c>
      <c r="W643" s="152">
        <v>1000</v>
      </c>
      <c r="X643" s="152" t="s">
        <v>23</v>
      </c>
      <c r="Y643" s="152" t="s">
        <v>1328</v>
      </c>
      <c r="Z643" s="152" t="s">
        <v>1327</v>
      </c>
    </row>
    <row r="644" spans="1:26" x14ac:dyDescent="0.2">
      <c r="A644" s="152" t="s">
        <v>1888</v>
      </c>
      <c r="B644" s="152">
        <v>4.5</v>
      </c>
      <c r="C644" s="151">
        <v>44781</v>
      </c>
      <c r="D644" s="152">
        <v>3.7890410000000001</v>
      </c>
      <c r="E644" s="152" t="s">
        <v>1325</v>
      </c>
      <c r="F644" s="152" t="s">
        <v>1326</v>
      </c>
      <c r="G644" s="152"/>
      <c r="H644" s="152"/>
      <c r="I644" s="151" t="s">
        <v>1327</v>
      </c>
      <c r="J644" s="152" t="s">
        <v>1327</v>
      </c>
      <c r="K644" s="152">
        <v>41362</v>
      </c>
      <c r="L644" s="152">
        <v>4.4178139999999999</v>
      </c>
      <c r="M644" s="152">
        <v>4.4423919999999999</v>
      </c>
      <c r="N644" s="152">
        <v>4.4000000000000004</v>
      </c>
      <c r="O644" s="152">
        <v>2.8527230000000001</v>
      </c>
      <c r="P644" s="152">
        <v>54.589199999999998</v>
      </c>
      <c r="Q644" s="152">
        <v>2.8527230000000001</v>
      </c>
      <c r="R644" s="152" t="s">
        <v>1327</v>
      </c>
      <c r="S644" s="152">
        <v>105.85615199999999</v>
      </c>
      <c r="T644" s="152">
        <v>0.96164400000000005</v>
      </c>
      <c r="U644" s="152">
        <v>3.4567100000000002</v>
      </c>
      <c r="V644" s="152">
        <v>14.271236</v>
      </c>
      <c r="W644" s="152">
        <v>1000</v>
      </c>
      <c r="X644" s="152" t="s">
        <v>23</v>
      </c>
      <c r="Y644" s="152" t="s">
        <v>1328</v>
      </c>
      <c r="Z644" s="152" t="s">
        <v>1327</v>
      </c>
    </row>
    <row r="645" spans="1:26" x14ac:dyDescent="0.2">
      <c r="A645" s="152" t="s">
        <v>1889</v>
      </c>
      <c r="B645" s="152">
        <v>4.63</v>
      </c>
      <c r="C645" s="151">
        <v>44999</v>
      </c>
      <c r="D645" s="152">
        <v>4.3863009999999996</v>
      </c>
      <c r="E645" s="152" t="s">
        <v>1325</v>
      </c>
      <c r="F645" s="152" t="s">
        <v>1326</v>
      </c>
      <c r="G645" s="152" t="s">
        <v>41</v>
      </c>
      <c r="H645" s="152"/>
      <c r="I645" s="152">
        <v>43376</v>
      </c>
      <c r="J645" s="152">
        <v>2.87</v>
      </c>
      <c r="K645" s="152">
        <v>42307</v>
      </c>
      <c r="L645" s="152">
        <v>3.4</v>
      </c>
      <c r="M645" s="152">
        <v>4.1636490000000004</v>
      </c>
      <c r="N645" s="152">
        <v>3.4</v>
      </c>
      <c r="O645" s="152">
        <v>2.9682740000000001</v>
      </c>
      <c r="P645" s="152">
        <v>60.568576</v>
      </c>
      <c r="Q645" s="152">
        <v>2.9682740000000001</v>
      </c>
      <c r="R645" s="152" t="s">
        <v>1327</v>
      </c>
      <c r="S645" s="152">
        <v>106.79924800000001</v>
      </c>
      <c r="T645" s="152">
        <v>0.52008200000000004</v>
      </c>
      <c r="U645" s="152">
        <v>3.9537819999999999</v>
      </c>
      <c r="V645" s="152">
        <v>18.477815</v>
      </c>
      <c r="W645" s="152">
        <v>1000</v>
      </c>
      <c r="X645" s="152" t="s">
        <v>23</v>
      </c>
      <c r="Y645" s="152" t="s">
        <v>1328</v>
      </c>
      <c r="Z645" s="152" t="s">
        <v>1327</v>
      </c>
    </row>
    <row r="646" spans="1:26" x14ac:dyDescent="0.2">
      <c r="A646" s="152" t="s">
        <v>1890</v>
      </c>
      <c r="B646" s="152">
        <v>4.3899999999999997</v>
      </c>
      <c r="C646" s="151">
        <v>45056</v>
      </c>
      <c r="D646" s="152">
        <v>4.5424660000000001</v>
      </c>
      <c r="E646" s="152" t="s">
        <v>1325</v>
      </c>
      <c r="F646" s="152" t="s">
        <v>1326</v>
      </c>
      <c r="G646" s="152"/>
      <c r="H646" s="152"/>
      <c r="I646" s="152">
        <v>43039</v>
      </c>
      <c r="J646" s="152">
        <v>2.5</v>
      </c>
      <c r="K646" s="152" t="s">
        <v>1327</v>
      </c>
      <c r="L646" s="152" t="s">
        <v>1327</v>
      </c>
      <c r="M646" s="152" t="s">
        <v>1327</v>
      </c>
      <c r="N646" s="152" t="s">
        <v>1327</v>
      </c>
      <c r="O646" s="152">
        <v>3.0127510000000002</v>
      </c>
      <c r="P646" s="152">
        <v>63.438195999999998</v>
      </c>
      <c r="Q646" s="152">
        <v>3.0127510000000002</v>
      </c>
      <c r="R646" s="152" t="s">
        <v>1327</v>
      </c>
      <c r="S646" s="152">
        <v>105.788472</v>
      </c>
      <c r="T646" s="152">
        <v>2.0206029999999999</v>
      </c>
      <c r="U646" s="152">
        <v>4.0430739999999998</v>
      </c>
      <c r="V646" s="152">
        <v>19.517506999999998</v>
      </c>
      <c r="W646" s="152">
        <v>1000</v>
      </c>
      <c r="X646" s="152" t="s">
        <v>23</v>
      </c>
      <c r="Y646" s="152" t="s">
        <v>1328</v>
      </c>
      <c r="Z646" s="152" t="s">
        <v>1327</v>
      </c>
    </row>
    <row r="647" spans="1:26" x14ac:dyDescent="0.2">
      <c r="A647" s="152" t="s">
        <v>1891</v>
      </c>
      <c r="B647" s="152">
        <v>3.46</v>
      </c>
      <c r="C647" s="151">
        <v>45330</v>
      </c>
      <c r="D647" s="152">
        <v>5.2931509999999999</v>
      </c>
      <c r="E647" s="152" t="s">
        <v>1325</v>
      </c>
      <c r="F647" s="152" t="s">
        <v>1326</v>
      </c>
      <c r="G647" s="152" t="s">
        <v>41</v>
      </c>
      <c r="H647" s="152"/>
      <c r="I647" s="151">
        <v>43353</v>
      </c>
      <c r="J647" s="152">
        <v>2.96</v>
      </c>
      <c r="K647" s="152" t="s">
        <v>1327</v>
      </c>
      <c r="L647" s="152" t="s">
        <v>1327</v>
      </c>
      <c r="M647" s="152" t="s">
        <v>1327</v>
      </c>
      <c r="N647" s="152" t="s">
        <v>1327</v>
      </c>
      <c r="O647" s="152">
        <v>3.0919720000000002</v>
      </c>
      <c r="P647" s="152">
        <v>64.029745000000005</v>
      </c>
      <c r="Q647" s="152">
        <v>3.0919720000000002</v>
      </c>
      <c r="R647" s="152" t="s">
        <v>1327</v>
      </c>
      <c r="S647" s="152">
        <v>101.766008</v>
      </c>
      <c r="T647" s="152">
        <v>0.73939699999999997</v>
      </c>
      <c r="U647" s="152">
        <v>4.7769389999999996</v>
      </c>
      <c r="V647" s="152">
        <v>26.495415999999999</v>
      </c>
      <c r="W647" s="152">
        <v>1000</v>
      </c>
      <c r="X647" s="152" t="s">
        <v>23</v>
      </c>
      <c r="Y647" s="152" t="s">
        <v>1328</v>
      </c>
      <c r="Z647" s="152" t="s">
        <v>1327</v>
      </c>
    </row>
    <row r="648" spans="1:26" x14ac:dyDescent="0.2">
      <c r="A648" s="152" t="s">
        <v>1892</v>
      </c>
      <c r="B648" s="152">
        <v>3.95</v>
      </c>
      <c r="C648" s="151">
        <v>45833</v>
      </c>
      <c r="D648" s="152">
        <v>6.671233</v>
      </c>
      <c r="E648" s="152" t="s">
        <v>1325</v>
      </c>
      <c r="F648" s="152" t="s">
        <v>1326</v>
      </c>
      <c r="G648" s="152" t="s">
        <v>41</v>
      </c>
      <c r="H648" s="152"/>
      <c r="I648" s="152">
        <v>42788</v>
      </c>
      <c r="J648" s="152">
        <v>3.58</v>
      </c>
      <c r="K648" s="152" t="s">
        <v>1327</v>
      </c>
      <c r="L648" s="152" t="s">
        <v>1327</v>
      </c>
      <c r="M648" s="152" t="s">
        <v>1327</v>
      </c>
      <c r="N648" s="152" t="s">
        <v>1327</v>
      </c>
      <c r="O648" s="152">
        <v>3.2981910000000001</v>
      </c>
      <c r="P648" s="152">
        <v>69.506321</v>
      </c>
      <c r="Q648" s="152">
        <v>3.2981910000000001</v>
      </c>
      <c r="R648" s="152" t="s">
        <v>1327</v>
      </c>
      <c r="S648" s="152">
        <v>103.863592</v>
      </c>
      <c r="T648" s="152">
        <v>1.3202739999999999</v>
      </c>
      <c r="U648" s="152">
        <v>5.774966</v>
      </c>
      <c r="V648" s="152">
        <v>39.109091999999997</v>
      </c>
      <c r="W648" s="152">
        <v>1000</v>
      </c>
      <c r="X648" s="152" t="s">
        <v>23</v>
      </c>
      <c r="Y648" s="152" t="s">
        <v>1328</v>
      </c>
      <c r="Z648" s="152" t="s">
        <v>1327</v>
      </c>
    </row>
    <row r="649" spans="1:26" x14ac:dyDescent="0.2">
      <c r="A649" s="152" t="s">
        <v>1893</v>
      </c>
      <c r="B649" s="152">
        <v>2.99</v>
      </c>
      <c r="C649" s="151">
        <v>46197</v>
      </c>
      <c r="D649" s="152">
        <v>7.6684929999999998</v>
      </c>
      <c r="E649" s="152" t="s">
        <v>1325</v>
      </c>
      <c r="F649" s="152" t="s">
        <v>1326</v>
      </c>
      <c r="G649" s="152" t="s">
        <v>41</v>
      </c>
      <c r="H649" s="152"/>
      <c r="I649" s="151">
        <v>43354</v>
      </c>
      <c r="J649" s="152">
        <v>3.46</v>
      </c>
      <c r="K649" s="152" t="s">
        <v>1327</v>
      </c>
      <c r="L649" s="152" t="s">
        <v>1327</v>
      </c>
      <c r="M649" s="152" t="s">
        <v>1327</v>
      </c>
      <c r="N649" s="152" t="s">
        <v>1327</v>
      </c>
      <c r="O649" s="152">
        <v>3.5488309999999998</v>
      </c>
      <c r="P649" s="152">
        <v>85.298466000000005</v>
      </c>
      <c r="Q649" s="152">
        <v>3.5488309999999998</v>
      </c>
      <c r="R649" s="152" t="s">
        <v>1327</v>
      </c>
      <c r="S649" s="152">
        <v>96.271636000000001</v>
      </c>
      <c r="T649" s="152">
        <v>1.0075890000000001</v>
      </c>
      <c r="U649" s="152">
        <v>6.6992750000000001</v>
      </c>
      <c r="V649" s="152">
        <v>51.794482000000002</v>
      </c>
      <c r="W649" s="152">
        <v>1000</v>
      </c>
      <c r="X649" s="152" t="s">
        <v>23</v>
      </c>
      <c r="Y649" s="152" t="s">
        <v>1328</v>
      </c>
      <c r="Z649" s="152" t="s">
        <v>1327</v>
      </c>
    </row>
    <row r="650" spans="1:26" x14ac:dyDescent="0.2">
      <c r="A650" s="152" t="s">
        <v>1894</v>
      </c>
      <c r="B650" s="152">
        <v>3.14</v>
      </c>
      <c r="C650" s="151">
        <v>44712</v>
      </c>
      <c r="D650" s="152">
        <v>3.6</v>
      </c>
      <c r="E650" s="152" t="s">
        <v>1325</v>
      </c>
      <c r="F650" s="152" t="s">
        <v>1326</v>
      </c>
      <c r="G650" s="152"/>
      <c r="H650" s="152"/>
      <c r="I650" s="152">
        <v>43109</v>
      </c>
      <c r="J650" s="152">
        <v>2.7949999999999999</v>
      </c>
      <c r="K650" s="152" t="s">
        <v>1327</v>
      </c>
      <c r="L650" s="152" t="s">
        <v>1327</v>
      </c>
      <c r="M650" s="152" t="s">
        <v>1327</v>
      </c>
      <c r="N650" s="152" t="s">
        <v>1327</v>
      </c>
      <c r="O650" s="152">
        <v>3.34511</v>
      </c>
      <c r="P650" s="152">
        <v>107.243067</v>
      </c>
      <c r="Q650" s="152">
        <v>3.34511</v>
      </c>
      <c r="R650" s="152" t="s">
        <v>1327</v>
      </c>
      <c r="S650" s="152">
        <v>99.303629000000001</v>
      </c>
      <c r="T650" s="152">
        <v>1.2646029999999999</v>
      </c>
      <c r="U650" s="152">
        <v>3.332077</v>
      </c>
      <c r="V650" s="152">
        <v>13.213262</v>
      </c>
      <c r="W650" s="152">
        <v>1000</v>
      </c>
      <c r="X650" s="152" t="s">
        <v>23</v>
      </c>
      <c r="Y650" s="152" t="s">
        <v>1328</v>
      </c>
      <c r="Z650" s="152" t="s">
        <v>1327</v>
      </c>
    </row>
    <row r="651" spans="1:26" x14ac:dyDescent="0.2">
      <c r="A651" s="152" t="s">
        <v>531</v>
      </c>
      <c r="B651" s="152">
        <v>2.2200000000000002</v>
      </c>
      <c r="C651" s="151">
        <v>43640</v>
      </c>
      <c r="D651" s="152">
        <v>0.66301399999999999</v>
      </c>
      <c r="E651" s="152" t="s">
        <v>1325</v>
      </c>
      <c r="F651" s="152" t="s">
        <v>1326</v>
      </c>
      <c r="G651" s="152" t="s">
        <v>47</v>
      </c>
      <c r="H651" s="152"/>
      <c r="I651" s="151">
        <v>43395</v>
      </c>
      <c r="J651" s="152">
        <v>2.08</v>
      </c>
      <c r="K651" s="151" t="s">
        <v>1327</v>
      </c>
      <c r="L651" s="152" t="s">
        <v>1327</v>
      </c>
      <c r="M651" s="152" t="s">
        <v>1327</v>
      </c>
      <c r="N651" s="152" t="s">
        <v>1327</v>
      </c>
      <c r="O651" s="152">
        <v>2.0847769999999999</v>
      </c>
      <c r="P651" s="152">
        <v>31.086635000000001</v>
      </c>
      <c r="Q651" s="152">
        <v>2.0847769999999999</v>
      </c>
      <c r="R651" s="152" t="s">
        <v>1327</v>
      </c>
      <c r="S651" s="152">
        <v>100.08445</v>
      </c>
      <c r="T651" s="152">
        <v>0.74811000000000005</v>
      </c>
      <c r="U651" s="152">
        <v>0.65210100000000004</v>
      </c>
      <c r="V651" s="152">
        <v>0.750579</v>
      </c>
      <c r="W651" s="152">
        <v>1000</v>
      </c>
      <c r="X651" s="152" t="s">
        <v>23</v>
      </c>
      <c r="Y651" s="152" t="s">
        <v>1328</v>
      </c>
      <c r="Z651" s="152" t="s">
        <v>1327</v>
      </c>
    </row>
    <row r="652" spans="1:26" x14ac:dyDescent="0.2">
      <c r="A652" s="152" t="s">
        <v>590</v>
      </c>
      <c r="B652" s="152">
        <v>2.62</v>
      </c>
      <c r="C652" s="151">
        <v>44125</v>
      </c>
      <c r="D652" s="152">
        <v>1.991781</v>
      </c>
      <c r="E652" s="152" t="s">
        <v>1325</v>
      </c>
      <c r="F652" s="152" t="s">
        <v>1326</v>
      </c>
      <c r="G652" s="152" t="s">
        <v>47</v>
      </c>
      <c r="H652" s="152"/>
      <c r="I652" s="151">
        <v>43306</v>
      </c>
      <c r="J652" s="152">
        <v>2.21</v>
      </c>
      <c r="K652" s="152" t="s">
        <v>1327</v>
      </c>
      <c r="L652" s="152" t="s">
        <v>1327</v>
      </c>
      <c r="M652" s="152" t="s">
        <v>1327</v>
      </c>
      <c r="N652" s="152" t="s">
        <v>1327</v>
      </c>
      <c r="O652" s="152">
        <v>2.4709479999999999</v>
      </c>
      <c r="P652" s="152">
        <v>45.505972999999997</v>
      </c>
      <c r="Q652" s="152">
        <v>2.4709479999999999</v>
      </c>
      <c r="R652" s="152" t="s">
        <v>1327</v>
      </c>
      <c r="S652" s="152">
        <v>100.29077599999999</v>
      </c>
      <c r="T652" s="152">
        <v>2.8712000000000001E-2</v>
      </c>
      <c r="U652" s="152">
        <v>1.9254880000000001</v>
      </c>
      <c r="V652" s="152">
        <v>4.7008939999999999</v>
      </c>
      <c r="W652" s="152">
        <v>1000</v>
      </c>
      <c r="X652" s="152" t="s">
        <v>23</v>
      </c>
      <c r="Y652" s="152" t="s">
        <v>1328</v>
      </c>
      <c r="Z652" s="152" t="s">
        <v>1327</v>
      </c>
    </row>
    <row r="653" spans="1:26" x14ac:dyDescent="0.2">
      <c r="A653" s="152" t="s">
        <v>1895</v>
      </c>
      <c r="B653" s="152">
        <v>2.0499999999999998</v>
      </c>
      <c r="C653" s="151">
        <v>44291</v>
      </c>
      <c r="D653" s="152">
        <v>2.4465750000000002</v>
      </c>
      <c r="E653" s="152" t="s">
        <v>1325</v>
      </c>
      <c r="F653" s="152" t="s">
        <v>1326</v>
      </c>
      <c r="G653" s="152" t="s">
        <v>47</v>
      </c>
      <c r="H653" s="152"/>
      <c r="I653" s="151">
        <v>43357</v>
      </c>
      <c r="J653" s="152">
        <v>2.7</v>
      </c>
      <c r="K653" s="152" t="s">
        <v>1327</v>
      </c>
      <c r="L653" s="152" t="s">
        <v>1327</v>
      </c>
      <c r="M653" s="152" t="s">
        <v>1327</v>
      </c>
      <c r="N653" s="152" t="s">
        <v>1327</v>
      </c>
      <c r="O653" s="152">
        <v>2.6859510000000002</v>
      </c>
      <c r="P653" s="152">
        <v>63.718302000000001</v>
      </c>
      <c r="Q653" s="152">
        <v>2.6859510000000002</v>
      </c>
      <c r="R653" s="152" t="s">
        <v>1327</v>
      </c>
      <c r="S653" s="152">
        <v>98.507565999999997</v>
      </c>
      <c r="T653" s="152">
        <v>0.112329</v>
      </c>
      <c r="U653" s="152">
        <v>2.361443</v>
      </c>
      <c r="V653" s="152">
        <v>6.8133309999999998</v>
      </c>
      <c r="W653" s="152">
        <v>1000</v>
      </c>
      <c r="X653" s="152" t="s">
        <v>23</v>
      </c>
      <c r="Y653" s="152" t="s">
        <v>1328</v>
      </c>
      <c r="Z653" s="152" t="s">
        <v>1327</v>
      </c>
    </row>
    <row r="654" spans="1:26" x14ac:dyDescent="0.2">
      <c r="A654" s="152" t="s">
        <v>654</v>
      </c>
      <c r="B654" s="152">
        <v>2.52</v>
      </c>
      <c r="C654" s="151">
        <v>44371</v>
      </c>
      <c r="D654" s="152">
        <v>2.665753</v>
      </c>
      <c r="E654" s="152" t="s">
        <v>1325</v>
      </c>
      <c r="F654" s="152" t="s">
        <v>1326</v>
      </c>
      <c r="G654" s="152" t="s">
        <v>47</v>
      </c>
      <c r="H654" s="152"/>
      <c r="I654" s="151">
        <v>43087</v>
      </c>
      <c r="J654" s="152">
        <v>2.2400000000000002</v>
      </c>
      <c r="K654" s="151" t="s">
        <v>1327</v>
      </c>
      <c r="L654" s="152" t="s">
        <v>1327</v>
      </c>
      <c r="M654" s="152" t="s">
        <v>1327</v>
      </c>
      <c r="N654" s="152" t="s">
        <v>1327</v>
      </c>
      <c r="O654" s="152">
        <v>2.7092070000000001</v>
      </c>
      <c r="P654" s="152">
        <v>64.517785000000003</v>
      </c>
      <c r="Q654" s="152">
        <v>2.7092070000000001</v>
      </c>
      <c r="R654" s="152" t="s">
        <v>1327</v>
      </c>
      <c r="S654" s="152">
        <v>99.511470000000003</v>
      </c>
      <c r="T654" s="152">
        <v>0.84920499999999999</v>
      </c>
      <c r="U654" s="152">
        <v>2.5379139999999998</v>
      </c>
      <c r="V654" s="152">
        <v>7.8500329999999998</v>
      </c>
      <c r="W654" s="152">
        <v>1000</v>
      </c>
      <c r="X654" s="152" t="s">
        <v>23</v>
      </c>
      <c r="Y654" s="152" t="s">
        <v>1328</v>
      </c>
      <c r="Z654" s="152" t="s">
        <v>1327</v>
      </c>
    </row>
    <row r="655" spans="1:26" x14ac:dyDescent="0.2">
      <c r="A655" s="152" t="s">
        <v>591</v>
      </c>
      <c r="B655" s="152">
        <v>2.65</v>
      </c>
      <c r="C655" s="151">
        <v>44811</v>
      </c>
      <c r="D655" s="152">
        <v>3.8712330000000001</v>
      </c>
      <c r="E655" s="152" t="s">
        <v>1325</v>
      </c>
      <c r="F655" s="152" t="s">
        <v>1326</v>
      </c>
      <c r="G655" s="152" t="s">
        <v>47</v>
      </c>
      <c r="H655" s="152"/>
      <c r="I655" s="151">
        <v>43371</v>
      </c>
      <c r="J655" s="152">
        <v>2.85</v>
      </c>
      <c r="K655" s="152" t="s">
        <v>1327</v>
      </c>
      <c r="L655" s="152" t="s">
        <v>1327</v>
      </c>
      <c r="M655" s="152" t="s">
        <v>1327</v>
      </c>
      <c r="N655" s="152" t="s">
        <v>1327</v>
      </c>
      <c r="O655" s="152">
        <v>3.0334629999999998</v>
      </c>
      <c r="P655" s="152">
        <v>70.546443999999994</v>
      </c>
      <c r="Q655" s="152">
        <v>3.0334629999999998</v>
      </c>
      <c r="R655" s="152" t="s">
        <v>1327</v>
      </c>
      <c r="S655" s="152">
        <v>98.620531</v>
      </c>
      <c r="T655" s="152">
        <v>0.348493</v>
      </c>
      <c r="U655" s="152">
        <v>3.6293859999999998</v>
      </c>
      <c r="V655" s="152">
        <v>15.369043</v>
      </c>
      <c r="W655" s="152">
        <v>1000</v>
      </c>
      <c r="X655" s="152" t="s">
        <v>23</v>
      </c>
      <c r="Y655" s="152" t="s">
        <v>1328</v>
      </c>
      <c r="Z655" s="152" t="s">
        <v>1327</v>
      </c>
    </row>
    <row r="656" spans="1:26" x14ac:dyDescent="0.2">
      <c r="A656" s="152" t="s">
        <v>479</v>
      </c>
      <c r="B656" s="152">
        <v>2.46</v>
      </c>
      <c r="C656" s="151">
        <v>45021</v>
      </c>
      <c r="D656" s="152">
        <v>4.4465750000000002</v>
      </c>
      <c r="E656" s="152" t="s">
        <v>1325</v>
      </c>
      <c r="F656" s="152" t="s">
        <v>1326</v>
      </c>
      <c r="G656" s="152" t="s">
        <v>47</v>
      </c>
      <c r="H656" s="152"/>
      <c r="I656" s="152">
        <v>43392</v>
      </c>
      <c r="J656" s="152">
        <v>3.09</v>
      </c>
      <c r="K656" s="152" t="s">
        <v>1327</v>
      </c>
      <c r="L656" s="152" t="s">
        <v>1327</v>
      </c>
      <c r="M656" s="152" t="s">
        <v>1327</v>
      </c>
      <c r="N656" s="152" t="s">
        <v>1327</v>
      </c>
      <c r="O656" s="152">
        <v>3.0930680000000002</v>
      </c>
      <c r="P656" s="152">
        <v>71.490804999999995</v>
      </c>
      <c r="Q656" s="152">
        <v>3.0930680000000002</v>
      </c>
      <c r="R656" s="152" t="s">
        <v>1327</v>
      </c>
      <c r="S656" s="152">
        <v>97.392736999999997</v>
      </c>
      <c r="T656" s="152">
        <v>0.134795</v>
      </c>
      <c r="U656" s="152">
        <v>4.1632870000000004</v>
      </c>
      <c r="V656" s="152">
        <v>19.937729999999998</v>
      </c>
      <c r="W656" s="152">
        <v>1000</v>
      </c>
      <c r="X656" s="152" t="s">
        <v>23</v>
      </c>
      <c r="Y656" s="152" t="s">
        <v>1328</v>
      </c>
      <c r="Z656" s="152" t="s">
        <v>1327</v>
      </c>
    </row>
    <row r="657" spans="1:26" x14ac:dyDescent="0.2">
      <c r="A657" s="152" t="s">
        <v>1896</v>
      </c>
      <c r="B657" s="152">
        <v>3</v>
      </c>
      <c r="C657" s="151">
        <v>45101</v>
      </c>
      <c r="D657" s="152">
        <v>4.6657529999999996</v>
      </c>
      <c r="E657" s="152" t="s">
        <v>1325</v>
      </c>
      <c r="F657" s="152" t="s">
        <v>1326</v>
      </c>
      <c r="G657" s="152" t="s">
        <v>47</v>
      </c>
      <c r="H657" s="152"/>
      <c r="I657" s="152">
        <v>42837</v>
      </c>
      <c r="J657" s="152">
        <v>3.3</v>
      </c>
      <c r="K657" s="152" t="s">
        <v>1327</v>
      </c>
      <c r="L657" s="152" t="s">
        <v>1327</v>
      </c>
      <c r="M657" s="152" t="s">
        <v>1327</v>
      </c>
      <c r="N657" s="152" t="s">
        <v>1327</v>
      </c>
      <c r="O657" s="152">
        <v>3.1496059999999999</v>
      </c>
      <c r="P657" s="152">
        <v>75.111566999999994</v>
      </c>
      <c r="Q657" s="152">
        <v>3.1496059999999999</v>
      </c>
      <c r="R657" s="152" t="s">
        <v>1327</v>
      </c>
      <c r="S657" s="152">
        <v>99.349017000000003</v>
      </c>
      <c r="T657" s="152">
        <v>1.0109589999999999</v>
      </c>
      <c r="U657" s="152">
        <v>4.2759429999999998</v>
      </c>
      <c r="V657" s="152">
        <v>21.285889999999998</v>
      </c>
      <c r="W657" s="152">
        <v>1000</v>
      </c>
      <c r="X657" s="152" t="s">
        <v>23</v>
      </c>
      <c r="Y657" s="152" t="s">
        <v>1328</v>
      </c>
      <c r="Z657" s="152" t="s">
        <v>1327</v>
      </c>
    </row>
    <row r="658" spans="1:26" x14ac:dyDescent="0.2">
      <c r="A658" s="152" t="s">
        <v>1897</v>
      </c>
      <c r="B658" s="152">
        <v>3.1</v>
      </c>
      <c r="C658" s="151">
        <v>45542</v>
      </c>
      <c r="D658" s="152">
        <v>5.8739730000000003</v>
      </c>
      <c r="E658" s="152" t="s">
        <v>1325</v>
      </c>
      <c r="F658" s="152" t="s">
        <v>1326</v>
      </c>
      <c r="G658" s="152" t="s">
        <v>47</v>
      </c>
      <c r="H658" s="152"/>
      <c r="I658" s="151">
        <v>43390</v>
      </c>
      <c r="J658" s="152">
        <v>3.27</v>
      </c>
      <c r="K658" s="152" t="s">
        <v>1327</v>
      </c>
      <c r="L658" s="152" t="s">
        <v>1327</v>
      </c>
      <c r="M658" s="152" t="s">
        <v>1327</v>
      </c>
      <c r="N658" s="152" t="s">
        <v>1327</v>
      </c>
      <c r="O658" s="152">
        <v>3.300052</v>
      </c>
      <c r="P658" s="152">
        <v>78.211831000000004</v>
      </c>
      <c r="Q658" s="152">
        <v>3.300052</v>
      </c>
      <c r="R658" s="152" t="s">
        <v>1327</v>
      </c>
      <c r="S658" s="152">
        <v>98.951488999999995</v>
      </c>
      <c r="T658" s="152">
        <v>0.40767100000000001</v>
      </c>
      <c r="U658" s="152">
        <v>5.2948659999999999</v>
      </c>
      <c r="V658" s="152">
        <v>32.231037000000001</v>
      </c>
      <c r="W658" s="152">
        <v>1000</v>
      </c>
      <c r="X658" s="152" t="s">
        <v>23</v>
      </c>
      <c r="Y658" s="152" t="s">
        <v>1328</v>
      </c>
      <c r="Z658" s="152" t="s">
        <v>1327</v>
      </c>
    </row>
    <row r="659" spans="1:26" x14ac:dyDescent="0.2">
      <c r="A659" s="152" t="s">
        <v>1898</v>
      </c>
      <c r="B659" s="152">
        <v>3.01</v>
      </c>
      <c r="C659" s="151">
        <v>45752</v>
      </c>
      <c r="D659" s="152">
        <v>6.4493150000000004</v>
      </c>
      <c r="E659" s="152" t="s">
        <v>1325</v>
      </c>
      <c r="F659" s="152" t="s">
        <v>1326</v>
      </c>
      <c r="G659" s="152" t="s">
        <v>47</v>
      </c>
      <c r="H659" s="152"/>
      <c r="I659" s="151">
        <v>43384</v>
      </c>
      <c r="J659" s="152">
        <v>3.58</v>
      </c>
      <c r="K659" s="152" t="s">
        <v>1327</v>
      </c>
      <c r="L659" s="152" t="s">
        <v>1327</v>
      </c>
      <c r="M659" s="152" t="s">
        <v>1327</v>
      </c>
      <c r="N659" s="152" t="s">
        <v>1327</v>
      </c>
      <c r="O659" s="152">
        <v>3.5697920000000001</v>
      </c>
      <c r="P659" s="152">
        <v>98.827973999999998</v>
      </c>
      <c r="Q659" s="152">
        <v>3.5697920000000001</v>
      </c>
      <c r="R659" s="152" t="s">
        <v>1327</v>
      </c>
      <c r="S659" s="152">
        <v>96.805715000000006</v>
      </c>
      <c r="T659" s="152">
        <v>0.164932</v>
      </c>
      <c r="U659" s="152">
        <v>5.7814719999999999</v>
      </c>
      <c r="V659" s="152">
        <v>38.252777000000002</v>
      </c>
      <c r="W659" s="152">
        <v>1000</v>
      </c>
      <c r="X659" s="152" t="s">
        <v>23</v>
      </c>
      <c r="Y659" s="152" t="s">
        <v>1328</v>
      </c>
      <c r="Z659" s="152" t="s">
        <v>1327</v>
      </c>
    </row>
    <row r="660" spans="1:26" x14ac:dyDescent="0.2">
      <c r="A660" s="152" t="s">
        <v>1899</v>
      </c>
      <c r="B660" s="152">
        <v>3.78</v>
      </c>
      <c r="C660" s="151">
        <v>45951</v>
      </c>
      <c r="D660" s="152">
        <v>6.9945209999999998</v>
      </c>
      <c r="E660" s="152" t="s">
        <v>1325</v>
      </c>
      <c r="F660" s="152" t="s">
        <v>1326</v>
      </c>
      <c r="G660" s="152" t="s">
        <v>47</v>
      </c>
      <c r="H660" s="152"/>
      <c r="I660" s="151">
        <v>43256</v>
      </c>
      <c r="J660" s="152">
        <v>3.44</v>
      </c>
      <c r="K660" s="152" t="s">
        <v>1327</v>
      </c>
      <c r="L660" s="152" t="s">
        <v>1327</v>
      </c>
      <c r="M660" s="152" t="s">
        <v>1327</v>
      </c>
      <c r="N660" s="152" t="s">
        <v>1327</v>
      </c>
      <c r="O660" s="152">
        <v>3.7038199999999999</v>
      </c>
      <c r="P660" s="152">
        <v>107.10293</v>
      </c>
      <c r="Q660" s="152">
        <v>3.7038199999999999</v>
      </c>
      <c r="R660" s="152" t="s">
        <v>1327</v>
      </c>
      <c r="S660" s="152">
        <v>100.470012</v>
      </c>
      <c r="T660" s="152">
        <v>4.1424999999999997E-2</v>
      </c>
      <c r="U660" s="152">
        <v>6.0926169999999997</v>
      </c>
      <c r="V660" s="152">
        <v>42.982261999999999</v>
      </c>
      <c r="W660" s="152">
        <v>1000</v>
      </c>
      <c r="X660" s="152" t="s">
        <v>23</v>
      </c>
      <c r="Y660" s="152" t="s">
        <v>1328</v>
      </c>
      <c r="Z660" s="152" t="s">
        <v>1327</v>
      </c>
    </row>
    <row r="661" spans="1:26" x14ac:dyDescent="0.2">
      <c r="A661" s="152" t="s">
        <v>1900</v>
      </c>
      <c r="B661" s="152">
        <v>3.3</v>
      </c>
      <c r="C661" s="151">
        <v>46197</v>
      </c>
      <c r="D661" s="152">
        <v>7.6684929999999998</v>
      </c>
      <c r="E661" s="152" t="s">
        <v>1325</v>
      </c>
      <c r="F661" s="152" t="s">
        <v>1326</v>
      </c>
      <c r="G661" s="152" t="s">
        <v>47</v>
      </c>
      <c r="H661" s="152"/>
      <c r="I661" s="152">
        <v>42558</v>
      </c>
      <c r="J661" s="152">
        <v>3.2993619999999999</v>
      </c>
      <c r="K661" s="151" t="s">
        <v>1327</v>
      </c>
      <c r="L661" s="152" t="s">
        <v>1327</v>
      </c>
      <c r="M661" s="152" t="s">
        <v>1327</v>
      </c>
      <c r="N661" s="152" t="s">
        <v>1327</v>
      </c>
      <c r="O661" s="152">
        <v>3.911041</v>
      </c>
      <c r="P661" s="152">
        <v>122.547954</v>
      </c>
      <c r="Q661" s="152">
        <v>3.911041</v>
      </c>
      <c r="R661" s="152" t="s">
        <v>1327</v>
      </c>
      <c r="S661" s="152">
        <v>95.978981000000005</v>
      </c>
      <c r="T661" s="152">
        <v>1.112055</v>
      </c>
      <c r="U661" s="152">
        <v>6.6072730000000002</v>
      </c>
      <c r="V661" s="152">
        <v>50.792012999999997</v>
      </c>
      <c r="W661" s="152">
        <v>1000</v>
      </c>
      <c r="X661" s="152" t="s">
        <v>23</v>
      </c>
      <c r="Y661" s="152" t="s">
        <v>1328</v>
      </c>
      <c r="Z661" s="152" t="s">
        <v>1327</v>
      </c>
    </row>
    <row r="662" spans="1:26" x14ac:dyDescent="0.2">
      <c r="A662" s="152" t="s">
        <v>1901</v>
      </c>
      <c r="B662" s="152">
        <v>3.95</v>
      </c>
      <c r="C662" s="151">
        <v>46681</v>
      </c>
      <c r="D662" s="152">
        <v>8.9945210000000007</v>
      </c>
      <c r="E662" s="152" t="s">
        <v>1325</v>
      </c>
      <c r="F662" s="152" t="s">
        <v>1326</v>
      </c>
      <c r="G662" s="152" t="s">
        <v>47</v>
      </c>
      <c r="H662" s="152"/>
      <c r="I662" s="152" t="s">
        <v>1327</v>
      </c>
      <c r="J662" s="152" t="s">
        <v>1327</v>
      </c>
      <c r="K662" s="151" t="s">
        <v>1327</v>
      </c>
      <c r="L662" s="152" t="s">
        <v>1327</v>
      </c>
      <c r="M662" s="152" t="s">
        <v>1327</v>
      </c>
      <c r="N662" s="152" t="s">
        <v>1327</v>
      </c>
      <c r="O662" s="152">
        <v>4.0752540000000002</v>
      </c>
      <c r="P662" s="152">
        <v>128.86677900000001</v>
      </c>
      <c r="Q662" s="152">
        <v>4.0752540000000002</v>
      </c>
      <c r="R662" s="152" t="s">
        <v>1327</v>
      </c>
      <c r="S662" s="152">
        <v>99.070188999999999</v>
      </c>
      <c r="T662" s="152">
        <v>4.3288E-2</v>
      </c>
      <c r="U662" s="152">
        <v>7.4883040000000003</v>
      </c>
      <c r="V662" s="152">
        <v>65.762579000000002</v>
      </c>
      <c r="W662" s="152">
        <v>1000</v>
      </c>
      <c r="X662" s="152" t="s">
        <v>23</v>
      </c>
      <c r="Y662" s="152" t="s">
        <v>1328</v>
      </c>
      <c r="Z662" s="152" t="s">
        <v>1327</v>
      </c>
    </row>
    <row r="663" spans="1:26" x14ac:dyDescent="0.2">
      <c r="A663" s="152" t="s">
        <v>1902</v>
      </c>
      <c r="B663" s="152">
        <v>3.61</v>
      </c>
      <c r="C663" s="151">
        <v>46928</v>
      </c>
      <c r="D663" s="152">
        <v>9.6712330000000009</v>
      </c>
      <c r="E663" s="152" t="s">
        <v>1325</v>
      </c>
      <c r="F663" s="152" t="s">
        <v>1326</v>
      </c>
      <c r="G663" s="152" t="s">
        <v>47</v>
      </c>
      <c r="H663" s="152"/>
      <c r="I663" s="151">
        <v>42550</v>
      </c>
      <c r="J663" s="152">
        <v>3.609381</v>
      </c>
      <c r="K663" s="151" t="s">
        <v>1327</v>
      </c>
      <c r="L663" s="152" t="s">
        <v>1327</v>
      </c>
      <c r="M663" s="152" t="s">
        <v>1327</v>
      </c>
      <c r="N663" s="152" t="s">
        <v>1327</v>
      </c>
      <c r="O663" s="152">
        <v>4.1328259999999997</v>
      </c>
      <c r="P663" s="152">
        <v>136.23433199999999</v>
      </c>
      <c r="Q663" s="152">
        <v>4.1328259999999997</v>
      </c>
      <c r="R663" s="152" t="s">
        <v>1327</v>
      </c>
      <c r="S663" s="152">
        <v>95.859933999999996</v>
      </c>
      <c r="T663" s="152">
        <v>1.216521</v>
      </c>
      <c r="U663" s="152">
        <v>7.9416479999999998</v>
      </c>
      <c r="V663" s="152">
        <v>74.665784000000002</v>
      </c>
      <c r="W663" s="152">
        <v>1000</v>
      </c>
      <c r="X663" s="152" t="s">
        <v>23</v>
      </c>
      <c r="Y663" s="152" t="s">
        <v>1328</v>
      </c>
      <c r="Z663" s="152" t="s">
        <v>1327</v>
      </c>
    </row>
    <row r="664" spans="1:26" x14ac:dyDescent="0.2">
      <c r="A664" s="152" t="s">
        <v>1903</v>
      </c>
      <c r="B664" s="152">
        <v>3.61</v>
      </c>
      <c r="C664" s="151">
        <v>46928</v>
      </c>
      <c r="D664" s="152">
        <v>9.6712330000000009</v>
      </c>
      <c r="E664" s="152" t="s">
        <v>1325</v>
      </c>
      <c r="F664" s="152" t="s">
        <v>1326</v>
      </c>
      <c r="G664" s="152" t="s">
        <v>47</v>
      </c>
      <c r="H664" s="152"/>
      <c r="I664" s="151">
        <v>42598</v>
      </c>
      <c r="J664" s="152">
        <v>3.6</v>
      </c>
      <c r="K664" s="152" t="s">
        <v>1327</v>
      </c>
      <c r="L664" s="152" t="s">
        <v>1327</v>
      </c>
      <c r="M664" s="152" t="s">
        <v>1327</v>
      </c>
      <c r="N664" s="152" t="s">
        <v>1327</v>
      </c>
      <c r="O664" s="152">
        <v>4.1227419999999997</v>
      </c>
      <c r="P664" s="152">
        <v>135.20348000000001</v>
      </c>
      <c r="Q664" s="152">
        <v>4.1227419999999997</v>
      </c>
      <c r="R664" s="152" t="s">
        <v>1327</v>
      </c>
      <c r="S664" s="152">
        <v>95.937713000000002</v>
      </c>
      <c r="T664" s="152">
        <v>1.216521</v>
      </c>
      <c r="U664" s="152">
        <v>7.9428169999999998</v>
      </c>
      <c r="V664" s="152">
        <v>74.682416000000003</v>
      </c>
      <c r="W664" s="152">
        <v>1000</v>
      </c>
      <c r="X664" s="152" t="s">
        <v>23</v>
      </c>
      <c r="Y664" s="152" t="s">
        <v>1328</v>
      </c>
      <c r="Z664" s="152" t="s">
        <v>1327</v>
      </c>
    </row>
    <row r="665" spans="1:26" x14ac:dyDescent="0.2">
      <c r="A665" s="152" t="s">
        <v>1904</v>
      </c>
      <c r="B665" s="152">
        <v>2.81</v>
      </c>
      <c r="C665" s="151">
        <v>44123</v>
      </c>
      <c r="D665" s="152">
        <v>1.9863010000000001</v>
      </c>
      <c r="E665" s="152" t="s">
        <v>1325</v>
      </c>
      <c r="F665" s="152" t="s">
        <v>1326</v>
      </c>
      <c r="G665" s="152" t="s">
        <v>116</v>
      </c>
      <c r="H665" s="152"/>
      <c r="I665" s="151" t="s">
        <v>1327</v>
      </c>
      <c r="J665" s="152" t="s">
        <v>1327</v>
      </c>
      <c r="K665" s="152" t="s">
        <v>1327</v>
      </c>
      <c r="L665" s="152" t="s">
        <v>1327</v>
      </c>
      <c r="M665" s="152" t="s">
        <v>1327</v>
      </c>
      <c r="N665" s="152" t="s">
        <v>1327</v>
      </c>
      <c r="O665" s="152">
        <v>2.8148680000000001</v>
      </c>
      <c r="P665" s="152">
        <v>80.365934999999993</v>
      </c>
      <c r="Q665" s="152">
        <v>2.8148680000000001</v>
      </c>
      <c r="R665" s="152" t="s">
        <v>1327</v>
      </c>
      <c r="S665" s="152">
        <v>99.994191000000001</v>
      </c>
      <c r="T665" s="152">
        <v>4.6191999999999997E-2</v>
      </c>
      <c r="U665" s="152">
        <v>1.914067</v>
      </c>
      <c r="V665" s="152">
        <v>4.6526339999999999</v>
      </c>
      <c r="W665" s="152">
        <v>1000</v>
      </c>
      <c r="X665" s="152" t="s">
        <v>23</v>
      </c>
      <c r="Y665" s="152" t="s">
        <v>1328</v>
      </c>
      <c r="Z665" s="152" t="s">
        <v>1327</v>
      </c>
    </row>
    <row r="666" spans="1:26" x14ac:dyDescent="0.2">
      <c r="A666" s="152" t="s">
        <v>1905</v>
      </c>
      <c r="B666" s="152">
        <v>3.12</v>
      </c>
      <c r="C666" s="151">
        <v>44488</v>
      </c>
      <c r="D666" s="152">
        <v>2.9863010000000001</v>
      </c>
      <c r="E666" s="152" t="s">
        <v>1325</v>
      </c>
      <c r="F666" s="152" t="s">
        <v>1326</v>
      </c>
      <c r="G666" s="152" t="s">
        <v>116</v>
      </c>
      <c r="H666" s="152"/>
      <c r="I666" s="151" t="s">
        <v>1327</v>
      </c>
      <c r="J666" s="152" t="s">
        <v>1327</v>
      </c>
      <c r="K666" s="152" t="s">
        <v>1327</v>
      </c>
      <c r="L666" s="152" t="s">
        <v>1327</v>
      </c>
      <c r="M666" s="152" t="s">
        <v>1327</v>
      </c>
      <c r="N666" s="152" t="s">
        <v>1327</v>
      </c>
      <c r="O666" s="152">
        <v>3.1190329999999999</v>
      </c>
      <c r="P666" s="152">
        <v>101.31262</v>
      </c>
      <c r="Q666" s="152">
        <v>3.1190329999999999</v>
      </c>
      <c r="R666" s="152" t="s">
        <v>1327</v>
      </c>
      <c r="S666" s="152">
        <v>100.006593</v>
      </c>
      <c r="T666" s="152">
        <v>5.1288E-2</v>
      </c>
      <c r="U666" s="152">
        <v>2.8252630000000001</v>
      </c>
      <c r="V666" s="152">
        <v>9.5626270000000009</v>
      </c>
      <c r="W666" s="152">
        <v>1000</v>
      </c>
      <c r="X666" s="152" t="s">
        <v>23</v>
      </c>
      <c r="Y666" s="152" t="s">
        <v>1328</v>
      </c>
      <c r="Z666" s="152" t="s">
        <v>1327</v>
      </c>
    </row>
    <row r="667" spans="1:26" x14ac:dyDescent="0.2">
      <c r="A667" s="152" t="s">
        <v>1906</v>
      </c>
      <c r="B667" s="152">
        <v>3.49</v>
      </c>
      <c r="C667" s="151">
        <v>45218</v>
      </c>
      <c r="D667" s="152">
        <v>4.9863010000000001</v>
      </c>
      <c r="E667" s="152" t="s">
        <v>1325</v>
      </c>
      <c r="F667" s="152" t="s">
        <v>1326</v>
      </c>
      <c r="G667" s="152" t="s">
        <v>116</v>
      </c>
      <c r="H667" s="152"/>
      <c r="I667" s="151" t="s">
        <v>1327</v>
      </c>
      <c r="J667" s="152" t="s">
        <v>1327</v>
      </c>
      <c r="K667" s="152" t="s">
        <v>1327</v>
      </c>
      <c r="L667" s="152" t="s">
        <v>1327</v>
      </c>
      <c r="M667" s="152" t="s">
        <v>1327</v>
      </c>
      <c r="N667" s="152" t="s">
        <v>1327</v>
      </c>
      <c r="O667" s="152">
        <v>3.4935649999999998</v>
      </c>
      <c r="P667" s="152">
        <v>107.330195</v>
      </c>
      <c r="Q667" s="152">
        <v>3.4935649999999998</v>
      </c>
      <c r="R667" s="152" t="s">
        <v>1327</v>
      </c>
      <c r="S667" s="152">
        <v>99.98809</v>
      </c>
      <c r="T667" s="152">
        <v>5.7369999999999997E-2</v>
      </c>
      <c r="U667" s="152">
        <v>4.5341909999999999</v>
      </c>
      <c r="V667" s="152">
        <v>23.7987</v>
      </c>
      <c r="W667" s="152">
        <v>1000</v>
      </c>
      <c r="X667" s="152" t="s">
        <v>23</v>
      </c>
      <c r="Y667" s="152" t="s">
        <v>1328</v>
      </c>
      <c r="Z667" s="152" t="s">
        <v>1327</v>
      </c>
    </row>
    <row r="668" spans="1:26" x14ac:dyDescent="0.2">
      <c r="A668" s="152" t="s">
        <v>1907</v>
      </c>
      <c r="B668" s="152">
        <v>4.3600000000000003</v>
      </c>
      <c r="C668" s="151">
        <v>47045</v>
      </c>
      <c r="D668" s="152">
        <v>9.9917809999999996</v>
      </c>
      <c r="E668" s="152" t="s">
        <v>1325</v>
      </c>
      <c r="F668" s="152" t="s">
        <v>1326</v>
      </c>
      <c r="G668" s="152" t="s">
        <v>116</v>
      </c>
      <c r="H668" s="152"/>
      <c r="I668" s="151" t="s">
        <v>1327</v>
      </c>
      <c r="J668" s="152" t="s">
        <v>1327</v>
      </c>
      <c r="K668" s="152" t="s">
        <v>1327</v>
      </c>
      <c r="L668" s="152" t="s">
        <v>1327</v>
      </c>
      <c r="M668" s="152" t="s">
        <v>1327</v>
      </c>
      <c r="N668" s="152" t="s">
        <v>1327</v>
      </c>
      <c r="O668" s="152">
        <v>4.3527550000000002</v>
      </c>
      <c r="P668" s="152">
        <v>158.097992</v>
      </c>
      <c r="Q668" s="152">
        <v>4.3527550000000002</v>
      </c>
      <c r="R668" s="152" t="s">
        <v>1327</v>
      </c>
      <c r="S668" s="152">
        <v>100.06332399999999</v>
      </c>
      <c r="T668" s="152">
        <v>7.1670999999999999E-2</v>
      </c>
      <c r="U668" s="152">
        <v>8.0189299999999992</v>
      </c>
      <c r="V668" s="152">
        <v>76.675483999999997</v>
      </c>
      <c r="W668" s="152">
        <v>1000</v>
      </c>
      <c r="X668" s="152" t="s">
        <v>23</v>
      </c>
      <c r="Y668" s="152" t="s">
        <v>1328</v>
      </c>
      <c r="Z668" s="152" t="s">
        <v>1327</v>
      </c>
    </row>
    <row r="669" spans="1:26" x14ac:dyDescent="0.2">
      <c r="A669" s="152" t="s">
        <v>240</v>
      </c>
      <c r="B669" s="152">
        <v>4.59</v>
      </c>
      <c r="C669" s="151">
        <v>43454</v>
      </c>
      <c r="D669" s="152">
        <v>0.15342500000000001</v>
      </c>
      <c r="E669" s="152" t="s">
        <v>1325</v>
      </c>
      <c r="F669" s="152" t="s">
        <v>1326</v>
      </c>
      <c r="G669" s="152" t="s">
        <v>51</v>
      </c>
      <c r="H669" s="152"/>
      <c r="I669" s="151">
        <v>43333</v>
      </c>
      <c r="J669" s="152">
        <v>1.52</v>
      </c>
      <c r="K669" s="152">
        <v>41453</v>
      </c>
      <c r="L669" s="152">
        <v>4.062748</v>
      </c>
      <c r="M669" s="152">
        <v>5.3158599999999998</v>
      </c>
      <c r="N669" s="152">
        <v>4.062748</v>
      </c>
      <c r="O669" s="152">
        <v>1.5990819999999999</v>
      </c>
      <c r="P669" s="152">
        <v>21.439505</v>
      </c>
      <c r="Q669" s="152">
        <v>1.5990819999999999</v>
      </c>
      <c r="R669" s="152" t="s">
        <v>1327</v>
      </c>
      <c r="S669" s="152">
        <v>100.448266</v>
      </c>
      <c r="T669" s="152">
        <v>1.5970679999999999</v>
      </c>
      <c r="U669" s="152">
        <v>0.15220800000000001</v>
      </c>
      <c r="V669" s="152">
        <v>9.8667000000000005E-2</v>
      </c>
      <c r="W669" s="152">
        <v>1000</v>
      </c>
      <c r="X669" s="152" t="s">
        <v>23</v>
      </c>
      <c r="Y669" s="152" t="s">
        <v>1328</v>
      </c>
      <c r="Z669" s="152" t="s">
        <v>1327</v>
      </c>
    </row>
    <row r="670" spans="1:26" x14ac:dyDescent="0.2">
      <c r="A670" s="152" t="s">
        <v>1908</v>
      </c>
      <c r="B670" s="152">
        <v>4.97</v>
      </c>
      <c r="C670" s="151">
        <v>44550</v>
      </c>
      <c r="D670" s="152">
        <v>3.156164</v>
      </c>
      <c r="E670" s="152" t="s">
        <v>1325</v>
      </c>
      <c r="F670" s="152" t="s">
        <v>1326</v>
      </c>
      <c r="G670" s="152" t="s">
        <v>51</v>
      </c>
      <c r="H670" s="152"/>
      <c r="I670" s="151">
        <v>43355</v>
      </c>
      <c r="J670" s="152">
        <v>2.65</v>
      </c>
      <c r="K670" s="152">
        <v>41698</v>
      </c>
      <c r="L670" s="152">
        <v>4.9765329999999999</v>
      </c>
      <c r="M670" s="152">
        <v>5.3827759999999998</v>
      </c>
      <c r="N670" s="152">
        <v>4.9765329999999999</v>
      </c>
      <c r="O670" s="152">
        <v>2.7358440000000002</v>
      </c>
      <c r="P670" s="152">
        <v>59.121513</v>
      </c>
      <c r="Q670" s="152">
        <v>2.7358440000000002</v>
      </c>
      <c r="R670" s="152" t="s">
        <v>1327</v>
      </c>
      <c r="S670" s="152">
        <v>106.695671</v>
      </c>
      <c r="T670" s="152">
        <v>1.7292879999999999</v>
      </c>
      <c r="U670" s="152">
        <v>2.8797009999999998</v>
      </c>
      <c r="V670" s="152">
        <v>10.15719</v>
      </c>
      <c r="W670" s="152">
        <v>1000</v>
      </c>
      <c r="X670" s="152" t="s">
        <v>23</v>
      </c>
      <c r="Y670" s="152" t="s">
        <v>1328</v>
      </c>
      <c r="Z670" s="152" t="s">
        <v>1327</v>
      </c>
    </row>
    <row r="671" spans="1:26" x14ac:dyDescent="0.2">
      <c r="A671" s="152" t="s">
        <v>1909</v>
      </c>
      <c r="B671" s="152">
        <v>3.95</v>
      </c>
      <c r="C671" s="151">
        <v>48730</v>
      </c>
      <c r="D671" s="152">
        <v>14.608219</v>
      </c>
      <c r="E671" s="152" t="s">
        <v>1355</v>
      </c>
      <c r="F671" s="152" t="s">
        <v>1326</v>
      </c>
      <c r="G671" s="152" t="s">
        <v>116</v>
      </c>
      <c r="H671" s="152"/>
      <c r="I671" s="151">
        <v>43356</v>
      </c>
      <c r="J671" s="152">
        <v>4.13</v>
      </c>
      <c r="K671" s="152" t="s">
        <v>1327</v>
      </c>
      <c r="L671" s="152" t="s">
        <v>1327</v>
      </c>
      <c r="M671" s="152" t="s">
        <v>1327</v>
      </c>
      <c r="N671" s="152" t="s">
        <v>1327</v>
      </c>
      <c r="O671" s="152">
        <v>4.2116360000000004</v>
      </c>
      <c r="P671" s="152">
        <v>135.53983600000001</v>
      </c>
      <c r="Q671" s="152">
        <v>4.2116360000000004</v>
      </c>
      <c r="R671" s="152" t="s">
        <v>1327</v>
      </c>
      <c r="S671" s="152">
        <v>98.329877999999994</v>
      </c>
      <c r="T671" s="152">
        <v>1.590822</v>
      </c>
      <c r="U671" s="152">
        <v>6.3553030000000001</v>
      </c>
      <c r="V671" s="152">
        <v>60.223638999999999</v>
      </c>
      <c r="W671" s="152">
        <v>1000</v>
      </c>
      <c r="X671" s="152" t="s">
        <v>23</v>
      </c>
      <c r="Y671" s="152" t="s">
        <v>1328</v>
      </c>
      <c r="Z671" s="152" t="s">
        <v>1327</v>
      </c>
    </row>
    <row r="672" spans="1:26" x14ac:dyDescent="0.2">
      <c r="A672" s="152" t="s">
        <v>1910</v>
      </c>
      <c r="B672" s="152">
        <v>3.95</v>
      </c>
      <c r="C672" s="151">
        <v>48730</v>
      </c>
      <c r="D672" s="152">
        <v>14.608219</v>
      </c>
      <c r="E672" s="152" t="s">
        <v>1355</v>
      </c>
      <c r="F672" s="152" t="s">
        <v>1326</v>
      </c>
      <c r="G672" s="152" t="s">
        <v>116</v>
      </c>
      <c r="H672" s="152"/>
      <c r="I672" s="151">
        <v>43326</v>
      </c>
      <c r="J672" s="152">
        <v>4</v>
      </c>
      <c r="K672" s="152" t="s">
        <v>1327</v>
      </c>
      <c r="L672" s="152" t="s">
        <v>1327</v>
      </c>
      <c r="M672" s="152" t="s">
        <v>1327</v>
      </c>
      <c r="N672" s="152" t="s">
        <v>1327</v>
      </c>
      <c r="O672" s="152">
        <v>4.2039169999999997</v>
      </c>
      <c r="P672" s="152">
        <v>134.74065400000001</v>
      </c>
      <c r="Q672" s="152">
        <v>4.2039169999999997</v>
      </c>
      <c r="R672" s="152" t="s">
        <v>1327</v>
      </c>
      <c r="S672" s="152">
        <v>98.378913999999995</v>
      </c>
      <c r="T672" s="152">
        <v>1.590822</v>
      </c>
      <c r="U672" s="152">
        <v>6.3568340000000001</v>
      </c>
      <c r="V672" s="152">
        <v>60.246831999999998</v>
      </c>
      <c r="W672" s="152">
        <v>1000</v>
      </c>
      <c r="X672" s="152" t="s">
        <v>23</v>
      </c>
      <c r="Y672" s="152" t="s">
        <v>1328</v>
      </c>
      <c r="Z672" s="152" t="s">
        <v>1327</v>
      </c>
    </row>
    <row r="673" spans="1:26" x14ac:dyDescent="0.2">
      <c r="A673" s="152" t="s">
        <v>532</v>
      </c>
      <c r="B673" s="152">
        <v>2.5499999999999998</v>
      </c>
      <c r="C673" s="151">
        <v>43548</v>
      </c>
      <c r="D673" s="152">
        <v>0.41095900000000002</v>
      </c>
      <c r="E673" s="152" t="s">
        <v>1325</v>
      </c>
      <c r="F673" s="152" t="s">
        <v>1326</v>
      </c>
      <c r="G673" s="152" t="s">
        <v>51</v>
      </c>
      <c r="H673" s="152"/>
      <c r="I673" s="151">
        <v>43383</v>
      </c>
      <c r="J673" s="152">
        <v>2.0299999999999998</v>
      </c>
      <c r="K673" s="152" t="s">
        <v>1327</v>
      </c>
      <c r="L673" s="152" t="s">
        <v>1327</v>
      </c>
      <c r="M673" s="152" t="s">
        <v>1327</v>
      </c>
      <c r="N673" s="152" t="s">
        <v>1327</v>
      </c>
      <c r="O673" s="152">
        <v>2.0731269999999999</v>
      </c>
      <c r="P673" s="152">
        <v>38.376173999999999</v>
      </c>
      <c r="Q673" s="152">
        <v>2.0731269999999999</v>
      </c>
      <c r="R673" s="152" t="s">
        <v>1327</v>
      </c>
      <c r="S673" s="152">
        <v>100.203661</v>
      </c>
      <c r="T673" s="152">
        <v>0.21657499999999999</v>
      </c>
      <c r="U673" s="152">
        <v>0.40674300000000002</v>
      </c>
      <c r="V673" s="152">
        <v>0.36672500000000002</v>
      </c>
      <c r="W673" s="152">
        <v>1000</v>
      </c>
      <c r="X673" s="152" t="s">
        <v>23</v>
      </c>
      <c r="Y673" s="152" t="s">
        <v>1328</v>
      </c>
      <c r="Z673" s="152" t="s">
        <v>1327</v>
      </c>
    </row>
    <row r="674" spans="1:26" x14ac:dyDescent="0.2">
      <c r="A674" s="152" t="s">
        <v>533</v>
      </c>
      <c r="B674" s="152">
        <v>2.34</v>
      </c>
      <c r="C674" s="151">
        <v>43715</v>
      </c>
      <c r="D674" s="152">
        <v>0.86849299999999996</v>
      </c>
      <c r="E674" s="152" t="s">
        <v>1325</v>
      </c>
      <c r="F674" s="152" t="s">
        <v>1326</v>
      </c>
      <c r="G674" s="152" t="s">
        <v>51</v>
      </c>
      <c r="H674" s="152"/>
      <c r="I674" s="151">
        <v>43392</v>
      </c>
      <c r="J674" s="152">
        <v>2.19</v>
      </c>
      <c r="K674" s="152" t="s">
        <v>1327</v>
      </c>
      <c r="L674" s="152" t="s">
        <v>1327</v>
      </c>
      <c r="M674" s="152" t="s">
        <v>1327</v>
      </c>
      <c r="N674" s="152" t="s">
        <v>1327</v>
      </c>
      <c r="O674" s="152">
        <v>2.2010260000000001</v>
      </c>
      <c r="P674" s="152">
        <v>39.722743999999999</v>
      </c>
      <c r="Q674" s="152">
        <v>2.2010260000000001</v>
      </c>
      <c r="R674" s="152" t="s">
        <v>1327</v>
      </c>
      <c r="S674" s="152">
        <v>100.126699</v>
      </c>
      <c r="T674" s="152">
        <v>0.307726</v>
      </c>
      <c r="U674" s="152">
        <v>0.84925899999999999</v>
      </c>
      <c r="V674" s="152">
        <v>1.144042</v>
      </c>
      <c r="W674" s="152">
        <v>1000</v>
      </c>
      <c r="X674" s="152" t="s">
        <v>23</v>
      </c>
      <c r="Y674" s="152" t="s">
        <v>1328</v>
      </c>
      <c r="Z674" s="152" t="s">
        <v>1327</v>
      </c>
    </row>
    <row r="675" spans="1:26" x14ac:dyDescent="0.2">
      <c r="A675" s="152" t="s">
        <v>592</v>
      </c>
      <c r="B675" s="152">
        <v>3</v>
      </c>
      <c r="C675" s="151">
        <v>43914</v>
      </c>
      <c r="D675" s="152">
        <v>1.413699</v>
      </c>
      <c r="E675" s="152" t="s">
        <v>1325</v>
      </c>
      <c r="F675" s="152" t="s">
        <v>1326</v>
      </c>
      <c r="G675" s="152" t="s">
        <v>51</v>
      </c>
      <c r="H675" s="152"/>
      <c r="I675" s="151">
        <v>43392</v>
      </c>
      <c r="J675" s="152">
        <v>2.5499999999999998</v>
      </c>
      <c r="K675" s="152" t="s">
        <v>1327</v>
      </c>
      <c r="L675" s="152" t="s">
        <v>1327</v>
      </c>
      <c r="M675" s="152" t="s">
        <v>1327</v>
      </c>
      <c r="N675" s="152" t="s">
        <v>1327</v>
      </c>
      <c r="O675" s="152">
        <v>2.5500569999999998</v>
      </c>
      <c r="P675" s="152">
        <v>65.671711000000002</v>
      </c>
      <c r="Q675" s="152">
        <v>2.5500569999999998</v>
      </c>
      <c r="R675" s="152" t="s">
        <v>1327</v>
      </c>
      <c r="S675" s="152">
        <v>100.630633</v>
      </c>
      <c r="T675" s="152">
        <v>0.25479499999999999</v>
      </c>
      <c r="U675" s="152">
        <v>1.3714930000000001</v>
      </c>
      <c r="V675" s="152">
        <v>2.575523</v>
      </c>
      <c r="W675" s="152">
        <v>1000</v>
      </c>
      <c r="X675" s="152" t="s">
        <v>23</v>
      </c>
      <c r="Y675" s="152" t="s">
        <v>1328</v>
      </c>
      <c r="Z675" s="152" t="s">
        <v>1327</v>
      </c>
    </row>
    <row r="676" spans="1:26" x14ac:dyDescent="0.2">
      <c r="A676" s="152" t="s">
        <v>242</v>
      </c>
      <c r="B676" s="152">
        <v>2.71</v>
      </c>
      <c r="C676" s="151">
        <v>43990</v>
      </c>
      <c r="D676" s="152">
        <v>1.621918</v>
      </c>
      <c r="E676" s="152" t="s">
        <v>1325</v>
      </c>
      <c r="F676" s="152" t="s">
        <v>1326</v>
      </c>
      <c r="G676" s="152" t="s">
        <v>51</v>
      </c>
      <c r="H676" s="152"/>
      <c r="I676" s="151">
        <v>43383</v>
      </c>
      <c r="J676" s="152">
        <v>2.5299999999999998</v>
      </c>
      <c r="K676" s="152" t="s">
        <v>1327</v>
      </c>
      <c r="L676" s="152" t="s">
        <v>1327</v>
      </c>
      <c r="M676" s="152" t="s">
        <v>1327</v>
      </c>
      <c r="N676" s="152" t="s">
        <v>1327</v>
      </c>
      <c r="O676" s="152">
        <v>2.612441</v>
      </c>
      <c r="P676" s="152">
        <v>66.649122000000006</v>
      </c>
      <c r="Q676" s="152">
        <v>2.612441</v>
      </c>
      <c r="R676" s="152" t="s">
        <v>1327</v>
      </c>
      <c r="S676" s="152">
        <v>100.148495</v>
      </c>
      <c r="T676" s="152">
        <v>1.032027</v>
      </c>
      <c r="U676" s="152">
        <v>1.5604579999999999</v>
      </c>
      <c r="V676" s="152">
        <v>3.2489379999999999</v>
      </c>
      <c r="W676" s="152">
        <v>1000</v>
      </c>
      <c r="X676" s="152" t="s">
        <v>23</v>
      </c>
      <c r="Y676" s="152" t="s">
        <v>1328</v>
      </c>
      <c r="Z676" s="152" t="s">
        <v>1327</v>
      </c>
    </row>
    <row r="677" spans="1:26" x14ac:dyDescent="0.2">
      <c r="A677" s="152" t="s">
        <v>1911</v>
      </c>
      <c r="B677" s="152">
        <v>2.96</v>
      </c>
      <c r="C677" s="151">
        <v>44279</v>
      </c>
      <c r="D677" s="152">
        <v>2.4136989999999998</v>
      </c>
      <c r="E677" s="152" t="s">
        <v>1325</v>
      </c>
      <c r="F677" s="152" t="s">
        <v>1326</v>
      </c>
      <c r="G677" s="152" t="s">
        <v>51</v>
      </c>
      <c r="H677" s="152"/>
      <c r="I677" s="151" t="s">
        <v>1327</v>
      </c>
      <c r="J677" s="152" t="s">
        <v>1327</v>
      </c>
      <c r="K677" s="152" t="s">
        <v>1327</v>
      </c>
      <c r="L677" s="152" t="s">
        <v>1327</v>
      </c>
      <c r="M677" s="152" t="s">
        <v>1327</v>
      </c>
      <c r="N677" s="152" t="s">
        <v>1327</v>
      </c>
      <c r="O677" s="152">
        <v>2.7466900000000001</v>
      </c>
      <c r="P677" s="152">
        <v>70.214108999999993</v>
      </c>
      <c r="Q677" s="152">
        <v>2.7466900000000001</v>
      </c>
      <c r="R677" s="152" t="s">
        <v>1327</v>
      </c>
      <c r="S677" s="152">
        <v>100.505037</v>
      </c>
      <c r="T677" s="152">
        <v>0.25139699999999998</v>
      </c>
      <c r="U677" s="152">
        <v>2.3076189999999999</v>
      </c>
      <c r="V677" s="152">
        <v>6.5633419999999996</v>
      </c>
      <c r="W677" s="152">
        <v>1000</v>
      </c>
      <c r="X677" s="152" t="s">
        <v>23</v>
      </c>
      <c r="Y677" s="152" t="s">
        <v>1328</v>
      </c>
      <c r="Z677" s="152" t="s">
        <v>1327</v>
      </c>
    </row>
    <row r="678" spans="1:26" x14ac:dyDescent="0.2">
      <c r="A678" s="152" t="s">
        <v>481</v>
      </c>
      <c r="B678" s="152">
        <v>2.69</v>
      </c>
      <c r="C678" s="151">
        <v>44446</v>
      </c>
      <c r="D678" s="152">
        <v>2.8712330000000001</v>
      </c>
      <c r="E678" s="152" t="s">
        <v>1325</v>
      </c>
      <c r="F678" s="152" t="s">
        <v>1326</v>
      </c>
      <c r="G678" s="152" t="s">
        <v>51</v>
      </c>
      <c r="H678" s="152"/>
      <c r="I678" s="151">
        <v>43286</v>
      </c>
      <c r="J678" s="152">
        <v>2.2599999999999998</v>
      </c>
      <c r="K678" s="152" t="s">
        <v>1327</v>
      </c>
      <c r="L678" s="152" t="s">
        <v>1327</v>
      </c>
      <c r="M678" s="152" t="s">
        <v>1327</v>
      </c>
      <c r="N678" s="152" t="s">
        <v>1327</v>
      </c>
      <c r="O678" s="152">
        <v>2.8470209999999998</v>
      </c>
      <c r="P678" s="152">
        <v>75.395615000000006</v>
      </c>
      <c r="Q678" s="152">
        <v>2.8470209999999998</v>
      </c>
      <c r="R678" s="152" t="s">
        <v>1327</v>
      </c>
      <c r="S678" s="152">
        <v>99.580184000000003</v>
      </c>
      <c r="T678" s="152">
        <v>0.35375299999999998</v>
      </c>
      <c r="U678" s="152">
        <v>2.7275</v>
      </c>
      <c r="V678" s="152">
        <v>8.9503219999999999</v>
      </c>
      <c r="W678" s="152">
        <v>1000</v>
      </c>
      <c r="X678" s="152" t="s">
        <v>23</v>
      </c>
      <c r="Y678" s="152" t="s">
        <v>1328</v>
      </c>
      <c r="Z678" s="152" t="s">
        <v>1327</v>
      </c>
    </row>
    <row r="679" spans="1:26" x14ac:dyDescent="0.2">
      <c r="A679" s="152" t="s">
        <v>1912</v>
      </c>
      <c r="B679" s="152">
        <v>3.06</v>
      </c>
      <c r="C679" s="151">
        <v>44538</v>
      </c>
      <c r="D679" s="152">
        <v>3.1232880000000001</v>
      </c>
      <c r="E679" s="152" t="s">
        <v>1325</v>
      </c>
      <c r="F679" s="152" t="s">
        <v>1326</v>
      </c>
      <c r="G679" s="152" t="s">
        <v>51</v>
      </c>
      <c r="H679" s="152"/>
      <c r="I679" s="151">
        <v>43178</v>
      </c>
      <c r="J679" s="152">
        <v>2.0550000000000002</v>
      </c>
      <c r="K679" s="152" t="s">
        <v>1327</v>
      </c>
      <c r="L679" s="152" t="s">
        <v>1327</v>
      </c>
      <c r="M679" s="152" t="s">
        <v>1327</v>
      </c>
      <c r="N679" s="152" t="s">
        <v>1327</v>
      </c>
      <c r="O679" s="152">
        <v>2.8869069999999999</v>
      </c>
      <c r="P679" s="152">
        <v>74.855834999999999</v>
      </c>
      <c r="Q679" s="152">
        <v>2.8869069999999999</v>
      </c>
      <c r="R679" s="152" t="s">
        <v>1327</v>
      </c>
      <c r="S679" s="152">
        <v>100.506799</v>
      </c>
      <c r="T679" s="152">
        <v>1.1653150000000001</v>
      </c>
      <c r="U679" s="152">
        <v>2.9245519999999998</v>
      </c>
      <c r="V679" s="152">
        <v>10.297636000000001</v>
      </c>
      <c r="W679" s="152">
        <v>1000</v>
      </c>
      <c r="X679" s="152" t="s">
        <v>23</v>
      </c>
      <c r="Y679" s="152" t="s">
        <v>1328</v>
      </c>
      <c r="Z679" s="152" t="s">
        <v>1327</v>
      </c>
    </row>
    <row r="680" spans="1:26" x14ac:dyDescent="0.2">
      <c r="A680" s="152" t="s">
        <v>655</v>
      </c>
      <c r="B680" s="152">
        <v>3.26</v>
      </c>
      <c r="C680" s="151">
        <v>44644</v>
      </c>
      <c r="D680" s="152">
        <v>3.4136989999999998</v>
      </c>
      <c r="E680" s="152" t="s">
        <v>1325</v>
      </c>
      <c r="F680" s="152" t="s">
        <v>1326</v>
      </c>
      <c r="G680" s="152" t="s">
        <v>51</v>
      </c>
      <c r="H680" s="152"/>
      <c r="I680" s="152">
        <v>43353</v>
      </c>
      <c r="J680" s="152">
        <v>2.68</v>
      </c>
      <c r="K680" s="152" t="s">
        <v>1327</v>
      </c>
      <c r="L680" s="152" t="s">
        <v>1327</v>
      </c>
      <c r="M680" s="152" t="s">
        <v>1327</v>
      </c>
      <c r="N680" s="152" t="s">
        <v>1327</v>
      </c>
      <c r="O680" s="152">
        <v>2.9748950000000001</v>
      </c>
      <c r="P680" s="152">
        <v>74.936975000000004</v>
      </c>
      <c r="Q680" s="152">
        <v>2.9748950000000001</v>
      </c>
      <c r="R680" s="152" t="s">
        <v>1327</v>
      </c>
      <c r="S680" s="152">
        <v>100.929934</v>
      </c>
      <c r="T680" s="152">
        <v>0.27687699999999998</v>
      </c>
      <c r="U680" s="152">
        <v>3.2003080000000002</v>
      </c>
      <c r="V680" s="152">
        <v>12.138434999999999</v>
      </c>
      <c r="W680" s="152">
        <v>1000</v>
      </c>
      <c r="X680" s="152" t="s">
        <v>23</v>
      </c>
      <c r="Y680" s="152" t="s">
        <v>1328</v>
      </c>
      <c r="Z680" s="152" t="s">
        <v>1327</v>
      </c>
    </row>
    <row r="681" spans="1:26" x14ac:dyDescent="0.2">
      <c r="A681" s="152" t="s">
        <v>482</v>
      </c>
      <c r="B681" s="152">
        <v>3.07</v>
      </c>
      <c r="C681" s="151">
        <v>45176</v>
      </c>
      <c r="D681" s="152">
        <v>4.8712330000000001</v>
      </c>
      <c r="E681" s="152" t="s">
        <v>1325</v>
      </c>
      <c r="F681" s="152" t="s">
        <v>1326</v>
      </c>
      <c r="G681" s="152" t="s">
        <v>51</v>
      </c>
      <c r="H681" s="152"/>
      <c r="I681" s="151">
        <v>43138</v>
      </c>
      <c r="J681" s="152">
        <v>2.5499999999999998</v>
      </c>
      <c r="K681" s="152" t="s">
        <v>1327</v>
      </c>
      <c r="L681" s="152" t="s">
        <v>1327</v>
      </c>
      <c r="M681" s="152" t="s">
        <v>1327</v>
      </c>
      <c r="N681" s="152" t="s">
        <v>1327</v>
      </c>
      <c r="O681" s="152">
        <v>3.1536650000000002</v>
      </c>
      <c r="P681" s="152">
        <v>73.315762000000007</v>
      </c>
      <c r="Q681" s="152">
        <v>3.1536650000000002</v>
      </c>
      <c r="R681" s="152" t="s">
        <v>1327</v>
      </c>
      <c r="S681" s="152">
        <v>99.635672</v>
      </c>
      <c r="T681" s="152">
        <v>0.40372599999999997</v>
      </c>
      <c r="U681" s="152">
        <v>4.4663839999999997</v>
      </c>
      <c r="V681" s="152">
        <v>23.060489</v>
      </c>
      <c r="W681" s="152">
        <v>1000</v>
      </c>
      <c r="X681" s="152" t="s">
        <v>23</v>
      </c>
      <c r="Y681" s="152" t="s">
        <v>1328</v>
      </c>
      <c r="Z681" s="152" t="s">
        <v>1327</v>
      </c>
    </row>
    <row r="682" spans="1:26" x14ac:dyDescent="0.2">
      <c r="A682" s="152" t="s">
        <v>1913</v>
      </c>
      <c r="B682" s="152">
        <v>3.77</v>
      </c>
      <c r="C682" s="151">
        <v>45268</v>
      </c>
      <c r="D682" s="152">
        <v>5.1232879999999996</v>
      </c>
      <c r="E682" s="152" t="s">
        <v>1325</v>
      </c>
      <c r="F682" s="152" t="s">
        <v>1326</v>
      </c>
      <c r="G682" s="152" t="s">
        <v>51</v>
      </c>
      <c r="H682" s="152"/>
      <c r="I682" s="151">
        <v>43195</v>
      </c>
      <c r="J682" s="152">
        <v>2.54</v>
      </c>
      <c r="K682" s="152" t="s">
        <v>1327</v>
      </c>
      <c r="L682" s="152" t="s">
        <v>1327</v>
      </c>
      <c r="M682" s="152" t="s">
        <v>1327</v>
      </c>
      <c r="N682" s="152" t="s">
        <v>1327</v>
      </c>
      <c r="O682" s="152">
        <v>3.177921</v>
      </c>
      <c r="P682" s="152">
        <v>74.425417999999993</v>
      </c>
      <c r="Q682" s="152">
        <v>3.177921</v>
      </c>
      <c r="R682" s="152" t="s">
        <v>1327</v>
      </c>
      <c r="S682" s="152">
        <v>102.769792</v>
      </c>
      <c r="T682" s="152">
        <v>1.4356990000000001</v>
      </c>
      <c r="U682" s="152">
        <v>4.5748300000000004</v>
      </c>
      <c r="V682" s="152">
        <v>24.589538000000001</v>
      </c>
      <c r="W682" s="152">
        <v>1000</v>
      </c>
      <c r="X682" s="152" t="s">
        <v>23</v>
      </c>
      <c r="Y682" s="152" t="s">
        <v>1328</v>
      </c>
      <c r="Z682" s="152" t="s">
        <v>1327</v>
      </c>
    </row>
    <row r="683" spans="1:26" x14ac:dyDescent="0.2">
      <c r="A683" s="152" t="s">
        <v>593</v>
      </c>
      <c r="B683" s="152">
        <v>3.85</v>
      </c>
      <c r="C683" s="151">
        <v>45375</v>
      </c>
      <c r="D683" s="152">
        <v>5.4164380000000003</v>
      </c>
      <c r="E683" s="152" t="s">
        <v>1325</v>
      </c>
      <c r="F683" s="152" t="s">
        <v>1326</v>
      </c>
      <c r="G683" s="152" t="s">
        <v>51</v>
      </c>
      <c r="H683" s="152"/>
      <c r="I683" s="151">
        <v>43286</v>
      </c>
      <c r="J683" s="152">
        <v>2.9</v>
      </c>
      <c r="K683" s="152" t="s">
        <v>1327</v>
      </c>
      <c r="L683" s="152" t="s">
        <v>1327</v>
      </c>
      <c r="M683" s="152" t="s">
        <v>1327</v>
      </c>
      <c r="N683" s="152" t="s">
        <v>1327</v>
      </c>
      <c r="O683" s="152">
        <v>3.27041</v>
      </c>
      <c r="P683" s="152">
        <v>80.960486000000003</v>
      </c>
      <c r="Q683" s="152">
        <v>3.27041</v>
      </c>
      <c r="R683" s="152" t="s">
        <v>1327</v>
      </c>
      <c r="S683" s="152">
        <v>102.866595</v>
      </c>
      <c r="T683" s="152">
        <v>0.326986</v>
      </c>
      <c r="U683" s="152">
        <v>4.8491309999999999</v>
      </c>
      <c r="V683" s="152">
        <v>27.331651999999998</v>
      </c>
      <c r="W683" s="152">
        <v>1000</v>
      </c>
      <c r="X683" s="152" t="s">
        <v>23</v>
      </c>
      <c r="Y683" s="152" t="s">
        <v>1328</v>
      </c>
      <c r="Z683" s="152" t="s">
        <v>1327</v>
      </c>
    </row>
    <row r="684" spans="1:26" x14ac:dyDescent="0.2">
      <c r="A684" s="152" t="s">
        <v>1914</v>
      </c>
      <c r="B684" s="152">
        <v>4.09</v>
      </c>
      <c r="C684" s="151">
        <v>45999</v>
      </c>
      <c r="D684" s="152">
        <v>7.1260269999999997</v>
      </c>
      <c r="E684" s="152" t="s">
        <v>1325</v>
      </c>
      <c r="F684" s="152" t="s">
        <v>1326</v>
      </c>
      <c r="G684" s="152" t="s">
        <v>51</v>
      </c>
      <c r="H684" s="152"/>
      <c r="I684" s="151">
        <v>43346</v>
      </c>
      <c r="J684" s="152">
        <v>3.95</v>
      </c>
      <c r="K684" s="152" t="s">
        <v>1327</v>
      </c>
      <c r="L684" s="152" t="s">
        <v>1327</v>
      </c>
      <c r="M684" s="152" t="s">
        <v>1327</v>
      </c>
      <c r="N684" s="152" t="s">
        <v>1327</v>
      </c>
      <c r="O684" s="152">
        <v>3.9411960000000001</v>
      </c>
      <c r="P684" s="152">
        <v>130.48741100000001</v>
      </c>
      <c r="Q684" s="152">
        <v>3.9411960000000001</v>
      </c>
      <c r="R684" s="152" t="s">
        <v>1327</v>
      </c>
      <c r="S684" s="152">
        <v>100.90682099999999</v>
      </c>
      <c r="T684" s="152">
        <v>1.5575619999999999</v>
      </c>
      <c r="U684" s="152">
        <v>6.0410959999999996</v>
      </c>
      <c r="V684" s="152">
        <v>43.136358999999999</v>
      </c>
      <c r="W684" s="152">
        <v>1000</v>
      </c>
      <c r="X684" s="152" t="s">
        <v>23</v>
      </c>
      <c r="Y684" s="152" t="s">
        <v>1328</v>
      </c>
      <c r="Z684" s="152" t="s">
        <v>1327</v>
      </c>
    </row>
    <row r="685" spans="1:26" x14ac:dyDescent="0.2">
      <c r="A685" s="152" t="s">
        <v>1915</v>
      </c>
      <c r="B685" s="152">
        <v>3.8</v>
      </c>
      <c r="C685" s="151">
        <v>46272</v>
      </c>
      <c r="D685" s="152">
        <v>7.8739730000000003</v>
      </c>
      <c r="E685" s="152" t="s">
        <v>1325</v>
      </c>
      <c r="F685" s="152" t="s">
        <v>1326</v>
      </c>
      <c r="G685" s="152" t="s">
        <v>51</v>
      </c>
      <c r="H685" s="152"/>
      <c r="I685" s="151">
        <v>43360</v>
      </c>
      <c r="J685" s="152">
        <v>3.56</v>
      </c>
      <c r="K685" s="151" t="s">
        <v>1327</v>
      </c>
      <c r="L685" s="152" t="s">
        <v>1327</v>
      </c>
      <c r="M685" s="152" t="s">
        <v>1327</v>
      </c>
      <c r="N685" s="152" t="s">
        <v>1327</v>
      </c>
      <c r="O685" s="152">
        <v>3.6231080000000002</v>
      </c>
      <c r="P685" s="152">
        <v>91.887698</v>
      </c>
      <c r="Q685" s="152">
        <v>3.6231080000000002</v>
      </c>
      <c r="R685" s="152" t="s">
        <v>1327</v>
      </c>
      <c r="S685" s="152">
        <v>101.213384</v>
      </c>
      <c r="T685" s="152">
        <v>0.499726</v>
      </c>
      <c r="U685" s="152">
        <v>6.7231240000000003</v>
      </c>
      <c r="V685" s="152">
        <v>52.695475000000002</v>
      </c>
      <c r="W685" s="152">
        <v>1000</v>
      </c>
      <c r="X685" s="152" t="s">
        <v>23</v>
      </c>
      <c r="Y685" s="152" t="s">
        <v>1328</v>
      </c>
      <c r="Z685" s="152" t="s">
        <v>1327</v>
      </c>
    </row>
    <row r="686" spans="1:26" x14ac:dyDescent="0.2">
      <c r="A686" s="152" t="s">
        <v>1916</v>
      </c>
      <c r="B686" s="152">
        <v>4.2699999999999996</v>
      </c>
      <c r="C686" s="151">
        <v>46364</v>
      </c>
      <c r="D686" s="152">
        <v>8.1260270000000006</v>
      </c>
      <c r="E686" s="152" t="s">
        <v>1325</v>
      </c>
      <c r="F686" s="152" t="s">
        <v>1326</v>
      </c>
      <c r="G686" s="152" t="s">
        <v>51</v>
      </c>
      <c r="H686" s="152"/>
      <c r="I686" s="151">
        <v>43392</v>
      </c>
      <c r="J686" s="152">
        <v>4.12</v>
      </c>
      <c r="K686" s="151" t="s">
        <v>1327</v>
      </c>
      <c r="L686" s="152" t="s">
        <v>1327</v>
      </c>
      <c r="M686" s="152" t="s">
        <v>1327</v>
      </c>
      <c r="N686" s="152" t="s">
        <v>1327</v>
      </c>
      <c r="O686" s="152">
        <v>4.1229719999999999</v>
      </c>
      <c r="P686" s="152">
        <v>141.48444900000001</v>
      </c>
      <c r="Q686" s="152">
        <v>4.1229719999999999</v>
      </c>
      <c r="R686" s="152" t="s">
        <v>1327</v>
      </c>
      <c r="S686" s="152">
        <v>100.99609100000001</v>
      </c>
      <c r="T686" s="152">
        <v>1.6261099999999999</v>
      </c>
      <c r="U686" s="152">
        <v>6.7071490000000002</v>
      </c>
      <c r="V686" s="152">
        <v>53.626550000000002</v>
      </c>
      <c r="W686" s="152">
        <v>1000</v>
      </c>
      <c r="X686" s="152" t="s">
        <v>23</v>
      </c>
      <c r="Y686" s="152" t="s">
        <v>1328</v>
      </c>
      <c r="Z686" s="152" t="s">
        <v>1327</v>
      </c>
    </row>
    <row r="687" spans="1:26" x14ac:dyDescent="0.2">
      <c r="A687" s="152" t="s">
        <v>1917</v>
      </c>
      <c r="B687" s="152">
        <v>4.4000000000000004</v>
      </c>
      <c r="C687" s="151">
        <v>46470</v>
      </c>
      <c r="D687" s="152">
        <v>8.4164379999999994</v>
      </c>
      <c r="E687" s="152" t="s">
        <v>1325</v>
      </c>
      <c r="F687" s="152" t="s">
        <v>1326</v>
      </c>
      <c r="G687" s="152" t="s">
        <v>51</v>
      </c>
      <c r="H687" s="152"/>
      <c r="I687" s="151">
        <v>43195</v>
      </c>
      <c r="J687" s="152">
        <v>3.53</v>
      </c>
      <c r="K687" s="152" t="s">
        <v>1327</v>
      </c>
      <c r="L687" s="152" t="s">
        <v>1327</v>
      </c>
      <c r="M687" s="152" t="s">
        <v>1327</v>
      </c>
      <c r="N687" s="152" t="s">
        <v>1327</v>
      </c>
      <c r="O687" s="152">
        <v>3.9359999999999999</v>
      </c>
      <c r="P687" s="152">
        <v>119.59830100000001</v>
      </c>
      <c r="Q687" s="152">
        <v>3.9359999999999999</v>
      </c>
      <c r="R687" s="152" t="s">
        <v>1327</v>
      </c>
      <c r="S687" s="152">
        <v>103.310124</v>
      </c>
      <c r="T687" s="152">
        <v>0.373699</v>
      </c>
      <c r="U687" s="152">
        <v>6.9818499999999997</v>
      </c>
      <c r="V687" s="152">
        <v>57.575456000000003</v>
      </c>
      <c r="W687" s="152">
        <v>1000</v>
      </c>
      <c r="X687" s="152" t="s">
        <v>23</v>
      </c>
      <c r="Y687" s="152" t="s">
        <v>1328</v>
      </c>
      <c r="Z687" s="152" t="s">
        <v>1327</v>
      </c>
    </row>
    <row r="688" spans="1:26" x14ac:dyDescent="0.2">
      <c r="A688" s="152" t="s">
        <v>1918</v>
      </c>
      <c r="B688" s="152">
        <v>2.42</v>
      </c>
      <c r="C688" s="151">
        <v>44432</v>
      </c>
      <c r="D688" s="152">
        <v>2.8328769999999999</v>
      </c>
      <c r="E688" s="152" t="s">
        <v>1325</v>
      </c>
      <c r="F688" s="152" t="s">
        <v>1326</v>
      </c>
      <c r="G688" s="152" t="s">
        <v>302</v>
      </c>
      <c r="H688" s="152"/>
      <c r="I688" s="151" t="s">
        <v>1327</v>
      </c>
      <c r="J688" s="152" t="s">
        <v>1327</v>
      </c>
      <c r="K688" s="152" t="s">
        <v>1327</v>
      </c>
      <c r="L688" s="152" t="s">
        <v>1327</v>
      </c>
      <c r="M688" s="152" t="s">
        <v>1327</v>
      </c>
      <c r="N688" s="152" t="s">
        <v>1327</v>
      </c>
      <c r="O688" s="152">
        <v>2.569585</v>
      </c>
      <c r="P688" s="152">
        <v>48.620412999999999</v>
      </c>
      <c r="Q688" s="152">
        <v>2.569585</v>
      </c>
      <c r="R688" s="152" t="s">
        <v>1327</v>
      </c>
      <c r="S688" s="152">
        <v>99.581965999999994</v>
      </c>
      <c r="T688" s="152">
        <v>0.41106799999999999</v>
      </c>
      <c r="U688" s="152">
        <v>2.7109390000000002</v>
      </c>
      <c r="V688" s="152">
        <v>8.8388069999999992</v>
      </c>
      <c r="W688" s="152">
        <v>1000</v>
      </c>
      <c r="X688" s="152" t="s">
        <v>23</v>
      </c>
      <c r="Y688" s="152" t="s">
        <v>1328</v>
      </c>
      <c r="Z688" s="152" t="s">
        <v>1327</v>
      </c>
    </row>
    <row r="689" spans="1:26" x14ac:dyDescent="0.2">
      <c r="A689" s="152" t="s">
        <v>1919</v>
      </c>
      <c r="B689" s="152">
        <v>5.4</v>
      </c>
      <c r="C689" s="151">
        <v>43686</v>
      </c>
      <c r="D689" s="152">
        <v>0.78904099999999999</v>
      </c>
      <c r="E689" s="152" t="s">
        <v>1325</v>
      </c>
      <c r="F689" s="152" t="s">
        <v>1326</v>
      </c>
      <c r="G689" s="152"/>
      <c r="H689" s="152"/>
      <c r="I689" s="151" t="s">
        <v>1327</v>
      </c>
      <c r="J689" s="152" t="s">
        <v>1327</v>
      </c>
      <c r="K689" s="152" t="s">
        <v>1327</v>
      </c>
      <c r="L689" s="152" t="s">
        <v>1327</v>
      </c>
      <c r="M689" s="152" t="s">
        <v>1327</v>
      </c>
      <c r="N689" s="152" t="s">
        <v>1327</v>
      </c>
      <c r="O689" s="152">
        <v>5.5935410000000001</v>
      </c>
      <c r="P689" s="152">
        <v>392.67734400000001</v>
      </c>
      <c r="Q689" s="152">
        <v>5.5935410000000001</v>
      </c>
      <c r="R689" s="152" t="s">
        <v>1327</v>
      </c>
      <c r="S689" s="152">
        <v>99.838858000000002</v>
      </c>
      <c r="T689" s="152">
        <v>1.139178</v>
      </c>
      <c r="U689" s="152">
        <v>0.76063400000000003</v>
      </c>
      <c r="V689" s="152">
        <v>0.777003</v>
      </c>
      <c r="W689" s="152">
        <v>20000000</v>
      </c>
      <c r="X689" s="152" t="s">
        <v>23</v>
      </c>
      <c r="Y689" s="152" t="s">
        <v>1328</v>
      </c>
      <c r="Z689" s="152" t="s">
        <v>1327</v>
      </c>
    </row>
    <row r="690" spans="1:26" x14ac:dyDescent="0.2">
      <c r="A690" s="152" t="s">
        <v>1920</v>
      </c>
      <c r="B690" s="152">
        <v>0</v>
      </c>
      <c r="C690" s="151">
        <v>43643</v>
      </c>
      <c r="D690" s="152">
        <v>0.67123299999999997</v>
      </c>
      <c r="E690" s="152" t="s">
        <v>1325</v>
      </c>
      <c r="F690" s="152" t="s">
        <v>1326</v>
      </c>
      <c r="G690" s="152"/>
      <c r="H690" s="152"/>
      <c r="I690" s="151">
        <v>43279</v>
      </c>
      <c r="J690" s="152">
        <v>1.9</v>
      </c>
      <c r="K690" s="152" t="s">
        <v>1327</v>
      </c>
      <c r="L690" s="152" t="s">
        <v>1327</v>
      </c>
      <c r="M690" s="152" t="s">
        <v>1327</v>
      </c>
      <c r="N690" s="152" t="s">
        <v>1327</v>
      </c>
      <c r="O690" s="152">
        <v>2.1287560000000001</v>
      </c>
      <c r="P690" s="152">
        <v>34.479629000000003</v>
      </c>
      <c r="Q690" s="152">
        <v>2.1287560000000001</v>
      </c>
      <c r="R690" s="152" t="s">
        <v>1327</v>
      </c>
      <c r="S690" s="152">
        <v>98.591239000000002</v>
      </c>
      <c r="T690" s="152">
        <v>0</v>
      </c>
      <c r="U690" s="152">
        <v>0.66177699999999995</v>
      </c>
      <c r="V690" s="152">
        <v>0.87589700000000004</v>
      </c>
      <c r="W690" s="152">
        <v>1000</v>
      </c>
      <c r="X690" s="152" t="s">
        <v>23</v>
      </c>
      <c r="Y690" s="152" t="s">
        <v>1921</v>
      </c>
      <c r="Z690" s="152" t="s">
        <v>1327</v>
      </c>
    </row>
    <row r="691" spans="1:26" x14ac:dyDescent="0.2">
      <c r="A691" s="152" t="s">
        <v>1922</v>
      </c>
      <c r="B691" s="152">
        <v>4.7</v>
      </c>
      <c r="C691" s="151">
        <v>43407</v>
      </c>
      <c r="D691" s="152">
        <v>2.4657999999999999E-2</v>
      </c>
      <c r="E691" s="152" t="s">
        <v>1325</v>
      </c>
      <c r="F691" s="152" t="s">
        <v>1326</v>
      </c>
      <c r="G691" s="152" t="s">
        <v>47</v>
      </c>
      <c r="H691" s="152"/>
      <c r="I691" s="151">
        <v>43236</v>
      </c>
      <c r="J691" s="152">
        <v>1.5425</v>
      </c>
      <c r="K691" s="152">
        <v>41698</v>
      </c>
      <c r="L691" s="152">
        <v>4.3232140000000001</v>
      </c>
      <c r="M691" s="152">
        <v>4.8258530000000004</v>
      </c>
      <c r="N691" s="152">
        <v>4.3232140000000001</v>
      </c>
      <c r="O691" s="152">
        <v>1.322695</v>
      </c>
      <c r="P691" s="152">
        <v>17.200658000000001</v>
      </c>
      <c r="Q691" s="152">
        <v>1.322695</v>
      </c>
      <c r="R691" s="152" t="s">
        <v>1327</v>
      </c>
      <c r="S691" s="152">
        <v>100.073295</v>
      </c>
      <c r="T691" s="152">
        <v>1.068767</v>
      </c>
      <c r="U691" s="152">
        <v>2.4576000000000001E-2</v>
      </c>
      <c r="V691" s="152">
        <v>6.7279999999999996E-3</v>
      </c>
      <c r="W691" s="152">
        <v>1000</v>
      </c>
      <c r="X691" s="152" t="s">
        <v>23</v>
      </c>
      <c r="Y691" s="152" t="s">
        <v>1328</v>
      </c>
      <c r="Z691" s="152" t="s">
        <v>1327</v>
      </c>
    </row>
    <row r="692" spans="1:26" x14ac:dyDescent="0.2">
      <c r="A692" s="152" t="s">
        <v>244</v>
      </c>
      <c r="B692" s="152">
        <v>3.52</v>
      </c>
      <c r="C692" s="151">
        <v>43783</v>
      </c>
      <c r="D692" s="152">
        <v>1.0547949999999999</v>
      </c>
      <c r="E692" s="152" t="s">
        <v>1325</v>
      </c>
      <c r="F692" s="152" t="s">
        <v>1326</v>
      </c>
      <c r="G692" s="152" t="s">
        <v>47</v>
      </c>
      <c r="H692" s="152"/>
      <c r="I692" s="151">
        <v>43250</v>
      </c>
      <c r="J692" s="152">
        <v>1.75</v>
      </c>
      <c r="K692" s="152" t="s">
        <v>1327</v>
      </c>
      <c r="L692" s="152" t="s">
        <v>1327</v>
      </c>
      <c r="M692" s="152" t="s">
        <v>1327</v>
      </c>
      <c r="N692" s="152" t="s">
        <v>1327</v>
      </c>
      <c r="O692" s="152">
        <v>2.0442719999999999</v>
      </c>
      <c r="P692" s="152">
        <v>23.438005</v>
      </c>
      <c r="Q692" s="152">
        <v>2.0442719999999999</v>
      </c>
      <c r="R692" s="152" t="s">
        <v>1327</v>
      </c>
      <c r="S692" s="152">
        <v>101.516854</v>
      </c>
      <c r="T692" s="152">
        <v>1.5815889999999999</v>
      </c>
      <c r="U692" s="152">
        <v>1.018888</v>
      </c>
      <c r="V692" s="152">
        <v>1.56263</v>
      </c>
      <c r="W692" s="152">
        <v>1000</v>
      </c>
      <c r="X692" s="152" t="s">
        <v>23</v>
      </c>
      <c r="Y692" s="152" t="s">
        <v>1328</v>
      </c>
      <c r="Z692" s="152" t="s">
        <v>1327</v>
      </c>
    </row>
    <row r="693" spans="1:26" x14ac:dyDescent="0.2">
      <c r="A693" s="152" t="s">
        <v>1923</v>
      </c>
      <c r="B693" s="152">
        <v>2.5</v>
      </c>
      <c r="C693" s="151">
        <v>43981</v>
      </c>
      <c r="D693" s="152">
        <v>1.5972599999999999</v>
      </c>
      <c r="E693" s="152" t="s">
        <v>1325</v>
      </c>
      <c r="F693" s="152" t="s">
        <v>1326</v>
      </c>
      <c r="G693" s="152"/>
      <c r="H693" s="152"/>
      <c r="I693" s="152" t="s">
        <v>1327</v>
      </c>
      <c r="J693" s="152" t="s">
        <v>1327</v>
      </c>
      <c r="K693" s="152" t="s">
        <v>1327</v>
      </c>
      <c r="L693" s="152" t="s">
        <v>1327</v>
      </c>
      <c r="M693" s="152" t="s">
        <v>1327</v>
      </c>
      <c r="N693" s="152" t="s">
        <v>1327</v>
      </c>
      <c r="O693" s="152">
        <v>2.2626080000000002</v>
      </c>
      <c r="P693" s="152">
        <v>32.256154000000002</v>
      </c>
      <c r="Q693" s="152">
        <v>2.2626080000000002</v>
      </c>
      <c r="R693" s="152" t="s">
        <v>1327</v>
      </c>
      <c r="S693" s="152">
        <v>100.35927700000001</v>
      </c>
      <c r="T693" s="152">
        <v>1.0136989999999999</v>
      </c>
      <c r="U693" s="152">
        <v>1.544521</v>
      </c>
      <c r="V693" s="152">
        <v>3.1897579999999999</v>
      </c>
      <c r="W693" s="152">
        <v>1000</v>
      </c>
      <c r="X693" s="152" t="s">
        <v>23</v>
      </c>
      <c r="Y693" s="152" t="s">
        <v>1328</v>
      </c>
      <c r="Z693" s="152" t="s">
        <v>1327</v>
      </c>
    </row>
    <row r="694" spans="1:26" x14ac:dyDescent="0.2">
      <c r="A694" s="152" t="s">
        <v>656</v>
      </c>
      <c r="B694" s="152">
        <v>2.4</v>
      </c>
      <c r="C694" s="151">
        <v>44033</v>
      </c>
      <c r="D694" s="152">
        <v>1.7397260000000001</v>
      </c>
      <c r="E694" s="152" t="s">
        <v>1325</v>
      </c>
      <c r="F694" s="152" t="s">
        <v>1326</v>
      </c>
      <c r="G694" s="152" t="s">
        <v>47</v>
      </c>
      <c r="H694" s="152"/>
      <c r="I694" s="151">
        <v>43368</v>
      </c>
      <c r="J694" s="152">
        <v>2.5499999999999998</v>
      </c>
      <c r="K694" s="152" t="s">
        <v>1327</v>
      </c>
      <c r="L694" s="152" t="s">
        <v>1327</v>
      </c>
      <c r="M694" s="152" t="s">
        <v>1327</v>
      </c>
      <c r="N694" s="152" t="s">
        <v>1327</v>
      </c>
      <c r="O694" s="152">
        <v>2.5502729999999998</v>
      </c>
      <c r="P694" s="152">
        <v>58.11636</v>
      </c>
      <c r="Q694" s="152">
        <v>2.5502729999999998</v>
      </c>
      <c r="R694" s="152" t="s">
        <v>1327</v>
      </c>
      <c r="S694" s="152">
        <v>99.733904999999993</v>
      </c>
      <c r="T694" s="152">
        <v>0.63123300000000004</v>
      </c>
      <c r="U694" s="152">
        <v>1.684267</v>
      </c>
      <c r="V694" s="152">
        <v>3.7073999999999998</v>
      </c>
      <c r="W694" s="152">
        <v>1000</v>
      </c>
      <c r="X694" s="152" t="s">
        <v>23</v>
      </c>
      <c r="Y694" s="152" t="s">
        <v>1328</v>
      </c>
      <c r="Z694" s="152" t="s">
        <v>1327</v>
      </c>
    </row>
    <row r="695" spans="1:26" x14ac:dyDescent="0.2">
      <c r="A695" s="152" t="s">
        <v>483</v>
      </c>
      <c r="B695" s="152">
        <v>2.2999999999999998</v>
      </c>
      <c r="C695" s="151">
        <v>44341</v>
      </c>
      <c r="D695" s="152">
        <v>2.5835620000000001</v>
      </c>
      <c r="E695" s="152" t="s">
        <v>1325</v>
      </c>
      <c r="F695" s="152" t="s">
        <v>1326</v>
      </c>
      <c r="G695" s="152" t="s">
        <v>47</v>
      </c>
      <c r="H695" s="152"/>
      <c r="I695" s="151">
        <v>43353</v>
      </c>
      <c r="J695" s="152">
        <v>2.36</v>
      </c>
      <c r="K695" s="152" t="s">
        <v>1327</v>
      </c>
      <c r="L695" s="152" t="s">
        <v>1327</v>
      </c>
      <c r="M695" s="152" t="s">
        <v>1327</v>
      </c>
      <c r="N695" s="152" t="s">
        <v>1327</v>
      </c>
      <c r="O695" s="152">
        <v>2.622163</v>
      </c>
      <c r="P695" s="152">
        <v>56.696320999999998</v>
      </c>
      <c r="Q695" s="152">
        <v>2.622163</v>
      </c>
      <c r="R695" s="152" t="s">
        <v>1327</v>
      </c>
      <c r="S695" s="152">
        <v>99.189374999999998</v>
      </c>
      <c r="T695" s="152">
        <v>0.96411000000000002</v>
      </c>
      <c r="U695" s="152">
        <v>2.4681129999999998</v>
      </c>
      <c r="V695" s="152">
        <v>7.4544100000000002</v>
      </c>
      <c r="W695" s="152">
        <v>1000</v>
      </c>
      <c r="X695" s="152" t="s">
        <v>23</v>
      </c>
      <c r="Y695" s="152" t="s">
        <v>1328</v>
      </c>
      <c r="Z695" s="152" t="s">
        <v>1327</v>
      </c>
    </row>
    <row r="696" spans="1:26" x14ac:dyDescent="0.2">
      <c r="A696" s="152" t="s">
        <v>484</v>
      </c>
      <c r="B696" s="152">
        <v>2.95</v>
      </c>
      <c r="C696" s="151">
        <v>44763</v>
      </c>
      <c r="D696" s="152">
        <v>3.7397260000000001</v>
      </c>
      <c r="E696" s="152" t="s">
        <v>1325</v>
      </c>
      <c r="F696" s="152" t="s">
        <v>1326</v>
      </c>
      <c r="G696" s="152" t="s">
        <v>47</v>
      </c>
      <c r="H696" s="152"/>
      <c r="I696" s="151">
        <v>43336</v>
      </c>
      <c r="J696" s="152">
        <v>2.75</v>
      </c>
      <c r="K696" s="152" t="s">
        <v>1327</v>
      </c>
      <c r="L696" s="152" t="s">
        <v>1327</v>
      </c>
      <c r="M696" s="152" t="s">
        <v>1327</v>
      </c>
      <c r="N696" s="152" t="s">
        <v>1327</v>
      </c>
      <c r="O696" s="152">
        <v>2.8907289999999999</v>
      </c>
      <c r="P696" s="152">
        <v>58.461317999999999</v>
      </c>
      <c r="Q696" s="152">
        <v>2.8907289999999999</v>
      </c>
      <c r="R696" s="152" t="s">
        <v>1327</v>
      </c>
      <c r="S696" s="152">
        <v>100.193979</v>
      </c>
      <c r="T696" s="152">
        <v>0.77588999999999997</v>
      </c>
      <c r="U696" s="152">
        <v>3.4931860000000001</v>
      </c>
      <c r="V696" s="152">
        <v>14.369872000000001</v>
      </c>
      <c r="W696" s="152">
        <v>1000</v>
      </c>
      <c r="X696" s="152" t="s">
        <v>23</v>
      </c>
      <c r="Y696" s="152" t="s">
        <v>1328</v>
      </c>
      <c r="Z696" s="152" t="s">
        <v>1327</v>
      </c>
    </row>
    <row r="697" spans="1:26" x14ac:dyDescent="0.2">
      <c r="A697" s="152" t="s">
        <v>485</v>
      </c>
      <c r="B697" s="152">
        <v>2.52</v>
      </c>
      <c r="C697" s="151">
        <v>45013</v>
      </c>
      <c r="D697" s="152">
        <v>4.424658</v>
      </c>
      <c r="E697" s="152" t="s">
        <v>1325</v>
      </c>
      <c r="F697" s="152" t="s">
        <v>1326</v>
      </c>
      <c r="G697" s="152" t="s">
        <v>47</v>
      </c>
      <c r="H697" s="152"/>
      <c r="I697" s="151">
        <v>43315</v>
      </c>
      <c r="J697" s="152">
        <v>2.87</v>
      </c>
      <c r="K697" s="152" t="s">
        <v>1327</v>
      </c>
      <c r="L697" s="152" t="s">
        <v>1327</v>
      </c>
      <c r="M697" s="152" t="s">
        <v>1327</v>
      </c>
      <c r="N697" s="152" t="s">
        <v>1327</v>
      </c>
      <c r="O697" s="152">
        <v>3.0662039999999999</v>
      </c>
      <c r="P697" s="152">
        <v>69.051434999999998</v>
      </c>
      <c r="Q697" s="152">
        <v>3.0662039999999999</v>
      </c>
      <c r="R697" s="152" t="s">
        <v>1327</v>
      </c>
      <c r="S697" s="152">
        <v>97.766418999999999</v>
      </c>
      <c r="T697" s="152">
        <v>0.18641099999999999</v>
      </c>
      <c r="U697" s="152">
        <v>4.1377689999999996</v>
      </c>
      <c r="V697" s="152">
        <v>19.724412999999998</v>
      </c>
      <c r="W697" s="152">
        <v>1000</v>
      </c>
      <c r="X697" s="152" t="s">
        <v>23</v>
      </c>
      <c r="Y697" s="152" t="s">
        <v>1328</v>
      </c>
      <c r="Z697" s="152" t="s">
        <v>1327</v>
      </c>
    </row>
    <row r="698" spans="1:26" x14ac:dyDescent="0.2">
      <c r="A698" s="152" t="s">
        <v>1924</v>
      </c>
      <c r="B698" s="152">
        <v>3.37</v>
      </c>
      <c r="C698" s="151">
        <v>45494</v>
      </c>
      <c r="D698" s="152">
        <v>5.7424660000000003</v>
      </c>
      <c r="E698" s="152" t="s">
        <v>1325</v>
      </c>
      <c r="F698" s="152" t="s">
        <v>1326</v>
      </c>
      <c r="G698" s="152" t="s">
        <v>47</v>
      </c>
      <c r="H698" s="152"/>
      <c r="I698" s="151">
        <v>43032</v>
      </c>
      <c r="J698" s="152">
        <v>2.88</v>
      </c>
      <c r="K698" s="152" t="s">
        <v>1327</v>
      </c>
      <c r="L698" s="152" t="s">
        <v>1327</v>
      </c>
      <c r="M698" s="152" t="s">
        <v>1327</v>
      </c>
      <c r="N698" s="152" t="s">
        <v>1327</v>
      </c>
      <c r="O698" s="152">
        <v>3.2079740000000001</v>
      </c>
      <c r="P698" s="152">
        <v>71.061384000000004</v>
      </c>
      <c r="Q698" s="152">
        <v>3.2079740000000001</v>
      </c>
      <c r="R698" s="152" t="s">
        <v>1327</v>
      </c>
      <c r="S698" s="152">
        <v>100.826232</v>
      </c>
      <c r="T698" s="152">
        <v>0.88635600000000003</v>
      </c>
      <c r="U698" s="152">
        <v>5.143643</v>
      </c>
      <c r="V698" s="152">
        <v>30.671865</v>
      </c>
      <c r="W698" s="152">
        <v>1000</v>
      </c>
      <c r="X698" s="152" t="s">
        <v>23</v>
      </c>
      <c r="Y698" s="152" t="s">
        <v>1328</v>
      </c>
      <c r="Z698" s="152" t="s">
        <v>1327</v>
      </c>
    </row>
    <row r="699" spans="1:26" x14ac:dyDescent="0.2">
      <c r="A699" s="152" t="s">
        <v>486</v>
      </c>
      <c r="B699" s="152">
        <v>2.46</v>
      </c>
      <c r="C699" s="151">
        <v>43779</v>
      </c>
      <c r="D699" s="152">
        <v>1.043836</v>
      </c>
      <c r="E699" s="152" t="s">
        <v>1325</v>
      </c>
      <c r="F699" s="152" t="s">
        <v>1326</v>
      </c>
      <c r="G699" s="152" t="s">
        <v>47</v>
      </c>
      <c r="H699" s="152"/>
      <c r="I699" s="151">
        <v>43371</v>
      </c>
      <c r="J699" s="152">
        <v>1.95</v>
      </c>
      <c r="K699" s="152" t="s">
        <v>1327</v>
      </c>
      <c r="L699" s="152" t="s">
        <v>1327</v>
      </c>
      <c r="M699" s="152" t="s">
        <v>1327</v>
      </c>
      <c r="N699" s="152" t="s">
        <v>1327</v>
      </c>
      <c r="O699" s="152">
        <v>1.9985759999999999</v>
      </c>
      <c r="P699" s="152">
        <v>18.936926</v>
      </c>
      <c r="Q699" s="152">
        <v>1.9985759999999999</v>
      </c>
      <c r="R699" s="152" t="s">
        <v>1327</v>
      </c>
      <c r="S699" s="152">
        <v>100.46372100000001</v>
      </c>
      <c r="T699" s="152">
        <v>1.132274</v>
      </c>
      <c r="U699" s="152">
        <v>1.0156019999999999</v>
      </c>
      <c r="V699" s="152">
        <v>1.5486979999999999</v>
      </c>
      <c r="W699" s="152">
        <v>1000</v>
      </c>
      <c r="X699" s="152" t="s">
        <v>23</v>
      </c>
      <c r="Y699" s="152" t="s">
        <v>1328</v>
      </c>
      <c r="Z699" s="152" t="s">
        <v>1327</v>
      </c>
    </row>
    <row r="700" spans="1:26" x14ac:dyDescent="0.2">
      <c r="A700" s="152" t="s">
        <v>1925</v>
      </c>
      <c r="B700" s="152">
        <v>2.85</v>
      </c>
      <c r="C700" s="151">
        <v>44510</v>
      </c>
      <c r="D700" s="152">
        <v>3.0465749999999998</v>
      </c>
      <c r="E700" s="152" t="s">
        <v>1325</v>
      </c>
      <c r="F700" s="152" t="s">
        <v>1326</v>
      </c>
      <c r="G700" s="152" t="s">
        <v>47</v>
      </c>
      <c r="H700" s="152"/>
      <c r="I700" s="151">
        <v>43125</v>
      </c>
      <c r="J700" s="152">
        <v>2.31</v>
      </c>
      <c r="K700" s="152" t="s">
        <v>1327</v>
      </c>
      <c r="L700" s="152" t="s">
        <v>1327</v>
      </c>
      <c r="M700" s="152" t="s">
        <v>1327</v>
      </c>
      <c r="N700" s="152" t="s">
        <v>1327</v>
      </c>
      <c r="O700" s="152">
        <v>2.732863</v>
      </c>
      <c r="P700" s="152">
        <v>61.031444</v>
      </c>
      <c r="Q700" s="152">
        <v>2.732863</v>
      </c>
      <c r="R700" s="152" t="s">
        <v>1327</v>
      </c>
      <c r="S700" s="152">
        <v>100.32741</v>
      </c>
      <c r="T700" s="152">
        <v>1.3117810000000001</v>
      </c>
      <c r="U700" s="152">
        <v>2.8609650000000002</v>
      </c>
      <c r="V700" s="152">
        <v>9.881475</v>
      </c>
      <c r="W700" s="152">
        <v>1000</v>
      </c>
      <c r="X700" s="152" t="s">
        <v>23</v>
      </c>
      <c r="Y700" s="152" t="s">
        <v>1328</v>
      </c>
      <c r="Z700" s="152" t="s">
        <v>1327</v>
      </c>
    </row>
    <row r="701" spans="1:26" x14ac:dyDescent="0.2">
      <c r="A701" s="152" t="s">
        <v>1926</v>
      </c>
      <c r="B701" s="152">
        <v>3.3</v>
      </c>
      <c r="C701" s="151">
        <v>45240</v>
      </c>
      <c r="D701" s="152">
        <v>5.0465749999999998</v>
      </c>
      <c r="E701" s="152" t="s">
        <v>1325</v>
      </c>
      <c r="F701" s="152" t="s">
        <v>1326</v>
      </c>
      <c r="G701" s="152" t="s">
        <v>47</v>
      </c>
      <c r="H701" s="152"/>
      <c r="I701" s="151">
        <v>43263</v>
      </c>
      <c r="J701" s="152">
        <v>3.07</v>
      </c>
      <c r="K701" s="152" t="s">
        <v>1327</v>
      </c>
      <c r="L701" s="152" t="s">
        <v>1327</v>
      </c>
      <c r="M701" s="152" t="s">
        <v>1327</v>
      </c>
      <c r="N701" s="152" t="s">
        <v>1327</v>
      </c>
      <c r="O701" s="152">
        <v>3.311026</v>
      </c>
      <c r="P701" s="152">
        <v>88.317188000000002</v>
      </c>
      <c r="Q701" s="152">
        <v>3.311026</v>
      </c>
      <c r="R701" s="152" t="s">
        <v>1327</v>
      </c>
      <c r="S701" s="152">
        <v>99.934520000000006</v>
      </c>
      <c r="T701" s="152">
        <v>1.518904</v>
      </c>
      <c r="U701" s="152">
        <v>4.5431419999999996</v>
      </c>
      <c r="V701" s="152">
        <v>24.160651000000001</v>
      </c>
      <c r="W701" s="152">
        <v>1000</v>
      </c>
      <c r="X701" s="152" t="s">
        <v>23</v>
      </c>
      <c r="Y701" s="152" t="s">
        <v>1328</v>
      </c>
      <c r="Z701" s="152" t="s">
        <v>1327</v>
      </c>
    </row>
    <row r="702" spans="1:26" x14ac:dyDescent="0.2">
      <c r="A702" s="152" t="s">
        <v>1927</v>
      </c>
      <c r="B702" s="152">
        <v>3.87</v>
      </c>
      <c r="C702" s="151">
        <v>46336</v>
      </c>
      <c r="D702" s="152">
        <v>8.049315</v>
      </c>
      <c r="E702" s="152" t="s">
        <v>1325</v>
      </c>
      <c r="F702" s="152" t="s">
        <v>1326</v>
      </c>
      <c r="G702" s="152" t="s">
        <v>47</v>
      </c>
      <c r="H702" s="152"/>
      <c r="I702" s="151">
        <v>43395</v>
      </c>
      <c r="J702" s="152">
        <v>3.73</v>
      </c>
      <c r="K702" s="152" t="s">
        <v>1327</v>
      </c>
      <c r="L702" s="152" t="s">
        <v>1327</v>
      </c>
      <c r="M702" s="152" t="s">
        <v>1327</v>
      </c>
      <c r="N702" s="152" t="s">
        <v>1327</v>
      </c>
      <c r="O702" s="152">
        <v>3.6976749999999998</v>
      </c>
      <c r="P702" s="152">
        <v>98.345039999999997</v>
      </c>
      <c r="Q702" s="152">
        <v>3.6976749999999998</v>
      </c>
      <c r="R702" s="152" t="s">
        <v>1327</v>
      </c>
      <c r="S702" s="152">
        <v>101.172274</v>
      </c>
      <c r="T702" s="152">
        <v>1.7812600000000001</v>
      </c>
      <c r="U702" s="152">
        <v>6.7517959999999997</v>
      </c>
      <c r="V702" s="152">
        <v>53.928113000000003</v>
      </c>
      <c r="W702" s="152">
        <v>1000</v>
      </c>
      <c r="X702" s="152" t="s">
        <v>23</v>
      </c>
      <c r="Y702" s="152" t="s">
        <v>1328</v>
      </c>
      <c r="Z702" s="152" t="s">
        <v>1327</v>
      </c>
    </row>
    <row r="703" spans="1:26" x14ac:dyDescent="0.2">
      <c r="A703" s="152" t="s">
        <v>760</v>
      </c>
      <c r="B703" s="152">
        <v>2.58</v>
      </c>
      <c r="C703" s="151">
        <v>44081</v>
      </c>
      <c r="D703" s="152">
        <v>1.8712329999999999</v>
      </c>
      <c r="E703" s="152" t="s">
        <v>1325</v>
      </c>
      <c r="F703" s="152" t="s">
        <v>1326</v>
      </c>
      <c r="G703" s="152" t="s">
        <v>47</v>
      </c>
      <c r="H703" s="152"/>
      <c r="I703" s="151">
        <v>43357</v>
      </c>
      <c r="J703" s="152">
        <v>2.57</v>
      </c>
      <c r="K703" s="152" t="s">
        <v>1327</v>
      </c>
      <c r="L703" s="152" t="s">
        <v>1327</v>
      </c>
      <c r="M703" s="152" t="s">
        <v>1327</v>
      </c>
      <c r="N703" s="152" t="s">
        <v>1327</v>
      </c>
      <c r="O703" s="152">
        <v>2.618846</v>
      </c>
      <c r="P703" s="152">
        <v>61.618913999999997</v>
      </c>
      <c r="Q703" s="152">
        <v>2.618846</v>
      </c>
      <c r="R703" s="152" t="s">
        <v>1327</v>
      </c>
      <c r="S703" s="152">
        <v>99.938709000000003</v>
      </c>
      <c r="T703" s="152">
        <v>0.33928799999999998</v>
      </c>
      <c r="U703" s="152">
        <v>1.8028759999999999</v>
      </c>
      <c r="V703" s="152">
        <v>4.1819639999999998</v>
      </c>
      <c r="W703" s="152">
        <v>1000</v>
      </c>
      <c r="X703" s="152" t="s">
        <v>23</v>
      </c>
      <c r="Y703" s="152" t="s">
        <v>1328</v>
      </c>
      <c r="Z703" s="152" t="s">
        <v>1327</v>
      </c>
    </row>
    <row r="704" spans="1:26" x14ac:dyDescent="0.2">
      <c r="A704" s="152" t="s">
        <v>488</v>
      </c>
      <c r="B704" s="152">
        <v>2.2400000000000002</v>
      </c>
      <c r="C704" s="151">
        <v>44191</v>
      </c>
      <c r="D704" s="152">
        <v>2.1726030000000001</v>
      </c>
      <c r="E704" s="152" t="s">
        <v>1325</v>
      </c>
      <c r="F704" s="152" t="s">
        <v>1326</v>
      </c>
      <c r="G704" s="152" t="s">
        <v>47</v>
      </c>
      <c r="H704" s="152"/>
      <c r="I704" s="151">
        <v>43297</v>
      </c>
      <c r="J704" s="152">
        <v>2.1850000000000001</v>
      </c>
      <c r="K704" s="152" t="s">
        <v>1327</v>
      </c>
      <c r="L704" s="152" t="s">
        <v>1327</v>
      </c>
      <c r="M704" s="152" t="s">
        <v>1327</v>
      </c>
      <c r="N704" s="152" t="s">
        <v>1327</v>
      </c>
      <c r="O704" s="152">
        <v>2.6313819999999999</v>
      </c>
      <c r="P704" s="152">
        <v>60.18703</v>
      </c>
      <c r="Q704" s="152">
        <v>2.6313819999999999</v>
      </c>
      <c r="R704" s="152" t="s">
        <v>1327</v>
      </c>
      <c r="S704" s="152">
        <v>99.175065000000004</v>
      </c>
      <c r="T704" s="152">
        <v>0.74257499999999999</v>
      </c>
      <c r="U704" s="152">
        <v>2.0873219999999999</v>
      </c>
      <c r="V704" s="152">
        <v>5.4649020000000004</v>
      </c>
      <c r="W704" s="152">
        <v>1000</v>
      </c>
      <c r="X704" s="152" t="s">
        <v>23</v>
      </c>
      <c r="Y704" s="152" t="s">
        <v>1328</v>
      </c>
      <c r="Z704" s="152" t="s">
        <v>1327</v>
      </c>
    </row>
    <row r="705" spans="1:26" x14ac:dyDescent="0.2">
      <c r="A705" s="152" t="s">
        <v>1928</v>
      </c>
      <c r="B705" s="152">
        <v>2.64</v>
      </c>
      <c r="C705" s="151">
        <v>44921</v>
      </c>
      <c r="D705" s="152">
        <v>4.1726029999999996</v>
      </c>
      <c r="E705" s="152" t="s">
        <v>1325</v>
      </c>
      <c r="F705" s="152" t="s">
        <v>1326</v>
      </c>
      <c r="G705" s="152" t="s">
        <v>47</v>
      </c>
      <c r="H705" s="152"/>
      <c r="I705" s="151">
        <v>43243</v>
      </c>
      <c r="J705" s="152">
        <v>2.74</v>
      </c>
      <c r="K705" s="151" t="s">
        <v>1327</v>
      </c>
      <c r="L705" s="152" t="s">
        <v>1327</v>
      </c>
      <c r="M705" s="152" t="s">
        <v>1327</v>
      </c>
      <c r="N705" s="152" t="s">
        <v>1327</v>
      </c>
      <c r="O705" s="152">
        <v>3.027644</v>
      </c>
      <c r="P705" s="152">
        <v>67.977508</v>
      </c>
      <c r="Q705" s="152">
        <v>3.027644</v>
      </c>
      <c r="R705" s="152" t="s">
        <v>1327</v>
      </c>
      <c r="S705" s="152">
        <v>98.486289999999997</v>
      </c>
      <c r="T705" s="152">
        <v>0.87517800000000001</v>
      </c>
      <c r="U705" s="152">
        <v>3.881294</v>
      </c>
      <c r="V705" s="152">
        <v>17.563217999999999</v>
      </c>
      <c r="W705" s="152">
        <v>1000</v>
      </c>
      <c r="X705" s="152" t="s">
        <v>23</v>
      </c>
      <c r="Y705" s="152" t="s">
        <v>1328</v>
      </c>
      <c r="Z705" s="152" t="s">
        <v>1327</v>
      </c>
    </row>
    <row r="706" spans="1:26" x14ac:dyDescent="0.2">
      <c r="A706" s="152" t="s">
        <v>1929</v>
      </c>
      <c r="B706" s="152">
        <v>3.25</v>
      </c>
      <c r="C706" s="151">
        <v>45176</v>
      </c>
      <c r="D706" s="152">
        <v>4.8712330000000001</v>
      </c>
      <c r="E706" s="152" t="s">
        <v>1325</v>
      </c>
      <c r="F706" s="152" t="s">
        <v>1326</v>
      </c>
      <c r="G706" s="152" t="s">
        <v>47</v>
      </c>
      <c r="H706" s="152"/>
      <c r="I706" s="151" t="s">
        <v>1327</v>
      </c>
      <c r="J706" s="152" t="s">
        <v>1327</v>
      </c>
      <c r="K706" s="152" t="s">
        <v>1327</v>
      </c>
      <c r="L706" s="152" t="s">
        <v>1327</v>
      </c>
      <c r="M706" s="152" t="s">
        <v>1327</v>
      </c>
      <c r="N706" s="152" t="s">
        <v>1327</v>
      </c>
      <c r="O706" s="152">
        <v>3.3393350000000002</v>
      </c>
      <c r="P706" s="152">
        <v>92.262651000000005</v>
      </c>
      <c r="Q706" s="152">
        <v>3.3393350000000002</v>
      </c>
      <c r="R706" s="152" t="s">
        <v>1327</v>
      </c>
      <c r="S706" s="152">
        <v>99.612651</v>
      </c>
      <c r="T706" s="152">
        <v>0.42739700000000003</v>
      </c>
      <c r="U706" s="152">
        <v>4.4444489999999996</v>
      </c>
      <c r="V706" s="152">
        <v>22.895758000000001</v>
      </c>
      <c r="W706" s="152">
        <v>1000</v>
      </c>
      <c r="X706" s="152" t="s">
        <v>23</v>
      </c>
      <c r="Y706" s="152" t="s">
        <v>1328</v>
      </c>
      <c r="Z706" s="152" t="s">
        <v>1327</v>
      </c>
    </row>
    <row r="707" spans="1:26" x14ac:dyDescent="0.2">
      <c r="A707" s="152" t="s">
        <v>1930</v>
      </c>
      <c r="B707" s="152">
        <v>3.65</v>
      </c>
      <c r="C707" s="151">
        <v>46747</v>
      </c>
      <c r="D707" s="152">
        <v>9.1753420000000006</v>
      </c>
      <c r="E707" s="152" t="s">
        <v>1325</v>
      </c>
      <c r="F707" s="152" t="s">
        <v>1326</v>
      </c>
      <c r="G707" s="152" t="s">
        <v>47</v>
      </c>
      <c r="H707" s="152"/>
      <c r="I707" s="152">
        <v>43397</v>
      </c>
      <c r="J707" s="152">
        <v>3.75</v>
      </c>
      <c r="K707" s="152" t="s">
        <v>1327</v>
      </c>
      <c r="L707" s="152" t="s">
        <v>1327</v>
      </c>
      <c r="M707" s="152" t="s">
        <v>1327</v>
      </c>
      <c r="N707" s="152" t="s">
        <v>1327</v>
      </c>
      <c r="O707" s="152">
        <v>3.75</v>
      </c>
      <c r="P707" s="152">
        <v>95.242784</v>
      </c>
      <c r="Q707" s="152">
        <v>3.75</v>
      </c>
      <c r="R707" s="152" t="s">
        <v>1327</v>
      </c>
      <c r="S707" s="152">
        <v>99.221279999999993</v>
      </c>
      <c r="T707" s="152">
        <v>1.21</v>
      </c>
      <c r="U707" s="152">
        <v>7.632644</v>
      </c>
      <c r="V707" s="152">
        <v>68.644262999999995</v>
      </c>
      <c r="W707" s="152">
        <v>1000</v>
      </c>
      <c r="X707" s="152" t="s">
        <v>23</v>
      </c>
      <c r="Y707" s="152" t="s">
        <v>1328</v>
      </c>
      <c r="Z707" s="152" t="s">
        <v>1327</v>
      </c>
    </row>
    <row r="708" spans="1:26" x14ac:dyDescent="0.2">
      <c r="A708" s="152" t="s">
        <v>1931</v>
      </c>
      <c r="B708" s="152">
        <v>4.03</v>
      </c>
      <c r="C708" s="151">
        <v>47003</v>
      </c>
      <c r="D708" s="152">
        <v>9.8767119999999995</v>
      </c>
      <c r="E708" s="152" t="s">
        <v>1325</v>
      </c>
      <c r="F708" s="152" t="s">
        <v>1326</v>
      </c>
      <c r="G708" s="152" t="s">
        <v>47</v>
      </c>
      <c r="H708" s="152"/>
      <c r="I708" s="151">
        <v>43377</v>
      </c>
      <c r="J708" s="152">
        <v>4.0424810000000004</v>
      </c>
      <c r="K708" s="152" t="s">
        <v>1327</v>
      </c>
      <c r="L708" s="152" t="s">
        <v>1327</v>
      </c>
      <c r="M708" s="152" t="s">
        <v>1327</v>
      </c>
      <c r="N708" s="152" t="s">
        <v>1327</v>
      </c>
      <c r="O708" s="152">
        <v>4.0099720000000003</v>
      </c>
      <c r="P708" s="152">
        <v>123.571535</v>
      </c>
      <c r="Q708" s="152">
        <v>4.0099720000000003</v>
      </c>
      <c r="R708" s="152" t="s">
        <v>1327</v>
      </c>
      <c r="S708" s="152">
        <v>100.174465</v>
      </c>
      <c r="T708" s="152">
        <v>0.52997300000000003</v>
      </c>
      <c r="U708" s="152">
        <v>8.0333629999999996</v>
      </c>
      <c r="V708" s="152">
        <v>76.550286999999997</v>
      </c>
      <c r="W708" s="152">
        <v>1000</v>
      </c>
      <c r="X708" s="152" t="s">
        <v>23</v>
      </c>
      <c r="Y708" s="152" t="s">
        <v>1328</v>
      </c>
      <c r="Z708" s="152" t="s">
        <v>1327</v>
      </c>
    </row>
    <row r="709" spans="1:26" x14ac:dyDescent="0.2">
      <c r="A709" s="152" t="s">
        <v>1932</v>
      </c>
      <c r="B709" s="152">
        <v>3.78</v>
      </c>
      <c r="C709" s="151">
        <v>47478</v>
      </c>
      <c r="D709" s="152">
        <v>11.178082</v>
      </c>
      <c r="E709" s="152" t="s">
        <v>1325</v>
      </c>
      <c r="F709" s="152" t="s">
        <v>1326</v>
      </c>
      <c r="G709" s="152" t="s">
        <v>47</v>
      </c>
      <c r="H709" s="152"/>
      <c r="I709" s="151">
        <v>43224</v>
      </c>
      <c r="J709" s="152">
        <v>3.625</v>
      </c>
      <c r="K709" s="152" t="s">
        <v>1327</v>
      </c>
      <c r="L709" s="152" t="s">
        <v>1327</v>
      </c>
      <c r="M709" s="152" t="s">
        <v>1327</v>
      </c>
      <c r="N709" s="152" t="s">
        <v>1327</v>
      </c>
      <c r="O709" s="152">
        <v>4.1775460000000004</v>
      </c>
      <c r="P709" s="152">
        <v>109.547386</v>
      </c>
      <c r="Q709" s="152">
        <v>4.1775460000000004</v>
      </c>
      <c r="R709" s="152" t="s">
        <v>1327</v>
      </c>
      <c r="S709" s="152">
        <v>96.470714000000001</v>
      </c>
      <c r="T709" s="152">
        <v>1.253096</v>
      </c>
      <c r="U709" s="152">
        <v>8.8701270000000001</v>
      </c>
      <c r="V709" s="152">
        <v>94.518100000000004</v>
      </c>
      <c r="W709" s="152">
        <v>1000</v>
      </c>
      <c r="X709" s="152" t="s">
        <v>23</v>
      </c>
      <c r="Y709" s="152" t="s">
        <v>1328</v>
      </c>
      <c r="Z709" s="152" t="s">
        <v>1327</v>
      </c>
    </row>
    <row r="710" spans="1:26" x14ac:dyDescent="0.2">
      <c r="A710" s="152" t="s">
        <v>471</v>
      </c>
      <c r="B710" s="152">
        <v>2.44</v>
      </c>
      <c r="C710" s="151">
        <v>43959</v>
      </c>
      <c r="D710" s="152">
        <v>1.536986</v>
      </c>
      <c r="E710" s="152" t="s">
        <v>1325</v>
      </c>
      <c r="F710" s="152" t="s">
        <v>1326</v>
      </c>
      <c r="G710" s="152"/>
      <c r="H710" s="152" t="s">
        <v>43</v>
      </c>
      <c r="I710" s="151">
        <v>43173</v>
      </c>
      <c r="J710" s="152">
        <v>2.02</v>
      </c>
      <c r="K710" s="152" t="s">
        <v>1327</v>
      </c>
      <c r="L710" s="152" t="s">
        <v>1327</v>
      </c>
      <c r="M710" s="152" t="s">
        <v>1327</v>
      </c>
      <c r="N710" s="152" t="s">
        <v>1327</v>
      </c>
      <c r="O710" s="152">
        <v>2.6415950000000001</v>
      </c>
      <c r="P710" s="152">
        <v>72.210587000000004</v>
      </c>
      <c r="Q710" s="152">
        <v>2.6415950000000001</v>
      </c>
      <c r="R710" s="152" t="s">
        <v>1327</v>
      </c>
      <c r="S710" s="152">
        <v>99.698701</v>
      </c>
      <c r="T710" s="152">
        <v>-9.3589000000000006E-2</v>
      </c>
      <c r="U710" s="152">
        <v>1.5005010000000001</v>
      </c>
      <c r="V710" s="152">
        <v>3.0063249999999999</v>
      </c>
      <c r="W710" s="152">
        <v>1000</v>
      </c>
      <c r="X710" s="152" t="s">
        <v>23</v>
      </c>
      <c r="Y710" s="152" t="s">
        <v>1328</v>
      </c>
      <c r="Z710" s="152" t="s">
        <v>1327</v>
      </c>
    </row>
    <row r="711" spans="1:26" x14ac:dyDescent="0.2">
      <c r="A711" s="152" t="s">
        <v>489</v>
      </c>
      <c r="B711" s="152">
        <v>2.23</v>
      </c>
      <c r="C711" s="151">
        <v>43997</v>
      </c>
      <c r="D711" s="152">
        <v>1.6410960000000001</v>
      </c>
      <c r="E711" s="152" t="s">
        <v>1325</v>
      </c>
      <c r="F711" s="152" t="s">
        <v>1326</v>
      </c>
      <c r="G711" s="152" t="s">
        <v>116</v>
      </c>
      <c r="H711" s="152"/>
      <c r="I711" s="151" t="s">
        <v>1327</v>
      </c>
      <c r="J711" s="152" t="s">
        <v>1327</v>
      </c>
      <c r="K711" s="152" t="s">
        <v>1327</v>
      </c>
      <c r="L711" s="152" t="s">
        <v>1327</v>
      </c>
      <c r="M711" s="152" t="s">
        <v>1327</v>
      </c>
      <c r="N711" s="152" t="s">
        <v>1327</v>
      </c>
      <c r="O711" s="152">
        <v>2.5303390000000001</v>
      </c>
      <c r="P711" s="152">
        <v>57.826256000000001</v>
      </c>
      <c r="Q711" s="152">
        <v>2.5303390000000001</v>
      </c>
      <c r="R711" s="152" t="s">
        <v>1327</v>
      </c>
      <c r="S711" s="152">
        <v>99.516098999999997</v>
      </c>
      <c r="T711" s="152">
        <v>0.80646600000000002</v>
      </c>
      <c r="U711" s="152">
        <v>1.5867020000000001</v>
      </c>
      <c r="V711" s="152">
        <v>3.337602</v>
      </c>
      <c r="W711" s="152">
        <v>1000</v>
      </c>
      <c r="X711" s="152" t="s">
        <v>23</v>
      </c>
      <c r="Y711" s="152" t="s">
        <v>1328</v>
      </c>
      <c r="Z711" s="152" t="s">
        <v>1327</v>
      </c>
    </row>
    <row r="712" spans="1:26" x14ac:dyDescent="0.2">
      <c r="A712" s="152" t="s">
        <v>1933</v>
      </c>
      <c r="B712" s="152">
        <v>2.42</v>
      </c>
      <c r="C712" s="151">
        <v>44362</v>
      </c>
      <c r="D712" s="152">
        <v>2.6410960000000001</v>
      </c>
      <c r="E712" s="152" t="s">
        <v>1325</v>
      </c>
      <c r="F712" s="152" t="s">
        <v>1326</v>
      </c>
      <c r="G712" s="152" t="s">
        <v>116</v>
      </c>
      <c r="H712" s="152"/>
      <c r="I712" s="151" t="s">
        <v>1327</v>
      </c>
      <c r="J712" s="152" t="s">
        <v>1327</v>
      </c>
      <c r="K712" s="152" t="s">
        <v>1327</v>
      </c>
      <c r="L712" s="152" t="s">
        <v>1327</v>
      </c>
      <c r="M712" s="152" t="s">
        <v>1327</v>
      </c>
      <c r="N712" s="152" t="s">
        <v>1327</v>
      </c>
      <c r="O712" s="152">
        <v>2.709616</v>
      </c>
      <c r="P712" s="152">
        <v>64.780632999999995</v>
      </c>
      <c r="Q712" s="152">
        <v>2.709616</v>
      </c>
      <c r="R712" s="152" t="s">
        <v>1327</v>
      </c>
      <c r="S712" s="152">
        <v>99.262017</v>
      </c>
      <c r="T712" s="152">
        <v>0.87517800000000001</v>
      </c>
      <c r="U712" s="152">
        <v>2.516934</v>
      </c>
      <c r="V712" s="152">
        <v>7.7281279999999999</v>
      </c>
      <c r="W712" s="152">
        <v>1000</v>
      </c>
      <c r="X712" s="152" t="s">
        <v>23</v>
      </c>
      <c r="Y712" s="152" t="s">
        <v>1328</v>
      </c>
      <c r="Z712" s="152" t="s">
        <v>1327</v>
      </c>
    </row>
    <row r="713" spans="1:26" x14ac:dyDescent="0.2">
      <c r="A713" s="152" t="s">
        <v>1934</v>
      </c>
      <c r="B713" s="152">
        <v>2.42</v>
      </c>
      <c r="C713" s="151">
        <v>44362</v>
      </c>
      <c r="D713" s="152">
        <v>2.6410960000000001</v>
      </c>
      <c r="E713" s="152" t="s">
        <v>1325</v>
      </c>
      <c r="F713" s="152" t="s">
        <v>1326</v>
      </c>
      <c r="G713" s="152" t="s">
        <v>116</v>
      </c>
      <c r="H713" s="152"/>
      <c r="I713" s="151" t="s">
        <v>1327</v>
      </c>
      <c r="J713" s="152" t="s">
        <v>1327</v>
      </c>
      <c r="K713" s="152" t="s">
        <v>1327</v>
      </c>
      <c r="L713" s="152" t="s">
        <v>1327</v>
      </c>
      <c r="M713" s="152" t="s">
        <v>1327</v>
      </c>
      <c r="N713" s="152" t="s">
        <v>1327</v>
      </c>
      <c r="O713" s="152">
        <v>2.7016810000000002</v>
      </c>
      <c r="P713" s="152">
        <v>63.971460999999998</v>
      </c>
      <c r="Q713" s="152">
        <v>2.7016810000000002</v>
      </c>
      <c r="R713" s="152" t="s">
        <v>1327</v>
      </c>
      <c r="S713" s="152">
        <v>99.285843</v>
      </c>
      <c r="T713" s="152">
        <v>0.73594499999999996</v>
      </c>
      <c r="U713" s="152">
        <v>2.5202650000000002</v>
      </c>
      <c r="V713" s="152">
        <v>7.7391230000000002</v>
      </c>
      <c r="W713" s="152">
        <v>1000</v>
      </c>
      <c r="X713" s="152" t="s">
        <v>23</v>
      </c>
      <c r="Y713" s="152" t="s">
        <v>1328</v>
      </c>
      <c r="Z713" s="152" t="s">
        <v>1327</v>
      </c>
    </row>
    <row r="714" spans="1:26" x14ac:dyDescent="0.2">
      <c r="A714" s="152" t="s">
        <v>1935</v>
      </c>
      <c r="B714" s="152">
        <v>4.3499999999999996</v>
      </c>
      <c r="C714" s="151">
        <v>43605</v>
      </c>
      <c r="D714" s="152">
        <v>0.56712300000000004</v>
      </c>
      <c r="E714" s="152" t="s">
        <v>1325</v>
      </c>
      <c r="F714" s="152" t="s">
        <v>1326</v>
      </c>
      <c r="G714" s="152"/>
      <c r="H714" s="152"/>
      <c r="I714" s="151" t="s">
        <v>1327</v>
      </c>
      <c r="J714" s="152" t="s">
        <v>1327</v>
      </c>
      <c r="K714" s="152" t="s">
        <v>1327</v>
      </c>
      <c r="L714" s="152" t="s">
        <v>1327</v>
      </c>
      <c r="M714" s="152" t="s">
        <v>1327</v>
      </c>
      <c r="N714" s="152" t="s">
        <v>1327</v>
      </c>
      <c r="O714" s="152">
        <v>4.6590179999999997</v>
      </c>
      <c r="P714" s="152">
        <v>300.76784800000001</v>
      </c>
      <c r="Q714" s="152">
        <v>4.6590179999999997</v>
      </c>
      <c r="R714" s="152" t="s">
        <v>1327</v>
      </c>
      <c r="S714" s="152">
        <v>99.816578000000007</v>
      </c>
      <c r="T714" s="152">
        <v>0.78657500000000002</v>
      </c>
      <c r="U714" s="152">
        <v>0.55669900000000005</v>
      </c>
      <c r="V714" s="152">
        <v>0.45070500000000002</v>
      </c>
      <c r="W714" s="152">
        <v>1000</v>
      </c>
      <c r="X714" s="152" t="s">
        <v>23</v>
      </c>
      <c r="Y714" s="152" t="s">
        <v>1328</v>
      </c>
      <c r="Z714" s="152" t="s">
        <v>1327</v>
      </c>
    </row>
    <row r="715" spans="1:26" x14ac:dyDescent="0.2">
      <c r="A715" s="152" t="s">
        <v>1936</v>
      </c>
      <c r="B715" s="152">
        <v>2.41</v>
      </c>
      <c r="C715" s="151">
        <v>43423</v>
      </c>
      <c r="D715" s="152">
        <v>6.8492999999999998E-2</v>
      </c>
      <c r="E715" s="152" t="s">
        <v>1325</v>
      </c>
      <c r="F715" s="152" t="s">
        <v>1326</v>
      </c>
      <c r="G715" s="152" t="s">
        <v>47</v>
      </c>
      <c r="H715" s="152"/>
      <c r="I715" s="151">
        <v>43385</v>
      </c>
      <c r="J715" s="152">
        <v>1.58</v>
      </c>
      <c r="K715" s="152" t="s">
        <v>1327</v>
      </c>
      <c r="L715" s="152" t="s">
        <v>1327</v>
      </c>
      <c r="M715" s="152" t="s">
        <v>1327</v>
      </c>
      <c r="N715" s="152" t="s">
        <v>1327</v>
      </c>
      <c r="O715" s="152">
        <v>1.552405</v>
      </c>
      <c r="P715" s="152">
        <v>32.124226999999998</v>
      </c>
      <c r="Q715" s="152">
        <v>1.552405</v>
      </c>
      <c r="R715" s="152" t="s">
        <v>1327</v>
      </c>
      <c r="S715" s="152">
        <v>100.04802599999999</v>
      </c>
      <c r="T715" s="152">
        <v>1.049836</v>
      </c>
      <c r="U715" s="152">
        <v>6.7965999999999999E-2</v>
      </c>
      <c r="V715" s="152">
        <v>3.8339999999999999E-2</v>
      </c>
      <c r="W715" s="152">
        <v>1000</v>
      </c>
      <c r="X715" s="152" t="s">
        <v>23</v>
      </c>
      <c r="Y715" s="152" t="s">
        <v>1328</v>
      </c>
      <c r="Z715" s="152" t="s">
        <v>1327</v>
      </c>
    </row>
    <row r="716" spans="1:26" x14ac:dyDescent="0.2">
      <c r="A716" s="152" t="s">
        <v>1937</v>
      </c>
      <c r="B716" s="152">
        <v>2.09</v>
      </c>
      <c r="C716" s="151">
        <v>43920</v>
      </c>
      <c r="D716" s="152">
        <v>1.430137</v>
      </c>
      <c r="E716" s="152" t="s">
        <v>1325</v>
      </c>
      <c r="F716" s="152" t="s">
        <v>1326</v>
      </c>
      <c r="G716" s="152"/>
      <c r="H716" s="152"/>
      <c r="I716" s="151">
        <v>42951</v>
      </c>
      <c r="J716" s="152">
        <v>2.08</v>
      </c>
      <c r="K716" s="152" t="s">
        <v>1327</v>
      </c>
      <c r="L716" s="152" t="s">
        <v>1327</v>
      </c>
      <c r="M716" s="152" t="s">
        <v>1327</v>
      </c>
      <c r="N716" s="152" t="s">
        <v>1327</v>
      </c>
      <c r="O716" s="152">
        <v>2.260589</v>
      </c>
      <c r="P716" s="152">
        <v>35.921320999999999</v>
      </c>
      <c r="Q716" s="152">
        <v>2.260589</v>
      </c>
      <c r="R716" s="152" t="s">
        <v>1327</v>
      </c>
      <c r="S716" s="152">
        <v>99.769571999999997</v>
      </c>
      <c r="T716" s="152">
        <v>0.143151</v>
      </c>
      <c r="U716" s="152">
        <v>1.396136</v>
      </c>
      <c r="V716" s="152">
        <v>2.6518600000000001</v>
      </c>
      <c r="W716" s="152">
        <v>1000</v>
      </c>
      <c r="X716" s="152" t="s">
        <v>23</v>
      </c>
      <c r="Y716" s="152" t="s">
        <v>1328</v>
      </c>
      <c r="Z716" s="152" t="s">
        <v>1327</v>
      </c>
    </row>
    <row r="717" spans="1:26" x14ac:dyDescent="0.2">
      <c r="A717" s="152" t="s">
        <v>1938</v>
      </c>
      <c r="B717" s="152">
        <v>2.4500000000000002</v>
      </c>
      <c r="C717" s="151">
        <v>44419</v>
      </c>
      <c r="D717" s="152">
        <v>2.7972600000000001</v>
      </c>
      <c r="E717" s="152" t="s">
        <v>1325</v>
      </c>
      <c r="F717" s="152" t="s">
        <v>1326</v>
      </c>
      <c r="G717" s="152" t="s">
        <v>47</v>
      </c>
      <c r="H717" s="152"/>
      <c r="I717" s="151">
        <v>43363</v>
      </c>
      <c r="J717" s="152">
        <v>2.64</v>
      </c>
      <c r="K717" s="152" t="s">
        <v>1327</v>
      </c>
      <c r="L717" s="152" t="s">
        <v>1327</v>
      </c>
      <c r="M717" s="152" t="s">
        <v>1327</v>
      </c>
      <c r="N717" s="152" t="s">
        <v>1327</v>
      </c>
      <c r="O717" s="152">
        <v>2.6656680000000001</v>
      </c>
      <c r="P717" s="152">
        <v>58.856884999999998</v>
      </c>
      <c r="Q717" s="152">
        <v>2.6656680000000001</v>
      </c>
      <c r="R717" s="152" t="s">
        <v>1327</v>
      </c>
      <c r="S717" s="152">
        <v>99.410072</v>
      </c>
      <c r="T717" s="152">
        <v>0.50342500000000001</v>
      </c>
      <c r="U717" s="152">
        <v>2.6733530000000001</v>
      </c>
      <c r="V717" s="152">
        <v>8.6190339999999992</v>
      </c>
      <c r="W717" s="152">
        <v>1000</v>
      </c>
      <c r="X717" s="152" t="s">
        <v>23</v>
      </c>
      <c r="Y717" s="152" t="s">
        <v>1328</v>
      </c>
      <c r="Z717" s="152" t="s">
        <v>1327</v>
      </c>
    </row>
    <row r="718" spans="1:26" x14ac:dyDescent="0.2">
      <c r="A718" s="152" t="s">
        <v>1939</v>
      </c>
      <c r="B718" s="152">
        <v>2.78</v>
      </c>
      <c r="C718" s="151">
        <v>44833</v>
      </c>
      <c r="D718" s="152">
        <v>3.9315069999999999</v>
      </c>
      <c r="E718" s="152" t="s">
        <v>1325</v>
      </c>
      <c r="F718" s="152" t="s">
        <v>1326</v>
      </c>
      <c r="G718" s="152" t="s">
        <v>47</v>
      </c>
      <c r="H718" s="152"/>
      <c r="I718" s="151">
        <v>43112</v>
      </c>
      <c r="J718" s="152">
        <v>2.4249999999999998</v>
      </c>
      <c r="K718" s="152" t="s">
        <v>1327</v>
      </c>
      <c r="L718" s="152" t="s">
        <v>1327</v>
      </c>
      <c r="M718" s="152" t="s">
        <v>1327</v>
      </c>
      <c r="N718" s="152" t="s">
        <v>1327</v>
      </c>
      <c r="O718" s="152">
        <v>2.9543979999999999</v>
      </c>
      <c r="P718" s="152">
        <v>62.073768999999999</v>
      </c>
      <c r="Q718" s="152">
        <v>2.9543979999999999</v>
      </c>
      <c r="R718" s="152" t="s">
        <v>1327</v>
      </c>
      <c r="S718" s="152">
        <v>99.368320999999995</v>
      </c>
      <c r="T718" s="152">
        <v>0.19802700000000001</v>
      </c>
      <c r="U718" s="152">
        <v>3.6827459999999999</v>
      </c>
      <c r="V718" s="152">
        <v>15.802246</v>
      </c>
      <c r="W718" s="152">
        <v>1000</v>
      </c>
      <c r="X718" s="152" t="s">
        <v>23</v>
      </c>
      <c r="Y718" s="152" t="s">
        <v>1328</v>
      </c>
      <c r="Z718" s="152" t="s">
        <v>1327</v>
      </c>
    </row>
    <row r="719" spans="1:26" x14ac:dyDescent="0.2">
      <c r="A719" s="152" t="s">
        <v>1940</v>
      </c>
      <c r="B719" s="152">
        <v>2.97</v>
      </c>
      <c r="C719" s="151">
        <v>45198</v>
      </c>
      <c r="D719" s="152">
        <v>4.9315069999999999</v>
      </c>
      <c r="E719" s="152" t="s">
        <v>1325</v>
      </c>
      <c r="F719" s="152" t="s">
        <v>1326</v>
      </c>
      <c r="G719" s="152" t="s">
        <v>47</v>
      </c>
      <c r="H719" s="152"/>
      <c r="I719" s="151">
        <v>42948</v>
      </c>
      <c r="J719" s="152">
        <v>2.95</v>
      </c>
      <c r="K719" s="152" t="s">
        <v>1327</v>
      </c>
      <c r="L719" s="152" t="s">
        <v>1327</v>
      </c>
      <c r="M719" s="152" t="s">
        <v>1327</v>
      </c>
      <c r="N719" s="152" t="s">
        <v>1327</v>
      </c>
      <c r="O719" s="152">
        <v>3.1878440000000001</v>
      </c>
      <c r="P719" s="152">
        <v>76.237864999999999</v>
      </c>
      <c r="Q719" s="152">
        <v>3.1878440000000001</v>
      </c>
      <c r="R719" s="152" t="s">
        <v>1327</v>
      </c>
      <c r="S719" s="152">
        <v>99.025104999999996</v>
      </c>
      <c r="T719" s="152">
        <v>0.211562</v>
      </c>
      <c r="U719" s="152">
        <v>4.5337139999999998</v>
      </c>
      <c r="V719" s="152">
        <v>23.677012000000001</v>
      </c>
      <c r="W719" s="152">
        <v>1000</v>
      </c>
      <c r="X719" s="152" t="s">
        <v>23</v>
      </c>
      <c r="Y719" s="152" t="s">
        <v>1328</v>
      </c>
      <c r="Z719" s="152" t="s">
        <v>1327</v>
      </c>
    </row>
    <row r="720" spans="1:26" x14ac:dyDescent="0.2">
      <c r="A720" s="152" t="s">
        <v>1941</v>
      </c>
      <c r="B720" s="152">
        <v>3.39</v>
      </c>
      <c r="C720" s="151">
        <v>46294</v>
      </c>
      <c r="D720" s="152">
        <v>7.934247</v>
      </c>
      <c r="E720" s="152" t="s">
        <v>1325</v>
      </c>
      <c r="F720" s="152" t="s">
        <v>1326</v>
      </c>
      <c r="G720" s="152" t="s">
        <v>47</v>
      </c>
      <c r="H720" s="152"/>
      <c r="I720" s="151">
        <v>43081</v>
      </c>
      <c r="J720" s="152">
        <v>3.2949999999999999</v>
      </c>
      <c r="K720" s="152" t="s">
        <v>1327</v>
      </c>
      <c r="L720" s="152" t="s">
        <v>1327</v>
      </c>
      <c r="M720" s="152" t="s">
        <v>1327</v>
      </c>
      <c r="N720" s="152" t="s">
        <v>1327</v>
      </c>
      <c r="O720" s="152">
        <v>3.637886</v>
      </c>
      <c r="P720" s="152">
        <v>92.489031999999995</v>
      </c>
      <c r="Q720" s="152">
        <v>3.637886</v>
      </c>
      <c r="R720" s="152" t="s">
        <v>1327</v>
      </c>
      <c r="S720" s="152">
        <v>98.318619999999996</v>
      </c>
      <c r="T720" s="152">
        <v>0.241479</v>
      </c>
      <c r="U720" s="152">
        <v>6.8636330000000001</v>
      </c>
      <c r="V720" s="152">
        <v>54.405791999999998</v>
      </c>
      <c r="W720" s="152">
        <v>1000</v>
      </c>
      <c r="X720" s="152" t="s">
        <v>23</v>
      </c>
      <c r="Y720" s="152" t="s">
        <v>1328</v>
      </c>
      <c r="Z720" s="152" t="s">
        <v>1327</v>
      </c>
    </row>
    <row r="721" spans="1:26" x14ac:dyDescent="0.2">
      <c r="A721" s="152" t="s">
        <v>1942</v>
      </c>
      <c r="B721" s="152">
        <v>3.6</v>
      </c>
      <c r="C721" s="151">
        <v>44144</v>
      </c>
      <c r="D721" s="152">
        <v>2.0438360000000002</v>
      </c>
      <c r="E721" s="152" t="s">
        <v>1325</v>
      </c>
      <c r="F721" s="152" t="s">
        <v>1326</v>
      </c>
      <c r="G721" s="152"/>
      <c r="H721" s="152"/>
      <c r="I721" s="151" t="s">
        <v>1327</v>
      </c>
      <c r="J721" s="152" t="s">
        <v>1327</v>
      </c>
      <c r="K721" s="152" t="s">
        <v>1327</v>
      </c>
      <c r="L721" s="152" t="s">
        <v>1327</v>
      </c>
      <c r="M721" s="152" t="s">
        <v>1327</v>
      </c>
      <c r="N721" s="152" t="s">
        <v>1327</v>
      </c>
      <c r="O721" s="152">
        <v>4.0766359999999997</v>
      </c>
      <c r="P721" s="152">
        <v>208.27586700000001</v>
      </c>
      <c r="Q721" s="152">
        <v>4.0766359999999997</v>
      </c>
      <c r="R721" s="152" t="s">
        <v>1327</v>
      </c>
      <c r="S721" s="152">
        <v>99.059352000000004</v>
      </c>
      <c r="T721" s="152">
        <v>1.666849</v>
      </c>
      <c r="U721" s="152">
        <v>1.914631</v>
      </c>
      <c r="V721" s="152">
        <v>4.7234730000000003</v>
      </c>
      <c r="W721" s="152">
        <v>1000</v>
      </c>
      <c r="X721" s="152" t="s">
        <v>23</v>
      </c>
      <c r="Y721" s="152" t="s">
        <v>1328</v>
      </c>
      <c r="Z721" s="152" t="s">
        <v>1327</v>
      </c>
    </row>
    <row r="722" spans="1:26" x14ac:dyDescent="0.2">
      <c r="A722" s="152" t="s">
        <v>1943</v>
      </c>
      <c r="B722" s="152">
        <v>4.3</v>
      </c>
      <c r="C722" s="151">
        <v>44343</v>
      </c>
      <c r="D722" s="152">
        <v>2.5890409999999999</v>
      </c>
      <c r="E722" s="152" t="s">
        <v>1325</v>
      </c>
      <c r="F722" s="152" t="s">
        <v>1326</v>
      </c>
      <c r="G722" s="152" t="s">
        <v>35</v>
      </c>
      <c r="H722" s="152"/>
      <c r="I722" s="152">
        <v>43361</v>
      </c>
      <c r="J722" s="152">
        <v>4.37</v>
      </c>
      <c r="K722" s="152" t="s">
        <v>1327</v>
      </c>
      <c r="L722" s="152" t="s">
        <v>1327</v>
      </c>
      <c r="M722" s="152" t="s">
        <v>1327</v>
      </c>
      <c r="N722" s="152" t="s">
        <v>1327</v>
      </c>
      <c r="O722" s="152">
        <v>4.4053769999999997</v>
      </c>
      <c r="P722" s="152">
        <v>238.51039599999999</v>
      </c>
      <c r="Q722" s="152">
        <v>4.4053769999999997</v>
      </c>
      <c r="R722" s="152" t="s">
        <v>1327</v>
      </c>
      <c r="S722" s="152">
        <v>99.723526000000007</v>
      </c>
      <c r="T722" s="152">
        <v>1.778904</v>
      </c>
      <c r="U722" s="152">
        <v>2.3841320000000001</v>
      </c>
      <c r="V722" s="152">
        <v>7.1001779999999997</v>
      </c>
      <c r="W722" s="152">
        <v>1000</v>
      </c>
      <c r="X722" s="152" t="s">
        <v>23</v>
      </c>
      <c r="Y722" s="152" t="s">
        <v>1328</v>
      </c>
      <c r="Z722" s="152" t="s">
        <v>1327</v>
      </c>
    </row>
    <row r="723" spans="1:26" x14ac:dyDescent="0.2">
      <c r="A723" s="152" t="s">
        <v>1944</v>
      </c>
      <c r="B723" s="152">
        <v>7</v>
      </c>
      <c r="C723" s="151">
        <v>43911</v>
      </c>
      <c r="D723" s="152">
        <v>1.4054789999999999</v>
      </c>
      <c r="E723" s="152" t="s">
        <v>1325</v>
      </c>
      <c r="F723" s="152" t="s">
        <v>1326</v>
      </c>
      <c r="G723" s="152"/>
      <c r="H723" s="152"/>
      <c r="I723" s="152" t="s">
        <v>1327</v>
      </c>
      <c r="J723" s="152" t="s">
        <v>1327</v>
      </c>
      <c r="K723" s="152" t="s">
        <v>1327</v>
      </c>
      <c r="L723" s="152" t="s">
        <v>1327</v>
      </c>
      <c r="M723" s="152" t="s">
        <v>1327</v>
      </c>
      <c r="N723" s="152" t="s">
        <v>1327</v>
      </c>
      <c r="O723" s="152">
        <v>7.4536559999999996</v>
      </c>
      <c r="P723" s="152">
        <v>576.96941800000002</v>
      </c>
      <c r="Q723" s="152">
        <v>7.4536559999999996</v>
      </c>
      <c r="R723" s="152" t="s">
        <v>1327</v>
      </c>
      <c r="S723" s="152">
        <v>99.400676000000004</v>
      </c>
      <c r="T723" s="152">
        <v>0.65205500000000005</v>
      </c>
      <c r="U723" s="152">
        <v>1.3183199999999999</v>
      </c>
      <c r="V723" s="152">
        <v>2.1139969999999999</v>
      </c>
      <c r="W723" s="152">
        <v>1000</v>
      </c>
      <c r="X723" s="152" t="s">
        <v>23</v>
      </c>
      <c r="Y723" s="152" t="s">
        <v>1328</v>
      </c>
      <c r="Z723" s="152" t="s">
        <v>1327</v>
      </c>
    </row>
    <row r="724" spans="1:26" x14ac:dyDescent="0.2">
      <c r="A724" s="152" t="s">
        <v>1945</v>
      </c>
      <c r="B724" s="152">
        <v>7</v>
      </c>
      <c r="C724" s="151">
        <v>44007</v>
      </c>
      <c r="D724" s="152">
        <v>1.668493</v>
      </c>
      <c r="E724" s="152" t="s">
        <v>1325</v>
      </c>
      <c r="F724" s="152" t="s">
        <v>1326</v>
      </c>
      <c r="G724" s="152"/>
      <c r="H724" s="152"/>
      <c r="I724" s="152">
        <v>43390</v>
      </c>
      <c r="J724" s="152">
        <v>7.2874999999999996</v>
      </c>
      <c r="K724" s="152" t="s">
        <v>1327</v>
      </c>
      <c r="L724" s="152" t="s">
        <v>1327</v>
      </c>
      <c r="M724" s="152" t="s">
        <v>1327</v>
      </c>
      <c r="N724" s="152" t="s">
        <v>1327</v>
      </c>
      <c r="O724" s="152">
        <v>7.2910500000000003</v>
      </c>
      <c r="P724" s="152">
        <v>551.99185999999997</v>
      </c>
      <c r="Q724" s="152">
        <v>7.2910500000000003</v>
      </c>
      <c r="R724" s="152" t="s">
        <v>1327</v>
      </c>
      <c r="S724" s="152">
        <v>99.548281000000003</v>
      </c>
      <c r="T724" s="152">
        <v>0.57534200000000002</v>
      </c>
      <c r="U724" s="152">
        <v>1.5508519999999999</v>
      </c>
      <c r="V724" s="152">
        <v>2.8712430000000002</v>
      </c>
      <c r="W724" s="152">
        <v>1000</v>
      </c>
      <c r="X724" s="152" t="s">
        <v>23</v>
      </c>
      <c r="Y724" s="152" t="s">
        <v>1328</v>
      </c>
      <c r="Z724" s="152" t="s">
        <v>1327</v>
      </c>
    </row>
    <row r="725" spans="1:26" x14ac:dyDescent="0.2">
      <c r="A725" s="152" t="s">
        <v>1946</v>
      </c>
      <c r="B725" s="152">
        <v>7.25</v>
      </c>
      <c r="C725" s="151">
        <v>44123</v>
      </c>
      <c r="D725" s="152">
        <v>1.9863010000000001</v>
      </c>
      <c r="E725" s="152" t="s">
        <v>1325</v>
      </c>
      <c r="F725" s="152" t="s">
        <v>1326</v>
      </c>
      <c r="G725" s="152"/>
      <c r="H725" s="152"/>
      <c r="I725" s="151" t="s">
        <v>1327</v>
      </c>
      <c r="J725" s="152" t="s">
        <v>1327</v>
      </c>
      <c r="K725" s="152" t="s">
        <v>1327</v>
      </c>
      <c r="L725" s="152" t="s">
        <v>1327</v>
      </c>
      <c r="M725" s="152" t="s">
        <v>1327</v>
      </c>
      <c r="N725" s="152" t="s">
        <v>1327</v>
      </c>
      <c r="O725" s="152">
        <v>7.2448170000000003</v>
      </c>
      <c r="P725" s="152">
        <v>542.34137399999997</v>
      </c>
      <c r="Q725" s="152">
        <v>7.2448170000000003</v>
      </c>
      <c r="R725" s="152" t="s">
        <v>1327</v>
      </c>
      <c r="S725" s="152">
        <v>99.993729000000002</v>
      </c>
      <c r="T725" s="152">
        <v>0.11917800000000001</v>
      </c>
      <c r="U725" s="152">
        <v>1.8321620000000001</v>
      </c>
      <c r="V725" s="152">
        <v>3.9393400000000001</v>
      </c>
      <c r="W725" s="152">
        <v>1000</v>
      </c>
      <c r="X725" s="152" t="s">
        <v>23</v>
      </c>
      <c r="Y725" s="152" t="s">
        <v>1328</v>
      </c>
      <c r="Z725" s="152" t="s">
        <v>1327</v>
      </c>
    </row>
    <row r="726" spans="1:26" x14ac:dyDescent="0.2">
      <c r="A726" s="152" t="s">
        <v>1947</v>
      </c>
      <c r="B726" s="152">
        <v>6.25</v>
      </c>
      <c r="C726" s="151">
        <v>43983</v>
      </c>
      <c r="D726" s="152">
        <v>1.6027400000000001</v>
      </c>
      <c r="E726" s="152" t="s">
        <v>1325</v>
      </c>
      <c r="F726" s="152" t="s">
        <v>1326</v>
      </c>
      <c r="G726" s="152"/>
      <c r="H726" s="152"/>
      <c r="I726" s="152">
        <v>43320</v>
      </c>
      <c r="J726" s="152">
        <v>6.25</v>
      </c>
      <c r="K726" s="152" t="s">
        <v>1327</v>
      </c>
      <c r="L726" s="152" t="s">
        <v>1327</v>
      </c>
      <c r="M726" s="152" t="s">
        <v>1327</v>
      </c>
      <c r="N726" s="152" t="s">
        <v>1327</v>
      </c>
      <c r="O726" s="152">
        <v>6.460267</v>
      </c>
      <c r="P726" s="152">
        <v>466.078012</v>
      </c>
      <c r="Q726" s="152">
        <v>6.460267</v>
      </c>
      <c r="R726" s="152" t="s">
        <v>1327</v>
      </c>
      <c r="S726" s="152">
        <v>99.683805000000007</v>
      </c>
      <c r="T726" s="152">
        <v>0.92465799999999998</v>
      </c>
      <c r="U726" s="152">
        <v>1.4982770000000001</v>
      </c>
      <c r="V726" s="152">
        <v>2.6908699999999999</v>
      </c>
      <c r="W726" s="152">
        <v>1000</v>
      </c>
      <c r="X726" s="152" t="s">
        <v>23</v>
      </c>
      <c r="Y726" s="152" t="s">
        <v>1328</v>
      </c>
      <c r="Z726" s="152" t="s">
        <v>1327</v>
      </c>
    </row>
    <row r="727" spans="1:26" x14ac:dyDescent="0.2">
      <c r="A727" s="152" t="s">
        <v>1948</v>
      </c>
      <c r="B727" s="152">
        <v>5.2</v>
      </c>
      <c r="C727" s="151">
        <v>43450</v>
      </c>
      <c r="D727" s="152">
        <v>0.14246600000000001</v>
      </c>
      <c r="E727" s="152" t="s">
        <v>1325</v>
      </c>
      <c r="F727" s="152" t="s">
        <v>1326</v>
      </c>
      <c r="G727" s="152"/>
      <c r="H727" s="152"/>
      <c r="I727" s="151" t="s">
        <v>1327</v>
      </c>
      <c r="J727" s="152" t="s">
        <v>1327</v>
      </c>
      <c r="K727" s="152" t="s">
        <v>1327</v>
      </c>
      <c r="L727" s="152" t="s">
        <v>1327</v>
      </c>
      <c r="M727" s="152" t="s">
        <v>1327</v>
      </c>
      <c r="N727" s="152" t="s">
        <v>1327</v>
      </c>
      <c r="O727" s="152">
        <v>4.6893149999999997</v>
      </c>
      <c r="P727" s="152">
        <v>340.06184000000002</v>
      </c>
      <c r="Q727" s="152">
        <v>4.6893149999999997</v>
      </c>
      <c r="R727" s="152" t="s">
        <v>1327</v>
      </c>
      <c r="S727" s="152">
        <v>100.073798</v>
      </c>
      <c r="T727" s="152">
        <v>0.555616</v>
      </c>
      <c r="U727" s="152">
        <v>0.140815</v>
      </c>
      <c r="V727" s="152">
        <v>5.4625E-2</v>
      </c>
      <c r="W727" s="152">
        <v>1000</v>
      </c>
      <c r="X727" s="152" t="s">
        <v>23</v>
      </c>
      <c r="Y727" s="152" t="s">
        <v>1328</v>
      </c>
      <c r="Z727" s="152" t="s">
        <v>1327</v>
      </c>
    </row>
    <row r="728" spans="1:26" x14ac:dyDescent="0.2">
      <c r="A728" s="152" t="s">
        <v>1949</v>
      </c>
      <c r="B728" s="152">
        <v>6.5</v>
      </c>
      <c r="C728" s="151">
        <v>44095</v>
      </c>
      <c r="D728" s="152">
        <v>1.909589</v>
      </c>
      <c r="E728" s="152" t="s">
        <v>1325</v>
      </c>
      <c r="F728" s="152" t="s">
        <v>1326</v>
      </c>
      <c r="G728" s="152"/>
      <c r="H728" s="152"/>
      <c r="I728" s="151" t="s">
        <v>1327</v>
      </c>
      <c r="J728" s="152" t="s">
        <v>1327</v>
      </c>
      <c r="K728" s="152" t="s">
        <v>1327</v>
      </c>
      <c r="L728" s="152" t="s">
        <v>1327</v>
      </c>
      <c r="M728" s="152" t="s">
        <v>1327</v>
      </c>
      <c r="N728" s="152" t="s">
        <v>1327</v>
      </c>
      <c r="O728" s="152">
        <v>6.5272579999999998</v>
      </c>
      <c r="P728" s="152">
        <v>466.699049</v>
      </c>
      <c r="Q728" s="152">
        <v>6.5272579999999998</v>
      </c>
      <c r="R728" s="152" t="s">
        <v>1327</v>
      </c>
      <c r="S728" s="152">
        <v>99.952886000000007</v>
      </c>
      <c r="T728" s="152">
        <v>0.60547899999999999</v>
      </c>
      <c r="U728" s="152">
        <v>1.7688440000000001</v>
      </c>
      <c r="V728" s="152">
        <v>3.6850489999999998</v>
      </c>
      <c r="W728" s="152">
        <v>1000</v>
      </c>
      <c r="X728" s="152" t="s">
        <v>23</v>
      </c>
      <c r="Y728" s="152" t="s">
        <v>1328</v>
      </c>
      <c r="Z728" s="152" t="s">
        <v>1327</v>
      </c>
    </row>
    <row r="729" spans="1:26" x14ac:dyDescent="0.2">
      <c r="A729" s="152" t="s">
        <v>1950</v>
      </c>
      <c r="B729" s="152">
        <v>6</v>
      </c>
      <c r="C729" s="151">
        <v>43506</v>
      </c>
      <c r="D729" s="152">
        <v>0.29588999999999999</v>
      </c>
      <c r="E729" s="152" t="s">
        <v>1325</v>
      </c>
      <c r="F729" s="152" t="s">
        <v>1326</v>
      </c>
      <c r="G729" s="152"/>
      <c r="H729" s="152"/>
      <c r="I729" s="151" t="s">
        <v>1327</v>
      </c>
      <c r="J729" s="152" t="s">
        <v>1327</v>
      </c>
      <c r="K729" s="152" t="s">
        <v>1327</v>
      </c>
      <c r="L729" s="152" t="s">
        <v>1327</v>
      </c>
      <c r="M729" s="152" t="s">
        <v>1327</v>
      </c>
      <c r="N729" s="152" t="s">
        <v>1327</v>
      </c>
      <c r="O729" s="152">
        <v>5.3808319999999998</v>
      </c>
      <c r="P729" s="152">
        <v>385.20803699999999</v>
      </c>
      <c r="Q729" s="152">
        <v>5.3808319999999998</v>
      </c>
      <c r="R729" s="152" t="s">
        <v>1327</v>
      </c>
      <c r="S729" s="152">
        <v>100.16552900000001</v>
      </c>
      <c r="T729" s="152">
        <v>1.249315</v>
      </c>
      <c r="U729" s="152">
        <v>0.28629500000000002</v>
      </c>
      <c r="V729" s="152">
        <v>0.153473</v>
      </c>
      <c r="W729" s="152">
        <v>1000</v>
      </c>
      <c r="X729" s="152" t="s">
        <v>23</v>
      </c>
      <c r="Y729" s="152" t="s">
        <v>1328</v>
      </c>
      <c r="Z729" s="152" t="s">
        <v>1327</v>
      </c>
    </row>
    <row r="730" spans="1:26" x14ac:dyDescent="0.2">
      <c r="A730" s="152" t="s">
        <v>1951</v>
      </c>
      <c r="B730" s="152">
        <v>5.6</v>
      </c>
      <c r="C730" s="151">
        <v>44161</v>
      </c>
      <c r="D730" s="152">
        <v>2.090411</v>
      </c>
      <c r="E730" s="152" t="s">
        <v>1325</v>
      </c>
      <c r="F730" s="152" t="s">
        <v>1326</v>
      </c>
      <c r="G730" s="152"/>
      <c r="H730" s="152"/>
      <c r="I730" s="151">
        <v>42335</v>
      </c>
      <c r="J730" s="152">
        <v>5.57</v>
      </c>
      <c r="K730" s="152" t="s">
        <v>1327</v>
      </c>
      <c r="L730" s="152" t="s">
        <v>1327</v>
      </c>
      <c r="M730" s="152" t="s">
        <v>1327</v>
      </c>
      <c r="N730" s="152" t="s">
        <v>1327</v>
      </c>
      <c r="O730" s="152">
        <v>5.7842209999999996</v>
      </c>
      <c r="P730" s="152">
        <v>387.17780900000002</v>
      </c>
      <c r="Q730" s="152">
        <v>5.7842209999999996</v>
      </c>
      <c r="R730" s="152" t="s">
        <v>1327</v>
      </c>
      <c r="S730" s="152">
        <v>99.626366000000004</v>
      </c>
      <c r="T730" s="152">
        <v>0.92054800000000003</v>
      </c>
      <c r="U730" s="152">
        <v>1.939006</v>
      </c>
      <c r="V730" s="152">
        <v>4.3911210000000001</v>
      </c>
      <c r="W730" s="152">
        <v>1000</v>
      </c>
      <c r="X730" s="152" t="s">
        <v>23</v>
      </c>
      <c r="Y730" s="152" t="s">
        <v>1328</v>
      </c>
      <c r="Z730" s="152" t="s">
        <v>1327</v>
      </c>
    </row>
    <row r="731" spans="1:26" x14ac:dyDescent="0.2">
      <c r="A731" s="152" t="s">
        <v>1952</v>
      </c>
      <c r="B731" s="152">
        <v>5.65</v>
      </c>
      <c r="C731" s="151">
        <v>43614</v>
      </c>
      <c r="D731" s="152">
        <v>0.591781</v>
      </c>
      <c r="E731" s="152" t="s">
        <v>1325</v>
      </c>
      <c r="F731" s="152" t="s">
        <v>1326</v>
      </c>
      <c r="G731" s="152"/>
      <c r="H731" s="152"/>
      <c r="I731" s="151" t="s">
        <v>1327</v>
      </c>
      <c r="J731" s="152" t="s">
        <v>1327</v>
      </c>
      <c r="K731" s="152" t="s">
        <v>1327</v>
      </c>
      <c r="L731" s="152" t="s">
        <v>1327</v>
      </c>
      <c r="M731" s="152" t="s">
        <v>1327</v>
      </c>
      <c r="N731" s="152" t="s">
        <v>1327</v>
      </c>
      <c r="O731" s="152">
        <v>5.1125030000000002</v>
      </c>
      <c r="P731" s="152">
        <v>347.41187300000001</v>
      </c>
      <c r="Q731" s="152">
        <v>5.1125030000000002</v>
      </c>
      <c r="R731" s="152" t="s">
        <v>1327</v>
      </c>
      <c r="S731" s="152">
        <v>100.29975899999999</v>
      </c>
      <c r="T731" s="152">
        <v>0.88232900000000003</v>
      </c>
      <c r="U731" s="152">
        <v>0.57812600000000003</v>
      </c>
      <c r="V731" s="152">
        <v>0.48105399999999998</v>
      </c>
      <c r="W731" s="152">
        <v>1000</v>
      </c>
      <c r="X731" s="152" t="s">
        <v>23</v>
      </c>
      <c r="Y731" s="152" t="s">
        <v>1328</v>
      </c>
      <c r="Z731" s="152" t="s">
        <v>1327</v>
      </c>
    </row>
    <row r="732" spans="1:26" x14ac:dyDescent="0.2">
      <c r="A732" s="152" t="s">
        <v>1953</v>
      </c>
      <c r="B732" s="152">
        <v>4.3</v>
      </c>
      <c r="C732" s="151">
        <v>43702</v>
      </c>
      <c r="D732" s="152">
        <v>0.83287699999999998</v>
      </c>
      <c r="E732" s="152" t="s">
        <v>1325</v>
      </c>
      <c r="F732" s="152" t="s">
        <v>1326</v>
      </c>
      <c r="G732" s="152"/>
      <c r="H732" s="152"/>
      <c r="I732" s="151" t="s">
        <v>1327</v>
      </c>
      <c r="J732" s="152" t="s">
        <v>1327</v>
      </c>
      <c r="K732" s="152" t="s">
        <v>1327</v>
      </c>
      <c r="L732" s="152" t="s">
        <v>1327</v>
      </c>
      <c r="M732" s="152" t="s">
        <v>1327</v>
      </c>
      <c r="N732" s="152" t="s">
        <v>1327</v>
      </c>
      <c r="O732" s="152">
        <v>5.1691960000000003</v>
      </c>
      <c r="P732" s="152">
        <v>348.06140900000003</v>
      </c>
      <c r="Q732" s="152">
        <v>5.1691960000000003</v>
      </c>
      <c r="R732" s="152" t="s">
        <v>1327</v>
      </c>
      <c r="S732" s="152">
        <v>99.283788000000001</v>
      </c>
      <c r="T732" s="152">
        <v>0.71862999999999999</v>
      </c>
      <c r="U732" s="152">
        <v>0.80856399999999995</v>
      </c>
      <c r="V732" s="152">
        <v>0.86216899999999996</v>
      </c>
      <c r="W732" s="152">
        <v>1000</v>
      </c>
      <c r="X732" s="152" t="s">
        <v>23</v>
      </c>
      <c r="Y732" s="152" t="s">
        <v>1328</v>
      </c>
      <c r="Z732" s="152" t="s">
        <v>1327</v>
      </c>
    </row>
    <row r="733" spans="1:26" x14ac:dyDescent="0.2">
      <c r="A733" s="152" t="s">
        <v>1954</v>
      </c>
      <c r="B733" s="152">
        <v>4.8</v>
      </c>
      <c r="C733" s="151">
        <v>43947</v>
      </c>
      <c r="D733" s="152">
        <v>1.5041100000000001</v>
      </c>
      <c r="E733" s="152" t="s">
        <v>1325</v>
      </c>
      <c r="F733" s="152" t="s">
        <v>1326</v>
      </c>
      <c r="G733" s="152"/>
      <c r="H733" s="152"/>
      <c r="I733" s="152">
        <v>42851</v>
      </c>
      <c r="J733" s="152">
        <v>4.8011499999999998</v>
      </c>
      <c r="K733" s="152" t="s">
        <v>1327</v>
      </c>
      <c r="L733" s="152" t="s">
        <v>1327</v>
      </c>
      <c r="M733" s="152" t="s">
        <v>1327</v>
      </c>
      <c r="N733" s="152" t="s">
        <v>1327</v>
      </c>
      <c r="O733" s="152">
        <v>5.3942730000000001</v>
      </c>
      <c r="P733" s="152">
        <v>357.12615399999999</v>
      </c>
      <c r="Q733" s="152">
        <v>5.3942730000000001</v>
      </c>
      <c r="R733" s="152" t="s">
        <v>1327</v>
      </c>
      <c r="S733" s="152">
        <v>99.147792999999993</v>
      </c>
      <c r="T733" s="152">
        <v>-1.3150999999999999E-2</v>
      </c>
      <c r="U733" s="152">
        <v>1.4393339999999999</v>
      </c>
      <c r="V733" s="152">
        <v>2.4643280000000001</v>
      </c>
      <c r="W733" s="152">
        <v>1000</v>
      </c>
      <c r="X733" s="152" t="s">
        <v>23</v>
      </c>
      <c r="Y733" s="152" t="s">
        <v>1328</v>
      </c>
      <c r="Z733" s="152" t="s">
        <v>1327</v>
      </c>
    </row>
    <row r="734" spans="1:26" x14ac:dyDescent="0.2">
      <c r="A734" s="152" t="s">
        <v>1955</v>
      </c>
      <c r="B734" s="152">
        <v>5.2</v>
      </c>
      <c r="C734" s="151">
        <v>44237</v>
      </c>
      <c r="D734" s="152">
        <v>2.2986300000000002</v>
      </c>
      <c r="E734" s="152" t="s">
        <v>1325</v>
      </c>
      <c r="F734" s="152" t="s">
        <v>1326</v>
      </c>
      <c r="G734" s="152"/>
      <c r="H734" s="152"/>
      <c r="I734" s="152" t="s">
        <v>1327</v>
      </c>
      <c r="J734" s="152" t="s">
        <v>1327</v>
      </c>
      <c r="K734" s="152" t="s">
        <v>1327</v>
      </c>
      <c r="L734" s="152" t="s">
        <v>1327</v>
      </c>
      <c r="M734" s="152" t="s">
        <v>1327</v>
      </c>
      <c r="N734" s="152" t="s">
        <v>1327</v>
      </c>
      <c r="O734" s="152">
        <v>5.8195620000000003</v>
      </c>
      <c r="P734" s="152">
        <v>388.70470999999998</v>
      </c>
      <c r="Q734" s="152">
        <v>5.8195620000000003</v>
      </c>
      <c r="R734" s="152" t="s">
        <v>1327</v>
      </c>
      <c r="S734" s="152">
        <v>98.666518999999994</v>
      </c>
      <c r="T734" s="152">
        <v>1.08274</v>
      </c>
      <c r="U734" s="152">
        <v>2.1221679999999998</v>
      </c>
      <c r="V734" s="152">
        <v>5.2262399999999998</v>
      </c>
      <c r="W734" s="152">
        <v>1000</v>
      </c>
      <c r="X734" s="152" t="s">
        <v>23</v>
      </c>
      <c r="Y734" s="152" t="s">
        <v>1328</v>
      </c>
      <c r="Z734" s="152" t="s">
        <v>1327</v>
      </c>
    </row>
    <row r="735" spans="1:26" x14ac:dyDescent="0.2">
      <c r="A735" s="152" t="s">
        <v>1956</v>
      </c>
      <c r="B735" s="152">
        <v>5.6</v>
      </c>
      <c r="C735" s="151">
        <v>44419</v>
      </c>
      <c r="D735" s="152">
        <v>2.7972600000000001</v>
      </c>
      <c r="E735" s="152" t="s">
        <v>1325</v>
      </c>
      <c r="F735" s="152" t="s">
        <v>1326</v>
      </c>
      <c r="G735" s="152"/>
      <c r="H735" s="152"/>
      <c r="I735" s="151" t="s">
        <v>1327</v>
      </c>
      <c r="J735" s="152" t="s">
        <v>1327</v>
      </c>
      <c r="K735" s="152" t="s">
        <v>1327</v>
      </c>
      <c r="L735" s="152" t="s">
        <v>1327</v>
      </c>
      <c r="M735" s="152" t="s">
        <v>1327</v>
      </c>
      <c r="N735" s="152" t="s">
        <v>1327</v>
      </c>
      <c r="O735" s="152">
        <v>5.9436720000000003</v>
      </c>
      <c r="P735" s="152">
        <v>398.52279800000002</v>
      </c>
      <c r="Q735" s="152">
        <v>5.9436720000000003</v>
      </c>
      <c r="R735" s="152" t="s">
        <v>1327</v>
      </c>
      <c r="S735" s="152">
        <v>99.107442000000006</v>
      </c>
      <c r="T735" s="152">
        <v>1.150685</v>
      </c>
      <c r="U735" s="152">
        <v>2.5399150000000001</v>
      </c>
      <c r="V735" s="152">
        <v>7.4433090000000002</v>
      </c>
      <c r="W735" s="152">
        <v>1000</v>
      </c>
      <c r="X735" s="152" t="s">
        <v>23</v>
      </c>
      <c r="Y735" s="152" t="s">
        <v>1328</v>
      </c>
      <c r="Z735" s="152" t="s">
        <v>1327</v>
      </c>
    </row>
    <row r="736" spans="1:26" x14ac:dyDescent="0.2">
      <c r="A736" s="152" t="s">
        <v>1957</v>
      </c>
      <c r="B736" s="152">
        <v>2.19</v>
      </c>
      <c r="C736" s="151">
        <v>43531</v>
      </c>
      <c r="D736" s="152">
        <v>0.36438399999999999</v>
      </c>
      <c r="E736" s="152" t="s">
        <v>1325</v>
      </c>
      <c r="F736" s="152" t="s">
        <v>1326</v>
      </c>
      <c r="G736" s="152" t="s">
        <v>116</v>
      </c>
      <c r="H736" s="152"/>
      <c r="I736" s="152">
        <v>43392</v>
      </c>
      <c r="J736" s="152">
        <v>2</v>
      </c>
      <c r="K736" s="152" t="s">
        <v>1327</v>
      </c>
      <c r="L736" s="152" t="s">
        <v>1327</v>
      </c>
      <c r="M736" s="152" t="s">
        <v>1327</v>
      </c>
      <c r="N736" s="152" t="s">
        <v>1327</v>
      </c>
      <c r="O736" s="152">
        <v>1.9924230000000001</v>
      </c>
      <c r="P736" s="152">
        <v>36.088661000000002</v>
      </c>
      <c r="Q736" s="152">
        <v>1.9924230000000001</v>
      </c>
      <c r="R736" s="152" t="s">
        <v>1327</v>
      </c>
      <c r="S736" s="152">
        <v>100.073387</v>
      </c>
      <c r="T736" s="152">
        <v>0.28799999999999998</v>
      </c>
      <c r="U736" s="152">
        <v>0.36463099999999998</v>
      </c>
      <c r="V736" s="152">
        <v>0.223997</v>
      </c>
      <c r="W736" s="152">
        <v>1000</v>
      </c>
      <c r="X736" s="152" t="s">
        <v>23</v>
      </c>
      <c r="Y736" s="152" t="s">
        <v>1328</v>
      </c>
      <c r="Z736" s="152" t="s">
        <v>1327</v>
      </c>
    </row>
    <row r="737" spans="1:26" x14ac:dyDescent="0.2">
      <c r="A737" s="152" t="s">
        <v>1958</v>
      </c>
      <c r="B737" s="152">
        <v>2.2400000000000002</v>
      </c>
      <c r="C737" s="151">
        <v>43654</v>
      </c>
      <c r="D737" s="152">
        <v>0.70137000000000005</v>
      </c>
      <c r="E737" s="152" t="s">
        <v>1325</v>
      </c>
      <c r="F737" s="152" t="s">
        <v>1326</v>
      </c>
      <c r="G737" s="152" t="s">
        <v>116</v>
      </c>
      <c r="H737" s="152"/>
      <c r="I737" s="152">
        <v>43364</v>
      </c>
      <c r="J737" s="152">
        <v>2.02</v>
      </c>
      <c r="K737" s="152" t="s">
        <v>1327</v>
      </c>
      <c r="L737" s="152" t="s">
        <v>1327</v>
      </c>
      <c r="M737" s="152" t="s">
        <v>1327</v>
      </c>
      <c r="N737" s="152" t="s">
        <v>1327</v>
      </c>
      <c r="O737" s="152">
        <v>2.1469140000000002</v>
      </c>
      <c r="P737" s="152">
        <v>38.262656</v>
      </c>
      <c r="Q737" s="152">
        <v>2.1469140000000002</v>
      </c>
      <c r="R737" s="152" t="s">
        <v>1327</v>
      </c>
      <c r="S737" s="152">
        <v>100.06018</v>
      </c>
      <c r="T737" s="152">
        <v>0.10432900000000001</v>
      </c>
      <c r="U737" s="152">
        <v>0.69756799999999997</v>
      </c>
      <c r="V737" s="152">
        <v>0.66176400000000002</v>
      </c>
      <c r="W737" s="152">
        <v>1000</v>
      </c>
      <c r="X737" s="152" t="s">
        <v>23</v>
      </c>
      <c r="Y737" s="152" t="s">
        <v>1328</v>
      </c>
      <c r="Z737" s="152" t="s">
        <v>1327</v>
      </c>
    </row>
    <row r="738" spans="1:26" x14ac:dyDescent="0.2">
      <c r="A738" s="152" t="s">
        <v>1959</v>
      </c>
      <c r="B738" s="152">
        <v>2.85</v>
      </c>
      <c r="C738" s="151">
        <v>43684</v>
      </c>
      <c r="D738" s="152">
        <v>0.78356199999999998</v>
      </c>
      <c r="E738" s="152" t="s">
        <v>1325</v>
      </c>
      <c r="F738" s="152" t="s">
        <v>1326</v>
      </c>
      <c r="G738" s="152" t="s">
        <v>116</v>
      </c>
      <c r="H738" s="152"/>
      <c r="I738" s="151">
        <v>43262</v>
      </c>
      <c r="J738" s="152">
        <v>1.7849999999999999</v>
      </c>
      <c r="K738" s="152" t="s">
        <v>1327</v>
      </c>
      <c r="L738" s="152" t="s">
        <v>1327</v>
      </c>
      <c r="M738" s="152" t="s">
        <v>1327</v>
      </c>
      <c r="N738" s="152" t="s">
        <v>1327</v>
      </c>
      <c r="O738" s="152">
        <v>2.1897850000000001</v>
      </c>
      <c r="P738" s="152">
        <v>41.244663000000003</v>
      </c>
      <c r="Q738" s="152">
        <v>2.1897850000000001</v>
      </c>
      <c r="R738" s="152" t="s">
        <v>1327</v>
      </c>
      <c r="S738" s="152">
        <v>100.513166</v>
      </c>
      <c r="T738" s="152">
        <v>-0.101507</v>
      </c>
      <c r="U738" s="152">
        <v>0.77608900000000003</v>
      </c>
      <c r="V738" s="152">
        <v>0.79742900000000005</v>
      </c>
      <c r="W738" s="152">
        <v>1000</v>
      </c>
      <c r="X738" s="152" t="s">
        <v>23</v>
      </c>
      <c r="Y738" s="152" t="s">
        <v>1328</v>
      </c>
      <c r="Z738" s="152" t="s">
        <v>1327</v>
      </c>
    </row>
    <row r="739" spans="1:26" x14ac:dyDescent="0.2">
      <c r="A739" s="152" t="s">
        <v>491</v>
      </c>
      <c r="B739" s="152">
        <v>2.2400000000000002</v>
      </c>
      <c r="C739" s="151">
        <v>44138</v>
      </c>
      <c r="D739" s="152">
        <v>2.0273970000000001</v>
      </c>
      <c r="E739" s="152" t="s">
        <v>1325</v>
      </c>
      <c r="F739" s="152" t="s">
        <v>1326</v>
      </c>
      <c r="G739" s="152" t="s">
        <v>116</v>
      </c>
      <c r="H739" s="152"/>
      <c r="I739" s="152">
        <v>43255</v>
      </c>
      <c r="J739" s="152">
        <v>2.2650000000000001</v>
      </c>
      <c r="K739" s="152" t="s">
        <v>1327</v>
      </c>
      <c r="L739" s="152" t="s">
        <v>1327</v>
      </c>
      <c r="M739" s="152" t="s">
        <v>1327</v>
      </c>
      <c r="N739" s="152" t="s">
        <v>1327</v>
      </c>
      <c r="O739" s="152">
        <v>2.478278</v>
      </c>
      <c r="P739" s="152">
        <v>45.992111000000001</v>
      </c>
      <c r="Q739" s="152">
        <v>2.478278</v>
      </c>
      <c r="R739" s="152" t="s">
        <v>1327</v>
      </c>
      <c r="S739" s="152">
        <v>99.532647999999995</v>
      </c>
      <c r="T739" s="152">
        <v>-5.5232999999999997E-2</v>
      </c>
      <c r="U739" s="152">
        <v>1.967209</v>
      </c>
      <c r="V739" s="152">
        <v>4.8781670000000004</v>
      </c>
      <c r="W739" s="152">
        <v>1000</v>
      </c>
      <c r="X739" s="152" t="s">
        <v>23</v>
      </c>
      <c r="Y739" s="152" t="s">
        <v>1328</v>
      </c>
      <c r="Z739" s="152" t="s">
        <v>1327</v>
      </c>
    </row>
    <row r="740" spans="1:26" x14ac:dyDescent="0.2">
      <c r="A740" s="152" t="s">
        <v>1960</v>
      </c>
      <c r="B740" s="152">
        <v>2.97</v>
      </c>
      <c r="C740" s="151">
        <v>44342</v>
      </c>
      <c r="D740" s="152">
        <v>2.5863010000000002</v>
      </c>
      <c r="E740" s="152" t="s">
        <v>1325</v>
      </c>
      <c r="F740" s="152" t="s">
        <v>1326</v>
      </c>
      <c r="G740" s="152" t="s">
        <v>116</v>
      </c>
      <c r="H740" s="152"/>
      <c r="I740" s="152">
        <v>43356</v>
      </c>
      <c r="J740" s="152">
        <v>2.5299999999999998</v>
      </c>
      <c r="K740" s="152" t="s">
        <v>1327</v>
      </c>
      <c r="L740" s="152" t="s">
        <v>1327</v>
      </c>
      <c r="M740" s="152" t="s">
        <v>1327</v>
      </c>
      <c r="N740" s="152" t="s">
        <v>1327</v>
      </c>
      <c r="O740" s="152">
        <v>2.5678329999999998</v>
      </c>
      <c r="P740" s="152">
        <v>52.096029000000001</v>
      </c>
      <c r="Q740" s="152">
        <v>2.5678329999999998</v>
      </c>
      <c r="R740" s="152" t="s">
        <v>1327</v>
      </c>
      <c r="S740" s="152">
        <v>100.99709799999999</v>
      </c>
      <c r="T740" s="152">
        <v>0.48821900000000001</v>
      </c>
      <c r="U740" s="152">
        <v>2.4733160000000001</v>
      </c>
      <c r="V740" s="152">
        <v>6.8931760000000004</v>
      </c>
      <c r="W740" s="152">
        <v>1000</v>
      </c>
      <c r="X740" s="152" t="s">
        <v>23</v>
      </c>
      <c r="Y740" s="152" t="s">
        <v>1328</v>
      </c>
      <c r="Z740" s="152" t="s">
        <v>1327</v>
      </c>
    </row>
    <row r="741" spans="1:26" x14ac:dyDescent="0.2">
      <c r="A741" s="152" t="s">
        <v>594</v>
      </c>
      <c r="B741" s="152">
        <v>2.6</v>
      </c>
      <c r="C741" s="151">
        <v>44402</v>
      </c>
      <c r="D741" s="152">
        <v>2.7506849999999998</v>
      </c>
      <c r="E741" s="152" t="s">
        <v>1325</v>
      </c>
      <c r="F741" s="152" t="s">
        <v>1326</v>
      </c>
      <c r="G741" s="152" t="s">
        <v>116</v>
      </c>
      <c r="H741" s="152"/>
      <c r="I741" s="152">
        <v>43347</v>
      </c>
      <c r="J741" s="152">
        <v>2.5750000000000002</v>
      </c>
      <c r="K741" s="152" t="s">
        <v>1327</v>
      </c>
      <c r="L741" s="152" t="s">
        <v>1327</v>
      </c>
      <c r="M741" s="152" t="s">
        <v>1327</v>
      </c>
      <c r="N741" s="152" t="s">
        <v>1327</v>
      </c>
      <c r="O741" s="152">
        <v>2.6651859999999998</v>
      </c>
      <c r="P741" s="152">
        <v>59.420451</v>
      </c>
      <c r="Q741" s="152">
        <v>2.6651859999999998</v>
      </c>
      <c r="R741" s="152" t="s">
        <v>1327</v>
      </c>
      <c r="S741" s="152">
        <v>99.815291999999999</v>
      </c>
      <c r="T741" s="152">
        <v>0.65534199999999998</v>
      </c>
      <c r="U741" s="152">
        <v>2.622385</v>
      </c>
      <c r="V741" s="152">
        <v>8.3321819999999995</v>
      </c>
      <c r="W741" s="152">
        <v>1000</v>
      </c>
      <c r="X741" s="152" t="s">
        <v>23</v>
      </c>
      <c r="Y741" s="152" t="s">
        <v>1328</v>
      </c>
      <c r="Z741" s="152" t="s">
        <v>1327</v>
      </c>
    </row>
    <row r="742" spans="1:26" x14ac:dyDescent="0.2">
      <c r="A742" s="152" t="s">
        <v>1961</v>
      </c>
      <c r="B742" s="152">
        <v>2.48</v>
      </c>
      <c r="C742" s="151">
        <v>44704</v>
      </c>
      <c r="D742" s="152">
        <v>3.5780820000000002</v>
      </c>
      <c r="E742" s="152" t="s">
        <v>1325</v>
      </c>
      <c r="F742" s="152" t="s">
        <v>1326</v>
      </c>
      <c r="G742" s="152" t="s">
        <v>116</v>
      </c>
      <c r="H742" s="152"/>
      <c r="I742" s="152">
        <v>43391</v>
      </c>
      <c r="J742" s="152">
        <v>3.05</v>
      </c>
      <c r="K742" s="152" t="s">
        <v>1327</v>
      </c>
      <c r="L742" s="152" t="s">
        <v>1327</v>
      </c>
      <c r="M742" s="152" t="s">
        <v>1327</v>
      </c>
      <c r="N742" s="152" t="s">
        <v>1327</v>
      </c>
      <c r="O742" s="152">
        <v>3.0496150000000002</v>
      </c>
      <c r="P742" s="152">
        <v>77.748816000000005</v>
      </c>
      <c r="Q742" s="152">
        <v>3.0496150000000002</v>
      </c>
      <c r="R742" s="152" t="s">
        <v>1327</v>
      </c>
      <c r="S742" s="152">
        <v>98.070786999999996</v>
      </c>
      <c r="T742" s="152">
        <v>1.0531509999999999</v>
      </c>
      <c r="U742" s="152">
        <v>3.358676</v>
      </c>
      <c r="V742" s="152">
        <v>13.321899999999999</v>
      </c>
      <c r="W742" s="152">
        <v>1000</v>
      </c>
      <c r="X742" s="152" t="s">
        <v>23</v>
      </c>
      <c r="Y742" s="152" t="s">
        <v>1328</v>
      </c>
      <c r="Z742" s="152" t="s">
        <v>1327</v>
      </c>
    </row>
    <row r="743" spans="1:26" x14ac:dyDescent="0.2">
      <c r="A743" s="152" t="s">
        <v>1962</v>
      </c>
      <c r="B743" s="152">
        <v>2.8</v>
      </c>
      <c r="C743" s="151">
        <v>44767</v>
      </c>
      <c r="D743" s="152">
        <v>3.7506849999999998</v>
      </c>
      <c r="E743" s="152" t="s">
        <v>1325</v>
      </c>
      <c r="F743" s="152" t="s">
        <v>1326</v>
      </c>
      <c r="G743" s="152" t="s">
        <v>116</v>
      </c>
      <c r="H743" s="152"/>
      <c r="I743" s="151" t="s">
        <v>1327</v>
      </c>
      <c r="J743" s="152" t="s">
        <v>1327</v>
      </c>
      <c r="K743" s="152" t="s">
        <v>1327</v>
      </c>
      <c r="L743" s="152" t="s">
        <v>1327</v>
      </c>
      <c r="M743" s="152" t="s">
        <v>1327</v>
      </c>
      <c r="N743" s="152" t="s">
        <v>1327</v>
      </c>
      <c r="O743" s="152">
        <v>3.0534699999999999</v>
      </c>
      <c r="P743" s="152">
        <v>74.753478000000001</v>
      </c>
      <c r="Q743" s="152">
        <v>3.0534699999999999</v>
      </c>
      <c r="R743" s="152" t="s">
        <v>1327</v>
      </c>
      <c r="S743" s="152">
        <v>99.093677</v>
      </c>
      <c r="T743" s="152">
        <v>0.70575299999999996</v>
      </c>
      <c r="U743" s="152">
        <v>3.5093299999999998</v>
      </c>
      <c r="V743" s="152">
        <v>14.471857</v>
      </c>
      <c r="W743" s="152">
        <v>1000</v>
      </c>
      <c r="X743" s="152" t="s">
        <v>23</v>
      </c>
      <c r="Y743" s="152" t="s">
        <v>1328</v>
      </c>
      <c r="Z743" s="152" t="s">
        <v>1327</v>
      </c>
    </row>
    <row r="744" spans="1:26" x14ac:dyDescent="0.2">
      <c r="A744" s="152" t="s">
        <v>1963</v>
      </c>
      <c r="B744" s="152">
        <v>3.22</v>
      </c>
      <c r="C744" s="151">
        <v>45072</v>
      </c>
      <c r="D744" s="152">
        <v>4.5863009999999997</v>
      </c>
      <c r="E744" s="152" t="s">
        <v>1325</v>
      </c>
      <c r="F744" s="152" t="s">
        <v>1326</v>
      </c>
      <c r="G744" s="152"/>
      <c r="H744" s="152"/>
      <c r="I744" s="152" t="s">
        <v>1327</v>
      </c>
      <c r="J744" s="152" t="s">
        <v>1327</v>
      </c>
      <c r="K744" s="152" t="s">
        <v>1327</v>
      </c>
      <c r="L744" s="152" t="s">
        <v>1327</v>
      </c>
      <c r="M744" s="152" t="s">
        <v>1327</v>
      </c>
      <c r="N744" s="152" t="s">
        <v>1327</v>
      </c>
      <c r="O744" s="152">
        <v>3.2311000000000001</v>
      </c>
      <c r="P744" s="152">
        <v>85.886331999999996</v>
      </c>
      <c r="Q744" s="152">
        <v>3.2311000000000001</v>
      </c>
      <c r="R744" s="152" t="s">
        <v>1327</v>
      </c>
      <c r="S744" s="152">
        <v>99.945493999999997</v>
      </c>
      <c r="T744" s="152">
        <v>0.52931499999999998</v>
      </c>
      <c r="U744" s="152">
        <v>4.227004</v>
      </c>
      <c r="V744" s="152">
        <v>19.813721000000001</v>
      </c>
      <c r="W744" s="152">
        <v>1000</v>
      </c>
      <c r="X744" s="152" t="s">
        <v>23</v>
      </c>
      <c r="Y744" s="152" t="s">
        <v>1328</v>
      </c>
      <c r="Z744" s="152" t="s">
        <v>1327</v>
      </c>
    </row>
    <row r="745" spans="1:26" x14ac:dyDescent="0.2">
      <c r="A745" s="152" t="s">
        <v>1964</v>
      </c>
      <c r="B745" s="152">
        <v>2.74</v>
      </c>
      <c r="C745" s="151">
        <v>45069</v>
      </c>
      <c r="D745" s="152">
        <v>4.5780820000000002</v>
      </c>
      <c r="E745" s="152" t="s">
        <v>1325</v>
      </c>
      <c r="F745" s="152" t="s">
        <v>1326</v>
      </c>
      <c r="G745" s="152" t="s">
        <v>116</v>
      </c>
      <c r="H745" s="152"/>
      <c r="I745" s="152">
        <v>43350</v>
      </c>
      <c r="J745" s="152">
        <v>2.9950000000000001</v>
      </c>
      <c r="K745" s="152" t="s">
        <v>1327</v>
      </c>
      <c r="L745" s="152" t="s">
        <v>1327</v>
      </c>
      <c r="M745" s="152" t="s">
        <v>1327</v>
      </c>
      <c r="N745" s="152" t="s">
        <v>1327</v>
      </c>
      <c r="O745" s="152">
        <v>3.1355499999999998</v>
      </c>
      <c r="P745" s="152">
        <v>74.688607000000005</v>
      </c>
      <c r="Q745" s="152">
        <v>3.1355499999999998</v>
      </c>
      <c r="R745" s="152" t="s">
        <v>1327</v>
      </c>
      <c r="S745" s="152">
        <v>98.312133000000003</v>
      </c>
      <c r="T745" s="152">
        <v>1.163562</v>
      </c>
      <c r="U745" s="152">
        <v>4.216621</v>
      </c>
      <c r="V745" s="152">
        <v>20.691984999999999</v>
      </c>
      <c r="W745" s="152">
        <v>1000</v>
      </c>
      <c r="X745" s="152" t="s">
        <v>23</v>
      </c>
      <c r="Y745" s="152" t="s">
        <v>1328</v>
      </c>
      <c r="Z745" s="152" t="s">
        <v>1327</v>
      </c>
    </row>
    <row r="746" spans="1:26" x14ac:dyDescent="0.2">
      <c r="A746" s="152" t="s">
        <v>1965</v>
      </c>
      <c r="B746" s="152">
        <v>3.8</v>
      </c>
      <c r="C746" s="151">
        <v>45438</v>
      </c>
      <c r="D746" s="152">
        <v>5.5890409999999999</v>
      </c>
      <c r="E746" s="152" t="s">
        <v>1325</v>
      </c>
      <c r="F746" s="152" t="s">
        <v>1326</v>
      </c>
      <c r="G746" s="152" t="s">
        <v>116</v>
      </c>
      <c r="H746" s="152"/>
      <c r="I746" s="151">
        <v>43350</v>
      </c>
      <c r="J746" s="152">
        <v>3.38</v>
      </c>
      <c r="K746" s="152" t="s">
        <v>1327</v>
      </c>
      <c r="L746" s="152" t="s">
        <v>1327</v>
      </c>
      <c r="M746" s="152" t="s">
        <v>1327</v>
      </c>
      <c r="N746" s="152" t="s">
        <v>1327</v>
      </c>
      <c r="O746" s="152">
        <v>3.6568109999999998</v>
      </c>
      <c r="P746" s="152">
        <v>120.43338</v>
      </c>
      <c r="Q746" s="152">
        <v>3.6568109999999998</v>
      </c>
      <c r="R746" s="152" t="s">
        <v>1327</v>
      </c>
      <c r="S746" s="152">
        <v>100.711887</v>
      </c>
      <c r="T746" s="152">
        <v>0.62465800000000005</v>
      </c>
      <c r="U746" s="152">
        <v>4.9868610000000002</v>
      </c>
      <c r="V746" s="152">
        <v>27.880269999999999</v>
      </c>
      <c r="W746" s="152">
        <v>1000</v>
      </c>
      <c r="X746" s="152" t="s">
        <v>23</v>
      </c>
      <c r="Y746" s="152" t="s">
        <v>1328</v>
      </c>
      <c r="Z746" s="152" t="s">
        <v>1327</v>
      </c>
    </row>
    <row r="747" spans="1:26" x14ac:dyDescent="0.2">
      <c r="A747" s="152" t="s">
        <v>1966</v>
      </c>
      <c r="B747" s="152">
        <v>3.5</v>
      </c>
      <c r="C747" s="151">
        <v>45450</v>
      </c>
      <c r="D747" s="152">
        <v>5.621918</v>
      </c>
      <c r="E747" s="152" t="s">
        <v>1325</v>
      </c>
      <c r="F747" s="152" t="s">
        <v>1326</v>
      </c>
      <c r="G747" s="152"/>
      <c r="H747" s="152"/>
      <c r="I747" s="152" t="s">
        <v>1327</v>
      </c>
      <c r="J747" s="152" t="s">
        <v>1327</v>
      </c>
      <c r="K747" s="152" t="s">
        <v>1327</v>
      </c>
      <c r="L747" s="152" t="s">
        <v>1327</v>
      </c>
      <c r="M747" s="152" t="s">
        <v>1327</v>
      </c>
      <c r="N747" s="152" t="s">
        <v>1327</v>
      </c>
      <c r="O747" s="152">
        <v>3.714207</v>
      </c>
      <c r="P747" s="152">
        <v>125.617499</v>
      </c>
      <c r="Q747" s="152">
        <v>3.714207</v>
      </c>
      <c r="R747" s="152" t="s">
        <v>1327</v>
      </c>
      <c r="S747" s="152">
        <v>98.919775999999999</v>
      </c>
      <c r="T747" s="152">
        <v>0.46027400000000002</v>
      </c>
      <c r="U747" s="152">
        <v>5.0505630000000004</v>
      </c>
      <c r="V747" s="152">
        <v>28.441557</v>
      </c>
      <c r="W747" s="152">
        <v>1000</v>
      </c>
      <c r="X747" s="152" t="s">
        <v>23</v>
      </c>
      <c r="Y747" s="152" t="s">
        <v>1328</v>
      </c>
      <c r="Z747" s="152" t="s">
        <v>1327</v>
      </c>
    </row>
    <row r="748" spans="1:26" x14ac:dyDescent="0.2">
      <c r="A748" s="152" t="s">
        <v>1967</v>
      </c>
      <c r="B748" s="152">
        <v>3.51</v>
      </c>
      <c r="C748" s="151">
        <v>45481</v>
      </c>
      <c r="D748" s="152">
        <v>5.7068490000000001</v>
      </c>
      <c r="E748" s="152" t="s">
        <v>1325</v>
      </c>
      <c r="F748" s="152" t="s">
        <v>1326</v>
      </c>
      <c r="G748" s="152" t="s">
        <v>116</v>
      </c>
      <c r="H748" s="152"/>
      <c r="I748" s="152" t="s">
        <v>1327</v>
      </c>
      <c r="J748" s="152" t="s">
        <v>1327</v>
      </c>
      <c r="K748" s="152" t="s">
        <v>1327</v>
      </c>
      <c r="L748" s="152" t="s">
        <v>1327</v>
      </c>
      <c r="M748" s="152" t="s">
        <v>1327</v>
      </c>
      <c r="N748" s="152" t="s">
        <v>1327</v>
      </c>
      <c r="O748" s="152">
        <v>3.7539410000000002</v>
      </c>
      <c r="P748" s="152">
        <v>128.93918500000001</v>
      </c>
      <c r="Q748" s="152">
        <v>3.7539410000000002</v>
      </c>
      <c r="R748" s="152" t="s">
        <v>1327</v>
      </c>
      <c r="S748" s="152">
        <v>98.744583000000006</v>
      </c>
      <c r="T748" s="152">
        <v>0.16347900000000001</v>
      </c>
      <c r="U748" s="152">
        <v>5.1350480000000003</v>
      </c>
      <c r="V748" s="152">
        <v>29.328050999999999</v>
      </c>
      <c r="W748" s="152">
        <v>1000</v>
      </c>
      <c r="X748" s="152" t="s">
        <v>23</v>
      </c>
      <c r="Y748" s="152" t="s">
        <v>1328</v>
      </c>
      <c r="Z748" s="152" t="s">
        <v>1327</v>
      </c>
    </row>
    <row r="749" spans="1:26" x14ac:dyDescent="0.2">
      <c r="A749" s="152" t="s">
        <v>1968</v>
      </c>
      <c r="B749" s="152">
        <v>3.34</v>
      </c>
      <c r="C749" s="151">
        <v>45964</v>
      </c>
      <c r="D749" s="152">
        <v>7.0301369999999999</v>
      </c>
      <c r="E749" s="152" t="s">
        <v>1325</v>
      </c>
      <c r="F749" s="152" t="s">
        <v>1326</v>
      </c>
      <c r="G749" s="152" t="s">
        <v>116</v>
      </c>
      <c r="H749" s="152"/>
      <c r="I749" s="152" t="s">
        <v>1327</v>
      </c>
      <c r="J749" s="152" t="s">
        <v>1327</v>
      </c>
      <c r="K749" s="152" t="s">
        <v>1327</v>
      </c>
      <c r="L749" s="152" t="s">
        <v>1327</v>
      </c>
      <c r="M749" s="152" t="s">
        <v>1327</v>
      </c>
      <c r="N749" s="152" t="s">
        <v>1327</v>
      </c>
      <c r="O749" s="152">
        <v>3.7731300000000001</v>
      </c>
      <c r="P749" s="152">
        <v>113.518683</v>
      </c>
      <c r="Q749" s="152">
        <v>3.7731300000000001</v>
      </c>
      <c r="R749" s="152" t="s">
        <v>1327</v>
      </c>
      <c r="S749" s="152">
        <v>97.349821000000006</v>
      </c>
      <c r="T749" s="152">
        <v>-8.2355999999999999E-2</v>
      </c>
      <c r="U749" s="152">
        <v>6.195697</v>
      </c>
      <c r="V749" s="152">
        <v>44.088478000000002</v>
      </c>
      <c r="W749" s="152">
        <v>1000</v>
      </c>
      <c r="X749" s="152" t="s">
        <v>23</v>
      </c>
      <c r="Y749" s="152" t="s">
        <v>1328</v>
      </c>
      <c r="Z749" s="152" t="s">
        <v>1327</v>
      </c>
    </row>
    <row r="750" spans="1:26" x14ac:dyDescent="0.2">
      <c r="A750" s="152" t="s">
        <v>1969</v>
      </c>
      <c r="B750" s="152">
        <v>3.82</v>
      </c>
      <c r="C750" s="151">
        <v>46211</v>
      </c>
      <c r="D750" s="152">
        <v>7.7068490000000001</v>
      </c>
      <c r="E750" s="152" t="s">
        <v>1325</v>
      </c>
      <c r="F750" s="152" t="s">
        <v>1326</v>
      </c>
      <c r="G750" s="152" t="s">
        <v>116</v>
      </c>
      <c r="H750" s="152"/>
      <c r="I750" s="151" t="s">
        <v>1327</v>
      </c>
      <c r="J750" s="152" t="s">
        <v>1327</v>
      </c>
      <c r="K750" s="152" t="s">
        <v>1327</v>
      </c>
      <c r="L750" s="152" t="s">
        <v>1327</v>
      </c>
      <c r="M750" s="152" t="s">
        <v>1327</v>
      </c>
      <c r="N750" s="152" t="s">
        <v>1327</v>
      </c>
      <c r="O750" s="152">
        <v>4.303769</v>
      </c>
      <c r="P750" s="152">
        <v>165.46553900000001</v>
      </c>
      <c r="Q750" s="152">
        <v>4.303769</v>
      </c>
      <c r="R750" s="152" t="s">
        <v>1327</v>
      </c>
      <c r="S750" s="152">
        <v>96.833115000000006</v>
      </c>
      <c r="T750" s="152">
        <v>0.17791799999999999</v>
      </c>
      <c r="U750" s="152">
        <v>6.6085120000000002</v>
      </c>
      <c r="V750" s="152">
        <v>49.516655999999998</v>
      </c>
      <c r="W750" s="152">
        <v>1000</v>
      </c>
      <c r="X750" s="152" t="s">
        <v>23</v>
      </c>
      <c r="Y750" s="152" t="s">
        <v>1328</v>
      </c>
      <c r="Z750" s="152" t="s">
        <v>1327</v>
      </c>
    </row>
    <row r="751" spans="1:26" x14ac:dyDescent="0.2">
      <c r="A751" s="152" t="s">
        <v>1970</v>
      </c>
      <c r="B751" s="152">
        <v>4.1900000000000004</v>
      </c>
      <c r="C751" s="151">
        <v>46533</v>
      </c>
      <c r="D751" s="152">
        <v>8.5890409999999999</v>
      </c>
      <c r="E751" s="152" t="s">
        <v>1325</v>
      </c>
      <c r="F751" s="152" t="s">
        <v>1326</v>
      </c>
      <c r="G751" s="152" t="s">
        <v>116</v>
      </c>
      <c r="H751" s="152"/>
      <c r="I751" s="151">
        <v>43146</v>
      </c>
      <c r="J751" s="152">
        <v>3.8424999999999998</v>
      </c>
      <c r="K751" s="152" t="s">
        <v>1327</v>
      </c>
      <c r="L751" s="152" t="s">
        <v>1327</v>
      </c>
      <c r="M751" s="152" t="s">
        <v>1327</v>
      </c>
      <c r="N751" s="152" t="s">
        <v>1327</v>
      </c>
      <c r="O751" s="152">
        <v>4.0498219999999998</v>
      </c>
      <c r="P751" s="152">
        <v>131.656971</v>
      </c>
      <c r="Q751" s="152">
        <v>4.0498219999999998</v>
      </c>
      <c r="R751" s="152" t="s">
        <v>1327</v>
      </c>
      <c r="S751" s="152">
        <v>101.00267599999999</v>
      </c>
      <c r="T751" s="152">
        <v>0.68876700000000002</v>
      </c>
      <c r="U751" s="152">
        <v>7.1441439999999998</v>
      </c>
      <c r="V751" s="152">
        <v>58.909419999999997</v>
      </c>
      <c r="W751" s="152">
        <v>1000</v>
      </c>
      <c r="X751" s="152" t="s">
        <v>23</v>
      </c>
      <c r="Y751" s="152" t="s">
        <v>1328</v>
      </c>
      <c r="Z751" s="152" t="s">
        <v>1327</v>
      </c>
    </row>
    <row r="752" spans="1:26" x14ac:dyDescent="0.2">
      <c r="A752" s="152" t="s">
        <v>1971</v>
      </c>
      <c r="B752" s="152">
        <v>3.95</v>
      </c>
      <c r="C752" s="151">
        <v>46579</v>
      </c>
      <c r="D752" s="152">
        <v>8.7150680000000005</v>
      </c>
      <c r="E752" s="152" t="s">
        <v>1325</v>
      </c>
      <c r="F752" s="152" t="s">
        <v>1326</v>
      </c>
      <c r="G752" s="152"/>
      <c r="H752" s="152"/>
      <c r="I752" s="151" t="s">
        <v>1327</v>
      </c>
      <c r="J752" s="152" t="s">
        <v>1327</v>
      </c>
      <c r="K752" s="152" t="s">
        <v>1327</v>
      </c>
      <c r="L752" s="152" t="s">
        <v>1327</v>
      </c>
      <c r="M752" s="152" t="s">
        <v>1327</v>
      </c>
      <c r="N752" s="152" t="s">
        <v>1327</v>
      </c>
      <c r="O752" s="152">
        <v>4.4349360000000004</v>
      </c>
      <c r="P752" s="152">
        <v>170.127083</v>
      </c>
      <c r="Q752" s="152">
        <v>4.4349360000000004</v>
      </c>
      <c r="R752" s="152" t="s">
        <v>1327</v>
      </c>
      <c r="S752" s="152">
        <v>96.502170000000007</v>
      </c>
      <c r="T752" s="152">
        <v>0.151507</v>
      </c>
      <c r="U752" s="152">
        <v>7.2940160000000001</v>
      </c>
      <c r="V752" s="152">
        <v>61.015163999999999</v>
      </c>
      <c r="W752" s="152">
        <v>1000</v>
      </c>
      <c r="X752" s="152" t="s">
        <v>23</v>
      </c>
      <c r="Y752" s="152" t="s">
        <v>1328</v>
      </c>
      <c r="Z752" s="152" t="s">
        <v>1327</v>
      </c>
    </row>
    <row r="753" spans="1:26" x14ac:dyDescent="0.2">
      <c r="A753" s="152" t="s">
        <v>1972</v>
      </c>
      <c r="B753" s="152">
        <v>4.05</v>
      </c>
      <c r="C753" s="151">
        <v>46699</v>
      </c>
      <c r="D753" s="152">
        <v>9.0438360000000007</v>
      </c>
      <c r="E753" s="152" t="s">
        <v>1325</v>
      </c>
      <c r="F753" s="152" t="s">
        <v>1326</v>
      </c>
      <c r="G753" s="152"/>
      <c r="H753" s="152"/>
      <c r="I753" s="151" t="s">
        <v>1327</v>
      </c>
      <c r="J753" s="152" t="s">
        <v>1327</v>
      </c>
      <c r="K753" s="152" t="s">
        <v>1327</v>
      </c>
      <c r="L753" s="152" t="s">
        <v>1327</v>
      </c>
      <c r="M753" s="152" t="s">
        <v>1327</v>
      </c>
      <c r="N753" s="152" t="s">
        <v>1327</v>
      </c>
      <c r="O753" s="152">
        <v>3.9955059999999998</v>
      </c>
      <c r="P753" s="152">
        <v>120.804562</v>
      </c>
      <c r="Q753" s="152">
        <v>3.9955059999999998</v>
      </c>
      <c r="R753" s="152" t="s">
        <v>1327</v>
      </c>
      <c r="S753" s="152">
        <v>100.411665</v>
      </c>
      <c r="T753" s="152">
        <v>-0.15534200000000001</v>
      </c>
      <c r="U753" s="152">
        <v>7.5224840000000004</v>
      </c>
      <c r="V753" s="152">
        <v>66.353848999999997</v>
      </c>
      <c r="W753" s="152">
        <v>1000</v>
      </c>
      <c r="X753" s="152" t="s">
        <v>23</v>
      </c>
      <c r="Y753" s="152" t="s">
        <v>1328</v>
      </c>
      <c r="Z753" s="152" t="s">
        <v>1327</v>
      </c>
    </row>
    <row r="754" spans="1:26" x14ac:dyDescent="0.2">
      <c r="A754" s="152" t="s">
        <v>1973</v>
      </c>
      <c r="B754" s="152">
        <v>4.05</v>
      </c>
      <c r="C754" s="151">
        <v>46708</v>
      </c>
      <c r="D754" s="152">
        <v>9.0684930000000001</v>
      </c>
      <c r="E754" s="152" t="s">
        <v>1325</v>
      </c>
      <c r="F754" s="152" t="s">
        <v>1326</v>
      </c>
      <c r="G754" s="152"/>
      <c r="H754" s="152"/>
      <c r="I754" s="151" t="s">
        <v>1327</v>
      </c>
      <c r="J754" s="152" t="s">
        <v>1327</v>
      </c>
      <c r="K754" s="152" t="s">
        <v>1327</v>
      </c>
      <c r="L754" s="152" t="s">
        <v>1327</v>
      </c>
      <c r="M754" s="152" t="s">
        <v>1327</v>
      </c>
      <c r="N754" s="152" t="s">
        <v>1327</v>
      </c>
      <c r="O754" s="152">
        <v>3.9958960000000001</v>
      </c>
      <c r="P754" s="152">
        <v>120.827358</v>
      </c>
      <c r="Q754" s="152">
        <v>3.9958960000000001</v>
      </c>
      <c r="R754" s="152" t="s">
        <v>1327</v>
      </c>
      <c r="S754" s="152">
        <v>100.389144</v>
      </c>
      <c r="T754" s="152">
        <v>1.786438</v>
      </c>
      <c r="U754" s="152">
        <v>7.3986489999999998</v>
      </c>
      <c r="V754" s="152">
        <v>65.410928999999996</v>
      </c>
      <c r="W754" s="152">
        <v>1000</v>
      </c>
      <c r="X754" s="152" t="s">
        <v>23</v>
      </c>
      <c r="Y754" s="152" t="s">
        <v>1328</v>
      </c>
      <c r="Z754" s="152" t="s">
        <v>1327</v>
      </c>
    </row>
    <row r="755" spans="1:26" x14ac:dyDescent="0.2">
      <c r="A755" s="152" t="s">
        <v>1974</v>
      </c>
      <c r="B755" s="152">
        <v>3.65</v>
      </c>
      <c r="C755" s="151">
        <v>46694</v>
      </c>
      <c r="D755" s="152">
        <v>9.0301369999999999</v>
      </c>
      <c r="E755" s="152" t="s">
        <v>1325</v>
      </c>
      <c r="F755" s="152" t="s">
        <v>1326</v>
      </c>
      <c r="G755" s="152"/>
      <c r="H755" s="152"/>
      <c r="I755" s="151" t="s">
        <v>1327</v>
      </c>
      <c r="J755" s="152" t="s">
        <v>1327</v>
      </c>
      <c r="K755" s="152" t="s">
        <v>1327</v>
      </c>
      <c r="L755" s="152" t="s">
        <v>1327</v>
      </c>
      <c r="M755" s="152" t="s">
        <v>1327</v>
      </c>
      <c r="N755" s="152" t="s">
        <v>1327</v>
      </c>
      <c r="O755" s="152">
        <v>4.0048570000000003</v>
      </c>
      <c r="P755" s="152">
        <v>121.30200000000001</v>
      </c>
      <c r="Q755" s="152">
        <v>4.0048570000000003</v>
      </c>
      <c r="R755" s="152" t="s">
        <v>1327</v>
      </c>
      <c r="S755" s="152">
        <v>97.335426999999996</v>
      </c>
      <c r="T755" s="152">
        <v>-0.09</v>
      </c>
      <c r="U755" s="152">
        <v>7.6032489999999999</v>
      </c>
      <c r="V755" s="152">
        <v>67.303219999999996</v>
      </c>
      <c r="W755" s="152">
        <v>1000</v>
      </c>
      <c r="X755" s="152" t="s">
        <v>23</v>
      </c>
      <c r="Y755" s="152" t="s">
        <v>1328</v>
      </c>
      <c r="Z755" s="152" t="s">
        <v>1327</v>
      </c>
    </row>
    <row r="756" spans="1:26" x14ac:dyDescent="0.2">
      <c r="A756" s="152" t="s">
        <v>1975</v>
      </c>
      <c r="B756" s="152">
        <v>3.99</v>
      </c>
      <c r="C756" s="151">
        <v>46820</v>
      </c>
      <c r="D756" s="152">
        <v>9.3753419999999998</v>
      </c>
      <c r="E756" s="152" t="s">
        <v>1325</v>
      </c>
      <c r="F756" s="152" t="s">
        <v>1326</v>
      </c>
      <c r="G756" s="152" t="s">
        <v>116</v>
      </c>
      <c r="H756" s="152"/>
      <c r="I756" s="152" t="s">
        <v>1327</v>
      </c>
      <c r="J756" s="152" t="s">
        <v>1327</v>
      </c>
      <c r="K756" s="152" t="s">
        <v>1327</v>
      </c>
      <c r="L756" s="152" t="s">
        <v>1327</v>
      </c>
      <c r="M756" s="152" t="s">
        <v>1327</v>
      </c>
      <c r="N756" s="152" t="s">
        <v>1327</v>
      </c>
      <c r="O756" s="152">
        <v>4.4556009999999997</v>
      </c>
      <c r="P756" s="152">
        <v>171.09139400000001</v>
      </c>
      <c r="Q756" s="152">
        <v>4.4556009999999997</v>
      </c>
      <c r="R756" s="152" t="s">
        <v>1327</v>
      </c>
      <c r="S756" s="152">
        <v>96.441230000000004</v>
      </c>
      <c r="T756" s="152">
        <v>0.185836</v>
      </c>
      <c r="U756" s="152">
        <v>7.7290219999999996</v>
      </c>
      <c r="V756" s="152">
        <v>69.014110000000002</v>
      </c>
      <c r="W756" s="152">
        <v>1000</v>
      </c>
      <c r="X756" s="152" t="s">
        <v>23</v>
      </c>
      <c r="Y756" s="152" t="s">
        <v>1328</v>
      </c>
      <c r="Z756" s="152" t="s">
        <v>1327</v>
      </c>
    </row>
    <row r="757" spans="1:26" x14ac:dyDescent="0.2">
      <c r="A757" s="152" t="s">
        <v>1976</v>
      </c>
      <c r="B757" s="152">
        <v>4</v>
      </c>
      <c r="C757" s="151">
        <v>46959</v>
      </c>
      <c r="D757" s="152">
        <v>9.7561640000000001</v>
      </c>
      <c r="E757" s="152" t="s">
        <v>1325</v>
      </c>
      <c r="F757" s="152" t="s">
        <v>1326</v>
      </c>
      <c r="G757" s="152" t="s">
        <v>116</v>
      </c>
      <c r="H757" s="152"/>
      <c r="I757" s="152" t="s">
        <v>1327</v>
      </c>
      <c r="J757" s="152" t="s">
        <v>1327</v>
      </c>
      <c r="K757" s="152" t="s">
        <v>1327</v>
      </c>
      <c r="L757" s="152" t="s">
        <v>1327</v>
      </c>
      <c r="M757" s="152" t="s">
        <v>1327</v>
      </c>
      <c r="N757" s="152" t="s">
        <v>1327</v>
      </c>
      <c r="O757" s="152">
        <v>4.1161919999999999</v>
      </c>
      <c r="P757" s="152">
        <v>135.12350000000001</v>
      </c>
      <c r="Q757" s="152">
        <v>4.1161919999999999</v>
      </c>
      <c r="R757" s="152" t="s">
        <v>1327</v>
      </c>
      <c r="S757" s="152">
        <v>99.052891000000002</v>
      </c>
      <c r="T757" s="152">
        <v>1.008219</v>
      </c>
      <c r="U757" s="152">
        <v>7.9187510000000003</v>
      </c>
      <c r="V757" s="152">
        <v>74.664876000000007</v>
      </c>
      <c r="W757" s="152">
        <v>1000</v>
      </c>
      <c r="X757" s="152" t="s">
        <v>23</v>
      </c>
      <c r="Y757" s="152" t="s">
        <v>1328</v>
      </c>
      <c r="Z757" s="152" t="s">
        <v>1327</v>
      </c>
    </row>
    <row r="758" spans="1:26" x14ac:dyDescent="0.2">
      <c r="A758" s="152" t="s">
        <v>1977</v>
      </c>
      <c r="B758" s="152">
        <v>4.32</v>
      </c>
      <c r="C758" s="151">
        <v>47264</v>
      </c>
      <c r="D758" s="152">
        <v>10.591780999999999</v>
      </c>
      <c r="E758" s="152" t="s">
        <v>1325</v>
      </c>
      <c r="F758" s="152" t="s">
        <v>1326</v>
      </c>
      <c r="G758" s="152" t="s">
        <v>116</v>
      </c>
      <c r="H758" s="152"/>
      <c r="I758" s="152">
        <v>42983</v>
      </c>
      <c r="J758" s="152">
        <v>4</v>
      </c>
      <c r="K758" s="152" t="s">
        <v>1327</v>
      </c>
      <c r="L758" s="152" t="s">
        <v>1327</v>
      </c>
      <c r="M758" s="152" t="s">
        <v>1327</v>
      </c>
      <c r="N758" s="152" t="s">
        <v>1327</v>
      </c>
      <c r="O758" s="152">
        <v>4.2792919999999999</v>
      </c>
      <c r="P758" s="152">
        <v>136.85896500000001</v>
      </c>
      <c r="Q758" s="152">
        <v>4.2792919999999999</v>
      </c>
      <c r="R758" s="152" t="s">
        <v>1327</v>
      </c>
      <c r="S758" s="152">
        <v>100.33493799999999</v>
      </c>
      <c r="T758" s="152">
        <v>0.71013700000000002</v>
      </c>
      <c r="U758" s="152">
        <v>8.4076170000000001</v>
      </c>
      <c r="V758" s="152">
        <v>83.512825000000007</v>
      </c>
      <c r="W758" s="152">
        <v>1000</v>
      </c>
      <c r="X758" s="152" t="s">
        <v>23</v>
      </c>
      <c r="Y758" s="152" t="s">
        <v>1328</v>
      </c>
      <c r="Z758" s="152" t="s">
        <v>1327</v>
      </c>
    </row>
    <row r="759" spans="1:26" x14ac:dyDescent="0.2">
      <c r="A759" s="152" t="s">
        <v>657</v>
      </c>
      <c r="B759" s="152">
        <v>2.56</v>
      </c>
      <c r="C759" s="151">
        <v>44365</v>
      </c>
      <c r="D759" s="152">
        <v>2.6493150000000001</v>
      </c>
      <c r="E759" s="152" t="s">
        <v>1325</v>
      </c>
      <c r="F759" s="152" t="s">
        <v>1326</v>
      </c>
      <c r="G759" s="152" t="s">
        <v>116</v>
      </c>
      <c r="H759" s="152"/>
      <c r="I759" s="151">
        <v>43397</v>
      </c>
      <c r="J759" s="152">
        <v>3.02</v>
      </c>
      <c r="K759" s="152" t="s">
        <v>1327</v>
      </c>
      <c r="L759" s="152" t="s">
        <v>1327</v>
      </c>
      <c r="M759" s="152" t="s">
        <v>1327</v>
      </c>
      <c r="N759" s="152" t="s">
        <v>1327</v>
      </c>
      <c r="O759" s="152">
        <v>3.02</v>
      </c>
      <c r="P759" s="152">
        <v>96.192848999999995</v>
      </c>
      <c r="Q759" s="152">
        <v>3.02</v>
      </c>
      <c r="R759" s="152" t="s">
        <v>1327</v>
      </c>
      <c r="S759" s="152">
        <v>98.832275999999993</v>
      </c>
      <c r="T759" s="152">
        <v>0.90476699999999999</v>
      </c>
      <c r="U759" s="152">
        <v>2.516006</v>
      </c>
      <c r="V759" s="152">
        <v>7.7292180000000004</v>
      </c>
      <c r="W759" s="152">
        <v>1000</v>
      </c>
      <c r="X759" s="152" t="s">
        <v>23</v>
      </c>
      <c r="Y759" s="152" t="s">
        <v>1328</v>
      </c>
      <c r="Z759" s="152" t="s">
        <v>1327</v>
      </c>
    </row>
    <row r="760" spans="1:26" x14ac:dyDescent="0.2">
      <c r="A760" s="152" t="s">
        <v>1978</v>
      </c>
      <c r="B760" s="152">
        <v>4.0599999999999996</v>
      </c>
      <c r="C760" s="151">
        <v>46922</v>
      </c>
      <c r="D760" s="152">
        <v>9.654795</v>
      </c>
      <c r="E760" s="152" t="s">
        <v>1325</v>
      </c>
      <c r="F760" s="152" t="s">
        <v>1326</v>
      </c>
      <c r="G760" s="152" t="s">
        <v>116</v>
      </c>
      <c r="H760" s="152"/>
      <c r="I760" s="152" t="s">
        <v>1327</v>
      </c>
      <c r="J760" s="152" t="s">
        <v>1327</v>
      </c>
      <c r="K760" s="152" t="s">
        <v>1327</v>
      </c>
      <c r="L760" s="152" t="s">
        <v>1327</v>
      </c>
      <c r="M760" s="152" t="s">
        <v>1327</v>
      </c>
      <c r="N760" s="152" t="s">
        <v>1327</v>
      </c>
      <c r="O760" s="152">
        <v>4.0148659999999996</v>
      </c>
      <c r="P760" s="152">
        <v>124.617552</v>
      </c>
      <c r="Q760" s="152">
        <v>4.0148659999999996</v>
      </c>
      <c r="R760" s="152" t="s">
        <v>1327</v>
      </c>
      <c r="S760" s="152">
        <v>100.348322</v>
      </c>
      <c r="T760" s="152">
        <v>1.434904</v>
      </c>
      <c r="U760" s="152">
        <v>7.8124349999999998</v>
      </c>
      <c r="V760" s="152">
        <v>72.969250000000002</v>
      </c>
      <c r="W760" s="152">
        <v>1000</v>
      </c>
      <c r="X760" s="152" t="s">
        <v>23</v>
      </c>
      <c r="Y760" s="152" t="s">
        <v>1328</v>
      </c>
      <c r="Z760" s="152" t="s">
        <v>1327</v>
      </c>
    </row>
    <row r="761" spans="1:26" x14ac:dyDescent="0.2">
      <c r="A761" s="152" t="s">
        <v>1979</v>
      </c>
      <c r="B761" s="152">
        <v>6.5</v>
      </c>
      <c r="C761" s="151">
        <v>43632</v>
      </c>
      <c r="D761" s="152">
        <v>0.641096</v>
      </c>
      <c r="E761" s="152" t="s">
        <v>1325</v>
      </c>
      <c r="F761" s="152" t="s">
        <v>1326</v>
      </c>
      <c r="G761" s="152"/>
      <c r="H761" s="152"/>
      <c r="I761" s="152">
        <v>43075</v>
      </c>
      <c r="J761" s="152">
        <v>6.45</v>
      </c>
      <c r="K761" s="152" t="s">
        <v>1327</v>
      </c>
      <c r="L761" s="152" t="s">
        <v>1327</v>
      </c>
      <c r="M761" s="152" t="s">
        <v>1327</v>
      </c>
      <c r="N761" s="152" t="s">
        <v>1327</v>
      </c>
      <c r="O761" s="152">
        <v>6.6837960000000001</v>
      </c>
      <c r="P761" s="152">
        <v>508.46423199999998</v>
      </c>
      <c r="Q761" s="152">
        <v>6.6837960000000001</v>
      </c>
      <c r="R761" s="152" t="s">
        <v>1327</v>
      </c>
      <c r="S761" s="152">
        <v>99.886504000000002</v>
      </c>
      <c r="T761" s="152">
        <v>0.69452100000000005</v>
      </c>
      <c r="U761" s="152">
        <v>0.620166</v>
      </c>
      <c r="V761" s="152">
        <v>0.54178300000000001</v>
      </c>
      <c r="W761" s="152">
        <v>1000</v>
      </c>
      <c r="X761" s="152" t="s">
        <v>23</v>
      </c>
      <c r="Y761" s="152" t="s">
        <v>1328</v>
      </c>
      <c r="Z761" s="152" t="s">
        <v>1327</v>
      </c>
    </row>
    <row r="762" spans="1:26" x14ac:dyDescent="0.2">
      <c r="A762" s="152" t="s">
        <v>1980</v>
      </c>
      <c r="B762" s="152">
        <v>4</v>
      </c>
      <c r="C762" s="151">
        <v>43434</v>
      </c>
      <c r="D762" s="152">
        <v>9.8629999999999995E-2</v>
      </c>
      <c r="E762" s="152" t="s">
        <v>1325</v>
      </c>
      <c r="F762" s="152" t="s">
        <v>1326</v>
      </c>
      <c r="G762" s="152"/>
      <c r="H762" s="152"/>
      <c r="I762" s="152" t="s">
        <v>1327</v>
      </c>
      <c r="J762" s="152" t="s">
        <v>1327</v>
      </c>
      <c r="K762" s="152" t="s">
        <v>1327</v>
      </c>
      <c r="L762" s="152" t="s">
        <v>1327</v>
      </c>
      <c r="M762" s="152" t="s">
        <v>1327</v>
      </c>
      <c r="N762" s="152" t="s">
        <v>1327</v>
      </c>
      <c r="O762" s="152">
        <v>3.864385</v>
      </c>
      <c r="P762" s="152">
        <v>260.91259000000002</v>
      </c>
      <c r="Q762" s="152">
        <v>3.864385</v>
      </c>
      <c r="R762" s="152" t="s">
        <v>1327</v>
      </c>
      <c r="S762" s="152">
        <v>99.993747999999997</v>
      </c>
      <c r="T762" s="152">
        <v>1.621918</v>
      </c>
      <c r="U762" s="152">
        <v>9.6761E-2</v>
      </c>
      <c r="V762" s="152">
        <v>5.6826000000000002E-2</v>
      </c>
      <c r="W762" s="152">
        <v>1000</v>
      </c>
      <c r="X762" s="152" t="s">
        <v>23</v>
      </c>
      <c r="Y762" s="152" t="s">
        <v>1328</v>
      </c>
      <c r="Z762" s="152" t="s">
        <v>1327</v>
      </c>
    </row>
    <row r="763" spans="1:26" x14ac:dyDescent="0.2">
      <c r="A763" s="152" t="s">
        <v>1981</v>
      </c>
      <c r="B763" s="152">
        <v>5</v>
      </c>
      <c r="C763" s="151">
        <v>79228</v>
      </c>
      <c r="D763" s="152">
        <v>98.164383999999998</v>
      </c>
      <c r="E763" s="152" t="s">
        <v>1325</v>
      </c>
      <c r="F763" s="152" t="s">
        <v>1326</v>
      </c>
      <c r="G763" s="152"/>
      <c r="H763" s="152" t="s">
        <v>1982</v>
      </c>
      <c r="I763" s="152">
        <v>43313</v>
      </c>
      <c r="J763" s="152" t="s">
        <v>1327</v>
      </c>
      <c r="K763" s="152" t="s">
        <v>1327</v>
      </c>
      <c r="L763" s="152" t="s">
        <v>1327</v>
      </c>
      <c r="M763" s="152" t="s">
        <v>1327</v>
      </c>
      <c r="N763" s="152" t="s">
        <v>1327</v>
      </c>
      <c r="O763" s="152" t="s">
        <v>1327</v>
      </c>
      <c r="P763" s="152" t="s">
        <v>1327</v>
      </c>
      <c r="Q763" s="152" t="s">
        <v>1327</v>
      </c>
      <c r="R763" s="152" t="s">
        <v>1327</v>
      </c>
      <c r="S763" s="152">
        <v>101.91346799999999</v>
      </c>
      <c r="T763" s="152" t="s">
        <v>1327</v>
      </c>
      <c r="U763" s="152" t="s">
        <v>1327</v>
      </c>
      <c r="V763" s="152" t="s">
        <v>1327</v>
      </c>
      <c r="W763" s="152">
        <v>1000</v>
      </c>
      <c r="X763" s="152" t="s">
        <v>23</v>
      </c>
      <c r="Y763" s="152" t="s">
        <v>1328</v>
      </c>
      <c r="Z763" s="152" t="s">
        <v>1327</v>
      </c>
    </row>
    <row r="764" spans="1:26" x14ac:dyDescent="0.2">
      <c r="A764" s="152" t="s">
        <v>1983</v>
      </c>
      <c r="B764" s="152">
        <v>5</v>
      </c>
      <c r="C764" s="151">
        <v>79493</v>
      </c>
      <c r="D764" s="152">
        <v>98.890411</v>
      </c>
      <c r="E764" s="152" t="s">
        <v>1325</v>
      </c>
      <c r="F764" s="152" t="s">
        <v>1326</v>
      </c>
      <c r="G764" s="152"/>
      <c r="H764" s="152" t="s">
        <v>1982</v>
      </c>
      <c r="I764" s="151">
        <v>43341</v>
      </c>
      <c r="J764" s="152" t="s">
        <v>1327</v>
      </c>
      <c r="K764" s="152" t="s">
        <v>1327</v>
      </c>
      <c r="L764" s="152" t="s">
        <v>1327</v>
      </c>
      <c r="M764" s="152" t="s">
        <v>1327</v>
      </c>
      <c r="N764" s="152" t="s">
        <v>1327</v>
      </c>
      <c r="O764" s="152" t="s">
        <v>1327</v>
      </c>
      <c r="P764" s="152" t="s">
        <v>1327</v>
      </c>
      <c r="Q764" s="152" t="s">
        <v>1327</v>
      </c>
      <c r="R764" s="152" t="s">
        <v>1327</v>
      </c>
      <c r="S764" s="152">
        <v>100.838087</v>
      </c>
      <c r="T764" s="152" t="s">
        <v>1327</v>
      </c>
      <c r="U764" s="152" t="s">
        <v>1327</v>
      </c>
      <c r="V764" s="152" t="s">
        <v>1327</v>
      </c>
      <c r="W764" s="152">
        <v>1000</v>
      </c>
      <c r="X764" s="152" t="s">
        <v>23</v>
      </c>
      <c r="Y764" s="152" t="s">
        <v>1328</v>
      </c>
      <c r="Z764" s="152" t="s">
        <v>1327</v>
      </c>
    </row>
    <row r="765" spans="1:26" x14ac:dyDescent="0.2">
      <c r="A765" s="152" t="s">
        <v>1984</v>
      </c>
      <c r="B765" s="152">
        <v>4.7</v>
      </c>
      <c r="C765" s="151">
        <v>43404</v>
      </c>
      <c r="D765" s="152">
        <v>1.6438000000000001E-2</v>
      </c>
      <c r="E765" s="152" t="s">
        <v>1325</v>
      </c>
      <c r="F765" s="152" t="s">
        <v>1326</v>
      </c>
      <c r="G765" s="152"/>
      <c r="H765" s="152" t="s">
        <v>464</v>
      </c>
      <c r="I765" s="152">
        <v>43369</v>
      </c>
      <c r="J765" s="152">
        <v>1.51</v>
      </c>
      <c r="K765" s="152" t="s">
        <v>1327</v>
      </c>
      <c r="L765" s="152" t="s">
        <v>1327</v>
      </c>
      <c r="M765" s="152" t="s">
        <v>1327</v>
      </c>
      <c r="N765" s="152" t="s">
        <v>1327</v>
      </c>
      <c r="O765" s="152">
        <v>1.5076160000000001</v>
      </c>
      <c r="P765" s="152">
        <v>37.074489999999997</v>
      </c>
      <c r="Q765" s="152">
        <v>1.5076160000000001</v>
      </c>
      <c r="R765" s="152" t="s">
        <v>1327</v>
      </c>
      <c r="S765" s="152">
        <v>100.032678</v>
      </c>
      <c r="T765" s="152">
        <v>2.292055</v>
      </c>
      <c r="U765" s="152">
        <v>1.6315E-2</v>
      </c>
      <c r="V765" s="152">
        <v>8.3630000000000006E-3</v>
      </c>
      <c r="W765" s="152">
        <v>1000</v>
      </c>
      <c r="X765" s="152" t="s">
        <v>23</v>
      </c>
      <c r="Y765" s="152" t="s">
        <v>1328</v>
      </c>
      <c r="Z765" s="152" t="s">
        <v>1327</v>
      </c>
    </row>
    <row r="766" spans="1:26" x14ac:dyDescent="0.2">
      <c r="A766" s="152" t="s">
        <v>103</v>
      </c>
      <c r="B766" s="152">
        <v>4.7</v>
      </c>
      <c r="C766" s="151">
        <v>43404</v>
      </c>
      <c r="D766" s="152">
        <v>1.6438000000000001E-2</v>
      </c>
      <c r="E766" s="152" t="s">
        <v>1325</v>
      </c>
      <c r="F766" s="152" t="s">
        <v>1326</v>
      </c>
      <c r="G766" s="152"/>
      <c r="H766" s="152" t="s">
        <v>464</v>
      </c>
      <c r="I766" s="152">
        <v>43381</v>
      </c>
      <c r="J766" s="152">
        <v>1.56</v>
      </c>
      <c r="K766" s="152" t="s">
        <v>1327</v>
      </c>
      <c r="L766" s="152" t="s">
        <v>1327</v>
      </c>
      <c r="M766" s="152" t="s">
        <v>1327</v>
      </c>
      <c r="N766" s="152" t="s">
        <v>1327</v>
      </c>
      <c r="O766" s="152">
        <v>1.512955</v>
      </c>
      <c r="P766" s="152">
        <v>37.612437</v>
      </c>
      <c r="Q766" s="152">
        <v>1.512955</v>
      </c>
      <c r="R766" s="152" t="s">
        <v>1327</v>
      </c>
      <c r="S766" s="152">
        <v>100.032589</v>
      </c>
      <c r="T766" s="152">
        <v>2.292055</v>
      </c>
      <c r="U766" s="152">
        <v>1.6315E-2</v>
      </c>
      <c r="V766" s="152">
        <v>8.3619999999999996E-3</v>
      </c>
      <c r="W766" s="152">
        <v>1000</v>
      </c>
      <c r="X766" s="152" t="s">
        <v>23</v>
      </c>
      <c r="Y766" s="152" t="s">
        <v>1328</v>
      </c>
      <c r="Z766" s="152" t="s">
        <v>1327</v>
      </c>
    </row>
    <row r="767" spans="1:26" x14ac:dyDescent="0.2">
      <c r="A767" s="152" t="s">
        <v>246</v>
      </c>
      <c r="B767" s="152">
        <v>4.3</v>
      </c>
      <c r="C767" s="151">
        <v>43551</v>
      </c>
      <c r="D767" s="152">
        <v>0.419178</v>
      </c>
      <c r="E767" s="152" t="s">
        <v>1325</v>
      </c>
      <c r="F767" s="152" t="s">
        <v>1326</v>
      </c>
      <c r="G767" s="152"/>
      <c r="H767" s="152" t="s">
        <v>464</v>
      </c>
      <c r="I767" s="152">
        <v>43320</v>
      </c>
      <c r="J767" s="152">
        <v>1.7</v>
      </c>
      <c r="K767" s="152" t="s">
        <v>1327</v>
      </c>
      <c r="L767" s="152" t="s">
        <v>1327</v>
      </c>
      <c r="M767" s="152" t="s">
        <v>1327</v>
      </c>
      <c r="N767" s="152" t="s">
        <v>1327</v>
      </c>
      <c r="O767" s="152">
        <v>2.0249600000000001</v>
      </c>
      <c r="P767" s="152">
        <v>32.987960000000001</v>
      </c>
      <c r="Q767" s="152">
        <v>2.0249600000000001</v>
      </c>
      <c r="R767" s="152" t="s">
        <v>1327</v>
      </c>
      <c r="S767" s="152">
        <v>100.961061</v>
      </c>
      <c r="T767" s="152">
        <v>0.32986300000000002</v>
      </c>
      <c r="U767" s="152">
        <v>0.41497699999999998</v>
      </c>
      <c r="V767" s="152">
        <v>0.37761400000000001</v>
      </c>
      <c r="W767" s="152">
        <v>1000</v>
      </c>
      <c r="X767" s="152" t="s">
        <v>23</v>
      </c>
      <c r="Y767" s="152" t="s">
        <v>1328</v>
      </c>
      <c r="Z767" s="152" t="s">
        <v>1327</v>
      </c>
    </row>
    <row r="768" spans="1:26" x14ac:dyDescent="0.2">
      <c r="A768" s="152" t="s">
        <v>534</v>
      </c>
      <c r="B768" s="152">
        <v>4.3</v>
      </c>
      <c r="C768" s="151">
        <v>43551</v>
      </c>
      <c r="D768" s="152">
        <v>0.419178</v>
      </c>
      <c r="E768" s="152" t="s">
        <v>1325</v>
      </c>
      <c r="F768" s="152" t="s">
        <v>1326</v>
      </c>
      <c r="G768" s="152"/>
      <c r="H768" s="152" t="s">
        <v>464</v>
      </c>
      <c r="I768" s="152">
        <v>43385</v>
      </c>
      <c r="J768" s="152">
        <v>2</v>
      </c>
      <c r="K768" s="152" t="s">
        <v>1327</v>
      </c>
      <c r="L768" s="152" t="s">
        <v>1327</v>
      </c>
      <c r="M768" s="152" t="s">
        <v>1327</v>
      </c>
      <c r="N768" s="152" t="s">
        <v>1327</v>
      </c>
      <c r="O768" s="152">
        <v>2.0249609999999998</v>
      </c>
      <c r="P768" s="152">
        <v>32.988059</v>
      </c>
      <c r="Q768" s="152">
        <v>2.0249609999999998</v>
      </c>
      <c r="R768" s="152" t="s">
        <v>1327</v>
      </c>
      <c r="S768" s="152">
        <v>100.961061</v>
      </c>
      <c r="T768" s="152">
        <v>0.32986300000000002</v>
      </c>
      <c r="U768" s="152">
        <v>0.41497699999999998</v>
      </c>
      <c r="V768" s="152">
        <v>0.37761400000000001</v>
      </c>
      <c r="W768" s="152">
        <v>1000</v>
      </c>
      <c r="X768" s="152" t="s">
        <v>23</v>
      </c>
      <c r="Y768" s="152" t="s">
        <v>1328</v>
      </c>
      <c r="Z768" s="152" t="s">
        <v>1327</v>
      </c>
    </row>
    <row r="769" spans="1:26" x14ac:dyDescent="0.2">
      <c r="A769" s="152" t="s">
        <v>535</v>
      </c>
      <c r="B769" s="152">
        <v>4.25</v>
      </c>
      <c r="C769" s="151">
        <v>43699</v>
      </c>
      <c r="D769" s="152">
        <v>0.824658</v>
      </c>
      <c r="E769" s="152" t="s">
        <v>1325</v>
      </c>
      <c r="F769" s="152" t="s">
        <v>1326</v>
      </c>
      <c r="G769" s="152"/>
      <c r="H769" s="152" t="s">
        <v>464</v>
      </c>
      <c r="I769" s="152">
        <v>43390</v>
      </c>
      <c r="J769" s="152">
        <v>2.2999999999999998</v>
      </c>
      <c r="K769" s="152" t="s">
        <v>1327</v>
      </c>
      <c r="L769" s="152" t="s">
        <v>1327</v>
      </c>
      <c r="M769" s="152" t="s">
        <v>1327</v>
      </c>
      <c r="N769" s="152" t="s">
        <v>1327</v>
      </c>
      <c r="O769" s="152">
        <v>2.319394</v>
      </c>
      <c r="P769" s="152">
        <v>54.179867000000002</v>
      </c>
      <c r="Q769" s="152">
        <v>2.319394</v>
      </c>
      <c r="R769" s="152" t="s">
        <v>1327</v>
      </c>
      <c r="S769" s="152">
        <v>101.55548899999999</v>
      </c>
      <c r="T769" s="152">
        <v>0.74520500000000001</v>
      </c>
      <c r="U769" s="152">
        <v>0.80907700000000005</v>
      </c>
      <c r="V769" s="152">
        <v>1.0594380000000001</v>
      </c>
      <c r="W769" s="152">
        <v>1000</v>
      </c>
      <c r="X769" s="152" t="s">
        <v>23</v>
      </c>
      <c r="Y769" s="152" t="s">
        <v>1328</v>
      </c>
      <c r="Z769" s="152" t="s">
        <v>1327</v>
      </c>
    </row>
    <row r="770" spans="1:26" x14ac:dyDescent="0.2">
      <c r="A770" s="152" t="s">
        <v>803</v>
      </c>
      <c r="B770" s="152">
        <v>2.4900000000000002</v>
      </c>
      <c r="C770" s="151">
        <v>43703</v>
      </c>
      <c r="D770" s="152">
        <v>0.83561600000000003</v>
      </c>
      <c r="E770" s="152" t="s">
        <v>1325</v>
      </c>
      <c r="F770" s="152" t="s">
        <v>1326</v>
      </c>
      <c r="G770" s="152"/>
      <c r="H770" s="152" t="s">
        <v>500</v>
      </c>
      <c r="I770" s="151">
        <v>43377</v>
      </c>
      <c r="J770" s="152">
        <v>2.2000000000000002</v>
      </c>
      <c r="K770" s="152" t="s">
        <v>1327</v>
      </c>
      <c r="L770" s="152" t="s">
        <v>1327</v>
      </c>
      <c r="M770" s="152" t="s">
        <v>1327</v>
      </c>
      <c r="N770" s="152" t="s">
        <v>1327</v>
      </c>
      <c r="O770" s="152">
        <v>2.2839119999999999</v>
      </c>
      <c r="P770" s="152">
        <v>50.450688</v>
      </c>
      <c r="Q770" s="152">
        <v>2.2839119999999999</v>
      </c>
      <c r="R770" s="152" t="s">
        <v>1327</v>
      </c>
      <c r="S770" s="152">
        <v>100.158675</v>
      </c>
      <c r="T770" s="152">
        <v>0.40931499999999998</v>
      </c>
      <c r="U770" s="152">
        <v>0.82417200000000002</v>
      </c>
      <c r="V770" s="152">
        <v>1.089658</v>
      </c>
      <c r="W770" s="152">
        <v>1000</v>
      </c>
      <c r="X770" s="152" t="s">
        <v>23</v>
      </c>
      <c r="Y770" s="152" t="s">
        <v>1328</v>
      </c>
      <c r="Z770" s="152" t="s">
        <v>1327</v>
      </c>
    </row>
    <row r="771" spans="1:26" x14ac:dyDescent="0.2">
      <c r="A771" s="152" t="s">
        <v>1985</v>
      </c>
      <c r="B771" s="152">
        <v>3.65</v>
      </c>
      <c r="C771" s="151">
        <v>44012</v>
      </c>
      <c r="D771" s="152">
        <v>1.6821919999999999</v>
      </c>
      <c r="E771" s="152" t="s">
        <v>1325</v>
      </c>
      <c r="F771" s="152" t="s">
        <v>1326</v>
      </c>
      <c r="G771" s="152"/>
      <c r="H771" s="152" t="s">
        <v>500</v>
      </c>
      <c r="I771" s="151">
        <v>43333</v>
      </c>
      <c r="J771" s="152">
        <v>2.13</v>
      </c>
      <c r="K771" s="152" t="s">
        <v>1327</v>
      </c>
      <c r="L771" s="152" t="s">
        <v>1327</v>
      </c>
      <c r="M771" s="152" t="s">
        <v>1327</v>
      </c>
      <c r="N771" s="152" t="s">
        <v>1327</v>
      </c>
      <c r="O771" s="152">
        <v>2.3920919999999999</v>
      </c>
      <c r="P771" s="152">
        <v>43.051507999999998</v>
      </c>
      <c r="Q771" s="152">
        <v>2.3920919999999999</v>
      </c>
      <c r="R771" s="152" t="s">
        <v>1327</v>
      </c>
      <c r="S771" s="152">
        <v>102.05282099999999</v>
      </c>
      <c r="T771" s="152">
        <v>1.17</v>
      </c>
      <c r="U771" s="152">
        <v>1.6091770000000001</v>
      </c>
      <c r="V771" s="152">
        <v>3.441713</v>
      </c>
      <c r="W771" s="152">
        <v>1000</v>
      </c>
      <c r="X771" s="152" t="s">
        <v>23</v>
      </c>
      <c r="Y771" s="152" t="s">
        <v>1328</v>
      </c>
      <c r="Z771" s="152" t="s">
        <v>1327</v>
      </c>
    </row>
    <row r="772" spans="1:26" x14ac:dyDescent="0.2">
      <c r="A772" s="152" t="s">
        <v>536</v>
      </c>
      <c r="B772" s="152">
        <v>5.0999999999999996</v>
      </c>
      <c r="C772" s="151">
        <v>44135</v>
      </c>
      <c r="D772" s="152">
        <v>2.0191780000000001</v>
      </c>
      <c r="E772" s="152" t="s">
        <v>1325</v>
      </c>
      <c r="F772" s="152" t="s">
        <v>1326</v>
      </c>
      <c r="G772" s="152"/>
      <c r="H772" s="152" t="s">
        <v>464</v>
      </c>
      <c r="I772" s="152">
        <v>42591</v>
      </c>
      <c r="J772" s="152">
        <v>2.89</v>
      </c>
      <c r="K772" s="152">
        <v>42110</v>
      </c>
      <c r="L772" s="152">
        <v>3.6594120000000001</v>
      </c>
      <c r="M772" s="152">
        <v>4.1585979999999996</v>
      </c>
      <c r="N772" s="152">
        <v>3.6188229999999999</v>
      </c>
      <c r="O772" s="152">
        <v>2.426272</v>
      </c>
      <c r="P772" s="152">
        <v>41.177365999999999</v>
      </c>
      <c r="Q772" s="152">
        <v>2.426272</v>
      </c>
      <c r="R772" s="152" t="s">
        <v>1327</v>
      </c>
      <c r="S772" s="152">
        <v>105.231272</v>
      </c>
      <c r="T772" s="152">
        <v>-8.3835999999999994E-2</v>
      </c>
      <c r="U772" s="152">
        <v>1.9218420000000001</v>
      </c>
      <c r="V772" s="152">
        <v>4.7193319999999996</v>
      </c>
      <c r="W772" s="152">
        <v>1000</v>
      </c>
      <c r="X772" s="152" t="s">
        <v>23</v>
      </c>
      <c r="Y772" s="152" t="s">
        <v>1328</v>
      </c>
      <c r="Z772" s="152" t="s">
        <v>1327</v>
      </c>
    </row>
    <row r="773" spans="1:26" x14ac:dyDescent="0.2">
      <c r="A773" s="152" t="s">
        <v>659</v>
      </c>
      <c r="B773" s="152">
        <v>5.0999999999999996</v>
      </c>
      <c r="C773" s="151">
        <v>44135</v>
      </c>
      <c r="D773" s="152">
        <v>2.0191780000000001</v>
      </c>
      <c r="E773" s="152" t="s">
        <v>1325</v>
      </c>
      <c r="F773" s="152" t="s">
        <v>1326</v>
      </c>
      <c r="G773" s="152"/>
      <c r="H773" s="152" t="s">
        <v>464</v>
      </c>
      <c r="I773" s="152">
        <v>43143</v>
      </c>
      <c r="J773" s="152">
        <v>1.94</v>
      </c>
      <c r="K773" s="152">
        <v>42094</v>
      </c>
      <c r="L773" s="152">
        <v>3.6829869999999998</v>
      </c>
      <c r="M773" s="152">
        <v>4.1831860000000001</v>
      </c>
      <c r="N773" s="152">
        <v>3.6659730000000001</v>
      </c>
      <c r="O773" s="152">
        <v>2.4168310000000002</v>
      </c>
      <c r="P773" s="152">
        <v>40.223002000000001</v>
      </c>
      <c r="Q773" s="152">
        <v>2.4168310000000002</v>
      </c>
      <c r="R773" s="152" t="s">
        <v>1327</v>
      </c>
      <c r="S773" s="152">
        <v>105.250353</v>
      </c>
      <c r="T773" s="152">
        <v>-8.3835999999999994E-2</v>
      </c>
      <c r="U773" s="152">
        <v>1.9219390000000001</v>
      </c>
      <c r="V773" s="152">
        <v>4.7197959999999997</v>
      </c>
      <c r="W773" s="152">
        <v>1000</v>
      </c>
      <c r="X773" s="152" t="s">
        <v>23</v>
      </c>
      <c r="Y773" s="152" t="s">
        <v>1328</v>
      </c>
      <c r="Z773" s="152" t="s">
        <v>1327</v>
      </c>
    </row>
    <row r="774" spans="1:26" x14ac:dyDescent="0.2">
      <c r="A774" s="152" t="s">
        <v>1986</v>
      </c>
      <c r="B774" s="152">
        <v>4.8499999999999996</v>
      </c>
      <c r="C774" s="151">
        <v>44282</v>
      </c>
      <c r="D774" s="152">
        <v>2.4219179999999998</v>
      </c>
      <c r="E774" s="152" t="s">
        <v>1325</v>
      </c>
      <c r="F774" s="152" t="s">
        <v>1326</v>
      </c>
      <c r="G774" s="152"/>
      <c r="H774" s="152" t="s">
        <v>464</v>
      </c>
      <c r="I774" s="151">
        <v>42326</v>
      </c>
      <c r="J774" s="152">
        <v>3.55</v>
      </c>
      <c r="K774" s="152" t="s">
        <v>1327</v>
      </c>
      <c r="L774" s="152" t="s">
        <v>1327</v>
      </c>
      <c r="M774" s="152" t="s">
        <v>1327</v>
      </c>
      <c r="N774" s="152" t="s">
        <v>1327</v>
      </c>
      <c r="O774" s="152">
        <v>2.4835590000000001</v>
      </c>
      <c r="P774" s="152">
        <v>43.773128999999997</v>
      </c>
      <c r="Q774" s="152">
        <v>2.4835590000000001</v>
      </c>
      <c r="R774" s="152" t="s">
        <v>1327</v>
      </c>
      <c r="S774" s="152">
        <v>105.540959</v>
      </c>
      <c r="T774" s="152">
        <v>0.37205500000000002</v>
      </c>
      <c r="U774" s="152">
        <v>2.2789570000000001</v>
      </c>
      <c r="V774" s="152">
        <v>6.4713880000000001</v>
      </c>
      <c r="W774" s="152">
        <v>1000</v>
      </c>
      <c r="X774" s="152" t="s">
        <v>23</v>
      </c>
      <c r="Y774" s="152" t="s">
        <v>1328</v>
      </c>
      <c r="Z774" s="152" t="s">
        <v>1327</v>
      </c>
    </row>
    <row r="775" spans="1:26" x14ac:dyDescent="0.2">
      <c r="A775" s="152" t="s">
        <v>1987</v>
      </c>
      <c r="B775" s="152">
        <v>4.8499999999999996</v>
      </c>
      <c r="C775" s="151">
        <v>44282</v>
      </c>
      <c r="D775" s="152">
        <v>2.4219179999999998</v>
      </c>
      <c r="E775" s="152" t="s">
        <v>1325</v>
      </c>
      <c r="F775" s="152" t="s">
        <v>1326</v>
      </c>
      <c r="G775" s="152"/>
      <c r="H775" s="152" t="s">
        <v>464</v>
      </c>
      <c r="I775" s="152">
        <v>43209</v>
      </c>
      <c r="J775" s="152">
        <v>2.0299999999999998</v>
      </c>
      <c r="K775" s="152" t="s">
        <v>1327</v>
      </c>
      <c r="L775" s="152" t="s">
        <v>1327</v>
      </c>
      <c r="M775" s="152" t="s">
        <v>1327</v>
      </c>
      <c r="N775" s="152" t="s">
        <v>1327</v>
      </c>
      <c r="O775" s="152">
        <v>2.4835590000000001</v>
      </c>
      <c r="P775" s="152">
        <v>43.773128999999997</v>
      </c>
      <c r="Q775" s="152">
        <v>2.4835590000000001</v>
      </c>
      <c r="R775" s="152" t="s">
        <v>1327</v>
      </c>
      <c r="S775" s="152">
        <v>105.540959</v>
      </c>
      <c r="T775" s="152">
        <v>0.37205500000000002</v>
      </c>
      <c r="U775" s="152">
        <v>2.2789570000000001</v>
      </c>
      <c r="V775" s="152">
        <v>6.4713880000000001</v>
      </c>
      <c r="W775" s="152">
        <v>1000</v>
      </c>
      <c r="X775" s="152" t="s">
        <v>23</v>
      </c>
      <c r="Y775" s="152" t="s">
        <v>1328</v>
      </c>
      <c r="Z775" s="152" t="s">
        <v>1327</v>
      </c>
    </row>
    <row r="776" spans="1:26" x14ac:dyDescent="0.2">
      <c r="A776" s="152" t="s">
        <v>761</v>
      </c>
      <c r="B776" s="152">
        <v>2.95</v>
      </c>
      <c r="C776" s="151">
        <v>44273</v>
      </c>
      <c r="D776" s="152">
        <v>2.3972600000000002</v>
      </c>
      <c r="E776" s="152" t="s">
        <v>1325</v>
      </c>
      <c r="F776" s="152" t="s">
        <v>1326</v>
      </c>
      <c r="G776" s="152"/>
      <c r="H776" s="152" t="s">
        <v>500</v>
      </c>
      <c r="I776" s="151">
        <v>43230</v>
      </c>
      <c r="J776" s="152">
        <v>2.25</v>
      </c>
      <c r="K776" s="152" t="s">
        <v>1327</v>
      </c>
      <c r="L776" s="152" t="s">
        <v>1327</v>
      </c>
      <c r="M776" s="152" t="s">
        <v>1327</v>
      </c>
      <c r="N776" s="152" t="s">
        <v>1327</v>
      </c>
      <c r="O776" s="152">
        <v>2.4966620000000002</v>
      </c>
      <c r="P776" s="152">
        <v>45.026179999999997</v>
      </c>
      <c r="Q776" s="152">
        <v>2.4966620000000002</v>
      </c>
      <c r="R776" s="152" t="s">
        <v>1327</v>
      </c>
      <c r="S776" s="152">
        <v>101.05798799999999</v>
      </c>
      <c r="T776" s="152">
        <v>0.299041</v>
      </c>
      <c r="U776" s="152">
        <v>2.2947039999999999</v>
      </c>
      <c r="V776" s="152">
        <v>6.4985010000000001</v>
      </c>
      <c r="W776" s="152">
        <v>1000</v>
      </c>
      <c r="X776" s="152" t="s">
        <v>23</v>
      </c>
      <c r="Y776" s="152" t="s">
        <v>1328</v>
      </c>
      <c r="Z776" s="152" t="s">
        <v>1327</v>
      </c>
    </row>
    <row r="777" spans="1:26" x14ac:dyDescent="0.2">
      <c r="A777" s="152" t="s">
        <v>1988</v>
      </c>
      <c r="B777" s="152">
        <v>4.75</v>
      </c>
      <c r="C777" s="151">
        <v>44430</v>
      </c>
      <c r="D777" s="152">
        <v>2.8273969999999999</v>
      </c>
      <c r="E777" s="152" t="s">
        <v>1325</v>
      </c>
      <c r="F777" s="152" t="s">
        <v>1326</v>
      </c>
      <c r="G777" s="152"/>
      <c r="H777" s="152" t="s">
        <v>464</v>
      </c>
      <c r="I777" s="151">
        <v>43140</v>
      </c>
      <c r="J777" s="152">
        <v>2.15</v>
      </c>
      <c r="K777" s="152" t="s">
        <v>1327</v>
      </c>
      <c r="L777" s="152" t="s">
        <v>1327</v>
      </c>
      <c r="M777" s="152" t="s">
        <v>1327</v>
      </c>
      <c r="N777" s="152" t="s">
        <v>1327</v>
      </c>
      <c r="O777" s="152">
        <v>2.5433300000000001</v>
      </c>
      <c r="P777" s="152">
        <v>46.413477999999998</v>
      </c>
      <c r="Q777" s="152">
        <v>2.5433300000000001</v>
      </c>
      <c r="R777" s="152" t="s">
        <v>1327</v>
      </c>
      <c r="S777" s="152">
        <v>105.963369</v>
      </c>
      <c r="T777" s="152">
        <v>0.83287699999999998</v>
      </c>
      <c r="U777" s="152">
        <v>2.6326230000000002</v>
      </c>
      <c r="V777" s="152">
        <v>8.4970160000000003</v>
      </c>
      <c r="W777" s="152">
        <v>1000</v>
      </c>
      <c r="X777" s="152" t="s">
        <v>23</v>
      </c>
      <c r="Y777" s="152" t="s">
        <v>1328</v>
      </c>
      <c r="Z777" s="152" t="s">
        <v>1327</v>
      </c>
    </row>
    <row r="778" spans="1:26" x14ac:dyDescent="0.2">
      <c r="A778" s="152" t="s">
        <v>1989</v>
      </c>
      <c r="B778" s="152">
        <v>4.0999999999999996</v>
      </c>
      <c r="C778" s="151">
        <v>44742</v>
      </c>
      <c r="D778" s="152">
        <v>3.6821920000000001</v>
      </c>
      <c r="E778" s="152" t="s">
        <v>1325</v>
      </c>
      <c r="F778" s="152" t="s">
        <v>1326</v>
      </c>
      <c r="G778" s="152"/>
      <c r="H778" s="152" t="s">
        <v>500</v>
      </c>
      <c r="I778" s="151">
        <v>43175</v>
      </c>
      <c r="J778" s="152">
        <v>2.2999999999999998</v>
      </c>
      <c r="K778" s="152" t="s">
        <v>1327</v>
      </c>
      <c r="L778" s="152" t="s">
        <v>1327</v>
      </c>
      <c r="M778" s="152" t="s">
        <v>1327</v>
      </c>
      <c r="N778" s="152" t="s">
        <v>1327</v>
      </c>
      <c r="O778" s="152">
        <v>2.7807409999999999</v>
      </c>
      <c r="P778" s="152">
        <v>48.568558000000003</v>
      </c>
      <c r="Q778" s="152">
        <v>2.7807409999999999</v>
      </c>
      <c r="R778" s="152" t="s">
        <v>1327</v>
      </c>
      <c r="S778" s="152">
        <v>104.57661899999999</v>
      </c>
      <c r="T778" s="152">
        <v>1.3142469999999999</v>
      </c>
      <c r="U778" s="152">
        <v>3.3715320000000002</v>
      </c>
      <c r="V778" s="152">
        <v>13.606308</v>
      </c>
      <c r="W778" s="152">
        <v>1000</v>
      </c>
      <c r="X778" s="152" t="s">
        <v>23</v>
      </c>
      <c r="Y778" s="152" t="s">
        <v>1328</v>
      </c>
      <c r="Z778" s="152" t="s">
        <v>1327</v>
      </c>
    </row>
    <row r="779" spans="1:26" x14ac:dyDescent="0.2">
      <c r="A779" s="152" t="s">
        <v>1990</v>
      </c>
      <c r="B779" s="152">
        <v>3.1</v>
      </c>
      <c r="C779" s="151">
        <v>44895</v>
      </c>
      <c r="D779" s="152">
        <v>4.1013700000000002</v>
      </c>
      <c r="E779" s="152" t="s">
        <v>1325</v>
      </c>
      <c r="F779" s="152" t="s">
        <v>1326</v>
      </c>
      <c r="G779" s="152" t="s">
        <v>47</v>
      </c>
      <c r="H779" s="152"/>
      <c r="I779" s="151">
        <v>43284</v>
      </c>
      <c r="J779" s="152">
        <v>2.95</v>
      </c>
      <c r="K779" s="152" t="s">
        <v>1327</v>
      </c>
      <c r="L779" s="152" t="s">
        <v>1327</v>
      </c>
      <c r="M779" s="152" t="s">
        <v>1327</v>
      </c>
      <c r="N779" s="152" t="s">
        <v>1327</v>
      </c>
      <c r="O779" s="152">
        <v>3.2492139999999998</v>
      </c>
      <c r="P779" s="152">
        <v>91.275277000000003</v>
      </c>
      <c r="Q779" s="152">
        <v>3.2492139999999998</v>
      </c>
      <c r="R779" s="152" t="s">
        <v>1327</v>
      </c>
      <c r="S779" s="152">
        <v>99.416983999999999</v>
      </c>
      <c r="T779" s="152">
        <v>1.2569859999999999</v>
      </c>
      <c r="U779" s="152">
        <v>3.771172</v>
      </c>
      <c r="V779" s="152">
        <v>16.746860999999999</v>
      </c>
      <c r="W779" s="152">
        <v>1000</v>
      </c>
      <c r="X779" s="152" t="s">
        <v>23</v>
      </c>
      <c r="Y779" s="152" t="s">
        <v>1328</v>
      </c>
      <c r="Z779" s="152" t="s">
        <v>1327</v>
      </c>
    </row>
    <row r="780" spans="1:26" x14ac:dyDescent="0.2">
      <c r="A780" s="152" t="s">
        <v>595</v>
      </c>
      <c r="B780" s="152">
        <v>3.4</v>
      </c>
      <c r="C780" s="151">
        <v>45003</v>
      </c>
      <c r="D780" s="152">
        <v>4.3972600000000002</v>
      </c>
      <c r="E780" s="152" t="s">
        <v>1325</v>
      </c>
      <c r="F780" s="152" t="s">
        <v>1326</v>
      </c>
      <c r="G780" s="152"/>
      <c r="H780" s="152" t="s">
        <v>500</v>
      </c>
      <c r="I780" s="151">
        <v>43301</v>
      </c>
      <c r="J780" s="152">
        <v>2.67</v>
      </c>
      <c r="K780" s="152" t="s">
        <v>1327</v>
      </c>
      <c r="L780" s="152" t="s">
        <v>1327</v>
      </c>
      <c r="M780" s="152" t="s">
        <v>1327</v>
      </c>
      <c r="N780" s="152" t="s">
        <v>1327</v>
      </c>
      <c r="O780" s="152">
        <v>2.8409019999999998</v>
      </c>
      <c r="P780" s="152">
        <v>46.954833000000001</v>
      </c>
      <c r="Q780" s="152">
        <v>2.8409019999999998</v>
      </c>
      <c r="R780" s="152" t="s">
        <v>1327</v>
      </c>
      <c r="S780" s="152">
        <v>102.30650199999999</v>
      </c>
      <c r="T780" s="152">
        <v>0.34465800000000002</v>
      </c>
      <c r="U780" s="152">
        <v>4.0516059999999996</v>
      </c>
      <c r="V780" s="152">
        <v>19.127362000000002</v>
      </c>
      <c r="W780" s="152">
        <v>1000</v>
      </c>
      <c r="X780" s="152" t="s">
        <v>23</v>
      </c>
      <c r="Y780" s="152" t="s">
        <v>1328</v>
      </c>
      <c r="Z780" s="152" t="s">
        <v>1327</v>
      </c>
    </row>
    <row r="781" spans="1:26" x14ac:dyDescent="0.2">
      <c r="A781" s="152" t="s">
        <v>1991</v>
      </c>
      <c r="B781" s="152">
        <v>3.25</v>
      </c>
      <c r="C781" s="151">
        <v>45164</v>
      </c>
      <c r="D781" s="152">
        <v>4.8383560000000001</v>
      </c>
      <c r="E781" s="152" t="s">
        <v>1325</v>
      </c>
      <c r="F781" s="152" t="s">
        <v>1326</v>
      </c>
      <c r="G781" s="152"/>
      <c r="H781" s="152" t="s">
        <v>500</v>
      </c>
      <c r="I781" s="151" t="s">
        <v>1327</v>
      </c>
      <c r="J781" s="152" t="s">
        <v>1327</v>
      </c>
      <c r="K781" s="152" t="s">
        <v>1327</v>
      </c>
      <c r="L781" s="152" t="s">
        <v>1327</v>
      </c>
      <c r="M781" s="152" t="s">
        <v>1327</v>
      </c>
      <c r="N781" s="152" t="s">
        <v>1327</v>
      </c>
      <c r="O781" s="152">
        <v>2.9809369999999999</v>
      </c>
      <c r="P781" s="152">
        <v>56.685544</v>
      </c>
      <c r="Q781" s="152">
        <v>2.9809369999999999</v>
      </c>
      <c r="R781" s="152" t="s">
        <v>1327</v>
      </c>
      <c r="S781" s="152">
        <v>101.188322</v>
      </c>
      <c r="T781" s="152">
        <v>0.53424700000000003</v>
      </c>
      <c r="U781" s="152">
        <v>4.4314220000000004</v>
      </c>
      <c r="V781" s="152">
        <v>22.771061</v>
      </c>
      <c r="W781" s="152">
        <v>1000</v>
      </c>
      <c r="X781" s="152" t="s">
        <v>23</v>
      </c>
      <c r="Y781" s="152" t="s">
        <v>1328</v>
      </c>
      <c r="Z781" s="152" t="s">
        <v>1327</v>
      </c>
    </row>
    <row r="782" spans="1:26" x14ac:dyDescent="0.2">
      <c r="A782" s="152" t="s">
        <v>1992</v>
      </c>
      <c r="B782" s="152">
        <v>5.35</v>
      </c>
      <c r="C782" s="151">
        <v>45230</v>
      </c>
      <c r="D782" s="152">
        <v>5.0191780000000001</v>
      </c>
      <c r="E782" s="152" t="s">
        <v>1325</v>
      </c>
      <c r="F782" s="152" t="s">
        <v>1326</v>
      </c>
      <c r="G782" s="152"/>
      <c r="H782" s="152" t="s">
        <v>464</v>
      </c>
      <c r="I782" s="151">
        <v>43245</v>
      </c>
      <c r="J782" s="152">
        <v>2.9075000000000002</v>
      </c>
      <c r="K782" s="152" t="s">
        <v>1327</v>
      </c>
      <c r="L782" s="152" t="s">
        <v>1327</v>
      </c>
      <c r="M782" s="152" t="s">
        <v>1327</v>
      </c>
      <c r="N782" s="152" t="s">
        <v>1327</v>
      </c>
      <c r="O782" s="152">
        <v>3.003755</v>
      </c>
      <c r="P782" s="152">
        <v>58.373190999999998</v>
      </c>
      <c r="Q782" s="152">
        <v>3.003755</v>
      </c>
      <c r="R782" s="152" t="s">
        <v>1327</v>
      </c>
      <c r="S782" s="152">
        <v>110.85132299999999</v>
      </c>
      <c r="T782" s="152">
        <v>-8.7944999999999995E-2</v>
      </c>
      <c r="U782" s="152">
        <v>4.4353160000000003</v>
      </c>
      <c r="V782" s="152">
        <v>23.199372</v>
      </c>
      <c r="W782" s="152">
        <v>1000</v>
      </c>
      <c r="X782" s="152" t="s">
        <v>23</v>
      </c>
      <c r="Y782" s="152" t="s">
        <v>1328</v>
      </c>
      <c r="Z782" s="152" t="s">
        <v>1327</v>
      </c>
    </row>
    <row r="783" spans="1:26" x14ac:dyDescent="0.2">
      <c r="A783" s="152" t="s">
        <v>1993</v>
      </c>
      <c r="B783" s="152">
        <v>5.35</v>
      </c>
      <c r="C783" s="151">
        <v>45230</v>
      </c>
      <c r="D783" s="152">
        <v>5.0191780000000001</v>
      </c>
      <c r="E783" s="152" t="s">
        <v>1325</v>
      </c>
      <c r="F783" s="152" t="s">
        <v>1326</v>
      </c>
      <c r="G783" s="152"/>
      <c r="H783" s="152" t="s">
        <v>464</v>
      </c>
      <c r="I783" s="151">
        <v>43245</v>
      </c>
      <c r="J783" s="152">
        <v>2.8</v>
      </c>
      <c r="K783" s="152" t="s">
        <v>1327</v>
      </c>
      <c r="L783" s="152" t="s">
        <v>1327</v>
      </c>
      <c r="M783" s="152" t="s">
        <v>1327</v>
      </c>
      <c r="N783" s="152" t="s">
        <v>1327</v>
      </c>
      <c r="O783" s="152">
        <v>3.0014099999999999</v>
      </c>
      <c r="P783" s="152">
        <v>58.135058999999998</v>
      </c>
      <c r="Q783" s="152">
        <v>3.0014099999999999</v>
      </c>
      <c r="R783" s="152" t="s">
        <v>1327</v>
      </c>
      <c r="S783" s="152">
        <v>110.862844</v>
      </c>
      <c r="T783" s="152">
        <v>-8.7944999999999995E-2</v>
      </c>
      <c r="U783" s="152">
        <v>4.4353990000000003</v>
      </c>
      <c r="V783" s="152">
        <v>23.200122</v>
      </c>
      <c r="W783" s="152">
        <v>1000</v>
      </c>
      <c r="X783" s="152" t="s">
        <v>23</v>
      </c>
      <c r="Y783" s="152" t="s">
        <v>1328</v>
      </c>
      <c r="Z783" s="152" t="s">
        <v>1327</v>
      </c>
    </row>
    <row r="784" spans="1:26" x14ac:dyDescent="0.2">
      <c r="A784" s="152" t="s">
        <v>1994</v>
      </c>
      <c r="B784" s="152">
        <v>5.14</v>
      </c>
      <c r="C784" s="151">
        <v>45378</v>
      </c>
      <c r="D784" s="152">
        <v>5.424658</v>
      </c>
      <c r="E784" s="152" t="s">
        <v>1325</v>
      </c>
      <c r="F784" s="152" t="s">
        <v>1326</v>
      </c>
      <c r="G784" s="152"/>
      <c r="H784" s="152" t="s">
        <v>464</v>
      </c>
      <c r="I784" s="151">
        <v>43048</v>
      </c>
      <c r="J784" s="152">
        <v>3.1</v>
      </c>
      <c r="K784" s="152" t="s">
        <v>1327</v>
      </c>
      <c r="L784" s="152" t="s">
        <v>1327</v>
      </c>
      <c r="M784" s="152" t="s">
        <v>1327</v>
      </c>
      <c r="N784" s="152" t="s">
        <v>1327</v>
      </c>
      <c r="O784" s="152">
        <v>3.216412</v>
      </c>
      <c r="P784" s="152">
        <v>76.102232999999998</v>
      </c>
      <c r="Q784" s="152">
        <v>3.216412</v>
      </c>
      <c r="R784" s="152" t="s">
        <v>1327</v>
      </c>
      <c r="S784" s="152">
        <v>109.514971</v>
      </c>
      <c r="T784" s="152">
        <v>0.39430100000000001</v>
      </c>
      <c r="U784" s="152">
        <v>4.7376930000000002</v>
      </c>
      <c r="V784" s="152">
        <v>26.501956</v>
      </c>
      <c r="W784" s="152">
        <v>1000</v>
      </c>
      <c r="X784" s="152" t="s">
        <v>23</v>
      </c>
      <c r="Y784" s="152" t="s">
        <v>1328</v>
      </c>
      <c r="Z784" s="152" t="s">
        <v>1327</v>
      </c>
    </row>
    <row r="785" spans="1:26" x14ac:dyDescent="0.2">
      <c r="A785" s="152" t="s">
        <v>1995</v>
      </c>
      <c r="B785" s="152">
        <v>5.14</v>
      </c>
      <c r="C785" s="151">
        <v>45378</v>
      </c>
      <c r="D785" s="152">
        <v>5.424658</v>
      </c>
      <c r="E785" s="152" t="s">
        <v>1325</v>
      </c>
      <c r="F785" s="152" t="s">
        <v>1326</v>
      </c>
      <c r="G785" s="152"/>
      <c r="H785" s="152" t="s">
        <v>464</v>
      </c>
      <c r="I785" s="151">
        <v>43284</v>
      </c>
      <c r="J785" s="152">
        <v>2.93</v>
      </c>
      <c r="K785" s="151" t="s">
        <v>1327</v>
      </c>
      <c r="L785" s="152" t="s">
        <v>1327</v>
      </c>
      <c r="M785" s="152" t="s">
        <v>1327</v>
      </c>
      <c r="N785" s="152" t="s">
        <v>1327</v>
      </c>
      <c r="O785" s="152">
        <v>3.163408</v>
      </c>
      <c r="P785" s="152">
        <v>70.718761999999998</v>
      </c>
      <c r="Q785" s="152">
        <v>3.163408</v>
      </c>
      <c r="R785" s="152" t="s">
        <v>1327</v>
      </c>
      <c r="S785" s="152">
        <v>109.791381</v>
      </c>
      <c r="T785" s="152">
        <v>0.39430100000000001</v>
      </c>
      <c r="U785" s="152">
        <v>4.7398429999999996</v>
      </c>
      <c r="V785" s="152">
        <v>26.522348000000001</v>
      </c>
      <c r="W785" s="152">
        <v>1000</v>
      </c>
      <c r="X785" s="152" t="s">
        <v>23</v>
      </c>
      <c r="Y785" s="152" t="s">
        <v>1328</v>
      </c>
      <c r="Z785" s="152" t="s">
        <v>1327</v>
      </c>
    </row>
    <row r="786" spans="1:26" x14ac:dyDescent="0.2">
      <c r="A786" s="152" t="s">
        <v>1996</v>
      </c>
      <c r="B786" s="152">
        <v>5.05</v>
      </c>
      <c r="C786" s="151">
        <v>45526</v>
      </c>
      <c r="D786" s="152">
        <v>5.8301369999999997</v>
      </c>
      <c r="E786" s="152" t="s">
        <v>1325</v>
      </c>
      <c r="F786" s="152" t="s">
        <v>1326</v>
      </c>
      <c r="G786" s="152"/>
      <c r="H786" s="152" t="s">
        <v>464</v>
      </c>
      <c r="I786" s="151">
        <v>43264</v>
      </c>
      <c r="J786" s="152">
        <v>3</v>
      </c>
      <c r="K786" s="151" t="s">
        <v>1327</v>
      </c>
      <c r="L786" s="152" t="s">
        <v>1327</v>
      </c>
      <c r="M786" s="152" t="s">
        <v>1327</v>
      </c>
      <c r="N786" s="152" t="s">
        <v>1327</v>
      </c>
      <c r="O786" s="152">
        <v>3.198842</v>
      </c>
      <c r="P786" s="152">
        <v>70.168442999999996</v>
      </c>
      <c r="Q786" s="152">
        <v>3.198842</v>
      </c>
      <c r="R786" s="152" t="s">
        <v>1327</v>
      </c>
      <c r="S786" s="152">
        <v>109.74759899999999</v>
      </c>
      <c r="T786" s="152">
        <v>0.88547900000000002</v>
      </c>
      <c r="U786" s="152">
        <v>5.0405600000000002</v>
      </c>
      <c r="V786" s="152">
        <v>30.069293999999999</v>
      </c>
      <c r="W786" s="152">
        <v>1000</v>
      </c>
      <c r="X786" s="152" t="s">
        <v>23</v>
      </c>
      <c r="Y786" s="152" t="s">
        <v>1328</v>
      </c>
      <c r="Z786" s="152" t="s">
        <v>1327</v>
      </c>
    </row>
    <row r="787" spans="1:26" x14ac:dyDescent="0.2">
      <c r="A787" s="152" t="s">
        <v>1997</v>
      </c>
      <c r="B787" s="152">
        <v>4.45</v>
      </c>
      <c r="C787" s="151">
        <v>45838</v>
      </c>
      <c r="D787" s="152">
        <v>6.6849319999999999</v>
      </c>
      <c r="E787" s="152" t="s">
        <v>1325</v>
      </c>
      <c r="F787" s="152" t="s">
        <v>1326</v>
      </c>
      <c r="G787" s="152"/>
      <c r="H787" s="152" t="s">
        <v>500</v>
      </c>
      <c r="I787" s="151">
        <v>43376</v>
      </c>
      <c r="J787" s="152">
        <v>3.9</v>
      </c>
      <c r="K787" s="152" t="s">
        <v>1327</v>
      </c>
      <c r="L787" s="152" t="s">
        <v>1327</v>
      </c>
      <c r="M787" s="152" t="s">
        <v>1327</v>
      </c>
      <c r="N787" s="152" t="s">
        <v>1327</v>
      </c>
      <c r="O787" s="152">
        <v>4.0008299999999997</v>
      </c>
      <c r="P787" s="152">
        <v>141.35515100000001</v>
      </c>
      <c r="Q787" s="152">
        <v>4.0008299999999997</v>
      </c>
      <c r="R787" s="152" t="s">
        <v>1327</v>
      </c>
      <c r="S787" s="152">
        <v>102.599358</v>
      </c>
      <c r="T787" s="152">
        <v>1.4264380000000001</v>
      </c>
      <c r="U787" s="152">
        <v>5.6729570000000002</v>
      </c>
      <c r="V787" s="152">
        <v>38.146422999999999</v>
      </c>
      <c r="W787" s="152">
        <v>1000</v>
      </c>
      <c r="X787" s="152" t="s">
        <v>23</v>
      </c>
      <c r="Y787" s="152" t="s">
        <v>1328</v>
      </c>
      <c r="Z787" s="152" t="s">
        <v>1327</v>
      </c>
    </row>
    <row r="788" spans="1:26" x14ac:dyDescent="0.2">
      <c r="A788" s="152" t="s">
        <v>1998</v>
      </c>
      <c r="B788" s="152">
        <v>4</v>
      </c>
      <c r="C788" s="151">
        <v>46099</v>
      </c>
      <c r="D788" s="152">
        <v>7.4</v>
      </c>
      <c r="E788" s="152" t="s">
        <v>1325</v>
      </c>
      <c r="F788" s="152" t="s">
        <v>1326</v>
      </c>
      <c r="G788" s="152"/>
      <c r="H788" s="152" t="s">
        <v>500</v>
      </c>
      <c r="I788" s="151" t="s">
        <v>1327</v>
      </c>
      <c r="J788" s="152" t="s">
        <v>1327</v>
      </c>
      <c r="K788" s="152" t="s">
        <v>1327</v>
      </c>
      <c r="L788" s="152" t="s">
        <v>1327</v>
      </c>
      <c r="M788" s="152" t="s">
        <v>1327</v>
      </c>
      <c r="N788" s="152" t="s">
        <v>1327</v>
      </c>
      <c r="O788" s="152">
        <v>3.8952559999999998</v>
      </c>
      <c r="P788" s="152">
        <v>123.46657999999999</v>
      </c>
      <c r="Q788" s="152">
        <v>3.8952559999999998</v>
      </c>
      <c r="R788" s="152" t="s">
        <v>1327</v>
      </c>
      <c r="S788" s="152">
        <v>100.68061</v>
      </c>
      <c r="T788" s="152">
        <v>0.40547899999999998</v>
      </c>
      <c r="U788" s="152">
        <v>6.3282749999999997</v>
      </c>
      <c r="V788" s="152">
        <v>46.779682999999999</v>
      </c>
      <c r="W788" s="152">
        <v>1000</v>
      </c>
      <c r="X788" s="152" t="s">
        <v>23</v>
      </c>
      <c r="Y788" s="152" t="s">
        <v>1328</v>
      </c>
      <c r="Z788" s="152" t="s">
        <v>1327</v>
      </c>
    </row>
    <row r="789" spans="1:26" x14ac:dyDescent="0.2">
      <c r="A789" s="152" t="s">
        <v>1999</v>
      </c>
      <c r="B789" s="152">
        <v>3.68</v>
      </c>
      <c r="C789" s="151">
        <v>46260</v>
      </c>
      <c r="D789" s="152">
        <v>7.8410960000000003</v>
      </c>
      <c r="E789" s="152" t="s">
        <v>1325</v>
      </c>
      <c r="F789" s="152" t="s">
        <v>1326</v>
      </c>
      <c r="G789" s="152"/>
      <c r="H789" s="152" t="s">
        <v>500</v>
      </c>
      <c r="I789" s="151">
        <v>43319</v>
      </c>
      <c r="J789" s="152">
        <v>3.5</v>
      </c>
      <c r="K789" s="152" t="s">
        <v>1327</v>
      </c>
      <c r="L789" s="152" t="s">
        <v>1327</v>
      </c>
      <c r="M789" s="152" t="s">
        <v>1327</v>
      </c>
      <c r="N789" s="152" t="s">
        <v>1327</v>
      </c>
      <c r="O789" s="152">
        <v>3.496194</v>
      </c>
      <c r="P789" s="152">
        <v>79.479427000000001</v>
      </c>
      <c r="Q789" s="152">
        <v>3.496194</v>
      </c>
      <c r="R789" s="152" t="s">
        <v>1327</v>
      </c>
      <c r="S789" s="152">
        <v>101.232309</v>
      </c>
      <c r="T789" s="152">
        <v>0.60493200000000003</v>
      </c>
      <c r="U789" s="152">
        <v>6.731948</v>
      </c>
      <c r="V789" s="152">
        <v>52.729173000000003</v>
      </c>
      <c r="W789" s="152">
        <v>1000</v>
      </c>
      <c r="X789" s="152" t="s">
        <v>23</v>
      </c>
      <c r="Y789" s="152" t="s">
        <v>1328</v>
      </c>
      <c r="Z789" s="152" t="s">
        <v>1327</v>
      </c>
    </row>
    <row r="790" spans="1:26" x14ac:dyDescent="0.2">
      <c r="A790" s="152" t="s">
        <v>2000</v>
      </c>
      <c r="B790" s="152">
        <v>4.8</v>
      </c>
      <c r="C790" s="151">
        <v>46382</v>
      </c>
      <c r="D790" s="152">
        <v>8.1753420000000006</v>
      </c>
      <c r="E790" s="152" t="s">
        <v>1325</v>
      </c>
      <c r="F790" s="152" t="s">
        <v>1326</v>
      </c>
      <c r="G790" s="152"/>
      <c r="H790" s="152" t="s">
        <v>464</v>
      </c>
      <c r="I790" s="151">
        <v>43138</v>
      </c>
      <c r="J790" s="152">
        <v>3.6</v>
      </c>
      <c r="K790" s="152" t="s">
        <v>1327</v>
      </c>
      <c r="L790" s="152" t="s">
        <v>1327</v>
      </c>
      <c r="M790" s="152" t="s">
        <v>1327</v>
      </c>
      <c r="N790" s="152" t="s">
        <v>1327</v>
      </c>
      <c r="O790" s="152">
        <v>3.9716629999999999</v>
      </c>
      <c r="P790" s="152">
        <v>126.111542</v>
      </c>
      <c r="Q790" s="152">
        <v>3.9716629999999999</v>
      </c>
      <c r="R790" s="152" t="s">
        <v>1327</v>
      </c>
      <c r="S790" s="152">
        <v>105.71928</v>
      </c>
      <c r="T790" s="152">
        <v>1.5912329999999999</v>
      </c>
      <c r="U790" s="152">
        <v>6.6643689999999998</v>
      </c>
      <c r="V790" s="152">
        <v>53.319744</v>
      </c>
      <c r="W790" s="152">
        <v>1000</v>
      </c>
      <c r="X790" s="152" t="s">
        <v>23</v>
      </c>
      <c r="Y790" s="152" t="s">
        <v>1328</v>
      </c>
      <c r="Z790" s="152" t="s">
        <v>1327</v>
      </c>
    </row>
    <row r="791" spans="1:26" x14ac:dyDescent="0.2">
      <c r="A791" s="152" t="s">
        <v>2001</v>
      </c>
      <c r="B791" s="152">
        <v>3.96</v>
      </c>
      <c r="C791" s="151">
        <v>46617</v>
      </c>
      <c r="D791" s="152">
        <v>8.8191780000000008</v>
      </c>
      <c r="E791" s="152" t="s">
        <v>1325</v>
      </c>
      <c r="F791" s="152" t="s">
        <v>1326</v>
      </c>
      <c r="G791" s="152"/>
      <c r="H791" s="152" t="s">
        <v>500</v>
      </c>
      <c r="I791" s="151">
        <v>43376</v>
      </c>
      <c r="J791" s="152">
        <v>3.3235000000000001</v>
      </c>
      <c r="K791" s="152" t="s">
        <v>1327</v>
      </c>
      <c r="L791" s="152" t="s">
        <v>1327</v>
      </c>
      <c r="M791" s="152" t="s">
        <v>1327</v>
      </c>
      <c r="N791" s="152" t="s">
        <v>1327</v>
      </c>
      <c r="O791" s="152">
        <v>3.369812</v>
      </c>
      <c r="P791" s="152">
        <v>58.006515</v>
      </c>
      <c r="Q791" s="152">
        <v>3.369812</v>
      </c>
      <c r="R791" s="152" t="s">
        <v>1327</v>
      </c>
      <c r="S791" s="152">
        <v>104.449836</v>
      </c>
      <c r="T791" s="152">
        <v>0.73775299999999999</v>
      </c>
      <c r="U791" s="152">
        <v>7.3869959999999999</v>
      </c>
      <c r="V791" s="152">
        <v>64.094181000000006</v>
      </c>
      <c r="W791" s="152">
        <v>1000</v>
      </c>
      <c r="X791" s="152" t="s">
        <v>23</v>
      </c>
      <c r="Y791" s="152" t="s">
        <v>1328</v>
      </c>
      <c r="Z791" s="152" t="s">
        <v>1327</v>
      </c>
    </row>
    <row r="792" spans="1:26" x14ac:dyDescent="0.2">
      <c r="A792" s="152" t="s">
        <v>2002</v>
      </c>
      <c r="B792" s="152">
        <v>3.5</v>
      </c>
      <c r="C792" s="151">
        <v>46706</v>
      </c>
      <c r="D792" s="152">
        <v>9.0630140000000008</v>
      </c>
      <c r="E792" s="152" t="s">
        <v>1325</v>
      </c>
      <c r="F792" s="152" t="s">
        <v>1326</v>
      </c>
      <c r="G792" s="152" t="s">
        <v>47</v>
      </c>
      <c r="H792" s="152"/>
      <c r="I792" s="151">
        <v>43222</v>
      </c>
      <c r="J792" s="152">
        <v>3.48</v>
      </c>
      <c r="K792" s="152" t="s">
        <v>1327</v>
      </c>
      <c r="L792" s="152" t="s">
        <v>1327</v>
      </c>
      <c r="M792" s="152" t="s">
        <v>1327</v>
      </c>
      <c r="N792" s="152" t="s">
        <v>1327</v>
      </c>
      <c r="O792" s="152">
        <v>3.5740949999999998</v>
      </c>
      <c r="P792" s="152">
        <v>77.106883999999994</v>
      </c>
      <c r="Q792" s="152">
        <v>3.5740949999999998</v>
      </c>
      <c r="R792" s="152" t="s">
        <v>1327</v>
      </c>
      <c r="S792" s="152">
        <v>99.415007000000003</v>
      </c>
      <c r="T792" s="152">
        <v>1.5630139999999999</v>
      </c>
      <c r="U792" s="152">
        <v>7.5806319999999996</v>
      </c>
      <c r="V792" s="152">
        <v>67.648933</v>
      </c>
      <c r="W792" s="152">
        <v>1000</v>
      </c>
      <c r="X792" s="152" t="s">
        <v>23</v>
      </c>
      <c r="Y792" s="152" t="s">
        <v>1328</v>
      </c>
      <c r="Z792" s="152" t="s">
        <v>1327</v>
      </c>
    </row>
    <row r="793" spans="1:26" x14ac:dyDescent="0.2">
      <c r="A793" s="152" t="s">
        <v>2003</v>
      </c>
      <c r="B793" s="152">
        <v>4.1500000000000004</v>
      </c>
      <c r="C793" s="151">
        <v>46830</v>
      </c>
      <c r="D793" s="152">
        <v>9.4027399999999997</v>
      </c>
      <c r="E793" s="152" t="s">
        <v>1325</v>
      </c>
      <c r="F793" s="152" t="s">
        <v>1326</v>
      </c>
      <c r="G793" s="152"/>
      <c r="H793" s="152" t="s">
        <v>500</v>
      </c>
      <c r="I793" s="151">
        <v>42891</v>
      </c>
      <c r="J793" s="152">
        <v>4.0999999999999996</v>
      </c>
      <c r="K793" s="152" t="s">
        <v>1327</v>
      </c>
      <c r="L793" s="152" t="s">
        <v>1327</v>
      </c>
      <c r="M793" s="152" t="s">
        <v>1327</v>
      </c>
      <c r="N793" s="152" t="s">
        <v>1327</v>
      </c>
      <c r="O793" s="152">
        <v>4.0759999999999996</v>
      </c>
      <c r="P793" s="152">
        <v>129.81726399999999</v>
      </c>
      <c r="Q793" s="152">
        <v>4.0759999999999996</v>
      </c>
      <c r="R793" s="152" t="s">
        <v>1327</v>
      </c>
      <c r="S793" s="152">
        <v>100.586375</v>
      </c>
      <c r="T793" s="152">
        <v>0.42068499999999998</v>
      </c>
      <c r="U793" s="152">
        <v>7.6900180000000002</v>
      </c>
      <c r="V793" s="152">
        <v>70.046893999999995</v>
      </c>
      <c r="W793" s="152">
        <v>1000</v>
      </c>
      <c r="X793" s="152" t="s">
        <v>23</v>
      </c>
      <c r="Y793" s="152" t="s">
        <v>1328</v>
      </c>
      <c r="Z793" s="152" t="s">
        <v>1327</v>
      </c>
    </row>
    <row r="794" spans="1:26" x14ac:dyDescent="0.2">
      <c r="A794" s="152" t="s">
        <v>2004</v>
      </c>
      <c r="B794" s="152">
        <v>4</v>
      </c>
      <c r="C794" s="151">
        <v>46991</v>
      </c>
      <c r="D794" s="152">
        <v>9.8438359999999996</v>
      </c>
      <c r="E794" s="152" t="s">
        <v>1325</v>
      </c>
      <c r="F794" s="152" t="s">
        <v>1326</v>
      </c>
      <c r="G794" s="152"/>
      <c r="H794" s="152" t="s">
        <v>500</v>
      </c>
      <c r="I794" s="152">
        <v>43258</v>
      </c>
      <c r="J794" s="152">
        <v>3.85</v>
      </c>
      <c r="K794" s="152" t="s">
        <v>1327</v>
      </c>
      <c r="L794" s="152" t="s">
        <v>1327</v>
      </c>
      <c r="M794" s="152" t="s">
        <v>1327</v>
      </c>
      <c r="N794" s="152" t="s">
        <v>1327</v>
      </c>
      <c r="O794" s="152">
        <v>3.7786599999999999</v>
      </c>
      <c r="P794" s="152">
        <v>100.422017</v>
      </c>
      <c r="Q794" s="152">
        <v>3.7786599999999999</v>
      </c>
      <c r="R794" s="152" t="s">
        <v>1327</v>
      </c>
      <c r="S794" s="152">
        <v>101.78433699999999</v>
      </c>
      <c r="T794" s="152">
        <v>0.65753399999999995</v>
      </c>
      <c r="U794" s="152">
        <v>8.0450529999999993</v>
      </c>
      <c r="V794" s="152">
        <v>76.659845000000004</v>
      </c>
      <c r="W794" s="152">
        <v>1000</v>
      </c>
      <c r="X794" s="152" t="s">
        <v>23</v>
      </c>
      <c r="Y794" s="152" t="s">
        <v>1328</v>
      </c>
      <c r="Z794" s="152" t="s">
        <v>1327</v>
      </c>
    </row>
    <row r="795" spans="1:26" x14ac:dyDescent="0.2">
      <c r="A795" s="152" t="s">
        <v>2005</v>
      </c>
      <c r="B795" s="152">
        <v>4.7</v>
      </c>
      <c r="C795" s="151">
        <v>47204</v>
      </c>
      <c r="D795" s="152">
        <v>10.427396999999999</v>
      </c>
      <c r="E795" s="152" t="s">
        <v>1325</v>
      </c>
      <c r="F795" s="152" t="s">
        <v>1326</v>
      </c>
      <c r="G795" s="152"/>
      <c r="H795" s="152" t="s">
        <v>500</v>
      </c>
      <c r="I795" s="151">
        <v>43215</v>
      </c>
      <c r="J795" s="152">
        <v>4.05</v>
      </c>
      <c r="K795" s="152" t="s">
        <v>1327</v>
      </c>
      <c r="L795" s="152" t="s">
        <v>1327</v>
      </c>
      <c r="M795" s="152" t="s">
        <v>1327</v>
      </c>
      <c r="N795" s="152" t="s">
        <v>1327</v>
      </c>
      <c r="O795" s="152">
        <v>4.1255639999999998</v>
      </c>
      <c r="P795" s="152">
        <v>124.63173500000001</v>
      </c>
      <c r="Q795" s="152">
        <v>4.1255639999999998</v>
      </c>
      <c r="R795" s="152" t="s">
        <v>1327</v>
      </c>
      <c r="S795" s="152">
        <v>104.84125400000001</v>
      </c>
      <c r="T795" s="152">
        <v>0.36054799999999998</v>
      </c>
      <c r="U795" s="152">
        <v>8.2140950000000004</v>
      </c>
      <c r="V795" s="152">
        <v>81.320948999999999</v>
      </c>
      <c r="W795" s="152">
        <v>1000</v>
      </c>
      <c r="X795" s="152" t="s">
        <v>23</v>
      </c>
      <c r="Y795" s="152" t="s">
        <v>1328</v>
      </c>
      <c r="Z795" s="152" t="s">
        <v>1327</v>
      </c>
    </row>
    <row r="796" spans="1:26" x14ac:dyDescent="0.2">
      <c r="A796" s="152" t="s">
        <v>2006</v>
      </c>
      <c r="B796" s="152">
        <v>5</v>
      </c>
      <c r="C796" s="151">
        <v>79320</v>
      </c>
      <c r="D796" s="152">
        <v>98.416437999999999</v>
      </c>
      <c r="E796" s="152" t="s">
        <v>1325</v>
      </c>
      <c r="F796" s="152" t="s">
        <v>1326</v>
      </c>
      <c r="G796" s="152" t="s">
        <v>116</v>
      </c>
      <c r="H796" s="152"/>
      <c r="I796" s="151">
        <v>43301</v>
      </c>
      <c r="J796" s="152" t="s">
        <v>1327</v>
      </c>
      <c r="K796" s="152" t="s">
        <v>1327</v>
      </c>
      <c r="L796" s="152" t="s">
        <v>1327</v>
      </c>
      <c r="M796" s="152" t="s">
        <v>1327</v>
      </c>
      <c r="N796" s="152" t="s">
        <v>1327</v>
      </c>
      <c r="O796" s="152" t="s">
        <v>1327</v>
      </c>
      <c r="P796" s="152" t="s">
        <v>1327</v>
      </c>
      <c r="Q796" s="152" t="s">
        <v>1327</v>
      </c>
      <c r="R796" s="152" t="s">
        <v>1327</v>
      </c>
      <c r="S796" s="152">
        <v>100.088633</v>
      </c>
      <c r="T796" s="152" t="s">
        <v>1327</v>
      </c>
      <c r="U796" s="152" t="s">
        <v>1327</v>
      </c>
      <c r="V796" s="152" t="s">
        <v>1327</v>
      </c>
      <c r="W796" s="152">
        <v>1000</v>
      </c>
      <c r="X796" s="152" t="s">
        <v>23</v>
      </c>
      <c r="Y796" s="152" t="s">
        <v>1328</v>
      </c>
      <c r="Z796" s="152" t="s">
        <v>1327</v>
      </c>
    </row>
    <row r="797" spans="1:26" x14ac:dyDescent="0.2">
      <c r="A797" s="152" t="s">
        <v>660</v>
      </c>
      <c r="B797" s="152">
        <v>5</v>
      </c>
      <c r="C797" s="151">
        <v>43680</v>
      </c>
      <c r="D797" s="152">
        <v>0.77260300000000004</v>
      </c>
      <c r="E797" s="152" t="s">
        <v>1325</v>
      </c>
      <c r="F797" s="152" t="s">
        <v>1326</v>
      </c>
      <c r="G797" s="152" t="s">
        <v>51</v>
      </c>
      <c r="H797" s="152"/>
      <c r="I797" s="151">
        <v>43374</v>
      </c>
      <c r="J797" s="152">
        <v>2</v>
      </c>
      <c r="K797" s="152">
        <v>42094</v>
      </c>
      <c r="L797" s="152">
        <v>2.95</v>
      </c>
      <c r="M797" s="152">
        <v>3.5736400000000001</v>
      </c>
      <c r="N797" s="152">
        <v>2.95</v>
      </c>
      <c r="O797" s="152">
        <v>2.1800739999999998</v>
      </c>
      <c r="P797" s="152">
        <v>40.427112000000001</v>
      </c>
      <c r="Q797" s="152">
        <v>2.1800739999999998</v>
      </c>
      <c r="R797" s="152" t="s">
        <v>1327</v>
      </c>
      <c r="S797" s="152">
        <v>102.13628300000001</v>
      </c>
      <c r="T797" s="152">
        <v>1.1369860000000001</v>
      </c>
      <c r="U797" s="152">
        <v>0.75643499999999997</v>
      </c>
      <c r="V797" s="152">
        <v>0.95207900000000001</v>
      </c>
      <c r="W797" s="152">
        <v>1000</v>
      </c>
      <c r="X797" s="152" t="s">
        <v>23</v>
      </c>
      <c r="Y797" s="152" t="s">
        <v>1328</v>
      </c>
      <c r="Z797" s="152" t="s">
        <v>1327</v>
      </c>
    </row>
    <row r="798" spans="1:26" x14ac:dyDescent="0.2">
      <c r="A798" s="152" t="s">
        <v>537</v>
      </c>
      <c r="B798" s="152">
        <v>4.54</v>
      </c>
      <c r="C798" s="151">
        <v>43679</v>
      </c>
      <c r="D798" s="152">
        <v>0.76986299999999996</v>
      </c>
      <c r="E798" s="152" t="s">
        <v>1325</v>
      </c>
      <c r="F798" s="152" t="s">
        <v>1326</v>
      </c>
      <c r="G798" s="152" t="s">
        <v>51</v>
      </c>
      <c r="H798" s="152"/>
      <c r="I798" s="151">
        <v>43350</v>
      </c>
      <c r="J798" s="152">
        <v>1.9</v>
      </c>
      <c r="K798" s="152" t="s">
        <v>1327</v>
      </c>
      <c r="L798" s="152" t="s">
        <v>1327</v>
      </c>
      <c r="M798" s="152" t="s">
        <v>1327</v>
      </c>
      <c r="N798" s="152" t="s">
        <v>1327</v>
      </c>
      <c r="O798" s="152">
        <v>2.1095139999999999</v>
      </c>
      <c r="P798" s="152">
        <v>33.263420000000004</v>
      </c>
      <c r="Q798" s="152">
        <v>2.1095139999999999</v>
      </c>
      <c r="R798" s="152" t="s">
        <v>1327</v>
      </c>
      <c r="S798" s="152">
        <v>101.834557</v>
      </c>
      <c r="T798" s="152">
        <v>1.0448219999999999</v>
      </c>
      <c r="U798" s="152">
        <v>0.75504000000000004</v>
      </c>
      <c r="V798" s="152">
        <v>0.94891700000000001</v>
      </c>
      <c r="W798" s="152">
        <v>1000</v>
      </c>
      <c r="X798" s="152" t="s">
        <v>23</v>
      </c>
      <c r="Y798" s="152" t="s">
        <v>1328</v>
      </c>
      <c r="Z798" s="152" t="s">
        <v>1327</v>
      </c>
    </row>
    <row r="799" spans="1:26" x14ac:dyDescent="0.2">
      <c r="A799" s="152" t="s">
        <v>538</v>
      </c>
      <c r="B799" s="152">
        <v>2.2799999999999998</v>
      </c>
      <c r="C799" s="151">
        <v>43933</v>
      </c>
      <c r="D799" s="152">
        <v>1.4657530000000001</v>
      </c>
      <c r="E799" s="152" t="s">
        <v>1325</v>
      </c>
      <c r="F799" s="152" t="s">
        <v>1326</v>
      </c>
      <c r="G799" s="152" t="s">
        <v>51</v>
      </c>
      <c r="H799" s="152"/>
      <c r="I799" s="151">
        <v>43370</v>
      </c>
      <c r="J799" s="152">
        <v>2.1475</v>
      </c>
      <c r="K799" s="152" t="s">
        <v>1327</v>
      </c>
      <c r="L799" s="152" t="s">
        <v>1327</v>
      </c>
      <c r="M799" s="152" t="s">
        <v>1327</v>
      </c>
      <c r="N799" s="152" t="s">
        <v>1327</v>
      </c>
      <c r="O799" s="152">
        <v>2.3349929999999999</v>
      </c>
      <c r="P799" s="152">
        <v>42.452689999999997</v>
      </c>
      <c r="Q799" s="152">
        <v>2.3349929999999999</v>
      </c>
      <c r="R799" s="152" t="s">
        <v>1327</v>
      </c>
      <c r="S799" s="152">
        <v>99.924025</v>
      </c>
      <c r="T799" s="152">
        <v>8.1204999999999999E-2</v>
      </c>
      <c r="U799" s="152">
        <v>1.429473</v>
      </c>
      <c r="V799" s="152">
        <v>2.763347</v>
      </c>
      <c r="W799" s="152">
        <v>1000</v>
      </c>
      <c r="X799" s="152" t="s">
        <v>23</v>
      </c>
      <c r="Y799" s="152" t="s">
        <v>1328</v>
      </c>
      <c r="Z799" s="152" t="s">
        <v>1327</v>
      </c>
    </row>
    <row r="800" spans="1:26" x14ac:dyDescent="0.2">
      <c r="A800" s="152" t="s">
        <v>661</v>
      </c>
      <c r="B800" s="152">
        <v>3.21</v>
      </c>
      <c r="C800" s="151">
        <v>43964</v>
      </c>
      <c r="D800" s="152">
        <v>1.5506850000000001</v>
      </c>
      <c r="E800" s="152" t="s">
        <v>1325</v>
      </c>
      <c r="F800" s="152" t="s">
        <v>1326</v>
      </c>
      <c r="G800" s="152" t="s">
        <v>51</v>
      </c>
      <c r="H800" s="152"/>
      <c r="I800" s="151">
        <v>43390</v>
      </c>
      <c r="J800" s="152">
        <v>2.4</v>
      </c>
      <c r="K800" s="152" t="s">
        <v>1327</v>
      </c>
      <c r="L800" s="152" t="s">
        <v>1327</v>
      </c>
      <c r="M800" s="152" t="s">
        <v>1327</v>
      </c>
      <c r="N800" s="152" t="s">
        <v>1327</v>
      </c>
      <c r="O800" s="152">
        <v>2.4044319999999999</v>
      </c>
      <c r="P800" s="152">
        <v>47.894486999999998</v>
      </c>
      <c r="Q800" s="152">
        <v>2.4044319999999999</v>
      </c>
      <c r="R800" s="152" t="s">
        <v>1327</v>
      </c>
      <c r="S800" s="152">
        <v>101.205973</v>
      </c>
      <c r="T800" s="152">
        <v>1.4510959999999999</v>
      </c>
      <c r="U800" s="152">
        <v>1.4876940000000001</v>
      </c>
      <c r="V800" s="152">
        <v>2.9992260000000002</v>
      </c>
      <c r="W800" s="152">
        <v>1000</v>
      </c>
      <c r="X800" s="152" t="s">
        <v>23</v>
      </c>
      <c r="Y800" s="152" t="s">
        <v>1328</v>
      </c>
      <c r="Z800" s="152" t="s">
        <v>1327</v>
      </c>
    </row>
    <row r="801" spans="1:26" x14ac:dyDescent="0.2">
      <c r="A801" s="152" t="s">
        <v>2007</v>
      </c>
      <c r="B801" s="152">
        <v>4.87</v>
      </c>
      <c r="C801" s="151">
        <v>44427</v>
      </c>
      <c r="D801" s="152">
        <v>2.819178</v>
      </c>
      <c r="E801" s="152" t="s">
        <v>1325</v>
      </c>
      <c r="F801" s="152" t="s">
        <v>1326</v>
      </c>
      <c r="G801" s="152" t="s">
        <v>51</v>
      </c>
      <c r="H801" s="152"/>
      <c r="I801" s="152">
        <v>43193</v>
      </c>
      <c r="J801" s="152">
        <v>1.96</v>
      </c>
      <c r="K801" s="152">
        <v>42094</v>
      </c>
      <c r="L801" s="152">
        <v>3.35</v>
      </c>
      <c r="M801" s="152">
        <v>4.0761750000000001</v>
      </c>
      <c r="N801" s="152">
        <v>3.30104</v>
      </c>
      <c r="O801" s="152">
        <v>2.6250429999999998</v>
      </c>
      <c r="P801" s="152">
        <v>54.827925999999998</v>
      </c>
      <c r="Q801" s="152">
        <v>2.6250429999999998</v>
      </c>
      <c r="R801" s="152" t="s">
        <v>1327</v>
      </c>
      <c r="S801" s="152">
        <v>106.041348</v>
      </c>
      <c r="T801" s="152">
        <v>0.89394499999999999</v>
      </c>
      <c r="U801" s="152">
        <v>2.6197020000000002</v>
      </c>
      <c r="V801" s="152">
        <v>8.4276839999999993</v>
      </c>
      <c r="W801" s="152">
        <v>1000</v>
      </c>
      <c r="X801" s="152" t="s">
        <v>23</v>
      </c>
      <c r="Y801" s="152" t="s">
        <v>1328</v>
      </c>
      <c r="Z801" s="152" t="s">
        <v>1327</v>
      </c>
    </row>
    <row r="802" spans="1:26" x14ac:dyDescent="0.2">
      <c r="A802" s="152" t="s">
        <v>493</v>
      </c>
      <c r="B802" s="152">
        <v>4.9000000000000004</v>
      </c>
      <c r="C802" s="151">
        <v>44410</v>
      </c>
      <c r="D802" s="152">
        <v>2.7726030000000002</v>
      </c>
      <c r="E802" s="152" t="s">
        <v>1325</v>
      </c>
      <c r="F802" s="152" t="s">
        <v>1326</v>
      </c>
      <c r="G802" s="152" t="s">
        <v>51</v>
      </c>
      <c r="H802" s="152"/>
      <c r="I802" s="151">
        <v>43335</v>
      </c>
      <c r="J802" s="152">
        <v>2.41</v>
      </c>
      <c r="K802" s="152" t="s">
        <v>1327</v>
      </c>
      <c r="L802" s="152" t="s">
        <v>1327</v>
      </c>
      <c r="M802" s="152" t="s">
        <v>1327</v>
      </c>
      <c r="N802" s="152" t="s">
        <v>1327</v>
      </c>
      <c r="O802" s="152">
        <v>2.6147900000000002</v>
      </c>
      <c r="P802" s="152">
        <v>54.40164</v>
      </c>
      <c r="Q802" s="152">
        <v>2.6147900000000002</v>
      </c>
      <c r="R802" s="152" t="s">
        <v>1327</v>
      </c>
      <c r="S802" s="152">
        <v>106.05237700000001</v>
      </c>
      <c r="T802" s="152">
        <v>1.1276710000000001</v>
      </c>
      <c r="U802" s="152">
        <v>2.5730089999999999</v>
      </c>
      <c r="V802" s="152">
        <v>8.1635329999999993</v>
      </c>
      <c r="W802" s="152">
        <v>1000</v>
      </c>
      <c r="X802" s="152" t="s">
        <v>23</v>
      </c>
      <c r="Y802" s="152" t="s">
        <v>1328</v>
      </c>
      <c r="Z802" s="152" t="s">
        <v>1327</v>
      </c>
    </row>
    <row r="803" spans="1:26" x14ac:dyDescent="0.2">
      <c r="A803" s="152" t="s">
        <v>662</v>
      </c>
      <c r="B803" s="152">
        <v>5</v>
      </c>
      <c r="C803" s="151">
        <v>44776</v>
      </c>
      <c r="D803" s="152">
        <v>3.7753420000000002</v>
      </c>
      <c r="E803" s="152" t="s">
        <v>1325</v>
      </c>
      <c r="F803" s="152" t="s">
        <v>1326</v>
      </c>
      <c r="G803" s="152" t="s">
        <v>51</v>
      </c>
      <c r="H803" s="152"/>
      <c r="I803" s="151">
        <v>43343</v>
      </c>
      <c r="J803" s="152">
        <v>2.82</v>
      </c>
      <c r="K803" s="152">
        <v>42094</v>
      </c>
      <c r="L803" s="152">
        <v>3.4457040000000001</v>
      </c>
      <c r="M803" s="152">
        <v>4.0988360000000004</v>
      </c>
      <c r="N803" s="152">
        <v>3.4414069999999999</v>
      </c>
      <c r="O803" s="152">
        <v>2.9140510000000002</v>
      </c>
      <c r="P803" s="152">
        <v>61.236975999999999</v>
      </c>
      <c r="Q803" s="152">
        <v>2.9140510000000002</v>
      </c>
      <c r="R803" s="152" t="s">
        <v>1327</v>
      </c>
      <c r="S803" s="152">
        <v>108.28707</v>
      </c>
      <c r="T803" s="152">
        <v>1.1369860000000001</v>
      </c>
      <c r="U803" s="152">
        <v>3.4165009999999998</v>
      </c>
      <c r="V803" s="152">
        <v>14.018940000000001</v>
      </c>
      <c r="W803" s="152">
        <v>1000</v>
      </c>
      <c r="X803" s="152" t="s">
        <v>23</v>
      </c>
      <c r="Y803" s="152" t="s">
        <v>1328</v>
      </c>
      <c r="Z803" s="152" t="s">
        <v>1327</v>
      </c>
    </row>
    <row r="804" spans="1:26" x14ac:dyDescent="0.2">
      <c r="A804" s="152" t="s">
        <v>596</v>
      </c>
      <c r="B804" s="152">
        <v>3.98</v>
      </c>
      <c r="C804" s="151">
        <v>45059</v>
      </c>
      <c r="D804" s="152">
        <v>4.5506849999999996</v>
      </c>
      <c r="E804" s="152" t="s">
        <v>1325</v>
      </c>
      <c r="F804" s="152" t="s">
        <v>1326</v>
      </c>
      <c r="G804" s="152" t="s">
        <v>51</v>
      </c>
      <c r="H804" s="152"/>
      <c r="I804" s="151">
        <v>43374</v>
      </c>
      <c r="J804" s="152">
        <v>3</v>
      </c>
      <c r="K804" s="152" t="s">
        <v>1327</v>
      </c>
      <c r="L804" s="152" t="s">
        <v>1327</v>
      </c>
      <c r="M804" s="152" t="s">
        <v>1327</v>
      </c>
      <c r="N804" s="152" t="s">
        <v>1327</v>
      </c>
      <c r="O804" s="152">
        <v>3.0328900000000001</v>
      </c>
      <c r="P804" s="152">
        <v>65.193967999999998</v>
      </c>
      <c r="Q804" s="152">
        <v>3.0328900000000001</v>
      </c>
      <c r="R804" s="152" t="s">
        <v>1327</v>
      </c>
      <c r="S804" s="152">
        <v>103.98096700000001</v>
      </c>
      <c r="T804" s="152">
        <v>1.7991779999999999</v>
      </c>
      <c r="U804" s="152">
        <v>4.0839059999999998</v>
      </c>
      <c r="V804" s="152">
        <v>19.792197000000002</v>
      </c>
      <c r="W804" s="152">
        <v>1000</v>
      </c>
      <c r="X804" s="152" t="s">
        <v>23</v>
      </c>
      <c r="Y804" s="152" t="s">
        <v>1328</v>
      </c>
      <c r="Z804" s="152" t="s">
        <v>1327</v>
      </c>
    </row>
    <row r="805" spans="1:26" x14ac:dyDescent="0.2">
      <c r="A805" s="152" t="s">
        <v>2008</v>
      </c>
      <c r="B805" s="152">
        <v>3.97</v>
      </c>
      <c r="C805" s="151">
        <v>45136</v>
      </c>
      <c r="D805" s="152">
        <v>4.7616440000000004</v>
      </c>
      <c r="E805" s="152" t="s">
        <v>1325</v>
      </c>
      <c r="F805" s="152" t="s">
        <v>1326</v>
      </c>
      <c r="G805" s="152" t="s">
        <v>51</v>
      </c>
      <c r="H805" s="152"/>
      <c r="I805" s="151">
        <v>43395</v>
      </c>
      <c r="J805" s="152">
        <v>3.07</v>
      </c>
      <c r="K805" s="152" t="s">
        <v>1327</v>
      </c>
      <c r="L805" s="152" t="s">
        <v>1327</v>
      </c>
      <c r="M805" s="152" t="s">
        <v>1327</v>
      </c>
      <c r="N805" s="152" t="s">
        <v>1327</v>
      </c>
      <c r="O805" s="152">
        <v>3.0642489999999998</v>
      </c>
      <c r="P805" s="152">
        <v>66.204745000000003</v>
      </c>
      <c r="Q805" s="152">
        <v>3.0642489999999998</v>
      </c>
      <c r="R805" s="152" t="s">
        <v>1327</v>
      </c>
      <c r="S805" s="152">
        <v>103.965689</v>
      </c>
      <c r="T805" s="152">
        <v>0.95715099999999997</v>
      </c>
      <c r="U805" s="152">
        <v>4.2915349999999997</v>
      </c>
      <c r="V805" s="152">
        <v>21.631782000000001</v>
      </c>
      <c r="W805" s="152">
        <v>1000</v>
      </c>
      <c r="X805" s="152" t="s">
        <v>23</v>
      </c>
      <c r="Y805" s="152" t="s">
        <v>1328</v>
      </c>
      <c r="Z805" s="152" t="s">
        <v>1327</v>
      </c>
    </row>
    <row r="806" spans="1:26" x14ac:dyDescent="0.2">
      <c r="A806" s="152" t="s">
        <v>597</v>
      </c>
      <c r="B806" s="152">
        <v>3.11</v>
      </c>
      <c r="C806" s="151">
        <v>45394</v>
      </c>
      <c r="D806" s="152">
        <v>5.4684929999999996</v>
      </c>
      <c r="E806" s="152" t="s">
        <v>1325</v>
      </c>
      <c r="F806" s="152" t="s">
        <v>1326</v>
      </c>
      <c r="G806" s="152" t="s">
        <v>51</v>
      </c>
      <c r="H806" s="152"/>
      <c r="I806" s="151">
        <v>43362</v>
      </c>
      <c r="J806" s="152">
        <v>3.1025</v>
      </c>
      <c r="K806" s="152" t="s">
        <v>1327</v>
      </c>
      <c r="L806" s="152" t="s">
        <v>1327</v>
      </c>
      <c r="M806" s="152" t="s">
        <v>1327</v>
      </c>
      <c r="N806" s="152" t="s">
        <v>1327</v>
      </c>
      <c r="O806" s="152">
        <v>3.194652</v>
      </c>
      <c r="P806" s="152">
        <v>72.304545000000005</v>
      </c>
      <c r="Q806" s="152">
        <v>3.194652</v>
      </c>
      <c r="R806" s="152" t="s">
        <v>1327</v>
      </c>
      <c r="S806" s="152">
        <v>99.582140999999993</v>
      </c>
      <c r="T806" s="152">
        <v>0.110767</v>
      </c>
      <c r="U806" s="152">
        <v>4.9800950000000004</v>
      </c>
      <c r="V806" s="152">
        <v>28.480737999999999</v>
      </c>
      <c r="W806" s="152">
        <v>1000</v>
      </c>
      <c r="X806" s="152" t="s">
        <v>23</v>
      </c>
      <c r="Y806" s="152" t="s">
        <v>1328</v>
      </c>
      <c r="Z806" s="152" t="s">
        <v>1327</v>
      </c>
    </row>
    <row r="807" spans="1:26" x14ac:dyDescent="0.2">
      <c r="A807" s="152" t="s">
        <v>494</v>
      </c>
      <c r="B807" s="152">
        <v>3.05</v>
      </c>
      <c r="C807" s="151">
        <v>45681</v>
      </c>
      <c r="D807" s="152">
        <v>6.2547949999999997</v>
      </c>
      <c r="E807" s="152" t="s">
        <v>1325</v>
      </c>
      <c r="F807" s="152" t="s">
        <v>1326</v>
      </c>
      <c r="G807" s="152" t="s">
        <v>51</v>
      </c>
      <c r="H807" s="152"/>
      <c r="I807" s="151">
        <v>43185</v>
      </c>
      <c r="J807" s="152">
        <v>2.8774999999999999</v>
      </c>
      <c r="K807" s="152" t="s">
        <v>1327</v>
      </c>
      <c r="L807" s="152" t="s">
        <v>1327</v>
      </c>
      <c r="M807" s="152" t="s">
        <v>1327</v>
      </c>
      <c r="N807" s="152" t="s">
        <v>1327</v>
      </c>
      <c r="O807" s="152">
        <v>3.319369</v>
      </c>
      <c r="P807" s="152">
        <v>75.785025000000005</v>
      </c>
      <c r="Q807" s="152">
        <v>3.319369</v>
      </c>
      <c r="R807" s="152" t="s">
        <v>1327</v>
      </c>
      <c r="S807" s="152">
        <v>98.475319999999996</v>
      </c>
      <c r="T807" s="152">
        <v>0.77712300000000001</v>
      </c>
      <c r="U807" s="152">
        <v>5.5962709999999998</v>
      </c>
      <c r="V807" s="152">
        <v>36.063139</v>
      </c>
      <c r="W807" s="152">
        <v>1000</v>
      </c>
      <c r="X807" s="152" t="s">
        <v>23</v>
      </c>
      <c r="Y807" s="152" t="s">
        <v>1328</v>
      </c>
      <c r="Z807" s="152" t="s">
        <v>1327</v>
      </c>
    </row>
    <row r="808" spans="1:26" x14ac:dyDescent="0.2">
      <c r="A808" s="152" t="s">
        <v>2009</v>
      </c>
      <c r="B808" s="152">
        <v>4.28</v>
      </c>
      <c r="C808" s="151">
        <v>45867</v>
      </c>
      <c r="D808" s="152">
        <v>6.7643839999999997</v>
      </c>
      <c r="E808" s="152" t="s">
        <v>1325</v>
      </c>
      <c r="F808" s="152" t="s">
        <v>1326</v>
      </c>
      <c r="G808" s="152" t="s">
        <v>51</v>
      </c>
      <c r="H808" s="152"/>
      <c r="I808" s="151">
        <v>43189</v>
      </c>
      <c r="J808" s="152">
        <v>2.99</v>
      </c>
      <c r="K808" s="152" t="s">
        <v>1327</v>
      </c>
      <c r="L808" s="152" t="s">
        <v>1327</v>
      </c>
      <c r="M808" s="152" t="s">
        <v>1327</v>
      </c>
      <c r="N808" s="152" t="s">
        <v>1327</v>
      </c>
      <c r="O808" s="152">
        <v>3.3761679999999998</v>
      </c>
      <c r="P808" s="152">
        <v>76.833168000000001</v>
      </c>
      <c r="Q808" s="152">
        <v>3.3761679999999998</v>
      </c>
      <c r="R808" s="152" t="s">
        <v>1327</v>
      </c>
      <c r="S808" s="152">
        <v>105.40229600000001</v>
      </c>
      <c r="T808" s="152">
        <v>1.03189</v>
      </c>
      <c r="U808" s="152">
        <v>5.8155799999999997</v>
      </c>
      <c r="V808" s="152">
        <v>39.746523000000003</v>
      </c>
      <c r="W808" s="152">
        <v>1000</v>
      </c>
      <c r="X808" s="152" t="s">
        <v>23</v>
      </c>
      <c r="Y808" s="152" t="s">
        <v>1328</v>
      </c>
      <c r="Z808" s="152" t="s">
        <v>1327</v>
      </c>
    </row>
    <row r="809" spans="1:26" x14ac:dyDescent="0.2">
      <c r="A809" s="152" t="s">
        <v>2010</v>
      </c>
      <c r="B809" s="152">
        <v>4.51</v>
      </c>
      <c r="C809" s="151">
        <v>46597</v>
      </c>
      <c r="D809" s="152">
        <v>8.7643839999999997</v>
      </c>
      <c r="E809" s="152" t="s">
        <v>1325</v>
      </c>
      <c r="F809" s="152" t="s">
        <v>1326</v>
      </c>
      <c r="G809" s="152" t="s">
        <v>51</v>
      </c>
      <c r="H809" s="152"/>
      <c r="I809" s="151">
        <v>42772</v>
      </c>
      <c r="J809" s="152">
        <v>4.03</v>
      </c>
      <c r="K809" s="152" t="s">
        <v>1327</v>
      </c>
      <c r="L809" s="152" t="s">
        <v>1327</v>
      </c>
      <c r="M809" s="152" t="s">
        <v>1327</v>
      </c>
      <c r="N809" s="152" t="s">
        <v>1327</v>
      </c>
      <c r="O809" s="152">
        <v>3.6792690000000001</v>
      </c>
      <c r="P809" s="152">
        <v>90.586223000000004</v>
      </c>
      <c r="Q809" s="152">
        <v>3.6792690000000001</v>
      </c>
      <c r="R809" s="152" t="s">
        <v>1327</v>
      </c>
      <c r="S809" s="152">
        <v>106.151096</v>
      </c>
      <c r="T809" s="152">
        <v>1.087342</v>
      </c>
      <c r="U809" s="152">
        <v>7.1812290000000001</v>
      </c>
      <c r="V809" s="152">
        <v>61.43365</v>
      </c>
      <c r="W809" s="152">
        <v>1000</v>
      </c>
      <c r="X809" s="152" t="s">
        <v>23</v>
      </c>
      <c r="Y809" s="152" t="s">
        <v>1328</v>
      </c>
      <c r="Z809" s="152" t="s">
        <v>1327</v>
      </c>
    </row>
    <row r="810" spans="1:26" x14ac:dyDescent="0.2">
      <c r="A810" s="152" t="s">
        <v>2011</v>
      </c>
      <c r="B810" s="152">
        <v>3.6</v>
      </c>
      <c r="C810" s="151">
        <v>46776</v>
      </c>
      <c r="D810" s="152">
        <v>9.2547949999999997</v>
      </c>
      <c r="E810" s="152" t="s">
        <v>1325</v>
      </c>
      <c r="F810" s="152" t="s">
        <v>1326</v>
      </c>
      <c r="G810" s="152" t="s">
        <v>51</v>
      </c>
      <c r="H810" s="152"/>
      <c r="I810" s="151">
        <v>43199</v>
      </c>
      <c r="J810" s="152">
        <v>3.49</v>
      </c>
      <c r="K810" s="151" t="s">
        <v>1327</v>
      </c>
      <c r="L810" s="152" t="s">
        <v>1327</v>
      </c>
      <c r="M810" s="152" t="s">
        <v>1327</v>
      </c>
      <c r="N810" s="152" t="s">
        <v>1327</v>
      </c>
      <c r="O810" s="152">
        <v>3.7346659999999998</v>
      </c>
      <c r="P810" s="152">
        <v>93.849106000000006</v>
      </c>
      <c r="Q810" s="152">
        <v>3.7346659999999998</v>
      </c>
      <c r="R810" s="152" t="s">
        <v>1327</v>
      </c>
      <c r="S810" s="152">
        <v>98.935976999999994</v>
      </c>
      <c r="T810" s="152">
        <v>0.91725999999999996</v>
      </c>
      <c r="U810" s="152">
        <v>7.7255560000000001</v>
      </c>
      <c r="V810" s="152">
        <v>70.067023000000006</v>
      </c>
      <c r="W810" s="152">
        <v>1000</v>
      </c>
      <c r="X810" s="152" t="s">
        <v>23</v>
      </c>
      <c r="Y810" s="152" t="s">
        <v>1328</v>
      </c>
      <c r="Z810" s="152" t="s">
        <v>1327</v>
      </c>
    </row>
    <row r="811" spans="1:26" x14ac:dyDescent="0.2">
      <c r="A811" s="152" t="s">
        <v>2012</v>
      </c>
      <c r="B811" s="152">
        <v>3.73</v>
      </c>
      <c r="C811" s="151">
        <v>47950</v>
      </c>
      <c r="D811" s="152">
        <v>12.471233</v>
      </c>
      <c r="E811" s="152" t="s">
        <v>1325</v>
      </c>
      <c r="F811" s="152" t="s">
        <v>1326</v>
      </c>
      <c r="G811" s="152" t="s">
        <v>51</v>
      </c>
      <c r="H811" s="152"/>
      <c r="I811" s="151">
        <v>43125</v>
      </c>
      <c r="J811" s="152">
        <v>3.68</v>
      </c>
      <c r="K811" s="151" t="s">
        <v>1327</v>
      </c>
      <c r="L811" s="152" t="s">
        <v>1327</v>
      </c>
      <c r="M811" s="152" t="s">
        <v>1327</v>
      </c>
      <c r="N811" s="152" t="s">
        <v>1327</v>
      </c>
      <c r="O811" s="152">
        <v>4.1862000000000004</v>
      </c>
      <c r="P811" s="152">
        <v>105.906537</v>
      </c>
      <c r="Q811" s="152">
        <v>4.1862000000000004</v>
      </c>
      <c r="R811" s="152" t="s">
        <v>1327</v>
      </c>
      <c r="S811" s="152">
        <v>95.608739</v>
      </c>
      <c r="T811" s="152">
        <v>0.13284899999999999</v>
      </c>
      <c r="U811" s="152">
        <v>9.7954080000000001</v>
      </c>
      <c r="V811" s="152">
        <v>115.00844600000001</v>
      </c>
      <c r="W811" s="152">
        <v>1000</v>
      </c>
      <c r="X811" s="152" t="s">
        <v>23</v>
      </c>
      <c r="Y811" s="152" t="s">
        <v>1328</v>
      </c>
      <c r="Z811" s="152" t="s">
        <v>1327</v>
      </c>
    </row>
    <row r="812" spans="1:26" x14ac:dyDescent="0.2">
      <c r="A812" s="152" t="s">
        <v>2013</v>
      </c>
      <c r="B812" s="152">
        <v>5.3</v>
      </c>
      <c r="C812" s="151">
        <v>48429</v>
      </c>
      <c r="D812" s="152">
        <v>13.783562</v>
      </c>
      <c r="E812" s="152" t="s">
        <v>1325</v>
      </c>
      <c r="F812" s="152" t="s">
        <v>1326</v>
      </c>
      <c r="G812" s="152" t="s">
        <v>51</v>
      </c>
      <c r="H812" s="152"/>
      <c r="I812" s="151">
        <v>43314</v>
      </c>
      <c r="J812" s="152">
        <v>4.12</v>
      </c>
      <c r="K812" s="152">
        <v>41362</v>
      </c>
      <c r="L812" s="152">
        <v>5.3537559999999997</v>
      </c>
      <c r="M812" s="152">
        <v>5.3537559999999997</v>
      </c>
      <c r="N812" s="152">
        <v>5.2</v>
      </c>
      <c r="O812" s="152">
        <v>4.3521539999999996</v>
      </c>
      <c r="P812" s="152">
        <v>116.536469</v>
      </c>
      <c r="Q812" s="152">
        <v>4.3521539999999996</v>
      </c>
      <c r="R812" s="152" t="s">
        <v>1327</v>
      </c>
      <c r="S812" s="152">
        <v>109.71538700000001</v>
      </c>
      <c r="T812" s="152">
        <v>1.2052050000000001</v>
      </c>
      <c r="U812" s="152">
        <v>9.8252830000000007</v>
      </c>
      <c r="V812" s="152">
        <v>122.328575</v>
      </c>
      <c r="W812" s="152">
        <v>1000</v>
      </c>
      <c r="X812" s="152" t="s">
        <v>23</v>
      </c>
      <c r="Y812" s="152" t="s">
        <v>1328</v>
      </c>
      <c r="Z812" s="152" t="s">
        <v>1327</v>
      </c>
    </row>
    <row r="813" spans="1:26" x14ac:dyDescent="0.2">
      <c r="A813" s="152" t="s">
        <v>2014</v>
      </c>
      <c r="B813" s="152">
        <v>5.42</v>
      </c>
      <c r="C813" s="151">
        <v>51732</v>
      </c>
      <c r="D813" s="152">
        <v>22.832877</v>
      </c>
      <c r="E813" s="152" t="s">
        <v>1325</v>
      </c>
      <c r="F813" s="152" t="s">
        <v>1326</v>
      </c>
      <c r="G813" s="152" t="s">
        <v>51</v>
      </c>
      <c r="H813" s="152"/>
      <c r="I813" s="151">
        <v>43070</v>
      </c>
      <c r="J813" s="152">
        <v>4.1500000000000004</v>
      </c>
      <c r="K813" s="152" t="s">
        <v>1327</v>
      </c>
      <c r="L813" s="152" t="s">
        <v>1327</v>
      </c>
      <c r="M813" s="152" t="s">
        <v>1327</v>
      </c>
      <c r="N813" s="152" t="s">
        <v>1327</v>
      </c>
      <c r="O813" s="152">
        <v>4.5767230000000003</v>
      </c>
      <c r="P813" s="152">
        <v>122.25846300000001</v>
      </c>
      <c r="Q813" s="152">
        <v>4.5767230000000003</v>
      </c>
      <c r="R813" s="152" t="s">
        <v>1327</v>
      </c>
      <c r="S813" s="152">
        <v>111.835537</v>
      </c>
      <c r="T813" s="152">
        <v>0.99490400000000001</v>
      </c>
      <c r="U813" s="152">
        <v>13.471765</v>
      </c>
      <c r="V813" s="152">
        <v>251.416054</v>
      </c>
      <c r="W813" s="152">
        <v>1000</v>
      </c>
      <c r="X813" s="152" t="s">
        <v>23</v>
      </c>
      <c r="Y813" s="152" t="s">
        <v>1328</v>
      </c>
      <c r="Z813" s="152" t="s">
        <v>1327</v>
      </c>
    </row>
    <row r="814" spans="1:26" x14ac:dyDescent="0.2">
      <c r="A814" s="152" t="s">
        <v>2015</v>
      </c>
      <c r="B814" s="152">
        <v>5.42</v>
      </c>
      <c r="C814" s="151">
        <v>51856</v>
      </c>
      <c r="D814" s="152">
        <v>23.172602999999999</v>
      </c>
      <c r="E814" s="152" t="s">
        <v>1325</v>
      </c>
      <c r="F814" s="152" t="s">
        <v>1326</v>
      </c>
      <c r="G814" s="152" t="s">
        <v>51</v>
      </c>
      <c r="H814" s="152"/>
      <c r="I814" s="151">
        <v>43286</v>
      </c>
      <c r="J814" s="152">
        <v>4.6100000000000003</v>
      </c>
      <c r="K814" s="152" t="s">
        <v>1327</v>
      </c>
      <c r="L814" s="152" t="s">
        <v>1327</v>
      </c>
      <c r="M814" s="152" t="s">
        <v>1327</v>
      </c>
      <c r="N814" s="152" t="s">
        <v>1327</v>
      </c>
      <c r="O814" s="152">
        <v>4.690131</v>
      </c>
      <c r="P814" s="152">
        <v>133.48657900000001</v>
      </c>
      <c r="Q814" s="152">
        <v>4.690131</v>
      </c>
      <c r="R814" s="152" t="s">
        <v>1327</v>
      </c>
      <c r="S814" s="152">
        <v>110.228526</v>
      </c>
      <c r="T814" s="152">
        <v>1.871014</v>
      </c>
      <c r="U814" s="152">
        <v>13.394753</v>
      </c>
      <c r="V814" s="152">
        <v>252.13643099999999</v>
      </c>
      <c r="W814" s="152">
        <v>1000</v>
      </c>
      <c r="X814" s="152" t="s">
        <v>23</v>
      </c>
      <c r="Y814" s="152" t="s">
        <v>1328</v>
      </c>
      <c r="Z814" s="152" t="s">
        <v>1327</v>
      </c>
    </row>
    <row r="815" spans="1:26" x14ac:dyDescent="0.2">
      <c r="A815" s="152" t="s">
        <v>539</v>
      </c>
      <c r="B815" s="152">
        <v>2.5099999999999998</v>
      </c>
      <c r="C815" s="151">
        <v>44027</v>
      </c>
      <c r="D815" s="152">
        <v>1.7232879999999999</v>
      </c>
      <c r="E815" s="152" t="s">
        <v>1325</v>
      </c>
      <c r="F815" s="152" t="s">
        <v>1326</v>
      </c>
      <c r="G815" s="152" t="s">
        <v>51</v>
      </c>
      <c r="H815" s="152"/>
      <c r="I815" s="151">
        <v>43172</v>
      </c>
      <c r="J815" s="152">
        <v>1.92</v>
      </c>
      <c r="K815" s="151" t="s">
        <v>1327</v>
      </c>
      <c r="L815" s="152" t="s">
        <v>1327</v>
      </c>
      <c r="M815" s="152" t="s">
        <v>1327</v>
      </c>
      <c r="N815" s="152" t="s">
        <v>1327</v>
      </c>
      <c r="O815" s="152">
        <v>2.4202629999999998</v>
      </c>
      <c r="P815" s="152">
        <v>45.289687000000001</v>
      </c>
      <c r="Q815" s="152">
        <v>2.4202629999999998</v>
      </c>
      <c r="R815" s="152" t="s">
        <v>1327</v>
      </c>
      <c r="S815" s="152">
        <v>100.13850600000001</v>
      </c>
      <c r="T815" s="152">
        <v>0.70142499999999997</v>
      </c>
      <c r="U815" s="152">
        <v>1.667637</v>
      </c>
      <c r="V815" s="152">
        <v>3.6456149999999998</v>
      </c>
      <c r="W815" s="152">
        <v>1000</v>
      </c>
      <c r="X815" s="152" t="s">
        <v>23</v>
      </c>
      <c r="Y815" s="152" t="s">
        <v>1328</v>
      </c>
      <c r="Z815" s="152" t="s">
        <v>1327</v>
      </c>
    </row>
    <row r="816" spans="1:26" x14ac:dyDescent="0.2">
      <c r="A816" s="152" t="s">
        <v>598</v>
      </c>
      <c r="B816" s="152">
        <v>3.1</v>
      </c>
      <c r="C816" s="151">
        <v>44216</v>
      </c>
      <c r="D816" s="152">
        <v>2.2410960000000002</v>
      </c>
      <c r="E816" s="152" t="s">
        <v>1325</v>
      </c>
      <c r="F816" s="152" t="s">
        <v>1326</v>
      </c>
      <c r="G816" s="152" t="s">
        <v>51</v>
      </c>
      <c r="H816" s="152"/>
      <c r="I816" s="151">
        <v>43370</v>
      </c>
      <c r="J816" s="152">
        <v>2.4575</v>
      </c>
      <c r="K816" s="152" t="s">
        <v>1327</v>
      </c>
      <c r="L816" s="152" t="s">
        <v>1327</v>
      </c>
      <c r="M816" s="152" t="s">
        <v>1327</v>
      </c>
      <c r="N816" s="152" t="s">
        <v>1327</v>
      </c>
      <c r="O816" s="152">
        <v>2.4950359999999998</v>
      </c>
      <c r="P816" s="152">
        <v>46.007871999999999</v>
      </c>
      <c r="Q816" s="152">
        <v>2.4950359999999998</v>
      </c>
      <c r="R816" s="152" t="s">
        <v>1327</v>
      </c>
      <c r="S816" s="152">
        <v>101.29394600000001</v>
      </c>
      <c r="T816" s="152">
        <v>0.82383600000000001</v>
      </c>
      <c r="U816" s="152">
        <v>2.1371730000000002</v>
      </c>
      <c r="V816" s="152">
        <v>5.727004</v>
      </c>
      <c r="W816" s="152">
        <v>1000</v>
      </c>
      <c r="X816" s="152" t="s">
        <v>23</v>
      </c>
      <c r="Y816" s="152" t="s">
        <v>1328</v>
      </c>
      <c r="Z816" s="152" t="s">
        <v>1327</v>
      </c>
    </row>
    <row r="817" spans="1:26" x14ac:dyDescent="0.2">
      <c r="A817" s="152" t="s">
        <v>2016</v>
      </c>
      <c r="B817" s="152">
        <v>2.4300000000000002</v>
      </c>
      <c r="C817" s="151">
        <v>44340</v>
      </c>
      <c r="D817" s="152">
        <v>2.5808219999999999</v>
      </c>
      <c r="E817" s="152" t="s">
        <v>1325</v>
      </c>
      <c r="F817" s="152" t="s">
        <v>1326</v>
      </c>
      <c r="G817" s="152" t="s">
        <v>51</v>
      </c>
      <c r="H817" s="152"/>
      <c r="I817" s="151">
        <v>43370</v>
      </c>
      <c r="J817" s="152">
        <v>2.5975000000000001</v>
      </c>
      <c r="K817" s="151" t="s">
        <v>1327</v>
      </c>
      <c r="L817" s="152" t="s">
        <v>1327</v>
      </c>
      <c r="M817" s="152" t="s">
        <v>1327</v>
      </c>
      <c r="N817" s="152" t="s">
        <v>1327</v>
      </c>
      <c r="O817" s="152">
        <v>2.6203669999999999</v>
      </c>
      <c r="P817" s="152">
        <v>56.556598999999999</v>
      </c>
      <c r="Q817" s="152">
        <v>2.6203669999999999</v>
      </c>
      <c r="R817" s="152" t="s">
        <v>1327</v>
      </c>
      <c r="S817" s="152">
        <v>99.516608000000005</v>
      </c>
      <c r="T817" s="152">
        <v>1.0252600000000001</v>
      </c>
      <c r="U817" s="152">
        <v>2.461052</v>
      </c>
      <c r="V817" s="152">
        <v>7.423349</v>
      </c>
      <c r="W817" s="152">
        <v>1000</v>
      </c>
      <c r="X817" s="152" t="s">
        <v>23</v>
      </c>
      <c r="Y817" s="152" t="s">
        <v>1328</v>
      </c>
      <c r="Z817" s="152" t="s">
        <v>1327</v>
      </c>
    </row>
    <row r="818" spans="1:26" x14ac:dyDescent="0.2">
      <c r="A818" s="152" t="s">
        <v>599</v>
      </c>
      <c r="B818" s="152">
        <v>3.47</v>
      </c>
      <c r="C818" s="151">
        <v>44946</v>
      </c>
      <c r="D818" s="152">
        <v>4.2410959999999998</v>
      </c>
      <c r="E818" s="152" t="s">
        <v>1325</v>
      </c>
      <c r="F818" s="152" t="s">
        <v>1326</v>
      </c>
      <c r="G818" s="152" t="s">
        <v>51</v>
      </c>
      <c r="H818" s="152"/>
      <c r="I818" s="151">
        <v>43318</v>
      </c>
      <c r="J818" s="152">
        <v>2.8</v>
      </c>
      <c r="K818" s="152" t="s">
        <v>1327</v>
      </c>
      <c r="L818" s="152" t="s">
        <v>1327</v>
      </c>
      <c r="M818" s="152" t="s">
        <v>1327</v>
      </c>
      <c r="N818" s="152" t="s">
        <v>1327</v>
      </c>
      <c r="O818" s="152">
        <v>2.9654020000000001</v>
      </c>
      <c r="P818" s="152">
        <v>61.413558999999999</v>
      </c>
      <c r="Q818" s="152">
        <v>2.9654020000000001</v>
      </c>
      <c r="R818" s="152" t="s">
        <v>1327</v>
      </c>
      <c r="S818" s="152">
        <v>101.97842799999999</v>
      </c>
      <c r="T818" s="152">
        <v>0.92216399999999998</v>
      </c>
      <c r="U818" s="152">
        <v>3.8893659999999999</v>
      </c>
      <c r="V818" s="152">
        <v>17.770529</v>
      </c>
      <c r="W818" s="152">
        <v>1000</v>
      </c>
      <c r="X818" s="152" t="s">
        <v>23</v>
      </c>
      <c r="Y818" s="152" t="s">
        <v>1328</v>
      </c>
      <c r="Z818" s="152" t="s">
        <v>1327</v>
      </c>
    </row>
    <row r="819" spans="1:26" x14ac:dyDescent="0.2">
      <c r="A819" s="152" t="s">
        <v>663</v>
      </c>
      <c r="B819" s="152">
        <v>3.09</v>
      </c>
      <c r="C819" s="151">
        <v>45122</v>
      </c>
      <c r="D819" s="152">
        <v>4.7232880000000002</v>
      </c>
      <c r="E819" s="152" t="s">
        <v>1325</v>
      </c>
      <c r="F819" s="152" t="s">
        <v>1326</v>
      </c>
      <c r="G819" s="152" t="s">
        <v>51</v>
      </c>
      <c r="H819" s="152"/>
      <c r="I819" s="151">
        <v>43084</v>
      </c>
      <c r="J819" s="152">
        <v>2.75</v>
      </c>
      <c r="K819" s="152" t="s">
        <v>1327</v>
      </c>
      <c r="L819" s="152" t="s">
        <v>1327</v>
      </c>
      <c r="M819" s="152" t="s">
        <v>1327</v>
      </c>
      <c r="N819" s="152" t="s">
        <v>1327</v>
      </c>
      <c r="O819" s="152">
        <v>3.0860029999999998</v>
      </c>
      <c r="P819" s="152">
        <v>68.313286000000005</v>
      </c>
      <c r="Q819" s="152">
        <v>3.0860029999999998</v>
      </c>
      <c r="R819" s="152" t="s">
        <v>1327</v>
      </c>
      <c r="S819" s="152">
        <v>100.00182100000001</v>
      </c>
      <c r="T819" s="152">
        <v>0.86350700000000002</v>
      </c>
      <c r="U819" s="152">
        <v>4.3290870000000004</v>
      </c>
      <c r="V819" s="152">
        <v>21.789349000000001</v>
      </c>
      <c r="W819" s="152">
        <v>1000</v>
      </c>
      <c r="X819" s="152" t="s">
        <v>23</v>
      </c>
      <c r="Y819" s="152" t="s">
        <v>1328</v>
      </c>
      <c r="Z819" s="152" t="s">
        <v>1327</v>
      </c>
    </row>
    <row r="820" spans="1:26" x14ac:dyDescent="0.2">
      <c r="A820" s="152" t="s">
        <v>2017</v>
      </c>
      <c r="B820" s="152">
        <v>3.24</v>
      </c>
      <c r="C820" s="151">
        <v>45436</v>
      </c>
      <c r="D820" s="152">
        <v>5.5835619999999997</v>
      </c>
      <c r="E820" s="152" t="s">
        <v>1325</v>
      </c>
      <c r="F820" s="152" t="s">
        <v>1326</v>
      </c>
      <c r="G820" s="152" t="s">
        <v>51</v>
      </c>
      <c r="H820" s="152"/>
      <c r="I820" s="151">
        <v>43343</v>
      </c>
      <c r="J820" s="152">
        <v>3.15</v>
      </c>
      <c r="K820" s="152" t="s">
        <v>1327</v>
      </c>
      <c r="L820" s="152" t="s">
        <v>1327</v>
      </c>
      <c r="M820" s="152" t="s">
        <v>1327</v>
      </c>
      <c r="N820" s="152" t="s">
        <v>1327</v>
      </c>
      <c r="O820" s="152">
        <v>3.2881290000000001</v>
      </c>
      <c r="P820" s="152">
        <v>80.914957999999999</v>
      </c>
      <c r="Q820" s="152">
        <v>3.2881290000000001</v>
      </c>
      <c r="R820" s="152" t="s">
        <v>1327</v>
      </c>
      <c r="S820" s="152">
        <v>99.741236000000001</v>
      </c>
      <c r="T820" s="152">
        <v>1.367014</v>
      </c>
      <c r="U820" s="152">
        <v>5.0000850000000003</v>
      </c>
      <c r="V820" s="152">
        <v>29.101505</v>
      </c>
      <c r="W820" s="152">
        <v>1000</v>
      </c>
      <c r="X820" s="152" t="s">
        <v>23</v>
      </c>
      <c r="Y820" s="152" t="s">
        <v>1328</v>
      </c>
      <c r="Z820" s="152" t="s">
        <v>1327</v>
      </c>
    </row>
    <row r="821" spans="1:26" x14ac:dyDescent="0.2">
      <c r="A821" s="152" t="s">
        <v>2018</v>
      </c>
      <c r="B821" s="152">
        <v>3.87</v>
      </c>
      <c r="C821" s="151">
        <v>46042</v>
      </c>
      <c r="D821" s="152">
        <v>7.2438359999999999</v>
      </c>
      <c r="E821" s="152" t="s">
        <v>1325</v>
      </c>
      <c r="F821" s="152" t="s">
        <v>1326</v>
      </c>
      <c r="G821" s="152" t="s">
        <v>51</v>
      </c>
      <c r="H821" s="152"/>
      <c r="I821" s="151">
        <v>43187</v>
      </c>
      <c r="J821" s="152">
        <v>3.1</v>
      </c>
      <c r="K821" s="152" t="s">
        <v>1327</v>
      </c>
      <c r="L821" s="152" t="s">
        <v>1327</v>
      </c>
      <c r="M821" s="152" t="s">
        <v>1327</v>
      </c>
      <c r="N821" s="152" t="s">
        <v>1327</v>
      </c>
      <c r="O821" s="152">
        <v>3.5024899999999999</v>
      </c>
      <c r="P821" s="152">
        <v>84.598167000000004</v>
      </c>
      <c r="Q821" s="152">
        <v>3.5024899999999999</v>
      </c>
      <c r="R821" s="152" t="s">
        <v>1327</v>
      </c>
      <c r="S821" s="152">
        <v>102.311757</v>
      </c>
      <c r="T821" s="152">
        <v>1.0284660000000001</v>
      </c>
      <c r="U821" s="152">
        <v>6.2235259999999997</v>
      </c>
      <c r="V821" s="152">
        <v>45.313012999999998</v>
      </c>
      <c r="W821" s="152">
        <v>1000</v>
      </c>
      <c r="X821" s="152" t="s">
        <v>23</v>
      </c>
      <c r="Y821" s="152" t="s">
        <v>1328</v>
      </c>
      <c r="Z821" s="152" t="s">
        <v>1327</v>
      </c>
    </row>
    <row r="822" spans="1:26" x14ac:dyDescent="0.2">
      <c r="A822" s="152" t="s">
        <v>2019</v>
      </c>
      <c r="B822" s="152">
        <v>3.46</v>
      </c>
      <c r="C822" s="151">
        <v>46218</v>
      </c>
      <c r="D822" s="152">
        <v>7.7260270000000002</v>
      </c>
      <c r="E822" s="152" t="s">
        <v>1325</v>
      </c>
      <c r="F822" s="152" t="s">
        <v>1326</v>
      </c>
      <c r="G822" s="152" t="s">
        <v>51</v>
      </c>
      <c r="H822" s="152"/>
      <c r="I822" s="151" t="s">
        <v>1327</v>
      </c>
      <c r="J822" s="152" t="s">
        <v>1327</v>
      </c>
      <c r="K822" s="152" t="s">
        <v>1327</v>
      </c>
      <c r="L822" s="152" t="s">
        <v>1327</v>
      </c>
      <c r="M822" s="152" t="s">
        <v>1327</v>
      </c>
      <c r="N822" s="152" t="s">
        <v>1327</v>
      </c>
      <c r="O822" s="152">
        <v>3.5923820000000002</v>
      </c>
      <c r="P822" s="152">
        <v>89.929796999999994</v>
      </c>
      <c r="Q822" s="152">
        <v>3.5923820000000002</v>
      </c>
      <c r="R822" s="152" t="s">
        <v>1327</v>
      </c>
      <c r="S822" s="152">
        <v>99.095872999999997</v>
      </c>
      <c r="T822" s="152">
        <v>0.96690399999999999</v>
      </c>
      <c r="U822" s="152">
        <v>6.6560949999999997</v>
      </c>
      <c r="V822" s="152">
        <v>51.541266999999998</v>
      </c>
      <c r="W822" s="152">
        <v>1000</v>
      </c>
      <c r="X822" s="152" t="s">
        <v>23</v>
      </c>
      <c r="Y822" s="152" t="s">
        <v>1328</v>
      </c>
      <c r="Z822" s="152" t="s">
        <v>1327</v>
      </c>
    </row>
    <row r="823" spans="1:26" x14ac:dyDescent="0.2">
      <c r="A823" s="152" t="s">
        <v>2020</v>
      </c>
      <c r="B823" s="152">
        <v>4.1500000000000004</v>
      </c>
      <c r="C823" s="151">
        <v>46772</v>
      </c>
      <c r="D823" s="152">
        <v>9.2438359999999999</v>
      </c>
      <c r="E823" s="152" t="s">
        <v>1325</v>
      </c>
      <c r="F823" s="152" t="s">
        <v>1326</v>
      </c>
      <c r="G823" s="152" t="s">
        <v>51</v>
      </c>
      <c r="H823" s="152"/>
      <c r="I823" s="151">
        <v>43146</v>
      </c>
      <c r="J823" s="152">
        <v>3.6</v>
      </c>
      <c r="K823" s="152" t="s">
        <v>1327</v>
      </c>
      <c r="L823" s="152" t="s">
        <v>1327</v>
      </c>
      <c r="M823" s="152" t="s">
        <v>1327</v>
      </c>
      <c r="N823" s="152" t="s">
        <v>1327</v>
      </c>
      <c r="O823" s="152">
        <v>3.816246</v>
      </c>
      <c r="P823" s="152">
        <v>102.787369</v>
      </c>
      <c r="Q823" s="152">
        <v>3.816246</v>
      </c>
      <c r="R823" s="152" t="s">
        <v>1327</v>
      </c>
      <c r="S823" s="152">
        <v>102.556031</v>
      </c>
      <c r="T823" s="152">
        <v>1.1028770000000001</v>
      </c>
      <c r="U823" s="152">
        <v>7.565067</v>
      </c>
      <c r="V823" s="152">
        <v>68.026219999999995</v>
      </c>
      <c r="W823" s="152">
        <v>1000</v>
      </c>
      <c r="X823" s="152" t="s">
        <v>23</v>
      </c>
      <c r="Y823" s="152" t="s">
        <v>1328</v>
      </c>
      <c r="Z823" s="152" t="s">
        <v>1327</v>
      </c>
    </row>
    <row r="824" spans="1:26" x14ac:dyDescent="0.2">
      <c r="A824" s="152" t="s">
        <v>2021</v>
      </c>
      <c r="B824" s="152">
        <v>3.65</v>
      </c>
      <c r="C824" s="151">
        <v>46949</v>
      </c>
      <c r="D824" s="152">
        <v>9.7287669999999995</v>
      </c>
      <c r="E824" s="152" t="s">
        <v>1325</v>
      </c>
      <c r="F824" s="152" t="s">
        <v>1326</v>
      </c>
      <c r="G824" s="152" t="s">
        <v>51</v>
      </c>
      <c r="H824" s="152"/>
      <c r="I824" s="151" t="s">
        <v>1327</v>
      </c>
      <c r="J824" s="152" t="s">
        <v>1327</v>
      </c>
      <c r="K824" s="152" t="s">
        <v>1327</v>
      </c>
      <c r="L824" s="152" t="s">
        <v>1327</v>
      </c>
      <c r="M824" s="152" t="s">
        <v>1327</v>
      </c>
      <c r="N824" s="152" t="s">
        <v>1327</v>
      </c>
      <c r="O824" s="152">
        <v>3.832157</v>
      </c>
      <c r="P824" s="152">
        <v>105.739642</v>
      </c>
      <c r="Q824" s="152">
        <v>3.832157</v>
      </c>
      <c r="R824" s="152" t="s">
        <v>1327</v>
      </c>
      <c r="S824" s="152">
        <v>98.513485000000003</v>
      </c>
      <c r="T824" s="152">
        <v>1.02</v>
      </c>
      <c r="U824" s="152">
        <v>8.0239750000000001</v>
      </c>
      <c r="V824" s="152">
        <v>75.986688000000001</v>
      </c>
      <c r="W824" s="152">
        <v>1000</v>
      </c>
      <c r="X824" s="152" t="s">
        <v>23</v>
      </c>
      <c r="Y824" s="152" t="s">
        <v>1328</v>
      </c>
      <c r="Z824" s="152" t="s">
        <v>1327</v>
      </c>
    </row>
    <row r="825" spans="1:26" x14ac:dyDescent="0.2">
      <c r="A825" s="152" t="s">
        <v>2022</v>
      </c>
      <c r="B825" s="152">
        <v>4.16</v>
      </c>
      <c r="C825" s="151">
        <v>47627</v>
      </c>
      <c r="D825" s="152">
        <v>11.586301000000001</v>
      </c>
      <c r="E825" s="152" t="s">
        <v>1325</v>
      </c>
      <c r="F825" s="152" t="s">
        <v>1326</v>
      </c>
      <c r="G825" s="152" t="s">
        <v>51</v>
      </c>
      <c r="H825" s="152"/>
      <c r="I825" s="151">
        <v>43256</v>
      </c>
      <c r="J825" s="152">
        <v>4.1580370000000002</v>
      </c>
      <c r="K825" s="152" t="s">
        <v>1327</v>
      </c>
      <c r="L825" s="152" t="s">
        <v>1327</v>
      </c>
      <c r="M825" s="152" t="s">
        <v>1327</v>
      </c>
      <c r="N825" s="152" t="s">
        <v>1327</v>
      </c>
      <c r="O825" s="152">
        <v>4.2424210000000002</v>
      </c>
      <c r="P825" s="152">
        <v>113.921727</v>
      </c>
      <c r="Q825" s="152">
        <v>4.2424210000000002</v>
      </c>
      <c r="R825" s="152" t="s">
        <v>1327</v>
      </c>
      <c r="S825" s="152">
        <v>99.231815999999995</v>
      </c>
      <c r="T825" s="152">
        <v>1.7551779999999999</v>
      </c>
      <c r="U825" s="152">
        <v>8.9479129999999998</v>
      </c>
      <c r="V825" s="152">
        <v>97.803594000000004</v>
      </c>
      <c r="W825" s="152">
        <v>1000</v>
      </c>
      <c r="X825" s="152" t="s">
        <v>23</v>
      </c>
      <c r="Y825" s="152" t="s">
        <v>1328</v>
      </c>
      <c r="Z825" s="152" t="s">
        <v>1327</v>
      </c>
    </row>
    <row r="826" spans="1:26" x14ac:dyDescent="0.2">
      <c r="A826" s="152" t="s">
        <v>2023</v>
      </c>
      <c r="B826" s="152">
        <v>3.95</v>
      </c>
      <c r="C826" s="151">
        <v>48044</v>
      </c>
      <c r="D826" s="152">
        <v>12.728766999999999</v>
      </c>
      <c r="E826" s="152" t="s">
        <v>1325</v>
      </c>
      <c r="F826" s="152" t="s">
        <v>1326</v>
      </c>
      <c r="G826" s="152" t="s">
        <v>51</v>
      </c>
      <c r="H826" s="152"/>
      <c r="I826" s="151">
        <v>43217</v>
      </c>
      <c r="J826" s="152">
        <v>3.86</v>
      </c>
      <c r="K826" s="151" t="s">
        <v>1327</v>
      </c>
      <c r="L826" s="152" t="s">
        <v>1327</v>
      </c>
      <c r="M826" s="152" t="s">
        <v>1327</v>
      </c>
      <c r="N826" s="152" t="s">
        <v>1327</v>
      </c>
      <c r="O826" s="152">
        <v>4.2383329999999999</v>
      </c>
      <c r="P826" s="152">
        <v>111.003593</v>
      </c>
      <c r="Q826" s="152">
        <v>4.2383329999999999</v>
      </c>
      <c r="R826" s="152" t="s">
        <v>1327</v>
      </c>
      <c r="S826" s="152">
        <v>97.165226000000004</v>
      </c>
      <c r="T826" s="152">
        <v>1.103836</v>
      </c>
      <c r="U826" s="152">
        <v>9.7609949999999994</v>
      </c>
      <c r="V826" s="152">
        <v>116.199704</v>
      </c>
      <c r="W826" s="152">
        <v>1000</v>
      </c>
      <c r="X826" s="152" t="s">
        <v>23</v>
      </c>
      <c r="Y826" s="152" t="s">
        <v>1328</v>
      </c>
      <c r="Z826" s="152" t="s">
        <v>1327</v>
      </c>
    </row>
    <row r="827" spans="1:26" x14ac:dyDescent="0.2">
      <c r="A827" s="152" t="s">
        <v>2024</v>
      </c>
      <c r="B827" s="152">
        <v>4.43</v>
      </c>
      <c r="C827" s="151">
        <v>48723</v>
      </c>
      <c r="D827" s="152">
        <v>14.589041</v>
      </c>
      <c r="E827" s="152" t="s">
        <v>1325</v>
      </c>
      <c r="F827" s="152" t="s">
        <v>1326</v>
      </c>
      <c r="G827" s="152" t="s">
        <v>51</v>
      </c>
      <c r="H827" s="152"/>
      <c r="I827" s="151">
        <v>43256</v>
      </c>
      <c r="J827" s="152">
        <v>4.4281920000000001</v>
      </c>
      <c r="K827" s="152" t="s">
        <v>1327</v>
      </c>
      <c r="L827" s="152" t="s">
        <v>1327</v>
      </c>
      <c r="M827" s="152" t="s">
        <v>1327</v>
      </c>
      <c r="N827" s="152" t="s">
        <v>1327</v>
      </c>
      <c r="O827" s="152">
        <v>4.6738980000000003</v>
      </c>
      <c r="P827" s="152">
        <v>142.98166599999999</v>
      </c>
      <c r="Q827" s="152">
        <v>4.6738980000000003</v>
      </c>
      <c r="R827" s="152" t="s">
        <v>1327</v>
      </c>
      <c r="S827" s="152">
        <v>97.420319000000006</v>
      </c>
      <c r="T827" s="152">
        <v>1.8690960000000001</v>
      </c>
      <c r="U827" s="152">
        <v>10.394195</v>
      </c>
      <c r="V827" s="152">
        <v>137.29678000000001</v>
      </c>
      <c r="W827" s="152">
        <v>1000</v>
      </c>
      <c r="X827" s="152" t="s">
        <v>23</v>
      </c>
      <c r="Y827" s="152" t="s">
        <v>1328</v>
      </c>
      <c r="Z827" s="152" t="s">
        <v>1327</v>
      </c>
    </row>
    <row r="828" spans="1:26" x14ac:dyDescent="0.2">
      <c r="A828" s="152" t="s">
        <v>664</v>
      </c>
      <c r="B828" s="152">
        <v>3.64</v>
      </c>
      <c r="C828" s="151">
        <v>43776</v>
      </c>
      <c r="D828" s="152">
        <v>1.0356160000000001</v>
      </c>
      <c r="E828" s="152" t="s">
        <v>1325</v>
      </c>
      <c r="F828" s="152" t="s">
        <v>1326</v>
      </c>
      <c r="G828" s="152"/>
      <c r="H828" s="152"/>
      <c r="I828" s="151">
        <v>42387</v>
      </c>
      <c r="J828" s="152">
        <v>2.4700000000000002</v>
      </c>
      <c r="K828" s="152" t="s">
        <v>1327</v>
      </c>
      <c r="L828" s="152" t="s">
        <v>1327</v>
      </c>
      <c r="M828" s="152" t="s">
        <v>1327</v>
      </c>
      <c r="N828" s="152" t="s">
        <v>1327</v>
      </c>
      <c r="O828" s="152">
        <v>2.1590039999999999</v>
      </c>
      <c r="P828" s="152">
        <v>35.249549000000002</v>
      </c>
      <c r="Q828" s="152">
        <v>2.1590039999999999</v>
      </c>
      <c r="R828" s="152" t="s">
        <v>1327</v>
      </c>
      <c r="S828" s="152">
        <v>101.50943100000001</v>
      </c>
      <c r="T828" s="152">
        <v>-0.12964400000000001</v>
      </c>
      <c r="U828" s="152">
        <v>1.0157780000000001</v>
      </c>
      <c r="V828" s="152">
        <v>1.5385340000000001</v>
      </c>
      <c r="W828" s="152">
        <v>1000</v>
      </c>
      <c r="X828" s="152" t="s">
        <v>23</v>
      </c>
      <c r="Y828" s="152" t="s">
        <v>1328</v>
      </c>
      <c r="Z828" s="152" t="s">
        <v>1327</v>
      </c>
    </row>
    <row r="829" spans="1:26" x14ac:dyDescent="0.2">
      <c r="A829" s="152" t="s">
        <v>665</v>
      </c>
      <c r="B829" s="152">
        <v>2.81</v>
      </c>
      <c r="C829" s="151">
        <v>44181</v>
      </c>
      <c r="D829" s="152">
        <v>2.1452049999999998</v>
      </c>
      <c r="E829" s="152" t="s">
        <v>1325</v>
      </c>
      <c r="F829" s="152" t="s">
        <v>1326</v>
      </c>
      <c r="G829" s="152" t="s">
        <v>193</v>
      </c>
      <c r="H829" s="152"/>
      <c r="I829" s="151">
        <v>42943</v>
      </c>
      <c r="J829" s="152">
        <v>2.42</v>
      </c>
      <c r="K829" s="152" t="s">
        <v>1327</v>
      </c>
      <c r="L829" s="152" t="s">
        <v>1327</v>
      </c>
      <c r="M829" s="152" t="s">
        <v>1327</v>
      </c>
      <c r="N829" s="152" t="s">
        <v>1327</v>
      </c>
      <c r="O829" s="152">
        <v>2.7390970000000001</v>
      </c>
      <c r="P829" s="152">
        <v>71.392510999999999</v>
      </c>
      <c r="Q829" s="152">
        <v>2.7390970000000001</v>
      </c>
      <c r="R829" s="152" t="s">
        <v>1327</v>
      </c>
      <c r="S829" s="152">
        <v>100.140765</v>
      </c>
      <c r="T829" s="152">
        <v>1.008521</v>
      </c>
      <c r="U829" s="152">
        <v>2.0461870000000002</v>
      </c>
      <c r="V829" s="152">
        <v>5.2917050000000003</v>
      </c>
      <c r="W829" s="152">
        <v>1000</v>
      </c>
      <c r="X829" s="152" t="s">
        <v>23</v>
      </c>
      <c r="Y829" s="152" t="s">
        <v>1328</v>
      </c>
      <c r="Z829" s="152" t="s">
        <v>1327</v>
      </c>
    </row>
    <row r="830" spans="1:26" x14ac:dyDescent="0.2">
      <c r="A830" s="152" t="s">
        <v>2025</v>
      </c>
      <c r="B830" s="152">
        <v>2.35</v>
      </c>
      <c r="C830" s="151">
        <v>44416</v>
      </c>
      <c r="D830" s="152">
        <v>2.7890410000000001</v>
      </c>
      <c r="E830" s="152" t="s">
        <v>1325</v>
      </c>
      <c r="F830" s="152" t="s">
        <v>1326</v>
      </c>
      <c r="G830" s="152" t="s">
        <v>193</v>
      </c>
      <c r="H830" s="152"/>
      <c r="I830" s="151">
        <v>43335</v>
      </c>
      <c r="J830" s="152">
        <v>2.35</v>
      </c>
      <c r="K830" s="152" t="s">
        <v>1327</v>
      </c>
      <c r="L830" s="152" t="s">
        <v>1327</v>
      </c>
      <c r="M830" s="152" t="s">
        <v>1327</v>
      </c>
      <c r="N830" s="152" t="s">
        <v>1327</v>
      </c>
      <c r="O830" s="152">
        <v>2.4890439999999998</v>
      </c>
      <c r="P830" s="152">
        <v>41.048566999999998</v>
      </c>
      <c r="Q830" s="152">
        <v>2.4890439999999998</v>
      </c>
      <c r="R830" s="152" t="s">
        <v>1327</v>
      </c>
      <c r="S830" s="152">
        <v>99.615984999999995</v>
      </c>
      <c r="T830" s="152">
        <v>0.50219199999999997</v>
      </c>
      <c r="U830" s="152">
        <v>2.6711960000000001</v>
      </c>
      <c r="V830" s="152">
        <v>8.6018229999999996</v>
      </c>
      <c r="W830" s="152">
        <v>1000</v>
      </c>
      <c r="X830" s="152" t="s">
        <v>23</v>
      </c>
      <c r="Y830" s="152" t="s">
        <v>1328</v>
      </c>
      <c r="Z830" s="152" t="s">
        <v>1327</v>
      </c>
    </row>
    <row r="831" spans="1:26" x14ac:dyDescent="0.2">
      <c r="A831" s="152" t="s">
        <v>2026</v>
      </c>
      <c r="B831" s="152">
        <v>3.06</v>
      </c>
      <c r="C831" s="151">
        <v>44546</v>
      </c>
      <c r="D831" s="152">
        <v>3.1452049999999998</v>
      </c>
      <c r="E831" s="152" t="s">
        <v>1325</v>
      </c>
      <c r="F831" s="152" t="s">
        <v>1326</v>
      </c>
      <c r="G831" s="152" t="s">
        <v>193</v>
      </c>
      <c r="H831" s="152"/>
      <c r="I831" s="152">
        <v>43395</v>
      </c>
      <c r="J831" s="152">
        <v>2.9</v>
      </c>
      <c r="K831" s="152" t="s">
        <v>1327</v>
      </c>
      <c r="L831" s="152" t="s">
        <v>1327</v>
      </c>
      <c r="M831" s="152" t="s">
        <v>1327</v>
      </c>
      <c r="N831" s="152" t="s">
        <v>1327</v>
      </c>
      <c r="O831" s="152">
        <v>2.8949549999999999</v>
      </c>
      <c r="P831" s="152">
        <v>75.098433</v>
      </c>
      <c r="Q831" s="152">
        <v>2.8949549999999999</v>
      </c>
      <c r="R831" s="152" t="s">
        <v>1327</v>
      </c>
      <c r="S831" s="152">
        <v>100.48592600000001</v>
      </c>
      <c r="T831" s="152">
        <v>1.098247</v>
      </c>
      <c r="U831" s="152">
        <v>2.9460169999999999</v>
      </c>
      <c r="V831" s="152">
        <v>10.434196</v>
      </c>
      <c r="W831" s="152">
        <v>1000</v>
      </c>
      <c r="X831" s="152" t="s">
        <v>23</v>
      </c>
      <c r="Y831" s="152" t="s">
        <v>1328</v>
      </c>
      <c r="Z831" s="152" t="s">
        <v>1327</v>
      </c>
    </row>
    <row r="832" spans="1:26" x14ac:dyDescent="0.2">
      <c r="A832" s="152" t="s">
        <v>2027</v>
      </c>
      <c r="B832" s="152">
        <v>5</v>
      </c>
      <c r="C832" s="151">
        <v>44481</v>
      </c>
      <c r="D832" s="152">
        <v>2.967123</v>
      </c>
      <c r="E832" s="152" t="s">
        <v>1325</v>
      </c>
      <c r="F832" s="152" t="s">
        <v>1326</v>
      </c>
      <c r="G832" s="152" t="s">
        <v>193</v>
      </c>
      <c r="H832" s="152"/>
      <c r="I832" s="151">
        <v>40836</v>
      </c>
      <c r="J832" s="152">
        <v>4.9986040000000003</v>
      </c>
      <c r="K832" s="152">
        <v>42110</v>
      </c>
      <c r="L832" s="152">
        <v>3.3905090000000002</v>
      </c>
      <c r="M832" s="152">
        <v>4.0798160000000001</v>
      </c>
      <c r="N832" s="152">
        <v>3.3810169999999999</v>
      </c>
      <c r="O832" s="152">
        <v>2.6414650000000002</v>
      </c>
      <c r="P832" s="152">
        <v>54.881903000000001</v>
      </c>
      <c r="Q832" s="152">
        <v>2.6414650000000002</v>
      </c>
      <c r="R832" s="152" t="s">
        <v>1327</v>
      </c>
      <c r="S832" s="152">
        <v>106.697338</v>
      </c>
      <c r="T832" s="152">
        <v>0.17808199999999999</v>
      </c>
      <c r="U832" s="152">
        <v>2.760459</v>
      </c>
      <c r="V832" s="152">
        <v>8.6282709999999998</v>
      </c>
      <c r="W832" s="152">
        <v>1000</v>
      </c>
      <c r="X832" s="152" t="s">
        <v>23</v>
      </c>
      <c r="Y832" s="152" t="s">
        <v>1328</v>
      </c>
      <c r="Z832" s="152" t="s">
        <v>1327</v>
      </c>
    </row>
    <row r="833" spans="1:26" x14ac:dyDescent="0.2">
      <c r="A833" s="152" t="s">
        <v>2028</v>
      </c>
      <c r="B833" s="152">
        <v>3.8</v>
      </c>
      <c r="C833" s="151">
        <v>44573</v>
      </c>
      <c r="D833" s="152">
        <v>3.2191779999999999</v>
      </c>
      <c r="E833" s="152" t="s">
        <v>1325</v>
      </c>
      <c r="F833" s="152" t="s">
        <v>1326</v>
      </c>
      <c r="G833" s="152" t="s">
        <v>193</v>
      </c>
      <c r="H833" s="152"/>
      <c r="I833" s="151" t="s">
        <v>1327</v>
      </c>
      <c r="J833" s="152" t="s">
        <v>1327</v>
      </c>
      <c r="K833" s="152" t="s">
        <v>1327</v>
      </c>
      <c r="L833" s="152" t="s">
        <v>1327</v>
      </c>
      <c r="M833" s="152" t="s">
        <v>1327</v>
      </c>
      <c r="N833" s="152" t="s">
        <v>1327</v>
      </c>
      <c r="O833" s="152" t="s">
        <v>1327</v>
      </c>
      <c r="P833" s="152" t="s">
        <v>1327</v>
      </c>
      <c r="Q833" s="152" t="s">
        <v>1327</v>
      </c>
      <c r="R833" s="152" t="s">
        <v>1327</v>
      </c>
      <c r="S833" s="152">
        <v>113.788043</v>
      </c>
      <c r="T833" s="152" t="s">
        <v>1327</v>
      </c>
      <c r="U833" s="152" t="s">
        <v>1327</v>
      </c>
      <c r="V833" s="152" t="s">
        <v>1327</v>
      </c>
      <c r="W833" s="152">
        <v>1000</v>
      </c>
      <c r="X833" s="152" t="s">
        <v>23</v>
      </c>
      <c r="Y833" s="152" t="s">
        <v>1328</v>
      </c>
      <c r="Z833" s="152" t="s">
        <v>1327</v>
      </c>
    </row>
    <row r="834" spans="1:26" x14ac:dyDescent="0.2">
      <c r="A834" s="152" t="s">
        <v>2029</v>
      </c>
      <c r="B834" s="152">
        <v>3.45</v>
      </c>
      <c r="C834" s="151">
        <v>44779</v>
      </c>
      <c r="D834" s="152">
        <v>3.7835619999999999</v>
      </c>
      <c r="E834" s="152" t="s">
        <v>1325</v>
      </c>
      <c r="F834" s="152" t="s">
        <v>1326</v>
      </c>
      <c r="G834" s="152" t="s">
        <v>193</v>
      </c>
      <c r="H834" s="152"/>
      <c r="I834" s="151">
        <v>43222</v>
      </c>
      <c r="J834" s="152">
        <v>2.65</v>
      </c>
      <c r="K834" s="152" t="s">
        <v>1327</v>
      </c>
      <c r="L834" s="152" t="s">
        <v>1327</v>
      </c>
      <c r="M834" s="152" t="s">
        <v>1327</v>
      </c>
      <c r="N834" s="152" t="s">
        <v>1327</v>
      </c>
      <c r="O834" s="152">
        <v>3.0990540000000002</v>
      </c>
      <c r="P834" s="152">
        <v>79.218924999999999</v>
      </c>
      <c r="Q834" s="152">
        <v>3.0990540000000002</v>
      </c>
      <c r="R834" s="152" t="s">
        <v>1327</v>
      </c>
      <c r="S834" s="152">
        <v>101.226872</v>
      </c>
      <c r="T834" s="152">
        <v>0.75616399999999995</v>
      </c>
      <c r="U834" s="152">
        <v>3.5029430000000001</v>
      </c>
      <c r="V834" s="152">
        <v>14.502160999999999</v>
      </c>
      <c r="W834" s="152">
        <v>1000</v>
      </c>
      <c r="X834" s="152" t="s">
        <v>23</v>
      </c>
      <c r="Y834" s="152" t="s">
        <v>1328</v>
      </c>
      <c r="Z834" s="152" t="s">
        <v>1327</v>
      </c>
    </row>
    <row r="835" spans="1:26" x14ac:dyDescent="0.2">
      <c r="A835" s="152" t="s">
        <v>2030</v>
      </c>
      <c r="B835" s="152">
        <v>3.26</v>
      </c>
      <c r="C835" s="151">
        <v>44911</v>
      </c>
      <c r="D835" s="152">
        <v>4.1452049999999998</v>
      </c>
      <c r="E835" s="152" t="s">
        <v>1325</v>
      </c>
      <c r="F835" s="152" t="s">
        <v>1326</v>
      </c>
      <c r="G835" s="152" t="s">
        <v>193</v>
      </c>
      <c r="H835" s="152"/>
      <c r="I835" s="151">
        <v>42871</v>
      </c>
      <c r="J835" s="152">
        <v>3.19</v>
      </c>
      <c r="K835" s="152" t="s">
        <v>1327</v>
      </c>
      <c r="L835" s="152" t="s">
        <v>1327</v>
      </c>
      <c r="M835" s="152" t="s">
        <v>1327</v>
      </c>
      <c r="N835" s="152" t="s">
        <v>1327</v>
      </c>
      <c r="O835" s="152">
        <v>3.12155</v>
      </c>
      <c r="P835" s="152">
        <v>78.034957000000006</v>
      </c>
      <c r="Q835" s="152">
        <v>3.12155</v>
      </c>
      <c r="R835" s="152" t="s">
        <v>1327</v>
      </c>
      <c r="S835" s="152">
        <v>100.527057</v>
      </c>
      <c r="T835" s="152">
        <v>1.1700269999999999</v>
      </c>
      <c r="U835" s="152">
        <v>3.8058969999999999</v>
      </c>
      <c r="V835" s="152">
        <v>17.053450999999999</v>
      </c>
      <c r="W835" s="152">
        <v>1000</v>
      </c>
      <c r="X835" s="152" t="s">
        <v>23</v>
      </c>
      <c r="Y835" s="152" t="s">
        <v>1328</v>
      </c>
      <c r="Z835" s="152" t="s">
        <v>1327</v>
      </c>
    </row>
    <row r="836" spans="1:26" x14ac:dyDescent="0.2">
      <c r="A836" s="152" t="s">
        <v>2031</v>
      </c>
      <c r="B836" s="152">
        <v>3.24</v>
      </c>
      <c r="C836" s="151">
        <v>45877</v>
      </c>
      <c r="D836" s="152">
        <v>6.7917810000000003</v>
      </c>
      <c r="E836" s="152" t="s">
        <v>1325</v>
      </c>
      <c r="F836" s="152" t="s">
        <v>1326</v>
      </c>
      <c r="G836" s="152" t="s">
        <v>193</v>
      </c>
      <c r="H836" s="152"/>
      <c r="I836" s="152">
        <v>43329</v>
      </c>
      <c r="J836" s="152">
        <v>3.21</v>
      </c>
      <c r="K836" s="152" t="s">
        <v>1327</v>
      </c>
      <c r="L836" s="152" t="s">
        <v>1327</v>
      </c>
      <c r="M836" s="152" t="s">
        <v>1327</v>
      </c>
      <c r="N836" s="152" t="s">
        <v>1327</v>
      </c>
      <c r="O836" s="152">
        <v>3.3888910000000001</v>
      </c>
      <c r="P836" s="152">
        <v>76.940916000000001</v>
      </c>
      <c r="Q836" s="152">
        <v>3.3888910000000001</v>
      </c>
      <c r="R836" s="152" t="s">
        <v>1327</v>
      </c>
      <c r="S836" s="152">
        <v>99.086973</v>
      </c>
      <c r="T836" s="152">
        <v>0.692384</v>
      </c>
      <c r="U836" s="152">
        <v>6.0037209999999996</v>
      </c>
      <c r="V836" s="152">
        <v>41.578091999999998</v>
      </c>
      <c r="W836" s="152">
        <v>1000</v>
      </c>
      <c r="X836" s="152" t="s">
        <v>23</v>
      </c>
      <c r="Y836" s="152" t="s">
        <v>1328</v>
      </c>
      <c r="Z836" s="152" t="s">
        <v>1327</v>
      </c>
    </row>
    <row r="837" spans="1:26" x14ac:dyDescent="0.2">
      <c r="A837" s="152" t="s">
        <v>2032</v>
      </c>
      <c r="B837" s="152">
        <v>2.7</v>
      </c>
      <c r="C837" s="151">
        <v>44425</v>
      </c>
      <c r="D837" s="152">
        <v>2.8136990000000002</v>
      </c>
      <c r="E837" s="152" t="s">
        <v>1325</v>
      </c>
      <c r="F837" s="152" t="s">
        <v>1326</v>
      </c>
      <c r="G837" s="152" t="s">
        <v>193</v>
      </c>
      <c r="H837" s="152"/>
      <c r="I837" s="151">
        <v>43347</v>
      </c>
      <c r="J837" s="152">
        <v>2.665</v>
      </c>
      <c r="K837" s="152" t="s">
        <v>1327</v>
      </c>
      <c r="L837" s="152" t="s">
        <v>1327</v>
      </c>
      <c r="M837" s="152" t="s">
        <v>1327</v>
      </c>
      <c r="N837" s="152" t="s">
        <v>1327</v>
      </c>
      <c r="O837" s="152">
        <v>2.7899029999999998</v>
      </c>
      <c r="P837" s="152">
        <v>71.276025000000004</v>
      </c>
      <c r="Q837" s="152">
        <v>2.7899029999999998</v>
      </c>
      <c r="R837" s="152" t="s">
        <v>1327</v>
      </c>
      <c r="S837" s="152">
        <v>99.744943000000006</v>
      </c>
      <c r="T837" s="152">
        <v>0.51041099999999995</v>
      </c>
      <c r="U837" s="152">
        <v>2.679395</v>
      </c>
      <c r="V837" s="152">
        <v>8.6673399999999994</v>
      </c>
      <c r="W837" s="152">
        <v>1000</v>
      </c>
      <c r="X837" s="152" t="s">
        <v>23</v>
      </c>
      <c r="Y837" s="152" t="s">
        <v>1328</v>
      </c>
      <c r="Z837" s="152" t="s">
        <v>1327</v>
      </c>
    </row>
    <row r="838" spans="1:26" x14ac:dyDescent="0.2">
      <c r="A838" s="152" t="s">
        <v>2033</v>
      </c>
      <c r="B838" s="152">
        <v>3.8</v>
      </c>
      <c r="C838" s="151">
        <v>46982</v>
      </c>
      <c r="D838" s="152">
        <v>9.8191780000000008</v>
      </c>
      <c r="E838" s="152" t="s">
        <v>1325</v>
      </c>
      <c r="F838" s="152" t="s">
        <v>1326</v>
      </c>
      <c r="G838" s="152" t="s">
        <v>193</v>
      </c>
      <c r="H838" s="152"/>
      <c r="I838" s="152" t="s">
        <v>1327</v>
      </c>
      <c r="J838" s="152" t="s">
        <v>1327</v>
      </c>
      <c r="K838" s="152" t="s">
        <v>1327</v>
      </c>
      <c r="L838" s="152" t="s">
        <v>1327</v>
      </c>
      <c r="M838" s="152" t="s">
        <v>1327</v>
      </c>
      <c r="N838" s="152" t="s">
        <v>1327</v>
      </c>
      <c r="O838" s="152">
        <v>3.9533559999999999</v>
      </c>
      <c r="P838" s="152">
        <v>118.151931</v>
      </c>
      <c r="Q838" s="152">
        <v>3.9533559999999999</v>
      </c>
      <c r="R838" s="152" t="s">
        <v>1327</v>
      </c>
      <c r="S838" s="152">
        <v>98.742486999999997</v>
      </c>
      <c r="T838" s="152">
        <v>0.71835599999999999</v>
      </c>
      <c r="U838" s="152">
        <v>8.0556140000000003</v>
      </c>
      <c r="V838" s="152">
        <v>76.690335000000005</v>
      </c>
      <c r="W838" s="152">
        <v>1000</v>
      </c>
      <c r="X838" s="152" t="s">
        <v>23</v>
      </c>
      <c r="Y838" s="152" t="s">
        <v>1328</v>
      </c>
      <c r="Z838" s="152" t="s">
        <v>1327</v>
      </c>
    </row>
    <row r="839" spans="1:26" x14ac:dyDescent="0.2">
      <c r="A839" s="152" t="s">
        <v>2034</v>
      </c>
      <c r="B839" s="152">
        <v>5.15</v>
      </c>
      <c r="C839" s="151">
        <v>43408</v>
      </c>
      <c r="D839" s="152">
        <v>2.7397000000000001E-2</v>
      </c>
      <c r="E839" s="152" t="s">
        <v>1325</v>
      </c>
      <c r="F839" s="152" t="s">
        <v>1326</v>
      </c>
      <c r="G839" s="152"/>
      <c r="H839" s="152"/>
      <c r="I839" s="151" t="s">
        <v>1327</v>
      </c>
      <c r="J839" s="152" t="s">
        <v>1327</v>
      </c>
      <c r="K839" s="152" t="s">
        <v>1327</v>
      </c>
      <c r="L839" s="152" t="s">
        <v>1327</v>
      </c>
      <c r="M839" s="152" t="s">
        <v>1327</v>
      </c>
      <c r="N839" s="152" t="s">
        <v>1327</v>
      </c>
      <c r="O839" s="152">
        <v>4.7554210000000001</v>
      </c>
      <c r="P839" s="152">
        <v>367.87052699999998</v>
      </c>
      <c r="Q839" s="152">
        <v>4.7554210000000001</v>
      </c>
      <c r="R839" s="152" t="s">
        <v>1327</v>
      </c>
      <c r="S839" s="152">
        <v>99.999414000000002</v>
      </c>
      <c r="T839" s="152">
        <v>1.1569860000000001</v>
      </c>
      <c r="U839" s="152">
        <v>2.7074999999999998E-2</v>
      </c>
      <c r="V839" s="152">
        <v>7.4219999999999998E-3</v>
      </c>
      <c r="W839" s="152">
        <v>1000</v>
      </c>
      <c r="X839" s="152" t="s">
        <v>23</v>
      </c>
      <c r="Y839" s="152" t="s">
        <v>1328</v>
      </c>
      <c r="Z839" s="152" t="s">
        <v>1327</v>
      </c>
    </row>
    <row r="840" spans="1:26" x14ac:dyDescent="0.2">
      <c r="A840" s="152" t="s">
        <v>2035</v>
      </c>
      <c r="B840" s="152">
        <v>5.75</v>
      </c>
      <c r="C840" s="151">
        <v>43974</v>
      </c>
      <c r="D840" s="152">
        <v>1.578082</v>
      </c>
      <c r="E840" s="152" t="s">
        <v>1325</v>
      </c>
      <c r="F840" s="152" t="s">
        <v>1326</v>
      </c>
      <c r="G840" s="152"/>
      <c r="H840" s="152"/>
      <c r="I840" s="151" t="s">
        <v>1327</v>
      </c>
      <c r="J840" s="152" t="s">
        <v>1327</v>
      </c>
      <c r="K840" s="152" t="s">
        <v>1327</v>
      </c>
      <c r="L840" s="152" t="s">
        <v>1327</v>
      </c>
      <c r="M840" s="152" t="s">
        <v>1327</v>
      </c>
      <c r="N840" s="152" t="s">
        <v>1327</v>
      </c>
      <c r="O840" s="152">
        <v>5.8450829999999998</v>
      </c>
      <c r="P840" s="152">
        <v>403.30101300000001</v>
      </c>
      <c r="Q840" s="152">
        <v>5.8450829999999998</v>
      </c>
      <c r="R840" s="152" t="s">
        <v>1327</v>
      </c>
      <c r="S840" s="152">
        <v>99.843457999999998</v>
      </c>
      <c r="T840" s="152">
        <v>0.99246599999999996</v>
      </c>
      <c r="U840" s="152">
        <v>1.4850159999999999</v>
      </c>
      <c r="V840" s="152">
        <v>2.6431499999999999</v>
      </c>
      <c r="W840" s="152">
        <v>1000</v>
      </c>
      <c r="X840" s="152" t="s">
        <v>23</v>
      </c>
      <c r="Y840" s="152" t="s">
        <v>1328</v>
      </c>
      <c r="Z840" s="152" t="s">
        <v>1327</v>
      </c>
    </row>
    <row r="841" spans="1:26" x14ac:dyDescent="0.2">
      <c r="A841" s="152" t="s">
        <v>2036</v>
      </c>
      <c r="B841" s="152">
        <v>6.25</v>
      </c>
      <c r="C841" s="151">
        <v>43847</v>
      </c>
      <c r="D841" s="152">
        <v>1.230137</v>
      </c>
      <c r="E841" s="152" t="s">
        <v>1325</v>
      </c>
      <c r="F841" s="152" t="s">
        <v>1326</v>
      </c>
      <c r="G841" s="152"/>
      <c r="H841" s="152"/>
      <c r="I841" s="151" t="s">
        <v>1327</v>
      </c>
      <c r="J841" s="152" t="s">
        <v>1327</v>
      </c>
      <c r="K841" s="152" t="s">
        <v>1327</v>
      </c>
      <c r="L841" s="152" t="s">
        <v>1327</v>
      </c>
      <c r="M841" s="152" t="s">
        <v>1327</v>
      </c>
      <c r="N841" s="152" t="s">
        <v>1327</v>
      </c>
      <c r="O841" s="152">
        <v>6.3895960000000001</v>
      </c>
      <c r="P841" s="152">
        <v>470.21498300000002</v>
      </c>
      <c r="Q841" s="152">
        <v>6.3895960000000001</v>
      </c>
      <c r="R841" s="152" t="s">
        <v>1327</v>
      </c>
      <c r="S841" s="152">
        <v>99.822486999999995</v>
      </c>
      <c r="T841" s="152">
        <v>0.10274</v>
      </c>
      <c r="U841" s="152">
        <v>1.1757059999999999</v>
      </c>
      <c r="V841" s="152">
        <v>1.6976519999999999</v>
      </c>
      <c r="W841" s="152">
        <v>1000</v>
      </c>
      <c r="X841" s="152" t="s">
        <v>23</v>
      </c>
      <c r="Y841" s="152" t="s">
        <v>1328</v>
      </c>
      <c r="Z841" s="152" t="s">
        <v>1327</v>
      </c>
    </row>
    <row r="842" spans="1:26" x14ac:dyDescent="0.2">
      <c r="A842" s="152" t="s">
        <v>2037</v>
      </c>
      <c r="B842" s="152">
        <v>6</v>
      </c>
      <c r="C842" s="151">
        <v>44081</v>
      </c>
      <c r="D842" s="152">
        <v>1.8712329999999999</v>
      </c>
      <c r="E842" s="152" t="s">
        <v>1325</v>
      </c>
      <c r="F842" s="152" t="s">
        <v>1326</v>
      </c>
      <c r="G842" s="152"/>
      <c r="H842" s="152"/>
      <c r="I842" s="151" t="s">
        <v>1327</v>
      </c>
      <c r="J842" s="152" t="s">
        <v>1327</v>
      </c>
      <c r="K842" s="152" t="s">
        <v>1327</v>
      </c>
      <c r="L842" s="152" t="s">
        <v>1327</v>
      </c>
      <c r="M842" s="152" t="s">
        <v>1327</v>
      </c>
      <c r="N842" s="152" t="s">
        <v>1327</v>
      </c>
      <c r="O842" s="152">
        <v>6.1023940000000003</v>
      </c>
      <c r="P842" s="152">
        <v>422.69467400000002</v>
      </c>
      <c r="Q842" s="152">
        <v>6.1023940000000003</v>
      </c>
      <c r="R842" s="152" t="s">
        <v>1327</v>
      </c>
      <c r="S842" s="152">
        <v>99.821814000000003</v>
      </c>
      <c r="T842" s="152">
        <v>0.78904099999999999</v>
      </c>
      <c r="U842" s="152">
        <v>1.740688</v>
      </c>
      <c r="V842" s="152">
        <v>3.5718719999999999</v>
      </c>
      <c r="W842" s="152">
        <v>1000</v>
      </c>
      <c r="X842" s="152" t="s">
        <v>23</v>
      </c>
      <c r="Y842" s="152" t="s">
        <v>1328</v>
      </c>
      <c r="Z842" s="152" t="s">
        <v>1327</v>
      </c>
    </row>
    <row r="843" spans="1:26" x14ac:dyDescent="0.2">
      <c r="A843" s="152" t="s">
        <v>2038</v>
      </c>
      <c r="B843" s="152">
        <v>4.9000000000000004</v>
      </c>
      <c r="C843" s="151">
        <v>43515</v>
      </c>
      <c r="D843" s="152">
        <v>0.320548</v>
      </c>
      <c r="E843" s="152" t="s">
        <v>1325</v>
      </c>
      <c r="F843" s="152" t="s">
        <v>1326</v>
      </c>
      <c r="G843" s="152"/>
      <c r="H843" s="152"/>
      <c r="I843" s="151">
        <v>43397</v>
      </c>
      <c r="J843" s="152">
        <v>4.1500000000000004</v>
      </c>
      <c r="K843" s="151" t="s">
        <v>1327</v>
      </c>
      <c r="L843" s="152" t="s">
        <v>1327</v>
      </c>
      <c r="M843" s="152" t="s">
        <v>1327</v>
      </c>
      <c r="N843" s="152" t="s">
        <v>1327</v>
      </c>
      <c r="O843" s="152">
        <v>4.1500000000000004</v>
      </c>
      <c r="P843" s="152">
        <v>256.22434199999998</v>
      </c>
      <c r="Q843" s="152">
        <v>4.1500000000000004</v>
      </c>
      <c r="R843" s="152" t="s">
        <v>1327</v>
      </c>
      <c r="S843" s="152">
        <v>100.224757</v>
      </c>
      <c r="T843" s="152">
        <v>0.89945200000000003</v>
      </c>
      <c r="U843" s="152">
        <v>0.31223400000000001</v>
      </c>
      <c r="V843" s="152">
        <v>0.17547699999999999</v>
      </c>
      <c r="W843" s="152">
        <v>1000</v>
      </c>
      <c r="X843" s="152" t="s">
        <v>23</v>
      </c>
      <c r="Y843" s="152" t="s">
        <v>1328</v>
      </c>
      <c r="Z843" s="152" t="s">
        <v>1327</v>
      </c>
    </row>
    <row r="844" spans="1:26" x14ac:dyDescent="0.2">
      <c r="A844" s="152" t="s">
        <v>2039</v>
      </c>
      <c r="B844" s="152">
        <v>5.05</v>
      </c>
      <c r="C844" s="151">
        <v>43880</v>
      </c>
      <c r="D844" s="152">
        <v>1.3205480000000001</v>
      </c>
      <c r="E844" s="152" t="s">
        <v>1325</v>
      </c>
      <c r="F844" s="152" t="s">
        <v>1326</v>
      </c>
      <c r="G844" s="152"/>
      <c r="H844" s="152"/>
      <c r="I844" s="151" t="s">
        <v>1327</v>
      </c>
      <c r="J844" s="152" t="s">
        <v>1327</v>
      </c>
      <c r="K844" s="152" t="s">
        <v>1327</v>
      </c>
      <c r="L844" s="152" t="s">
        <v>1327</v>
      </c>
      <c r="M844" s="152" t="s">
        <v>1327</v>
      </c>
      <c r="N844" s="152" t="s">
        <v>1327</v>
      </c>
      <c r="O844" s="152">
        <v>5.0957030000000003</v>
      </c>
      <c r="P844" s="152">
        <v>330.87577199999998</v>
      </c>
      <c r="Q844" s="152">
        <v>5.0957030000000003</v>
      </c>
      <c r="R844" s="152" t="s">
        <v>1327</v>
      </c>
      <c r="S844" s="152">
        <v>99.930109000000002</v>
      </c>
      <c r="T844" s="152">
        <v>0.92698599999999998</v>
      </c>
      <c r="U844" s="152">
        <v>1.2564850000000001</v>
      </c>
      <c r="V844" s="152">
        <v>1.928194</v>
      </c>
      <c r="W844" s="152">
        <v>1000</v>
      </c>
      <c r="X844" s="152" t="s">
        <v>23</v>
      </c>
      <c r="Y844" s="152" t="s">
        <v>1328</v>
      </c>
      <c r="Z844" s="152" t="s">
        <v>1327</v>
      </c>
    </row>
    <row r="845" spans="1:26" x14ac:dyDescent="0.2">
      <c r="A845" s="152" t="s">
        <v>2040</v>
      </c>
      <c r="B845" s="152">
        <v>5.05</v>
      </c>
      <c r="C845" s="151">
        <v>43879</v>
      </c>
      <c r="D845" s="152">
        <v>1.3178080000000001</v>
      </c>
      <c r="E845" s="152" t="s">
        <v>1325</v>
      </c>
      <c r="F845" s="152" t="s">
        <v>1326</v>
      </c>
      <c r="G845" s="152"/>
      <c r="H845" s="152"/>
      <c r="I845" s="151" t="s">
        <v>1327</v>
      </c>
      <c r="J845" s="152" t="s">
        <v>1327</v>
      </c>
      <c r="K845" s="152" t="s">
        <v>1327</v>
      </c>
      <c r="L845" s="152" t="s">
        <v>1327</v>
      </c>
      <c r="M845" s="152" t="s">
        <v>1327</v>
      </c>
      <c r="N845" s="152" t="s">
        <v>1327</v>
      </c>
      <c r="O845" s="152">
        <v>5.0880530000000004</v>
      </c>
      <c r="P845" s="152">
        <v>330.15304500000002</v>
      </c>
      <c r="Q845" s="152">
        <v>5.0880530000000004</v>
      </c>
      <c r="R845" s="152" t="s">
        <v>1327</v>
      </c>
      <c r="S845" s="152">
        <v>99.939941000000005</v>
      </c>
      <c r="T845" s="152">
        <v>0.94082200000000005</v>
      </c>
      <c r="U845" s="152">
        <v>1.253806</v>
      </c>
      <c r="V845" s="152">
        <v>1.920814</v>
      </c>
      <c r="W845" s="152">
        <v>1000</v>
      </c>
      <c r="X845" s="152" t="s">
        <v>23</v>
      </c>
      <c r="Y845" s="152" t="s">
        <v>1328</v>
      </c>
      <c r="Z845" s="152" t="s">
        <v>1327</v>
      </c>
    </row>
    <row r="846" spans="1:26" x14ac:dyDescent="0.2">
      <c r="A846" s="152" t="s">
        <v>2041</v>
      </c>
      <c r="B846" s="152">
        <v>5.05</v>
      </c>
      <c r="C846" s="151">
        <v>43901</v>
      </c>
      <c r="D846" s="152">
        <v>1.378082</v>
      </c>
      <c r="E846" s="152" t="s">
        <v>1325</v>
      </c>
      <c r="F846" s="152" t="s">
        <v>1326</v>
      </c>
      <c r="G846" s="152"/>
      <c r="H846" s="152"/>
      <c r="I846" s="151">
        <v>43355</v>
      </c>
      <c r="J846" s="152">
        <v>4.8</v>
      </c>
      <c r="K846" s="152" t="s">
        <v>1327</v>
      </c>
      <c r="L846" s="152" t="s">
        <v>1327</v>
      </c>
      <c r="M846" s="152" t="s">
        <v>1327</v>
      </c>
      <c r="N846" s="152" t="s">
        <v>1327</v>
      </c>
      <c r="O846" s="152">
        <v>4.8667210000000001</v>
      </c>
      <c r="P846" s="152">
        <v>306.60607099999999</v>
      </c>
      <c r="Q846" s="152">
        <v>4.8667210000000001</v>
      </c>
      <c r="R846" s="152" t="s">
        <v>1327</v>
      </c>
      <c r="S846" s="152">
        <v>100.244534</v>
      </c>
      <c r="T846" s="152">
        <v>0.60876699999999995</v>
      </c>
      <c r="U846" s="152">
        <v>1.316835</v>
      </c>
      <c r="V846" s="152">
        <v>2.0985369999999999</v>
      </c>
      <c r="W846" s="152">
        <v>1000</v>
      </c>
      <c r="X846" s="152" t="s">
        <v>23</v>
      </c>
      <c r="Y846" s="152" t="s">
        <v>1328</v>
      </c>
      <c r="Z846" s="152" t="s">
        <v>1327</v>
      </c>
    </row>
    <row r="847" spans="1:26" x14ac:dyDescent="0.2">
      <c r="A847" s="152" t="s">
        <v>2042</v>
      </c>
      <c r="B847" s="152">
        <v>4.8499999999999996</v>
      </c>
      <c r="C847" s="151">
        <v>44053</v>
      </c>
      <c r="D847" s="152">
        <v>1.794521</v>
      </c>
      <c r="E847" s="152" t="s">
        <v>1325</v>
      </c>
      <c r="F847" s="152" t="s">
        <v>1326</v>
      </c>
      <c r="G847" s="152"/>
      <c r="H847" s="152"/>
      <c r="I847" s="151" t="s">
        <v>1327</v>
      </c>
      <c r="J847" s="152" t="s">
        <v>1327</v>
      </c>
      <c r="K847" s="152" t="s">
        <v>1327</v>
      </c>
      <c r="L847" s="152" t="s">
        <v>1327</v>
      </c>
      <c r="M847" s="152" t="s">
        <v>1327</v>
      </c>
      <c r="N847" s="152" t="s">
        <v>1327</v>
      </c>
      <c r="O847" s="152">
        <v>5.1639679999999997</v>
      </c>
      <c r="P847" s="152">
        <v>326.82378199999999</v>
      </c>
      <c r="Q847" s="152">
        <v>5.1639679999999997</v>
      </c>
      <c r="R847" s="152" t="s">
        <v>1327</v>
      </c>
      <c r="S847" s="152">
        <v>99.454285999999996</v>
      </c>
      <c r="T847" s="152">
        <v>1.009863</v>
      </c>
      <c r="U847" s="152">
        <v>1.6898420000000001</v>
      </c>
      <c r="V847" s="152">
        <v>3.3669449999999999</v>
      </c>
      <c r="W847" s="152">
        <v>1000</v>
      </c>
      <c r="X847" s="152" t="s">
        <v>23</v>
      </c>
      <c r="Y847" s="152" t="s">
        <v>1328</v>
      </c>
      <c r="Z847" s="152" t="s">
        <v>1327</v>
      </c>
    </row>
    <row r="848" spans="1:26" x14ac:dyDescent="0.2">
      <c r="A848" s="152" t="s">
        <v>2043</v>
      </c>
      <c r="B848" s="152">
        <v>5.25</v>
      </c>
      <c r="C848" s="151">
        <v>44055</v>
      </c>
      <c r="D848" s="152">
        <v>1.8</v>
      </c>
      <c r="E848" s="152" t="s">
        <v>1325</v>
      </c>
      <c r="F848" s="152" t="s">
        <v>1326</v>
      </c>
      <c r="G848" s="152"/>
      <c r="H848" s="152"/>
      <c r="I848" s="151" t="s">
        <v>1327</v>
      </c>
      <c r="J848" s="152" t="s">
        <v>1327</v>
      </c>
      <c r="K848" s="151" t="s">
        <v>1327</v>
      </c>
      <c r="L848" s="152" t="s">
        <v>1327</v>
      </c>
      <c r="M848" s="152" t="s">
        <v>1327</v>
      </c>
      <c r="N848" s="152" t="s">
        <v>1327</v>
      </c>
      <c r="O848" s="152">
        <v>5.4392670000000001</v>
      </c>
      <c r="P848" s="152">
        <v>355.40956899999998</v>
      </c>
      <c r="Q848" s="152">
        <v>5.4392670000000001</v>
      </c>
      <c r="R848" s="152" t="s">
        <v>1327</v>
      </c>
      <c r="S848" s="152">
        <v>99.665470999999997</v>
      </c>
      <c r="T848" s="152">
        <v>1.064384</v>
      </c>
      <c r="U848" s="152">
        <v>1.6877979999999999</v>
      </c>
      <c r="V848" s="152">
        <v>3.3659400000000002</v>
      </c>
      <c r="W848" s="152">
        <v>1000</v>
      </c>
      <c r="X848" s="152" t="s">
        <v>23</v>
      </c>
      <c r="Y848" s="152" t="s">
        <v>1328</v>
      </c>
      <c r="Z848" s="152" t="s">
        <v>1327</v>
      </c>
    </row>
    <row r="849" spans="1:26" x14ac:dyDescent="0.2">
      <c r="A849" s="152" t="s">
        <v>2044</v>
      </c>
      <c r="B849" s="152">
        <v>5.3</v>
      </c>
      <c r="C849" s="151">
        <v>44151</v>
      </c>
      <c r="D849" s="152">
        <v>2.0630139999999999</v>
      </c>
      <c r="E849" s="152" t="s">
        <v>1325</v>
      </c>
      <c r="F849" s="152" t="s">
        <v>1326</v>
      </c>
      <c r="G849" s="152"/>
      <c r="H849" s="152"/>
      <c r="I849" s="152">
        <v>43215</v>
      </c>
      <c r="J849" s="152">
        <v>5.3125</v>
      </c>
      <c r="K849" s="152" t="s">
        <v>1327</v>
      </c>
      <c r="L849" s="152" t="s">
        <v>1327</v>
      </c>
      <c r="M849" s="152" t="s">
        <v>1327</v>
      </c>
      <c r="N849" s="152" t="s">
        <v>1327</v>
      </c>
      <c r="O849" s="152">
        <v>5.7276059999999998</v>
      </c>
      <c r="P849" s="152">
        <v>381.479872</v>
      </c>
      <c r="Q849" s="152">
        <v>5.7276059999999998</v>
      </c>
      <c r="R849" s="152" t="s">
        <v>1327</v>
      </c>
      <c r="S849" s="152">
        <v>99.161947999999995</v>
      </c>
      <c r="T849" s="152">
        <v>1.016438</v>
      </c>
      <c r="U849" s="152">
        <v>1.9180060000000001</v>
      </c>
      <c r="V849" s="152">
        <v>4.2982779999999998</v>
      </c>
      <c r="W849" s="152">
        <v>1000</v>
      </c>
      <c r="X849" s="152" t="s">
        <v>23</v>
      </c>
      <c r="Y849" s="152" t="s">
        <v>1328</v>
      </c>
      <c r="Z849" s="152" t="s">
        <v>1327</v>
      </c>
    </row>
    <row r="850" spans="1:26" x14ac:dyDescent="0.2">
      <c r="A850" s="152" t="s">
        <v>2045</v>
      </c>
      <c r="B850" s="152">
        <v>5.0999999999999996</v>
      </c>
      <c r="C850" s="151">
        <v>44240</v>
      </c>
      <c r="D850" s="152">
        <v>2.3068490000000001</v>
      </c>
      <c r="E850" s="152" t="s">
        <v>1325</v>
      </c>
      <c r="F850" s="152" t="s">
        <v>1326</v>
      </c>
      <c r="G850" s="152"/>
      <c r="H850" s="152"/>
      <c r="I850" s="151">
        <v>42580</v>
      </c>
      <c r="J850" s="152">
        <v>4.7</v>
      </c>
      <c r="K850" s="152" t="s">
        <v>1327</v>
      </c>
      <c r="L850" s="152" t="s">
        <v>1327</v>
      </c>
      <c r="M850" s="152" t="s">
        <v>1327</v>
      </c>
      <c r="N850" s="152" t="s">
        <v>1327</v>
      </c>
      <c r="O850" s="152">
        <v>5.0129039999999998</v>
      </c>
      <c r="P850" s="152">
        <v>304.81797899999998</v>
      </c>
      <c r="Q850" s="152">
        <v>5.0129039999999998</v>
      </c>
      <c r="R850" s="152" t="s">
        <v>1327</v>
      </c>
      <c r="S850" s="152">
        <v>100.176463</v>
      </c>
      <c r="T850" s="152">
        <v>1.02</v>
      </c>
      <c r="U850" s="152">
        <v>2.1384470000000002</v>
      </c>
      <c r="V850" s="152">
        <v>5.2959940000000003</v>
      </c>
      <c r="W850" s="152">
        <v>1000</v>
      </c>
      <c r="X850" s="152" t="s">
        <v>23</v>
      </c>
      <c r="Y850" s="152" t="s">
        <v>1328</v>
      </c>
      <c r="Z850" s="152" t="s">
        <v>1327</v>
      </c>
    </row>
    <row r="851" spans="1:26" x14ac:dyDescent="0.2">
      <c r="A851" s="152" t="s">
        <v>2046</v>
      </c>
      <c r="B851" s="152">
        <v>5.25</v>
      </c>
      <c r="C851" s="151">
        <v>44266</v>
      </c>
      <c r="D851" s="152">
        <v>2.378082</v>
      </c>
      <c r="E851" s="152" t="s">
        <v>1325</v>
      </c>
      <c r="F851" s="152" t="s">
        <v>1326</v>
      </c>
      <c r="G851" s="152"/>
      <c r="H851" s="152"/>
      <c r="I851" s="151" t="s">
        <v>1327</v>
      </c>
      <c r="J851" s="152" t="s">
        <v>1327</v>
      </c>
      <c r="K851" s="152" t="s">
        <v>1327</v>
      </c>
      <c r="L851" s="152" t="s">
        <v>1327</v>
      </c>
      <c r="M851" s="152" t="s">
        <v>1327</v>
      </c>
      <c r="N851" s="152" t="s">
        <v>1327</v>
      </c>
      <c r="O851" s="152">
        <v>5.2565869999999997</v>
      </c>
      <c r="P851" s="152">
        <v>330.85003</v>
      </c>
      <c r="Q851" s="152">
        <v>5.2565869999999997</v>
      </c>
      <c r="R851" s="152" t="s">
        <v>1327</v>
      </c>
      <c r="S851" s="152">
        <v>99.986817000000002</v>
      </c>
      <c r="T851" s="152">
        <v>0.63287700000000002</v>
      </c>
      <c r="U851" s="152">
        <v>2.2089050000000001</v>
      </c>
      <c r="V851" s="152">
        <v>5.6244110000000003</v>
      </c>
      <c r="W851" s="152">
        <v>1000</v>
      </c>
      <c r="X851" s="152" t="s">
        <v>23</v>
      </c>
      <c r="Y851" s="152" t="s">
        <v>1328</v>
      </c>
      <c r="Z851" s="152" t="s">
        <v>1327</v>
      </c>
    </row>
    <row r="852" spans="1:26" x14ac:dyDescent="0.2">
      <c r="A852" s="152" t="s">
        <v>2047</v>
      </c>
      <c r="B852" s="152">
        <v>5</v>
      </c>
      <c r="C852" s="151">
        <v>44418</v>
      </c>
      <c r="D852" s="152">
        <v>2.794521</v>
      </c>
      <c r="E852" s="152" t="s">
        <v>1325</v>
      </c>
      <c r="F852" s="152" t="s">
        <v>1326</v>
      </c>
      <c r="G852" s="152"/>
      <c r="H852" s="152"/>
      <c r="I852" s="152" t="s">
        <v>1327</v>
      </c>
      <c r="J852" s="152" t="s">
        <v>1327</v>
      </c>
      <c r="K852" s="152" t="s">
        <v>1327</v>
      </c>
      <c r="L852" s="152" t="s">
        <v>1327</v>
      </c>
      <c r="M852" s="152" t="s">
        <v>1327</v>
      </c>
      <c r="N852" s="152" t="s">
        <v>1327</v>
      </c>
      <c r="O852" s="152">
        <v>5.3485680000000002</v>
      </c>
      <c r="P852" s="152">
        <v>336.40300400000001</v>
      </c>
      <c r="Q852" s="152">
        <v>5.3485680000000002</v>
      </c>
      <c r="R852" s="152" t="s">
        <v>1327</v>
      </c>
      <c r="S852" s="152">
        <v>99.089510000000004</v>
      </c>
      <c r="T852" s="152">
        <v>1.041096</v>
      </c>
      <c r="U852" s="152">
        <v>2.5628410000000001</v>
      </c>
      <c r="V852" s="152">
        <v>7.5344429999999996</v>
      </c>
      <c r="W852" s="152">
        <v>1000</v>
      </c>
      <c r="X852" s="152" t="s">
        <v>23</v>
      </c>
      <c r="Y852" s="152" t="s">
        <v>1328</v>
      </c>
      <c r="Z852" s="152" t="s">
        <v>1327</v>
      </c>
    </row>
    <row r="853" spans="1:26" x14ac:dyDescent="0.2">
      <c r="A853" s="152" t="s">
        <v>2048</v>
      </c>
      <c r="B853" s="152">
        <v>4.7</v>
      </c>
      <c r="C853" s="151">
        <v>44728</v>
      </c>
      <c r="D853" s="152">
        <v>3.6438359999999999</v>
      </c>
      <c r="E853" s="152" t="s">
        <v>1325</v>
      </c>
      <c r="F853" s="152" t="s">
        <v>1326</v>
      </c>
      <c r="G853" s="152"/>
      <c r="H853" s="152"/>
      <c r="I853" s="152">
        <v>43159</v>
      </c>
      <c r="J853" s="152">
        <v>4.5</v>
      </c>
      <c r="K853" s="152" t="s">
        <v>1327</v>
      </c>
      <c r="L853" s="152" t="s">
        <v>1327</v>
      </c>
      <c r="M853" s="152" t="s">
        <v>1327</v>
      </c>
      <c r="N853" s="152" t="s">
        <v>1327</v>
      </c>
      <c r="O853" s="152">
        <v>4.8791409999999997</v>
      </c>
      <c r="P853" s="152">
        <v>266.49614200000002</v>
      </c>
      <c r="Q853" s="152">
        <v>4.8791409999999997</v>
      </c>
      <c r="R853" s="152" t="s">
        <v>1327</v>
      </c>
      <c r="S853" s="152">
        <v>99.406959999999998</v>
      </c>
      <c r="T853" s="152">
        <v>0.50219199999999997</v>
      </c>
      <c r="U853" s="152">
        <v>3.310934</v>
      </c>
      <c r="V853" s="152">
        <v>12.393886999999999</v>
      </c>
      <c r="W853" s="152">
        <v>1000</v>
      </c>
      <c r="X853" s="152" t="s">
        <v>23</v>
      </c>
      <c r="Y853" s="152" t="s">
        <v>1328</v>
      </c>
      <c r="Z853" s="152" t="s">
        <v>1327</v>
      </c>
    </row>
    <row r="854" spans="1:26" x14ac:dyDescent="0.2">
      <c r="A854" s="152" t="s">
        <v>2049</v>
      </c>
      <c r="B854" s="152">
        <v>5.25</v>
      </c>
      <c r="C854" s="151">
        <v>44790</v>
      </c>
      <c r="D854" s="152">
        <v>3.8136990000000002</v>
      </c>
      <c r="E854" s="152" t="s">
        <v>1325</v>
      </c>
      <c r="F854" s="152" t="s">
        <v>1326</v>
      </c>
      <c r="G854" s="152"/>
      <c r="H854" s="152"/>
      <c r="I854" s="152" t="s">
        <v>1327</v>
      </c>
      <c r="J854" s="152" t="s">
        <v>1327</v>
      </c>
      <c r="K854" s="152" t="s">
        <v>1327</v>
      </c>
      <c r="L854" s="152" t="s">
        <v>1327</v>
      </c>
      <c r="M854" s="152" t="s">
        <v>1327</v>
      </c>
      <c r="N854" s="152" t="s">
        <v>1327</v>
      </c>
      <c r="O854" s="152">
        <v>5.5080549999999997</v>
      </c>
      <c r="P854" s="152">
        <v>329.505855</v>
      </c>
      <c r="Q854" s="152">
        <v>5.5080549999999997</v>
      </c>
      <c r="R854" s="152" t="s">
        <v>1327</v>
      </c>
      <c r="S854" s="152">
        <v>99.105455000000006</v>
      </c>
      <c r="T854" s="152">
        <v>0.99246599999999996</v>
      </c>
      <c r="U854" s="152">
        <v>3.3979979999999999</v>
      </c>
      <c r="V854" s="152">
        <v>13.193967000000001</v>
      </c>
      <c r="W854" s="152">
        <v>1000</v>
      </c>
      <c r="X854" s="152" t="s">
        <v>23</v>
      </c>
      <c r="Y854" s="152" t="s">
        <v>1328</v>
      </c>
      <c r="Z854" s="152" t="s">
        <v>1327</v>
      </c>
    </row>
    <row r="855" spans="1:26" x14ac:dyDescent="0.2">
      <c r="A855" s="152" t="s">
        <v>2050</v>
      </c>
      <c r="B855" s="152">
        <v>5.55</v>
      </c>
      <c r="C855" s="151">
        <v>44877</v>
      </c>
      <c r="D855" s="152">
        <v>4.0520550000000002</v>
      </c>
      <c r="E855" s="152" t="s">
        <v>1325</v>
      </c>
      <c r="F855" s="152" t="s">
        <v>1326</v>
      </c>
      <c r="G855" s="152"/>
      <c r="H855" s="152"/>
      <c r="I855" s="152" t="s">
        <v>1327</v>
      </c>
      <c r="J855" s="152" t="s">
        <v>1327</v>
      </c>
      <c r="K855" s="152" t="s">
        <v>1327</v>
      </c>
      <c r="L855" s="152" t="s">
        <v>1327</v>
      </c>
      <c r="M855" s="152" t="s">
        <v>1327</v>
      </c>
      <c r="N855" s="152" t="s">
        <v>1327</v>
      </c>
      <c r="O855" s="152">
        <v>5.6193470000000003</v>
      </c>
      <c r="P855" s="152">
        <v>339.00550399999997</v>
      </c>
      <c r="Q855" s="152">
        <v>5.6193470000000003</v>
      </c>
      <c r="R855" s="152" t="s">
        <v>1327</v>
      </c>
      <c r="S855" s="152">
        <v>99.737468000000007</v>
      </c>
      <c r="T855" s="152">
        <v>1.125205</v>
      </c>
      <c r="U855" s="152">
        <v>3.5636199999999998</v>
      </c>
      <c r="V855" s="152">
        <v>14.580235</v>
      </c>
      <c r="W855" s="152">
        <v>1000</v>
      </c>
      <c r="X855" s="152" t="s">
        <v>23</v>
      </c>
      <c r="Y855" s="152" t="s">
        <v>1328</v>
      </c>
      <c r="Z855" s="152" t="s">
        <v>1327</v>
      </c>
    </row>
    <row r="856" spans="1:26" x14ac:dyDescent="0.2">
      <c r="A856" s="152" t="s">
        <v>2051</v>
      </c>
      <c r="B856" s="152">
        <v>5.5</v>
      </c>
      <c r="C856" s="151">
        <v>44881</v>
      </c>
      <c r="D856" s="152">
        <v>4.0630139999999999</v>
      </c>
      <c r="E856" s="152" t="s">
        <v>1325</v>
      </c>
      <c r="F856" s="152" t="s">
        <v>1326</v>
      </c>
      <c r="G856" s="152"/>
      <c r="H856" s="152"/>
      <c r="I856" s="152" t="s">
        <v>1327</v>
      </c>
      <c r="J856" s="152" t="s">
        <v>1327</v>
      </c>
      <c r="K856" s="152" t="s">
        <v>1327</v>
      </c>
      <c r="L856" s="152" t="s">
        <v>1327</v>
      </c>
      <c r="M856" s="152" t="s">
        <v>1327</v>
      </c>
      <c r="N856" s="152" t="s">
        <v>1327</v>
      </c>
      <c r="O856" s="152">
        <v>5.9253489999999998</v>
      </c>
      <c r="P856" s="152">
        <v>370.84806900000001</v>
      </c>
      <c r="Q856" s="152">
        <v>5.9253489999999998</v>
      </c>
      <c r="R856" s="152" t="s">
        <v>1327</v>
      </c>
      <c r="S856" s="152">
        <v>98.461823999999993</v>
      </c>
      <c r="T856" s="152">
        <v>1.0547949999999999</v>
      </c>
      <c r="U856" s="152">
        <v>3.5717400000000001</v>
      </c>
      <c r="V856" s="152">
        <v>14.639149</v>
      </c>
      <c r="W856" s="152">
        <v>1000</v>
      </c>
      <c r="X856" s="152" t="s">
        <v>23</v>
      </c>
      <c r="Y856" s="152" t="s">
        <v>1328</v>
      </c>
      <c r="Z856" s="152" t="s">
        <v>1327</v>
      </c>
    </row>
    <row r="857" spans="1:26" x14ac:dyDescent="0.2">
      <c r="A857" s="152" t="s">
        <v>2052</v>
      </c>
      <c r="B857" s="152">
        <v>7.5</v>
      </c>
      <c r="C857" s="151">
        <v>44164</v>
      </c>
      <c r="D857" s="152">
        <v>2.09863</v>
      </c>
      <c r="E857" s="152" t="s">
        <v>1325</v>
      </c>
      <c r="F857" s="152" t="s">
        <v>1326</v>
      </c>
      <c r="G857" s="152" t="s">
        <v>2053</v>
      </c>
      <c r="H857" s="152" t="s">
        <v>2054</v>
      </c>
      <c r="I857" s="152">
        <v>43301</v>
      </c>
      <c r="J857" s="152">
        <v>2.2549999999999999</v>
      </c>
      <c r="K857" s="152">
        <v>41912</v>
      </c>
      <c r="L857" s="152">
        <v>3.8757130000000002</v>
      </c>
      <c r="M857" s="152">
        <v>4.641165</v>
      </c>
      <c r="N857" s="152">
        <v>3.8014250000000001</v>
      </c>
      <c r="O857" s="152">
        <v>2.4757799999999999</v>
      </c>
      <c r="P857" s="152">
        <v>46.564827000000001</v>
      </c>
      <c r="Q857" s="152">
        <v>2.4757799999999999</v>
      </c>
      <c r="R857" s="152" t="s">
        <v>1327</v>
      </c>
      <c r="S857" s="152">
        <v>110.21408</v>
      </c>
      <c r="T857" s="152">
        <v>1.171233</v>
      </c>
      <c r="U857" s="152">
        <v>1.9349209999999999</v>
      </c>
      <c r="V857" s="152">
        <v>4.4121110000000003</v>
      </c>
      <c r="W857" s="152">
        <v>1000</v>
      </c>
      <c r="X857" s="152" t="s">
        <v>23</v>
      </c>
      <c r="Y857" s="152" t="s">
        <v>1328</v>
      </c>
      <c r="Z857" s="152" t="s">
        <v>1327</v>
      </c>
    </row>
    <row r="858" spans="1:26" x14ac:dyDescent="0.2">
      <c r="A858" s="152" t="s">
        <v>2055</v>
      </c>
      <c r="B858" s="152">
        <v>6.05</v>
      </c>
      <c r="C858" s="151">
        <v>44164</v>
      </c>
      <c r="D858" s="152">
        <v>2.09863</v>
      </c>
      <c r="E858" s="152" t="s">
        <v>1325</v>
      </c>
      <c r="F858" s="152" t="s">
        <v>1326</v>
      </c>
      <c r="G858" s="152" t="s">
        <v>2053</v>
      </c>
      <c r="H858" s="152" t="s">
        <v>2054</v>
      </c>
      <c r="I858" s="152">
        <v>43257</v>
      </c>
      <c r="J858" s="152">
        <v>2.23</v>
      </c>
      <c r="K858" s="152">
        <v>41912</v>
      </c>
      <c r="L858" s="152">
        <v>3.8686060000000002</v>
      </c>
      <c r="M858" s="152">
        <v>4.641165</v>
      </c>
      <c r="N858" s="152">
        <v>3.7872110000000001</v>
      </c>
      <c r="O858" s="152">
        <v>2.4998330000000002</v>
      </c>
      <c r="P858" s="152">
        <v>48.823984000000003</v>
      </c>
      <c r="Q858" s="152">
        <v>2.4998330000000002</v>
      </c>
      <c r="R858" s="152" t="s">
        <v>1327</v>
      </c>
      <c r="S858" s="152">
        <v>107.21367600000001</v>
      </c>
      <c r="T858" s="152">
        <v>0.94479500000000005</v>
      </c>
      <c r="U858" s="152">
        <v>1.9598880000000001</v>
      </c>
      <c r="V858" s="152">
        <v>4.4868490000000003</v>
      </c>
      <c r="W858" s="152">
        <v>1000</v>
      </c>
      <c r="X858" s="152" t="s">
        <v>23</v>
      </c>
      <c r="Y858" s="152" t="s">
        <v>1328</v>
      </c>
      <c r="Z858" s="152" t="s">
        <v>1327</v>
      </c>
    </row>
    <row r="859" spans="1:26" x14ac:dyDescent="0.2">
      <c r="A859" s="152" t="s">
        <v>2056</v>
      </c>
      <c r="B859" s="152">
        <v>7.99</v>
      </c>
      <c r="C859" s="151">
        <v>45990</v>
      </c>
      <c r="D859" s="152">
        <v>7.1013700000000002</v>
      </c>
      <c r="E859" s="152" t="s">
        <v>1325</v>
      </c>
      <c r="F859" s="152" t="s">
        <v>1326</v>
      </c>
      <c r="G859" s="152" t="s">
        <v>2053</v>
      </c>
      <c r="H859" s="152" t="s">
        <v>2054</v>
      </c>
      <c r="I859" s="152">
        <v>43350</v>
      </c>
      <c r="J859" s="152">
        <v>3.35</v>
      </c>
      <c r="K859" s="152">
        <v>41912</v>
      </c>
      <c r="L859" s="152">
        <v>4.2052899999999998</v>
      </c>
      <c r="M859" s="152">
        <v>5.3098700000000001</v>
      </c>
      <c r="N859" s="152">
        <v>4.1605790000000002</v>
      </c>
      <c r="O859" s="152">
        <v>3.5159379999999998</v>
      </c>
      <c r="P859" s="152">
        <v>92.098872</v>
      </c>
      <c r="Q859" s="152">
        <v>3.5159379999999998</v>
      </c>
      <c r="R859" s="152" t="s">
        <v>1327</v>
      </c>
      <c r="S859" s="152">
        <v>127.970322</v>
      </c>
      <c r="T859" s="152">
        <v>1.2477529999999999</v>
      </c>
      <c r="U859" s="152">
        <v>5.5988879999999996</v>
      </c>
      <c r="V859" s="152">
        <v>37.570714000000002</v>
      </c>
      <c r="W859" s="152">
        <v>1000</v>
      </c>
      <c r="X859" s="152" t="s">
        <v>23</v>
      </c>
      <c r="Y859" s="152" t="s">
        <v>1328</v>
      </c>
      <c r="Z859" s="152" t="s">
        <v>1327</v>
      </c>
    </row>
    <row r="860" spans="1:26" x14ac:dyDescent="0.2">
      <c r="A860" s="152" t="s">
        <v>2057</v>
      </c>
      <c r="B860" s="152">
        <v>6.5</v>
      </c>
      <c r="C860" s="151">
        <v>45990</v>
      </c>
      <c r="D860" s="152">
        <v>7.1013700000000002</v>
      </c>
      <c r="E860" s="152" t="s">
        <v>1325</v>
      </c>
      <c r="F860" s="152" t="s">
        <v>1326</v>
      </c>
      <c r="G860" s="152" t="s">
        <v>302</v>
      </c>
      <c r="H860" s="152" t="s">
        <v>2054</v>
      </c>
      <c r="I860" s="152">
        <v>43165</v>
      </c>
      <c r="J860" s="152">
        <v>2.9849999999999999</v>
      </c>
      <c r="K860" s="152">
        <v>41912</v>
      </c>
      <c r="L860" s="152">
        <v>4.1044859999999996</v>
      </c>
      <c r="M860" s="152">
        <v>5.3098700000000001</v>
      </c>
      <c r="N860" s="152">
        <v>4.1044859999999996</v>
      </c>
      <c r="O860" s="152">
        <v>3.511809</v>
      </c>
      <c r="P860" s="152">
        <v>90.570120000000003</v>
      </c>
      <c r="Q860" s="152">
        <v>3.511809</v>
      </c>
      <c r="R860" s="152" t="s">
        <v>1327</v>
      </c>
      <c r="S860" s="152">
        <v>118.681168</v>
      </c>
      <c r="T860" s="152">
        <v>1.0150680000000001</v>
      </c>
      <c r="U860" s="152">
        <v>5.7735890000000003</v>
      </c>
      <c r="V860" s="152">
        <v>39.232467</v>
      </c>
      <c r="W860" s="152">
        <v>1000</v>
      </c>
      <c r="X860" s="152" t="s">
        <v>23</v>
      </c>
      <c r="Y860" s="152" t="s">
        <v>1328</v>
      </c>
      <c r="Z860" s="152" t="s">
        <v>1327</v>
      </c>
    </row>
    <row r="861" spans="1:26" x14ac:dyDescent="0.2">
      <c r="A861" s="152" t="s">
        <v>2058</v>
      </c>
      <c r="B861" s="152">
        <v>6.05</v>
      </c>
      <c r="C861" s="151">
        <v>45990</v>
      </c>
      <c r="D861" s="152">
        <v>7.1013700000000002</v>
      </c>
      <c r="E861" s="152" t="s">
        <v>1325</v>
      </c>
      <c r="F861" s="152" t="s">
        <v>1326</v>
      </c>
      <c r="G861" s="152" t="s">
        <v>2053</v>
      </c>
      <c r="H861" s="152" t="s">
        <v>2054</v>
      </c>
      <c r="I861" s="152">
        <v>43117</v>
      </c>
      <c r="J861" s="152">
        <v>2.9</v>
      </c>
      <c r="K861" s="152">
        <v>41912</v>
      </c>
      <c r="L861" s="152">
        <v>4.1123050000000001</v>
      </c>
      <c r="M861" s="152">
        <v>5.3098700000000001</v>
      </c>
      <c r="N861" s="152">
        <v>4.1123050000000001</v>
      </c>
      <c r="O861" s="152">
        <v>3.5150260000000002</v>
      </c>
      <c r="P861" s="152">
        <v>90.546454999999995</v>
      </c>
      <c r="Q861" s="152">
        <v>3.5150260000000002</v>
      </c>
      <c r="R861" s="152" t="s">
        <v>1327</v>
      </c>
      <c r="S861" s="152">
        <v>115.844782</v>
      </c>
      <c r="T861" s="152">
        <v>0.94479500000000005</v>
      </c>
      <c r="U861" s="152">
        <v>5.831696</v>
      </c>
      <c r="V861" s="152">
        <v>39.785075999999997</v>
      </c>
      <c r="W861" s="152">
        <v>1000</v>
      </c>
      <c r="X861" s="152" t="s">
        <v>23</v>
      </c>
      <c r="Y861" s="152" t="s">
        <v>1328</v>
      </c>
      <c r="Z861" s="152" t="s">
        <v>1327</v>
      </c>
    </row>
    <row r="862" spans="1:26" x14ac:dyDescent="0.2">
      <c r="A862" s="152" t="s">
        <v>2059</v>
      </c>
      <c r="B862" s="152">
        <v>2.83</v>
      </c>
      <c r="C862" s="151">
        <v>43427</v>
      </c>
      <c r="D862" s="152">
        <v>7.9451999999999995E-2</v>
      </c>
      <c r="E862" s="152" t="s">
        <v>1325</v>
      </c>
      <c r="F862" s="152" t="s">
        <v>1326</v>
      </c>
      <c r="G862" s="152" t="s">
        <v>29</v>
      </c>
      <c r="H862" s="152"/>
      <c r="I862" s="151" t="s">
        <v>1327</v>
      </c>
      <c r="J862" s="152" t="s">
        <v>1327</v>
      </c>
      <c r="K862" s="152" t="s">
        <v>1327</v>
      </c>
      <c r="L862" s="152" t="s">
        <v>1327</v>
      </c>
      <c r="M862" s="152" t="s">
        <v>1327</v>
      </c>
      <c r="N862" s="152" t="s">
        <v>1327</v>
      </c>
      <c r="O862" s="152">
        <v>1.8256319999999999</v>
      </c>
      <c r="P862" s="152">
        <v>57.661129000000003</v>
      </c>
      <c r="Q862" s="152">
        <v>1.8256319999999999</v>
      </c>
      <c r="R862" s="152" t="s">
        <v>1327</v>
      </c>
      <c r="S862" s="152">
        <v>100.066889</v>
      </c>
      <c r="T862" s="152">
        <v>1.201781</v>
      </c>
      <c r="U862" s="152">
        <v>7.8732999999999997E-2</v>
      </c>
      <c r="V862" s="152">
        <v>4.521E-2</v>
      </c>
      <c r="W862" s="152">
        <v>1000</v>
      </c>
      <c r="X862" s="152" t="s">
        <v>23</v>
      </c>
      <c r="Y862" s="152" t="s">
        <v>1328</v>
      </c>
      <c r="Z862" s="152" t="s">
        <v>1327</v>
      </c>
    </row>
    <row r="863" spans="1:26" x14ac:dyDescent="0.2">
      <c r="A863" s="152" t="s">
        <v>247</v>
      </c>
      <c r="B863" s="152">
        <v>2.33</v>
      </c>
      <c r="C863" s="151">
        <v>43434</v>
      </c>
      <c r="D863" s="152">
        <v>9.8629999999999995E-2</v>
      </c>
      <c r="E863" s="152" t="s">
        <v>1325</v>
      </c>
      <c r="F863" s="152" t="s">
        <v>1326</v>
      </c>
      <c r="G863" s="152" t="s">
        <v>29</v>
      </c>
      <c r="H863" s="152"/>
      <c r="I863" s="151">
        <v>43201</v>
      </c>
      <c r="J863" s="152">
        <v>1.9025000000000001</v>
      </c>
      <c r="K863" s="152" t="s">
        <v>1327</v>
      </c>
      <c r="L863" s="152" t="s">
        <v>1327</v>
      </c>
      <c r="M863" s="152" t="s">
        <v>1327</v>
      </c>
      <c r="N863" s="152" t="s">
        <v>1327</v>
      </c>
      <c r="O863" s="152">
        <v>1.8660350000000001</v>
      </c>
      <c r="P863" s="152">
        <v>58.214711000000001</v>
      </c>
      <c r="Q863" s="152">
        <v>1.8660350000000001</v>
      </c>
      <c r="R863" s="152" t="s">
        <v>1327</v>
      </c>
      <c r="S863" s="152">
        <v>100.03507399999999</v>
      </c>
      <c r="T863" s="152">
        <v>0.94476700000000002</v>
      </c>
      <c r="U863" s="152">
        <v>9.7717999999999999E-2</v>
      </c>
      <c r="V863" s="152">
        <v>5.7956000000000001E-2</v>
      </c>
      <c r="W863" s="152">
        <v>1000</v>
      </c>
      <c r="X863" s="152" t="s">
        <v>23</v>
      </c>
      <c r="Y863" s="152" t="s">
        <v>1328</v>
      </c>
      <c r="Z863" s="152" t="s">
        <v>1327</v>
      </c>
    </row>
    <row r="864" spans="1:26" x14ac:dyDescent="0.2">
      <c r="A864" s="152" t="s">
        <v>2060</v>
      </c>
      <c r="B864" s="152">
        <v>4.0199999999999996</v>
      </c>
      <c r="C864" s="151">
        <v>43803</v>
      </c>
      <c r="D864" s="152">
        <v>1.1095889999999999</v>
      </c>
      <c r="E864" s="152" t="s">
        <v>1325</v>
      </c>
      <c r="F864" s="152" t="s">
        <v>1326</v>
      </c>
      <c r="G864" s="152" t="s">
        <v>29</v>
      </c>
      <c r="H864" s="152"/>
      <c r="I864" s="152">
        <v>42921</v>
      </c>
      <c r="J864" s="152">
        <v>3.0140220000000002</v>
      </c>
      <c r="K864" s="152" t="s">
        <v>1327</v>
      </c>
      <c r="L864" s="152" t="s">
        <v>1327</v>
      </c>
      <c r="M864" s="152" t="s">
        <v>1327</v>
      </c>
      <c r="N864" s="152" t="s">
        <v>1327</v>
      </c>
      <c r="O864" s="152">
        <v>3.2080470000000001</v>
      </c>
      <c r="P864" s="152">
        <v>140.481256</v>
      </c>
      <c r="Q864" s="152">
        <v>3.2080470000000001</v>
      </c>
      <c r="R864" s="152" t="s">
        <v>1327</v>
      </c>
      <c r="S864" s="152">
        <v>100.86994</v>
      </c>
      <c r="T864" s="152">
        <v>1.574959</v>
      </c>
      <c r="U864" s="152">
        <v>1.0633589999999999</v>
      </c>
      <c r="V864" s="152">
        <v>1.676793</v>
      </c>
      <c r="W864" s="152">
        <v>1000</v>
      </c>
      <c r="X864" s="152" t="s">
        <v>23</v>
      </c>
      <c r="Y864" s="152" t="s">
        <v>1328</v>
      </c>
      <c r="Z864" s="152" t="s">
        <v>1327</v>
      </c>
    </row>
    <row r="865" spans="1:26" x14ac:dyDescent="0.2">
      <c r="A865" s="152" t="s">
        <v>2061</v>
      </c>
      <c r="B865" s="152">
        <v>5.5</v>
      </c>
      <c r="C865" s="151">
        <v>44195</v>
      </c>
      <c r="D865" s="152">
        <v>2.1835619999999998</v>
      </c>
      <c r="E865" s="152" t="s">
        <v>1325</v>
      </c>
      <c r="F865" s="152" t="s">
        <v>1326</v>
      </c>
      <c r="G865" s="152" t="s">
        <v>29</v>
      </c>
      <c r="H865" s="152"/>
      <c r="I865" s="152">
        <v>42797</v>
      </c>
      <c r="J865" s="152">
        <v>3.5</v>
      </c>
      <c r="K865" s="152">
        <v>41362</v>
      </c>
      <c r="L865" s="152">
        <v>4.9769389999999998</v>
      </c>
      <c r="M865" s="152">
        <v>5.3960999999999997</v>
      </c>
      <c r="N865" s="152">
        <v>4.9692379999999998</v>
      </c>
      <c r="O865" s="152">
        <v>3.5073820000000002</v>
      </c>
      <c r="P865" s="152">
        <v>149.39813799999999</v>
      </c>
      <c r="Q865" s="152">
        <v>3.5073820000000002</v>
      </c>
      <c r="R865" s="152" t="s">
        <v>1327</v>
      </c>
      <c r="S865" s="152">
        <v>104.135548</v>
      </c>
      <c r="T865" s="152">
        <v>1.7630140000000001</v>
      </c>
      <c r="U865" s="152">
        <v>2.018599</v>
      </c>
      <c r="V865" s="152">
        <v>5.2359049999999998</v>
      </c>
      <c r="W865" s="152">
        <v>1000</v>
      </c>
      <c r="X865" s="152" t="s">
        <v>23</v>
      </c>
      <c r="Y865" s="152" t="s">
        <v>1328</v>
      </c>
      <c r="Z865" s="152" t="s">
        <v>1327</v>
      </c>
    </row>
    <row r="866" spans="1:26" x14ac:dyDescent="0.2">
      <c r="A866" s="152" t="s">
        <v>249</v>
      </c>
      <c r="B866" s="152">
        <v>3.08</v>
      </c>
      <c r="C866" s="151">
        <v>44165</v>
      </c>
      <c r="D866" s="152">
        <v>2.1013700000000002</v>
      </c>
      <c r="E866" s="152" t="s">
        <v>1325</v>
      </c>
      <c r="F866" s="152" t="s">
        <v>1326</v>
      </c>
      <c r="G866" s="152" t="s">
        <v>29</v>
      </c>
      <c r="H866" s="152"/>
      <c r="I866" s="151" t="s">
        <v>1327</v>
      </c>
      <c r="J866" s="152" t="s">
        <v>1327</v>
      </c>
      <c r="K866" s="152" t="s">
        <v>1327</v>
      </c>
      <c r="L866" s="152" t="s">
        <v>1327</v>
      </c>
      <c r="M866" s="152" t="s">
        <v>1327</v>
      </c>
      <c r="N866" s="152" t="s">
        <v>1327</v>
      </c>
      <c r="O866" s="152">
        <v>3.4589210000000001</v>
      </c>
      <c r="P866" s="152">
        <v>144.821921</v>
      </c>
      <c r="Q866" s="152">
        <v>3.4589210000000001</v>
      </c>
      <c r="R866" s="152" t="s">
        <v>1327</v>
      </c>
      <c r="S866" s="152">
        <v>99.224532999999994</v>
      </c>
      <c r="T866" s="152">
        <v>1.248877</v>
      </c>
      <c r="U866" s="152">
        <v>1.9891380000000001</v>
      </c>
      <c r="V866" s="152">
        <v>5.0383399999999998</v>
      </c>
      <c r="W866" s="152">
        <v>1000</v>
      </c>
      <c r="X866" s="152" t="s">
        <v>23</v>
      </c>
      <c r="Y866" s="152" t="s">
        <v>1328</v>
      </c>
      <c r="Z866" s="152" t="s">
        <v>1327</v>
      </c>
    </row>
    <row r="867" spans="1:26" x14ac:dyDescent="0.2">
      <c r="A867" s="152" t="s">
        <v>2062</v>
      </c>
      <c r="B867" s="152">
        <v>5.19</v>
      </c>
      <c r="C867" s="151">
        <v>43696</v>
      </c>
      <c r="D867" s="152">
        <v>0.816438</v>
      </c>
      <c r="E867" s="152" t="s">
        <v>1325</v>
      </c>
      <c r="F867" s="152" t="s">
        <v>1326</v>
      </c>
      <c r="G867" s="152"/>
      <c r="H867" s="152"/>
      <c r="I867" s="152" t="s">
        <v>1327</v>
      </c>
      <c r="J867" s="152" t="s">
        <v>1327</v>
      </c>
      <c r="K867" s="152" t="s">
        <v>1327</v>
      </c>
      <c r="L867" s="152" t="s">
        <v>1327</v>
      </c>
      <c r="M867" s="152" t="s">
        <v>1327</v>
      </c>
      <c r="N867" s="152" t="s">
        <v>1327</v>
      </c>
      <c r="O867" s="152">
        <v>5.767328</v>
      </c>
      <c r="P867" s="152">
        <v>407.93509999999998</v>
      </c>
      <c r="Q867" s="152">
        <v>5.767328</v>
      </c>
      <c r="R867" s="152" t="s">
        <v>1327</v>
      </c>
      <c r="S867" s="152">
        <v>99.520780999999999</v>
      </c>
      <c r="T867" s="152">
        <v>1.6636439999999999</v>
      </c>
      <c r="U867" s="152">
        <v>0.77855099999999999</v>
      </c>
      <c r="V867" s="152">
        <v>0.99431199999999997</v>
      </c>
      <c r="W867" s="152">
        <v>100</v>
      </c>
      <c r="X867" s="152" t="s">
        <v>23</v>
      </c>
      <c r="Y867" s="152" t="s">
        <v>1328</v>
      </c>
      <c r="Z867" s="152" t="s">
        <v>1327</v>
      </c>
    </row>
    <row r="868" spans="1:26" x14ac:dyDescent="0.2">
      <c r="A868" s="152" t="s">
        <v>2063</v>
      </c>
      <c r="B868" s="152">
        <v>3.5</v>
      </c>
      <c r="C868" s="151">
        <v>44452</v>
      </c>
      <c r="D868" s="152">
        <v>2.8876710000000001</v>
      </c>
      <c r="E868" s="152" t="s">
        <v>1325</v>
      </c>
      <c r="F868" s="152" t="s">
        <v>1326</v>
      </c>
      <c r="G868" s="152" t="s">
        <v>29</v>
      </c>
      <c r="H868" s="152"/>
      <c r="I868" s="152" t="s">
        <v>1327</v>
      </c>
      <c r="J868" s="152" t="s">
        <v>1327</v>
      </c>
      <c r="K868" s="152" t="s">
        <v>1327</v>
      </c>
      <c r="L868" s="152" t="s">
        <v>1327</v>
      </c>
      <c r="M868" s="152" t="s">
        <v>1327</v>
      </c>
      <c r="N868" s="152" t="s">
        <v>1327</v>
      </c>
      <c r="O868" s="152">
        <v>3.5483750000000001</v>
      </c>
      <c r="P868" s="152">
        <v>146.367211</v>
      </c>
      <c r="Q868" s="152">
        <v>3.5483750000000001</v>
      </c>
      <c r="R868" s="152" t="s">
        <v>1327</v>
      </c>
      <c r="S868" s="152">
        <v>99.880223999999998</v>
      </c>
      <c r="T868" s="152">
        <v>0.40273999999999999</v>
      </c>
      <c r="U868" s="152">
        <v>2.706626</v>
      </c>
      <c r="V868" s="152">
        <v>8.8651560000000007</v>
      </c>
      <c r="W868" s="152">
        <v>1000</v>
      </c>
      <c r="X868" s="152" t="s">
        <v>23</v>
      </c>
      <c r="Y868" s="152" t="s">
        <v>1328</v>
      </c>
      <c r="Z868" s="152" t="s">
        <v>1327</v>
      </c>
    </row>
    <row r="869" spans="1:26" x14ac:dyDescent="0.2">
      <c r="A869" s="152" t="s">
        <v>2064</v>
      </c>
      <c r="B869" s="152">
        <v>1.98</v>
      </c>
      <c r="C869" s="151">
        <v>43668</v>
      </c>
      <c r="D869" s="152">
        <v>0.73972599999999999</v>
      </c>
      <c r="E869" s="152" t="s">
        <v>1325</v>
      </c>
      <c r="F869" s="152" t="s">
        <v>1326</v>
      </c>
      <c r="G869" s="152" t="s">
        <v>667</v>
      </c>
      <c r="H869" s="152"/>
      <c r="I869" s="152">
        <v>43348</v>
      </c>
      <c r="J869" s="152">
        <v>1.85</v>
      </c>
      <c r="K869" s="152" t="s">
        <v>1327</v>
      </c>
      <c r="L869" s="152" t="s">
        <v>1327</v>
      </c>
      <c r="M869" s="152" t="s">
        <v>1327</v>
      </c>
      <c r="N869" s="152" t="s">
        <v>1327</v>
      </c>
      <c r="O869" s="152">
        <v>2.0269089999999998</v>
      </c>
      <c r="P869" s="152">
        <v>25.049477</v>
      </c>
      <c r="Q869" s="152">
        <v>2.0269089999999998</v>
      </c>
      <c r="R869" s="152" t="s">
        <v>1327</v>
      </c>
      <c r="S869" s="152">
        <v>99.956158000000002</v>
      </c>
      <c r="T869" s="152">
        <v>0.51534199999999997</v>
      </c>
      <c r="U869" s="152">
        <v>0.73151900000000003</v>
      </c>
      <c r="V869" s="152">
        <v>0.89959</v>
      </c>
      <c r="W869" s="152">
        <v>1000</v>
      </c>
      <c r="X869" s="152" t="s">
        <v>23</v>
      </c>
      <c r="Y869" s="152" t="s">
        <v>1328</v>
      </c>
      <c r="Z869" s="152" t="s">
        <v>1327</v>
      </c>
    </row>
    <row r="870" spans="1:26" x14ac:dyDescent="0.2">
      <c r="A870" s="152" t="s">
        <v>666</v>
      </c>
      <c r="B870" s="152">
        <v>2.92</v>
      </c>
      <c r="C870" s="151">
        <v>44041</v>
      </c>
      <c r="D870" s="152">
        <v>1.761644</v>
      </c>
      <c r="E870" s="152" t="s">
        <v>1325</v>
      </c>
      <c r="F870" s="152" t="s">
        <v>1326</v>
      </c>
      <c r="G870" s="152" t="s">
        <v>667</v>
      </c>
      <c r="H870" s="152"/>
      <c r="I870" s="151">
        <v>43350</v>
      </c>
      <c r="J870" s="152">
        <v>2.4</v>
      </c>
      <c r="K870" s="151" t="s">
        <v>1327</v>
      </c>
      <c r="L870" s="152" t="s">
        <v>1327</v>
      </c>
      <c r="M870" s="152" t="s">
        <v>1327</v>
      </c>
      <c r="N870" s="152" t="s">
        <v>1327</v>
      </c>
      <c r="O870" s="152">
        <v>2.4121440000000001</v>
      </c>
      <c r="P870" s="152">
        <v>43.752966999999998</v>
      </c>
      <c r="Q870" s="152">
        <v>2.4121440000000001</v>
      </c>
      <c r="R870" s="152" t="s">
        <v>1327</v>
      </c>
      <c r="S870" s="152">
        <v>100.85727</v>
      </c>
      <c r="T870" s="152">
        <v>0.70399999999999996</v>
      </c>
      <c r="U870" s="152">
        <v>1.699994</v>
      </c>
      <c r="V870" s="152">
        <v>3.7766489999999999</v>
      </c>
      <c r="W870" s="152">
        <v>1000</v>
      </c>
      <c r="X870" s="152" t="s">
        <v>23</v>
      </c>
      <c r="Y870" s="152" t="s">
        <v>1328</v>
      </c>
      <c r="Z870" s="152" t="s">
        <v>1327</v>
      </c>
    </row>
    <row r="871" spans="1:26" x14ac:dyDescent="0.2">
      <c r="A871" s="152" t="s">
        <v>2065</v>
      </c>
      <c r="B871" s="152">
        <v>2.25</v>
      </c>
      <c r="C871" s="151">
        <v>44276</v>
      </c>
      <c r="D871" s="152">
        <v>2.4054790000000001</v>
      </c>
      <c r="E871" s="152" t="s">
        <v>1325</v>
      </c>
      <c r="F871" s="152" t="s">
        <v>1326</v>
      </c>
      <c r="G871" s="152" t="s">
        <v>667</v>
      </c>
      <c r="H871" s="152"/>
      <c r="I871" s="151">
        <v>43362</v>
      </c>
      <c r="J871" s="152">
        <v>2.2999999999999998</v>
      </c>
      <c r="K871" s="151" t="s">
        <v>1327</v>
      </c>
      <c r="L871" s="152" t="s">
        <v>1327</v>
      </c>
      <c r="M871" s="152" t="s">
        <v>1327</v>
      </c>
      <c r="N871" s="152" t="s">
        <v>1327</v>
      </c>
      <c r="O871" s="152">
        <v>2.4246989999999999</v>
      </c>
      <c r="P871" s="152">
        <v>37.599212999999999</v>
      </c>
      <c r="Q871" s="152">
        <v>2.4246989999999999</v>
      </c>
      <c r="R871" s="152" t="s">
        <v>1327</v>
      </c>
      <c r="S871" s="152">
        <v>99.602805000000004</v>
      </c>
      <c r="T871" s="152">
        <v>0.209589</v>
      </c>
      <c r="U871" s="152">
        <v>2.3194729999999999</v>
      </c>
      <c r="V871" s="152">
        <v>6.603904</v>
      </c>
      <c r="W871" s="152">
        <v>1000</v>
      </c>
      <c r="X871" s="152" t="s">
        <v>23</v>
      </c>
      <c r="Y871" s="152" t="s">
        <v>1328</v>
      </c>
      <c r="Z871" s="152" t="s">
        <v>1327</v>
      </c>
    </row>
    <row r="872" spans="1:26" x14ac:dyDescent="0.2">
      <c r="A872" s="152" t="s">
        <v>2066</v>
      </c>
      <c r="B872" s="152">
        <v>2.44</v>
      </c>
      <c r="C872" s="151">
        <v>44399</v>
      </c>
      <c r="D872" s="152">
        <v>2.7424659999999998</v>
      </c>
      <c r="E872" s="152" t="s">
        <v>1325</v>
      </c>
      <c r="F872" s="152" t="s">
        <v>1326</v>
      </c>
      <c r="G872" s="152" t="s">
        <v>667</v>
      </c>
      <c r="H872" s="152"/>
      <c r="I872" s="151">
        <v>43390</v>
      </c>
      <c r="J872" s="152">
        <v>2.5950000000000002</v>
      </c>
      <c r="K872" s="151" t="s">
        <v>1327</v>
      </c>
      <c r="L872" s="152" t="s">
        <v>1327</v>
      </c>
      <c r="M872" s="152" t="s">
        <v>1327</v>
      </c>
      <c r="N872" s="152" t="s">
        <v>1327</v>
      </c>
      <c r="O872" s="152">
        <v>2.5942120000000002</v>
      </c>
      <c r="P872" s="152">
        <v>52.297617000000002</v>
      </c>
      <c r="Q872" s="152">
        <v>2.5942120000000002</v>
      </c>
      <c r="R872" s="152" t="s">
        <v>1327</v>
      </c>
      <c r="S872" s="152">
        <v>99.582119000000006</v>
      </c>
      <c r="T872" s="152">
        <v>0.63506799999999997</v>
      </c>
      <c r="U872" s="152">
        <v>2.6206480000000001</v>
      </c>
      <c r="V872" s="152">
        <v>8.3138170000000002</v>
      </c>
      <c r="W872" s="152">
        <v>1000</v>
      </c>
      <c r="X872" s="152" t="s">
        <v>23</v>
      </c>
      <c r="Y872" s="152" t="s">
        <v>1328</v>
      </c>
      <c r="Z872" s="152" t="s">
        <v>1327</v>
      </c>
    </row>
    <row r="873" spans="1:26" x14ac:dyDescent="0.2">
      <c r="A873" s="152" t="s">
        <v>2067</v>
      </c>
      <c r="B873" s="152">
        <v>3.52</v>
      </c>
      <c r="C873" s="151">
        <v>44771</v>
      </c>
      <c r="D873" s="152">
        <v>3.761644</v>
      </c>
      <c r="E873" s="152" t="s">
        <v>1325</v>
      </c>
      <c r="F873" s="152" t="s">
        <v>1326</v>
      </c>
      <c r="G873" s="152" t="s">
        <v>667</v>
      </c>
      <c r="H873" s="152"/>
      <c r="I873" s="151">
        <v>43158</v>
      </c>
      <c r="J873" s="152">
        <v>2.25</v>
      </c>
      <c r="K873" s="151" t="s">
        <v>1327</v>
      </c>
      <c r="L873" s="152" t="s">
        <v>1327</v>
      </c>
      <c r="M873" s="152" t="s">
        <v>1327</v>
      </c>
      <c r="N873" s="152" t="s">
        <v>1327</v>
      </c>
      <c r="O873" s="152">
        <v>2.952877</v>
      </c>
      <c r="P873" s="152">
        <v>64.700104999999994</v>
      </c>
      <c r="Q873" s="152">
        <v>2.952877</v>
      </c>
      <c r="R873" s="152" t="s">
        <v>1327</v>
      </c>
      <c r="S873" s="152">
        <v>101.98814900000001</v>
      </c>
      <c r="T873" s="152">
        <v>0.84865800000000002</v>
      </c>
      <c r="U873" s="152">
        <v>3.4806560000000002</v>
      </c>
      <c r="V873" s="152">
        <v>14.3438</v>
      </c>
      <c r="W873" s="152">
        <v>1000</v>
      </c>
      <c r="X873" s="152" t="s">
        <v>23</v>
      </c>
      <c r="Y873" s="152" t="s">
        <v>1328</v>
      </c>
      <c r="Z873" s="152" t="s">
        <v>1327</v>
      </c>
    </row>
    <row r="874" spans="1:26" x14ac:dyDescent="0.2">
      <c r="A874" s="152" t="s">
        <v>2068</v>
      </c>
      <c r="B874" s="152">
        <v>3.01</v>
      </c>
      <c r="C874" s="151">
        <v>45129</v>
      </c>
      <c r="D874" s="152">
        <v>4.7424660000000003</v>
      </c>
      <c r="E874" s="152" t="s">
        <v>1325</v>
      </c>
      <c r="F874" s="152" t="s">
        <v>1326</v>
      </c>
      <c r="G874" s="152" t="s">
        <v>667</v>
      </c>
      <c r="H874" s="152"/>
      <c r="I874" s="151">
        <v>43210</v>
      </c>
      <c r="J874" s="152">
        <v>2.4900000000000002</v>
      </c>
      <c r="K874" s="151" t="s">
        <v>1327</v>
      </c>
      <c r="L874" s="152" t="s">
        <v>1327</v>
      </c>
      <c r="M874" s="152" t="s">
        <v>1327</v>
      </c>
      <c r="N874" s="152" t="s">
        <v>1327</v>
      </c>
      <c r="O874" s="152">
        <v>3.082627</v>
      </c>
      <c r="P874" s="152">
        <v>67.745391999999995</v>
      </c>
      <c r="Q874" s="152">
        <v>3.082627</v>
      </c>
      <c r="R874" s="152" t="s">
        <v>1327</v>
      </c>
      <c r="S874" s="152">
        <v>99.666501999999994</v>
      </c>
      <c r="T874" s="152">
        <v>0.78342500000000004</v>
      </c>
      <c r="U874" s="152">
        <v>4.3552949999999999</v>
      </c>
      <c r="V874" s="152">
        <v>22.011672000000001</v>
      </c>
      <c r="W874" s="152">
        <v>1000</v>
      </c>
      <c r="X874" s="152" t="s">
        <v>23</v>
      </c>
      <c r="Y874" s="152" t="s">
        <v>1328</v>
      </c>
      <c r="Z874" s="152" t="s">
        <v>1327</v>
      </c>
    </row>
    <row r="875" spans="1:26" x14ac:dyDescent="0.2">
      <c r="A875" s="152" t="s">
        <v>2069</v>
      </c>
      <c r="B875" s="152">
        <v>3.65</v>
      </c>
      <c r="C875" s="151">
        <v>45410</v>
      </c>
      <c r="D875" s="152">
        <v>5.5123290000000003</v>
      </c>
      <c r="E875" s="152" t="s">
        <v>1325</v>
      </c>
      <c r="F875" s="152" t="s">
        <v>1326</v>
      </c>
      <c r="G875" s="152" t="s">
        <v>667</v>
      </c>
      <c r="H875" s="152"/>
      <c r="I875" s="152">
        <v>43390</v>
      </c>
      <c r="J875" s="152">
        <v>3.1349999999999998</v>
      </c>
      <c r="K875" s="152" t="s">
        <v>1327</v>
      </c>
      <c r="L875" s="152" t="s">
        <v>1327</v>
      </c>
      <c r="M875" s="152" t="s">
        <v>1327</v>
      </c>
      <c r="N875" s="152" t="s">
        <v>1327</v>
      </c>
      <c r="O875" s="152">
        <v>3.163843</v>
      </c>
      <c r="P875" s="152">
        <v>69.118444999999994</v>
      </c>
      <c r="Q875" s="152">
        <v>3.163843</v>
      </c>
      <c r="R875" s="152" t="s">
        <v>1327</v>
      </c>
      <c r="S875" s="152">
        <v>102.44012499999999</v>
      </c>
      <c r="T875" s="152">
        <v>-0.03</v>
      </c>
      <c r="U875" s="152">
        <v>4.9691489999999998</v>
      </c>
      <c r="V875" s="152">
        <v>28.515445</v>
      </c>
      <c r="W875" s="152">
        <v>1000</v>
      </c>
      <c r="X875" s="152" t="s">
        <v>23</v>
      </c>
      <c r="Y875" s="152" t="s">
        <v>1328</v>
      </c>
      <c r="Z875" s="152" t="s">
        <v>1327</v>
      </c>
    </row>
    <row r="876" spans="1:26" x14ac:dyDescent="0.2">
      <c r="A876" s="152" t="s">
        <v>2070</v>
      </c>
      <c r="B876" s="152">
        <v>3.98</v>
      </c>
      <c r="C876" s="151">
        <v>45867</v>
      </c>
      <c r="D876" s="152">
        <v>6.7643839999999997</v>
      </c>
      <c r="E876" s="152" t="s">
        <v>1325</v>
      </c>
      <c r="F876" s="152" t="s">
        <v>1326</v>
      </c>
      <c r="G876" s="152" t="s">
        <v>667</v>
      </c>
      <c r="H876" s="152"/>
      <c r="I876" s="151">
        <v>43241</v>
      </c>
      <c r="J876" s="152">
        <v>3.3</v>
      </c>
      <c r="K876" s="152" t="s">
        <v>1327</v>
      </c>
      <c r="L876" s="152" t="s">
        <v>1327</v>
      </c>
      <c r="M876" s="152" t="s">
        <v>1327</v>
      </c>
      <c r="N876" s="152" t="s">
        <v>1327</v>
      </c>
      <c r="O876" s="152">
        <v>3.355343</v>
      </c>
      <c r="P876" s="152">
        <v>74.463728000000003</v>
      </c>
      <c r="Q876" s="152">
        <v>3.355343</v>
      </c>
      <c r="R876" s="152" t="s">
        <v>1327</v>
      </c>
      <c r="S876" s="152">
        <v>103.731089</v>
      </c>
      <c r="T876" s="152">
        <v>0.95956200000000003</v>
      </c>
      <c r="U876" s="152">
        <v>5.8614329999999999</v>
      </c>
      <c r="V876" s="152">
        <v>40.174619</v>
      </c>
      <c r="W876" s="152">
        <v>1000</v>
      </c>
      <c r="X876" s="152" t="s">
        <v>23</v>
      </c>
      <c r="Y876" s="152" t="s">
        <v>1328</v>
      </c>
      <c r="Z876" s="152" t="s">
        <v>1327</v>
      </c>
    </row>
    <row r="877" spans="1:26" x14ac:dyDescent="0.2">
      <c r="A877" s="152" t="s">
        <v>2071</v>
      </c>
      <c r="B877" s="152">
        <v>3.19</v>
      </c>
      <c r="C877" s="151">
        <v>46225</v>
      </c>
      <c r="D877" s="152">
        <v>7.7452050000000003</v>
      </c>
      <c r="E877" s="152" t="s">
        <v>1325</v>
      </c>
      <c r="F877" s="152" t="s">
        <v>1326</v>
      </c>
      <c r="G877" s="152" t="s">
        <v>667</v>
      </c>
      <c r="H877" s="152"/>
      <c r="I877" s="151" t="s">
        <v>1327</v>
      </c>
      <c r="J877" s="152" t="s">
        <v>1327</v>
      </c>
      <c r="K877" s="152" t="s">
        <v>1327</v>
      </c>
      <c r="L877" s="152" t="s">
        <v>1327</v>
      </c>
      <c r="M877" s="152" t="s">
        <v>1327</v>
      </c>
      <c r="N877" s="152" t="s">
        <v>1327</v>
      </c>
      <c r="O877" s="152">
        <v>3.465633</v>
      </c>
      <c r="P877" s="152">
        <v>76.594359999999995</v>
      </c>
      <c r="Q877" s="152">
        <v>3.465633</v>
      </c>
      <c r="R877" s="152" t="s">
        <v>1327</v>
      </c>
      <c r="S877" s="152">
        <v>98.125428999999997</v>
      </c>
      <c r="T877" s="152">
        <v>0.83027399999999996</v>
      </c>
      <c r="U877" s="152">
        <v>6.7401879999999998</v>
      </c>
      <c r="V877" s="152">
        <v>52.505749999999999</v>
      </c>
      <c r="W877" s="152">
        <v>1000</v>
      </c>
      <c r="X877" s="152" t="s">
        <v>23</v>
      </c>
      <c r="Y877" s="152" t="s">
        <v>1328</v>
      </c>
      <c r="Z877" s="152" t="s">
        <v>1327</v>
      </c>
    </row>
    <row r="878" spans="1:26" x14ac:dyDescent="0.2">
      <c r="A878" s="152" t="s">
        <v>2072</v>
      </c>
      <c r="B878" s="152">
        <v>4.04</v>
      </c>
      <c r="C878" s="151">
        <v>46505</v>
      </c>
      <c r="D878" s="152">
        <v>8.5123289999999994</v>
      </c>
      <c r="E878" s="152" t="s">
        <v>1325</v>
      </c>
      <c r="F878" s="152" t="s">
        <v>1326</v>
      </c>
      <c r="G878" s="152" t="s">
        <v>667</v>
      </c>
      <c r="H878" s="152"/>
      <c r="I878" s="151">
        <v>43360</v>
      </c>
      <c r="J878" s="152">
        <v>3.4</v>
      </c>
      <c r="K878" s="151" t="s">
        <v>1327</v>
      </c>
      <c r="L878" s="152" t="s">
        <v>1327</v>
      </c>
      <c r="M878" s="152" t="s">
        <v>1327</v>
      </c>
      <c r="N878" s="152" t="s">
        <v>1327</v>
      </c>
      <c r="O878" s="152">
        <v>3.447095</v>
      </c>
      <c r="P878" s="152">
        <v>68.453633999999994</v>
      </c>
      <c r="Q878" s="152">
        <v>3.447095</v>
      </c>
      <c r="R878" s="152" t="s">
        <v>1327</v>
      </c>
      <c r="S878" s="152">
        <v>104.34032000000001</v>
      </c>
      <c r="T878" s="152">
        <v>-3.3204999999999998E-2</v>
      </c>
      <c r="U878" s="152">
        <v>7.1934490000000002</v>
      </c>
      <c r="V878" s="152">
        <v>60.385089000000001</v>
      </c>
      <c r="W878" s="152">
        <v>1000</v>
      </c>
      <c r="X878" s="152" t="s">
        <v>23</v>
      </c>
      <c r="Y878" s="152" t="s">
        <v>1328</v>
      </c>
      <c r="Z878" s="152" t="s">
        <v>1327</v>
      </c>
    </row>
    <row r="879" spans="1:26" x14ac:dyDescent="0.2">
      <c r="A879" s="152" t="s">
        <v>2073</v>
      </c>
      <c r="B879" s="152">
        <v>3.58</v>
      </c>
      <c r="C879" s="151">
        <v>46651</v>
      </c>
      <c r="D879" s="152">
        <v>8.9123289999999997</v>
      </c>
      <c r="E879" s="152" t="s">
        <v>1325</v>
      </c>
      <c r="F879" s="152" t="s">
        <v>1326</v>
      </c>
      <c r="G879" s="152" t="s">
        <v>667</v>
      </c>
      <c r="H879" s="152"/>
      <c r="I879" s="152">
        <v>43346</v>
      </c>
      <c r="J879" s="152">
        <v>3.58</v>
      </c>
      <c r="K879" s="152" t="s">
        <v>1327</v>
      </c>
      <c r="L879" s="152" t="s">
        <v>1327</v>
      </c>
      <c r="M879" s="152" t="s">
        <v>1327</v>
      </c>
      <c r="N879" s="152" t="s">
        <v>1327</v>
      </c>
      <c r="O879" s="152">
        <v>3.682728</v>
      </c>
      <c r="P879" s="152">
        <v>88.561436</v>
      </c>
      <c r="Q879" s="152">
        <v>3.682728</v>
      </c>
      <c r="R879" s="152" t="s">
        <v>1327</v>
      </c>
      <c r="S879" s="152">
        <v>99.238399999999999</v>
      </c>
      <c r="T879" s="152">
        <v>0.33347900000000003</v>
      </c>
      <c r="U879" s="152">
        <v>7.5311409999999999</v>
      </c>
      <c r="V879" s="152">
        <v>66.063439000000002</v>
      </c>
      <c r="W879" s="152">
        <v>1000</v>
      </c>
      <c r="X879" s="152" t="s">
        <v>23</v>
      </c>
      <c r="Y879" s="152" t="s">
        <v>1328</v>
      </c>
      <c r="Z879" s="152" t="s">
        <v>1327</v>
      </c>
    </row>
    <row r="880" spans="1:26" x14ac:dyDescent="0.2">
      <c r="A880" s="152" t="s">
        <v>2074</v>
      </c>
      <c r="B880" s="152">
        <v>3.78</v>
      </c>
      <c r="C880" s="151">
        <v>47382</v>
      </c>
      <c r="D880" s="152">
        <v>10.915068</v>
      </c>
      <c r="E880" s="152" t="s">
        <v>1325</v>
      </c>
      <c r="F880" s="152" t="s">
        <v>1326</v>
      </c>
      <c r="G880" s="152" t="s">
        <v>667</v>
      </c>
      <c r="H880" s="152"/>
      <c r="I880" s="152">
        <v>43049</v>
      </c>
      <c r="J880" s="152">
        <v>3.61</v>
      </c>
      <c r="K880" s="152" t="s">
        <v>1327</v>
      </c>
      <c r="L880" s="152" t="s">
        <v>1327</v>
      </c>
      <c r="M880" s="152" t="s">
        <v>1327</v>
      </c>
      <c r="N880" s="152" t="s">
        <v>1327</v>
      </c>
      <c r="O880" s="152">
        <v>3.9503620000000002</v>
      </c>
      <c r="P880" s="152">
        <v>90.567819999999998</v>
      </c>
      <c r="Q880" s="152">
        <v>3.9503620000000002</v>
      </c>
      <c r="R880" s="152" t="s">
        <v>1327</v>
      </c>
      <c r="S880" s="152">
        <v>98.515279000000007</v>
      </c>
      <c r="T880" s="152">
        <v>0.35210999999999998</v>
      </c>
      <c r="U880" s="152">
        <v>8.8117839999999994</v>
      </c>
      <c r="V880" s="152">
        <v>92.092707000000004</v>
      </c>
      <c r="W880" s="152">
        <v>1000</v>
      </c>
      <c r="X880" s="152" t="s">
        <v>23</v>
      </c>
      <c r="Y880" s="152" t="s">
        <v>1328</v>
      </c>
      <c r="Z880" s="152" t="s">
        <v>1327</v>
      </c>
    </row>
    <row r="881" spans="1:26" x14ac:dyDescent="0.2">
      <c r="A881" s="152" t="s">
        <v>2075</v>
      </c>
      <c r="B881" s="152">
        <v>2.36</v>
      </c>
      <c r="C881" s="151">
        <v>43668</v>
      </c>
      <c r="D881" s="152">
        <v>0.73972599999999999</v>
      </c>
      <c r="E881" s="152" t="s">
        <v>1325</v>
      </c>
      <c r="F881" s="152" t="s">
        <v>1326</v>
      </c>
      <c r="G881" s="152" t="s">
        <v>116</v>
      </c>
      <c r="H881" s="152"/>
      <c r="I881" s="151">
        <v>43208</v>
      </c>
      <c r="J881" s="152">
        <v>1.76</v>
      </c>
      <c r="K881" s="152" t="s">
        <v>1327</v>
      </c>
      <c r="L881" s="152" t="s">
        <v>1327</v>
      </c>
      <c r="M881" s="152" t="s">
        <v>1327</v>
      </c>
      <c r="N881" s="152" t="s">
        <v>1327</v>
      </c>
      <c r="O881" s="152">
        <v>2.230378</v>
      </c>
      <c r="P881" s="152">
        <v>45.744793000000001</v>
      </c>
      <c r="Q881" s="152">
        <v>2.230378</v>
      </c>
      <c r="R881" s="152" t="s">
        <v>1327</v>
      </c>
      <c r="S881" s="152">
        <v>100.083763</v>
      </c>
      <c r="T881" s="152">
        <v>0.61424699999999999</v>
      </c>
      <c r="U881" s="152">
        <v>0.72986899999999999</v>
      </c>
      <c r="V881" s="152">
        <v>0.89643399999999995</v>
      </c>
      <c r="W881" s="152">
        <v>1000</v>
      </c>
      <c r="X881" s="152" t="s">
        <v>23</v>
      </c>
      <c r="Y881" s="152" t="s">
        <v>1328</v>
      </c>
      <c r="Z881" s="152" t="s">
        <v>1327</v>
      </c>
    </row>
    <row r="882" spans="1:26" x14ac:dyDescent="0.2">
      <c r="A882" s="152" t="s">
        <v>2076</v>
      </c>
      <c r="B882" s="152">
        <v>2.2200000000000002</v>
      </c>
      <c r="C882" s="151">
        <v>44034</v>
      </c>
      <c r="D882" s="152">
        <v>1.7424660000000001</v>
      </c>
      <c r="E882" s="152" t="s">
        <v>1325</v>
      </c>
      <c r="F882" s="152" t="s">
        <v>1326</v>
      </c>
      <c r="G882" s="152" t="s">
        <v>193</v>
      </c>
      <c r="H882" s="152"/>
      <c r="I882" s="151">
        <v>42774</v>
      </c>
      <c r="J882" s="152">
        <v>2.5499999999999998</v>
      </c>
      <c r="K882" s="152" t="s">
        <v>1327</v>
      </c>
      <c r="L882" s="152" t="s">
        <v>1327</v>
      </c>
      <c r="M882" s="152" t="s">
        <v>1327</v>
      </c>
      <c r="N882" s="152" t="s">
        <v>1327</v>
      </c>
      <c r="O882" s="152">
        <v>2.6797019999999998</v>
      </c>
      <c r="P882" s="152">
        <v>71.163786999999999</v>
      </c>
      <c r="Q882" s="152">
        <v>2.6797019999999998</v>
      </c>
      <c r="R882" s="152" t="s">
        <v>1327</v>
      </c>
      <c r="S882" s="152">
        <v>99.210909000000001</v>
      </c>
      <c r="T882" s="152">
        <v>0.57780799999999999</v>
      </c>
      <c r="U882" s="152">
        <v>1.6883509999999999</v>
      </c>
      <c r="V882" s="152">
        <v>3.7199430000000002</v>
      </c>
      <c r="W882" s="152">
        <v>1000</v>
      </c>
      <c r="X882" s="152" t="s">
        <v>23</v>
      </c>
      <c r="Y882" s="152" t="s">
        <v>1328</v>
      </c>
      <c r="Z882" s="152" t="s">
        <v>1327</v>
      </c>
    </row>
    <row r="883" spans="1:26" x14ac:dyDescent="0.2">
      <c r="A883" s="152" t="s">
        <v>630</v>
      </c>
      <c r="B883" s="152">
        <v>2.37</v>
      </c>
      <c r="C883" s="151">
        <v>44399</v>
      </c>
      <c r="D883" s="152">
        <v>2.7424659999999998</v>
      </c>
      <c r="E883" s="152" t="s">
        <v>1325</v>
      </c>
      <c r="F883" s="152" t="s">
        <v>1326</v>
      </c>
      <c r="G883" s="152" t="s">
        <v>193</v>
      </c>
      <c r="H883" s="152"/>
      <c r="I883" s="151">
        <v>42591</v>
      </c>
      <c r="J883" s="152">
        <v>2.367766</v>
      </c>
      <c r="K883" s="152" t="s">
        <v>1327</v>
      </c>
      <c r="L883" s="152" t="s">
        <v>1327</v>
      </c>
      <c r="M883" s="152" t="s">
        <v>1327</v>
      </c>
      <c r="N883" s="152" t="s">
        <v>1327</v>
      </c>
      <c r="O883" s="152">
        <v>2.714915</v>
      </c>
      <c r="P883" s="152">
        <v>64.523775000000001</v>
      </c>
      <c r="Q883" s="152">
        <v>2.714915</v>
      </c>
      <c r="R883" s="152" t="s">
        <v>1327</v>
      </c>
      <c r="S883" s="152">
        <v>99.082175000000007</v>
      </c>
      <c r="T883" s="152">
        <v>0.61684899999999998</v>
      </c>
      <c r="U883" s="152">
        <v>2.6212599999999999</v>
      </c>
      <c r="V883" s="152">
        <v>8.3128410000000006</v>
      </c>
      <c r="W883" s="152">
        <v>1000</v>
      </c>
      <c r="X883" s="152" t="s">
        <v>23</v>
      </c>
      <c r="Y883" s="152" t="s">
        <v>1328</v>
      </c>
      <c r="Z883" s="152" t="s">
        <v>1327</v>
      </c>
    </row>
    <row r="884" spans="1:26" x14ac:dyDescent="0.2">
      <c r="A884" s="152" t="s">
        <v>636</v>
      </c>
      <c r="B884" s="152">
        <v>3.84</v>
      </c>
      <c r="C884" s="151">
        <v>44728</v>
      </c>
      <c r="D884" s="152">
        <v>3.6438359999999999</v>
      </c>
      <c r="E884" s="152" t="s">
        <v>1325</v>
      </c>
      <c r="F884" s="152" t="s">
        <v>1326</v>
      </c>
      <c r="G884" s="152" t="s">
        <v>51</v>
      </c>
      <c r="H884" s="152"/>
      <c r="I884" s="151">
        <v>43168</v>
      </c>
      <c r="J884" s="152">
        <v>2.2200000000000002</v>
      </c>
      <c r="K884" s="152" t="s">
        <v>1327</v>
      </c>
      <c r="L884" s="152" t="s">
        <v>1327</v>
      </c>
      <c r="M884" s="152" t="s">
        <v>1327</v>
      </c>
      <c r="N884" s="152" t="s">
        <v>1327</v>
      </c>
      <c r="O884" s="152">
        <v>2.804046</v>
      </c>
      <c r="P884" s="152">
        <v>51.592941000000003</v>
      </c>
      <c r="Q884" s="152">
        <v>2.804046</v>
      </c>
      <c r="R884" s="152" t="s">
        <v>1327</v>
      </c>
      <c r="S884" s="152">
        <v>103.555464</v>
      </c>
      <c r="T884" s="152">
        <v>1.3781920000000001</v>
      </c>
      <c r="U884" s="152">
        <v>3.3473229999999998</v>
      </c>
      <c r="V884" s="152">
        <v>13.40367</v>
      </c>
      <c r="W884" s="152">
        <v>1000</v>
      </c>
      <c r="X884" s="152" t="s">
        <v>23</v>
      </c>
      <c r="Y884" s="152" t="s">
        <v>1328</v>
      </c>
      <c r="Z884" s="152" t="s">
        <v>1327</v>
      </c>
    </row>
    <row r="885" spans="1:26" x14ac:dyDescent="0.2">
      <c r="A885" s="152" t="s">
        <v>2077</v>
      </c>
      <c r="B885" s="152">
        <v>4.18</v>
      </c>
      <c r="C885" s="151">
        <v>45824</v>
      </c>
      <c r="D885" s="152">
        <v>6.6465750000000003</v>
      </c>
      <c r="E885" s="152" t="s">
        <v>1325</v>
      </c>
      <c r="F885" s="152" t="s">
        <v>1326</v>
      </c>
      <c r="G885" s="152" t="s">
        <v>51</v>
      </c>
      <c r="H885" s="152"/>
      <c r="I885" s="151">
        <v>43077</v>
      </c>
      <c r="J885" s="152">
        <v>2.93</v>
      </c>
      <c r="K885" s="152" t="s">
        <v>1327</v>
      </c>
      <c r="L885" s="152" t="s">
        <v>1327</v>
      </c>
      <c r="M885" s="152" t="s">
        <v>1327</v>
      </c>
      <c r="N885" s="152" t="s">
        <v>1327</v>
      </c>
      <c r="O885" s="152">
        <v>3.230979</v>
      </c>
      <c r="P885" s="152">
        <v>63.131646000000003</v>
      </c>
      <c r="Q885" s="152">
        <v>3.230979</v>
      </c>
      <c r="R885" s="152" t="s">
        <v>1327</v>
      </c>
      <c r="S885" s="152">
        <v>105.623465</v>
      </c>
      <c r="T885" s="152">
        <v>1.500219</v>
      </c>
      <c r="U885" s="152">
        <v>5.7202019999999996</v>
      </c>
      <c r="V885" s="152">
        <v>38.548414999999999</v>
      </c>
      <c r="W885" s="152">
        <v>1000</v>
      </c>
      <c r="X885" s="152" t="s">
        <v>23</v>
      </c>
      <c r="Y885" s="152" t="s">
        <v>1328</v>
      </c>
      <c r="Z885" s="152" t="s">
        <v>1327</v>
      </c>
    </row>
    <row r="886" spans="1:26" x14ac:dyDescent="0.2">
      <c r="A886" s="152" t="s">
        <v>2078</v>
      </c>
      <c r="B886" s="152">
        <v>2.0699999999999998</v>
      </c>
      <c r="C886" s="151">
        <v>43521</v>
      </c>
      <c r="D886" s="152">
        <v>0.33698600000000001</v>
      </c>
      <c r="E886" s="152" t="s">
        <v>1325</v>
      </c>
      <c r="F886" s="152" t="s">
        <v>1326</v>
      </c>
      <c r="G886" s="152"/>
      <c r="H886" s="152" t="s">
        <v>27</v>
      </c>
      <c r="I886" s="151">
        <v>43389</v>
      </c>
      <c r="J886" s="152">
        <v>1.86</v>
      </c>
      <c r="K886" s="152" t="s">
        <v>1327</v>
      </c>
      <c r="L886" s="152" t="s">
        <v>1327</v>
      </c>
      <c r="M886" s="152" t="s">
        <v>1327</v>
      </c>
      <c r="N886" s="152" t="s">
        <v>1327</v>
      </c>
      <c r="O886" s="152">
        <v>1.890042</v>
      </c>
      <c r="P886" s="152">
        <v>25.678937000000001</v>
      </c>
      <c r="Q886" s="152">
        <v>1.890042</v>
      </c>
      <c r="R886" s="152" t="s">
        <v>1327</v>
      </c>
      <c r="S886" s="152">
        <v>100.05059199999999</v>
      </c>
      <c r="T886" s="152">
        <v>0.345945</v>
      </c>
      <c r="U886" s="152">
        <v>0.33383200000000002</v>
      </c>
      <c r="V886" s="152">
        <v>0.27679700000000002</v>
      </c>
      <c r="W886" s="152">
        <v>1000</v>
      </c>
      <c r="X886" s="152" t="s">
        <v>23</v>
      </c>
      <c r="Y886" s="152" t="s">
        <v>1328</v>
      </c>
      <c r="Z886" s="152" t="s">
        <v>1327</v>
      </c>
    </row>
    <row r="887" spans="1:26" x14ac:dyDescent="0.2">
      <c r="A887" s="152" t="s">
        <v>2079</v>
      </c>
      <c r="B887" s="152">
        <v>2.14</v>
      </c>
      <c r="C887" s="151">
        <v>43723</v>
      </c>
      <c r="D887" s="152">
        <v>0.89041099999999995</v>
      </c>
      <c r="E887" s="152" t="s">
        <v>1325</v>
      </c>
      <c r="F887" s="152" t="s">
        <v>1326</v>
      </c>
      <c r="G887" s="152"/>
      <c r="H887" s="152" t="s">
        <v>27</v>
      </c>
      <c r="I887" s="151">
        <v>43262</v>
      </c>
      <c r="J887" s="152">
        <v>1.76</v>
      </c>
      <c r="K887" s="152" t="s">
        <v>1327</v>
      </c>
      <c r="L887" s="152" t="s">
        <v>1327</v>
      </c>
      <c r="M887" s="152" t="s">
        <v>1327</v>
      </c>
      <c r="N887" s="152" t="s">
        <v>1327</v>
      </c>
      <c r="O887" s="152">
        <v>2.210159</v>
      </c>
      <c r="P887" s="152">
        <v>40.557384999999996</v>
      </c>
      <c r="Q887" s="152">
        <v>2.210159</v>
      </c>
      <c r="R887" s="152" t="s">
        <v>1327</v>
      </c>
      <c r="S887" s="152">
        <v>99.946520000000007</v>
      </c>
      <c r="T887" s="152">
        <v>0.23452100000000001</v>
      </c>
      <c r="U887" s="152">
        <v>0.87137699999999996</v>
      </c>
      <c r="V887" s="152">
        <v>1.1927859999999999</v>
      </c>
      <c r="W887" s="152">
        <v>1000</v>
      </c>
      <c r="X887" s="152" t="s">
        <v>23</v>
      </c>
      <c r="Y887" s="152" t="s">
        <v>1328</v>
      </c>
      <c r="Z887" s="152" t="s">
        <v>1327</v>
      </c>
    </row>
    <row r="888" spans="1:26" x14ac:dyDescent="0.2">
      <c r="A888" s="152" t="s">
        <v>2080</v>
      </c>
      <c r="B888" s="152">
        <v>4.0999999999999996</v>
      </c>
      <c r="C888" s="151">
        <v>43902</v>
      </c>
      <c r="D888" s="152">
        <v>1.380822</v>
      </c>
      <c r="E888" s="152" t="s">
        <v>1325</v>
      </c>
      <c r="F888" s="152" t="s">
        <v>1326</v>
      </c>
      <c r="G888" s="152"/>
      <c r="H888" s="152" t="s">
        <v>27</v>
      </c>
      <c r="I888" s="151">
        <v>43327</v>
      </c>
      <c r="J888" s="152">
        <v>2.02</v>
      </c>
      <c r="K888" s="152" t="s">
        <v>1327</v>
      </c>
      <c r="L888" s="152" t="s">
        <v>1327</v>
      </c>
      <c r="M888" s="152" t="s">
        <v>1327</v>
      </c>
      <c r="N888" s="152" t="s">
        <v>1327</v>
      </c>
      <c r="O888" s="152">
        <v>2.3652389999999999</v>
      </c>
      <c r="P888" s="152">
        <v>47.973897999999998</v>
      </c>
      <c r="Q888" s="152">
        <v>2.3652389999999999</v>
      </c>
      <c r="R888" s="152" t="s">
        <v>1327</v>
      </c>
      <c r="S888" s="152">
        <v>102.353154</v>
      </c>
      <c r="T888" s="152">
        <v>0.483014</v>
      </c>
      <c r="U888" s="152">
        <v>1.3327979999999999</v>
      </c>
      <c r="V888" s="152">
        <v>2.4581780000000002</v>
      </c>
      <c r="W888" s="152">
        <v>1000</v>
      </c>
      <c r="X888" s="152" t="s">
        <v>23</v>
      </c>
      <c r="Y888" s="152" t="s">
        <v>1328</v>
      </c>
      <c r="Z888" s="152" t="s">
        <v>1327</v>
      </c>
    </row>
    <row r="889" spans="1:26" x14ac:dyDescent="0.2">
      <c r="A889" s="152" t="s">
        <v>2081</v>
      </c>
      <c r="B889" s="152">
        <v>3.08</v>
      </c>
      <c r="C889" s="151">
        <v>44104</v>
      </c>
      <c r="D889" s="152">
        <v>1.934247</v>
      </c>
      <c r="E889" s="152" t="s">
        <v>1325</v>
      </c>
      <c r="F889" s="152" t="s">
        <v>1326</v>
      </c>
      <c r="G889" s="152"/>
      <c r="H889" s="152" t="s">
        <v>27</v>
      </c>
      <c r="I889" s="151">
        <v>43185</v>
      </c>
      <c r="J889" s="152">
        <v>1.72</v>
      </c>
      <c r="K889" s="152" t="s">
        <v>1327</v>
      </c>
      <c r="L889" s="152" t="s">
        <v>1327</v>
      </c>
      <c r="M889" s="152" t="s">
        <v>1327</v>
      </c>
      <c r="N889" s="152" t="s">
        <v>1327</v>
      </c>
      <c r="O889" s="152">
        <v>2.492521</v>
      </c>
      <c r="P889" s="152">
        <v>48.079205000000002</v>
      </c>
      <c r="Q889" s="152">
        <v>2.492521</v>
      </c>
      <c r="R889" s="152" t="s">
        <v>1327</v>
      </c>
      <c r="S889" s="152">
        <v>101.110342</v>
      </c>
      <c r="T889" s="152">
        <v>0.21095900000000001</v>
      </c>
      <c r="U889" s="152">
        <v>1.859475</v>
      </c>
      <c r="V889" s="152">
        <v>4.4250660000000002</v>
      </c>
      <c r="W889" s="152">
        <v>1000</v>
      </c>
      <c r="X889" s="152" t="s">
        <v>23</v>
      </c>
      <c r="Y889" s="152" t="s">
        <v>1328</v>
      </c>
      <c r="Z889" s="152" t="s">
        <v>1327</v>
      </c>
    </row>
    <row r="890" spans="1:26" x14ac:dyDescent="0.2">
      <c r="A890" s="152" t="s">
        <v>2082</v>
      </c>
      <c r="B890" s="152">
        <v>2.5</v>
      </c>
      <c r="C890" s="151">
        <v>44126</v>
      </c>
      <c r="D890" s="152">
        <v>1.994521</v>
      </c>
      <c r="E890" s="152" t="s">
        <v>1325</v>
      </c>
      <c r="F890" s="152" t="s">
        <v>1326</v>
      </c>
      <c r="G890" s="152"/>
      <c r="H890" s="152" t="s">
        <v>27</v>
      </c>
      <c r="I890" s="152" t="s">
        <v>1327</v>
      </c>
      <c r="J890" s="152" t="s">
        <v>1327</v>
      </c>
      <c r="K890" s="152" t="s">
        <v>1327</v>
      </c>
      <c r="L890" s="152" t="s">
        <v>1327</v>
      </c>
      <c r="M890" s="152" t="s">
        <v>1327</v>
      </c>
      <c r="N890" s="152" t="s">
        <v>1327</v>
      </c>
      <c r="O890" s="152">
        <v>2.5004460000000002</v>
      </c>
      <c r="P890" s="152">
        <v>48.440461999999997</v>
      </c>
      <c r="Q890" s="152">
        <v>2.5004460000000002</v>
      </c>
      <c r="R890" s="152" t="s">
        <v>1327</v>
      </c>
      <c r="S890" s="152">
        <v>100.00241800000001</v>
      </c>
      <c r="T890" s="152">
        <v>2.0548E-2</v>
      </c>
      <c r="U890" s="152">
        <v>1.929554</v>
      </c>
      <c r="V890" s="152">
        <v>4.716653</v>
      </c>
      <c r="W890" s="152">
        <v>1000</v>
      </c>
      <c r="X890" s="152" t="s">
        <v>23</v>
      </c>
      <c r="Y890" s="152" t="s">
        <v>1328</v>
      </c>
      <c r="Z890" s="152" t="s">
        <v>1327</v>
      </c>
    </row>
    <row r="891" spans="1:26" x14ac:dyDescent="0.2">
      <c r="A891" s="152" t="s">
        <v>2083</v>
      </c>
      <c r="B891" s="152">
        <v>2.56</v>
      </c>
      <c r="C891" s="151">
        <v>44252</v>
      </c>
      <c r="D891" s="152">
        <v>2.3397260000000002</v>
      </c>
      <c r="E891" s="152" t="s">
        <v>1325</v>
      </c>
      <c r="F891" s="152" t="s">
        <v>1326</v>
      </c>
      <c r="G891" s="152"/>
      <c r="H891" s="152" t="s">
        <v>27</v>
      </c>
      <c r="I891" s="151">
        <v>43166</v>
      </c>
      <c r="J891" s="152">
        <v>1.97</v>
      </c>
      <c r="K891" s="152" t="s">
        <v>1327</v>
      </c>
      <c r="L891" s="152" t="s">
        <v>1327</v>
      </c>
      <c r="M891" s="152" t="s">
        <v>1327</v>
      </c>
      <c r="N891" s="152" t="s">
        <v>1327</v>
      </c>
      <c r="O891" s="152">
        <v>2.5294500000000002</v>
      </c>
      <c r="P891" s="152">
        <v>48.713768000000002</v>
      </c>
      <c r="Q891" s="152">
        <v>2.5294500000000002</v>
      </c>
      <c r="R891" s="152" t="s">
        <v>1327</v>
      </c>
      <c r="S891" s="152">
        <v>100.056617</v>
      </c>
      <c r="T891" s="152">
        <v>0.42783599999999999</v>
      </c>
      <c r="U891" s="152">
        <v>2.2462080000000002</v>
      </c>
      <c r="V891" s="152">
        <v>6.2423460000000004</v>
      </c>
      <c r="W891" s="152">
        <v>1000</v>
      </c>
      <c r="X891" s="152" t="s">
        <v>23</v>
      </c>
      <c r="Y891" s="152" t="s">
        <v>1328</v>
      </c>
      <c r="Z891" s="152" t="s">
        <v>1327</v>
      </c>
    </row>
    <row r="892" spans="1:26" x14ac:dyDescent="0.2">
      <c r="A892" s="152" t="s">
        <v>2084</v>
      </c>
      <c r="B892" s="152">
        <v>1.99</v>
      </c>
      <c r="C892" s="151">
        <v>44313</v>
      </c>
      <c r="D892" s="152">
        <v>2.5068489999999999</v>
      </c>
      <c r="E892" s="152" t="s">
        <v>1325</v>
      </c>
      <c r="F892" s="152" t="s">
        <v>1326</v>
      </c>
      <c r="G892" s="152"/>
      <c r="H892" s="152" t="s">
        <v>27</v>
      </c>
      <c r="I892" s="151">
        <v>43265</v>
      </c>
      <c r="J892" s="152">
        <v>2.12</v>
      </c>
      <c r="K892" s="152" t="s">
        <v>1327</v>
      </c>
      <c r="L892" s="152" t="s">
        <v>1327</v>
      </c>
      <c r="M892" s="152" t="s">
        <v>1327</v>
      </c>
      <c r="N892" s="152" t="s">
        <v>1327</v>
      </c>
      <c r="O892" s="152">
        <v>2.5438290000000001</v>
      </c>
      <c r="P892" s="152">
        <v>49.030284999999999</v>
      </c>
      <c r="Q892" s="152">
        <v>2.5438290000000001</v>
      </c>
      <c r="R892" s="152" t="s">
        <v>1327</v>
      </c>
      <c r="S892" s="152">
        <v>98.663968999999994</v>
      </c>
      <c r="T892" s="152">
        <v>-1.0904E-2</v>
      </c>
      <c r="U892" s="152">
        <v>2.425462</v>
      </c>
      <c r="V892" s="152">
        <v>7.1502210000000002</v>
      </c>
      <c r="W892" s="152">
        <v>1000</v>
      </c>
      <c r="X892" s="152" t="s">
        <v>23</v>
      </c>
      <c r="Y892" s="152" t="s">
        <v>1328</v>
      </c>
      <c r="Z892" s="152" t="s">
        <v>1327</v>
      </c>
    </row>
    <row r="893" spans="1:26" x14ac:dyDescent="0.2">
      <c r="A893" s="152" t="s">
        <v>2085</v>
      </c>
      <c r="B893" s="152">
        <v>2.2200000000000002</v>
      </c>
      <c r="C893" s="151">
        <v>44524</v>
      </c>
      <c r="D893" s="152">
        <v>3.0849319999999998</v>
      </c>
      <c r="E893" s="152" t="s">
        <v>1325</v>
      </c>
      <c r="F893" s="152" t="s">
        <v>1326</v>
      </c>
      <c r="G893" s="152"/>
      <c r="H893" s="152" t="s">
        <v>27</v>
      </c>
      <c r="I893" s="151">
        <v>43370</v>
      </c>
      <c r="J893" s="152">
        <v>2.4900000000000002</v>
      </c>
      <c r="K893" s="152" t="s">
        <v>1327</v>
      </c>
      <c r="L893" s="152" t="s">
        <v>1327</v>
      </c>
      <c r="M893" s="152" t="s">
        <v>1327</v>
      </c>
      <c r="N893" s="152" t="s">
        <v>1327</v>
      </c>
      <c r="O893" s="152">
        <v>2.6174940000000002</v>
      </c>
      <c r="P893" s="152">
        <v>48.334218999999997</v>
      </c>
      <c r="Q893" s="152">
        <v>2.6174940000000002</v>
      </c>
      <c r="R893" s="152" t="s">
        <v>1327</v>
      </c>
      <c r="S893" s="152">
        <v>98.820182000000003</v>
      </c>
      <c r="T893" s="152">
        <v>0.93665799999999999</v>
      </c>
      <c r="U893" s="152">
        <v>2.9297420000000001</v>
      </c>
      <c r="V893" s="152">
        <v>10.259131999999999</v>
      </c>
      <c r="W893" s="152">
        <v>1000</v>
      </c>
      <c r="X893" s="152" t="s">
        <v>23</v>
      </c>
      <c r="Y893" s="152" t="s">
        <v>1328</v>
      </c>
      <c r="Z893" s="152" t="s">
        <v>1327</v>
      </c>
    </row>
    <row r="894" spans="1:26" x14ac:dyDescent="0.2">
      <c r="A894" s="152" t="s">
        <v>2086</v>
      </c>
      <c r="B894" s="152">
        <v>3.02</v>
      </c>
      <c r="C894" s="151">
        <v>44650</v>
      </c>
      <c r="D894" s="152">
        <v>3.4301370000000002</v>
      </c>
      <c r="E894" s="152" t="s">
        <v>1325</v>
      </c>
      <c r="F894" s="152" t="s">
        <v>1326</v>
      </c>
      <c r="G894" s="152"/>
      <c r="H894" s="152" t="s">
        <v>27</v>
      </c>
      <c r="I894" s="151">
        <v>43350</v>
      </c>
      <c r="J894" s="152">
        <v>2.4900000000000002</v>
      </c>
      <c r="K894" s="152" t="s">
        <v>1327</v>
      </c>
      <c r="L894" s="152" t="s">
        <v>1327</v>
      </c>
      <c r="M894" s="152" t="s">
        <v>1327</v>
      </c>
      <c r="N894" s="152" t="s">
        <v>1327</v>
      </c>
      <c r="O894" s="152">
        <v>2.7380439999999999</v>
      </c>
      <c r="P894" s="152">
        <v>50.327609000000002</v>
      </c>
      <c r="Q894" s="152">
        <v>2.7380439999999999</v>
      </c>
      <c r="R894" s="152" t="s">
        <v>1327</v>
      </c>
      <c r="S894" s="152">
        <v>100.92758600000001</v>
      </c>
      <c r="T894" s="152">
        <v>0.20684900000000001</v>
      </c>
      <c r="U894" s="152">
        <v>3.2316370000000001</v>
      </c>
      <c r="V894" s="152">
        <v>12.336828000000001</v>
      </c>
      <c r="W894" s="152">
        <v>1000</v>
      </c>
      <c r="X894" s="152" t="s">
        <v>23</v>
      </c>
      <c r="Y894" s="152" t="s">
        <v>1328</v>
      </c>
      <c r="Z894" s="152" t="s">
        <v>1327</v>
      </c>
    </row>
    <row r="895" spans="1:26" x14ac:dyDescent="0.2">
      <c r="A895" s="152" t="s">
        <v>2087</v>
      </c>
      <c r="B895" s="152">
        <v>2.99</v>
      </c>
      <c r="C895" s="151">
        <v>45184</v>
      </c>
      <c r="D895" s="152">
        <v>4.8931509999999996</v>
      </c>
      <c r="E895" s="152" t="s">
        <v>1325</v>
      </c>
      <c r="F895" s="152" t="s">
        <v>1326</v>
      </c>
      <c r="G895" s="152"/>
      <c r="H895" s="152" t="s">
        <v>27</v>
      </c>
      <c r="I895" s="151">
        <v>42996</v>
      </c>
      <c r="J895" s="152">
        <v>2.72</v>
      </c>
      <c r="K895" s="152" t="s">
        <v>1327</v>
      </c>
      <c r="L895" s="152" t="s">
        <v>1327</v>
      </c>
      <c r="M895" s="152" t="s">
        <v>1327</v>
      </c>
      <c r="N895" s="152" t="s">
        <v>1327</v>
      </c>
      <c r="O895" s="152">
        <v>3.0718269999999999</v>
      </c>
      <c r="P895" s="152">
        <v>64.789197999999999</v>
      </c>
      <c r="Q895" s="152">
        <v>3.0718269999999999</v>
      </c>
      <c r="R895" s="152" t="s">
        <v>1327</v>
      </c>
      <c r="S895" s="152">
        <v>99.641634999999994</v>
      </c>
      <c r="T895" s="152">
        <v>0.32767099999999999</v>
      </c>
      <c r="U895" s="152">
        <v>4.4977460000000002</v>
      </c>
      <c r="V895" s="152">
        <v>23.338301000000001</v>
      </c>
      <c r="W895" s="152">
        <v>1000</v>
      </c>
      <c r="X895" s="152" t="s">
        <v>23</v>
      </c>
      <c r="Y895" s="152" t="s">
        <v>1328</v>
      </c>
      <c r="Z895" s="152" t="s">
        <v>1327</v>
      </c>
    </row>
    <row r="896" spans="1:26" x14ac:dyDescent="0.2">
      <c r="A896" s="152" t="s">
        <v>2088</v>
      </c>
      <c r="B896" s="152">
        <v>3.37</v>
      </c>
      <c r="C896" s="151">
        <v>45450</v>
      </c>
      <c r="D896" s="152">
        <v>5.621918</v>
      </c>
      <c r="E896" s="152" t="s">
        <v>1325</v>
      </c>
      <c r="F896" s="152" t="s">
        <v>1326</v>
      </c>
      <c r="G896" s="152"/>
      <c r="H896" s="152" t="s">
        <v>27</v>
      </c>
      <c r="I896" s="151">
        <v>43006</v>
      </c>
      <c r="J896" s="152">
        <v>2.99</v>
      </c>
      <c r="K896" s="152" t="s">
        <v>1327</v>
      </c>
      <c r="L896" s="152" t="s">
        <v>1327</v>
      </c>
      <c r="M896" s="152" t="s">
        <v>1327</v>
      </c>
      <c r="N896" s="152" t="s">
        <v>1327</v>
      </c>
      <c r="O896" s="152">
        <v>3.2806579999999999</v>
      </c>
      <c r="P896" s="152">
        <v>79.652342000000004</v>
      </c>
      <c r="Q896" s="152">
        <v>3.2806579999999999</v>
      </c>
      <c r="R896" s="152" t="s">
        <v>1327</v>
      </c>
      <c r="S896" s="152">
        <v>100.447892</v>
      </c>
      <c r="T896" s="152">
        <v>1.2926029999999999</v>
      </c>
      <c r="U896" s="152">
        <v>5.0192810000000003</v>
      </c>
      <c r="V896" s="152">
        <v>29.348773999999999</v>
      </c>
      <c r="W896" s="152">
        <v>1000</v>
      </c>
      <c r="X896" s="152" t="s">
        <v>23</v>
      </c>
      <c r="Y896" s="152" t="s">
        <v>1328</v>
      </c>
      <c r="Z896" s="152" t="s">
        <v>1327</v>
      </c>
    </row>
    <row r="897" spans="1:26" x14ac:dyDescent="0.2">
      <c r="A897" s="152" t="s">
        <v>2089</v>
      </c>
      <c r="B897" s="152">
        <v>6.5</v>
      </c>
      <c r="C897" s="151">
        <v>44059</v>
      </c>
      <c r="D897" s="152">
        <v>1.810959</v>
      </c>
      <c r="E897" s="152" t="s">
        <v>1325</v>
      </c>
      <c r="F897" s="152" t="s">
        <v>1326</v>
      </c>
      <c r="G897" s="152"/>
      <c r="H897" s="152"/>
      <c r="I897" s="151">
        <v>43314</v>
      </c>
      <c r="J897" s="152">
        <v>6.5</v>
      </c>
      <c r="K897" s="152" t="s">
        <v>1327</v>
      </c>
      <c r="L897" s="152" t="s">
        <v>1327</v>
      </c>
      <c r="M897" s="152" t="s">
        <v>1327</v>
      </c>
      <c r="N897" s="152" t="s">
        <v>1327</v>
      </c>
      <c r="O897" s="152">
        <v>6.695201</v>
      </c>
      <c r="P897" s="152">
        <v>486.73731500000002</v>
      </c>
      <c r="Q897" s="152">
        <v>6.695201</v>
      </c>
      <c r="R897" s="152" t="s">
        <v>1327</v>
      </c>
      <c r="S897" s="152">
        <v>99.653972999999993</v>
      </c>
      <c r="T897" s="152">
        <v>1.246575</v>
      </c>
      <c r="U897" s="152">
        <v>1.6735990000000001</v>
      </c>
      <c r="V897" s="152">
        <v>3.3337129999999999</v>
      </c>
      <c r="W897" s="152">
        <v>1000</v>
      </c>
      <c r="X897" s="152" t="s">
        <v>23</v>
      </c>
      <c r="Y897" s="152" t="s">
        <v>1328</v>
      </c>
      <c r="Z897" s="152" t="s">
        <v>1327</v>
      </c>
    </row>
    <row r="898" spans="1:26" x14ac:dyDescent="0.2">
      <c r="A898" s="152" t="s">
        <v>2090</v>
      </c>
      <c r="B898" s="152">
        <v>4.4000000000000004</v>
      </c>
      <c r="C898" s="151">
        <v>44109</v>
      </c>
      <c r="D898" s="152">
        <v>1.947945</v>
      </c>
      <c r="E898" s="152" t="s">
        <v>1325</v>
      </c>
      <c r="F898" s="152" t="s">
        <v>1326</v>
      </c>
      <c r="G898" s="152"/>
      <c r="H898" s="152"/>
      <c r="I898" s="151" t="s">
        <v>1327</v>
      </c>
      <c r="J898" s="152" t="s">
        <v>1327</v>
      </c>
      <c r="K898" s="152" t="s">
        <v>1327</v>
      </c>
      <c r="L898" s="152" t="s">
        <v>1327</v>
      </c>
      <c r="M898" s="152" t="s">
        <v>1327</v>
      </c>
      <c r="N898" s="152" t="s">
        <v>1327</v>
      </c>
      <c r="O898" s="152">
        <v>4.4324250000000003</v>
      </c>
      <c r="P898" s="152">
        <v>248.731583</v>
      </c>
      <c r="Q898" s="152">
        <v>4.4324250000000003</v>
      </c>
      <c r="R898" s="152" t="s">
        <v>1327</v>
      </c>
      <c r="S898" s="152">
        <v>99.929777999999999</v>
      </c>
      <c r="T898" s="152">
        <v>0.241096</v>
      </c>
      <c r="U898" s="152">
        <v>1.8521810000000001</v>
      </c>
      <c r="V898" s="152">
        <v>3.9748679999999998</v>
      </c>
      <c r="W898" s="152">
        <v>1000</v>
      </c>
      <c r="X898" s="152" t="s">
        <v>23</v>
      </c>
      <c r="Y898" s="152" t="s">
        <v>1328</v>
      </c>
      <c r="Z898" s="152" t="s">
        <v>1327</v>
      </c>
    </row>
    <row r="899" spans="1:26" x14ac:dyDescent="0.2">
      <c r="A899" s="152" t="s">
        <v>2091</v>
      </c>
      <c r="B899" s="152">
        <v>4.1500000000000004</v>
      </c>
      <c r="C899" s="151">
        <v>43560</v>
      </c>
      <c r="D899" s="152">
        <v>0.44383600000000001</v>
      </c>
      <c r="E899" s="152" t="s">
        <v>1355</v>
      </c>
      <c r="F899" s="152" t="s">
        <v>1326</v>
      </c>
      <c r="G899" s="152"/>
      <c r="H899" s="152"/>
      <c r="I899" s="151" t="s">
        <v>1327</v>
      </c>
      <c r="J899" s="152" t="s">
        <v>1327</v>
      </c>
      <c r="K899" s="152" t="s">
        <v>1327</v>
      </c>
      <c r="L899" s="152" t="s">
        <v>1327</v>
      </c>
      <c r="M899" s="152" t="s">
        <v>1327</v>
      </c>
      <c r="N899" s="152" t="s">
        <v>1327</v>
      </c>
      <c r="O899" s="152">
        <v>4.2650110000000003</v>
      </c>
      <c r="P899" s="152">
        <v>264.91529600000001</v>
      </c>
      <c r="Q899" s="152">
        <v>4.2650110000000003</v>
      </c>
      <c r="R899" s="152" t="s">
        <v>1327</v>
      </c>
      <c r="S899" s="152">
        <v>99.934383999999994</v>
      </c>
      <c r="T899" s="152">
        <v>0.22739699999999999</v>
      </c>
      <c r="U899" s="152">
        <v>0.43997999999999998</v>
      </c>
      <c r="V899" s="152">
        <v>0.30304399999999998</v>
      </c>
      <c r="W899" s="152">
        <v>500</v>
      </c>
      <c r="X899" s="152" t="s">
        <v>23</v>
      </c>
      <c r="Y899" s="152" t="s">
        <v>1328</v>
      </c>
      <c r="Z899" s="152" t="s">
        <v>1327</v>
      </c>
    </row>
    <row r="900" spans="1:26" x14ac:dyDescent="0.2">
      <c r="A900" s="152" t="s">
        <v>2092</v>
      </c>
      <c r="B900" s="152">
        <v>4.2</v>
      </c>
      <c r="C900" s="151">
        <v>43731</v>
      </c>
      <c r="D900" s="152">
        <v>0.91232899999999995</v>
      </c>
      <c r="E900" s="152" t="s">
        <v>1325</v>
      </c>
      <c r="F900" s="152" t="s">
        <v>1326</v>
      </c>
      <c r="G900" s="152"/>
      <c r="H900" s="152"/>
      <c r="I900" s="151" t="s">
        <v>1327</v>
      </c>
      <c r="J900" s="152" t="s">
        <v>1327</v>
      </c>
      <c r="K900" s="152" t="s">
        <v>1327</v>
      </c>
      <c r="L900" s="152" t="s">
        <v>1327</v>
      </c>
      <c r="M900" s="152" t="s">
        <v>1327</v>
      </c>
      <c r="N900" s="152" t="s">
        <v>1327</v>
      </c>
      <c r="O900" s="152">
        <v>4.3953410000000002</v>
      </c>
      <c r="P900" s="152">
        <v>265.84630600000003</v>
      </c>
      <c r="Q900" s="152">
        <v>4.3953410000000002</v>
      </c>
      <c r="R900" s="152" t="s">
        <v>1327</v>
      </c>
      <c r="S900" s="152">
        <v>99.827939000000001</v>
      </c>
      <c r="T900" s="152">
        <v>0.36821900000000002</v>
      </c>
      <c r="U900" s="152">
        <v>0.88640799999999997</v>
      </c>
      <c r="V900" s="152">
        <v>1.013544</v>
      </c>
      <c r="W900" s="152">
        <v>1000</v>
      </c>
      <c r="X900" s="152" t="s">
        <v>23</v>
      </c>
      <c r="Y900" s="152" t="s">
        <v>1328</v>
      </c>
      <c r="Z900" s="152" t="s">
        <v>1327</v>
      </c>
    </row>
    <row r="901" spans="1:26" x14ac:dyDescent="0.2">
      <c r="A901" s="152" t="s">
        <v>2093</v>
      </c>
      <c r="B901" s="152">
        <v>4.6500000000000004</v>
      </c>
      <c r="C901" s="151">
        <v>43926</v>
      </c>
      <c r="D901" s="152">
        <v>1.4465749999999999</v>
      </c>
      <c r="E901" s="152" t="s">
        <v>1325</v>
      </c>
      <c r="F901" s="152" t="s">
        <v>1326</v>
      </c>
      <c r="G901" s="152"/>
      <c r="H901" s="152"/>
      <c r="I901" s="151" t="s">
        <v>1327</v>
      </c>
      <c r="J901" s="152" t="s">
        <v>1327</v>
      </c>
      <c r="K901" s="152" t="s">
        <v>1327</v>
      </c>
      <c r="L901" s="152" t="s">
        <v>1327</v>
      </c>
      <c r="M901" s="152" t="s">
        <v>1327</v>
      </c>
      <c r="N901" s="152" t="s">
        <v>1327</v>
      </c>
      <c r="O901" s="152">
        <v>4.7236989999999999</v>
      </c>
      <c r="P901" s="152">
        <v>289.84796399999999</v>
      </c>
      <c r="Q901" s="152">
        <v>4.7236989999999999</v>
      </c>
      <c r="R901" s="152" t="s">
        <v>1327</v>
      </c>
      <c r="S901" s="152">
        <v>99.886796000000004</v>
      </c>
      <c r="T901" s="152">
        <v>0.25479499999999999</v>
      </c>
      <c r="U901" s="152">
        <v>1.3883989999999999</v>
      </c>
      <c r="V901" s="152">
        <v>2.3071510000000002</v>
      </c>
      <c r="W901" s="152">
        <v>1000</v>
      </c>
      <c r="X901" s="152" t="s">
        <v>23</v>
      </c>
      <c r="Y901" s="152" t="s">
        <v>1328</v>
      </c>
      <c r="Z901" s="152" t="s">
        <v>1327</v>
      </c>
    </row>
    <row r="902" spans="1:26" x14ac:dyDescent="0.2">
      <c r="A902" s="152" t="s">
        <v>2094</v>
      </c>
      <c r="B902" s="152">
        <v>4.5</v>
      </c>
      <c r="C902" s="151">
        <v>44097</v>
      </c>
      <c r="D902" s="152">
        <v>1.915068</v>
      </c>
      <c r="E902" s="152" t="s">
        <v>1325</v>
      </c>
      <c r="F902" s="152" t="s">
        <v>1326</v>
      </c>
      <c r="G902" s="152"/>
      <c r="H902" s="152"/>
      <c r="I902" s="151" t="s">
        <v>1327</v>
      </c>
      <c r="J902" s="152" t="s">
        <v>1327</v>
      </c>
      <c r="K902" s="152" t="s">
        <v>1327</v>
      </c>
      <c r="L902" s="152" t="s">
        <v>1327</v>
      </c>
      <c r="M902" s="152" t="s">
        <v>1327</v>
      </c>
      <c r="N902" s="152" t="s">
        <v>1327</v>
      </c>
      <c r="O902" s="152">
        <v>4.8427389999999999</v>
      </c>
      <c r="P902" s="152">
        <v>290.91833400000002</v>
      </c>
      <c r="Q902" s="152">
        <v>4.8427389999999999</v>
      </c>
      <c r="R902" s="152" t="s">
        <v>1327</v>
      </c>
      <c r="S902" s="152">
        <v>99.379340999999997</v>
      </c>
      <c r="T902" s="152">
        <v>0.39452100000000001</v>
      </c>
      <c r="U902" s="152">
        <v>1.813221</v>
      </c>
      <c r="V902" s="152">
        <v>3.823928</v>
      </c>
      <c r="W902" s="152">
        <v>1000</v>
      </c>
      <c r="X902" s="152" t="s">
        <v>23</v>
      </c>
      <c r="Y902" s="152" t="s">
        <v>1328</v>
      </c>
      <c r="Z902" s="152" t="s">
        <v>1327</v>
      </c>
    </row>
    <row r="903" spans="1:26" x14ac:dyDescent="0.2">
      <c r="A903" s="152" t="s">
        <v>2095</v>
      </c>
      <c r="B903" s="152">
        <v>5.0999999999999996</v>
      </c>
      <c r="C903" s="151">
        <v>44291</v>
      </c>
      <c r="D903" s="152">
        <v>2.4465750000000002</v>
      </c>
      <c r="E903" s="152" t="s">
        <v>1325</v>
      </c>
      <c r="F903" s="152" t="s">
        <v>1326</v>
      </c>
      <c r="G903" s="152"/>
      <c r="H903" s="152"/>
      <c r="I903" s="151" t="s">
        <v>1327</v>
      </c>
      <c r="J903" s="152" t="s">
        <v>1327</v>
      </c>
      <c r="K903" s="152" t="s">
        <v>1327</v>
      </c>
      <c r="L903" s="152" t="s">
        <v>1327</v>
      </c>
      <c r="M903" s="152" t="s">
        <v>1327</v>
      </c>
      <c r="N903" s="152" t="s">
        <v>1327</v>
      </c>
      <c r="O903" s="152">
        <v>5.0993639999999996</v>
      </c>
      <c r="P903" s="152">
        <v>314.02830699999998</v>
      </c>
      <c r="Q903" s="152">
        <v>5.0993639999999996</v>
      </c>
      <c r="R903" s="152" t="s">
        <v>1327</v>
      </c>
      <c r="S903" s="152">
        <v>99.989632999999998</v>
      </c>
      <c r="T903" s="152">
        <v>0.27945199999999998</v>
      </c>
      <c r="U903" s="152">
        <v>2.2812000000000001</v>
      </c>
      <c r="V903" s="152">
        <v>5.9622080000000004</v>
      </c>
      <c r="W903" s="152">
        <v>1000</v>
      </c>
      <c r="X903" s="152" t="s">
        <v>23</v>
      </c>
      <c r="Y903" s="152" t="s">
        <v>1328</v>
      </c>
      <c r="Z903" s="152" t="s">
        <v>1327</v>
      </c>
    </row>
    <row r="904" spans="1:26" x14ac:dyDescent="0.2">
      <c r="A904" s="152" t="s">
        <v>2096</v>
      </c>
      <c r="B904" s="152">
        <v>4.8</v>
      </c>
      <c r="C904" s="151">
        <v>44462</v>
      </c>
      <c r="D904" s="152">
        <v>2.9150680000000002</v>
      </c>
      <c r="E904" s="152" t="s">
        <v>1325</v>
      </c>
      <c r="F904" s="152" t="s">
        <v>1326</v>
      </c>
      <c r="G904" s="152"/>
      <c r="H904" s="152"/>
      <c r="I904" s="151" t="s">
        <v>1327</v>
      </c>
      <c r="J904" s="152" t="s">
        <v>1327</v>
      </c>
      <c r="K904" s="152" t="s">
        <v>1327</v>
      </c>
      <c r="L904" s="152" t="s">
        <v>1327</v>
      </c>
      <c r="M904" s="152" t="s">
        <v>1327</v>
      </c>
      <c r="N904" s="152" t="s">
        <v>1327</v>
      </c>
      <c r="O904" s="152">
        <v>5.1726869999999998</v>
      </c>
      <c r="P904" s="152">
        <v>315.85732899999999</v>
      </c>
      <c r="Q904" s="152">
        <v>5.1726869999999998</v>
      </c>
      <c r="R904" s="152" t="s">
        <v>1327</v>
      </c>
      <c r="S904" s="152">
        <v>99.000145000000003</v>
      </c>
      <c r="T904" s="152">
        <v>0.42082199999999997</v>
      </c>
      <c r="U904" s="152">
        <v>2.6875520000000002</v>
      </c>
      <c r="V904" s="152">
        <v>8.2092349999999996</v>
      </c>
      <c r="W904" s="152">
        <v>1000</v>
      </c>
      <c r="X904" s="152" t="s">
        <v>23</v>
      </c>
      <c r="Y904" s="152" t="s">
        <v>1328</v>
      </c>
      <c r="Z904" s="152" t="s">
        <v>1327</v>
      </c>
    </row>
    <row r="905" spans="1:26" x14ac:dyDescent="0.2">
      <c r="A905" s="152" t="s">
        <v>2097</v>
      </c>
      <c r="B905" s="152">
        <v>5</v>
      </c>
      <c r="C905" s="151">
        <v>43623</v>
      </c>
      <c r="D905" s="152">
        <v>0.61643800000000004</v>
      </c>
      <c r="E905" s="152" t="s">
        <v>1325</v>
      </c>
      <c r="F905" s="152" t="s">
        <v>1326</v>
      </c>
      <c r="G905" s="152"/>
      <c r="H905" s="152"/>
      <c r="I905" s="151" t="s">
        <v>1327</v>
      </c>
      <c r="J905" s="152" t="s">
        <v>1327</v>
      </c>
      <c r="K905" s="152" t="s">
        <v>1327</v>
      </c>
      <c r="L905" s="152" t="s">
        <v>1327</v>
      </c>
      <c r="M905" s="152" t="s">
        <v>1327</v>
      </c>
      <c r="N905" s="152" t="s">
        <v>1327</v>
      </c>
      <c r="O905" s="152">
        <v>5.1613439999999997</v>
      </c>
      <c r="P905" s="152">
        <v>351.22763200000003</v>
      </c>
      <c r="Q905" s="152">
        <v>5.1613439999999997</v>
      </c>
      <c r="R905" s="152" t="s">
        <v>1327</v>
      </c>
      <c r="S905" s="152">
        <v>99.904210000000006</v>
      </c>
      <c r="T905" s="152">
        <v>0.54794500000000002</v>
      </c>
      <c r="U905" s="152">
        <v>0.60333899999999996</v>
      </c>
      <c r="V905" s="152">
        <v>0.516262</v>
      </c>
      <c r="W905" s="152">
        <v>1000</v>
      </c>
      <c r="X905" s="152" t="s">
        <v>23</v>
      </c>
      <c r="Y905" s="152" t="s">
        <v>1328</v>
      </c>
      <c r="Z905" s="152" t="s">
        <v>1327</v>
      </c>
    </row>
    <row r="906" spans="1:26" x14ac:dyDescent="0.2">
      <c r="A906" s="152" t="s">
        <v>2098</v>
      </c>
      <c r="B906" s="152">
        <v>5.2</v>
      </c>
      <c r="C906" s="151">
        <v>43990</v>
      </c>
      <c r="D906" s="152">
        <v>1.621918</v>
      </c>
      <c r="E906" s="152" t="s">
        <v>1325</v>
      </c>
      <c r="F906" s="152" t="s">
        <v>1326</v>
      </c>
      <c r="G906" s="152"/>
      <c r="H906" s="152"/>
      <c r="I906" s="151" t="s">
        <v>1327</v>
      </c>
      <c r="J906" s="152" t="s">
        <v>1327</v>
      </c>
      <c r="K906" s="152" t="s">
        <v>1327</v>
      </c>
      <c r="L906" s="152" t="s">
        <v>1327</v>
      </c>
      <c r="M906" s="152" t="s">
        <v>1327</v>
      </c>
      <c r="N906" s="152" t="s">
        <v>1327</v>
      </c>
      <c r="O906" s="152">
        <v>5.3612650000000004</v>
      </c>
      <c r="P906" s="152">
        <v>351.43306200000001</v>
      </c>
      <c r="Q906" s="152">
        <v>5.3612650000000004</v>
      </c>
      <c r="R906" s="152" t="s">
        <v>1327</v>
      </c>
      <c r="S906" s="152">
        <v>99.752919000000006</v>
      </c>
      <c r="T906" s="152">
        <v>0.56986300000000001</v>
      </c>
      <c r="U906" s="152">
        <v>1.5372209999999999</v>
      </c>
      <c r="V906" s="152">
        <v>2.8061560000000001</v>
      </c>
      <c r="W906" s="152">
        <v>1000</v>
      </c>
      <c r="X906" s="152" t="s">
        <v>23</v>
      </c>
      <c r="Y906" s="152" t="s">
        <v>1328</v>
      </c>
      <c r="Z906" s="152" t="s">
        <v>1327</v>
      </c>
    </row>
    <row r="907" spans="1:26" x14ac:dyDescent="0.2">
      <c r="A907" s="152" t="s">
        <v>2099</v>
      </c>
      <c r="B907" s="152">
        <v>5.35</v>
      </c>
      <c r="C907" s="151">
        <v>44355</v>
      </c>
      <c r="D907" s="152">
        <v>2.621918</v>
      </c>
      <c r="E907" s="152" t="s">
        <v>1325</v>
      </c>
      <c r="F907" s="152" t="s">
        <v>1326</v>
      </c>
      <c r="G907" s="152"/>
      <c r="H907" s="152"/>
      <c r="I907" s="151" t="s">
        <v>1327</v>
      </c>
      <c r="J907" s="152" t="s">
        <v>1327</v>
      </c>
      <c r="K907" s="152" t="s">
        <v>1327</v>
      </c>
      <c r="L907" s="152" t="s">
        <v>1327</v>
      </c>
      <c r="M907" s="152" t="s">
        <v>1327</v>
      </c>
      <c r="N907" s="152" t="s">
        <v>1327</v>
      </c>
      <c r="O907" s="152">
        <v>5.4836960000000001</v>
      </c>
      <c r="P907" s="152">
        <v>352.65015299999999</v>
      </c>
      <c r="Q907" s="152">
        <v>5.4836960000000001</v>
      </c>
      <c r="R907" s="152" t="s">
        <v>1327</v>
      </c>
      <c r="S907" s="152">
        <v>99.677403999999996</v>
      </c>
      <c r="T907" s="152">
        <v>0.58630099999999996</v>
      </c>
      <c r="U907" s="152">
        <v>2.4167619999999999</v>
      </c>
      <c r="V907" s="152">
        <v>6.7031349999999996</v>
      </c>
      <c r="W907" s="152">
        <v>1000</v>
      </c>
      <c r="X907" s="152" t="s">
        <v>23</v>
      </c>
      <c r="Y907" s="152" t="s">
        <v>1328</v>
      </c>
      <c r="Z907" s="152" t="s">
        <v>1327</v>
      </c>
    </row>
    <row r="908" spans="1:26" x14ac:dyDescent="0.2">
      <c r="A908" s="152" t="s">
        <v>2100</v>
      </c>
      <c r="B908" s="152">
        <v>7.25</v>
      </c>
      <c r="C908" s="151">
        <v>43681</v>
      </c>
      <c r="D908" s="152">
        <v>0.77534199999999998</v>
      </c>
      <c r="E908" s="152" t="s">
        <v>1325</v>
      </c>
      <c r="F908" s="152" t="s">
        <v>1326</v>
      </c>
      <c r="G908" s="152"/>
      <c r="H908" s="152"/>
      <c r="I908" s="151" t="s">
        <v>1327</v>
      </c>
      <c r="J908" s="152" t="s">
        <v>1327</v>
      </c>
      <c r="K908" s="152" t="s">
        <v>1327</v>
      </c>
      <c r="L908" s="152" t="s">
        <v>1327</v>
      </c>
      <c r="M908" s="152" t="s">
        <v>1327</v>
      </c>
      <c r="N908" s="152" t="s">
        <v>1327</v>
      </c>
      <c r="O908" s="152">
        <v>7.5892200000000001</v>
      </c>
      <c r="P908" s="152">
        <v>602.99059099999999</v>
      </c>
      <c r="Q908" s="152">
        <v>7.5892200000000001</v>
      </c>
      <c r="R908" s="152" t="s">
        <v>1327</v>
      </c>
      <c r="S908" s="152">
        <v>99.748312999999996</v>
      </c>
      <c r="T908" s="152">
        <v>-0.19863</v>
      </c>
      <c r="U908" s="152">
        <v>0.74987899999999996</v>
      </c>
      <c r="V908" s="152">
        <v>0.751475</v>
      </c>
      <c r="W908" s="152">
        <v>1000</v>
      </c>
      <c r="X908" s="152" t="s">
        <v>23</v>
      </c>
      <c r="Y908" s="152" t="s">
        <v>1328</v>
      </c>
      <c r="Z908" s="152" t="s">
        <v>1327</v>
      </c>
    </row>
    <row r="909" spans="1:26" x14ac:dyDescent="0.2">
      <c r="A909" s="152" t="s">
        <v>2101</v>
      </c>
      <c r="B909" s="152">
        <v>0</v>
      </c>
      <c r="C909" s="151">
        <v>43986</v>
      </c>
      <c r="D909" s="152">
        <v>1.610959</v>
      </c>
      <c r="E909" s="152" t="s">
        <v>1325</v>
      </c>
      <c r="F909" s="152" t="s">
        <v>1326</v>
      </c>
      <c r="G909" s="152"/>
      <c r="H909" s="152"/>
      <c r="I909" s="151" t="s">
        <v>1327</v>
      </c>
      <c r="J909" s="152" t="s">
        <v>1327</v>
      </c>
      <c r="K909" s="152" t="s">
        <v>1327</v>
      </c>
      <c r="L909" s="152" t="s">
        <v>1327</v>
      </c>
      <c r="M909" s="152" t="s">
        <v>1327</v>
      </c>
      <c r="N909" s="152" t="s">
        <v>1327</v>
      </c>
      <c r="O909" s="152">
        <v>2.4919989999999999</v>
      </c>
      <c r="P909" s="152">
        <v>51.253121999999998</v>
      </c>
      <c r="Q909" s="152">
        <v>2.4919989999999999</v>
      </c>
      <c r="R909" s="152" t="s">
        <v>1327</v>
      </c>
      <c r="S909" s="152">
        <v>96.140434999999997</v>
      </c>
      <c r="T909" s="152">
        <v>0</v>
      </c>
      <c r="U909" s="152">
        <v>1.548783</v>
      </c>
      <c r="V909" s="152">
        <v>4.7974569999999996</v>
      </c>
      <c r="W909" s="152">
        <v>156550596</v>
      </c>
      <c r="X909" s="152" t="s">
        <v>23</v>
      </c>
      <c r="Y909" s="152" t="s">
        <v>1921</v>
      </c>
      <c r="Z909" s="152" t="s">
        <v>1327</v>
      </c>
    </row>
    <row r="910" spans="1:26" x14ac:dyDescent="0.2">
      <c r="A910" s="152" t="s">
        <v>2102</v>
      </c>
      <c r="B910" s="152">
        <v>4.25</v>
      </c>
      <c r="C910" s="151">
        <v>43884</v>
      </c>
      <c r="D910" s="152">
        <v>1.331507</v>
      </c>
      <c r="E910" s="152" t="s">
        <v>1325</v>
      </c>
      <c r="F910" s="152" t="s">
        <v>1326</v>
      </c>
      <c r="G910" s="152"/>
      <c r="H910" s="152"/>
      <c r="I910" s="151" t="s">
        <v>1327</v>
      </c>
      <c r="J910" s="152" t="s">
        <v>1327</v>
      </c>
      <c r="K910" s="152" t="s">
        <v>1327</v>
      </c>
      <c r="L910" s="152" t="s">
        <v>1327</v>
      </c>
      <c r="M910" s="152" t="s">
        <v>1327</v>
      </c>
      <c r="N910" s="152" t="s">
        <v>1327</v>
      </c>
      <c r="O910" s="152">
        <v>4.4807300000000003</v>
      </c>
      <c r="P910" s="152">
        <v>266.902648</v>
      </c>
      <c r="Q910" s="152">
        <v>4.4807300000000003</v>
      </c>
      <c r="R910" s="152" t="s">
        <v>1327</v>
      </c>
      <c r="S910" s="152">
        <v>99.693803000000003</v>
      </c>
      <c r="T910" s="152">
        <v>0.73356200000000005</v>
      </c>
      <c r="U910" s="152">
        <v>1.2762009999999999</v>
      </c>
      <c r="V910" s="152">
        <v>1.977808</v>
      </c>
      <c r="W910" s="152">
        <v>1000</v>
      </c>
      <c r="X910" s="152" t="s">
        <v>23</v>
      </c>
      <c r="Y910" s="152" t="s">
        <v>1328</v>
      </c>
      <c r="Z910" s="152" t="s">
        <v>1327</v>
      </c>
    </row>
    <row r="911" spans="1:26" x14ac:dyDescent="0.2">
      <c r="A911" s="152" t="s">
        <v>2103</v>
      </c>
      <c r="B911" s="152">
        <v>5.15</v>
      </c>
      <c r="C911" s="151">
        <v>44154</v>
      </c>
      <c r="D911" s="152">
        <v>2.0712329999999999</v>
      </c>
      <c r="E911" s="152" t="s">
        <v>1325</v>
      </c>
      <c r="F911" s="152" t="s">
        <v>1326</v>
      </c>
      <c r="G911" s="152"/>
      <c r="H911" s="152"/>
      <c r="I911" s="152" t="s">
        <v>1327</v>
      </c>
      <c r="J911" s="152" t="s">
        <v>1327</v>
      </c>
      <c r="K911" s="152" t="s">
        <v>1327</v>
      </c>
      <c r="L911" s="152" t="s">
        <v>1327</v>
      </c>
      <c r="M911" s="152" t="s">
        <v>1327</v>
      </c>
      <c r="N911" s="152" t="s">
        <v>1327</v>
      </c>
      <c r="O911" s="152">
        <v>4.841342</v>
      </c>
      <c r="P911" s="152">
        <v>289.311376</v>
      </c>
      <c r="Q911" s="152">
        <v>4.841342</v>
      </c>
      <c r="R911" s="152" t="s">
        <v>1327</v>
      </c>
      <c r="S911" s="152">
        <v>100.591937</v>
      </c>
      <c r="T911" s="152">
        <v>0.94534200000000002</v>
      </c>
      <c r="U911" s="152">
        <v>1.9344520000000001</v>
      </c>
      <c r="V911" s="152">
        <v>4.3622389999999998</v>
      </c>
      <c r="W911" s="152">
        <v>1000</v>
      </c>
      <c r="X911" s="152" t="s">
        <v>23</v>
      </c>
      <c r="Y911" s="152" t="s">
        <v>1328</v>
      </c>
      <c r="Z911" s="152" t="s">
        <v>1327</v>
      </c>
    </row>
    <row r="912" spans="1:26" x14ac:dyDescent="0.2">
      <c r="A912" s="152" t="s">
        <v>2104</v>
      </c>
      <c r="B912" s="152">
        <v>5.15</v>
      </c>
      <c r="C912" s="151">
        <v>44312</v>
      </c>
      <c r="D912" s="152">
        <v>2.5041099999999998</v>
      </c>
      <c r="E912" s="152" t="s">
        <v>1325</v>
      </c>
      <c r="F912" s="152" t="s">
        <v>1326</v>
      </c>
      <c r="G912" s="152"/>
      <c r="H912" s="152"/>
      <c r="I912" s="152" t="s">
        <v>1327</v>
      </c>
      <c r="J912" s="152" t="s">
        <v>1327</v>
      </c>
      <c r="K912" s="152" t="s">
        <v>1327</v>
      </c>
      <c r="L912" s="152" t="s">
        <v>1327</v>
      </c>
      <c r="M912" s="152" t="s">
        <v>1327</v>
      </c>
      <c r="N912" s="152" t="s">
        <v>1327</v>
      </c>
      <c r="O912" s="152">
        <v>4.8786969999999998</v>
      </c>
      <c r="P912" s="152">
        <v>290.249503</v>
      </c>
      <c r="Q912" s="152">
        <v>4.8786969999999998</v>
      </c>
      <c r="R912" s="152" t="s">
        <v>1327</v>
      </c>
      <c r="S912" s="152">
        <v>100.635634</v>
      </c>
      <c r="T912" s="152">
        <v>-1.4109999999999999E-2</v>
      </c>
      <c r="U912" s="152">
        <v>2.3365200000000002</v>
      </c>
      <c r="V912" s="152">
        <v>6.2327180000000002</v>
      </c>
      <c r="W912" s="152">
        <v>1000</v>
      </c>
      <c r="X912" s="152" t="s">
        <v>23</v>
      </c>
      <c r="Y912" s="152" t="s">
        <v>1328</v>
      </c>
      <c r="Z912" s="152" t="s">
        <v>1327</v>
      </c>
    </row>
    <row r="913" spans="1:26" x14ac:dyDescent="0.2">
      <c r="A913" s="152" t="s">
        <v>2105</v>
      </c>
      <c r="B913" s="152">
        <v>4.95</v>
      </c>
      <c r="C913" s="151">
        <v>44504</v>
      </c>
      <c r="D913" s="152">
        <v>3.0301369999999999</v>
      </c>
      <c r="E913" s="152" t="s">
        <v>1325</v>
      </c>
      <c r="F913" s="152" t="s">
        <v>1326</v>
      </c>
      <c r="G913" s="152"/>
      <c r="H913" s="152"/>
      <c r="I913" s="152" t="s">
        <v>1327</v>
      </c>
      <c r="J913" s="152" t="s">
        <v>1327</v>
      </c>
      <c r="K913" s="152" t="s">
        <v>1327</v>
      </c>
      <c r="L913" s="152" t="s">
        <v>1327</v>
      </c>
      <c r="M913" s="152" t="s">
        <v>1327</v>
      </c>
      <c r="N913" s="152" t="s">
        <v>1327</v>
      </c>
      <c r="O913" s="152">
        <v>4.9478140000000002</v>
      </c>
      <c r="P913" s="152">
        <v>290.52304900000001</v>
      </c>
      <c r="Q913" s="152">
        <v>4.9478140000000002</v>
      </c>
      <c r="R913" s="152" t="s">
        <v>1327</v>
      </c>
      <c r="S913" s="152">
        <v>100.00703300000001</v>
      </c>
      <c r="T913" s="152">
        <v>-0.13561599999999999</v>
      </c>
      <c r="U913" s="152">
        <v>2.799086</v>
      </c>
      <c r="V913" s="152">
        <v>8.855874</v>
      </c>
      <c r="W913" s="152">
        <v>1000</v>
      </c>
      <c r="X913" s="152" t="s">
        <v>23</v>
      </c>
      <c r="Y913" s="152" t="s">
        <v>1328</v>
      </c>
      <c r="Z913" s="152" t="s">
        <v>1327</v>
      </c>
    </row>
    <row r="914" spans="1:26" x14ac:dyDescent="0.2">
      <c r="A914" s="152" t="s">
        <v>2106</v>
      </c>
      <c r="B914" s="152">
        <v>4.75</v>
      </c>
      <c r="C914" s="151">
        <v>44587</v>
      </c>
      <c r="D914" s="152">
        <v>3.2575340000000002</v>
      </c>
      <c r="E914" s="152" t="s">
        <v>1325</v>
      </c>
      <c r="F914" s="152" t="s">
        <v>1326</v>
      </c>
      <c r="G914" s="152"/>
      <c r="H914" s="152"/>
      <c r="I914" s="152" t="s">
        <v>1327</v>
      </c>
      <c r="J914" s="152" t="s">
        <v>1327</v>
      </c>
      <c r="K914" s="152" t="s">
        <v>1327</v>
      </c>
      <c r="L914" s="152" t="s">
        <v>1327</v>
      </c>
      <c r="M914" s="152" t="s">
        <v>1327</v>
      </c>
      <c r="N914" s="152" t="s">
        <v>1327</v>
      </c>
      <c r="O914" s="152">
        <v>4.9505020000000002</v>
      </c>
      <c r="P914" s="152">
        <v>284.54868599999998</v>
      </c>
      <c r="Q914" s="152">
        <v>4.9505020000000002</v>
      </c>
      <c r="R914" s="152" t="s">
        <v>1327</v>
      </c>
      <c r="S914" s="152">
        <v>99.401110000000003</v>
      </c>
      <c r="T914" s="152">
        <v>-1.3014E-2</v>
      </c>
      <c r="U914" s="152">
        <v>2.9955630000000002</v>
      </c>
      <c r="V914" s="152">
        <v>10.118862</v>
      </c>
      <c r="W914" s="152">
        <v>1000</v>
      </c>
      <c r="X914" s="152" t="s">
        <v>23</v>
      </c>
      <c r="Y914" s="152" t="s">
        <v>1328</v>
      </c>
      <c r="Z914" s="152" t="s">
        <v>1327</v>
      </c>
    </row>
    <row r="915" spans="1:26" x14ac:dyDescent="0.2">
      <c r="A915" s="152" t="s">
        <v>2107</v>
      </c>
      <c r="B915" s="152">
        <v>4.8</v>
      </c>
      <c r="C915" s="151">
        <v>44846</v>
      </c>
      <c r="D915" s="152">
        <v>3.967123</v>
      </c>
      <c r="E915" s="152" t="s">
        <v>1325</v>
      </c>
      <c r="F915" s="152" t="s">
        <v>1326</v>
      </c>
      <c r="G915" s="152"/>
      <c r="H915" s="152"/>
      <c r="I915" s="152" t="s">
        <v>1327</v>
      </c>
      <c r="J915" s="152" t="s">
        <v>1327</v>
      </c>
      <c r="K915" s="152" t="s">
        <v>1327</v>
      </c>
      <c r="L915" s="152" t="s">
        <v>1327</v>
      </c>
      <c r="M915" s="152" t="s">
        <v>1327</v>
      </c>
      <c r="N915" s="152" t="s">
        <v>1327</v>
      </c>
      <c r="O915" s="152">
        <v>5.1973779999999996</v>
      </c>
      <c r="P915" s="152">
        <v>295.61896300000001</v>
      </c>
      <c r="Q915" s="152">
        <v>5.1973779999999996</v>
      </c>
      <c r="R915" s="152" t="s">
        <v>1327</v>
      </c>
      <c r="S915" s="152">
        <v>98.573182000000003</v>
      </c>
      <c r="T915" s="152">
        <v>0.170959</v>
      </c>
      <c r="U915" s="152">
        <v>3.5801020000000001</v>
      </c>
      <c r="V915" s="152">
        <v>14.457571</v>
      </c>
      <c r="W915" s="152">
        <v>1000</v>
      </c>
      <c r="X915" s="152" t="s">
        <v>23</v>
      </c>
      <c r="Y915" s="152" t="s">
        <v>1328</v>
      </c>
      <c r="Z915" s="152" t="s">
        <v>1327</v>
      </c>
    </row>
    <row r="916" spans="1:26" x14ac:dyDescent="0.2">
      <c r="A916" s="152" t="s">
        <v>2108</v>
      </c>
      <c r="B916" s="152">
        <v>5.25</v>
      </c>
      <c r="C916" s="151">
        <v>44938</v>
      </c>
      <c r="D916" s="152">
        <v>4.2191780000000003</v>
      </c>
      <c r="E916" s="152" t="s">
        <v>1325</v>
      </c>
      <c r="F916" s="152" t="s">
        <v>1326</v>
      </c>
      <c r="G916" s="152"/>
      <c r="H916" s="152"/>
      <c r="I916" s="152" t="s">
        <v>1327</v>
      </c>
      <c r="J916" s="152" t="s">
        <v>1327</v>
      </c>
      <c r="K916" s="152" t="s">
        <v>1327</v>
      </c>
      <c r="L916" s="152" t="s">
        <v>1327</v>
      </c>
      <c r="M916" s="152" t="s">
        <v>1327</v>
      </c>
      <c r="N916" s="152" t="s">
        <v>1327</v>
      </c>
      <c r="O916" s="152">
        <v>5.2469450000000002</v>
      </c>
      <c r="P916" s="152">
        <v>298.79737699999998</v>
      </c>
      <c r="Q916" s="152">
        <v>5.2469450000000002</v>
      </c>
      <c r="R916" s="152" t="s">
        <v>1327</v>
      </c>
      <c r="S916" s="152">
        <v>99.999708999999996</v>
      </c>
      <c r="T916" s="152">
        <v>0.18698600000000001</v>
      </c>
      <c r="U916" s="152">
        <v>3.7540360000000002</v>
      </c>
      <c r="V916" s="152">
        <v>15.979177999999999</v>
      </c>
      <c r="W916" s="152">
        <v>1000</v>
      </c>
      <c r="X916" s="152" t="s">
        <v>23</v>
      </c>
      <c r="Y916" s="152" t="s">
        <v>1328</v>
      </c>
      <c r="Z916" s="152" t="s">
        <v>1327</v>
      </c>
    </row>
    <row r="917" spans="1:26" x14ac:dyDescent="0.2">
      <c r="A917" s="152" t="s">
        <v>2109</v>
      </c>
      <c r="B917" s="152">
        <v>6.5</v>
      </c>
      <c r="C917" s="151">
        <v>43743</v>
      </c>
      <c r="D917" s="152">
        <v>0.94520499999999996</v>
      </c>
      <c r="E917" s="152" t="s">
        <v>1325</v>
      </c>
      <c r="F917" s="152" t="s">
        <v>1326</v>
      </c>
      <c r="G917" s="152"/>
      <c r="H917" s="152"/>
      <c r="I917" s="152">
        <v>43397</v>
      </c>
      <c r="J917" s="152">
        <v>6.5</v>
      </c>
      <c r="K917" s="152" t="s">
        <v>1327</v>
      </c>
      <c r="L917" s="152" t="s">
        <v>1327</v>
      </c>
      <c r="M917" s="152" t="s">
        <v>1327</v>
      </c>
      <c r="N917" s="152" t="s">
        <v>1327</v>
      </c>
      <c r="O917" s="152">
        <v>6.5</v>
      </c>
      <c r="P917" s="152">
        <v>486.76236799999998</v>
      </c>
      <c r="Q917" s="152">
        <v>6.5</v>
      </c>
      <c r="R917" s="152" t="s">
        <v>1327</v>
      </c>
      <c r="S917" s="152">
        <v>99.984468000000007</v>
      </c>
      <c r="T917" s="152">
        <v>0.35616399999999998</v>
      </c>
      <c r="U917" s="152">
        <v>0.90876199999999996</v>
      </c>
      <c r="V917" s="152">
        <v>1.062316</v>
      </c>
      <c r="W917" s="152">
        <v>1000</v>
      </c>
      <c r="X917" s="152" t="s">
        <v>23</v>
      </c>
      <c r="Y917" s="152" t="s">
        <v>1328</v>
      </c>
      <c r="Z917" s="152" t="s">
        <v>1327</v>
      </c>
    </row>
    <row r="918" spans="1:26" x14ac:dyDescent="0.2">
      <c r="A918" s="152" t="s">
        <v>2110</v>
      </c>
      <c r="B918" s="152">
        <v>2.19</v>
      </c>
      <c r="C918" s="151">
        <v>44262</v>
      </c>
      <c r="D918" s="152">
        <v>2.3671229999999999</v>
      </c>
      <c r="E918" s="152" t="s">
        <v>1325</v>
      </c>
      <c r="F918" s="152" t="s">
        <v>1326</v>
      </c>
      <c r="G918" s="152" t="s">
        <v>41</v>
      </c>
      <c r="H918" s="152"/>
      <c r="I918" s="152">
        <v>43353</v>
      </c>
      <c r="J918" s="152">
        <v>2.2949999999999999</v>
      </c>
      <c r="K918" s="152" t="s">
        <v>1327</v>
      </c>
      <c r="L918" s="152" t="s">
        <v>1327</v>
      </c>
      <c r="M918" s="152" t="s">
        <v>1327</v>
      </c>
      <c r="N918" s="152" t="s">
        <v>1327</v>
      </c>
      <c r="O918" s="152">
        <v>2.3915310000000001</v>
      </c>
      <c r="P918" s="152">
        <v>34.503117000000003</v>
      </c>
      <c r="Q918" s="152">
        <v>2.3915310000000001</v>
      </c>
      <c r="R918" s="152" t="s">
        <v>1327</v>
      </c>
      <c r="S918" s="152">
        <v>99.547111000000001</v>
      </c>
      <c r="T918" s="152">
        <v>0.28799999999999998</v>
      </c>
      <c r="U918" s="152">
        <v>2.2833510000000001</v>
      </c>
      <c r="V918" s="152">
        <v>6.4180700000000002</v>
      </c>
      <c r="W918" s="152">
        <v>1000</v>
      </c>
      <c r="X918" s="152" t="s">
        <v>23</v>
      </c>
      <c r="Y918" s="152" t="s">
        <v>1328</v>
      </c>
      <c r="Z918" s="152" t="s">
        <v>1327</v>
      </c>
    </row>
    <row r="919" spans="1:26" x14ac:dyDescent="0.2">
      <c r="A919" s="152" t="s">
        <v>2111</v>
      </c>
      <c r="B919" s="152">
        <v>3.02</v>
      </c>
      <c r="C919" s="151">
        <v>44790</v>
      </c>
      <c r="D919" s="152">
        <v>3.8136990000000002</v>
      </c>
      <c r="E919" s="152" t="s">
        <v>1325</v>
      </c>
      <c r="F919" s="152" t="s">
        <v>1326</v>
      </c>
      <c r="G919" s="152" t="s">
        <v>41</v>
      </c>
      <c r="H919" s="152"/>
      <c r="I919" s="152">
        <v>43335</v>
      </c>
      <c r="J919" s="152">
        <v>2.99</v>
      </c>
      <c r="K919" s="152" t="s">
        <v>1327</v>
      </c>
      <c r="L919" s="152" t="s">
        <v>1327</v>
      </c>
      <c r="M919" s="152" t="s">
        <v>1327</v>
      </c>
      <c r="N919" s="152" t="s">
        <v>1327</v>
      </c>
      <c r="O919" s="152">
        <v>2.9495049999999998</v>
      </c>
      <c r="P919" s="152">
        <v>63.460681000000001</v>
      </c>
      <c r="Q919" s="152">
        <v>2.9495049999999998</v>
      </c>
      <c r="R919" s="152" t="s">
        <v>1327</v>
      </c>
      <c r="S919" s="152">
        <v>100.237623</v>
      </c>
      <c r="T919" s="152">
        <v>0.57090399999999997</v>
      </c>
      <c r="U919" s="152">
        <v>3.5607090000000001</v>
      </c>
      <c r="V919" s="152">
        <v>14.887893</v>
      </c>
      <c r="W919" s="152">
        <v>1000</v>
      </c>
      <c r="X919" s="152" t="s">
        <v>23</v>
      </c>
      <c r="Y919" s="152" t="s">
        <v>1328</v>
      </c>
      <c r="Z919" s="152" t="s">
        <v>1327</v>
      </c>
    </row>
    <row r="920" spans="1:26" x14ac:dyDescent="0.2">
      <c r="A920" s="152" t="s">
        <v>2112</v>
      </c>
      <c r="B920" s="152">
        <v>2.5499999999999998</v>
      </c>
      <c r="C920" s="151">
        <v>44992</v>
      </c>
      <c r="D920" s="152">
        <v>4.3671230000000003</v>
      </c>
      <c r="E920" s="152" t="s">
        <v>1325</v>
      </c>
      <c r="F920" s="152" t="s">
        <v>1326</v>
      </c>
      <c r="G920" s="152" t="s">
        <v>41</v>
      </c>
      <c r="H920" s="152"/>
      <c r="I920" s="152">
        <v>43384</v>
      </c>
      <c r="J920" s="152">
        <v>3.0150000000000001</v>
      </c>
      <c r="K920" s="152" t="s">
        <v>1327</v>
      </c>
      <c r="L920" s="152" t="s">
        <v>1327</v>
      </c>
      <c r="M920" s="152" t="s">
        <v>1327</v>
      </c>
      <c r="N920" s="152" t="s">
        <v>1327</v>
      </c>
      <c r="O920" s="152">
        <v>3.011784</v>
      </c>
      <c r="P920" s="152">
        <v>64.235850999999997</v>
      </c>
      <c r="Q920" s="152">
        <v>3.011784</v>
      </c>
      <c r="R920" s="152" t="s">
        <v>1327</v>
      </c>
      <c r="S920" s="152">
        <v>98.133216000000004</v>
      </c>
      <c r="T920" s="152">
        <v>0.33534199999999997</v>
      </c>
      <c r="U920" s="152">
        <v>4.0802009999999997</v>
      </c>
      <c r="V920" s="152">
        <v>19.228462</v>
      </c>
      <c r="W920" s="152">
        <v>1000</v>
      </c>
      <c r="X920" s="152" t="s">
        <v>23</v>
      </c>
      <c r="Y920" s="152" t="s">
        <v>1328</v>
      </c>
      <c r="Z920" s="152" t="s">
        <v>1327</v>
      </c>
    </row>
    <row r="921" spans="1:26" x14ac:dyDescent="0.2">
      <c r="A921" s="152" t="s">
        <v>2113</v>
      </c>
      <c r="B921" s="152">
        <v>2.94</v>
      </c>
      <c r="C921" s="151">
        <v>45647</v>
      </c>
      <c r="D921" s="152">
        <v>6.1616439999999999</v>
      </c>
      <c r="E921" s="152" t="s">
        <v>1325</v>
      </c>
      <c r="F921" s="152" t="s">
        <v>1326</v>
      </c>
      <c r="G921" s="152" t="s">
        <v>41</v>
      </c>
      <c r="H921" s="152"/>
      <c r="I921" s="152">
        <v>43139</v>
      </c>
      <c r="J921" s="152">
        <v>2.92</v>
      </c>
      <c r="K921" s="152" t="s">
        <v>1327</v>
      </c>
      <c r="L921" s="152" t="s">
        <v>1327</v>
      </c>
      <c r="M921" s="152" t="s">
        <v>1327</v>
      </c>
      <c r="N921" s="152" t="s">
        <v>1327</v>
      </c>
      <c r="O921" s="152">
        <v>3.304227</v>
      </c>
      <c r="P921" s="152">
        <v>75.285269</v>
      </c>
      <c r="Q921" s="152">
        <v>3.304227</v>
      </c>
      <c r="R921" s="152" t="s">
        <v>1327</v>
      </c>
      <c r="S921" s="152">
        <v>97.979446999999993</v>
      </c>
      <c r="T921" s="152">
        <v>1.014904</v>
      </c>
      <c r="U921" s="152">
        <v>5.5217520000000002</v>
      </c>
      <c r="V921" s="152">
        <v>35.146850000000001</v>
      </c>
      <c r="W921" s="152">
        <v>1000</v>
      </c>
      <c r="X921" s="152" t="s">
        <v>23</v>
      </c>
      <c r="Y921" s="152" t="s">
        <v>1328</v>
      </c>
      <c r="Z921" s="152" t="s">
        <v>1327</v>
      </c>
    </row>
    <row r="922" spans="1:26" x14ac:dyDescent="0.2">
      <c r="A922" s="152" t="s">
        <v>2114</v>
      </c>
      <c r="B922" s="152">
        <v>3.54</v>
      </c>
      <c r="C922" s="151">
        <v>46819</v>
      </c>
      <c r="D922" s="152">
        <v>9.3726029999999998</v>
      </c>
      <c r="E922" s="152" t="s">
        <v>1325</v>
      </c>
      <c r="F922" s="152" t="s">
        <v>1326</v>
      </c>
      <c r="G922" s="152" t="s">
        <v>41</v>
      </c>
      <c r="H922" s="152"/>
      <c r="I922" s="152">
        <v>43256</v>
      </c>
      <c r="J922" s="152">
        <v>3.65</v>
      </c>
      <c r="K922" s="152" t="s">
        <v>1327</v>
      </c>
      <c r="L922" s="152" t="s">
        <v>1327</v>
      </c>
      <c r="M922" s="152" t="s">
        <v>1327</v>
      </c>
      <c r="N922" s="152" t="s">
        <v>1327</v>
      </c>
      <c r="O922" s="152">
        <v>3.6767059999999998</v>
      </c>
      <c r="P922" s="152">
        <v>88.221945000000005</v>
      </c>
      <c r="Q922" s="152">
        <v>3.6767059999999998</v>
      </c>
      <c r="R922" s="152" t="s">
        <v>1327</v>
      </c>
      <c r="S922" s="152">
        <v>98.936573999999993</v>
      </c>
      <c r="T922" s="152">
        <v>0.465534</v>
      </c>
      <c r="U922" s="152">
        <v>7.8606639999999999</v>
      </c>
      <c r="V922" s="152">
        <v>72.170271999999997</v>
      </c>
      <c r="W922" s="152">
        <v>1000</v>
      </c>
      <c r="X922" s="152" t="s">
        <v>23</v>
      </c>
      <c r="Y922" s="152" t="s">
        <v>1328</v>
      </c>
      <c r="Z922" s="152" t="s">
        <v>1327</v>
      </c>
    </row>
    <row r="923" spans="1:26" x14ac:dyDescent="0.2">
      <c r="A923" s="152" t="s">
        <v>2115</v>
      </c>
      <c r="B923" s="152">
        <v>3.88</v>
      </c>
      <c r="C923" s="151">
        <v>46982</v>
      </c>
      <c r="D923" s="152">
        <v>9.8191780000000008</v>
      </c>
      <c r="E923" s="152" t="s">
        <v>1325</v>
      </c>
      <c r="F923" s="152" t="s">
        <v>1326</v>
      </c>
      <c r="G923" s="152" t="s">
        <v>41</v>
      </c>
      <c r="H923" s="152"/>
      <c r="I923" s="152" t="s">
        <v>1327</v>
      </c>
      <c r="J923" s="152" t="s">
        <v>1327</v>
      </c>
      <c r="K923" s="152" t="s">
        <v>1327</v>
      </c>
      <c r="L923" s="152" t="s">
        <v>1327</v>
      </c>
      <c r="M923" s="152" t="s">
        <v>1327</v>
      </c>
      <c r="N923" s="152" t="s">
        <v>1327</v>
      </c>
      <c r="O923" s="152">
        <v>3.9748269999999999</v>
      </c>
      <c r="P923" s="152">
        <v>120.42863699999999</v>
      </c>
      <c r="Q923" s="152">
        <v>3.9748269999999999</v>
      </c>
      <c r="R923" s="152" t="s">
        <v>1327</v>
      </c>
      <c r="S923" s="152">
        <v>99.215146000000004</v>
      </c>
      <c r="T923" s="152">
        <v>0.73347899999999999</v>
      </c>
      <c r="U923" s="152">
        <v>8.0305970000000002</v>
      </c>
      <c r="V923" s="152">
        <v>76.357564999999994</v>
      </c>
      <c r="W923" s="152">
        <v>1000</v>
      </c>
      <c r="X923" s="152" t="s">
        <v>23</v>
      </c>
      <c r="Y923" s="152" t="s">
        <v>1328</v>
      </c>
      <c r="Z923" s="152" t="s">
        <v>1327</v>
      </c>
    </row>
    <row r="924" spans="1:26" x14ac:dyDescent="0.2">
      <c r="A924" s="152" t="s">
        <v>2116</v>
      </c>
      <c r="B924" s="152">
        <v>5.25</v>
      </c>
      <c r="C924" s="151">
        <v>43562</v>
      </c>
      <c r="D924" s="152">
        <v>0.44931500000000002</v>
      </c>
      <c r="E924" s="152" t="s">
        <v>1325</v>
      </c>
      <c r="F924" s="152" t="s">
        <v>1326</v>
      </c>
      <c r="G924" s="152"/>
      <c r="H924" s="152"/>
      <c r="I924" s="152" t="s">
        <v>1327</v>
      </c>
      <c r="J924" s="152" t="s">
        <v>1327</v>
      </c>
      <c r="K924" s="152" t="s">
        <v>1327</v>
      </c>
      <c r="L924" s="152" t="s">
        <v>1327</v>
      </c>
      <c r="M924" s="152" t="s">
        <v>1327</v>
      </c>
      <c r="N924" s="152" t="s">
        <v>1327</v>
      </c>
      <c r="O924" s="152">
        <v>5.2323740000000001</v>
      </c>
      <c r="P924" s="152">
        <v>365.62059299999999</v>
      </c>
      <c r="Q924" s="152">
        <v>5.2323740000000001</v>
      </c>
      <c r="R924" s="152" t="s">
        <v>1327</v>
      </c>
      <c r="S924" s="152">
        <v>99.995742000000007</v>
      </c>
      <c r="T924" s="152">
        <v>0.25890400000000002</v>
      </c>
      <c r="U924" s="152">
        <v>0.44369700000000001</v>
      </c>
      <c r="V924" s="152">
        <v>0.30713800000000002</v>
      </c>
      <c r="W924" s="152">
        <v>1000</v>
      </c>
      <c r="X924" s="152" t="s">
        <v>23</v>
      </c>
      <c r="Y924" s="152" t="s">
        <v>1328</v>
      </c>
      <c r="Z924" s="152" t="s">
        <v>1327</v>
      </c>
    </row>
    <row r="925" spans="1:26" x14ac:dyDescent="0.2">
      <c r="A925" s="152" t="s">
        <v>2117</v>
      </c>
      <c r="B925" s="152">
        <v>6</v>
      </c>
      <c r="C925" s="151">
        <v>43702</v>
      </c>
      <c r="D925" s="152">
        <v>0.83287699999999998</v>
      </c>
      <c r="E925" s="152" t="s">
        <v>1325</v>
      </c>
      <c r="F925" s="152" t="s">
        <v>1326</v>
      </c>
      <c r="G925" s="152"/>
      <c r="H925" s="152"/>
      <c r="I925" s="152">
        <v>43003</v>
      </c>
      <c r="J925" s="152">
        <v>5.57</v>
      </c>
      <c r="K925" s="152" t="s">
        <v>1327</v>
      </c>
      <c r="L925" s="152" t="s">
        <v>1327</v>
      </c>
      <c r="M925" s="152" t="s">
        <v>1327</v>
      </c>
      <c r="N925" s="152" t="s">
        <v>1327</v>
      </c>
      <c r="O925" s="152">
        <v>5.7182789999999999</v>
      </c>
      <c r="P925" s="152">
        <v>405.44860499999999</v>
      </c>
      <c r="Q925" s="152">
        <v>5.7182789999999999</v>
      </c>
      <c r="R925" s="152" t="s">
        <v>1327</v>
      </c>
      <c r="S925" s="152">
        <v>100.213384</v>
      </c>
      <c r="T925" s="152">
        <v>1.00274</v>
      </c>
      <c r="U925" s="152">
        <v>0.80155699999999996</v>
      </c>
      <c r="V925" s="152">
        <v>0.85206000000000004</v>
      </c>
      <c r="W925" s="152">
        <v>1000</v>
      </c>
      <c r="X925" s="152" t="s">
        <v>23</v>
      </c>
      <c r="Y925" s="152" t="s">
        <v>1328</v>
      </c>
      <c r="Z925" s="152" t="s">
        <v>1327</v>
      </c>
    </row>
    <row r="926" spans="1:26" x14ac:dyDescent="0.2">
      <c r="A926" s="152" t="s">
        <v>2118</v>
      </c>
      <c r="B926" s="152">
        <v>6</v>
      </c>
      <c r="C926" s="151">
        <v>43875</v>
      </c>
      <c r="D926" s="152">
        <v>1.3068489999999999</v>
      </c>
      <c r="E926" s="152" t="s">
        <v>1325</v>
      </c>
      <c r="F926" s="152" t="s">
        <v>1326</v>
      </c>
      <c r="G926" s="152"/>
      <c r="H926" s="152"/>
      <c r="I926" s="152" t="s">
        <v>1327</v>
      </c>
      <c r="J926" s="152" t="s">
        <v>1327</v>
      </c>
      <c r="K926" s="152" t="s">
        <v>1327</v>
      </c>
      <c r="L926" s="152" t="s">
        <v>1327</v>
      </c>
      <c r="M926" s="152" t="s">
        <v>1327</v>
      </c>
      <c r="N926" s="152" t="s">
        <v>1327</v>
      </c>
      <c r="O926" s="152">
        <v>6.5122730000000004</v>
      </c>
      <c r="P926" s="152">
        <v>480.02319</v>
      </c>
      <c r="Q926" s="152">
        <v>6.5122730000000004</v>
      </c>
      <c r="R926" s="152" t="s">
        <v>1327</v>
      </c>
      <c r="S926" s="152">
        <v>99.348738999999995</v>
      </c>
      <c r="T926" s="152">
        <v>1.1671229999999999</v>
      </c>
      <c r="U926" s="152">
        <v>1.2322599999999999</v>
      </c>
      <c r="V926" s="152">
        <v>1.8674109999999999</v>
      </c>
      <c r="W926" s="152">
        <v>1000</v>
      </c>
      <c r="X926" s="152" t="s">
        <v>23</v>
      </c>
      <c r="Y926" s="152" t="s">
        <v>1328</v>
      </c>
      <c r="Z926" s="152" t="s">
        <v>1327</v>
      </c>
    </row>
    <row r="927" spans="1:26" x14ac:dyDescent="0.2">
      <c r="A927" s="152" t="s">
        <v>2119</v>
      </c>
      <c r="B927" s="152">
        <v>6.25</v>
      </c>
      <c r="C927" s="151">
        <v>43997</v>
      </c>
      <c r="D927" s="152">
        <v>1.6410960000000001</v>
      </c>
      <c r="E927" s="152" t="s">
        <v>1325</v>
      </c>
      <c r="F927" s="152" t="s">
        <v>1326</v>
      </c>
      <c r="G927" s="152"/>
      <c r="H927" s="152"/>
      <c r="I927" s="152" t="s">
        <v>1327</v>
      </c>
      <c r="J927" s="152" t="s">
        <v>1327</v>
      </c>
      <c r="K927" s="152" t="s">
        <v>1327</v>
      </c>
      <c r="L927" s="152" t="s">
        <v>1327</v>
      </c>
      <c r="M927" s="152" t="s">
        <v>1327</v>
      </c>
      <c r="N927" s="152" t="s">
        <v>1327</v>
      </c>
      <c r="O927" s="152">
        <v>6.4906379999999997</v>
      </c>
      <c r="P927" s="152">
        <v>468.344629</v>
      </c>
      <c r="Q927" s="152">
        <v>6.4906379999999997</v>
      </c>
      <c r="R927" s="152" t="s">
        <v>1327</v>
      </c>
      <c r="S927" s="152">
        <v>99.629721000000004</v>
      </c>
      <c r="T927" s="152">
        <v>0.68493199999999999</v>
      </c>
      <c r="U927" s="152">
        <v>1.5358849999999999</v>
      </c>
      <c r="V927" s="152">
        <v>2.8142170000000002</v>
      </c>
      <c r="W927" s="152">
        <v>1000</v>
      </c>
      <c r="X927" s="152" t="s">
        <v>23</v>
      </c>
      <c r="Y927" s="152" t="s">
        <v>1328</v>
      </c>
      <c r="Z927" s="152" t="s">
        <v>1327</v>
      </c>
    </row>
    <row r="928" spans="1:26" x14ac:dyDescent="0.2">
      <c r="A928" s="152" t="s">
        <v>2120</v>
      </c>
      <c r="B928" s="152">
        <v>5.18</v>
      </c>
      <c r="C928" s="151">
        <v>44161</v>
      </c>
      <c r="D928" s="152">
        <v>2.090411</v>
      </c>
      <c r="E928" s="152" t="s">
        <v>1325</v>
      </c>
      <c r="F928" s="152" t="s">
        <v>1326</v>
      </c>
      <c r="G928" s="152"/>
      <c r="H928" s="152"/>
      <c r="I928" s="151">
        <v>42335</v>
      </c>
      <c r="J928" s="152">
        <v>5.15</v>
      </c>
      <c r="K928" s="152" t="s">
        <v>1327</v>
      </c>
      <c r="L928" s="152" t="s">
        <v>1327</v>
      </c>
      <c r="M928" s="152" t="s">
        <v>1327</v>
      </c>
      <c r="N928" s="152" t="s">
        <v>1327</v>
      </c>
      <c r="O928" s="152">
        <v>5.7064349999999999</v>
      </c>
      <c r="P928" s="152">
        <v>379.009502</v>
      </c>
      <c r="Q928" s="152">
        <v>5.7064349999999999</v>
      </c>
      <c r="R928" s="152" t="s">
        <v>1327</v>
      </c>
      <c r="S928" s="152">
        <v>98.958078999999998</v>
      </c>
      <c r="T928" s="152">
        <v>0.85150700000000001</v>
      </c>
      <c r="U928" s="152">
        <v>1.9474290000000001</v>
      </c>
      <c r="V928" s="152">
        <v>4.4165580000000002</v>
      </c>
      <c r="W928" s="152">
        <v>1000</v>
      </c>
      <c r="X928" s="152" t="s">
        <v>23</v>
      </c>
      <c r="Y928" s="152" t="s">
        <v>1328</v>
      </c>
      <c r="Z928" s="152" t="s">
        <v>1327</v>
      </c>
    </row>
    <row r="929" spans="1:26" x14ac:dyDescent="0.2">
      <c r="A929" s="152" t="s">
        <v>632</v>
      </c>
      <c r="B929" s="152">
        <v>2</v>
      </c>
      <c r="C929" s="151">
        <v>43692</v>
      </c>
      <c r="D929" s="152">
        <v>0.80547899999999995</v>
      </c>
      <c r="E929" s="152" t="s">
        <v>1325</v>
      </c>
      <c r="F929" s="152" t="s">
        <v>1326</v>
      </c>
      <c r="G929" s="152"/>
      <c r="H929" s="152"/>
      <c r="I929" s="151">
        <v>43154</v>
      </c>
      <c r="J929" s="152">
        <v>1.69</v>
      </c>
      <c r="K929" s="152" t="s">
        <v>1327</v>
      </c>
      <c r="L929" s="152" t="s">
        <v>1327</v>
      </c>
      <c r="M929" s="152" t="s">
        <v>1327</v>
      </c>
      <c r="N929" s="152" t="s">
        <v>1327</v>
      </c>
      <c r="O929" s="152">
        <v>2.1122510000000001</v>
      </c>
      <c r="P929" s="152">
        <v>33.184072</v>
      </c>
      <c r="Q929" s="152">
        <v>2.1122510000000001</v>
      </c>
      <c r="R929" s="152" t="s">
        <v>1327</v>
      </c>
      <c r="S929" s="152">
        <v>99.900907000000004</v>
      </c>
      <c r="T929" s="152">
        <v>0.38904100000000003</v>
      </c>
      <c r="U929" s="152">
        <v>0.79622700000000002</v>
      </c>
      <c r="V929" s="152">
        <v>1.0303310000000001</v>
      </c>
      <c r="W929" s="152">
        <v>1000</v>
      </c>
      <c r="X929" s="152" t="s">
        <v>23</v>
      </c>
      <c r="Y929" s="152" t="s">
        <v>1328</v>
      </c>
      <c r="Z929" s="152" t="s">
        <v>1327</v>
      </c>
    </row>
    <row r="930" spans="1:26" x14ac:dyDescent="0.2">
      <c r="A930" s="152" t="s">
        <v>2121</v>
      </c>
      <c r="B930" s="152">
        <v>2.8</v>
      </c>
      <c r="C930" s="151">
        <v>43460</v>
      </c>
      <c r="D930" s="152">
        <v>0.16986299999999999</v>
      </c>
      <c r="E930" s="152" t="s">
        <v>1325</v>
      </c>
      <c r="F930" s="152" t="s">
        <v>1326</v>
      </c>
      <c r="G930" s="152"/>
      <c r="H930" s="152"/>
      <c r="I930" s="151" t="s">
        <v>1327</v>
      </c>
      <c r="J930" s="152" t="s">
        <v>1327</v>
      </c>
      <c r="K930" s="152" t="s">
        <v>1327</v>
      </c>
      <c r="L930" s="152" t="s">
        <v>1327</v>
      </c>
      <c r="M930" s="152" t="s">
        <v>1327</v>
      </c>
      <c r="N930" s="152" t="s">
        <v>1327</v>
      </c>
      <c r="O930" s="152">
        <v>2.7870010000000001</v>
      </c>
      <c r="P930" s="152">
        <v>140.001521</v>
      </c>
      <c r="Q930" s="152">
        <v>2.7870010000000001</v>
      </c>
      <c r="R930" s="152" t="s">
        <v>1327</v>
      </c>
      <c r="S930" s="152">
        <v>99.990341999999998</v>
      </c>
      <c r="T930" s="152">
        <v>2.5161639999999998</v>
      </c>
      <c r="U930" s="152">
        <v>0.16906299999999999</v>
      </c>
      <c r="V930" s="152">
        <v>5.7164E-2</v>
      </c>
      <c r="W930" s="152">
        <v>1000</v>
      </c>
      <c r="X930" s="152" t="s">
        <v>23</v>
      </c>
      <c r="Y930" s="152" t="s">
        <v>1328</v>
      </c>
      <c r="Z930" s="152" t="s">
        <v>1327</v>
      </c>
    </row>
    <row r="931" spans="1:26" x14ac:dyDescent="0.2">
      <c r="A931" s="152" t="s">
        <v>2122</v>
      </c>
      <c r="B931" s="152">
        <v>3</v>
      </c>
      <c r="C931" s="151">
        <v>43480</v>
      </c>
      <c r="D931" s="152">
        <v>0.224658</v>
      </c>
      <c r="E931" s="152" t="s">
        <v>1325</v>
      </c>
      <c r="F931" s="152" t="s">
        <v>1326</v>
      </c>
      <c r="G931" s="152"/>
      <c r="H931" s="152"/>
      <c r="I931" s="151" t="s">
        <v>1327</v>
      </c>
      <c r="J931" s="152" t="s">
        <v>1327</v>
      </c>
      <c r="K931" s="152" t="s">
        <v>1327</v>
      </c>
      <c r="L931" s="152" t="s">
        <v>1327</v>
      </c>
      <c r="M931" s="152" t="s">
        <v>1327</v>
      </c>
      <c r="N931" s="152" t="s">
        <v>1327</v>
      </c>
      <c r="O931" s="152">
        <v>2.9285670000000001</v>
      </c>
      <c r="P931" s="152">
        <v>145.47226599999999</v>
      </c>
      <c r="Q931" s="152">
        <v>2.9285670000000001</v>
      </c>
      <c r="R931" s="152" t="s">
        <v>1327</v>
      </c>
      <c r="S931" s="152">
        <v>99.999073999999993</v>
      </c>
      <c r="T931" s="152">
        <v>2.5808219999999999</v>
      </c>
      <c r="U931" s="152">
        <v>0.223189</v>
      </c>
      <c r="V931" s="152">
        <v>9.9626999999999993E-2</v>
      </c>
      <c r="W931" s="152">
        <v>1000</v>
      </c>
      <c r="X931" s="152" t="s">
        <v>23</v>
      </c>
      <c r="Y931" s="152" t="s">
        <v>1328</v>
      </c>
      <c r="Z931" s="152" t="s">
        <v>1327</v>
      </c>
    </row>
    <row r="932" spans="1:26" x14ac:dyDescent="0.2">
      <c r="A932" s="152" t="s">
        <v>2123</v>
      </c>
      <c r="B932" s="152">
        <v>2.8</v>
      </c>
      <c r="C932" s="151">
        <v>43494</v>
      </c>
      <c r="D932" s="152">
        <v>0.26301400000000003</v>
      </c>
      <c r="E932" s="152" t="s">
        <v>1325</v>
      </c>
      <c r="F932" s="152" t="s">
        <v>1326</v>
      </c>
      <c r="G932" s="152"/>
      <c r="H932" s="152"/>
      <c r="I932" s="151" t="s">
        <v>1327</v>
      </c>
      <c r="J932" s="152" t="s">
        <v>1327</v>
      </c>
      <c r="K932" s="152" t="s">
        <v>1327</v>
      </c>
      <c r="L932" s="152" t="s">
        <v>1327</v>
      </c>
      <c r="M932" s="152" t="s">
        <v>1327</v>
      </c>
      <c r="N932" s="152" t="s">
        <v>1327</v>
      </c>
      <c r="O932" s="152">
        <v>2.979975</v>
      </c>
      <c r="P932" s="152">
        <v>145.22354200000001</v>
      </c>
      <c r="Q932" s="152">
        <v>2.979975</v>
      </c>
      <c r="R932" s="152" t="s">
        <v>1327</v>
      </c>
      <c r="S932" s="152">
        <v>99.935135000000002</v>
      </c>
      <c r="T932" s="152">
        <v>2.3013699999999999</v>
      </c>
      <c r="U932" s="152">
        <v>0.26096799999999998</v>
      </c>
      <c r="V932" s="152">
        <v>0.136209</v>
      </c>
      <c r="W932" s="152">
        <v>1000</v>
      </c>
      <c r="X932" s="152" t="s">
        <v>23</v>
      </c>
      <c r="Y932" s="152" t="s">
        <v>1328</v>
      </c>
      <c r="Z932" s="152" t="s">
        <v>1327</v>
      </c>
    </row>
    <row r="933" spans="1:26" x14ac:dyDescent="0.2">
      <c r="A933" s="152" t="s">
        <v>2124</v>
      </c>
      <c r="B933" s="152">
        <v>2.84</v>
      </c>
      <c r="C933" s="151">
        <v>43737</v>
      </c>
      <c r="D933" s="152">
        <v>0.92876700000000001</v>
      </c>
      <c r="E933" s="152" t="s">
        <v>1325</v>
      </c>
      <c r="F933" s="152" t="s">
        <v>1326</v>
      </c>
      <c r="G933" s="152" t="s">
        <v>1279</v>
      </c>
      <c r="H933" s="152"/>
      <c r="I933" s="152" t="s">
        <v>1327</v>
      </c>
      <c r="J933" s="152" t="s">
        <v>1327</v>
      </c>
      <c r="K933" s="152" t="s">
        <v>1327</v>
      </c>
      <c r="L933" s="152" t="s">
        <v>1327</v>
      </c>
      <c r="M933" s="152" t="s">
        <v>1327</v>
      </c>
      <c r="N933" s="152" t="s">
        <v>1327</v>
      </c>
      <c r="O933" s="152">
        <v>4.8034910000000002</v>
      </c>
      <c r="P933" s="152">
        <v>303.08993099999998</v>
      </c>
      <c r="Q933" s="152">
        <v>4.8034910000000002</v>
      </c>
      <c r="R933" s="152" t="s">
        <v>1327</v>
      </c>
      <c r="S933" s="152">
        <v>98.254226000000003</v>
      </c>
      <c r="T933" s="152">
        <v>0.20230100000000001</v>
      </c>
      <c r="U933" s="152">
        <v>0.896069</v>
      </c>
      <c r="V933" s="152">
        <v>1.2437879999999999</v>
      </c>
      <c r="W933" s="152">
        <v>1000</v>
      </c>
      <c r="X933" s="152" t="s">
        <v>23</v>
      </c>
      <c r="Y933" s="152" t="s">
        <v>1328</v>
      </c>
      <c r="Z933" s="152" t="s">
        <v>1327</v>
      </c>
    </row>
    <row r="934" spans="1:26" x14ac:dyDescent="0.2">
      <c r="A934" s="152" t="s">
        <v>2125</v>
      </c>
      <c r="B934" s="152">
        <v>4.8</v>
      </c>
      <c r="C934" s="151">
        <v>44081</v>
      </c>
      <c r="D934" s="152">
        <v>1.8712329999999999</v>
      </c>
      <c r="E934" s="152" t="s">
        <v>1325</v>
      </c>
      <c r="F934" s="152" t="s">
        <v>1326</v>
      </c>
      <c r="G934" s="152"/>
      <c r="H934" s="152"/>
      <c r="I934" s="151" t="s">
        <v>1327</v>
      </c>
      <c r="J934" s="152" t="s">
        <v>1327</v>
      </c>
      <c r="K934" s="152" t="s">
        <v>1327</v>
      </c>
      <c r="L934" s="152" t="s">
        <v>1327</v>
      </c>
      <c r="M934" s="152" t="s">
        <v>1327</v>
      </c>
      <c r="N934" s="152" t="s">
        <v>1327</v>
      </c>
      <c r="O934" s="152">
        <v>5.1644930000000002</v>
      </c>
      <c r="P934" s="152">
        <v>320.44067899999999</v>
      </c>
      <c r="Q934" s="152">
        <v>5.1644930000000002</v>
      </c>
      <c r="R934" s="152" t="s">
        <v>1327</v>
      </c>
      <c r="S934" s="152">
        <v>99.373665000000003</v>
      </c>
      <c r="T934" s="152">
        <v>0.63123300000000004</v>
      </c>
      <c r="U934" s="152">
        <v>1.749709</v>
      </c>
      <c r="V934" s="152">
        <v>3.9872339999999999</v>
      </c>
      <c r="W934" s="152">
        <v>1000</v>
      </c>
      <c r="X934" s="152" t="s">
        <v>23</v>
      </c>
      <c r="Y934" s="152" t="s">
        <v>1328</v>
      </c>
      <c r="Z934" s="152" t="s">
        <v>1327</v>
      </c>
    </row>
    <row r="935" spans="1:26" x14ac:dyDescent="0.2">
      <c r="A935" s="152" t="s">
        <v>2126</v>
      </c>
      <c r="B935" s="152">
        <v>5.0999999999999996</v>
      </c>
      <c r="C935" s="151">
        <v>44161</v>
      </c>
      <c r="D935" s="152">
        <v>2.090411</v>
      </c>
      <c r="E935" s="152" t="s">
        <v>1325</v>
      </c>
      <c r="F935" s="152" t="s">
        <v>1326</v>
      </c>
      <c r="G935" s="152"/>
      <c r="H935" s="152"/>
      <c r="I935" s="152">
        <v>42335</v>
      </c>
      <c r="J935" s="152">
        <v>5.07</v>
      </c>
      <c r="K935" s="152" t="s">
        <v>1327</v>
      </c>
      <c r="L935" s="152" t="s">
        <v>1327</v>
      </c>
      <c r="M935" s="152" t="s">
        <v>1327</v>
      </c>
      <c r="N935" s="152" t="s">
        <v>1327</v>
      </c>
      <c r="O935" s="152">
        <v>5.1785119999999996</v>
      </c>
      <c r="P935" s="152">
        <v>324.08862699999997</v>
      </c>
      <c r="Q935" s="152">
        <v>5.1785119999999996</v>
      </c>
      <c r="R935" s="152" t="s">
        <v>1327</v>
      </c>
      <c r="S935" s="152">
        <v>99.833239000000006</v>
      </c>
      <c r="T935" s="152">
        <v>0.83835599999999999</v>
      </c>
      <c r="U935" s="152">
        <v>1.952245</v>
      </c>
      <c r="V935" s="152">
        <v>4.4346779999999999</v>
      </c>
      <c r="W935" s="152">
        <v>1000</v>
      </c>
      <c r="X935" s="152" t="s">
        <v>23</v>
      </c>
      <c r="Y935" s="152" t="s">
        <v>1328</v>
      </c>
      <c r="Z935" s="152" t="s">
        <v>1327</v>
      </c>
    </row>
    <row r="936" spans="1:26" x14ac:dyDescent="0.2">
      <c r="A936" s="152" t="s">
        <v>2127</v>
      </c>
      <c r="B936" s="152">
        <v>4.8</v>
      </c>
      <c r="C936" s="151">
        <v>44144</v>
      </c>
      <c r="D936" s="152">
        <v>2.0438360000000002</v>
      </c>
      <c r="E936" s="152" t="s">
        <v>1325</v>
      </c>
      <c r="F936" s="152" t="s">
        <v>1326</v>
      </c>
      <c r="G936" s="152"/>
      <c r="H936" s="152"/>
      <c r="I936" s="152" t="s">
        <v>1327</v>
      </c>
      <c r="J936" s="152" t="s">
        <v>1327</v>
      </c>
      <c r="K936" s="152" t="s">
        <v>1327</v>
      </c>
      <c r="L936" s="152" t="s">
        <v>1327</v>
      </c>
      <c r="M936" s="152" t="s">
        <v>1327</v>
      </c>
      <c r="N936" s="152" t="s">
        <v>1327</v>
      </c>
      <c r="O936" s="152">
        <v>5.2097020000000001</v>
      </c>
      <c r="P936" s="152">
        <v>324.23527200000001</v>
      </c>
      <c r="Q936" s="152">
        <v>5.2097020000000001</v>
      </c>
      <c r="R936" s="152" t="s">
        <v>1327</v>
      </c>
      <c r="S936" s="152">
        <v>99.194254999999998</v>
      </c>
      <c r="T936" s="152">
        <v>2.2224659999999998</v>
      </c>
      <c r="U936" s="152">
        <v>1.877086</v>
      </c>
      <c r="V936" s="152">
        <v>4.5909930000000001</v>
      </c>
      <c r="W936" s="152">
        <v>1000</v>
      </c>
      <c r="X936" s="152" t="s">
        <v>23</v>
      </c>
      <c r="Y936" s="152" t="s">
        <v>1328</v>
      </c>
      <c r="Z936" s="152" t="s">
        <v>1327</v>
      </c>
    </row>
    <row r="937" spans="1:26" x14ac:dyDescent="0.2">
      <c r="A937" s="152" t="s">
        <v>2128</v>
      </c>
      <c r="B937" s="152">
        <v>4.99</v>
      </c>
      <c r="C937" s="151">
        <v>44325</v>
      </c>
      <c r="D937" s="152">
        <v>2.5397259999999999</v>
      </c>
      <c r="E937" s="152" t="s">
        <v>1325</v>
      </c>
      <c r="F937" s="152" t="s">
        <v>1326</v>
      </c>
      <c r="G937" s="152"/>
      <c r="H937" s="152"/>
      <c r="I937" s="151" t="s">
        <v>1327</v>
      </c>
      <c r="J937" s="152" t="s">
        <v>1327</v>
      </c>
      <c r="K937" s="152" t="s">
        <v>1327</v>
      </c>
      <c r="L937" s="152" t="s">
        <v>1327</v>
      </c>
      <c r="M937" s="152" t="s">
        <v>1327</v>
      </c>
      <c r="N937" s="152" t="s">
        <v>1327</v>
      </c>
      <c r="O937" s="152">
        <v>5.2740320000000001</v>
      </c>
      <c r="P937" s="152">
        <v>331.58541100000002</v>
      </c>
      <c r="Q937" s="152">
        <v>5.2740320000000001</v>
      </c>
      <c r="R937" s="152" t="s">
        <v>1327</v>
      </c>
      <c r="S937" s="152">
        <v>99.317271000000005</v>
      </c>
      <c r="T937" s="152">
        <v>1.0526850000000001</v>
      </c>
      <c r="U937" s="152">
        <v>2.3461180000000001</v>
      </c>
      <c r="V937" s="152">
        <v>6.3397170000000003</v>
      </c>
      <c r="W937" s="152">
        <v>1000</v>
      </c>
      <c r="X937" s="152" t="s">
        <v>23</v>
      </c>
      <c r="Y937" s="152" t="s">
        <v>1328</v>
      </c>
      <c r="Z937" s="152" t="s">
        <v>1327</v>
      </c>
    </row>
    <row r="938" spans="1:26" x14ac:dyDescent="0.2">
      <c r="A938" s="152" t="s">
        <v>2129</v>
      </c>
      <c r="B938" s="152">
        <v>5</v>
      </c>
      <c r="C938" s="151">
        <v>44677</v>
      </c>
      <c r="D938" s="152">
        <v>3.5041099999999998</v>
      </c>
      <c r="E938" s="152" t="s">
        <v>1325</v>
      </c>
      <c r="F938" s="152" t="s">
        <v>1326</v>
      </c>
      <c r="G938" s="152"/>
      <c r="H938" s="152"/>
      <c r="I938" s="151" t="s">
        <v>1327</v>
      </c>
      <c r="J938" s="152" t="s">
        <v>1327</v>
      </c>
      <c r="K938" s="152" t="s">
        <v>1327</v>
      </c>
      <c r="L938" s="152" t="s">
        <v>1327</v>
      </c>
      <c r="M938" s="152" t="s">
        <v>1327</v>
      </c>
      <c r="N938" s="152" t="s">
        <v>1327</v>
      </c>
      <c r="O938" s="152">
        <v>5.4724199999999996</v>
      </c>
      <c r="P938" s="152">
        <v>331.77918799999998</v>
      </c>
      <c r="Q938" s="152">
        <v>5.4724199999999996</v>
      </c>
      <c r="R938" s="152" t="s">
        <v>1327</v>
      </c>
      <c r="S938" s="152">
        <v>98.503527000000005</v>
      </c>
      <c r="T938" s="152">
        <v>-1.3698999999999999E-2</v>
      </c>
      <c r="U938" s="152">
        <v>3.1891319999999999</v>
      </c>
      <c r="V938" s="152">
        <v>11.486129999999999</v>
      </c>
      <c r="W938" s="152">
        <v>1000</v>
      </c>
      <c r="X938" s="152" t="s">
        <v>23</v>
      </c>
      <c r="Y938" s="152" t="s">
        <v>1328</v>
      </c>
      <c r="Z938" s="152" t="s">
        <v>1327</v>
      </c>
    </row>
    <row r="939" spans="1:26" x14ac:dyDescent="0.2">
      <c r="A939" s="152" t="s">
        <v>2130</v>
      </c>
      <c r="B939" s="152">
        <v>2.44</v>
      </c>
      <c r="C939" s="151">
        <v>44389</v>
      </c>
      <c r="D939" s="152">
        <v>2.715068</v>
      </c>
      <c r="E939" s="152" t="s">
        <v>1325</v>
      </c>
      <c r="F939" s="152" t="s">
        <v>1326</v>
      </c>
      <c r="G939" s="152"/>
      <c r="H939" s="152"/>
      <c r="I939" s="152" t="s">
        <v>1327</v>
      </c>
      <c r="J939" s="152" t="s">
        <v>1327</v>
      </c>
      <c r="K939" s="152" t="s">
        <v>1327</v>
      </c>
      <c r="L939" s="152" t="s">
        <v>1327</v>
      </c>
      <c r="M939" s="152" t="s">
        <v>1327</v>
      </c>
      <c r="N939" s="152" t="s">
        <v>1327</v>
      </c>
      <c r="O939" s="152">
        <v>2.6975449999999999</v>
      </c>
      <c r="P939" s="152">
        <v>64.005015999999998</v>
      </c>
      <c r="Q939" s="152">
        <v>2.6975449999999999</v>
      </c>
      <c r="R939" s="152" t="s">
        <v>1327</v>
      </c>
      <c r="S939" s="152">
        <v>99.322344000000001</v>
      </c>
      <c r="T939" s="152">
        <v>8.6903999999999995E-2</v>
      </c>
      <c r="U939" s="152">
        <v>2.6165720000000001</v>
      </c>
      <c r="V939" s="152">
        <v>7.6323189999999999</v>
      </c>
      <c r="W939" s="152">
        <v>1000</v>
      </c>
      <c r="X939" s="152" t="s">
        <v>23</v>
      </c>
      <c r="Y939" s="152" t="s">
        <v>1328</v>
      </c>
      <c r="Z939" s="152" t="s">
        <v>1327</v>
      </c>
    </row>
    <row r="940" spans="1:26" x14ac:dyDescent="0.2">
      <c r="A940" s="152" t="s">
        <v>2131</v>
      </c>
      <c r="B940" s="152">
        <v>4.2</v>
      </c>
      <c r="C940" s="151">
        <v>43419</v>
      </c>
      <c r="D940" s="152">
        <v>5.7534000000000002E-2</v>
      </c>
      <c r="E940" s="152" t="s">
        <v>1325</v>
      </c>
      <c r="F940" s="152" t="s">
        <v>1326</v>
      </c>
      <c r="G940" s="152" t="s">
        <v>41</v>
      </c>
      <c r="H940" s="152"/>
      <c r="I940" s="152">
        <v>43364</v>
      </c>
      <c r="J940" s="152">
        <v>1.38</v>
      </c>
      <c r="K940" s="152">
        <v>42368</v>
      </c>
      <c r="L940" s="152">
        <v>2.2549999999999999</v>
      </c>
      <c r="M940" s="152">
        <v>3.1065879999999999</v>
      </c>
      <c r="N940" s="152">
        <v>2.25</v>
      </c>
      <c r="O940" s="152">
        <v>1.371902</v>
      </c>
      <c r="P940" s="152">
        <v>15.955401</v>
      </c>
      <c r="Q940" s="152">
        <v>1.371902</v>
      </c>
      <c r="R940" s="152" t="s">
        <v>1327</v>
      </c>
      <c r="S940" s="152">
        <v>100.144102</v>
      </c>
      <c r="T940" s="152">
        <v>1.8756159999999999</v>
      </c>
      <c r="U940" s="152">
        <v>5.7141999999999998E-2</v>
      </c>
      <c r="V940" s="152">
        <v>3.1642000000000003E-2</v>
      </c>
      <c r="W940" s="152">
        <v>1000</v>
      </c>
      <c r="X940" s="152" t="s">
        <v>23</v>
      </c>
      <c r="Y940" s="152" t="s">
        <v>1328</v>
      </c>
      <c r="Z940" s="152" t="s">
        <v>1327</v>
      </c>
    </row>
    <row r="941" spans="1:26" x14ac:dyDescent="0.2">
      <c r="A941" s="152" t="s">
        <v>2132</v>
      </c>
      <c r="B941" s="152">
        <v>4.72</v>
      </c>
      <c r="C941" s="151">
        <v>43563</v>
      </c>
      <c r="D941" s="152">
        <v>0.45205499999999998</v>
      </c>
      <c r="E941" s="152" t="s">
        <v>1325</v>
      </c>
      <c r="F941" s="152" t="s">
        <v>1326</v>
      </c>
      <c r="G941" s="152" t="s">
        <v>41</v>
      </c>
      <c r="H941" s="152"/>
      <c r="I941" s="152">
        <v>43315</v>
      </c>
      <c r="J941" s="152">
        <v>1.7050000000000001</v>
      </c>
      <c r="K941" s="152">
        <v>42368</v>
      </c>
      <c r="L941" s="152">
        <v>2.35</v>
      </c>
      <c r="M941" s="152">
        <v>3.2429519999999998</v>
      </c>
      <c r="N941" s="152">
        <v>2.35</v>
      </c>
      <c r="O941" s="152">
        <v>1.8946130000000001</v>
      </c>
      <c r="P941" s="152">
        <v>17.943732000000001</v>
      </c>
      <c r="Q941" s="152">
        <v>1.8946130000000001</v>
      </c>
      <c r="R941" s="152" t="s">
        <v>1327</v>
      </c>
      <c r="S941" s="152">
        <v>101.271317</v>
      </c>
      <c r="T941" s="152">
        <v>0.219836</v>
      </c>
      <c r="U941" s="152">
        <v>0.44781300000000002</v>
      </c>
      <c r="V941" s="152">
        <v>0.42234100000000002</v>
      </c>
      <c r="W941" s="152">
        <v>1000</v>
      </c>
      <c r="X941" s="152" t="s">
        <v>23</v>
      </c>
      <c r="Y941" s="152" t="s">
        <v>1328</v>
      </c>
      <c r="Z941" s="152" t="s">
        <v>1327</v>
      </c>
    </row>
    <row r="942" spans="1:26" x14ac:dyDescent="0.2">
      <c r="A942" s="152" t="s">
        <v>669</v>
      </c>
      <c r="B942" s="152">
        <v>4.7699999999999996</v>
      </c>
      <c r="C942" s="151">
        <v>43746</v>
      </c>
      <c r="D942" s="152">
        <v>0.95342499999999997</v>
      </c>
      <c r="E942" s="152" t="s">
        <v>1325</v>
      </c>
      <c r="F942" s="152" t="s">
        <v>1326</v>
      </c>
      <c r="G942" s="152" t="s">
        <v>41</v>
      </c>
      <c r="H942" s="152"/>
      <c r="I942" s="152">
        <v>43319</v>
      </c>
      <c r="J942" s="152">
        <v>1.77</v>
      </c>
      <c r="K942" s="152">
        <v>42307</v>
      </c>
      <c r="L942" s="152">
        <v>2.5731269999999999</v>
      </c>
      <c r="M942" s="152">
        <v>3.4037000000000002</v>
      </c>
      <c r="N942" s="152">
        <v>2.5731269999999999</v>
      </c>
      <c r="O942" s="152">
        <v>2.0160459999999998</v>
      </c>
      <c r="P942" s="152">
        <v>21.360848000000001</v>
      </c>
      <c r="Q942" s="152">
        <v>2.0160459999999998</v>
      </c>
      <c r="R942" s="152" t="s">
        <v>1327</v>
      </c>
      <c r="S942" s="152">
        <v>102.589534</v>
      </c>
      <c r="T942" s="152">
        <v>0.222164</v>
      </c>
      <c r="U942" s="152">
        <v>0.93117399999999995</v>
      </c>
      <c r="V942" s="152">
        <v>1.333529</v>
      </c>
      <c r="W942" s="152">
        <v>1000</v>
      </c>
      <c r="X942" s="152" t="s">
        <v>23</v>
      </c>
      <c r="Y942" s="152" t="s">
        <v>1328</v>
      </c>
      <c r="Z942" s="152" t="s">
        <v>1327</v>
      </c>
    </row>
    <row r="943" spans="1:26" x14ac:dyDescent="0.2">
      <c r="A943" s="152" t="s">
        <v>2133</v>
      </c>
      <c r="B943" s="152">
        <v>5</v>
      </c>
      <c r="C943" s="151">
        <v>44439</v>
      </c>
      <c r="D943" s="152">
        <v>2.852055</v>
      </c>
      <c r="E943" s="152" t="s">
        <v>1325</v>
      </c>
      <c r="F943" s="152" t="s">
        <v>1326</v>
      </c>
      <c r="G943" s="152" t="s">
        <v>41</v>
      </c>
      <c r="H943" s="152"/>
      <c r="I943" s="151">
        <v>43213</v>
      </c>
      <c r="J943" s="152">
        <v>1.9</v>
      </c>
      <c r="K943" s="152">
        <v>42307</v>
      </c>
      <c r="L943" s="152">
        <v>3.1010200000000001</v>
      </c>
      <c r="M943" s="152">
        <v>4.2139040000000003</v>
      </c>
      <c r="N943" s="152">
        <v>3.1</v>
      </c>
      <c r="O943" s="152">
        <v>2.3420109999999998</v>
      </c>
      <c r="P943" s="152">
        <v>25.022131000000002</v>
      </c>
      <c r="Q943" s="152">
        <v>2.3420109999999998</v>
      </c>
      <c r="R943" s="152" t="s">
        <v>1327</v>
      </c>
      <c r="S943" s="152">
        <v>107.29239200000001</v>
      </c>
      <c r="T943" s="152">
        <v>0.75342500000000001</v>
      </c>
      <c r="U943" s="152">
        <v>2.6447210000000001</v>
      </c>
      <c r="V943" s="152">
        <v>8.5786479999999994</v>
      </c>
      <c r="W943" s="152">
        <v>1000</v>
      </c>
      <c r="X943" s="152" t="s">
        <v>23</v>
      </c>
      <c r="Y943" s="152" t="s">
        <v>1328</v>
      </c>
      <c r="Z943" s="152" t="s">
        <v>1327</v>
      </c>
    </row>
    <row r="944" spans="1:26" x14ac:dyDescent="0.2">
      <c r="A944" s="152" t="s">
        <v>2134</v>
      </c>
      <c r="B944" s="152">
        <v>3.95</v>
      </c>
      <c r="C944" s="151">
        <v>45903</v>
      </c>
      <c r="D944" s="152">
        <v>6.8630139999999997</v>
      </c>
      <c r="E944" s="152" t="s">
        <v>1325</v>
      </c>
      <c r="F944" s="152" t="s">
        <v>1326</v>
      </c>
      <c r="G944" s="152" t="s">
        <v>41</v>
      </c>
      <c r="H944" s="152"/>
      <c r="I944" s="152">
        <v>43209</v>
      </c>
      <c r="J944" s="152">
        <v>3.09</v>
      </c>
      <c r="K944" s="152" t="s">
        <v>1327</v>
      </c>
      <c r="L944" s="152" t="s">
        <v>1327</v>
      </c>
      <c r="M944" s="152" t="s">
        <v>1327</v>
      </c>
      <c r="N944" s="152" t="s">
        <v>1327</v>
      </c>
      <c r="O944" s="152">
        <v>3.4993409999999998</v>
      </c>
      <c r="P944" s="152">
        <v>87.616533000000004</v>
      </c>
      <c r="Q944" s="152">
        <v>3.4993409999999998</v>
      </c>
      <c r="R944" s="152" t="s">
        <v>1327</v>
      </c>
      <c r="S944" s="152">
        <v>102.73776700000001</v>
      </c>
      <c r="T944" s="152">
        <v>0.56274000000000002</v>
      </c>
      <c r="U944" s="152">
        <v>5.9464730000000001</v>
      </c>
      <c r="V944" s="152">
        <v>41.216054999999997</v>
      </c>
      <c r="W944" s="152">
        <v>1000</v>
      </c>
      <c r="X944" s="152" t="s">
        <v>23</v>
      </c>
      <c r="Y944" s="152" t="s">
        <v>1328</v>
      </c>
      <c r="Z944" s="152" t="s">
        <v>1327</v>
      </c>
    </row>
    <row r="945" spans="1:26" x14ac:dyDescent="0.2">
      <c r="A945" s="152" t="s">
        <v>2135</v>
      </c>
      <c r="B945" s="152">
        <v>2.81</v>
      </c>
      <c r="C945" s="151">
        <v>46160</v>
      </c>
      <c r="D945" s="152">
        <v>7.5671229999999996</v>
      </c>
      <c r="E945" s="152" t="s">
        <v>1325</v>
      </c>
      <c r="F945" s="152" t="s">
        <v>1326</v>
      </c>
      <c r="G945" s="152" t="s">
        <v>41</v>
      </c>
      <c r="H945" s="152"/>
      <c r="I945" s="151">
        <v>42957</v>
      </c>
      <c r="J945" s="152">
        <v>3.5630000000000002</v>
      </c>
      <c r="K945" s="152" t="s">
        <v>1327</v>
      </c>
      <c r="L945" s="152" t="s">
        <v>1327</v>
      </c>
      <c r="M945" s="152" t="s">
        <v>1327</v>
      </c>
      <c r="N945" s="152" t="s">
        <v>1327</v>
      </c>
      <c r="O945" s="152">
        <v>3.8579539999999999</v>
      </c>
      <c r="P945" s="152">
        <v>117.492924</v>
      </c>
      <c r="Q945" s="152">
        <v>3.8579539999999999</v>
      </c>
      <c r="R945" s="152" t="s">
        <v>1327</v>
      </c>
      <c r="S945" s="152">
        <v>93.167105000000006</v>
      </c>
      <c r="T945" s="152">
        <v>1.231781</v>
      </c>
      <c r="U945" s="152">
        <v>6.6212949999999999</v>
      </c>
      <c r="V945" s="152">
        <v>50.606378999999997</v>
      </c>
      <c r="W945" s="152">
        <v>1000</v>
      </c>
      <c r="X945" s="152" t="s">
        <v>23</v>
      </c>
      <c r="Y945" s="152" t="s">
        <v>1328</v>
      </c>
      <c r="Z945" s="152" t="s">
        <v>1327</v>
      </c>
    </row>
    <row r="946" spans="1:26" x14ac:dyDescent="0.2">
      <c r="A946" s="152" t="s">
        <v>200</v>
      </c>
      <c r="B946" s="152">
        <v>3.35</v>
      </c>
      <c r="C946" s="151">
        <v>43792</v>
      </c>
      <c r="D946" s="152">
        <v>1.0794520000000001</v>
      </c>
      <c r="E946" s="152" t="s">
        <v>1325</v>
      </c>
      <c r="F946" s="152" t="s">
        <v>1326</v>
      </c>
      <c r="G946" s="152"/>
      <c r="H946" s="152"/>
      <c r="I946" s="152">
        <v>43182</v>
      </c>
      <c r="J946" s="152">
        <v>2.44</v>
      </c>
      <c r="K946" s="152" t="s">
        <v>1327</v>
      </c>
      <c r="L946" s="152" t="s">
        <v>1327</v>
      </c>
      <c r="M946" s="152" t="s">
        <v>1327</v>
      </c>
      <c r="N946" s="152" t="s">
        <v>1327</v>
      </c>
      <c r="O946" s="152">
        <v>2.9248289999999999</v>
      </c>
      <c r="P946" s="152">
        <v>112.22009199999999</v>
      </c>
      <c r="Q946" s="152">
        <v>2.9248289999999999</v>
      </c>
      <c r="R946" s="152" t="s">
        <v>1327</v>
      </c>
      <c r="S946" s="152">
        <v>100.433167</v>
      </c>
      <c r="T946" s="152">
        <v>1.4226030000000001</v>
      </c>
      <c r="U946" s="152">
        <v>1.0397540000000001</v>
      </c>
      <c r="V946" s="152">
        <v>1.6127549999999999</v>
      </c>
      <c r="W946" s="152">
        <v>1000</v>
      </c>
      <c r="X946" s="152" t="s">
        <v>23</v>
      </c>
      <c r="Y946" s="152" t="s">
        <v>1328</v>
      </c>
      <c r="Z946" s="152" t="s">
        <v>1327</v>
      </c>
    </row>
    <row r="947" spans="1:26" x14ac:dyDescent="0.2">
      <c r="A947" s="152" t="s">
        <v>2136</v>
      </c>
      <c r="B947" s="152">
        <v>3.3</v>
      </c>
      <c r="C947" s="151">
        <v>43981</v>
      </c>
      <c r="D947" s="152">
        <v>1.5972599999999999</v>
      </c>
      <c r="E947" s="152" t="s">
        <v>1325</v>
      </c>
      <c r="F947" s="152" t="s">
        <v>1326</v>
      </c>
      <c r="G947" s="152"/>
      <c r="H947" s="152"/>
      <c r="I947" s="152" t="s">
        <v>1327</v>
      </c>
      <c r="J947" s="152" t="s">
        <v>1327</v>
      </c>
      <c r="K947" s="152" t="s">
        <v>1327</v>
      </c>
      <c r="L947" s="152" t="s">
        <v>1327</v>
      </c>
      <c r="M947" s="152" t="s">
        <v>1327</v>
      </c>
      <c r="N947" s="152" t="s">
        <v>1327</v>
      </c>
      <c r="O947" s="152">
        <v>3.3847879999999999</v>
      </c>
      <c r="P947" s="152">
        <v>146.242177</v>
      </c>
      <c r="Q947" s="152">
        <v>3.3847879999999999</v>
      </c>
      <c r="R947" s="152" t="s">
        <v>1327</v>
      </c>
      <c r="S947" s="152">
        <v>99.853374000000002</v>
      </c>
      <c r="T947" s="152">
        <v>1.338082</v>
      </c>
      <c r="U947" s="152">
        <v>1.5246109999999999</v>
      </c>
      <c r="V947" s="152">
        <v>3.1264219999999998</v>
      </c>
      <c r="W947" s="152">
        <v>1000</v>
      </c>
      <c r="X947" s="152" t="s">
        <v>23</v>
      </c>
      <c r="Y947" s="152" t="s">
        <v>1328</v>
      </c>
      <c r="Z947" s="152" t="s">
        <v>1327</v>
      </c>
    </row>
    <row r="948" spans="1:26" x14ac:dyDescent="0.2">
      <c r="A948" s="152" t="s">
        <v>2137</v>
      </c>
      <c r="B948" s="152">
        <v>3.09</v>
      </c>
      <c r="C948" s="151">
        <v>44051</v>
      </c>
      <c r="D948" s="152">
        <v>1.7890410000000001</v>
      </c>
      <c r="E948" s="152" t="s">
        <v>1325</v>
      </c>
      <c r="F948" s="152" t="s">
        <v>1326</v>
      </c>
      <c r="G948" s="152"/>
      <c r="H948" s="152"/>
      <c r="I948" s="152">
        <v>42955</v>
      </c>
      <c r="J948" s="152">
        <v>3.09</v>
      </c>
      <c r="K948" s="152" t="s">
        <v>1327</v>
      </c>
      <c r="L948" s="152" t="s">
        <v>1327</v>
      </c>
      <c r="M948" s="152" t="s">
        <v>1327</v>
      </c>
      <c r="N948" s="152" t="s">
        <v>1327</v>
      </c>
      <c r="O948" s="152">
        <v>3.4612349999999998</v>
      </c>
      <c r="P948" s="152">
        <v>149.53758099999999</v>
      </c>
      <c r="Q948" s="152">
        <v>3.4612349999999998</v>
      </c>
      <c r="R948" s="152" t="s">
        <v>1327</v>
      </c>
      <c r="S948" s="152">
        <v>99.345123000000001</v>
      </c>
      <c r="T948" s="152">
        <v>0.69419200000000003</v>
      </c>
      <c r="U948" s="152">
        <v>1.7135819999999999</v>
      </c>
      <c r="V948" s="152">
        <v>3.8287499999999999</v>
      </c>
      <c r="W948" s="152">
        <v>1000</v>
      </c>
      <c r="X948" s="152" t="s">
        <v>23</v>
      </c>
      <c r="Y948" s="152" t="s">
        <v>1328</v>
      </c>
      <c r="Z948" s="152" t="s">
        <v>1327</v>
      </c>
    </row>
    <row r="949" spans="1:26" x14ac:dyDescent="0.2">
      <c r="A949" s="152" t="s">
        <v>2138</v>
      </c>
      <c r="B949" s="152">
        <v>3.35</v>
      </c>
      <c r="C949" s="151">
        <v>44979</v>
      </c>
      <c r="D949" s="152">
        <v>4.3315070000000002</v>
      </c>
      <c r="E949" s="152" t="s">
        <v>1325</v>
      </c>
      <c r="F949" s="152" t="s">
        <v>1326</v>
      </c>
      <c r="G949" s="152"/>
      <c r="H949" s="152"/>
      <c r="I949" s="152" t="s">
        <v>1327</v>
      </c>
      <c r="J949" s="152" t="s">
        <v>1327</v>
      </c>
      <c r="K949" s="152" t="s">
        <v>1327</v>
      </c>
      <c r="L949" s="152" t="s">
        <v>1327</v>
      </c>
      <c r="M949" s="152" t="s">
        <v>1327</v>
      </c>
      <c r="N949" s="152" t="s">
        <v>1327</v>
      </c>
      <c r="O949" s="152">
        <v>3.83968</v>
      </c>
      <c r="P949" s="152">
        <v>149.26465899999999</v>
      </c>
      <c r="Q949" s="152">
        <v>3.83968</v>
      </c>
      <c r="R949" s="152" t="s">
        <v>1327</v>
      </c>
      <c r="S949" s="152">
        <v>98.046758999999994</v>
      </c>
      <c r="T949" s="152">
        <v>0.58739699999999995</v>
      </c>
      <c r="U949" s="152">
        <v>3.9636939999999998</v>
      </c>
      <c r="V949" s="152">
        <v>18.373380999999998</v>
      </c>
      <c r="W949" s="152">
        <v>1000</v>
      </c>
      <c r="X949" s="152" t="s">
        <v>23</v>
      </c>
      <c r="Y949" s="152" t="s">
        <v>1328</v>
      </c>
      <c r="Z949" s="152" t="s">
        <v>1327</v>
      </c>
    </row>
    <row r="950" spans="1:26" x14ac:dyDescent="0.2">
      <c r="A950" s="152" t="s">
        <v>495</v>
      </c>
      <c r="B950" s="152">
        <v>2.21</v>
      </c>
      <c r="C950" s="151">
        <v>44468</v>
      </c>
      <c r="D950" s="152">
        <v>2.9315069999999999</v>
      </c>
      <c r="E950" s="152" t="s">
        <v>1325</v>
      </c>
      <c r="F950" s="152" t="s">
        <v>1326</v>
      </c>
      <c r="G950" s="152"/>
      <c r="H950" s="152" t="s">
        <v>496</v>
      </c>
      <c r="I950" s="151">
        <v>43285</v>
      </c>
      <c r="J950" s="152">
        <v>2.2000000000000002</v>
      </c>
      <c r="K950" s="151" t="s">
        <v>1327</v>
      </c>
      <c r="L950" s="152" t="s">
        <v>1327</v>
      </c>
      <c r="M950" s="152" t="s">
        <v>1327</v>
      </c>
      <c r="N950" s="152" t="s">
        <v>1327</v>
      </c>
      <c r="O950" s="152">
        <v>2.4778349999999998</v>
      </c>
      <c r="P950" s="152">
        <v>37.002073000000003</v>
      </c>
      <c r="Q950" s="152">
        <v>2.4778349999999998</v>
      </c>
      <c r="R950" s="152" t="s">
        <v>1327</v>
      </c>
      <c r="S950" s="152">
        <v>99.257074000000003</v>
      </c>
      <c r="T950" s="152">
        <v>0.15742500000000001</v>
      </c>
      <c r="U950" s="152">
        <v>2.8086980000000001</v>
      </c>
      <c r="V950" s="152">
        <v>9.4154529999999994</v>
      </c>
      <c r="W950" s="152">
        <v>1000</v>
      </c>
      <c r="X950" s="152" t="s">
        <v>23</v>
      </c>
      <c r="Y950" s="152" t="s">
        <v>1328</v>
      </c>
      <c r="Z950" s="152" t="s">
        <v>1327</v>
      </c>
    </row>
    <row r="951" spans="1:26" x14ac:dyDescent="0.2">
      <c r="A951" s="152" t="s">
        <v>2139</v>
      </c>
      <c r="B951" s="152">
        <v>2.82</v>
      </c>
      <c r="C951" s="151">
        <v>45564</v>
      </c>
      <c r="D951" s="152">
        <v>5.934247</v>
      </c>
      <c r="E951" s="152" t="s">
        <v>1325</v>
      </c>
      <c r="F951" s="152" t="s">
        <v>1326</v>
      </c>
      <c r="G951" s="152"/>
      <c r="H951" s="152" t="s">
        <v>496</v>
      </c>
      <c r="I951" s="151">
        <v>43131</v>
      </c>
      <c r="J951" s="152">
        <v>2.5724999999999998</v>
      </c>
      <c r="K951" s="151" t="s">
        <v>1327</v>
      </c>
      <c r="L951" s="152" t="s">
        <v>1327</v>
      </c>
      <c r="M951" s="152" t="s">
        <v>1327</v>
      </c>
      <c r="N951" s="152" t="s">
        <v>1327</v>
      </c>
      <c r="O951" s="152">
        <v>3.0355210000000001</v>
      </c>
      <c r="P951" s="152">
        <v>50.445937000000001</v>
      </c>
      <c r="Q951" s="152">
        <v>3.0355210000000001</v>
      </c>
      <c r="R951" s="152" t="s">
        <v>1327</v>
      </c>
      <c r="S951" s="152">
        <v>98.849598999999998</v>
      </c>
      <c r="T951" s="152">
        <v>0.200877</v>
      </c>
      <c r="U951" s="152">
        <v>5.4012450000000003</v>
      </c>
      <c r="V951" s="152">
        <v>33.309583000000003</v>
      </c>
      <c r="W951" s="152">
        <v>1000</v>
      </c>
      <c r="X951" s="152" t="s">
        <v>23</v>
      </c>
      <c r="Y951" s="152" t="s">
        <v>1328</v>
      </c>
      <c r="Z951" s="152" t="s">
        <v>1327</v>
      </c>
    </row>
    <row r="952" spans="1:26" x14ac:dyDescent="0.2">
      <c r="A952" s="152" t="s">
        <v>2140</v>
      </c>
      <c r="B952" s="152">
        <v>5.2</v>
      </c>
      <c r="C952" s="151">
        <v>43448</v>
      </c>
      <c r="D952" s="152">
        <v>0.136986</v>
      </c>
      <c r="E952" s="152" t="s">
        <v>1325</v>
      </c>
      <c r="F952" s="152" t="s">
        <v>1326</v>
      </c>
      <c r="G952" s="152"/>
      <c r="H952" s="152"/>
      <c r="I952" s="151" t="s">
        <v>1327</v>
      </c>
      <c r="J952" s="152" t="s">
        <v>1327</v>
      </c>
      <c r="K952" s="151" t="s">
        <v>1327</v>
      </c>
      <c r="L952" s="152" t="s">
        <v>1327</v>
      </c>
      <c r="M952" s="152" t="s">
        <v>1327</v>
      </c>
      <c r="N952" s="152" t="s">
        <v>1327</v>
      </c>
      <c r="O952" s="152">
        <v>5.098795</v>
      </c>
      <c r="P952" s="152">
        <v>383.50481000000002</v>
      </c>
      <c r="Q952" s="152">
        <v>5.098795</v>
      </c>
      <c r="R952" s="152" t="s">
        <v>1327</v>
      </c>
      <c r="S952" s="152">
        <v>100.01467</v>
      </c>
      <c r="T952" s="152">
        <v>0.15671199999999999</v>
      </c>
      <c r="U952" s="152">
        <v>0.13526199999999999</v>
      </c>
      <c r="V952" s="152">
        <v>5.1686000000000003E-2</v>
      </c>
      <c r="W952" s="152">
        <v>1000</v>
      </c>
      <c r="X952" s="152" t="s">
        <v>23</v>
      </c>
      <c r="Y952" s="152" t="s">
        <v>1328</v>
      </c>
      <c r="Z952" s="152" t="s">
        <v>1327</v>
      </c>
    </row>
    <row r="953" spans="1:26" x14ac:dyDescent="0.2">
      <c r="A953" s="152" t="s">
        <v>2141</v>
      </c>
      <c r="B953" s="152">
        <v>5.7</v>
      </c>
      <c r="C953" s="151">
        <v>43510</v>
      </c>
      <c r="D953" s="152">
        <v>0.30684899999999998</v>
      </c>
      <c r="E953" s="152" t="s">
        <v>1325</v>
      </c>
      <c r="F953" s="152" t="s">
        <v>1326</v>
      </c>
      <c r="G953" s="152"/>
      <c r="H953" s="152"/>
      <c r="I953" s="151" t="s">
        <v>1327</v>
      </c>
      <c r="J953" s="152" t="s">
        <v>1327</v>
      </c>
      <c r="K953" s="151" t="s">
        <v>1327</v>
      </c>
      <c r="L953" s="152" t="s">
        <v>1327</v>
      </c>
      <c r="M953" s="152" t="s">
        <v>1327</v>
      </c>
      <c r="N953" s="152" t="s">
        <v>1327</v>
      </c>
      <c r="O953" s="152">
        <v>5.6411990000000003</v>
      </c>
      <c r="P953" s="152">
        <v>415.06617999999997</v>
      </c>
      <c r="Q953" s="152">
        <v>5.6411990000000003</v>
      </c>
      <c r="R953" s="152" t="s">
        <v>1327</v>
      </c>
      <c r="S953" s="152">
        <v>100.00440500000001</v>
      </c>
      <c r="T953" s="152">
        <v>1.077534</v>
      </c>
      <c r="U953" s="152">
        <v>0.29920400000000003</v>
      </c>
      <c r="V953" s="152">
        <v>0.16408500000000001</v>
      </c>
      <c r="W953" s="152">
        <v>1000</v>
      </c>
      <c r="X953" s="152" t="s">
        <v>23</v>
      </c>
      <c r="Y953" s="152" t="s">
        <v>1328</v>
      </c>
      <c r="Z953" s="152" t="s">
        <v>1327</v>
      </c>
    </row>
    <row r="954" spans="1:26" x14ac:dyDescent="0.2">
      <c r="A954" s="152" t="s">
        <v>2142</v>
      </c>
      <c r="B954" s="152">
        <v>5.35</v>
      </c>
      <c r="C954" s="151">
        <v>43605</v>
      </c>
      <c r="D954" s="152">
        <v>0.56712300000000004</v>
      </c>
      <c r="E954" s="152" t="s">
        <v>1325</v>
      </c>
      <c r="F954" s="152" t="s">
        <v>1326</v>
      </c>
      <c r="G954" s="152"/>
      <c r="H954" s="152"/>
      <c r="I954" s="151" t="s">
        <v>1327</v>
      </c>
      <c r="J954" s="152" t="s">
        <v>1327</v>
      </c>
      <c r="K954" s="152" t="s">
        <v>1327</v>
      </c>
      <c r="L954" s="152" t="s">
        <v>1327</v>
      </c>
      <c r="M954" s="152" t="s">
        <v>1327</v>
      </c>
      <c r="N954" s="152" t="s">
        <v>1327</v>
      </c>
      <c r="O954" s="152">
        <v>5.7533649999999996</v>
      </c>
      <c r="P954" s="152">
        <v>415.41129599999999</v>
      </c>
      <c r="Q954" s="152">
        <v>5.7533649999999996</v>
      </c>
      <c r="R954" s="152" t="s">
        <v>1327</v>
      </c>
      <c r="S954" s="152">
        <v>99.761977999999999</v>
      </c>
      <c r="T954" s="152">
        <v>0.96739699999999995</v>
      </c>
      <c r="U954" s="152">
        <v>0.55340199999999995</v>
      </c>
      <c r="V954" s="152">
        <v>0.446552</v>
      </c>
      <c r="W954" s="152">
        <v>1000</v>
      </c>
      <c r="X954" s="152" t="s">
        <v>23</v>
      </c>
      <c r="Y954" s="152" t="s">
        <v>1328</v>
      </c>
      <c r="Z954" s="152" t="s">
        <v>1327</v>
      </c>
    </row>
    <row r="955" spans="1:26" x14ac:dyDescent="0.2">
      <c r="A955" s="152" t="s">
        <v>2143</v>
      </c>
      <c r="B955" s="152">
        <v>5.75</v>
      </c>
      <c r="C955" s="151">
        <v>43743</v>
      </c>
      <c r="D955" s="152">
        <v>0.94520499999999996</v>
      </c>
      <c r="E955" s="152" t="s">
        <v>1325</v>
      </c>
      <c r="F955" s="152" t="s">
        <v>1326</v>
      </c>
      <c r="G955" s="152"/>
      <c r="H955" s="152"/>
      <c r="I955" s="151" t="s">
        <v>1327</v>
      </c>
      <c r="J955" s="152" t="s">
        <v>1327</v>
      </c>
      <c r="K955" s="152" t="s">
        <v>1327</v>
      </c>
      <c r="L955" s="152" t="s">
        <v>1327</v>
      </c>
      <c r="M955" s="152" t="s">
        <v>1327</v>
      </c>
      <c r="N955" s="152" t="s">
        <v>1327</v>
      </c>
      <c r="O955" s="152">
        <v>5.9035039999999999</v>
      </c>
      <c r="P955" s="152">
        <v>424.11664500000001</v>
      </c>
      <c r="Q955" s="152">
        <v>5.9035039999999999</v>
      </c>
      <c r="R955" s="152" t="s">
        <v>1327</v>
      </c>
      <c r="S955" s="152">
        <v>99.846023000000002</v>
      </c>
      <c r="T955" s="152">
        <v>0.31506800000000001</v>
      </c>
      <c r="U955" s="152">
        <v>0.91271500000000005</v>
      </c>
      <c r="V955" s="152">
        <v>1.0694570000000001</v>
      </c>
      <c r="W955" s="152">
        <v>1000</v>
      </c>
      <c r="X955" s="152" t="s">
        <v>23</v>
      </c>
      <c r="Y955" s="152" t="s">
        <v>1328</v>
      </c>
      <c r="Z955" s="152" t="s">
        <v>1327</v>
      </c>
    </row>
    <row r="956" spans="1:26" x14ac:dyDescent="0.2">
      <c r="A956" s="152" t="s">
        <v>2144</v>
      </c>
      <c r="B956" s="152">
        <v>5.35</v>
      </c>
      <c r="C956" s="151">
        <v>43853</v>
      </c>
      <c r="D956" s="152">
        <v>1.246575</v>
      </c>
      <c r="E956" s="152" t="s">
        <v>1325</v>
      </c>
      <c r="F956" s="152" t="s">
        <v>1326</v>
      </c>
      <c r="G956" s="152"/>
      <c r="H956" s="152"/>
      <c r="I956" s="151" t="s">
        <v>1327</v>
      </c>
      <c r="J956" s="152" t="s">
        <v>1327</v>
      </c>
      <c r="K956" s="152" t="s">
        <v>1327</v>
      </c>
      <c r="L956" s="152" t="s">
        <v>1327</v>
      </c>
      <c r="M956" s="152" t="s">
        <v>1327</v>
      </c>
      <c r="N956" s="152" t="s">
        <v>1327</v>
      </c>
      <c r="O956" s="152">
        <v>5.9103079999999997</v>
      </c>
      <c r="P956" s="152">
        <v>418.43140099999999</v>
      </c>
      <c r="Q956" s="152">
        <v>5.9103079999999997</v>
      </c>
      <c r="R956" s="152" t="s">
        <v>1327</v>
      </c>
      <c r="S956" s="152">
        <v>99.331721000000002</v>
      </c>
      <c r="T956" s="152">
        <v>-1.4657999999999999E-2</v>
      </c>
      <c r="U956" s="152">
        <v>1.1965239999999999</v>
      </c>
      <c r="V956" s="152">
        <v>1.748963</v>
      </c>
      <c r="W956" s="152">
        <v>1000</v>
      </c>
      <c r="X956" s="152" t="s">
        <v>23</v>
      </c>
      <c r="Y956" s="152" t="s">
        <v>1328</v>
      </c>
      <c r="Z956" s="152" t="s">
        <v>1327</v>
      </c>
    </row>
    <row r="957" spans="1:26" x14ac:dyDescent="0.2">
      <c r="A957" s="152" t="s">
        <v>2145</v>
      </c>
      <c r="B957" s="152">
        <v>6</v>
      </c>
      <c r="C957" s="151">
        <v>43906</v>
      </c>
      <c r="D957" s="152">
        <v>1.3917809999999999</v>
      </c>
      <c r="E957" s="152" t="s">
        <v>1325</v>
      </c>
      <c r="F957" s="152" t="s">
        <v>1326</v>
      </c>
      <c r="G957" s="152"/>
      <c r="H957" s="152"/>
      <c r="I957" s="152" t="s">
        <v>1327</v>
      </c>
      <c r="J957" s="152" t="s">
        <v>1327</v>
      </c>
      <c r="K957" s="152" t="s">
        <v>1327</v>
      </c>
      <c r="L957" s="152" t="s">
        <v>1327</v>
      </c>
      <c r="M957" s="152" t="s">
        <v>1327</v>
      </c>
      <c r="N957" s="152" t="s">
        <v>1327</v>
      </c>
      <c r="O957" s="152">
        <v>6.2577800000000003</v>
      </c>
      <c r="P957" s="152">
        <v>451.364304</v>
      </c>
      <c r="Q957" s="152">
        <v>6.2577800000000003</v>
      </c>
      <c r="R957" s="152" t="s">
        <v>1327</v>
      </c>
      <c r="S957" s="152">
        <v>99.660049000000001</v>
      </c>
      <c r="T957" s="152">
        <v>0.641096</v>
      </c>
      <c r="U957" s="152">
        <v>1.3173969999999999</v>
      </c>
      <c r="V957" s="152">
        <v>2.105648</v>
      </c>
      <c r="W957" s="152">
        <v>1000</v>
      </c>
      <c r="X957" s="152" t="s">
        <v>23</v>
      </c>
      <c r="Y957" s="152" t="s">
        <v>1328</v>
      </c>
      <c r="Z957" s="152" t="s">
        <v>1327</v>
      </c>
    </row>
    <row r="958" spans="1:26" x14ac:dyDescent="0.2">
      <c r="A958" s="152" t="s">
        <v>2146</v>
      </c>
      <c r="B958" s="152">
        <v>5.95</v>
      </c>
      <c r="C958" s="151">
        <v>44004</v>
      </c>
      <c r="D958" s="152">
        <v>1.660274</v>
      </c>
      <c r="E958" s="152" t="s">
        <v>1325</v>
      </c>
      <c r="F958" s="152" t="s">
        <v>1326</v>
      </c>
      <c r="G958" s="152"/>
      <c r="H958" s="152"/>
      <c r="I958" s="151" t="s">
        <v>1327</v>
      </c>
      <c r="J958" s="152" t="s">
        <v>1327</v>
      </c>
      <c r="K958" s="152" t="s">
        <v>1327</v>
      </c>
      <c r="L958" s="152" t="s">
        <v>1327</v>
      </c>
      <c r="M958" s="152" t="s">
        <v>1327</v>
      </c>
      <c r="N958" s="152" t="s">
        <v>1327</v>
      </c>
      <c r="O958" s="152">
        <v>6.3712669999999996</v>
      </c>
      <c r="P958" s="152">
        <v>455.357913</v>
      </c>
      <c r="Q958" s="152">
        <v>6.3712669999999996</v>
      </c>
      <c r="R958" s="152" t="s">
        <v>1327</v>
      </c>
      <c r="S958" s="152">
        <v>99.343135000000004</v>
      </c>
      <c r="T958" s="152">
        <v>0.53794500000000001</v>
      </c>
      <c r="U958" s="152">
        <v>1.5586629999999999</v>
      </c>
      <c r="V958" s="152">
        <v>2.8872719999999998</v>
      </c>
      <c r="W958" s="152">
        <v>1000</v>
      </c>
      <c r="X958" s="152" t="s">
        <v>23</v>
      </c>
      <c r="Y958" s="152" t="s">
        <v>1328</v>
      </c>
      <c r="Z958" s="152" t="s">
        <v>1327</v>
      </c>
    </row>
    <row r="959" spans="1:26" x14ac:dyDescent="0.2">
      <c r="A959" s="152" t="s">
        <v>2147</v>
      </c>
      <c r="B959" s="152">
        <v>6.25</v>
      </c>
      <c r="C959" s="151">
        <v>44123</v>
      </c>
      <c r="D959" s="152">
        <v>1.9863010000000001</v>
      </c>
      <c r="E959" s="152" t="s">
        <v>1325</v>
      </c>
      <c r="F959" s="152" t="s">
        <v>1326</v>
      </c>
      <c r="G959" s="152"/>
      <c r="H959" s="152"/>
      <c r="I959" s="152">
        <v>43103</v>
      </c>
      <c r="J959" s="152">
        <v>6.37</v>
      </c>
      <c r="K959" s="152" t="s">
        <v>1327</v>
      </c>
      <c r="L959" s="152" t="s">
        <v>1327</v>
      </c>
      <c r="M959" s="152" t="s">
        <v>1327</v>
      </c>
      <c r="N959" s="152" t="s">
        <v>1327</v>
      </c>
      <c r="O959" s="152">
        <v>6.4200990000000004</v>
      </c>
      <c r="P959" s="152">
        <v>455.44749000000002</v>
      </c>
      <c r="Q959" s="152">
        <v>6.4200990000000004</v>
      </c>
      <c r="R959" s="152" t="s">
        <v>1327</v>
      </c>
      <c r="S959" s="152">
        <v>99.671736999999993</v>
      </c>
      <c r="T959" s="152">
        <v>0.10274</v>
      </c>
      <c r="U959" s="152">
        <v>1.851259</v>
      </c>
      <c r="V959" s="152">
        <v>3.9999630000000002</v>
      </c>
      <c r="W959" s="152">
        <v>1000</v>
      </c>
      <c r="X959" s="152" t="s">
        <v>23</v>
      </c>
      <c r="Y959" s="152" t="s">
        <v>1328</v>
      </c>
      <c r="Z959" s="152" t="s">
        <v>1327</v>
      </c>
    </row>
    <row r="960" spans="1:26" x14ac:dyDescent="0.2">
      <c r="A960" s="152" t="s">
        <v>2148</v>
      </c>
      <c r="B960" s="152">
        <v>6.25</v>
      </c>
      <c r="C960" s="151">
        <v>44368</v>
      </c>
      <c r="D960" s="152">
        <v>2.6575340000000001</v>
      </c>
      <c r="E960" s="152" t="s">
        <v>1325</v>
      </c>
      <c r="F960" s="152" t="s">
        <v>1326</v>
      </c>
      <c r="G960" s="152"/>
      <c r="H960" s="152"/>
      <c r="I960" s="151" t="s">
        <v>1327</v>
      </c>
      <c r="J960" s="152" t="s">
        <v>1327</v>
      </c>
      <c r="K960" s="152" t="s">
        <v>1327</v>
      </c>
      <c r="L960" s="152" t="s">
        <v>1327</v>
      </c>
      <c r="M960" s="152" t="s">
        <v>1327</v>
      </c>
      <c r="N960" s="152" t="s">
        <v>1327</v>
      </c>
      <c r="O960" s="152">
        <v>6.4467319999999999</v>
      </c>
      <c r="P960" s="152">
        <v>452.67226599999998</v>
      </c>
      <c r="Q960" s="152">
        <v>6.4467319999999999</v>
      </c>
      <c r="R960" s="152" t="s">
        <v>1327</v>
      </c>
      <c r="S960" s="152">
        <v>99.524606000000006</v>
      </c>
      <c r="T960" s="152">
        <v>0.58219200000000004</v>
      </c>
      <c r="U960" s="152">
        <v>2.4145639999999999</v>
      </c>
      <c r="V960" s="152">
        <v>6.7325900000000001</v>
      </c>
      <c r="W960" s="152">
        <v>1000</v>
      </c>
      <c r="X960" s="152" t="s">
        <v>23</v>
      </c>
      <c r="Y960" s="152" t="s">
        <v>1328</v>
      </c>
      <c r="Z960" s="152" t="s">
        <v>1327</v>
      </c>
    </row>
    <row r="961" spans="1:26" x14ac:dyDescent="0.2">
      <c r="A961" s="152" t="s">
        <v>2149</v>
      </c>
      <c r="B961" s="152">
        <v>3.5</v>
      </c>
      <c r="C961" s="151">
        <v>43745</v>
      </c>
      <c r="D961" s="152">
        <v>0.950685</v>
      </c>
      <c r="E961" s="152" t="s">
        <v>1325</v>
      </c>
      <c r="F961" s="152" t="s">
        <v>1326</v>
      </c>
      <c r="G961" s="152"/>
      <c r="H961" s="152"/>
      <c r="I961" s="151" t="s">
        <v>1327</v>
      </c>
      <c r="J961" s="152" t="s">
        <v>1327</v>
      </c>
      <c r="K961" s="152" t="s">
        <v>1327</v>
      </c>
      <c r="L961" s="152" t="s">
        <v>1327</v>
      </c>
      <c r="M961" s="152" t="s">
        <v>1327</v>
      </c>
      <c r="N961" s="152" t="s">
        <v>1327</v>
      </c>
      <c r="O961" s="152">
        <v>3.540902</v>
      </c>
      <c r="P961" s="152">
        <v>178.68853200000001</v>
      </c>
      <c r="Q961" s="152">
        <v>3.540902</v>
      </c>
      <c r="R961" s="152" t="s">
        <v>1327</v>
      </c>
      <c r="S961" s="152">
        <v>99.954064000000002</v>
      </c>
      <c r="T961" s="152">
        <v>0.17260300000000001</v>
      </c>
      <c r="U961" s="152">
        <v>0.93155399999999999</v>
      </c>
      <c r="V961" s="152">
        <v>1.1059049999999999</v>
      </c>
      <c r="W961" s="152">
        <v>1000</v>
      </c>
      <c r="X961" s="152" t="s">
        <v>23</v>
      </c>
      <c r="Y961" s="152" t="s">
        <v>1328</v>
      </c>
      <c r="Z961" s="152" t="s">
        <v>1327</v>
      </c>
    </row>
    <row r="962" spans="1:26" x14ac:dyDescent="0.2">
      <c r="A962" s="152" t="s">
        <v>2150</v>
      </c>
      <c r="B962" s="152">
        <v>4</v>
      </c>
      <c r="C962" s="151">
        <v>43758</v>
      </c>
      <c r="D962" s="152">
        <v>0.98630099999999998</v>
      </c>
      <c r="E962" s="152" t="s">
        <v>1325</v>
      </c>
      <c r="F962" s="152" t="s">
        <v>1326</v>
      </c>
      <c r="G962" s="152" t="s">
        <v>498</v>
      </c>
      <c r="H962" s="152"/>
      <c r="I962" s="152" t="s">
        <v>1327</v>
      </c>
      <c r="J962" s="152" t="s">
        <v>1327</v>
      </c>
      <c r="K962" s="152" t="s">
        <v>1327</v>
      </c>
      <c r="L962" s="152" t="s">
        <v>1327</v>
      </c>
      <c r="M962" s="152" t="s">
        <v>1327</v>
      </c>
      <c r="N962" s="152" t="s">
        <v>1327</v>
      </c>
      <c r="O962" s="152">
        <v>4.1029419999999996</v>
      </c>
      <c r="P962" s="152">
        <v>236.339631</v>
      </c>
      <c r="Q962" s="152">
        <v>4.1029419999999996</v>
      </c>
      <c r="R962" s="152" t="s">
        <v>1327</v>
      </c>
      <c r="S962" s="152">
        <v>99.892343999999994</v>
      </c>
      <c r="T962" s="152">
        <v>5.4795000000000003E-2</v>
      </c>
      <c r="U962" s="152">
        <v>0.96370900000000004</v>
      </c>
      <c r="V962" s="152">
        <v>1.1754599999999999</v>
      </c>
      <c r="W962" s="152">
        <v>1000</v>
      </c>
      <c r="X962" s="152" t="s">
        <v>23</v>
      </c>
      <c r="Y962" s="152" t="s">
        <v>1328</v>
      </c>
      <c r="Z962" s="152" t="s">
        <v>1327</v>
      </c>
    </row>
    <row r="963" spans="1:26" x14ac:dyDescent="0.2">
      <c r="A963" s="152" t="s">
        <v>2151</v>
      </c>
      <c r="B963" s="152">
        <v>3.5</v>
      </c>
      <c r="C963" s="151">
        <v>43981</v>
      </c>
      <c r="D963" s="152">
        <v>1.5972599999999999</v>
      </c>
      <c r="E963" s="152" t="s">
        <v>1325</v>
      </c>
      <c r="F963" s="152" t="s">
        <v>1326</v>
      </c>
      <c r="G963" s="152"/>
      <c r="H963" s="152"/>
      <c r="I963" s="152" t="s">
        <v>1327</v>
      </c>
      <c r="J963" s="152" t="s">
        <v>1327</v>
      </c>
      <c r="K963" s="152" t="s">
        <v>1327</v>
      </c>
      <c r="L963" s="152" t="s">
        <v>1327</v>
      </c>
      <c r="M963" s="152" t="s">
        <v>1327</v>
      </c>
      <c r="N963" s="152" t="s">
        <v>1327</v>
      </c>
      <c r="O963" s="152">
        <v>3.7726690000000001</v>
      </c>
      <c r="P963" s="152">
        <v>185.78125199999999</v>
      </c>
      <c r="Q963" s="152">
        <v>3.7726690000000001</v>
      </c>
      <c r="R963" s="152" t="s">
        <v>1327</v>
      </c>
      <c r="S963" s="152">
        <v>99.563834</v>
      </c>
      <c r="T963" s="152">
        <v>1.4191780000000001</v>
      </c>
      <c r="U963" s="152">
        <v>1.5188189999999999</v>
      </c>
      <c r="V963" s="152">
        <v>3.1073919999999999</v>
      </c>
      <c r="W963" s="152">
        <v>1000</v>
      </c>
      <c r="X963" s="152" t="s">
        <v>23</v>
      </c>
      <c r="Y963" s="152" t="s">
        <v>1328</v>
      </c>
      <c r="Z963" s="152" t="s">
        <v>1327</v>
      </c>
    </row>
    <row r="964" spans="1:26" x14ac:dyDescent="0.2">
      <c r="A964" s="152" t="s">
        <v>2152</v>
      </c>
      <c r="B964" s="152">
        <v>4.5</v>
      </c>
      <c r="C964" s="151">
        <v>44313</v>
      </c>
      <c r="D964" s="152">
        <v>2.5068489999999999</v>
      </c>
      <c r="E964" s="152" t="s">
        <v>1325</v>
      </c>
      <c r="F964" s="152" t="s">
        <v>1326</v>
      </c>
      <c r="G964" s="152"/>
      <c r="H964" s="152"/>
      <c r="I964" s="152" t="s">
        <v>1327</v>
      </c>
      <c r="J964" s="152" t="s">
        <v>1327</v>
      </c>
      <c r="K964" s="152" t="s">
        <v>1327</v>
      </c>
      <c r="L964" s="152" t="s">
        <v>1327</v>
      </c>
      <c r="M964" s="152" t="s">
        <v>1327</v>
      </c>
      <c r="N964" s="152" t="s">
        <v>1327</v>
      </c>
      <c r="O964" s="152">
        <v>4.8850150000000001</v>
      </c>
      <c r="P964" s="152">
        <v>290.79467</v>
      </c>
      <c r="Q964" s="152">
        <v>4.8850150000000001</v>
      </c>
      <c r="R964" s="152" t="s">
        <v>1327</v>
      </c>
      <c r="S964" s="152">
        <v>99.097374000000002</v>
      </c>
      <c r="T964" s="152">
        <v>-2.4657999999999999E-2</v>
      </c>
      <c r="U964" s="152">
        <v>2.354527</v>
      </c>
      <c r="V964" s="152">
        <v>6.3013500000000002</v>
      </c>
      <c r="W964" s="152">
        <v>1000</v>
      </c>
      <c r="X964" s="152" t="s">
        <v>23</v>
      </c>
      <c r="Y964" s="152" t="s">
        <v>1328</v>
      </c>
      <c r="Z964" s="152" t="s">
        <v>1327</v>
      </c>
    </row>
    <row r="965" spans="1:26" x14ac:dyDescent="0.2">
      <c r="A965" s="152" t="s">
        <v>2153</v>
      </c>
      <c r="B965" s="152">
        <v>3.63</v>
      </c>
      <c r="C965" s="151">
        <v>46507</v>
      </c>
      <c r="D965" s="152">
        <v>8.5178080000000005</v>
      </c>
      <c r="E965" s="152" t="s">
        <v>1325</v>
      </c>
      <c r="F965" s="152" t="s">
        <v>1326</v>
      </c>
      <c r="G965" s="152" t="s">
        <v>116</v>
      </c>
      <c r="H965" s="152"/>
      <c r="I965" s="152" t="s">
        <v>1327</v>
      </c>
      <c r="J965" s="152" t="s">
        <v>1327</v>
      </c>
      <c r="K965" s="152" t="s">
        <v>1327</v>
      </c>
      <c r="L965" s="152" t="s">
        <v>1327</v>
      </c>
      <c r="M965" s="152" t="s">
        <v>1327</v>
      </c>
      <c r="N965" s="152" t="s">
        <v>1327</v>
      </c>
      <c r="O965" s="152">
        <v>3.9790760000000001</v>
      </c>
      <c r="P965" s="152">
        <v>122.200484</v>
      </c>
      <c r="Q965" s="152">
        <v>3.9790760000000001</v>
      </c>
      <c r="R965" s="152" t="s">
        <v>1327</v>
      </c>
      <c r="S965" s="152">
        <v>97.500457999999995</v>
      </c>
      <c r="T965" s="152">
        <v>-4.9725999999999999E-2</v>
      </c>
      <c r="U965" s="152">
        <v>7.2417040000000004</v>
      </c>
      <c r="V965" s="152">
        <v>60.889975</v>
      </c>
      <c r="W965" s="152">
        <v>1000</v>
      </c>
      <c r="X965" s="152" t="s">
        <v>23</v>
      </c>
      <c r="Y965" s="152" t="s">
        <v>1328</v>
      </c>
      <c r="Z965" s="152" t="s">
        <v>1327</v>
      </c>
    </row>
    <row r="966" spans="1:26" x14ac:dyDescent="0.2">
      <c r="A966" s="152" t="s">
        <v>2154</v>
      </c>
      <c r="B966" s="152">
        <v>6.75</v>
      </c>
      <c r="C966" s="151">
        <v>43743</v>
      </c>
      <c r="D966" s="152">
        <v>0.94520499999999996</v>
      </c>
      <c r="E966" s="152" t="s">
        <v>1325</v>
      </c>
      <c r="F966" s="152" t="s">
        <v>1326</v>
      </c>
      <c r="G966" s="152"/>
      <c r="H966" s="152"/>
      <c r="I966" s="152">
        <v>42649</v>
      </c>
      <c r="J966" s="152">
        <v>3.7</v>
      </c>
      <c r="K966" s="152" t="s">
        <v>1327</v>
      </c>
      <c r="L966" s="152" t="s">
        <v>1327</v>
      </c>
      <c r="M966" s="152" t="s">
        <v>1327</v>
      </c>
      <c r="N966" s="152" t="s">
        <v>1327</v>
      </c>
      <c r="O966" s="152">
        <v>3.2185450000000002</v>
      </c>
      <c r="P966" s="152">
        <v>146.40641199999999</v>
      </c>
      <c r="Q966" s="152">
        <v>3.2185450000000002</v>
      </c>
      <c r="R966" s="152" t="s">
        <v>1327</v>
      </c>
      <c r="S966" s="152">
        <v>103.274051</v>
      </c>
      <c r="T966" s="152">
        <v>0.314384</v>
      </c>
      <c r="U966" s="152">
        <v>0.91807799999999995</v>
      </c>
      <c r="V966" s="152">
        <v>1.083593</v>
      </c>
      <c r="W966" s="152">
        <v>1000</v>
      </c>
      <c r="X966" s="152" t="s">
        <v>23</v>
      </c>
      <c r="Y966" s="152" t="s">
        <v>1328</v>
      </c>
      <c r="Z966" s="152" t="s">
        <v>1327</v>
      </c>
    </row>
    <row r="967" spans="1:26" x14ac:dyDescent="0.2">
      <c r="A967" s="152" t="s">
        <v>2155</v>
      </c>
      <c r="B967" s="152">
        <v>5.65</v>
      </c>
      <c r="C967" s="151">
        <v>44389</v>
      </c>
      <c r="D967" s="152">
        <v>2.715068</v>
      </c>
      <c r="E967" s="152" t="s">
        <v>1325</v>
      </c>
      <c r="F967" s="152" t="s">
        <v>1326</v>
      </c>
      <c r="G967" s="152" t="s">
        <v>116</v>
      </c>
      <c r="H967" s="152"/>
      <c r="I967" s="152">
        <v>43395</v>
      </c>
      <c r="J967" s="152">
        <v>3.72</v>
      </c>
      <c r="K967" s="152" t="s">
        <v>1327</v>
      </c>
      <c r="L967" s="152" t="s">
        <v>1327</v>
      </c>
      <c r="M967" s="152" t="s">
        <v>1327</v>
      </c>
      <c r="N967" s="152" t="s">
        <v>1327</v>
      </c>
      <c r="O967" s="152">
        <v>3.7189760000000001</v>
      </c>
      <c r="P967" s="152">
        <v>168.80875900000001</v>
      </c>
      <c r="Q967" s="152">
        <v>3.7189760000000001</v>
      </c>
      <c r="R967" s="152" t="s">
        <v>1327</v>
      </c>
      <c r="S967" s="152">
        <v>104.966252</v>
      </c>
      <c r="T967" s="152">
        <v>0.77397300000000002</v>
      </c>
      <c r="U967" s="152">
        <v>2.498351</v>
      </c>
      <c r="V967" s="152">
        <v>7.1692980000000004</v>
      </c>
      <c r="W967" s="152">
        <v>1000</v>
      </c>
      <c r="X967" s="152" t="s">
        <v>23</v>
      </c>
      <c r="Y967" s="152" t="s">
        <v>1328</v>
      </c>
      <c r="Z967" s="152" t="s">
        <v>1327</v>
      </c>
    </row>
    <row r="968" spans="1:26" x14ac:dyDescent="0.2">
      <c r="A968" s="152" t="s">
        <v>2156</v>
      </c>
      <c r="B968" s="152">
        <v>4.7</v>
      </c>
      <c r="C968" s="151">
        <v>44612</v>
      </c>
      <c r="D968" s="152">
        <v>3.3260269999999998</v>
      </c>
      <c r="E968" s="152" t="s">
        <v>1325</v>
      </c>
      <c r="F968" s="152" t="s">
        <v>1326</v>
      </c>
      <c r="G968" s="152" t="s">
        <v>116</v>
      </c>
      <c r="H968" s="152"/>
      <c r="I968" s="152">
        <v>43258</v>
      </c>
      <c r="J968" s="152">
        <v>3.56</v>
      </c>
      <c r="K968" s="152" t="s">
        <v>1327</v>
      </c>
      <c r="L968" s="152" t="s">
        <v>1327</v>
      </c>
      <c r="M968" s="152" t="s">
        <v>1327</v>
      </c>
      <c r="N968" s="152" t="s">
        <v>1327</v>
      </c>
      <c r="O968" s="152">
        <v>3.8931659999999999</v>
      </c>
      <c r="P968" s="152">
        <v>173.53285199999999</v>
      </c>
      <c r="Q968" s="152">
        <v>3.8931659999999999</v>
      </c>
      <c r="R968" s="152" t="s">
        <v>1327</v>
      </c>
      <c r="S968" s="152">
        <v>102.50620499999999</v>
      </c>
      <c r="T968" s="152">
        <v>0.64383599999999996</v>
      </c>
      <c r="U968" s="152">
        <v>3.0506959999999999</v>
      </c>
      <c r="V968" s="152">
        <v>10.53927</v>
      </c>
      <c r="W968" s="152">
        <v>1000</v>
      </c>
      <c r="X968" s="152" t="s">
        <v>23</v>
      </c>
      <c r="Y968" s="152" t="s">
        <v>1328</v>
      </c>
      <c r="Z968" s="152" t="s">
        <v>1327</v>
      </c>
    </row>
    <row r="969" spans="1:26" x14ac:dyDescent="0.2">
      <c r="A969" s="152" t="s">
        <v>2157</v>
      </c>
      <c r="B969" s="152">
        <v>5.75</v>
      </c>
      <c r="C969" s="151">
        <v>45412</v>
      </c>
      <c r="D969" s="152">
        <v>5.5178079999999996</v>
      </c>
      <c r="E969" s="152" t="s">
        <v>1325</v>
      </c>
      <c r="F969" s="152" t="s">
        <v>1326</v>
      </c>
      <c r="G969" s="152" t="s">
        <v>116</v>
      </c>
      <c r="H969" s="152"/>
      <c r="I969" s="151">
        <v>43350</v>
      </c>
      <c r="J969" s="152">
        <v>5</v>
      </c>
      <c r="K969" s="152" t="s">
        <v>1327</v>
      </c>
      <c r="L969" s="152" t="s">
        <v>1327</v>
      </c>
      <c r="M969" s="152" t="s">
        <v>1327</v>
      </c>
      <c r="N969" s="152" t="s">
        <v>1327</v>
      </c>
      <c r="O969" s="152">
        <v>5.1476360000000003</v>
      </c>
      <c r="P969" s="152">
        <v>276.46635199999997</v>
      </c>
      <c r="Q969" s="152">
        <v>5.1476360000000003</v>
      </c>
      <c r="R969" s="152" t="s">
        <v>1327</v>
      </c>
      <c r="S969" s="152">
        <v>102.864593</v>
      </c>
      <c r="T969" s="152">
        <v>0.26780799999999999</v>
      </c>
      <c r="U969" s="152">
        <v>4.7061950000000001</v>
      </c>
      <c r="V969" s="152">
        <v>25.467471</v>
      </c>
      <c r="W969" s="152">
        <v>1000</v>
      </c>
      <c r="X969" s="152" t="s">
        <v>23</v>
      </c>
      <c r="Y969" s="152" t="s">
        <v>1328</v>
      </c>
      <c r="Z969" s="152" t="s">
        <v>1327</v>
      </c>
    </row>
    <row r="970" spans="1:26" x14ac:dyDescent="0.2">
      <c r="A970" s="152" t="s">
        <v>2158</v>
      </c>
      <c r="B970" s="152">
        <v>5</v>
      </c>
      <c r="C970" s="151">
        <v>45708</v>
      </c>
      <c r="D970" s="152">
        <v>6.328767</v>
      </c>
      <c r="E970" s="152" t="s">
        <v>1325</v>
      </c>
      <c r="F970" s="152" t="s">
        <v>1326</v>
      </c>
      <c r="G970" s="152" t="s">
        <v>116</v>
      </c>
      <c r="H970" s="152"/>
      <c r="I970" s="152">
        <v>43342</v>
      </c>
      <c r="J970" s="152">
        <v>4.3499999999999996</v>
      </c>
      <c r="K970" s="152" t="s">
        <v>1327</v>
      </c>
      <c r="L970" s="152" t="s">
        <v>1327</v>
      </c>
      <c r="M970" s="152" t="s">
        <v>1327</v>
      </c>
      <c r="N970" s="152" t="s">
        <v>1327</v>
      </c>
      <c r="O970" s="152">
        <v>4.4983820000000003</v>
      </c>
      <c r="P970" s="152">
        <v>199.20136400000001</v>
      </c>
      <c r="Q970" s="152">
        <v>4.4983820000000003</v>
      </c>
      <c r="R970" s="152" t="s">
        <v>1327</v>
      </c>
      <c r="S970" s="152">
        <v>102.749717</v>
      </c>
      <c r="T970" s="152">
        <v>0.68493199999999999</v>
      </c>
      <c r="U970" s="152">
        <v>5.3777489999999997</v>
      </c>
      <c r="V970" s="152">
        <v>33.223204000000003</v>
      </c>
      <c r="W970" s="152">
        <v>1000</v>
      </c>
      <c r="X970" s="152" t="s">
        <v>23</v>
      </c>
      <c r="Y970" s="152" t="s">
        <v>1328</v>
      </c>
      <c r="Z970" s="152" t="s">
        <v>1327</v>
      </c>
    </row>
    <row r="971" spans="1:26" x14ac:dyDescent="0.2">
      <c r="A971" s="152" t="s">
        <v>671</v>
      </c>
      <c r="B971" s="152">
        <v>2.1</v>
      </c>
      <c r="C971" s="151">
        <v>43682</v>
      </c>
      <c r="D971" s="152">
        <v>0.77808200000000005</v>
      </c>
      <c r="E971" s="152" t="s">
        <v>1325</v>
      </c>
      <c r="F971" s="152" t="s">
        <v>1326</v>
      </c>
      <c r="G971" s="152"/>
      <c r="H971" s="152"/>
      <c r="I971" s="152">
        <v>43392</v>
      </c>
      <c r="J971" s="152">
        <v>2.1</v>
      </c>
      <c r="K971" s="152" t="s">
        <v>1327</v>
      </c>
      <c r="L971" s="152" t="s">
        <v>1327</v>
      </c>
      <c r="M971" s="152" t="s">
        <v>1327</v>
      </c>
      <c r="N971" s="152" t="s">
        <v>1327</v>
      </c>
      <c r="O971" s="152">
        <v>2.1133730000000002</v>
      </c>
      <c r="P971" s="152">
        <v>33.499201999999997</v>
      </c>
      <c r="Q971" s="152">
        <v>2.1133730000000002</v>
      </c>
      <c r="R971" s="152" t="s">
        <v>1327</v>
      </c>
      <c r="S971" s="152">
        <v>99.979693999999995</v>
      </c>
      <c r="T971" s="152">
        <v>0.46602700000000002</v>
      </c>
      <c r="U971" s="152">
        <v>0.76887099999999997</v>
      </c>
      <c r="V971" s="152">
        <v>0.97409699999999999</v>
      </c>
      <c r="W971" s="152">
        <v>1000</v>
      </c>
      <c r="X971" s="152" t="s">
        <v>23</v>
      </c>
      <c r="Y971" s="152" t="s">
        <v>1328</v>
      </c>
      <c r="Z971" s="152" t="s">
        <v>1327</v>
      </c>
    </row>
    <row r="972" spans="1:26" x14ac:dyDescent="0.2">
      <c r="A972" s="152" t="s">
        <v>673</v>
      </c>
      <c r="B972" s="152">
        <v>3.47</v>
      </c>
      <c r="C972" s="151">
        <v>43825</v>
      </c>
      <c r="D972" s="152">
        <v>1.1698630000000001</v>
      </c>
      <c r="E972" s="152" t="s">
        <v>1325</v>
      </c>
      <c r="F972" s="152" t="s">
        <v>1326</v>
      </c>
      <c r="G972" s="152"/>
      <c r="H972" s="152"/>
      <c r="I972" s="152">
        <v>43355</v>
      </c>
      <c r="J972" s="152">
        <v>2.1</v>
      </c>
      <c r="K972" s="152" t="s">
        <v>1327</v>
      </c>
      <c r="L972" s="152" t="s">
        <v>1327</v>
      </c>
      <c r="M972" s="152" t="s">
        <v>1327</v>
      </c>
      <c r="N972" s="152" t="s">
        <v>1327</v>
      </c>
      <c r="O972" s="152">
        <v>2.2806009999999999</v>
      </c>
      <c r="P972" s="152">
        <v>45.245862000000002</v>
      </c>
      <c r="Q972" s="152">
        <v>2.2806009999999999</v>
      </c>
      <c r="R972" s="152" t="s">
        <v>1327</v>
      </c>
      <c r="S972" s="152">
        <v>101.358408</v>
      </c>
      <c r="T972" s="152">
        <v>1.1503289999999999</v>
      </c>
      <c r="U972" s="152">
        <v>1.1317619999999999</v>
      </c>
      <c r="V972" s="152">
        <v>1.860322</v>
      </c>
      <c r="W972" s="152">
        <v>1000</v>
      </c>
      <c r="X972" s="152" t="s">
        <v>23</v>
      </c>
      <c r="Y972" s="152" t="s">
        <v>1328</v>
      </c>
      <c r="Z972" s="152" t="s">
        <v>1327</v>
      </c>
    </row>
    <row r="973" spans="1:26" x14ac:dyDescent="0.2">
      <c r="A973" s="152" t="s">
        <v>2159</v>
      </c>
      <c r="B973" s="152">
        <v>2.25</v>
      </c>
      <c r="C973" s="151">
        <v>43752</v>
      </c>
      <c r="D973" s="152">
        <v>0.96986300000000003</v>
      </c>
      <c r="E973" s="152" t="s">
        <v>1325</v>
      </c>
      <c r="F973" s="152" t="s">
        <v>1326</v>
      </c>
      <c r="G973" s="152"/>
      <c r="H973" s="152"/>
      <c r="I973" s="152">
        <v>43392</v>
      </c>
      <c r="J973" s="152">
        <v>2.1800000000000002</v>
      </c>
      <c r="K973" s="152" t="s">
        <v>1327</v>
      </c>
      <c r="L973" s="152" t="s">
        <v>1327</v>
      </c>
      <c r="M973" s="152" t="s">
        <v>1327</v>
      </c>
      <c r="N973" s="152" t="s">
        <v>1327</v>
      </c>
      <c r="O973" s="152">
        <v>2.1868919999999998</v>
      </c>
      <c r="P973" s="152">
        <v>38.426068999999998</v>
      </c>
      <c r="Q973" s="152">
        <v>2.1868919999999998</v>
      </c>
      <c r="R973" s="152" t="s">
        <v>1327</v>
      </c>
      <c r="S973" s="152">
        <v>100.06287399999999</v>
      </c>
      <c r="T973" s="152">
        <v>6.7807999999999993E-2</v>
      </c>
      <c r="U973" s="152">
        <v>0.95251699999999995</v>
      </c>
      <c r="V973" s="152">
        <v>1.381087</v>
      </c>
      <c r="W973" s="152">
        <v>1000</v>
      </c>
      <c r="X973" s="152" t="s">
        <v>23</v>
      </c>
      <c r="Y973" s="152" t="s">
        <v>1328</v>
      </c>
      <c r="Z973" s="152" t="s">
        <v>1327</v>
      </c>
    </row>
    <row r="974" spans="1:26" x14ac:dyDescent="0.2">
      <c r="A974" s="152" t="s">
        <v>2160</v>
      </c>
      <c r="B974" s="152">
        <v>2.48</v>
      </c>
      <c r="C974" s="151">
        <v>43948</v>
      </c>
      <c r="D974" s="152">
        <v>1.5068490000000001</v>
      </c>
      <c r="E974" s="152" t="s">
        <v>1325</v>
      </c>
      <c r="F974" s="152" t="s">
        <v>1326</v>
      </c>
      <c r="G974" s="152"/>
      <c r="H974" s="152"/>
      <c r="I974" s="152">
        <v>43390</v>
      </c>
      <c r="J974" s="152">
        <v>2.4700000000000002</v>
      </c>
      <c r="K974" s="152" t="s">
        <v>1327</v>
      </c>
      <c r="L974" s="152" t="s">
        <v>1327</v>
      </c>
      <c r="M974" s="152" t="s">
        <v>1327</v>
      </c>
      <c r="N974" s="152" t="s">
        <v>1327</v>
      </c>
      <c r="O974" s="152">
        <v>2.4747629999999998</v>
      </c>
      <c r="P974" s="152">
        <v>55.677590000000002</v>
      </c>
      <c r="Q974" s="152">
        <v>2.4747629999999998</v>
      </c>
      <c r="R974" s="152" t="s">
        <v>1327</v>
      </c>
      <c r="S974" s="152">
        <v>100.007777</v>
      </c>
      <c r="T974" s="152">
        <v>-1.3589E-2</v>
      </c>
      <c r="U974" s="152">
        <v>1.469006</v>
      </c>
      <c r="V974" s="152">
        <v>2.8980779999999999</v>
      </c>
      <c r="W974" s="152">
        <v>1000</v>
      </c>
      <c r="X974" s="152" t="s">
        <v>23</v>
      </c>
      <c r="Y974" s="152" t="s">
        <v>1328</v>
      </c>
      <c r="Z974" s="152" t="s">
        <v>1327</v>
      </c>
    </row>
    <row r="975" spans="1:26" x14ac:dyDescent="0.2">
      <c r="A975" s="152" t="s">
        <v>2161</v>
      </c>
      <c r="B975" s="152">
        <v>2.5499999999999998</v>
      </c>
      <c r="C975" s="151">
        <v>44123</v>
      </c>
      <c r="D975" s="152">
        <v>1.9863010000000001</v>
      </c>
      <c r="E975" s="152" t="s">
        <v>1325</v>
      </c>
      <c r="F975" s="152" t="s">
        <v>1326</v>
      </c>
      <c r="G975" s="152"/>
      <c r="H975" s="152"/>
      <c r="I975" s="152" t="s">
        <v>1327</v>
      </c>
      <c r="J975" s="152" t="s">
        <v>1327</v>
      </c>
      <c r="K975" s="152" t="s">
        <v>1327</v>
      </c>
      <c r="L975" s="152" t="s">
        <v>1327</v>
      </c>
      <c r="M975" s="152" t="s">
        <v>1327</v>
      </c>
      <c r="N975" s="152" t="s">
        <v>1327</v>
      </c>
      <c r="O975" s="152">
        <v>2.5546760000000002</v>
      </c>
      <c r="P975" s="152">
        <v>54.020159999999997</v>
      </c>
      <c r="Q975" s="152">
        <v>2.5546760000000002</v>
      </c>
      <c r="R975" s="152" t="s">
        <v>1327</v>
      </c>
      <c r="S975" s="152">
        <v>99.994232999999994</v>
      </c>
      <c r="T975" s="152">
        <v>4.1917999999999997E-2</v>
      </c>
      <c r="U975" s="152">
        <v>1.92021</v>
      </c>
      <c r="V975" s="152">
        <v>4.6765639999999999</v>
      </c>
      <c r="W975" s="152">
        <v>1000</v>
      </c>
      <c r="X975" s="152" t="s">
        <v>23</v>
      </c>
      <c r="Y975" s="152" t="s">
        <v>1328</v>
      </c>
      <c r="Z975" s="152" t="s">
        <v>1327</v>
      </c>
    </row>
    <row r="976" spans="1:26" x14ac:dyDescent="0.2">
      <c r="A976" s="152" t="s">
        <v>2162</v>
      </c>
      <c r="B976" s="152">
        <v>2</v>
      </c>
      <c r="C976" s="151">
        <v>44243</v>
      </c>
      <c r="D976" s="152">
        <v>2.3150680000000001</v>
      </c>
      <c r="E976" s="152" t="s">
        <v>1325</v>
      </c>
      <c r="F976" s="152" t="s">
        <v>1326</v>
      </c>
      <c r="G976" s="152"/>
      <c r="H976" s="152"/>
      <c r="I976" s="152">
        <v>43391</v>
      </c>
      <c r="J976" s="152">
        <v>2.58</v>
      </c>
      <c r="K976" s="152" t="s">
        <v>1327</v>
      </c>
      <c r="L976" s="152" t="s">
        <v>1327</v>
      </c>
      <c r="M976" s="152" t="s">
        <v>1327</v>
      </c>
      <c r="N976" s="152" t="s">
        <v>1327</v>
      </c>
      <c r="O976" s="152">
        <v>2.582071</v>
      </c>
      <c r="P976" s="152">
        <v>54.125214</v>
      </c>
      <c r="Q976" s="152">
        <v>2.582071</v>
      </c>
      <c r="R976" s="152" t="s">
        <v>1327</v>
      </c>
      <c r="S976" s="152">
        <v>98.691846999999996</v>
      </c>
      <c r="T976" s="152">
        <v>0.38356200000000001</v>
      </c>
      <c r="U976" s="152">
        <v>2.234057</v>
      </c>
      <c r="V976" s="152">
        <v>6.1639920000000004</v>
      </c>
      <c r="W976" s="152">
        <v>1000</v>
      </c>
      <c r="X976" s="152" t="s">
        <v>23</v>
      </c>
      <c r="Y976" s="152" t="s">
        <v>1328</v>
      </c>
      <c r="Z976" s="152" t="s">
        <v>1327</v>
      </c>
    </row>
    <row r="977" spans="1:26" x14ac:dyDescent="0.2">
      <c r="A977" s="152" t="s">
        <v>2163</v>
      </c>
      <c r="B977" s="152">
        <v>3</v>
      </c>
      <c r="C977" s="151">
        <v>44491</v>
      </c>
      <c r="D977" s="152">
        <v>2.9945210000000002</v>
      </c>
      <c r="E977" s="152" t="s">
        <v>1325</v>
      </c>
      <c r="F977" s="152" t="s">
        <v>1326</v>
      </c>
      <c r="G977" s="152"/>
      <c r="H977" s="152"/>
      <c r="I977" s="152" t="s">
        <v>1327</v>
      </c>
      <c r="J977" s="152" t="s">
        <v>1327</v>
      </c>
      <c r="K977" s="152" t="s">
        <v>1327</v>
      </c>
      <c r="L977" s="152" t="s">
        <v>1327</v>
      </c>
      <c r="M977" s="152" t="s">
        <v>1327</v>
      </c>
      <c r="N977" s="152" t="s">
        <v>1327</v>
      </c>
      <c r="O977" s="152">
        <v>2.9976989999999999</v>
      </c>
      <c r="P977" s="152">
        <v>88.825281000000004</v>
      </c>
      <c r="Q977" s="152">
        <v>2.9976989999999999</v>
      </c>
      <c r="R977" s="152" t="s">
        <v>1327</v>
      </c>
      <c r="S977" s="152">
        <v>100.010435</v>
      </c>
      <c r="T977" s="152">
        <v>2.4657999999999999E-2</v>
      </c>
      <c r="U977" s="152">
        <v>2.8391829999999998</v>
      </c>
      <c r="V977" s="152">
        <v>9.6427300000000002</v>
      </c>
      <c r="W977" s="152">
        <v>1000</v>
      </c>
      <c r="X977" s="152" t="s">
        <v>23</v>
      </c>
      <c r="Y977" s="152" t="s">
        <v>1328</v>
      </c>
      <c r="Z977" s="152" t="s">
        <v>1327</v>
      </c>
    </row>
    <row r="978" spans="1:26" x14ac:dyDescent="0.2">
      <c r="A978" s="152" t="s">
        <v>2164</v>
      </c>
      <c r="B978" s="152">
        <v>3.5</v>
      </c>
      <c r="C978" s="151">
        <v>47019</v>
      </c>
      <c r="D978" s="152">
        <v>9.9205480000000001</v>
      </c>
      <c r="E978" s="152" t="s">
        <v>1325</v>
      </c>
      <c r="F978" s="152" t="s">
        <v>1326</v>
      </c>
      <c r="G978" s="152"/>
      <c r="H978" s="152" t="s">
        <v>27</v>
      </c>
      <c r="I978" s="151" t="s">
        <v>1327</v>
      </c>
      <c r="J978" s="152" t="s">
        <v>1327</v>
      </c>
      <c r="K978" s="152" t="s">
        <v>1327</v>
      </c>
      <c r="L978" s="152" t="s">
        <v>1327</v>
      </c>
      <c r="M978" s="152" t="s">
        <v>1327</v>
      </c>
      <c r="N978" s="152" t="s">
        <v>1327</v>
      </c>
      <c r="O978" s="152">
        <v>3.5726719999999998</v>
      </c>
      <c r="P978" s="152">
        <v>79.914316999999997</v>
      </c>
      <c r="Q978" s="152">
        <v>3.5726719999999998</v>
      </c>
      <c r="R978" s="152" t="s">
        <v>1327</v>
      </c>
      <c r="S978" s="152">
        <v>99.397178999999994</v>
      </c>
      <c r="T978" s="152">
        <v>0.30684899999999998</v>
      </c>
      <c r="U978" s="152">
        <v>8.3120170000000009</v>
      </c>
      <c r="V978" s="152">
        <v>79.009962999999999</v>
      </c>
      <c r="W978" s="152">
        <v>1000</v>
      </c>
      <c r="X978" s="152" t="s">
        <v>23</v>
      </c>
      <c r="Y978" s="152" t="s">
        <v>1328</v>
      </c>
      <c r="Z978" s="152" t="s">
        <v>1327</v>
      </c>
    </row>
    <row r="979" spans="1:26" x14ac:dyDescent="0.2">
      <c r="A979" s="152" t="s">
        <v>2165</v>
      </c>
      <c r="B979" s="152">
        <v>3.94</v>
      </c>
      <c r="C979" s="151">
        <v>43608</v>
      </c>
      <c r="D979" s="152">
        <v>0.57534200000000002</v>
      </c>
      <c r="E979" s="152" t="s">
        <v>1325</v>
      </c>
      <c r="F979" s="152" t="s">
        <v>1326</v>
      </c>
      <c r="G979" s="152"/>
      <c r="H979" s="152" t="s">
        <v>58</v>
      </c>
      <c r="I979" s="151">
        <v>43391</v>
      </c>
      <c r="J979" s="152">
        <v>1.96</v>
      </c>
      <c r="K979" s="152" t="s">
        <v>1327</v>
      </c>
      <c r="L979" s="152" t="s">
        <v>1327</v>
      </c>
      <c r="M979" s="152" t="s">
        <v>1327</v>
      </c>
      <c r="N979" s="152" t="s">
        <v>1327</v>
      </c>
      <c r="O979" s="152">
        <v>1.9729449999999999</v>
      </c>
      <c r="P979" s="152">
        <v>22.636372000000001</v>
      </c>
      <c r="Q979" s="152">
        <v>1.9729449999999999</v>
      </c>
      <c r="R979" s="152" t="s">
        <v>1327</v>
      </c>
      <c r="S979" s="152">
        <v>101.110316</v>
      </c>
      <c r="T979" s="152">
        <v>1.6731510000000001</v>
      </c>
      <c r="U979" s="152">
        <v>0.56431699999999996</v>
      </c>
      <c r="V979" s="152">
        <v>0.60245700000000002</v>
      </c>
      <c r="W979" s="152">
        <v>1000</v>
      </c>
      <c r="X979" s="152" t="s">
        <v>23</v>
      </c>
      <c r="Y979" s="152" t="s">
        <v>1328</v>
      </c>
      <c r="Z979" s="152" t="s">
        <v>1327</v>
      </c>
    </row>
    <row r="980" spans="1:26" x14ac:dyDescent="0.2">
      <c r="A980" s="152" t="s">
        <v>202</v>
      </c>
      <c r="B980" s="152">
        <v>2.15</v>
      </c>
      <c r="C980" s="151">
        <v>43795</v>
      </c>
      <c r="D980" s="152">
        <v>1.0876710000000001</v>
      </c>
      <c r="E980" s="152" t="s">
        <v>1325</v>
      </c>
      <c r="F980" s="152" t="s">
        <v>1326</v>
      </c>
      <c r="G980" s="152"/>
      <c r="H980" s="152" t="s">
        <v>58</v>
      </c>
      <c r="I980" s="151">
        <v>43375</v>
      </c>
      <c r="J980" s="152">
        <v>2.11</v>
      </c>
      <c r="K980" s="152" t="s">
        <v>1327</v>
      </c>
      <c r="L980" s="152" t="s">
        <v>1327</v>
      </c>
      <c r="M980" s="152" t="s">
        <v>1327</v>
      </c>
      <c r="N980" s="152" t="s">
        <v>1327</v>
      </c>
      <c r="O980" s="152">
        <v>2.1593100000000001</v>
      </c>
      <c r="P980" s="152">
        <v>34.509059000000001</v>
      </c>
      <c r="Q980" s="152">
        <v>2.1593100000000001</v>
      </c>
      <c r="R980" s="152" t="s">
        <v>1327</v>
      </c>
      <c r="S980" s="152">
        <v>99.980373999999998</v>
      </c>
      <c r="T980" s="152">
        <v>0.89534199999999997</v>
      </c>
      <c r="U980" s="152">
        <v>1.060325</v>
      </c>
      <c r="V980" s="152">
        <v>1.6615279999999999</v>
      </c>
      <c r="W980" s="152">
        <v>1000</v>
      </c>
      <c r="X980" s="152" t="s">
        <v>23</v>
      </c>
      <c r="Y980" s="152" t="s">
        <v>1328</v>
      </c>
      <c r="Z980" s="152" t="s">
        <v>1327</v>
      </c>
    </row>
    <row r="981" spans="1:26" x14ac:dyDescent="0.2">
      <c r="A981" s="152" t="s">
        <v>2166</v>
      </c>
      <c r="B981" s="152">
        <v>1.86</v>
      </c>
      <c r="C981" s="151">
        <v>43929</v>
      </c>
      <c r="D981" s="152">
        <v>1.4547950000000001</v>
      </c>
      <c r="E981" s="152" t="s">
        <v>1325</v>
      </c>
      <c r="F981" s="152" t="s">
        <v>1326</v>
      </c>
      <c r="G981" s="152"/>
      <c r="H981" s="152" t="s">
        <v>58</v>
      </c>
      <c r="I981" s="151">
        <v>43383</v>
      </c>
      <c r="J981" s="152">
        <v>2.36</v>
      </c>
      <c r="K981" s="152" t="s">
        <v>1327</v>
      </c>
      <c r="L981" s="152" t="s">
        <v>1327</v>
      </c>
      <c r="M981" s="152" t="s">
        <v>1327</v>
      </c>
      <c r="N981" s="152" t="s">
        <v>1327</v>
      </c>
      <c r="O981" s="152">
        <v>2.367575</v>
      </c>
      <c r="P981" s="152">
        <v>46.021802000000001</v>
      </c>
      <c r="Q981" s="152">
        <v>2.367575</v>
      </c>
      <c r="R981" s="152" t="s">
        <v>1327</v>
      </c>
      <c r="S981" s="152">
        <v>99.281755000000004</v>
      </c>
      <c r="T981" s="152">
        <v>8.6629999999999999E-2</v>
      </c>
      <c r="U981" s="152">
        <v>1.4213929999999999</v>
      </c>
      <c r="V981" s="152">
        <v>2.7338309999999999</v>
      </c>
      <c r="W981" s="152">
        <v>1000</v>
      </c>
      <c r="X981" s="152" t="s">
        <v>23</v>
      </c>
      <c r="Y981" s="152" t="s">
        <v>1328</v>
      </c>
      <c r="Z981" s="152" t="s">
        <v>1327</v>
      </c>
    </row>
    <row r="982" spans="1:26" x14ac:dyDescent="0.2">
      <c r="A982" s="152" t="s">
        <v>2167</v>
      </c>
      <c r="B982" s="152">
        <v>2.06</v>
      </c>
      <c r="C982" s="151">
        <v>43976</v>
      </c>
      <c r="D982" s="152">
        <v>1.5835619999999999</v>
      </c>
      <c r="E982" s="152" t="s">
        <v>1325</v>
      </c>
      <c r="F982" s="152" t="s">
        <v>1326</v>
      </c>
      <c r="G982" s="152"/>
      <c r="H982" s="152" t="s">
        <v>58</v>
      </c>
      <c r="I982" s="151">
        <v>43374</v>
      </c>
      <c r="J982" s="152">
        <v>2.33</v>
      </c>
      <c r="K982" s="152" t="s">
        <v>1327</v>
      </c>
      <c r="L982" s="152" t="s">
        <v>1327</v>
      </c>
      <c r="M982" s="152" t="s">
        <v>1327</v>
      </c>
      <c r="N982" s="152" t="s">
        <v>1327</v>
      </c>
      <c r="O982" s="152">
        <v>2.3818670000000002</v>
      </c>
      <c r="P982" s="152">
        <v>44.642305</v>
      </c>
      <c r="Q982" s="152">
        <v>2.3818670000000002</v>
      </c>
      <c r="R982" s="152" t="s">
        <v>1327</v>
      </c>
      <c r="S982" s="152">
        <v>99.492947999999998</v>
      </c>
      <c r="T982" s="152">
        <v>0.86350700000000002</v>
      </c>
      <c r="U982" s="152">
        <v>1.536149</v>
      </c>
      <c r="V982" s="152">
        <v>3.1527159999999999</v>
      </c>
      <c r="W982" s="152">
        <v>1000</v>
      </c>
      <c r="X982" s="152" t="s">
        <v>23</v>
      </c>
      <c r="Y982" s="152" t="s">
        <v>1328</v>
      </c>
      <c r="Z982" s="152" t="s">
        <v>1327</v>
      </c>
    </row>
    <row r="983" spans="1:26" x14ac:dyDescent="0.2">
      <c r="A983" s="152" t="s">
        <v>2168</v>
      </c>
      <c r="B983" s="152">
        <v>2.61</v>
      </c>
      <c r="C983" s="151">
        <v>44342</v>
      </c>
      <c r="D983" s="152">
        <v>2.5863010000000002</v>
      </c>
      <c r="E983" s="152" t="s">
        <v>1325</v>
      </c>
      <c r="F983" s="152" t="s">
        <v>1326</v>
      </c>
      <c r="G983" s="152"/>
      <c r="H983" s="152" t="s">
        <v>58</v>
      </c>
      <c r="I983" s="151">
        <v>43354</v>
      </c>
      <c r="J983" s="152">
        <v>2.46</v>
      </c>
      <c r="K983" s="152" t="s">
        <v>1327</v>
      </c>
      <c r="L983" s="152" t="s">
        <v>1327</v>
      </c>
      <c r="M983" s="152" t="s">
        <v>1327</v>
      </c>
      <c r="N983" s="152" t="s">
        <v>1327</v>
      </c>
      <c r="O983" s="152">
        <v>2.5717129999999999</v>
      </c>
      <c r="P983" s="152">
        <v>51.605631000000002</v>
      </c>
      <c r="Q983" s="152">
        <v>2.5717129999999999</v>
      </c>
      <c r="R983" s="152" t="s">
        <v>1327</v>
      </c>
      <c r="S983" s="152">
        <v>100.083325</v>
      </c>
      <c r="T983" s="152">
        <v>1.0869040000000001</v>
      </c>
      <c r="U983" s="152">
        <v>2.4611170000000002</v>
      </c>
      <c r="V983" s="152">
        <v>7.4337749999999998</v>
      </c>
      <c r="W983" s="152">
        <v>1000</v>
      </c>
      <c r="X983" s="152" t="s">
        <v>23</v>
      </c>
      <c r="Y983" s="152" t="s">
        <v>1328</v>
      </c>
      <c r="Z983" s="152" t="s">
        <v>1327</v>
      </c>
    </row>
    <row r="984" spans="1:26" x14ac:dyDescent="0.2">
      <c r="A984" s="152" t="s">
        <v>2169</v>
      </c>
      <c r="B984" s="152">
        <v>2.1800000000000002</v>
      </c>
      <c r="C984" s="151">
        <v>44341</v>
      </c>
      <c r="D984" s="152">
        <v>2.5835620000000001</v>
      </c>
      <c r="E984" s="152" t="s">
        <v>1325</v>
      </c>
      <c r="F984" s="152" t="s">
        <v>1326</v>
      </c>
      <c r="G984" s="152"/>
      <c r="H984" s="152" t="s">
        <v>58</v>
      </c>
      <c r="I984" s="151">
        <v>43354</v>
      </c>
      <c r="J984" s="152">
        <v>2.42</v>
      </c>
      <c r="K984" s="152" t="s">
        <v>1327</v>
      </c>
      <c r="L984" s="152" t="s">
        <v>1327</v>
      </c>
      <c r="M984" s="152" t="s">
        <v>1327</v>
      </c>
      <c r="N984" s="152" t="s">
        <v>1327</v>
      </c>
      <c r="O984" s="152">
        <v>2.53173</v>
      </c>
      <c r="P984" s="152">
        <v>47.513219999999997</v>
      </c>
      <c r="Q984" s="152">
        <v>2.53173</v>
      </c>
      <c r="R984" s="152" t="s">
        <v>1327</v>
      </c>
      <c r="S984" s="152">
        <v>99.115333000000007</v>
      </c>
      <c r="T984" s="152">
        <v>0.91380799999999995</v>
      </c>
      <c r="U984" s="152">
        <v>2.4734159999999998</v>
      </c>
      <c r="V984" s="152">
        <v>7.476915</v>
      </c>
      <c r="W984" s="152">
        <v>1000</v>
      </c>
      <c r="X984" s="152" t="s">
        <v>23</v>
      </c>
      <c r="Y984" s="152" t="s">
        <v>1328</v>
      </c>
      <c r="Z984" s="152" t="s">
        <v>1327</v>
      </c>
    </row>
    <row r="985" spans="1:26" x14ac:dyDescent="0.2">
      <c r="A985" s="152" t="s">
        <v>2170</v>
      </c>
      <c r="B985" s="152">
        <v>2.42</v>
      </c>
      <c r="C985" s="151">
        <v>44706</v>
      </c>
      <c r="D985" s="152">
        <v>3.5835620000000001</v>
      </c>
      <c r="E985" s="152" t="s">
        <v>1325</v>
      </c>
      <c r="F985" s="152" t="s">
        <v>1326</v>
      </c>
      <c r="G985" s="152"/>
      <c r="H985" s="152" t="s">
        <v>58</v>
      </c>
      <c r="I985" s="151">
        <v>43307</v>
      </c>
      <c r="J985" s="152">
        <v>2.5049999999999999</v>
      </c>
      <c r="K985" s="152" t="s">
        <v>1327</v>
      </c>
      <c r="L985" s="152" t="s">
        <v>1327</v>
      </c>
      <c r="M985" s="152" t="s">
        <v>1327</v>
      </c>
      <c r="N985" s="152" t="s">
        <v>1327</v>
      </c>
      <c r="O985" s="152">
        <v>2.7715670000000001</v>
      </c>
      <c r="P985" s="152">
        <v>49.356346000000002</v>
      </c>
      <c r="Q985" s="152">
        <v>2.7715670000000001</v>
      </c>
      <c r="R985" s="152" t="s">
        <v>1327</v>
      </c>
      <c r="S985" s="152">
        <v>98.796961999999994</v>
      </c>
      <c r="T985" s="152">
        <v>1.014411</v>
      </c>
      <c r="U985" s="152">
        <v>3.3734099999999998</v>
      </c>
      <c r="V985" s="152">
        <v>13.421168</v>
      </c>
      <c r="W985" s="152">
        <v>1000</v>
      </c>
      <c r="X985" s="152" t="s">
        <v>23</v>
      </c>
      <c r="Y985" s="152" t="s">
        <v>1328</v>
      </c>
      <c r="Z985" s="152" t="s">
        <v>1327</v>
      </c>
    </row>
    <row r="986" spans="1:26" x14ac:dyDescent="0.2">
      <c r="A986" s="152" t="s">
        <v>2171</v>
      </c>
      <c r="B986" s="152">
        <v>2.74</v>
      </c>
      <c r="C986" s="151">
        <v>46120</v>
      </c>
      <c r="D986" s="152">
        <v>7.4575339999999999</v>
      </c>
      <c r="E986" s="152" t="s">
        <v>1325</v>
      </c>
      <c r="F986" s="152" t="s">
        <v>1326</v>
      </c>
      <c r="G986" s="152"/>
      <c r="H986" s="152" t="s">
        <v>58</v>
      </c>
      <c r="I986" s="151">
        <v>43195</v>
      </c>
      <c r="J986" s="152">
        <v>2.92</v>
      </c>
      <c r="K986" s="152" t="s">
        <v>1327</v>
      </c>
      <c r="L986" s="152" t="s">
        <v>1327</v>
      </c>
      <c r="M986" s="152" t="s">
        <v>1327</v>
      </c>
      <c r="N986" s="152" t="s">
        <v>1327</v>
      </c>
      <c r="O986" s="152">
        <v>3.3205900000000002</v>
      </c>
      <c r="P986" s="152">
        <v>63.275350000000003</v>
      </c>
      <c r="Q986" s="152">
        <v>3.3205900000000002</v>
      </c>
      <c r="R986" s="152" t="s">
        <v>1327</v>
      </c>
      <c r="S986" s="152">
        <v>96.197714000000005</v>
      </c>
      <c r="T986" s="152">
        <v>0.12761600000000001</v>
      </c>
      <c r="U986" s="152">
        <v>6.6555010000000001</v>
      </c>
      <c r="V986" s="152">
        <v>50.384304999999998</v>
      </c>
      <c r="W986" s="152">
        <v>1000</v>
      </c>
      <c r="X986" s="152" t="s">
        <v>23</v>
      </c>
      <c r="Y986" s="152" t="s">
        <v>1328</v>
      </c>
      <c r="Z986" s="152" t="s">
        <v>1327</v>
      </c>
    </row>
    <row r="987" spans="1:26" x14ac:dyDescent="0.2">
      <c r="A987" s="152" t="s">
        <v>2172</v>
      </c>
      <c r="B987" s="152">
        <v>4.75</v>
      </c>
      <c r="C987" s="151">
        <v>43836</v>
      </c>
      <c r="D987" s="152">
        <v>1.2</v>
      </c>
      <c r="E987" s="152" t="s">
        <v>1325</v>
      </c>
      <c r="F987" s="152" t="s">
        <v>1326</v>
      </c>
      <c r="G987" s="152"/>
      <c r="H987" s="152"/>
      <c r="I987" s="151" t="s">
        <v>1327</v>
      </c>
      <c r="J987" s="152" t="s">
        <v>1327</v>
      </c>
      <c r="K987" s="152" t="s">
        <v>1327</v>
      </c>
      <c r="L987" s="152" t="s">
        <v>1327</v>
      </c>
      <c r="M987" s="152" t="s">
        <v>1327</v>
      </c>
      <c r="N987" s="152" t="s">
        <v>1327</v>
      </c>
      <c r="O987" s="152">
        <v>4.9655339999999999</v>
      </c>
      <c r="P987" s="152">
        <v>318.03083700000002</v>
      </c>
      <c r="Q987" s="152">
        <v>4.9655339999999999</v>
      </c>
      <c r="R987" s="152" t="s">
        <v>1327</v>
      </c>
      <c r="S987" s="152">
        <v>99.725375</v>
      </c>
      <c r="T987" s="152">
        <v>1.4445209999999999</v>
      </c>
      <c r="U987" s="152">
        <v>1.1371789999999999</v>
      </c>
      <c r="V987" s="152">
        <v>1.8743840000000001</v>
      </c>
      <c r="W987" s="152">
        <v>1000</v>
      </c>
      <c r="X987" s="152" t="s">
        <v>23</v>
      </c>
      <c r="Y987" s="152" t="s">
        <v>1328</v>
      </c>
      <c r="Z987" s="152" t="s">
        <v>1327</v>
      </c>
    </row>
    <row r="988" spans="1:26" x14ac:dyDescent="0.2">
      <c r="A988" s="152" t="s">
        <v>2173</v>
      </c>
      <c r="B988" s="152">
        <v>2.17</v>
      </c>
      <c r="C988" s="151">
        <v>43675</v>
      </c>
      <c r="D988" s="152">
        <v>0.75890400000000002</v>
      </c>
      <c r="E988" s="152" t="s">
        <v>1325</v>
      </c>
      <c r="F988" s="152" t="s">
        <v>1326</v>
      </c>
      <c r="G988" s="152"/>
      <c r="H988" s="152"/>
      <c r="I988" s="151">
        <v>42891</v>
      </c>
      <c r="J988" s="152">
        <v>2.15</v>
      </c>
      <c r="K988" s="152" t="s">
        <v>1327</v>
      </c>
      <c r="L988" s="152" t="s">
        <v>1327</v>
      </c>
      <c r="M988" s="152" t="s">
        <v>1327</v>
      </c>
      <c r="N988" s="152" t="s">
        <v>1327</v>
      </c>
      <c r="O988" s="152">
        <v>2.4612959999999999</v>
      </c>
      <c r="P988" s="152">
        <v>69.045794000000001</v>
      </c>
      <c r="Q988" s="152">
        <v>2.4612959999999999</v>
      </c>
      <c r="R988" s="152" t="s">
        <v>1327</v>
      </c>
      <c r="S988" s="152">
        <v>99.770571000000004</v>
      </c>
      <c r="T988" s="152">
        <v>0.52317800000000003</v>
      </c>
      <c r="U988" s="152">
        <v>0.74842900000000001</v>
      </c>
      <c r="V988" s="152">
        <v>0.93240500000000004</v>
      </c>
      <c r="W988" s="152">
        <v>1000</v>
      </c>
      <c r="X988" s="152" t="s">
        <v>23</v>
      </c>
      <c r="Y988" s="152" t="s">
        <v>1328</v>
      </c>
      <c r="Z988" s="152" t="s">
        <v>1327</v>
      </c>
    </row>
    <row r="989" spans="1:26" x14ac:dyDescent="0.2">
      <c r="A989" s="152" t="s">
        <v>2174</v>
      </c>
      <c r="B989" s="152">
        <v>0</v>
      </c>
      <c r="C989" s="151">
        <v>43560</v>
      </c>
      <c r="D989" s="152">
        <v>0.44383600000000001</v>
      </c>
      <c r="E989" s="152" t="s">
        <v>1325</v>
      </c>
      <c r="F989" s="152" t="s">
        <v>1326</v>
      </c>
      <c r="G989" s="152"/>
      <c r="H989" s="152"/>
      <c r="I989" s="151">
        <v>43202</v>
      </c>
      <c r="J989" s="152">
        <v>2.0499999999999998</v>
      </c>
      <c r="K989" s="152" t="s">
        <v>1327</v>
      </c>
      <c r="L989" s="152" t="s">
        <v>1327</v>
      </c>
      <c r="M989" s="152" t="s">
        <v>1327</v>
      </c>
      <c r="N989" s="152" t="s">
        <v>1327</v>
      </c>
      <c r="O989" s="152">
        <v>2.3870390000000001</v>
      </c>
      <c r="P989" s="152">
        <v>68.315821999999997</v>
      </c>
      <c r="Q989" s="152">
        <v>2.3870390000000001</v>
      </c>
      <c r="R989" s="152" t="s">
        <v>1327</v>
      </c>
      <c r="S989" s="152">
        <v>98.951654000000005</v>
      </c>
      <c r="T989" s="152">
        <v>0</v>
      </c>
      <c r="U989" s="152">
        <v>0.43918299999999999</v>
      </c>
      <c r="V989" s="152">
        <v>0.38576300000000002</v>
      </c>
      <c r="W989" s="152">
        <v>1000</v>
      </c>
      <c r="X989" s="152" t="s">
        <v>23</v>
      </c>
      <c r="Y989" s="152" t="s">
        <v>1921</v>
      </c>
      <c r="Z989" s="152" t="s">
        <v>1327</v>
      </c>
    </row>
    <row r="990" spans="1:26" x14ac:dyDescent="0.2">
      <c r="A990" s="152" t="s">
        <v>2175</v>
      </c>
      <c r="B990" s="152">
        <v>7</v>
      </c>
      <c r="C990" s="151">
        <v>43917</v>
      </c>
      <c r="D990" s="152">
        <v>1.421918</v>
      </c>
      <c r="E990" s="152" t="s">
        <v>1325</v>
      </c>
      <c r="F990" s="152" t="s">
        <v>1326</v>
      </c>
      <c r="G990" s="152"/>
      <c r="H990" s="152"/>
      <c r="I990" s="152" t="s">
        <v>1327</v>
      </c>
      <c r="J990" s="152" t="s">
        <v>1327</v>
      </c>
      <c r="K990" s="152" t="s">
        <v>1327</v>
      </c>
      <c r="L990" s="152" t="s">
        <v>1327</v>
      </c>
      <c r="M990" s="152" t="s">
        <v>1327</v>
      </c>
      <c r="N990" s="152" t="s">
        <v>1327</v>
      </c>
      <c r="O990" s="152">
        <v>7.0465109999999997</v>
      </c>
      <c r="P990" s="152">
        <v>533.51606200000003</v>
      </c>
      <c r="Q990" s="152">
        <v>7.0465109999999997</v>
      </c>
      <c r="R990" s="152" t="s">
        <v>1327</v>
      </c>
      <c r="S990" s="152">
        <v>99.939094999999995</v>
      </c>
      <c r="T990" s="152">
        <v>0.53698599999999996</v>
      </c>
      <c r="U990" s="152">
        <v>1.336006</v>
      </c>
      <c r="V990" s="152">
        <v>2.1655250000000001</v>
      </c>
      <c r="W990" s="152">
        <v>1000</v>
      </c>
      <c r="X990" s="152" t="s">
        <v>23</v>
      </c>
      <c r="Y990" s="152" t="s">
        <v>1328</v>
      </c>
      <c r="Z990" s="152" t="s">
        <v>1327</v>
      </c>
    </row>
    <row r="991" spans="1:26" x14ac:dyDescent="0.2">
      <c r="A991" s="152" t="s">
        <v>2176</v>
      </c>
      <c r="B991" s="152">
        <v>4.5</v>
      </c>
      <c r="C991" s="151">
        <v>43594</v>
      </c>
      <c r="D991" s="152">
        <v>0.53698599999999996</v>
      </c>
      <c r="E991" s="152" t="s">
        <v>1325</v>
      </c>
      <c r="F991" s="152" t="s">
        <v>1326</v>
      </c>
      <c r="G991" s="152"/>
      <c r="H991" s="152" t="s">
        <v>500</v>
      </c>
      <c r="I991" s="152">
        <v>43301</v>
      </c>
      <c r="J991" s="152">
        <v>1.72</v>
      </c>
      <c r="K991" s="152" t="s">
        <v>1327</v>
      </c>
      <c r="L991" s="152" t="s">
        <v>1327</v>
      </c>
      <c r="M991" s="152" t="s">
        <v>1327</v>
      </c>
      <c r="N991" s="152" t="s">
        <v>1327</v>
      </c>
      <c r="O991" s="152">
        <v>2.0423040000000001</v>
      </c>
      <c r="P991" s="152">
        <v>30.926338000000001</v>
      </c>
      <c r="Q991" s="152">
        <v>2.0423040000000001</v>
      </c>
      <c r="R991" s="152" t="s">
        <v>1327</v>
      </c>
      <c r="S991" s="152">
        <v>101.29650100000001</v>
      </c>
      <c r="T991" s="152">
        <v>2.0835620000000001</v>
      </c>
      <c r="U991" s="152">
        <v>0.52486299999999997</v>
      </c>
      <c r="V991" s="152">
        <v>0.54047199999999995</v>
      </c>
      <c r="W991" s="152">
        <v>1000</v>
      </c>
      <c r="X991" s="152" t="s">
        <v>23</v>
      </c>
      <c r="Y991" s="152" t="s">
        <v>1328</v>
      </c>
      <c r="Z991" s="152" t="s">
        <v>1327</v>
      </c>
    </row>
    <row r="992" spans="1:26" x14ac:dyDescent="0.2">
      <c r="A992" s="152" t="s">
        <v>2177</v>
      </c>
      <c r="B992" s="152">
        <v>4.5</v>
      </c>
      <c r="C992" s="151">
        <v>43594</v>
      </c>
      <c r="D992" s="152">
        <v>0.53698599999999996</v>
      </c>
      <c r="E992" s="152" t="s">
        <v>1325</v>
      </c>
      <c r="F992" s="152" t="s">
        <v>1326</v>
      </c>
      <c r="G992" s="152"/>
      <c r="H992" s="152" t="s">
        <v>500</v>
      </c>
      <c r="I992" s="151">
        <v>43367</v>
      </c>
      <c r="J992" s="152">
        <v>1.95</v>
      </c>
      <c r="K992" s="152" t="s">
        <v>1327</v>
      </c>
      <c r="L992" s="152" t="s">
        <v>1327</v>
      </c>
      <c r="M992" s="152" t="s">
        <v>1327</v>
      </c>
      <c r="N992" s="152" t="s">
        <v>1327</v>
      </c>
      <c r="O992" s="152">
        <v>2.0852560000000002</v>
      </c>
      <c r="P992" s="152">
        <v>35.299731000000001</v>
      </c>
      <c r="Q992" s="152">
        <v>2.0852560000000002</v>
      </c>
      <c r="R992" s="152" t="s">
        <v>1327</v>
      </c>
      <c r="S992" s="152">
        <v>101.2732</v>
      </c>
      <c r="T992" s="152">
        <v>2.0835620000000001</v>
      </c>
      <c r="U992" s="152">
        <v>0.52474900000000002</v>
      </c>
      <c r="V992" s="152">
        <v>0.54023900000000002</v>
      </c>
      <c r="W992" s="152">
        <v>1000</v>
      </c>
      <c r="X992" s="152" t="s">
        <v>23</v>
      </c>
      <c r="Y992" s="152" t="s">
        <v>1328</v>
      </c>
      <c r="Z992" s="152" t="s">
        <v>1327</v>
      </c>
    </row>
    <row r="993" spans="1:26" x14ac:dyDescent="0.2">
      <c r="A993" s="152" t="s">
        <v>2178</v>
      </c>
      <c r="B993" s="152">
        <v>4.96</v>
      </c>
      <c r="C993" s="151">
        <v>44325</v>
      </c>
      <c r="D993" s="152">
        <v>2.5397259999999999</v>
      </c>
      <c r="E993" s="152" t="s">
        <v>1325</v>
      </c>
      <c r="F993" s="152" t="s">
        <v>1326</v>
      </c>
      <c r="G993" s="152"/>
      <c r="H993" s="152" t="s">
        <v>500</v>
      </c>
      <c r="I993" s="151">
        <v>42627</v>
      </c>
      <c r="J993" s="152">
        <v>2.9449999999999998</v>
      </c>
      <c r="K993" s="152" t="s">
        <v>1327</v>
      </c>
      <c r="L993" s="152" t="s">
        <v>1327</v>
      </c>
      <c r="M993" s="152" t="s">
        <v>1327</v>
      </c>
      <c r="N993" s="152" t="s">
        <v>1327</v>
      </c>
      <c r="O993" s="152">
        <v>2.8092000000000001</v>
      </c>
      <c r="P993" s="152">
        <v>76.387945000000002</v>
      </c>
      <c r="Q993" s="152">
        <v>2.8092000000000001</v>
      </c>
      <c r="R993" s="152" t="s">
        <v>1327</v>
      </c>
      <c r="S993" s="152">
        <v>105.21777</v>
      </c>
      <c r="T993" s="152">
        <v>2.296548</v>
      </c>
      <c r="U993" s="152">
        <v>2.3386040000000001</v>
      </c>
      <c r="V993" s="152">
        <v>6.8984259999999997</v>
      </c>
      <c r="W993" s="152">
        <v>1000</v>
      </c>
      <c r="X993" s="152" t="s">
        <v>23</v>
      </c>
      <c r="Y993" s="152" t="s">
        <v>1328</v>
      </c>
      <c r="Z993" s="152" t="s">
        <v>1327</v>
      </c>
    </row>
    <row r="994" spans="1:26" x14ac:dyDescent="0.2">
      <c r="A994" s="152" t="s">
        <v>499</v>
      </c>
      <c r="B994" s="152">
        <v>4.96</v>
      </c>
      <c r="C994" s="151">
        <v>44325</v>
      </c>
      <c r="D994" s="152">
        <v>2.5397259999999999</v>
      </c>
      <c r="E994" s="152" t="s">
        <v>1325</v>
      </c>
      <c r="F994" s="152" t="s">
        <v>1326</v>
      </c>
      <c r="G994" s="152"/>
      <c r="H994" s="152" t="s">
        <v>500</v>
      </c>
      <c r="I994" s="151">
        <v>43301</v>
      </c>
      <c r="J994" s="152">
        <v>2.54</v>
      </c>
      <c r="K994" s="152" t="s">
        <v>1327</v>
      </c>
      <c r="L994" s="152" t="s">
        <v>1327</v>
      </c>
      <c r="M994" s="152" t="s">
        <v>1327</v>
      </c>
      <c r="N994" s="152" t="s">
        <v>1327</v>
      </c>
      <c r="O994" s="152">
        <v>2.8289089999999999</v>
      </c>
      <c r="P994" s="152">
        <v>78.387944000000005</v>
      </c>
      <c r="Q994" s="152">
        <v>2.8289089999999999</v>
      </c>
      <c r="R994" s="152" t="s">
        <v>1327</v>
      </c>
      <c r="S994" s="152">
        <v>105.168229</v>
      </c>
      <c r="T994" s="152">
        <v>2.296548</v>
      </c>
      <c r="U994" s="152">
        <v>2.3383229999999999</v>
      </c>
      <c r="V994" s="152">
        <v>6.8968970000000001</v>
      </c>
      <c r="W994" s="152">
        <v>1000</v>
      </c>
      <c r="X994" s="152" t="s">
        <v>23</v>
      </c>
      <c r="Y994" s="152" t="s">
        <v>1328</v>
      </c>
      <c r="Z994" s="152" t="s">
        <v>1327</v>
      </c>
    </row>
    <row r="995" spans="1:26" x14ac:dyDescent="0.2">
      <c r="A995" s="152" t="s">
        <v>2179</v>
      </c>
      <c r="B995" s="152">
        <v>4.2</v>
      </c>
      <c r="C995" s="151">
        <v>43580</v>
      </c>
      <c r="D995" s="152">
        <v>0.49863000000000002</v>
      </c>
      <c r="E995" s="152" t="s">
        <v>1325</v>
      </c>
      <c r="F995" s="152" t="s">
        <v>1326</v>
      </c>
      <c r="G995" s="152"/>
      <c r="H995" s="152"/>
      <c r="I995" s="151" t="s">
        <v>1327</v>
      </c>
      <c r="J995" s="152" t="s">
        <v>1327</v>
      </c>
      <c r="K995" s="152" t="s">
        <v>1327</v>
      </c>
      <c r="L995" s="152" t="s">
        <v>1327</v>
      </c>
      <c r="M995" s="152" t="s">
        <v>1327</v>
      </c>
      <c r="N995" s="152" t="s">
        <v>1327</v>
      </c>
      <c r="O995" s="152">
        <v>4.2015570000000002</v>
      </c>
      <c r="P995" s="152">
        <v>250.594562</v>
      </c>
      <c r="Q995" s="152">
        <v>4.2015570000000002</v>
      </c>
      <c r="R995" s="152" t="s">
        <v>1327</v>
      </c>
      <c r="S995" s="152">
        <v>99.990601999999996</v>
      </c>
      <c r="T995" s="152">
        <v>0.67890399999999995</v>
      </c>
      <c r="U995" s="152">
        <v>0.48564800000000002</v>
      </c>
      <c r="V995" s="152">
        <v>0.35789500000000002</v>
      </c>
      <c r="W995" s="152">
        <v>1000</v>
      </c>
      <c r="X995" s="152" t="s">
        <v>23</v>
      </c>
      <c r="Y995" s="152" t="s">
        <v>1328</v>
      </c>
      <c r="Z995" s="152" t="s">
        <v>1327</v>
      </c>
    </row>
    <row r="996" spans="1:26" x14ac:dyDescent="0.2">
      <c r="A996" s="152" t="s">
        <v>2180</v>
      </c>
      <c r="B996" s="152">
        <v>4</v>
      </c>
      <c r="C996" s="151">
        <v>43725</v>
      </c>
      <c r="D996" s="152">
        <v>0.89588999999999996</v>
      </c>
      <c r="E996" s="152" t="s">
        <v>1325</v>
      </c>
      <c r="F996" s="152" t="s">
        <v>1326</v>
      </c>
      <c r="G996" s="152"/>
      <c r="H996" s="152"/>
      <c r="I996" s="151" t="s">
        <v>1327</v>
      </c>
      <c r="J996" s="152" t="s">
        <v>1327</v>
      </c>
      <c r="K996" s="152" t="s">
        <v>1327</v>
      </c>
      <c r="L996" s="152" t="s">
        <v>1327</v>
      </c>
      <c r="M996" s="152" t="s">
        <v>1327</v>
      </c>
      <c r="N996" s="152" t="s">
        <v>1327</v>
      </c>
      <c r="O996" s="152">
        <v>4.2386280000000003</v>
      </c>
      <c r="P996" s="152">
        <v>250.74194199999999</v>
      </c>
      <c r="Q996" s="152">
        <v>4.2386280000000003</v>
      </c>
      <c r="R996" s="152" t="s">
        <v>1327</v>
      </c>
      <c r="S996" s="152">
        <v>99.792276999999999</v>
      </c>
      <c r="T996" s="152">
        <v>0.43835600000000002</v>
      </c>
      <c r="U996" s="152">
        <v>0.87301399999999996</v>
      </c>
      <c r="V996" s="152">
        <v>0.98657700000000004</v>
      </c>
      <c r="W996" s="152">
        <v>1000</v>
      </c>
      <c r="X996" s="152" t="s">
        <v>23</v>
      </c>
      <c r="Y996" s="152" t="s">
        <v>1328</v>
      </c>
      <c r="Z996" s="152" t="s">
        <v>1327</v>
      </c>
    </row>
    <row r="997" spans="1:26" x14ac:dyDescent="0.2">
      <c r="A997" s="152" t="s">
        <v>2181</v>
      </c>
      <c r="B997" s="152">
        <v>4.0999999999999996</v>
      </c>
      <c r="C997" s="151">
        <v>43978</v>
      </c>
      <c r="D997" s="152">
        <v>1.5890409999999999</v>
      </c>
      <c r="E997" s="152" t="s">
        <v>1325</v>
      </c>
      <c r="F997" s="152" t="s">
        <v>1326</v>
      </c>
      <c r="G997" s="152"/>
      <c r="H997" s="152"/>
      <c r="I997" s="151" t="s">
        <v>1327</v>
      </c>
      <c r="J997" s="152" t="s">
        <v>1327</v>
      </c>
      <c r="K997" s="152" t="s">
        <v>1327</v>
      </c>
      <c r="L997" s="152" t="s">
        <v>1327</v>
      </c>
      <c r="M997" s="152" t="s">
        <v>1327</v>
      </c>
      <c r="N997" s="152" t="s">
        <v>1327</v>
      </c>
      <c r="O997" s="152">
        <v>4.5140789999999997</v>
      </c>
      <c r="P997" s="152">
        <v>263.41354100000001</v>
      </c>
      <c r="Q997" s="152">
        <v>4.5140789999999997</v>
      </c>
      <c r="R997" s="152" t="s">
        <v>1327</v>
      </c>
      <c r="S997" s="152">
        <v>99.359634</v>
      </c>
      <c r="T997" s="152">
        <v>0.65150699999999995</v>
      </c>
      <c r="U997" s="152">
        <v>1.51763</v>
      </c>
      <c r="V997" s="152">
        <v>2.7311100000000001</v>
      </c>
      <c r="W997" s="152">
        <v>1000</v>
      </c>
      <c r="X997" s="152" t="s">
        <v>23</v>
      </c>
      <c r="Y997" s="152" t="s">
        <v>1328</v>
      </c>
      <c r="Z997" s="152" t="s">
        <v>1327</v>
      </c>
    </row>
    <row r="998" spans="1:26" x14ac:dyDescent="0.2">
      <c r="A998" s="152" t="s">
        <v>2182</v>
      </c>
      <c r="B998" s="152">
        <v>4.95</v>
      </c>
      <c r="C998" s="151">
        <v>44096</v>
      </c>
      <c r="D998" s="152">
        <v>1.9123289999999999</v>
      </c>
      <c r="E998" s="152" t="s">
        <v>1325</v>
      </c>
      <c r="F998" s="152" t="s">
        <v>1326</v>
      </c>
      <c r="G998" s="152"/>
      <c r="H998" s="152"/>
      <c r="I998" s="151" t="s">
        <v>1327</v>
      </c>
      <c r="J998" s="152" t="s">
        <v>1327</v>
      </c>
      <c r="K998" s="152" t="s">
        <v>1327</v>
      </c>
      <c r="L998" s="152" t="s">
        <v>1327</v>
      </c>
      <c r="M998" s="152" t="s">
        <v>1327</v>
      </c>
      <c r="N998" s="152" t="s">
        <v>1327</v>
      </c>
      <c r="O998" s="152">
        <v>4.5802120000000004</v>
      </c>
      <c r="P998" s="152">
        <v>263.87032499999998</v>
      </c>
      <c r="Q998" s="152">
        <v>4.5802120000000004</v>
      </c>
      <c r="R998" s="152" t="s">
        <v>1327</v>
      </c>
      <c r="S998" s="152">
        <v>100.67399500000001</v>
      </c>
      <c r="T998" s="152">
        <v>0.44753399999999999</v>
      </c>
      <c r="U998" s="152">
        <v>1.8050870000000001</v>
      </c>
      <c r="V998" s="152">
        <v>3.8000289999999999</v>
      </c>
      <c r="W998" s="152">
        <v>1000</v>
      </c>
      <c r="X998" s="152" t="s">
        <v>23</v>
      </c>
      <c r="Y998" s="152" t="s">
        <v>1328</v>
      </c>
      <c r="Z998" s="152" t="s">
        <v>1327</v>
      </c>
    </row>
    <row r="999" spans="1:26" x14ac:dyDescent="0.2">
      <c r="A999" s="152" t="s">
        <v>2183</v>
      </c>
      <c r="B999" s="152">
        <v>4.4000000000000004</v>
      </c>
      <c r="C999" s="151">
        <v>44355</v>
      </c>
      <c r="D999" s="152">
        <v>2.621918</v>
      </c>
      <c r="E999" s="152" t="s">
        <v>1325</v>
      </c>
      <c r="F999" s="152" t="s">
        <v>1326</v>
      </c>
      <c r="G999" s="152"/>
      <c r="H999" s="152"/>
      <c r="I999" s="151">
        <v>43137</v>
      </c>
      <c r="J999" s="152">
        <v>4.3499999999999996</v>
      </c>
      <c r="K999" s="152" t="s">
        <v>1327</v>
      </c>
      <c r="L999" s="152" t="s">
        <v>1327</v>
      </c>
      <c r="M999" s="152" t="s">
        <v>1327</v>
      </c>
      <c r="N999" s="152" t="s">
        <v>1327</v>
      </c>
      <c r="O999" s="152">
        <v>4.7713140000000003</v>
      </c>
      <c r="P999" s="152">
        <v>278.10318899999999</v>
      </c>
      <c r="Q999" s="152">
        <v>4.7713140000000003</v>
      </c>
      <c r="R999" s="152" t="s">
        <v>1327</v>
      </c>
      <c r="S999" s="152">
        <v>99.091796000000002</v>
      </c>
      <c r="T999" s="152">
        <v>0.56657500000000005</v>
      </c>
      <c r="U999" s="152">
        <v>2.4456850000000001</v>
      </c>
      <c r="V999" s="152">
        <v>6.816351</v>
      </c>
      <c r="W999" s="152">
        <v>1000</v>
      </c>
      <c r="X999" s="152" t="s">
        <v>23</v>
      </c>
      <c r="Y999" s="152" t="s">
        <v>1328</v>
      </c>
      <c r="Z999" s="152" t="s">
        <v>1327</v>
      </c>
    </row>
    <row r="1000" spans="1:26" x14ac:dyDescent="0.2">
      <c r="A1000" s="152" t="s">
        <v>2184</v>
      </c>
      <c r="B1000" s="152">
        <v>4.7</v>
      </c>
      <c r="C1000" s="151">
        <v>44741</v>
      </c>
      <c r="D1000" s="152">
        <v>3.6794519999999999</v>
      </c>
      <c r="E1000" s="152" t="s">
        <v>1325</v>
      </c>
      <c r="F1000" s="152" t="s">
        <v>1326</v>
      </c>
      <c r="G1000" s="152" t="s">
        <v>498</v>
      </c>
      <c r="H1000" s="152"/>
      <c r="I1000" s="151" t="s">
        <v>1327</v>
      </c>
      <c r="J1000" s="152" t="s">
        <v>1327</v>
      </c>
      <c r="K1000" s="152" t="s">
        <v>1327</v>
      </c>
      <c r="L1000" s="152" t="s">
        <v>1327</v>
      </c>
      <c r="M1000" s="152" t="s">
        <v>1327</v>
      </c>
      <c r="N1000" s="152" t="s">
        <v>1327</v>
      </c>
      <c r="O1000" s="152">
        <v>5.1142859999999999</v>
      </c>
      <c r="P1000" s="152">
        <v>290.46207299999998</v>
      </c>
      <c r="Q1000" s="152">
        <v>5.1142859999999999</v>
      </c>
      <c r="R1000" s="152" t="s">
        <v>1327</v>
      </c>
      <c r="S1000" s="152">
        <v>98.619595000000004</v>
      </c>
      <c r="T1000" s="152">
        <v>0.37342500000000001</v>
      </c>
      <c r="U1000" s="152">
        <v>3.34321</v>
      </c>
      <c r="V1000" s="152">
        <v>12.623575000000001</v>
      </c>
      <c r="W1000" s="152">
        <v>1000</v>
      </c>
      <c r="X1000" s="152" t="s">
        <v>23</v>
      </c>
      <c r="Y1000" s="152" t="s">
        <v>1328</v>
      </c>
      <c r="Z1000" s="152" t="s">
        <v>1327</v>
      </c>
    </row>
    <row r="1001" spans="1:26" x14ac:dyDescent="0.2">
      <c r="A1001" s="152" t="s">
        <v>2185</v>
      </c>
      <c r="B1001" s="152">
        <v>7</v>
      </c>
      <c r="C1001" s="151">
        <v>78467</v>
      </c>
      <c r="D1001" s="152">
        <v>96.079452000000003</v>
      </c>
      <c r="E1001" s="152" t="s">
        <v>1325</v>
      </c>
      <c r="F1001" s="152" t="s">
        <v>1326</v>
      </c>
      <c r="G1001" s="152" t="s">
        <v>47</v>
      </c>
      <c r="H1001" s="152"/>
      <c r="I1001" s="152">
        <v>43370</v>
      </c>
      <c r="J1001" s="152" t="s">
        <v>1327</v>
      </c>
      <c r="K1001" s="152" t="s">
        <v>1327</v>
      </c>
      <c r="L1001" s="152" t="s">
        <v>1327</v>
      </c>
      <c r="M1001" s="152" t="s">
        <v>1327</v>
      </c>
      <c r="N1001" s="152" t="s">
        <v>1327</v>
      </c>
      <c r="O1001" s="152" t="s">
        <v>1327</v>
      </c>
      <c r="P1001" s="152" t="s">
        <v>1327</v>
      </c>
      <c r="Q1001" s="152" t="s">
        <v>1327</v>
      </c>
      <c r="R1001" s="152" t="s">
        <v>1327</v>
      </c>
      <c r="S1001" s="152">
        <v>99.094943000000001</v>
      </c>
      <c r="T1001" s="152" t="s">
        <v>1327</v>
      </c>
      <c r="U1001" s="152" t="s">
        <v>1327</v>
      </c>
      <c r="V1001" s="152" t="s">
        <v>1327</v>
      </c>
      <c r="W1001" s="152">
        <v>1000</v>
      </c>
      <c r="X1001" s="152" t="s">
        <v>23</v>
      </c>
      <c r="Y1001" s="152" t="s">
        <v>1328</v>
      </c>
      <c r="Z1001" s="152" t="s">
        <v>1327</v>
      </c>
    </row>
    <row r="1002" spans="1:26" x14ac:dyDescent="0.2">
      <c r="A1002" s="152" t="s">
        <v>2186</v>
      </c>
      <c r="B1002" s="152">
        <v>4.5199999999999996</v>
      </c>
      <c r="C1002" s="151">
        <v>43448</v>
      </c>
      <c r="D1002" s="152">
        <v>0.136986</v>
      </c>
      <c r="E1002" s="152" t="s">
        <v>1325</v>
      </c>
      <c r="F1002" s="152" t="s">
        <v>1326</v>
      </c>
      <c r="G1002" s="152" t="s">
        <v>41</v>
      </c>
      <c r="H1002" s="152"/>
      <c r="I1002" s="151">
        <v>43382</v>
      </c>
      <c r="J1002" s="152">
        <v>1.64</v>
      </c>
      <c r="K1002" s="152">
        <v>41362</v>
      </c>
      <c r="L1002" s="152">
        <v>4.4750920000000001</v>
      </c>
      <c r="M1002" s="152">
        <v>5.0382999999999996</v>
      </c>
      <c r="N1002" s="152">
        <v>4.4605410000000001</v>
      </c>
      <c r="O1002" s="152">
        <v>1.6577409999999999</v>
      </c>
      <c r="P1002" s="152">
        <v>30.254180999999999</v>
      </c>
      <c r="Q1002" s="152">
        <v>1.6577409999999999</v>
      </c>
      <c r="R1002" s="152" t="s">
        <v>1327</v>
      </c>
      <c r="S1002" s="152">
        <v>100.381984</v>
      </c>
      <c r="T1002" s="152">
        <v>1.647014</v>
      </c>
      <c r="U1002" s="152">
        <v>0.13586000000000001</v>
      </c>
      <c r="V1002" s="152">
        <v>8.5830000000000004E-2</v>
      </c>
      <c r="W1002" s="152">
        <v>1000</v>
      </c>
      <c r="X1002" s="152" t="s">
        <v>23</v>
      </c>
      <c r="Y1002" s="152" t="s">
        <v>1328</v>
      </c>
      <c r="Z1002" s="152" t="s">
        <v>1327</v>
      </c>
    </row>
    <row r="1003" spans="1:26" x14ac:dyDescent="0.2">
      <c r="A1003" s="152" t="s">
        <v>2187</v>
      </c>
      <c r="B1003" s="152">
        <v>4.5</v>
      </c>
      <c r="C1003" s="151">
        <v>43538</v>
      </c>
      <c r="D1003" s="152">
        <v>0.38356200000000001</v>
      </c>
      <c r="E1003" s="152" t="s">
        <v>1325</v>
      </c>
      <c r="F1003" s="152" t="s">
        <v>1326</v>
      </c>
      <c r="G1003" s="152" t="s">
        <v>41</v>
      </c>
      <c r="H1003" s="152"/>
      <c r="I1003" s="151">
        <v>43319</v>
      </c>
      <c r="J1003" s="152">
        <v>1.68</v>
      </c>
      <c r="K1003" s="152" t="s">
        <v>1327</v>
      </c>
      <c r="L1003" s="152" t="s">
        <v>1327</v>
      </c>
      <c r="M1003" s="152" t="s">
        <v>1327</v>
      </c>
      <c r="N1003" s="152" t="s">
        <v>1327</v>
      </c>
      <c r="O1003" s="152">
        <v>1.9799910000000001</v>
      </c>
      <c r="P1003" s="152">
        <v>30.873638</v>
      </c>
      <c r="Q1003" s="152">
        <v>1.9799910000000001</v>
      </c>
      <c r="R1003" s="152" t="s">
        <v>1327</v>
      </c>
      <c r="S1003" s="152">
        <v>100.974716</v>
      </c>
      <c r="T1003" s="152">
        <v>0.50547900000000001</v>
      </c>
      <c r="U1003" s="152">
        <v>0.37980199999999997</v>
      </c>
      <c r="V1003" s="152">
        <v>0.332289</v>
      </c>
      <c r="W1003" s="152">
        <v>1000</v>
      </c>
      <c r="X1003" s="152" t="s">
        <v>23</v>
      </c>
      <c r="Y1003" s="152" t="s">
        <v>1328</v>
      </c>
      <c r="Z1003" s="152" t="s">
        <v>1327</v>
      </c>
    </row>
    <row r="1004" spans="1:26" x14ac:dyDescent="0.2">
      <c r="A1004" s="152" t="s">
        <v>2188</v>
      </c>
      <c r="B1004" s="152">
        <v>5.09</v>
      </c>
      <c r="C1004" s="151">
        <v>43560</v>
      </c>
      <c r="D1004" s="152">
        <v>0.44383600000000001</v>
      </c>
      <c r="E1004" s="152" t="s">
        <v>1325</v>
      </c>
      <c r="F1004" s="152" t="s">
        <v>1326</v>
      </c>
      <c r="G1004" s="152" t="s">
        <v>41</v>
      </c>
      <c r="H1004" s="152"/>
      <c r="I1004" s="151">
        <v>43377</v>
      </c>
      <c r="J1004" s="152">
        <v>1.9</v>
      </c>
      <c r="K1004" s="151">
        <v>41698</v>
      </c>
      <c r="L1004" s="152">
        <v>4.1408360000000002</v>
      </c>
      <c r="M1004" s="152">
        <v>5.0017659999999999</v>
      </c>
      <c r="N1004" s="152">
        <v>4.1408360000000002</v>
      </c>
      <c r="O1004" s="152">
        <v>2.0170379999999999</v>
      </c>
      <c r="P1004" s="152">
        <v>30.746841</v>
      </c>
      <c r="Q1004" s="152">
        <v>2.0170379999999999</v>
      </c>
      <c r="R1004" s="152" t="s">
        <v>1327</v>
      </c>
      <c r="S1004" s="152">
        <v>101.35673300000001</v>
      </c>
      <c r="T1004" s="152">
        <v>0.27890399999999999</v>
      </c>
      <c r="U1004" s="152">
        <v>0.43940400000000002</v>
      </c>
      <c r="V1004" s="152">
        <v>0.410584</v>
      </c>
      <c r="W1004" s="152">
        <v>1000</v>
      </c>
      <c r="X1004" s="152" t="s">
        <v>23</v>
      </c>
      <c r="Y1004" s="152" t="s">
        <v>1328</v>
      </c>
      <c r="Z1004" s="152" t="s">
        <v>1327</v>
      </c>
    </row>
    <row r="1005" spans="1:26" x14ac:dyDescent="0.2">
      <c r="A1005" s="152" t="s">
        <v>502</v>
      </c>
      <c r="B1005" s="152">
        <v>2.6</v>
      </c>
      <c r="C1005" s="151">
        <v>43955</v>
      </c>
      <c r="D1005" s="152">
        <v>1.526027</v>
      </c>
      <c r="E1005" s="152" t="s">
        <v>1325</v>
      </c>
      <c r="F1005" s="152" t="s">
        <v>1326</v>
      </c>
      <c r="G1005" s="152" t="s">
        <v>41</v>
      </c>
      <c r="H1005" s="152"/>
      <c r="I1005" s="151">
        <v>43391</v>
      </c>
      <c r="J1005" s="152">
        <v>2.4</v>
      </c>
      <c r="K1005" s="151" t="s">
        <v>1327</v>
      </c>
      <c r="L1005" s="152" t="s">
        <v>1327</v>
      </c>
      <c r="M1005" s="152" t="s">
        <v>1327</v>
      </c>
      <c r="N1005" s="152" t="s">
        <v>1327</v>
      </c>
      <c r="O1005" s="152">
        <v>2.40273</v>
      </c>
      <c r="P1005" s="152">
        <v>48.313198</v>
      </c>
      <c r="Q1005" s="152">
        <v>2.40273</v>
      </c>
      <c r="R1005" s="152" t="s">
        <v>1327</v>
      </c>
      <c r="S1005" s="152">
        <v>100.29456399999999</v>
      </c>
      <c r="T1005" s="152">
        <v>-7.1233000000000005E-2</v>
      </c>
      <c r="U1005" s="152">
        <v>1.490356</v>
      </c>
      <c r="V1005" s="152">
        <v>2.9727299999999999</v>
      </c>
      <c r="W1005" s="152">
        <v>1000</v>
      </c>
      <c r="X1005" s="152" t="s">
        <v>23</v>
      </c>
      <c r="Y1005" s="152" t="s">
        <v>1328</v>
      </c>
      <c r="Z1005" s="152" t="s">
        <v>1327</v>
      </c>
    </row>
    <row r="1006" spans="1:26" x14ac:dyDescent="0.2">
      <c r="A1006" s="152" t="s">
        <v>2189</v>
      </c>
      <c r="B1006" s="152">
        <v>4.7</v>
      </c>
      <c r="C1006" s="151">
        <v>44009</v>
      </c>
      <c r="D1006" s="152">
        <v>1.6739729999999999</v>
      </c>
      <c r="E1006" s="152" t="s">
        <v>1325</v>
      </c>
      <c r="F1006" s="152" t="s">
        <v>1326</v>
      </c>
      <c r="G1006" s="152" t="s">
        <v>41</v>
      </c>
      <c r="H1006" s="152"/>
      <c r="I1006" s="151" t="s">
        <v>1327</v>
      </c>
      <c r="J1006" s="152" t="s">
        <v>1327</v>
      </c>
      <c r="K1006" s="152" t="s">
        <v>1327</v>
      </c>
      <c r="L1006" s="152" t="s">
        <v>1327</v>
      </c>
      <c r="M1006" s="152" t="s">
        <v>1327</v>
      </c>
      <c r="N1006" s="152" t="s">
        <v>1327</v>
      </c>
      <c r="O1006" s="152">
        <v>2.4577</v>
      </c>
      <c r="P1006" s="152">
        <v>49.981659999999998</v>
      </c>
      <c r="Q1006" s="152">
        <v>2.4577</v>
      </c>
      <c r="R1006" s="152" t="s">
        <v>1327</v>
      </c>
      <c r="S1006" s="152">
        <v>103.642813</v>
      </c>
      <c r="T1006" s="152">
        <v>1.5452049999999999</v>
      </c>
      <c r="U1006" s="152">
        <v>1.5869</v>
      </c>
      <c r="V1006" s="152">
        <v>3.373383</v>
      </c>
      <c r="W1006" s="152">
        <v>1000</v>
      </c>
      <c r="X1006" s="152" t="s">
        <v>23</v>
      </c>
      <c r="Y1006" s="152" t="s">
        <v>1328</v>
      </c>
      <c r="Z1006" s="152" t="s">
        <v>1327</v>
      </c>
    </row>
    <row r="1007" spans="1:26" x14ac:dyDescent="0.2">
      <c r="A1007" s="152" t="s">
        <v>2190</v>
      </c>
      <c r="B1007" s="152">
        <v>4.78</v>
      </c>
      <c r="C1007" s="151">
        <v>44179</v>
      </c>
      <c r="D1007" s="152">
        <v>2.139726</v>
      </c>
      <c r="E1007" s="152" t="s">
        <v>1325</v>
      </c>
      <c r="F1007" s="152" t="s">
        <v>1326</v>
      </c>
      <c r="G1007" s="152" t="s">
        <v>41</v>
      </c>
      <c r="H1007" s="152"/>
      <c r="I1007" s="151">
        <v>43264</v>
      </c>
      <c r="J1007" s="152">
        <v>2.14</v>
      </c>
      <c r="K1007" s="152">
        <v>41362</v>
      </c>
      <c r="L1007" s="152">
        <v>4.6816529999999998</v>
      </c>
      <c r="M1007" s="152">
        <v>5.1961000000000004</v>
      </c>
      <c r="N1007" s="152">
        <v>4.6696900000000001</v>
      </c>
      <c r="O1007" s="152">
        <v>2.5423499999999999</v>
      </c>
      <c r="P1007" s="152">
        <v>51.799348999999999</v>
      </c>
      <c r="Q1007" s="152">
        <v>2.5423499999999999</v>
      </c>
      <c r="R1007" s="152" t="s">
        <v>1327</v>
      </c>
      <c r="S1007" s="152">
        <v>104.61614899999999</v>
      </c>
      <c r="T1007" s="152">
        <v>1.7417530000000001</v>
      </c>
      <c r="U1007" s="152">
        <v>2.0009790000000001</v>
      </c>
      <c r="V1007" s="152">
        <v>5.1423240000000003</v>
      </c>
      <c r="W1007" s="152">
        <v>1000</v>
      </c>
      <c r="X1007" s="152" t="s">
        <v>23</v>
      </c>
      <c r="Y1007" s="152" t="s">
        <v>1328</v>
      </c>
      <c r="Z1007" s="152" t="s">
        <v>1327</v>
      </c>
    </row>
    <row r="1008" spans="1:26" x14ac:dyDescent="0.2">
      <c r="A1008" s="152" t="s">
        <v>674</v>
      </c>
      <c r="B1008" s="152">
        <v>2.31</v>
      </c>
      <c r="C1008" s="151">
        <v>44355</v>
      </c>
      <c r="D1008" s="152">
        <v>2.621918</v>
      </c>
      <c r="E1008" s="152" t="s">
        <v>1325</v>
      </c>
      <c r="F1008" s="152" t="s">
        <v>1326</v>
      </c>
      <c r="G1008" s="152" t="s">
        <v>41</v>
      </c>
      <c r="H1008" s="152"/>
      <c r="I1008" s="151">
        <v>43391</v>
      </c>
      <c r="J1008" s="152">
        <v>2.81</v>
      </c>
      <c r="K1008" s="152" t="s">
        <v>1327</v>
      </c>
      <c r="L1008" s="152" t="s">
        <v>1327</v>
      </c>
      <c r="M1008" s="152" t="s">
        <v>1327</v>
      </c>
      <c r="N1008" s="152" t="s">
        <v>1327</v>
      </c>
      <c r="O1008" s="152">
        <v>2.8104490000000002</v>
      </c>
      <c r="P1008" s="152">
        <v>75.157212000000001</v>
      </c>
      <c r="Q1008" s="152">
        <v>2.8104490000000002</v>
      </c>
      <c r="R1008" s="152" t="s">
        <v>1327</v>
      </c>
      <c r="S1008" s="152">
        <v>98.739520999999996</v>
      </c>
      <c r="T1008" s="152">
        <v>0.87969900000000001</v>
      </c>
      <c r="U1008" s="152">
        <v>2.5003329999999999</v>
      </c>
      <c r="V1008" s="152">
        <v>7.6300489999999996</v>
      </c>
      <c r="W1008" s="152">
        <v>1000</v>
      </c>
      <c r="X1008" s="152" t="s">
        <v>23</v>
      </c>
      <c r="Y1008" s="152" t="s">
        <v>1328</v>
      </c>
      <c r="Z1008" s="152" t="s">
        <v>1327</v>
      </c>
    </row>
    <row r="1009" spans="1:26" x14ac:dyDescent="0.2">
      <c r="A1009" s="152" t="s">
        <v>2191</v>
      </c>
      <c r="B1009" s="152">
        <v>5.5</v>
      </c>
      <c r="C1009" s="151">
        <v>44488</v>
      </c>
      <c r="D1009" s="152">
        <v>2.9863010000000001</v>
      </c>
      <c r="E1009" s="152" t="s">
        <v>1325</v>
      </c>
      <c r="F1009" s="152" t="s">
        <v>1326</v>
      </c>
      <c r="G1009" s="152" t="s">
        <v>41</v>
      </c>
      <c r="H1009" s="152"/>
      <c r="I1009" s="151">
        <v>43059</v>
      </c>
      <c r="J1009" s="152">
        <v>2.5499999999999998</v>
      </c>
      <c r="K1009" s="152">
        <v>41453</v>
      </c>
      <c r="L1009" s="152">
        <v>5.01</v>
      </c>
      <c r="M1009" s="152">
        <v>5.5354320000000001</v>
      </c>
      <c r="N1009" s="152">
        <v>5.01</v>
      </c>
      <c r="O1009" s="152">
        <v>2.8630629999999999</v>
      </c>
      <c r="P1009" s="152">
        <v>75.832239999999999</v>
      </c>
      <c r="Q1009" s="152">
        <v>2.8630629999999999</v>
      </c>
      <c r="R1009" s="152" t="s">
        <v>1327</v>
      </c>
      <c r="S1009" s="152">
        <v>108.431781</v>
      </c>
      <c r="T1009" s="152">
        <v>9.0411000000000005E-2</v>
      </c>
      <c r="U1009" s="152">
        <v>2.7522530000000001</v>
      </c>
      <c r="V1009" s="152">
        <v>9.2335849999999997</v>
      </c>
      <c r="W1009" s="152">
        <v>1000</v>
      </c>
      <c r="X1009" s="152" t="s">
        <v>23</v>
      </c>
      <c r="Y1009" s="152" t="s">
        <v>1328</v>
      </c>
      <c r="Z1009" s="152" t="s">
        <v>1327</v>
      </c>
    </row>
    <row r="1010" spans="1:26" x14ac:dyDescent="0.2">
      <c r="A1010" s="152" t="s">
        <v>2192</v>
      </c>
      <c r="B1010" s="152">
        <v>5.35</v>
      </c>
      <c r="C1010" s="151">
        <v>44488</v>
      </c>
      <c r="D1010" s="152">
        <v>2.9863010000000001</v>
      </c>
      <c r="E1010" s="152" t="s">
        <v>1325</v>
      </c>
      <c r="F1010" s="152" t="s">
        <v>1326</v>
      </c>
      <c r="G1010" s="152" t="s">
        <v>41</v>
      </c>
      <c r="H1010" s="152"/>
      <c r="I1010" s="152">
        <v>43371</v>
      </c>
      <c r="J1010" s="152">
        <v>2.85</v>
      </c>
      <c r="K1010" s="152">
        <v>41381</v>
      </c>
      <c r="L1010" s="152">
        <v>4.9130419999999999</v>
      </c>
      <c r="M1010" s="152">
        <v>4.9130419999999999</v>
      </c>
      <c r="N1010" s="152">
        <v>3.3925260000000002</v>
      </c>
      <c r="O1010" s="152">
        <v>2.885767</v>
      </c>
      <c r="P1010" s="152">
        <v>78.062183000000005</v>
      </c>
      <c r="Q1010" s="152">
        <v>2.885767</v>
      </c>
      <c r="R1010" s="152" t="s">
        <v>1327</v>
      </c>
      <c r="S1010" s="152">
        <v>106.999953</v>
      </c>
      <c r="T1010" s="152">
        <v>8.7944999999999995E-2</v>
      </c>
      <c r="U1010" s="152">
        <v>2.7610450000000002</v>
      </c>
      <c r="V1010" s="152">
        <v>9.277272</v>
      </c>
      <c r="W1010" s="152">
        <v>1000</v>
      </c>
      <c r="X1010" s="152" t="s">
        <v>23</v>
      </c>
      <c r="Y1010" s="152" t="s">
        <v>1328</v>
      </c>
      <c r="Z1010" s="152" t="s">
        <v>1327</v>
      </c>
    </row>
    <row r="1011" spans="1:26" x14ac:dyDescent="0.2">
      <c r="A1011" s="152" t="s">
        <v>2193</v>
      </c>
      <c r="B1011" s="152">
        <v>2.88</v>
      </c>
      <c r="C1011" s="151">
        <v>44489</v>
      </c>
      <c r="D1011" s="152">
        <v>2.9890409999999998</v>
      </c>
      <c r="E1011" s="152" t="s">
        <v>1325</v>
      </c>
      <c r="F1011" s="152" t="s">
        <v>1326</v>
      </c>
      <c r="G1011" s="152" t="s">
        <v>41</v>
      </c>
      <c r="H1011" s="152"/>
      <c r="I1011" s="152">
        <v>42992</v>
      </c>
      <c r="J1011" s="152">
        <v>2.65</v>
      </c>
      <c r="K1011" s="152" t="s">
        <v>1327</v>
      </c>
      <c r="L1011" s="152" t="s">
        <v>1327</v>
      </c>
      <c r="M1011" s="152" t="s">
        <v>1327</v>
      </c>
      <c r="N1011" s="152" t="s">
        <v>1327</v>
      </c>
      <c r="O1011" s="152">
        <v>2.8323610000000001</v>
      </c>
      <c r="P1011" s="152">
        <v>72.159384000000003</v>
      </c>
      <c r="Q1011" s="152">
        <v>2.8323610000000001</v>
      </c>
      <c r="R1011" s="152" t="s">
        <v>1327</v>
      </c>
      <c r="S1011" s="152">
        <v>100.139087</v>
      </c>
      <c r="T1011" s="152">
        <v>3.9452000000000001E-2</v>
      </c>
      <c r="U1011" s="152">
        <v>2.8403200000000002</v>
      </c>
      <c r="V1011" s="152">
        <v>9.6443250000000003</v>
      </c>
      <c r="W1011" s="152">
        <v>1000</v>
      </c>
      <c r="X1011" s="152" t="s">
        <v>23</v>
      </c>
      <c r="Y1011" s="152" t="s">
        <v>1328</v>
      </c>
      <c r="Z1011" s="152" t="s">
        <v>1327</v>
      </c>
    </row>
    <row r="1012" spans="1:26" x14ac:dyDescent="0.2">
      <c r="A1012" s="152" t="s">
        <v>2194</v>
      </c>
      <c r="B1012" s="152">
        <v>5.6</v>
      </c>
      <c r="C1012" s="151">
        <v>44656</v>
      </c>
      <c r="D1012" s="152">
        <v>3.4465750000000002</v>
      </c>
      <c r="E1012" s="152" t="s">
        <v>1325</v>
      </c>
      <c r="F1012" s="152" t="s">
        <v>1326</v>
      </c>
      <c r="G1012" s="152" t="s">
        <v>41</v>
      </c>
      <c r="H1012" s="152"/>
      <c r="I1012" s="152">
        <v>43349</v>
      </c>
      <c r="J1012" s="152">
        <v>2.75</v>
      </c>
      <c r="K1012" s="152">
        <v>41362</v>
      </c>
      <c r="L1012" s="152">
        <v>5.2068719999999997</v>
      </c>
      <c r="M1012" s="152">
        <v>5.2622049999999998</v>
      </c>
      <c r="N1012" s="152">
        <v>5.2048920000000001</v>
      </c>
      <c r="O1012" s="152">
        <v>2.9330859999999999</v>
      </c>
      <c r="P1012" s="152">
        <v>70.547103000000007</v>
      </c>
      <c r="Q1012" s="152">
        <v>2.9330859999999999</v>
      </c>
      <c r="R1012" s="152" t="s">
        <v>1327</v>
      </c>
      <c r="S1012" s="152">
        <v>109.80720599999999</v>
      </c>
      <c r="T1012" s="152">
        <v>0.30684899999999998</v>
      </c>
      <c r="U1012" s="152">
        <v>3.1276570000000001</v>
      </c>
      <c r="V1012" s="152">
        <v>11.82131</v>
      </c>
      <c r="W1012" s="152">
        <v>1000</v>
      </c>
      <c r="X1012" s="152" t="s">
        <v>23</v>
      </c>
      <c r="Y1012" s="152" t="s">
        <v>1328</v>
      </c>
      <c r="Z1012" s="152" t="s">
        <v>1327</v>
      </c>
    </row>
    <row r="1013" spans="1:26" x14ac:dyDescent="0.2">
      <c r="A1013" s="152" t="s">
        <v>2195</v>
      </c>
      <c r="B1013" s="152">
        <v>5.52</v>
      </c>
      <c r="C1013" s="151">
        <v>44656</v>
      </c>
      <c r="D1013" s="152">
        <v>3.4465750000000002</v>
      </c>
      <c r="E1013" s="152" t="s">
        <v>1325</v>
      </c>
      <c r="F1013" s="152" t="s">
        <v>1326</v>
      </c>
      <c r="G1013" s="152" t="s">
        <v>41</v>
      </c>
      <c r="H1013" s="152"/>
      <c r="I1013" s="152">
        <v>43235</v>
      </c>
      <c r="J1013" s="152">
        <v>2.34</v>
      </c>
      <c r="K1013" s="152">
        <v>41453</v>
      </c>
      <c r="L1013" s="152">
        <v>5.2718090000000002</v>
      </c>
      <c r="M1013" s="152">
        <v>5.5618629999999998</v>
      </c>
      <c r="N1013" s="152">
        <v>5.01</v>
      </c>
      <c r="O1013" s="152">
        <v>2.937147</v>
      </c>
      <c r="P1013" s="152">
        <v>70.822400000000002</v>
      </c>
      <c r="Q1013" s="152">
        <v>2.937147</v>
      </c>
      <c r="R1013" s="152" t="s">
        <v>1327</v>
      </c>
      <c r="S1013" s="152">
        <v>108.40692900000001</v>
      </c>
      <c r="T1013" s="152">
        <v>0.30246600000000001</v>
      </c>
      <c r="U1013" s="152">
        <v>3.1408130000000001</v>
      </c>
      <c r="V1013" s="152">
        <v>11.892913999999999</v>
      </c>
      <c r="W1013" s="152">
        <v>1000</v>
      </c>
      <c r="X1013" s="152" t="s">
        <v>23</v>
      </c>
      <c r="Y1013" s="152" t="s">
        <v>1328</v>
      </c>
      <c r="Z1013" s="152" t="s">
        <v>1327</v>
      </c>
    </row>
    <row r="1014" spans="1:26" x14ac:dyDescent="0.2">
      <c r="A1014" s="152" t="s">
        <v>2196</v>
      </c>
      <c r="B1014" s="152">
        <v>3.24</v>
      </c>
      <c r="C1014" s="151">
        <v>44685</v>
      </c>
      <c r="D1014" s="152">
        <v>3.526027</v>
      </c>
      <c r="E1014" s="152" t="s">
        <v>1325</v>
      </c>
      <c r="F1014" s="152" t="s">
        <v>1326</v>
      </c>
      <c r="G1014" s="152" t="s">
        <v>41</v>
      </c>
      <c r="H1014" s="152"/>
      <c r="I1014" s="151">
        <v>43307</v>
      </c>
      <c r="J1014" s="152">
        <v>2.61</v>
      </c>
      <c r="K1014" s="152" t="s">
        <v>1327</v>
      </c>
      <c r="L1014" s="152" t="s">
        <v>1327</v>
      </c>
      <c r="M1014" s="152" t="s">
        <v>1327</v>
      </c>
      <c r="N1014" s="152" t="s">
        <v>1327</v>
      </c>
      <c r="O1014" s="152">
        <v>2.9683060000000001</v>
      </c>
      <c r="P1014" s="152">
        <v>71.196420000000003</v>
      </c>
      <c r="Q1014" s="152">
        <v>2.9683060000000001</v>
      </c>
      <c r="R1014" s="152" t="s">
        <v>1327</v>
      </c>
      <c r="S1014" s="152">
        <v>100.90424899999999</v>
      </c>
      <c r="T1014" s="152">
        <v>-8.8766999999999999E-2</v>
      </c>
      <c r="U1014" s="152">
        <v>3.3160500000000002</v>
      </c>
      <c r="V1014" s="152">
        <v>12.948088</v>
      </c>
      <c r="W1014" s="152">
        <v>1000</v>
      </c>
      <c r="X1014" s="152" t="s">
        <v>23</v>
      </c>
      <c r="Y1014" s="152" t="s">
        <v>1328</v>
      </c>
      <c r="Z1014" s="152" t="s">
        <v>1327</v>
      </c>
    </row>
    <row r="1015" spans="1:26" x14ac:dyDescent="0.2">
      <c r="A1015" s="152" t="s">
        <v>2197</v>
      </c>
      <c r="B1015" s="152">
        <v>5.1100000000000003</v>
      </c>
      <c r="C1015" s="151">
        <v>44909</v>
      </c>
      <c r="D1015" s="152">
        <v>4.1397259999999996</v>
      </c>
      <c r="E1015" s="152" t="s">
        <v>1325</v>
      </c>
      <c r="F1015" s="152" t="s">
        <v>1326</v>
      </c>
      <c r="G1015" s="152" t="s">
        <v>41</v>
      </c>
      <c r="H1015" s="152"/>
      <c r="I1015" s="152">
        <v>43245</v>
      </c>
      <c r="J1015" s="152">
        <v>2.6875</v>
      </c>
      <c r="K1015" s="152">
        <v>41362</v>
      </c>
      <c r="L1015" s="152">
        <v>5.0815770000000002</v>
      </c>
      <c r="M1015" s="152">
        <v>5.293253</v>
      </c>
      <c r="N1015" s="152">
        <v>5.0789689999999998</v>
      </c>
      <c r="O1015" s="152">
        <v>3.0444140000000002</v>
      </c>
      <c r="P1015" s="152">
        <v>71.076138999999998</v>
      </c>
      <c r="Q1015" s="152">
        <v>3.0444140000000002</v>
      </c>
      <c r="R1015" s="152" t="s">
        <v>1327</v>
      </c>
      <c r="S1015" s="152">
        <v>107.96143499999999</v>
      </c>
      <c r="T1015" s="152">
        <v>1.8620000000000001</v>
      </c>
      <c r="U1015" s="152">
        <v>3.6782300000000001</v>
      </c>
      <c r="V1015" s="152">
        <v>16.302105999999998</v>
      </c>
      <c r="W1015" s="152">
        <v>1000</v>
      </c>
      <c r="X1015" s="152" t="s">
        <v>23</v>
      </c>
      <c r="Y1015" s="152" t="s">
        <v>1328</v>
      </c>
      <c r="Z1015" s="152" t="s">
        <v>1327</v>
      </c>
    </row>
    <row r="1016" spans="1:26" x14ac:dyDescent="0.2">
      <c r="A1016" s="152" t="s">
        <v>2198</v>
      </c>
      <c r="B1016" s="152">
        <v>4</v>
      </c>
      <c r="C1016" s="151">
        <v>44847</v>
      </c>
      <c r="D1016" s="152">
        <v>3.9698630000000001</v>
      </c>
      <c r="E1016" s="152" t="s">
        <v>1325</v>
      </c>
      <c r="F1016" s="152" t="s">
        <v>1326</v>
      </c>
      <c r="G1016" s="152"/>
      <c r="H1016" s="152"/>
      <c r="I1016" s="151" t="s">
        <v>1327</v>
      </c>
      <c r="J1016" s="152" t="s">
        <v>1327</v>
      </c>
      <c r="K1016" s="152" t="s">
        <v>1327</v>
      </c>
      <c r="L1016" s="152" t="s">
        <v>1327</v>
      </c>
      <c r="M1016" s="152" t="s">
        <v>1327</v>
      </c>
      <c r="N1016" s="152" t="s">
        <v>1327</v>
      </c>
      <c r="O1016" s="152">
        <v>3.0356510000000001</v>
      </c>
      <c r="P1016" s="152">
        <v>70.778751999999997</v>
      </c>
      <c r="Q1016" s="152">
        <v>3.0356510000000001</v>
      </c>
      <c r="R1016" s="152" t="s">
        <v>1327</v>
      </c>
      <c r="S1016" s="152">
        <v>103.58217</v>
      </c>
      <c r="T1016" s="152">
        <v>0.13150700000000001</v>
      </c>
      <c r="U1016" s="152">
        <v>3.6519249999999999</v>
      </c>
      <c r="V1016" s="152">
        <v>15.702876</v>
      </c>
      <c r="W1016" s="152">
        <v>1000</v>
      </c>
      <c r="X1016" s="152" t="s">
        <v>23</v>
      </c>
      <c r="Y1016" s="152" t="s">
        <v>1328</v>
      </c>
      <c r="Z1016" s="152" t="s">
        <v>1327</v>
      </c>
    </row>
    <row r="1017" spans="1:26" x14ac:dyDescent="0.2">
      <c r="A1017" s="152" t="s">
        <v>2199</v>
      </c>
      <c r="B1017" s="152">
        <v>5.0999999999999996</v>
      </c>
      <c r="C1017" s="151">
        <v>45104</v>
      </c>
      <c r="D1017" s="152">
        <v>4.6739730000000002</v>
      </c>
      <c r="E1017" s="152" t="s">
        <v>1325</v>
      </c>
      <c r="F1017" s="152" t="s">
        <v>1326</v>
      </c>
      <c r="G1017" s="152" t="s">
        <v>41</v>
      </c>
      <c r="H1017" s="152"/>
      <c r="I1017" s="151" t="s">
        <v>1327</v>
      </c>
      <c r="J1017" s="152" t="s">
        <v>1327</v>
      </c>
      <c r="K1017" s="151" t="s">
        <v>1327</v>
      </c>
      <c r="L1017" s="152" t="s">
        <v>1327</v>
      </c>
      <c r="M1017" s="152" t="s">
        <v>1327</v>
      </c>
      <c r="N1017" s="152" t="s">
        <v>1327</v>
      </c>
      <c r="O1017" s="152">
        <v>3.1102949999999998</v>
      </c>
      <c r="P1017" s="152">
        <v>72.094865999999996</v>
      </c>
      <c r="Q1017" s="152">
        <v>3.1102949999999998</v>
      </c>
      <c r="R1017" s="152" t="s">
        <v>1327</v>
      </c>
      <c r="S1017" s="152">
        <v>108.579747</v>
      </c>
      <c r="T1017" s="152">
        <v>1.676712</v>
      </c>
      <c r="U1017" s="152">
        <v>4.1116289999999998</v>
      </c>
      <c r="V1017" s="152">
        <v>20.234390000000001</v>
      </c>
      <c r="W1017" s="152">
        <v>1000</v>
      </c>
      <c r="X1017" s="152" t="s">
        <v>23</v>
      </c>
      <c r="Y1017" s="152" t="s">
        <v>1328</v>
      </c>
      <c r="Z1017" s="152" t="s">
        <v>1327</v>
      </c>
    </row>
    <row r="1018" spans="1:26" x14ac:dyDescent="0.2">
      <c r="A1018" s="152" t="s">
        <v>2200</v>
      </c>
      <c r="B1018" s="152">
        <v>2.78</v>
      </c>
      <c r="C1018" s="151">
        <v>45085</v>
      </c>
      <c r="D1018" s="152">
        <v>4.621918</v>
      </c>
      <c r="E1018" s="152" t="s">
        <v>1325</v>
      </c>
      <c r="F1018" s="152" t="s">
        <v>1326</v>
      </c>
      <c r="G1018" s="152" t="s">
        <v>41</v>
      </c>
      <c r="H1018" s="152"/>
      <c r="I1018" s="151">
        <v>43321</v>
      </c>
      <c r="J1018" s="152">
        <v>2.96</v>
      </c>
      <c r="K1018" s="151" t="s">
        <v>1327</v>
      </c>
      <c r="L1018" s="152" t="s">
        <v>1327</v>
      </c>
      <c r="M1018" s="152" t="s">
        <v>1327</v>
      </c>
      <c r="N1018" s="152" t="s">
        <v>1327</v>
      </c>
      <c r="O1018" s="152">
        <v>3.1125720000000001</v>
      </c>
      <c r="P1018" s="152">
        <v>71.696404999999999</v>
      </c>
      <c r="Q1018" s="152">
        <v>3.1125720000000001</v>
      </c>
      <c r="R1018" s="152" t="s">
        <v>1327</v>
      </c>
      <c r="S1018" s="152">
        <v>98.573203000000007</v>
      </c>
      <c r="T1018" s="152">
        <v>1.0586850000000001</v>
      </c>
      <c r="U1018" s="152">
        <v>4.2540469999999999</v>
      </c>
      <c r="V1018" s="152">
        <v>21.036809000000002</v>
      </c>
      <c r="W1018" s="152">
        <v>1000</v>
      </c>
      <c r="X1018" s="152" t="s">
        <v>23</v>
      </c>
      <c r="Y1018" s="152" t="s">
        <v>1328</v>
      </c>
      <c r="Z1018" s="152" t="s">
        <v>1327</v>
      </c>
    </row>
    <row r="1019" spans="1:26" x14ac:dyDescent="0.2">
      <c r="A1019" s="152" t="s">
        <v>2201</v>
      </c>
      <c r="B1019" s="152">
        <v>5.3</v>
      </c>
      <c r="C1019" s="151">
        <v>45365</v>
      </c>
      <c r="D1019" s="152">
        <v>5.3890409999999997</v>
      </c>
      <c r="E1019" s="152" t="s">
        <v>1325</v>
      </c>
      <c r="F1019" s="152" t="s">
        <v>1326</v>
      </c>
      <c r="G1019" s="152" t="s">
        <v>41</v>
      </c>
      <c r="H1019" s="152"/>
      <c r="I1019" s="151" t="s">
        <v>1327</v>
      </c>
      <c r="J1019" s="152" t="s">
        <v>1327</v>
      </c>
      <c r="K1019" s="151" t="s">
        <v>1327</v>
      </c>
      <c r="L1019" s="152" t="s">
        <v>1327</v>
      </c>
      <c r="M1019" s="152" t="s">
        <v>1327</v>
      </c>
      <c r="N1019" s="152" t="s">
        <v>1327</v>
      </c>
      <c r="O1019" s="152">
        <v>3.1937820000000001</v>
      </c>
      <c r="P1019" s="152">
        <v>74.244741000000005</v>
      </c>
      <c r="Q1019" s="152">
        <v>3.1937820000000001</v>
      </c>
      <c r="R1019" s="152" t="s">
        <v>1327</v>
      </c>
      <c r="S1019" s="152">
        <v>110.36025100000001</v>
      </c>
      <c r="T1019" s="152">
        <v>0.59534200000000004</v>
      </c>
      <c r="U1019" s="152">
        <v>4.6894710000000002</v>
      </c>
      <c r="V1019" s="152">
        <v>26.055377</v>
      </c>
      <c r="W1019" s="152">
        <v>1000</v>
      </c>
      <c r="X1019" s="152" t="s">
        <v>23</v>
      </c>
      <c r="Y1019" s="152" t="s">
        <v>1328</v>
      </c>
      <c r="Z1019" s="152" t="s">
        <v>1327</v>
      </c>
    </row>
    <row r="1020" spans="1:26" x14ac:dyDescent="0.2">
      <c r="A1020" s="152" t="s">
        <v>2202</v>
      </c>
      <c r="B1020" s="152">
        <v>3.75</v>
      </c>
      <c r="C1020" s="151">
        <v>45416</v>
      </c>
      <c r="D1020" s="152">
        <v>5.5287670000000002</v>
      </c>
      <c r="E1020" s="152" t="s">
        <v>1325</v>
      </c>
      <c r="F1020" s="152" t="s">
        <v>1326</v>
      </c>
      <c r="G1020" s="152" t="s">
        <v>41</v>
      </c>
      <c r="H1020" s="152"/>
      <c r="I1020" s="151">
        <v>43285</v>
      </c>
      <c r="J1020" s="152">
        <v>3.07</v>
      </c>
      <c r="K1020" s="152" t="s">
        <v>1327</v>
      </c>
      <c r="L1020" s="152" t="s">
        <v>1327</v>
      </c>
      <c r="M1020" s="152" t="s">
        <v>1327</v>
      </c>
      <c r="N1020" s="152" t="s">
        <v>1327</v>
      </c>
      <c r="O1020" s="152">
        <v>3.212072</v>
      </c>
      <c r="P1020" s="152">
        <v>74.062689000000006</v>
      </c>
      <c r="Q1020" s="152">
        <v>3.212072</v>
      </c>
      <c r="R1020" s="152" t="s">
        <v>1327</v>
      </c>
      <c r="S1020" s="152">
        <v>102.70541</v>
      </c>
      <c r="T1020" s="152">
        <v>-0.10274</v>
      </c>
      <c r="U1020" s="152">
        <v>4.976019</v>
      </c>
      <c r="V1020" s="152">
        <v>28.614087000000001</v>
      </c>
      <c r="W1020" s="152">
        <v>1000</v>
      </c>
      <c r="X1020" s="152" t="s">
        <v>23</v>
      </c>
      <c r="Y1020" s="152" t="s">
        <v>1328</v>
      </c>
      <c r="Z1020" s="152" t="s">
        <v>1327</v>
      </c>
    </row>
    <row r="1021" spans="1:26" x14ac:dyDescent="0.2">
      <c r="A1021" s="152" t="s">
        <v>2203</v>
      </c>
      <c r="B1021" s="152">
        <v>5.28</v>
      </c>
      <c r="C1021" s="151">
        <v>45640</v>
      </c>
      <c r="D1021" s="152">
        <v>6.1424659999999998</v>
      </c>
      <c r="E1021" s="152" t="s">
        <v>1325</v>
      </c>
      <c r="F1021" s="152" t="s">
        <v>1326</v>
      </c>
      <c r="G1021" s="152" t="s">
        <v>41</v>
      </c>
      <c r="H1021" s="152"/>
      <c r="I1021" s="151">
        <v>43350</v>
      </c>
      <c r="J1021" s="152">
        <v>3.27</v>
      </c>
      <c r="K1021" s="151">
        <v>41362</v>
      </c>
      <c r="L1021" s="152">
        <v>5.1080800000000002</v>
      </c>
      <c r="M1021" s="152">
        <v>5.1080800000000002</v>
      </c>
      <c r="N1021" s="152">
        <v>3.6564999999999999</v>
      </c>
      <c r="O1021" s="152">
        <v>3.3635890000000002</v>
      </c>
      <c r="P1021" s="152">
        <v>83.205718000000005</v>
      </c>
      <c r="Q1021" s="152">
        <v>3.3635890000000002</v>
      </c>
      <c r="R1021" s="152" t="s">
        <v>1327</v>
      </c>
      <c r="S1021" s="152">
        <v>110.535257</v>
      </c>
      <c r="T1021" s="152">
        <v>1.923945</v>
      </c>
      <c r="U1021" s="152">
        <v>5.1913710000000002</v>
      </c>
      <c r="V1021" s="152">
        <v>32.307910999999997</v>
      </c>
      <c r="W1021" s="152">
        <v>1000</v>
      </c>
      <c r="X1021" s="152" t="s">
        <v>23</v>
      </c>
      <c r="Y1021" s="152" t="s">
        <v>1328</v>
      </c>
      <c r="Z1021" s="152" t="s">
        <v>1327</v>
      </c>
    </row>
    <row r="1022" spans="1:26" x14ac:dyDescent="0.2">
      <c r="A1022" s="152" t="s">
        <v>2204</v>
      </c>
      <c r="B1022" s="152">
        <v>2.92</v>
      </c>
      <c r="C1022" s="151">
        <v>45612</v>
      </c>
      <c r="D1022" s="152">
        <v>6.065753</v>
      </c>
      <c r="E1022" s="152" t="s">
        <v>1325</v>
      </c>
      <c r="F1022" s="152" t="s">
        <v>1326</v>
      </c>
      <c r="G1022" s="152" t="s">
        <v>41</v>
      </c>
      <c r="H1022" s="152"/>
      <c r="I1022" s="151" t="s">
        <v>1327</v>
      </c>
      <c r="J1022" s="152" t="s">
        <v>1327</v>
      </c>
      <c r="K1022" s="152" t="s">
        <v>1327</v>
      </c>
      <c r="L1022" s="152" t="s">
        <v>1327</v>
      </c>
      <c r="M1022" s="152" t="s">
        <v>1327</v>
      </c>
      <c r="N1022" s="152" t="s">
        <v>1327</v>
      </c>
      <c r="O1022" s="152">
        <v>3.2921830000000001</v>
      </c>
      <c r="P1022" s="152">
        <v>75.222628</v>
      </c>
      <c r="Q1022" s="152">
        <v>3.2921830000000001</v>
      </c>
      <c r="R1022" s="152" t="s">
        <v>1327</v>
      </c>
      <c r="S1022" s="152">
        <v>97.957016999999993</v>
      </c>
      <c r="T1022" s="152">
        <v>1.296</v>
      </c>
      <c r="U1022" s="152">
        <v>5.4309789999999998</v>
      </c>
      <c r="V1022" s="152">
        <v>34.098208999999997</v>
      </c>
      <c r="W1022" s="152">
        <v>1000</v>
      </c>
      <c r="X1022" s="152" t="s">
        <v>23</v>
      </c>
      <c r="Y1022" s="152" t="s">
        <v>1328</v>
      </c>
      <c r="Z1022" s="152" t="s">
        <v>1327</v>
      </c>
    </row>
    <row r="1023" spans="1:26" x14ac:dyDescent="0.2">
      <c r="A1023" s="152" t="s">
        <v>2205</v>
      </c>
      <c r="B1023" s="152">
        <v>3.18</v>
      </c>
      <c r="C1023" s="151">
        <v>45816</v>
      </c>
      <c r="D1023" s="152">
        <v>6.6246580000000002</v>
      </c>
      <c r="E1023" s="152" t="s">
        <v>1325</v>
      </c>
      <c r="F1023" s="152" t="s">
        <v>1326</v>
      </c>
      <c r="G1023" s="152" t="s">
        <v>41</v>
      </c>
      <c r="H1023" s="152"/>
      <c r="I1023" s="152" t="s">
        <v>1327</v>
      </c>
      <c r="J1023" s="152" t="s">
        <v>1327</v>
      </c>
      <c r="K1023" s="152" t="s">
        <v>1327</v>
      </c>
      <c r="L1023" s="152" t="s">
        <v>1327</v>
      </c>
      <c r="M1023" s="152" t="s">
        <v>1327</v>
      </c>
      <c r="N1023" s="152" t="s">
        <v>1327</v>
      </c>
      <c r="O1023" s="152">
        <v>3.386466</v>
      </c>
      <c r="P1023" s="152">
        <v>78.361127999999994</v>
      </c>
      <c r="Q1023" s="152">
        <v>3.386466</v>
      </c>
      <c r="R1023" s="152" t="s">
        <v>1327</v>
      </c>
      <c r="S1023" s="152">
        <v>98.777828999999997</v>
      </c>
      <c r="T1023" s="152">
        <v>1.211014</v>
      </c>
      <c r="U1023" s="152">
        <v>5.8468080000000002</v>
      </c>
      <c r="V1023" s="152">
        <v>39.609641000000003</v>
      </c>
      <c r="W1023" s="152">
        <v>1000</v>
      </c>
      <c r="X1023" s="152" t="s">
        <v>23</v>
      </c>
      <c r="Y1023" s="152" t="s">
        <v>1328</v>
      </c>
      <c r="Z1023" s="152" t="s">
        <v>1327</v>
      </c>
    </row>
    <row r="1024" spans="1:26" x14ac:dyDescent="0.2">
      <c r="A1024" s="152" t="s">
        <v>2206</v>
      </c>
      <c r="B1024" s="152">
        <v>3.92</v>
      </c>
      <c r="C1024" s="151">
        <v>46000</v>
      </c>
      <c r="D1024" s="152">
        <v>7.1287669999999999</v>
      </c>
      <c r="E1024" s="152" t="s">
        <v>1325</v>
      </c>
      <c r="F1024" s="152" t="s">
        <v>1326</v>
      </c>
      <c r="G1024" s="152" t="s">
        <v>41</v>
      </c>
      <c r="H1024" s="152"/>
      <c r="I1024" s="151" t="s">
        <v>1327</v>
      </c>
      <c r="J1024" s="152" t="s">
        <v>1327</v>
      </c>
      <c r="K1024" s="151" t="s">
        <v>1327</v>
      </c>
      <c r="L1024" s="152" t="s">
        <v>1327</v>
      </c>
      <c r="M1024" s="152" t="s">
        <v>1327</v>
      </c>
      <c r="N1024" s="152" t="s">
        <v>1327</v>
      </c>
      <c r="O1024" s="152">
        <v>3.4340989999999998</v>
      </c>
      <c r="P1024" s="152">
        <v>78.630556999999996</v>
      </c>
      <c r="Q1024" s="152">
        <v>3.4340989999999998</v>
      </c>
      <c r="R1024" s="152" t="s">
        <v>1327</v>
      </c>
      <c r="S1024" s="152">
        <v>103.038876</v>
      </c>
      <c r="T1024" s="152">
        <v>1.4820819999999999</v>
      </c>
      <c r="U1024" s="152">
        <v>6.1062849999999997</v>
      </c>
      <c r="V1024" s="152">
        <v>43.830571999999997</v>
      </c>
      <c r="W1024" s="152">
        <v>1000</v>
      </c>
      <c r="X1024" s="152" t="s">
        <v>23</v>
      </c>
      <c r="Y1024" s="152" t="s">
        <v>1328</v>
      </c>
      <c r="Z1024" s="152" t="s">
        <v>1327</v>
      </c>
    </row>
    <row r="1025" spans="1:26" x14ac:dyDescent="0.2">
      <c r="A1025" s="152" t="s">
        <v>2207</v>
      </c>
      <c r="B1025" s="152">
        <v>4.2</v>
      </c>
      <c r="C1025" s="151">
        <v>45943</v>
      </c>
      <c r="D1025" s="152">
        <v>6.9726030000000003</v>
      </c>
      <c r="E1025" s="152" t="s">
        <v>1325</v>
      </c>
      <c r="F1025" s="152" t="s">
        <v>1326</v>
      </c>
      <c r="G1025" s="152"/>
      <c r="H1025" s="152"/>
      <c r="I1025" s="151">
        <v>42307</v>
      </c>
      <c r="J1025" s="152">
        <v>4.0999999999999996</v>
      </c>
      <c r="K1025" s="152" t="s">
        <v>1327</v>
      </c>
      <c r="L1025" s="152" t="s">
        <v>1327</v>
      </c>
      <c r="M1025" s="152" t="s">
        <v>1327</v>
      </c>
      <c r="N1025" s="152" t="s">
        <v>1327</v>
      </c>
      <c r="O1025" s="152">
        <v>3.417554</v>
      </c>
      <c r="P1025" s="152">
        <v>78.542449000000005</v>
      </c>
      <c r="Q1025" s="152">
        <v>3.417554</v>
      </c>
      <c r="R1025" s="152" t="s">
        <v>1327</v>
      </c>
      <c r="S1025" s="152">
        <v>104.81843000000001</v>
      </c>
      <c r="T1025" s="152">
        <v>0.13808200000000001</v>
      </c>
      <c r="U1025" s="152">
        <v>6.024222</v>
      </c>
      <c r="V1025" s="152">
        <v>42.288487000000003</v>
      </c>
      <c r="W1025" s="152">
        <v>1000</v>
      </c>
      <c r="X1025" s="152" t="s">
        <v>23</v>
      </c>
      <c r="Y1025" s="152" t="s">
        <v>1328</v>
      </c>
      <c r="Z1025" s="152" t="s">
        <v>1327</v>
      </c>
    </row>
    <row r="1026" spans="1:26" x14ac:dyDescent="0.2">
      <c r="A1026" s="152" t="s">
        <v>2208</v>
      </c>
      <c r="B1026" s="152">
        <v>3.68</v>
      </c>
      <c r="C1026" s="151">
        <v>46315</v>
      </c>
      <c r="D1026" s="152">
        <v>7.9917809999999996</v>
      </c>
      <c r="E1026" s="152" t="s">
        <v>1325</v>
      </c>
      <c r="F1026" s="152" t="s">
        <v>1326</v>
      </c>
      <c r="G1026" s="152" t="s">
        <v>41</v>
      </c>
      <c r="H1026" s="152"/>
      <c r="I1026" s="151">
        <v>43208</v>
      </c>
      <c r="J1026" s="152">
        <v>3.37</v>
      </c>
      <c r="K1026" s="151" t="s">
        <v>1327</v>
      </c>
      <c r="L1026" s="152" t="s">
        <v>1327</v>
      </c>
      <c r="M1026" s="152" t="s">
        <v>1327</v>
      </c>
      <c r="N1026" s="152" t="s">
        <v>1327</v>
      </c>
      <c r="O1026" s="152">
        <v>3.4934059999999998</v>
      </c>
      <c r="P1026" s="152">
        <v>77.723313000000005</v>
      </c>
      <c r="Q1026" s="152">
        <v>3.4934059999999998</v>
      </c>
      <c r="R1026" s="152" t="s">
        <v>1327</v>
      </c>
      <c r="S1026" s="152">
        <v>101.29501399999999</v>
      </c>
      <c r="T1026" s="152">
        <v>5.0410999999999997E-2</v>
      </c>
      <c r="U1026" s="152">
        <v>6.8748670000000001</v>
      </c>
      <c r="V1026" s="152">
        <v>54.743786</v>
      </c>
      <c r="W1026" s="152">
        <v>1000</v>
      </c>
      <c r="X1026" s="152" t="s">
        <v>23</v>
      </c>
      <c r="Y1026" s="152" t="s">
        <v>1328</v>
      </c>
      <c r="Z1026" s="152" t="s">
        <v>1327</v>
      </c>
    </row>
    <row r="1027" spans="1:26" x14ac:dyDescent="0.2">
      <c r="A1027" s="152" t="s">
        <v>2209</v>
      </c>
      <c r="B1027" s="152">
        <v>4.1100000000000003</v>
      </c>
      <c r="C1027" s="151">
        <v>46511</v>
      </c>
      <c r="D1027" s="152">
        <v>8.5287670000000002</v>
      </c>
      <c r="E1027" s="152" t="s">
        <v>1325</v>
      </c>
      <c r="F1027" s="152" t="s">
        <v>1326</v>
      </c>
      <c r="G1027" s="152" t="s">
        <v>41</v>
      </c>
      <c r="H1027" s="152"/>
      <c r="I1027" s="151">
        <v>43395</v>
      </c>
      <c r="J1027" s="152">
        <v>3.55</v>
      </c>
      <c r="K1027" s="151" t="s">
        <v>1327</v>
      </c>
      <c r="L1027" s="152" t="s">
        <v>1327</v>
      </c>
      <c r="M1027" s="152" t="s">
        <v>1327</v>
      </c>
      <c r="N1027" s="152" t="s">
        <v>1327</v>
      </c>
      <c r="O1027" s="152">
        <v>3.521976</v>
      </c>
      <c r="P1027" s="152">
        <v>76.114525</v>
      </c>
      <c r="Q1027" s="152">
        <v>3.521976</v>
      </c>
      <c r="R1027" s="152" t="s">
        <v>1327</v>
      </c>
      <c r="S1027" s="152">
        <v>104.300051</v>
      </c>
      <c r="T1027" s="152">
        <v>-0.11260299999999999</v>
      </c>
      <c r="U1027" s="152">
        <v>7.1913260000000001</v>
      </c>
      <c r="V1027" s="152">
        <v>60.409629000000002</v>
      </c>
      <c r="W1027" s="152">
        <v>1000</v>
      </c>
      <c r="X1027" s="152" t="s">
        <v>23</v>
      </c>
      <c r="Y1027" s="152" t="s">
        <v>1328</v>
      </c>
      <c r="Z1027" s="152" t="s">
        <v>1327</v>
      </c>
    </row>
    <row r="1028" spans="1:26" x14ac:dyDescent="0.2">
      <c r="A1028" s="152" t="s">
        <v>2210</v>
      </c>
      <c r="B1028" s="152">
        <v>3.46</v>
      </c>
      <c r="C1028" s="151">
        <v>46707</v>
      </c>
      <c r="D1028" s="152">
        <v>9.0657530000000008</v>
      </c>
      <c r="E1028" s="152" t="s">
        <v>1325</v>
      </c>
      <c r="F1028" s="152" t="s">
        <v>1326</v>
      </c>
      <c r="G1028" s="152" t="s">
        <v>41</v>
      </c>
      <c r="H1028" s="152"/>
      <c r="I1028" s="151" t="s">
        <v>1327</v>
      </c>
      <c r="J1028" s="152" t="s">
        <v>1327</v>
      </c>
      <c r="K1028" s="152" t="s">
        <v>1327</v>
      </c>
      <c r="L1028" s="152" t="s">
        <v>1327</v>
      </c>
      <c r="M1028" s="152" t="s">
        <v>1327</v>
      </c>
      <c r="N1028" s="152" t="s">
        <v>1327</v>
      </c>
      <c r="O1028" s="152">
        <v>3.6422340000000002</v>
      </c>
      <c r="P1028" s="152">
        <v>84.002080000000007</v>
      </c>
      <c r="Q1028" s="152">
        <v>3.6422340000000002</v>
      </c>
      <c r="R1028" s="152" t="s">
        <v>1327</v>
      </c>
      <c r="S1028" s="152">
        <v>98.588504999999998</v>
      </c>
      <c r="T1028" s="152">
        <v>1.535671</v>
      </c>
      <c r="U1028" s="152">
        <v>7.5872599999999997</v>
      </c>
      <c r="V1028" s="152">
        <v>67.727804000000006</v>
      </c>
      <c r="W1028" s="152">
        <v>1000</v>
      </c>
      <c r="X1028" s="152" t="s">
        <v>23</v>
      </c>
      <c r="Y1028" s="152" t="s">
        <v>1328</v>
      </c>
      <c r="Z1028" s="152" t="s">
        <v>1327</v>
      </c>
    </row>
    <row r="1029" spans="1:26" x14ac:dyDescent="0.2">
      <c r="A1029" s="152" t="s">
        <v>2211</v>
      </c>
      <c r="B1029" s="152">
        <v>3.83</v>
      </c>
      <c r="C1029" s="151">
        <v>46912</v>
      </c>
      <c r="D1029" s="152">
        <v>9.6273970000000002</v>
      </c>
      <c r="E1029" s="152" t="s">
        <v>1325</v>
      </c>
      <c r="F1029" s="152" t="s">
        <v>1326</v>
      </c>
      <c r="G1029" s="152" t="s">
        <v>41</v>
      </c>
      <c r="H1029" s="152"/>
      <c r="I1029" s="151">
        <v>43362</v>
      </c>
      <c r="J1029" s="152">
        <v>3.83</v>
      </c>
      <c r="K1029" s="151" t="s">
        <v>1327</v>
      </c>
      <c r="L1029" s="152" t="s">
        <v>1327</v>
      </c>
      <c r="M1029" s="152" t="s">
        <v>1327</v>
      </c>
      <c r="N1029" s="152" t="s">
        <v>1327</v>
      </c>
      <c r="O1029" s="152">
        <v>3.8155060000000001</v>
      </c>
      <c r="P1029" s="152">
        <v>103.94266</v>
      </c>
      <c r="Q1029" s="152">
        <v>3.8155060000000001</v>
      </c>
      <c r="R1029" s="152" t="s">
        <v>1327</v>
      </c>
      <c r="S1029" s="152">
        <v>100.107238</v>
      </c>
      <c r="T1029" s="152">
        <v>1.458548</v>
      </c>
      <c r="U1029" s="152">
        <v>7.8725529999999999</v>
      </c>
      <c r="V1029" s="152">
        <v>73.679486999999995</v>
      </c>
      <c r="W1029" s="152">
        <v>1000</v>
      </c>
      <c r="X1029" s="152" t="s">
        <v>23</v>
      </c>
      <c r="Y1029" s="152" t="s">
        <v>1328</v>
      </c>
      <c r="Z1029" s="152" t="s">
        <v>1327</v>
      </c>
    </row>
    <row r="1030" spans="1:26" x14ac:dyDescent="0.2">
      <c r="A1030" s="152" t="s">
        <v>2212</v>
      </c>
      <c r="B1030" s="152">
        <v>4.0999999999999996</v>
      </c>
      <c r="C1030" s="151">
        <v>47046</v>
      </c>
      <c r="D1030" s="152">
        <v>9.9945210000000007</v>
      </c>
      <c r="E1030" s="152" t="s">
        <v>1325</v>
      </c>
      <c r="F1030" s="152" t="s">
        <v>1326</v>
      </c>
      <c r="G1030" s="152" t="s">
        <v>41</v>
      </c>
      <c r="H1030" s="152"/>
      <c r="I1030" s="151">
        <v>43047</v>
      </c>
      <c r="J1030" s="152">
        <v>3.7</v>
      </c>
      <c r="K1030" s="151" t="s">
        <v>1327</v>
      </c>
      <c r="L1030" s="152" t="s">
        <v>1327</v>
      </c>
      <c r="M1030" s="152" t="s">
        <v>1327</v>
      </c>
      <c r="N1030" s="152" t="s">
        <v>1327</v>
      </c>
      <c r="O1030" s="152">
        <v>3.7416119999999999</v>
      </c>
      <c r="P1030" s="152">
        <v>95.339113999999995</v>
      </c>
      <c r="Q1030" s="152">
        <v>3.7416119999999999</v>
      </c>
      <c r="R1030" s="152" t="s">
        <v>1327</v>
      </c>
      <c r="S1030" s="152">
        <v>102.968309</v>
      </c>
      <c r="T1030" s="152">
        <v>5.6163999999999999E-2</v>
      </c>
      <c r="U1030" s="152">
        <v>8.1650379999999991</v>
      </c>
      <c r="V1030" s="152">
        <v>78.744151000000002</v>
      </c>
      <c r="W1030" s="152">
        <v>1000</v>
      </c>
      <c r="X1030" s="152" t="s">
        <v>23</v>
      </c>
      <c r="Y1030" s="152" t="s">
        <v>1328</v>
      </c>
      <c r="Z1030" s="152" t="s">
        <v>1327</v>
      </c>
    </row>
    <row r="1031" spans="1:26" x14ac:dyDescent="0.2">
      <c r="A1031" s="152" t="s">
        <v>2213</v>
      </c>
      <c r="B1031" s="152">
        <v>4.28</v>
      </c>
      <c r="C1031" s="151">
        <v>47242</v>
      </c>
      <c r="D1031" s="152">
        <v>10.531507</v>
      </c>
      <c r="E1031" s="152" t="s">
        <v>1325</v>
      </c>
      <c r="F1031" s="152" t="s">
        <v>1326</v>
      </c>
      <c r="G1031" s="152" t="s">
        <v>41</v>
      </c>
      <c r="H1031" s="152"/>
      <c r="I1031" s="151">
        <v>42899</v>
      </c>
      <c r="J1031" s="152">
        <v>4.05</v>
      </c>
      <c r="K1031" s="152" t="s">
        <v>1327</v>
      </c>
      <c r="L1031" s="152" t="s">
        <v>1327</v>
      </c>
      <c r="M1031" s="152" t="s">
        <v>1327</v>
      </c>
      <c r="N1031" s="152" t="s">
        <v>1327</v>
      </c>
      <c r="O1031" s="152">
        <v>3.97166</v>
      </c>
      <c r="P1031" s="152">
        <v>104.89129200000001</v>
      </c>
      <c r="Q1031" s="152">
        <v>3.97166</v>
      </c>
      <c r="R1031" s="152" t="s">
        <v>1327</v>
      </c>
      <c r="S1031" s="152">
        <v>102.633109</v>
      </c>
      <c r="T1031" s="152">
        <v>-0.11726</v>
      </c>
      <c r="U1031" s="152">
        <v>8.4556330000000006</v>
      </c>
      <c r="V1031" s="152">
        <v>85.072637</v>
      </c>
      <c r="W1031" s="152">
        <v>1000</v>
      </c>
      <c r="X1031" s="152" t="s">
        <v>23</v>
      </c>
      <c r="Y1031" s="152" t="s">
        <v>1328</v>
      </c>
      <c r="Z1031" s="152" t="s">
        <v>1327</v>
      </c>
    </row>
    <row r="1032" spans="1:26" x14ac:dyDescent="0.2">
      <c r="A1032" s="152" t="s">
        <v>2214</v>
      </c>
      <c r="B1032" s="152">
        <v>4.12</v>
      </c>
      <c r="C1032" s="151">
        <v>47642</v>
      </c>
      <c r="D1032" s="152">
        <v>11.627397</v>
      </c>
      <c r="E1032" s="152" t="s">
        <v>1325</v>
      </c>
      <c r="F1032" s="152" t="s">
        <v>1326</v>
      </c>
      <c r="G1032" s="152" t="s">
        <v>41</v>
      </c>
      <c r="H1032" s="152"/>
      <c r="I1032" s="151">
        <v>43346</v>
      </c>
      <c r="J1032" s="152">
        <v>3.95</v>
      </c>
      <c r="K1032" s="151" t="s">
        <v>1327</v>
      </c>
      <c r="L1032" s="152" t="s">
        <v>1327</v>
      </c>
      <c r="M1032" s="152" t="s">
        <v>1327</v>
      </c>
      <c r="N1032" s="152" t="s">
        <v>1327</v>
      </c>
      <c r="O1032" s="152">
        <v>4.1618639999999996</v>
      </c>
      <c r="P1032" s="152">
        <v>105.29954499999999</v>
      </c>
      <c r="Q1032" s="152">
        <v>4.1618639999999996</v>
      </c>
      <c r="R1032" s="152" t="s">
        <v>1327</v>
      </c>
      <c r="S1032" s="152">
        <v>99.607833999999997</v>
      </c>
      <c r="T1032" s="152">
        <v>1.568986</v>
      </c>
      <c r="U1032" s="152">
        <v>9.0138029999999993</v>
      </c>
      <c r="V1032" s="152">
        <v>98.938979000000003</v>
      </c>
      <c r="W1032" s="152">
        <v>1000</v>
      </c>
      <c r="X1032" s="152" t="s">
        <v>23</v>
      </c>
      <c r="Y1032" s="152" t="s">
        <v>1328</v>
      </c>
      <c r="Z1032" s="152" t="s">
        <v>1327</v>
      </c>
    </row>
    <row r="1033" spans="1:26" x14ac:dyDescent="0.2">
      <c r="A1033" s="152" t="s">
        <v>2215</v>
      </c>
      <c r="B1033" s="152">
        <v>4.3899999999999997</v>
      </c>
      <c r="C1033" s="151">
        <v>48141</v>
      </c>
      <c r="D1033" s="152">
        <v>12.994521000000001</v>
      </c>
      <c r="E1033" s="152" t="s">
        <v>1325</v>
      </c>
      <c r="F1033" s="152" t="s">
        <v>1326</v>
      </c>
      <c r="G1033" s="152" t="s">
        <v>41</v>
      </c>
      <c r="H1033" s="152"/>
      <c r="I1033" s="152">
        <v>43320</v>
      </c>
      <c r="J1033" s="152">
        <v>4.0425000000000004</v>
      </c>
      <c r="K1033" s="152" t="s">
        <v>1327</v>
      </c>
      <c r="L1033" s="152" t="s">
        <v>1327</v>
      </c>
      <c r="M1033" s="152" t="s">
        <v>1327</v>
      </c>
      <c r="N1033" s="152" t="s">
        <v>1327</v>
      </c>
      <c r="O1033" s="152">
        <v>4.1294510000000004</v>
      </c>
      <c r="P1033" s="152">
        <v>98.699518999999995</v>
      </c>
      <c r="Q1033" s="152">
        <v>4.1294510000000004</v>
      </c>
      <c r="R1033" s="152" t="s">
        <v>1327</v>
      </c>
      <c r="S1033" s="152">
        <v>102.60383899999999</v>
      </c>
      <c r="T1033" s="152">
        <v>6.0137000000000003E-2</v>
      </c>
      <c r="U1033" s="152">
        <v>9.8675040000000003</v>
      </c>
      <c r="V1033" s="152">
        <v>118.818275</v>
      </c>
      <c r="W1033" s="152">
        <v>1000</v>
      </c>
      <c r="X1033" s="152" t="s">
        <v>23</v>
      </c>
      <c r="Y1033" s="152" t="s">
        <v>1328</v>
      </c>
      <c r="Z1033" s="152" t="s">
        <v>1327</v>
      </c>
    </row>
    <row r="1034" spans="1:26" x14ac:dyDescent="0.2">
      <c r="A1034" s="152" t="s">
        <v>2216</v>
      </c>
      <c r="B1034" s="152">
        <v>3.9</v>
      </c>
      <c r="C1034" s="151">
        <v>48534</v>
      </c>
      <c r="D1034" s="152">
        <v>14.071232999999999</v>
      </c>
      <c r="E1034" s="152" t="s">
        <v>1325</v>
      </c>
      <c r="F1034" s="152" t="s">
        <v>1326</v>
      </c>
      <c r="G1034" s="152" t="s">
        <v>41</v>
      </c>
      <c r="H1034" s="152"/>
      <c r="I1034" s="152" t="s">
        <v>1327</v>
      </c>
      <c r="J1034" s="152" t="s">
        <v>1327</v>
      </c>
      <c r="K1034" s="152" t="s">
        <v>1327</v>
      </c>
      <c r="L1034" s="152" t="s">
        <v>1327</v>
      </c>
      <c r="M1034" s="152" t="s">
        <v>1327</v>
      </c>
      <c r="N1034" s="152" t="s">
        <v>1327</v>
      </c>
      <c r="O1034" s="152">
        <v>4.3041729999999996</v>
      </c>
      <c r="P1034" s="152">
        <v>105.97909</v>
      </c>
      <c r="Q1034" s="152">
        <v>4.3041729999999996</v>
      </c>
      <c r="R1034" s="152" t="s">
        <v>1327</v>
      </c>
      <c r="S1034" s="152">
        <v>95.751391999999996</v>
      </c>
      <c r="T1034" s="152">
        <v>1.7309589999999999</v>
      </c>
      <c r="U1034" s="152">
        <v>10.457897000000001</v>
      </c>
      <c r="V1034" s="152">
        <v>135.78762900000001</v>
      </c>
      <c r="W1034" s="152">
        <v>1000</v>
      </c>
      <c r="X1034" s="152" t="s">
        <v>23</v>
      </c>
      <c r="Y1034" s="152" t="s">
        <v>1328</v>
      </c>
      <c r="Z1034" s="152" t="s">
        <v>1327</v>
      </c>
    </row>
    <row r="1035" spans="1:26" x14ac:dyDescent="0.2">
      <c r="A1035" s="152" t="s">
        <v>2217</v>
      </c>
      <c r="B1035" s="152">
        <v>4.2699999999999996</v>
      </c>
      <c r="C1035" s="151">
        <v>48738</v>
      </c>
      <c r="D1035" s="152">
        <v>14.630137</v>
      </c>
      <c r="E1035" s="152" t="s">
        <v>1325</v>
      </c>
      <c r="F1035" s="152" t="s">
        <v>1326</v>
      </c>
      <c r="G1035" s="152" t="s">
        <v>41</v>
      </c>
      <c r="H1035" s="152"/>
      <c r="I1035" s="152" t="s">
        <v>1327</v>
      </c>
      <c r="J1035" s="152" t="s">
        <v>1327</v>
      </c>
      <c r="K1035" s="152" t="s">
        <v>1327</v>
      </c>
      <c r="L1035" s="152" t="s">
        <v>1327</v>
      </c>
      <c r="M1035" s="152" t="s">
        <v>1327</v>
      </c>
      <c r="N1035" s="152" t="s">
        <v>1327</v>
      </c>
      <c r="O1035" s="152">
        <v>4.38178</v>
      </c>
      <c r="P1035" s="152">
        <v>112.169388</v>
      </c>
      <c r="Q1035" s="152">
        <v>4.38178</v>
      </c>
      <c r="R1035" s="152" t="s">
        <v>1327</v>
      </c>
      <c r="S1035" s="152">
        <v>98.792492999999993</v>
      </c>
      <c r="T1035" s="152">
        <v>1.6261099999999999</v>
      </c>
      <c r="U1035" s="152">
        <v>10.589276999999999</v>
      </c>
      <c r="V1035" s="152">
        <v>141.08286899999999</v>
      </c>
      <c r="W1035" s="152">
        <v>1000</v>
      </c>
      <c r="X1035" s="152" t="s">
        <v>23</v>
      </c>
      <c r="Y1035" s="152" t="s">
        <v>1328</v>
      </c>
      <c r="Z1035" s="152" t="s">
        <v>1327</v>
      </c>
    </row>
    <row r="1036" spans="1:26" x14ac:dyDescent="0.2">
      <c r="A1036" s="152" t="s">
        <v>2218</v>
      </c>
      <c r="B1036" s="152">
        <v>5.5</v>
      </c>
      <c r="C1036" s="151">
        <v>43600</v>
      </c>
      <c r="D1036" s="152">
        <v>0.55342499999999994</v>
      </c>
      <c r="E1036" s="152" t="s">
        <v>1325</v>
      </c>
      <c r="F1036" s="152" t="s">
        <v>1326</v>
      </c>
      <c r="G1036" s="152"/>
      <c r="H1036" s="152"/>
      <c r="I1036" s="152">
        <v>42874</v>
      </c>
      <c r="J1036" s="152">
        <v>5.4934630000000002</v>
      </c>
      <c r="K1036" s="152" t="s">
        <v>1327</v>
      </c>
      <c r="L1036" s="152" t="s">
        <v>1327</v>
      </c>
      <c r="M1036" s="152" t="s">
        <v>1327</v>
      </c>
      <c r="N1036" s="152" t="s">
        <v>1327</v>
      </c>
      <c r="O1036" s="152">
        <v>5.7186139999999996</v>
      </c>
      <c r="P1036" s="152">
        <v>412.26839899999999</v>
      </c>
      <c r="Q1036" s="152">
        <v>5.7186139999999996</v>
      </c>
      <c r="R1036" s="152" t="s">
        <v>1327</v>
      </c>
      <c r="S1036" s="152">
        <v>99.867840999999999</v>
      </c>
      <c r="T1036" s="152">
        <v>1.069863</v>
      </c>
      <c r="U1036" s="152">
        <v>0.53968300000000002</v>
      </c>
      <c r="V1036" s="152">
        <v>0.42829</v>
      </c>
      <c r="W1036" s="152">
        <v>1000</v>
      </c>
      <c r="X1036" s="152" t="s">
        <v>23</v>
      </c>
      <c r="Y1036" s="152" t="s">
        <v>1328</v>
      </c>
      <c r="Z1036" s="152" t="s">
        <v>1327</v>
      </c>
    </row>
    <row r="1037" spans="1:26" x14ac:dyDescent="0.2">
      <c r="A1037" s="152" t="s">
        <v>2219</v>
      </c>
      <c r="B1037" s="152">
        <v>6</v>
      </c>
      <c r="C1037" s="151">
        <v>43673</v>
      </c>
      <c r="D1037" s="152">
        <v>0.75342500000000001</v>
      </c>
      <c r="E1037" s="152" t="s">
        <v>1325</v>
      </c>
      <c r="F1037" s="152" t="s">
        <v>1326</v>
      </c>
      <c r="G1037" s="152"/>
      <c r="H1037" s="152"/>
      <c r="I1037" s="151" t="s">
        <v>1327</v>
      </c>
      <c r="J1037" s="152" t="s">
        <v>1327</v>
      </c>
      <c r="K1037" s="152" t="s">
        <v>1327</v>
      </c>
      <c r="L1037" s="152" t="s">
        <v>1327</v>
      </c>
      <c r="M1037" s="152" t="s">
        <v>1327</v>
      </c>
      <c r="N1037" s="152" t="s">
        <v>1327</v>
      </c>
      <c r="O1037" s="152">
        <v>6.1921879999999998</v>
      </c>
      <c r="P1037" s="152">
        <v>455.66945399999997</v>
      </c>
      <c r="Q1037" s="152">
        <v>6.1921879999999998</v>
      </c>
      <c r="R1037" s="152" t="s">
        <v>1327</v>
      </c>
      <c r="S1037" s="152">
        <v>99.859469000000004</v>
      </c>
      <c r="T1037" s="152">
        <v>-3.2877000000000003E-2</v>
      </c>
      <c r="U1037" s="152">
        <v>0.73309299999999999</v>
      </c>
      <c r="V1037" s="152">
        <v>0.72225600000000001</v>
      </c>
      <c r="W1037" s="152">
        <v>1000</v>
      </c>
      <c r="X1037" s="152" t="s">
        <v>23</v>
      </c>
      <c r="Y1037" s="152" t="s">
        <v>1328</v>
      </c>
      <c r="Z1037" s="152" t="s">
        <v>1327</v>
      </c>
    </row>
    <row r="1038" spans="1:26" x14ac:dyDescent="0.2">
      <c r="A1038" s="152" t="s">
        <v>2220</v>
      </c>
      <c r="B1038" s="152">
        <v>6.65</v>
      </c>
      <c r="C1038" s="151">
        <v>43813</v>
      </c>
      <c r="D1038" s="152">
        <v>1.1369860000000001</v>
      </c>
      <c r="E1038" s="152" t="s">
        <v>1325</v>
      </c>
      <c r="F1038" s="152" t="s">
        <v>1326</v>
      </c>
      <c r="G1038" s="152"/>
      <c r="H1038" s="152"/>
      <c r="I1038" s="151" t="s">
        <v>1327</v>
      </c>
      <c r="J1038" s="152" t="s">
        <v>1327</v>
      </c>
      <c r="K1038" s="151" t="s">
        <v>1327</v>
      </c>
      <c r="L1038" s="152" t="s">
        <v>1327</v>
      </c>
      <c r="M1038" s="152" t="s">
        <v>1327</v>
      </c>
      <c r="N1038" s="152" t="s">
        <v>1327</v>
      </c>
      <c r="O1038" s="152">
        <v>6.8737560000000002</v>
      </c>
      <c r="P1038" s="152">
        <v>522.02074900000002</v>
      </c>
      <c r="Q1038" s="152">
        <v>6.8737560000000002</v>
      </c>
      <c r="R1038" s="152" t="s">
        <v>1327</v>
      </c>
      <c r="S1038" s="152">
        <v>99.758326999999994</v>
      </c>
      <c r="T1038" s="152">
        <v>0.74698600000000004</v>
      </c>
      <c r="U1038" s="152">
        <v>1.078176</v>
      </c>
      <c r="V1038" s="152">
        <v>1.455249</v>
      </c>
      <c r="W1038" s="152">
        <v>1000</v>
      </c>
      <c r="X1038" s="152" t="s">
        <v>23</v>
      </c>
      <c r="Y1038" s="152" t="s">
        <v>1328</v>
      </c>
      <c r="Z1038" s="152" t="s">
        <v>1327</v>
      </c>
    </row>
    <row r="1039" spans="1:26" x14ac:dyDescent="0.2">
      <c r="A1039" s="152" t="s">
        <v>2221</v>
      </c>
      <c r="B1039" s="152">
        <v>6</v>
      </c>
      <c r="C1039" s="151">
        <v>43784</v>
      </c>
      <c r="D1039" s="152">
        <v>1.057534</v>
      </c>
      <c r="E1039" s="152" t="s">
        <v>1325</v>
      </c>
      <c r="F1039" s="152" t="s">
        <v>1326</v>
      </c>
      <c r="G1039" s="152"/>
      <c r="H1039" s="152"/>
      <c r="I1039" s="152" t="s">
        <v>1327</v>
      </c>
      <c r="J1039" s="152" t="s">
        <v>1327</v>
      </c>
      <c r="K1039" s="152" t="s">
        <v>1327</v>
      </c>
      <c r="L1039" s="152" t="s">
        <v>1327</v>
      </c>
      <c r="M1039" s="152" t="s">
        <v>1327</v>
      </c>
      <c r="N1039" s="152" t="s">
        <v>1327</v>
      </c>
      <c r="O1039" s="152">
        <v>6.4073029999999997</v>
      </c>
      <c r="P1039" s="152">
        <v>474.341071</v>
      </c>
      <c r="Q1039" s="152">
        <v>6.4073029999999997</v>
      </c>
      <c r="R1039" s="152" t="s">
        <v>1327</v>
      </c>
      <c r="S1039" s="152">
        <v>99.572280000000006</v>
      </c>
      <c r="T1039" s="152">
        <v>1.1671229999999999</v>
      </c>
      <c r="U1039" s="152">
        <v>1.004928</v>
      </c>
      <c r="V1039" s="152">
        <v>1.2825260000000001</v>
      </c>
      <c r="W1039" s="152">
        <v>1000</v>
      </c>
      <c r="X1039" s="152" t="s">
        <v>23</v>
      </c>
      <c r="Y1039" s="152" t="s">
        <v>1328</v>
      </c>
      <c r="Z1039" s="152" t="s">
        <v>1327</v>
      </c>
    </row>
    <row r="1040" spans="1:26" x14ac:dyDescent="0.2">
      <c r="A1040" s="152" t="s">
        <v>2222</v>
      </c>
      <c r="B1040" s="152">
        <v>6.5</v>
      </c>
      <c r="C1040" s="151">
        <v>44101</v>
      </c>
      <c r="D1040" s="152">
        <v>1.9260269999999999</v>
      </c>
      <c r="E1040" s="152" t="s">
        <v>1325</v>
      </c>
      <c r="F1040" s="152" t="s">
        <v>1326</v>
      </c>
      <c r="G1040" s="152"/>
      <c r="H1040" s="152"/>
      <c r="I1040" s="152">
        <v>43370</v>
      </c>
      <c r="J1040" s="152">
        <v>6.5118850000000004</v>
      </c>
      <c r="K1040" s="152" t="s">
        <v>1327</v>
      </c>
      <c r="L1040" s="152" t="s">
        <v>1327</v>
      </c>
      <c r="M1040" s="152" t="s">
        <v>1327</v>
      </c>
      <c r="N1040" s="152" t="s">
        <v>1327</v>
      </c>
      <c r="O1040" s="152">
        <v>6.5610489999999997</v>
      </c>
      <c r="P1040" s="152">
        <v>470.03157299999998</v>
      </c>
      <c r="Q1040" s="152">
        <v>6.5610489999999997</v>
      </c>
      <c r="R1040" s="152" t="s">
        <v>1327</v>
      </c>
      <c r="S1040" s="152">
        <v>99.892197999999993</v>
      </c>
      <c r="T1040" s="152">
        <v>0.49863000000000002</v>
      </c>
      <c r="U1040" s="152">
        <v>1.7848299999999999</v>
      </c>
      <c r="V1040" s="152">
        <v>3.7457790000000002</v>
      </c>
      <c r="W1040" s="152">
        <v>1000</v>
      </c>
      <c r="X1040" s="152" t="s">
        <v>23</v>
      </c>
      <c r="Y1040" s="152" t="s">
        <v>1328</v>
      </c>
      <c r="Z1040" s="152" t="s">
        <v>1327</v>
      </c>
    </row>
    <row r="1041" spans="1:26" x14ac:dyDescent="0.2">
      <c r="A1041" s="152" t="s">
        <v>2223</v>
      </c>
      <c r="B1041" s="152">
        <v>7.5</v>
      </c>
      <c r="C1041" s="151">
        <v>43906</v>
      </c>
      <c r="D1041" s="152">
        <v>1.3917809999999999</v>
      </c>
      <c r="E1041" s="152" t="s">
        <v>1325</v>
      </c>
      <c r="F1041" s="152" t="s">
        <v>1326</v>
      </c>
      <c r="G1041" s="152"/>
      <c r="H1041" s="152"/>
      <c r="I1041" s="152">
        <v>43241</v>
      </c>
      <c r="J1041" s="152">
        <v>7.4888380000000003</v>
      </c>
      <c r="K1041" s="152" t="s">
        <v>1327</v>
      </c>
      <c r="L1041" s="152" t="s">
        <v>1327</v>
      </c>
      <c r="M1041" s="152" t="s">
        <v>1327</v>
      </c>
      <c r="N1041" s="152" t="s">
        <v>1327</v>
      </c>
      <c r="O1041" s="152">
        <v>7.7014760000000004</v>
      </c>
      <c r="P1041" s="152">
        <v>603.61817499999995</v>
      </c>
      <c r="Q1041" s="152">
        <v>7.7014760000000004</v>
      </c>
      <c r="R1041" s="152" t="s">
        <v>1327</v>
      </c>
      <c r="S1041" s="152">
        <v>99.737123999999994</v>
      </c>
      <c r="T1041" s="152">
        <v>0.80137000000000003</v>
      </c>
      <c r="U1041" s="152">
        <v>1.299974</v>
      </c>
      <c r="V1041" s="152">
        <v>2.0644110000000002</v>
      </c>
      <c r="W1041" s="152">
        <v>1000</v>
      </c>
      <c r="X1041" s="152" t="s">
        <v>23</v>
      </c>
      <c r="Y1041" s="152" t="s">
        <v>1328</v>
      </c>
      <c r="Z1041" s="152" t="s">
        <v>1327</v>
      </c>
    </row>
    <row r="1042" spans="1:26" x14ac:dyDescent="0.2">
      <c r="A1042" s="152" t="s">
        <v>2224</v>
      </c>
      <c r="B1042" s="152">
        <v>7</v>
      </c>
      <c r="C1042" s="151">
        <v>43995</v>
      </c>
      <c r="D1042" s="152">
        <v>1.635616</v>
      </c>
      <c r="E1042" s="152" t="s">
        <v>1325</v>
      </c>
      <c r="F1042" s="152" t="s">
        <v>1326</v>
      </c>
      <c r="G1042" s="152"/>
      <c r="H1042" s="152"/>
      <c r="I1042" s="151" t="s">
        <v>1327</v>
      </c>
      <c r="J1042" s="152" t="s">
        <v>1327</v>
      </c>
      <c r="K1042" s="152" t="s">
        <v>1327</v>
      </c>
      <c r="L1042" s="152" t="s">
        <v>1327</v>
      </c>
      <c r="M1042" s="152" t="s">
        <v>1327</v>
      </c>
      <c r="N1042" s="152" t="s">
        <v>1327</v>
      </c>
      <c r="O1042" s="152">
        <v>7.2731409999999999</v>
      </c>
      <c r="P1042" s="152">
        <v>550.85202300000003</v>
      </c>
      <c r="Q1042" s="152">
        <v>7.2731409999999999</v>
      </c>
      <c r="R1042" s="152" t="s">
        <v>1327</v>
      </c>
      <c r="S1042" s="152">
        <v>99.583566000000005</v>
      </c>
      <c r="T1042" s="152">
        <v>0.80547899999999995</v>
      </c>
      <c r="U1042" s="152">
        <v>1.5186459999999999</v>
      </c>
      <c r="V1042" s="152">
        <v>2.7644869999999999</v>
      </c>
      <c r="W1042" s="152">
        <v>1000</v>
      </c>
      <c r="X1042" s="152" t="s">
        <v>23</v>
      </c>
      <c r="Y1042" s="152" t="s">
        <v>1328</v>
      </c>
      <c r="Z1042" s="152" t="s">
        <v>1327</v>
      </c>
    </row>
    <row r="1043" spans="1:26" x14ac:dyDescent="0.2">
      <c r="A1043" s="152" t="s">
        <v>2225</v>
      </c>
      <c r="B1043" s="152">
        <v>6.75</v>
      </c>
      <c r="C1043" s="151">
        <v>43454</v>
      </c>
      <c r="D1043" s="152">
        <v>0.15342500000000001</v>
      </c>
      <c r="E1043" s="152" t="s">
        <v>1325</v>
      </c>
      <c r="F1043" s="152" t="s">
        <v>1326</v>
      </c>
      <c r="G1043" s="152"/>
      <c r="H1043" s="152"/>
      <c r="I1043" s="151" t="s">
        <v>1327</v>
      </c>
      <c r="J1043" s="152" t="s">
        <v>1327</v>
      </c>
      <c r="K1043" s="152" t="s">
        <v>1327</v>
      </c>
      <c r="L1043" s="152" t="s">
        <v>1327</v>
      </c>
      <c r="M1043" s="152" t="s">
        <v>1327</v>
      </c>
      <c r="N1043" s="152" t="s">
        <v>1327</v>
      </c>
      <c r="O1043" s="152">
        <v>6.6335790000000001</v>
      </c>
      <c r="P1043" s="152">
        <v>540.93476899999996</v>
      </c>
      <c r="Q1043" s="152">
        <v>6.6335790000000001</v>
      </c>
      <c r="R1043" s="152" t="s">
        <v>1327</v>
      </c>
      <c r="S1043" s="152">
        <v>100.018962</v>
      </c>
      <c r="T1043" s="152">
        <v>0.64725999999999995</v>
      </c>
      <c r="U1043" s="152">
        <v>0.150922</v>
      </c>
      <c r="V1043" s="152">
        <v>5.9892000000000001E-2</v>
      </c>
      <c r="W1043" s="152">
        <v>1000</v>
      </c>
      <c r="X1043" s="152" t="s">
        <v>23</v>
      </c>
      <c r="Y1043" s="152" t="s">
        <v>1328</v>
      </c>
      <c r="Z1043" s="152" t="s">
        <v>1327</v>
      </c>
    </row>
    <row r="1044" spans="1:26" x14ac:dyDescent="0.2">
      <c r="A1044" s="152" t="s">
        <v>2226</v>
      </c>
      <c r="B1044" s="152">
        <v>6.5</v>
      </c>
      <c r="C1044" s="151">
        <v>44032</v>
      </c>
      <c r="D1044" s="152">
        <v>1.7369859999999999</v>
      </c>
      <c r="E1044" s="152" t="s">
        <v>1325</v>
      </c>
      <c r="F1044" s="152" t="s">
        <v>1326</v>
      </c>
      <c r="G1044" s="152"/>
      <c r="H1044" s="152"/>
      <c r="I1044" s="151" t="s">
        <v>1327</v>
      </c>
      <c r="J1044" s="152" t="s">
        <v>1327</v>
      </c>
      <c r="K1044" s="152" t="s">
        <v>1327</v>
      </c>
      <c r="L1044" s="152" t="s">
        <v>1327</v>
      </c>
      <c r="M1044" s="152" t="s">
        <v>1327</v>
      </c>
      <c r="N1044" s="152" t="s">
        <v>1327</v>
      </c>
      <c r="O1044" s="152">
        <v>6.6722229999999998</v>
      </c>
      <c r="P1044" s="152">
        <v>486.47142300000002</v>
      </c>
      <c r="Q1044" s="152">
        <v>6.6722229999999998</v>
      </c>
      <c r="R1044" s="152" t="s">
        <v>1327</v>
      </c>
      <c r="S1044" s="152">
        <v>99.705573999999999</v>
      </c>
      <c r="T1044" s="152">
        <v>8.9040999999999995E-2</v>
      </c>
      <c r="U1044" s="152">
        <v>1.629292</v>
      </c>
      <c r="V1044" s="152">
        <v>3.1352920000000002</v>
      </c>
      <c r="W1044" s="152">
        <v>1000</v>
      </c>
      <c r="X1044" s="152" t="s">
        <v>23</v>
      </c>
      <c r="Y1044" s="152" t="s">
        <v>1328</v>
      </c>
      <c r="Z1044" s="152" t="s">
        <v>1327</v>
      </c>
    </row>
    <row r="1045" spans="1:26" x14ac:dyDescent="0.2">
      <c r="A1045" s="152" t="s">
        <v>2227</v>
      </c>
      <c r="B1045" s="152">
        <v>3.85</v>
      </c>
      <c r="C1045" s="151">
        <v>43815</v>
      </c>
      <c r="D1045" s="152">
        <v>1.142466</v>
      </c>
      <c r="E1045" s="152" t="s">
        <v>1325</v>
      </c>
      <c r="F1045" s="152" t="s">
        <v>1326</v>
      </c>
      <c r="G1045" s="152"/>
      <c r="H1045" s="152"/>
      <c r="I1045" s="152" t="s">
        <v>1327</v>
      </c>
      <c r="J1045" s="152" t="s">
        <v>1327</v>
      </c>
      <c r="K1045" s="152" t="s">
        <v>1327</v>
      </c>
      <c r="L1045" s="152" t="s">
        <v>1327</v>
      </c>
      <c r="M1045" s="152" t="s">
        <v>1327</v>
      </c>
      <c r="N1045" s="152" t="s">
        <v>1327</v>
      </c>
      <c r="O1045" s="152">
        <v>3.7063579999999998</v>
      </c>
      <c r="P1045" s="152">
        <v>192.28918100000001</v>
      </c>
      <c r="Q1045" s="152">
        <v>3.7063579999999998</v>
      </c>
      <c r="R1045" s="152" t="s">
        <v>1327</v>
      </c>
      <c r="S1045" s="152">
        <v>100.16150500000001</v>
      </c>
      <c r="T1045" s="152">
        <v>0.41137000000000001</v>
      </c>
      <c r="U1045" s="152">
        <v>1.108611</v>
      </c>
      <c r="V1045" s="152">
        <v>1.520497</v>
      </c>
      <c r="W1045" s="152">
        <v>1000</v>
      </c>
      <c r="X1045" s="152" t="s">
        <v>23</v>
      </c>
      <c r="Y1045" s="152" t="s">
        <v>1328</v>
      </c>
      <c r="Z1045" s="152" t="s">
        <v>1327</v>
      </c>
    </row>
    <row r="1046" spans="1:26" x14ac:dyDescent="0.2">
      <c r="A1046" s="152" t="s">
        <v>2228</v>
      </c>
      <c r="B1046" s="152">
        <v>3.85</v>
      </c>
      <c r="C1046" s="151">
        <v>43784</v>
      </c>
      <c r="D1046" s="152">
        <v>1.057534</v>
      </c>
      <c r="E1046" s="152" t="s">
        <v>1325</v>
      </c>
      <c r="F1046" s="152" t="s">
        <v>1326</v>
      </c>
      <c r="G1046" s="152"/>
      <c r="H1046" s="152"/>
      <c r="I1046" s="151" t="s">
        <v>1327</v>
      </c>
      <c r="J1046" s="152" t="s">
        <v>1327</v>
      </c>
      <c r="K1046" s="152" t="s">
        <v>1327</v>
      </c>
      <c r="L1046" s="152" t="s">
        <v>1327</v>
      </c>
      <c r="M1046" s="152" t="s">
        <v>1327</v>
      </c>
      <c r="N1046" s="152" t="s">
        <v>1327</v>
      </c>
      <c r="O1046" s="152">
        <v>3.6872440000000002</v>
      </c>
      <c r="P1046" s="152">
        <v>191.80547000000001</v>
      </c>
      <c r="Q1046" s="152">
        <v>3.6872440000000002</v>
      </c>
      <c r="R1046" s="152" t="s">
        <v>1327</v>
      </c>
      <c r="S1046" s="152">
        <v>100.15935500000001</v>
      </c>
      <c r="T1046" s="152">
        <v>0.74890400000000001</v>
      </c>
      <c r="U1046" s="152">
        <v>1.0245109999999999</v>
      </c>
      <c r="V1046" s="152">
        <v>1.320281</v>
      </c>
      <c r="W1046" s="152">
        <v>1000</v>
      </c>
      <c r="X1046" s="152" t="s">
        <v>23</v>
      </c>
      <c r="Y1046" s="152" t="s">
        <v>1328</v>
      </c>
      <c r="Z1046" s="152" t="s">
        <v>1327</v>
      </c>
    </row>
    <row r="1047" spans="1:26" x14ac:dyDescent="0.2">
      <c r="A1047" s="152" t="s">
        <v>2229</v>
      </c>
      <c r="B1047" s="152">
        <v>3.85</v>
      </c>
      <c r="C1047" s="151">
        <v>43787</v>
      </c>
      <c r="D1047" s="152">
        <v>1.065753</v>
      </c>
      <c r="E1047" s="152" t="s">
        <v>1325</v>
      </c>
      <c r="F1047" s="152" t="s">
        <v>1326</v>
      </c>
      <c r="G1047" s="152"/>
      <c r="H1047" s="152"/>
      <c r="I1047" s="151" t="s">
        <v>1327</v>
      </c>
      <c r="J1047" s="152" t="s">
        <v>1327</v>
      </c>
      <c r="K1047" s="152" t="s">
        <v>1327</v>
      </c>
      <c r="L1047" s="152" t="s">
        <v>1327</v>
      </c>
      <c r="M1047" s="152" t="s">
        <v>1327</v>
      </c>
      <c r="N1047" s="152" t="s">
        <v>1327</v>
      </c>
      <c r="O1047" s="152">
        <v>3.7030979999999998</v>
      </c>
      <c r="P1047" s="152">
        <v>191.57233299999999</v>
      </c>
      <c r="Q1047" s="152">
        <v>3.7030979999999998</v>
      </c>
      <c r="R1047" s="152" t="s">
        <v>1327</v>
      </c>
      <c r="S1047" s="152">
        <v>100.134293</v>
      </c>
      <c r="T1047" s="152">
        <v>1.6876709999999999</v>
      </c>
      <c r="U1047" s="152">
        <v>1.018772</v>
      </c>
      <c r="V1047" s="152">
        <v>1.559903</v>
      </c>
      <c r="W1047" s="152">
        <v>1000</v>
      </c>
      <c r="X1047" s="152" t="s">
        <v>23</v>
      </c>
      <c r="Y1047" s="152" t="s">
        <v>1328</v>
      </c>
      <c r="Z1047" s="152" t="s">
        <v>1327</v>
      </c>
    </row>
    <row r="1048" spans="1:26" x14ac:dyDescent="0.2">
      <c r="A1048" s="152" t="s">
        <v>2230</v>
      </c>
      <c r="B1048" s="152">
        <v>4.0999999999999996</v>
      </c>
      <c r="C1048" s="151">
        <v>43942</v>
      </c>
      <c r="D1048" s="152">
        <v>1.4904109999999999</v>
      </c>
      <c r="E1048" s="152" t="s">
        <v>1325</v>
      </c>
      <c r="F1048" s="152" t="s">
        <v>1326</v>
      </c>
      <c r="G1048" s="152"/>
      <c r="H1048" s="152"/>
      <c r="I1048" s="151" t="s">
        <v>1327</v>
      </c>
      <c r="J1048" s="152" t="s">
        <v>1327</v>
      </c>
      <c r="K1048" s="152" t="s">
        <v>1327</v>
      </c>
      <c r="L1048" s="152" t="s">
        <v>1327</v>
      </c>
      <c r="M1048" s="152" t="s">
        <v>1327</v>
      </c>
      <c r="N1048" s="152" t="s">
        <v>1327</v>
      </c>
      <c r="O1048" s="152">
        <v>4.2567510000000004</v>
      </c>
      <c r="P1048" s="152">
        <v>240.258353</v>
      </c>
      <c r="Q1048" s="152">
        <v>4.2567510000000004</v>
      </c>
      <c r="R1048" s="152" t="s">
        <v>1327</v>
      </c>
      <c r="S1048" s="152">
        <v>99.766080000000002</v>
      </c>
      <c r="T1048" s="152">
        <v>4.4932E-2</v>
      </c>
      <c r="U1048" s="152">
        <v>1.4382029999999999</v>
      </c>
      <c r="V1048" s="152">
        <v>2.456693</v>
      </c>
      <c r="W1048" s="152">
        <v>1000</v>
      </c>
      <c r="X1048" s="152" t="s">
        <v>23</v>
      </c>
      <c r="Y1048" s="152" t="s">
        <v>1328</v>
      </c>
      <c r="Z1048" s="152" t="s">
        <v>1327</v>
      </c>
    </row>
    <row r="1049" spans="1:26" x14ac:dyDescent="0.2">
      <c r="A1049" s="152" t="s">
        <v>2231</v>
      </c>
      <c r="B1049" s="152">
        <v>4.0999999999999996</v>
      </c>
      <c r="C1049" s="151">
        <v>44187</v>
      </c>
      <c r="D1049" s="152">
        <v>2.1616439999999999</v>
      </c>
      <c r="E1049" s="152" t="s">
        <v>1325</v>
      </c>
      <c r="F1049" s="152" t="s">
        <v>1326</v>
      </c>
      <c r="G1049" s="152"/>
      <c r="H1049" s="152"/>
      <c r="I1049" s="152" t="s">
        <v>1327</v>
      </c>
      <c r="J1049" s="152" t="s">
        <v>1327</v>
      </c>
      <c r="K1049" s="152" t="s">
        <v>1327</v>
      </c>
      <c r="L1049" s="152" t="s">
        <v>1327</v>
      </c>
      <c r="M1049" s="152" t="s">
        <v>1327</v>
      </c>
      <c r="N1049" s="152" t="s">
        <v>1327</v>
      </c>
      <c r="O1049" s="152">
        <v>4.5018399999999996</v>
      </c>
      <c r="P1049" s="152">
        <v>253.272301</v>
      </c>
      <c r="Q1049" s="152">
        <v>4.5018399999999996</v>
      </c>
      <c r="R1049" s="152" t="s">
        <v>1327</v>
      </c>
      <c r="S1049" s="152">
        <v>99.179169000000002</v>
      </c>
      <c r="T1049" s="152">
        <v>0.37068499999999999</v>
      </c>
      <c r="U1049" s="152">
        <v>2.046214</v>
      </c>
      <c r="V1049" s="152">
        <v>4.8101479999999999</v>
      </c>
      <c r="W1049" s="152">
        <v>1000</v>
      </c>
      <c r="X1049" s="152" t="s">
        <v>23</v>
      </c>
      <c r="Y1049" s="152" t="s">
        <v>1328</v>
      </c>
      <c r="Z1049" s="152" t="s">
        <v>1327</v>
      </c>
    </row>
    <row r="1050" spans="1:26" x14ac:dyDescent="0.2">
      <c r="A1050" s="152" t="s">
        <v>2232</v>
      </c>
      <c r="B1050" s="152">
        <v>4.5</v>
      </c>
      <c r="C1050" s="151">
        <v>44270</v>
      </c>
      <c r="D1050" s="152">
        <v>2.3890410000000002</v>
      </c>
      <c r="E1050" s="152" t="s">
        <v>1325</v>
      </c>
      <c r="F1050" s="152" t="s">
        <v>1326</v>
      </c>
      <c r="G1050" s="152"/>
      <c r="H1050" s="152"/>
      <c r="I1050" s="151" t="s">
        <v>1327</v>
      </c>
      <c r="J1050" s="152" t="s">
        <v>1327</v>
      </c>
      <c r="K1050" s="152" t="s">
        <v>1327</v>
      </c>
      <c r="L1050" s="152" t="s">
        <v>1327</v>
      </c>
      <c r="M1050" s="152" t="s">
        <v>1327</v>
      </c>
      <c r="N1050" s="152" t="s">
        <v>1327</v>
      </c>
      <c r="O1050" s="152">
        <v>4.5280519999999997</v>
      </c>
      <c r="P1050" s="152">
        <v>255.084655</v>
      </c>
      <c r="Q1050" s="152">
        <v>4.5280519999999997</v>
      </c>
      <c r="R1050" s="152" t="s">
        <v>1327</v>
      </c>
      <c r="S1050" s="152">
        <v>99.938321999999999</v>
      </c>
      <c r="T1050" s="152">
        <v>0.49315100000000001</v>
      </c>
      <c r="U1050" s="152">
        <v>2.242775</v>
      </c>
      <c r="V1050" s="152">
        <v>5.7598209999999996</v>
      </c>
      <c r="W1050" s="152">
        <v>1000</v>
      </c>
      <c r="X1050" s="152" t="s">
        <v>23</v>
      </c>
      <c r="Y1050" s="152" t="s">
        <v>1328</v>
      </c>
      <c r="Z1050" s="152" t="s">
        <v>1327</v>
      </c>
    </row>
    <row r="1051" spans="1:26" x14ac:dyDescent="0.2">
      <c r="A1051" s="152" t="s">
        <v>2233</v>
      </c>
      <c r="B1051" s="152">
        <v>4.05</v>
      </c>
      <c r="C1051" s="151">
        <v>44285</v>
      </c>
      <c r="D1051" s="152">
        <v>2.4301370000000002</v>
      </c>
      <c r="E1051" s="152" t="s">
        <v>1325</v>
      </c>
      <c r="F1051" s="152" t="s">
        <v>1326</v>
      </c>
      <c r="G1051" s="152"/>
      <c r="H1051" s="152"/>
      <c r="I1051" s="152" t="s">
        <v>1327</v>
      </c>
      <c r="J1051" s="152" t="s">
        <v>1327</v>
      </c>
      <c r="K1051" s="152" t="s">
        <v>1327</v>
      </c>
      <c r="L1051" s="152" t="s">
        <v>1327</v>
      </c>
      <c r="M1051" s="152" t="s">
        <v>1327</v>
      </c>
      <c r="N1051" s="152" t="s">
        <v>1327</v>
      </c>
      <c r="O1051" s="152">
        <v>4.5408590000000002</v>
      </c>
      <c r="P1051" s="152">
        <v>256.05757799999998</v>
      </c>
      <c r="Q1051" s="152">
        <v>4.5408590000000002</v>
      </c>
      <c r="R1051" s="152" t="s">
        <v>1327</v>
      </c>
      <c r="S1051" s="152">
        <v>98.877956999999995</v>
      </c>
      <c r="T1051" s="152">
        <v>0.277397</v>
      </c>
      <c r="U1051" s="152">
        <v>2.2941799999999999</v>
      </c>
      <c r="V1051" s="152">
        <v>5.9910959999999998</v>
      </c>
      <c r="W1051" s="152">
        <v>1000</v>
      </c>
      <c r="X1051" s="152" t="s">
        <v>23</v>
      </c>
      <c r="Y1051" s="152" t="s">
        <v>1328</v>
      </c>
      <c r="Z1051" s="152" t="s">
        <v>1327</v>
      </c>
    </row>
    <row r="1052" spans="1:26" x14ac:dyDescent="0.2">
      <c r="A1052" s="152" t="s">
        <v>2234</v>
      </c>
      <c r="B1052" s="152">
        <v>4</v>
      </c>
      <c r="C1052" s="151">
        <v>43633</v>
      </c>
      <c r="D1052" s="152">
        <v>0.64383599999999996</v>
      </c>
      <c r="E1052" s="152" t="s">
        <v>1325</v>
      </c>
      <c r="F1052" s="152" t="s">
        <v>1326</v>
      </c>
      <c r="G1052" s="152"/>
      <c r="H1052" s="152"/>
      <c r="I1052" s="152" t="s">
        <v>1327</v>
      </c>
      <c r="J1052" s="152" t="s">
        <v>1327</v>
      </c>
      <c r="K1052" s="152" t="s">
        <v>1327</v>
      </c>
      <c r="L1052" s="152" t="s">
        <v>1327</v>
      </c>
      <c r="M1052" s="152" t="s">
        <v>1327</v>
      </c>
      <c r="N1052" s="152" t="s">
        <v>1327</v>
      </c>
      <c r="O1052" s="152">
        <v>3.9298829999999998</v>
      </c>
      <c r="P1052" s="152">
        <v>221.143789</v>
      </c>
      <c r="Q1052" s="152">
        <v>3.9298829999999998</v>
      </c>
      <c r="R1052" s="152" t="s">
        <v>1327</v>
      </c>
      <c r="S1052" s="152">
        <v>100.04600600000001</v>
      </c>
      <c r="T1052" s="152">
        <v>0.41643799999999997</v>
      </c>
      <c r="U1052" s="152">
        <v>0.63160099999999997</v>
      </c>
      <c r="V1052" s="152">
        <v>0.558257</v>
      </c>
      <c r="W1052" s="152">
        <v>1000</v>
      </c>
      <c r="X1052" s="152" t="s">
        <v>23</v>
      </c>
      <c r="Y1052" s="152" t="s">
        <v>1328</v>
      </c>
      <c r="Z1052" s="152" t="s">
        <v>1327</v>
      </c>
    </row>
    <row r="1053" spans="1:26" x14ac:dyDescent="0.2">
      <c r="A1053" s="152" t="s">
        <v>2235</v>
      </c>
      <c r="B1053" s="152">
        <v>3.85</v>
      </c>
      <c r="C1053" s="151">
        <v>43675</v>
      </c>
      <c r="D1053" s="152">
        <v>0.75890400000000002</v>
      </c>
      <c r="E1053" s="152" t="s">
        <v>1325</v>
      </c>
      <c r="F1053" s="152" t="s">
        <v>1326</v>
      </c>
      <c r="G1053" s="152"/>
      <c r="H1053" s="152"/>
      <c r="I1053" s="151" t="s">
        <v>1327</v>
      </c>
      <c r="J1053" s="152" t="s">
        <v>1327</v>
      </c>
      <c r="K1053" s="152" t="s">
        <v>1327</v>
      </c>
      <c r="L1053" s="152" t="s">
        <v>1327</v>
      </c>
      <c r="M1053" s="152" t="s">
        <v>1327</v>
      </c>
      <c r="N1053" s="152" t="s">
        <v>1327</v>
      </c>
      <c r="O1053" s="152">
        <v>3.9419689999999998</v>
      </c>
      <c r="P1053" s="152">
        <v>221.224085</v>
      </c>
      <c r="Q1053" s="152">
        <v>3.9419689999999998</v>
      </c>
      <c r="R1053" s="152" t="s">
        <v>1327</v>
      </c>
      <c r="S1053" s="152">
        <v>99.931602999999996</v>
      </c>
      <c r="T1053" s="152">
        <v>-4.2192E-2</v>
      </c>
      <c r="U1053" s="152">
        <v>0.74647300000000005</v>
      </c>
      <c r="V1053" s="152">
        <v>0.74488500000000002</v>
      </c>
      <c r="W1053" s="152">
        <v>1000</v>
      </c>
      <c r="X1053" s="152" t="s">
        <v>23</v>
      </c>
      <c r="Y1053" s="152" t="s">
        <v>1328</v>
      </c>
      <c r="Z1053" s="152" t="s">
        <v>1327</v>
      </c>
    </row>
    <row r="1054" spans="1:26" x14ac:dyDescent="0.2">
      <c r="A1054" s="152" t="s">
        <v>2236</v>
      </c>
      <c r="B1054" s="152">
        <v>4.2</v>
      </c>
      <c r="C1054" s="151">
        <v>44032</v>
      </c>
      <c r="D1054" s="152">
        <v>1.7369859999999999</v>
      </c>
      <c r="E1054" s="152" t="s">
        <v>1325</v>
      </c>
      <c r="F1054" s="152" t="s">
        <v>1326</v>
      </c>
      <c r="G1054" s="152"/>
      <c r="H1054" s="152"/>
      <c r="I1054" s="152" t="s">
        <v>1327</v>
      </c>
      <c r="J1054" s="152" t="s">
        <v>1327</v>
      </c>
      <c r="K1054" s="152" t="s">
        <v>1327</v>
      </c>
      <c r="L1054" s="152" t="s">
        <v>1327</v>
      </c>
      <c r="M1054" s="152" t="s">
        <v>1327</v>
      </c>
      <c r="N1054" s="152" t="s">
        <v>1327</v>
      </c>
      <c r="O1054" s="152">
        <v>4.2437019999999999</v>
      </c>
      <c r="P1054" s="152">
        <v>233.04185200000001</v>
      </c>
      <c r="Q1054" s="152">
        <v>4.2437019999999999</v>
      </c>
      <c r="R1054" s="152" t="s">
        <v>1327</v>
      </c>
      <c r="S1054" s="152">
        <v>99.918261000000001</v>
      </c>
      <c r="T1054" s="152">
        <v>5.7534000000000002E-2</v>
      </c>
      <c r="U1054" s="152">
        <v>1.6670290000000001</v>
      </c>
      <c r="V1054" s="152">
        <v>3.2457549999999999</v>
      </c>
      <c r="W1054" s="152">
        <v>1000</v>
      </c>
      <c r="X1054" s="152" t="s">
        <v>23</v>
      </c>
      <c r="Y1054" s="152" t="s">
        <v>1328</v>
      </c>
      <c r="Z1054" s="152" t="s">
        <v>1327</v>
      </c>
    </row>
    <row r="1055" spans="1:26" x14ac:dyDescent="0.2">
      <c r="A1055" s="152" t="s">
        <v>2237</v>
      </c>
      <c r="B1055" s="152">
        <v>4</v>
      </c>
      <c r="C1055" s="151">
        <v>44187</v>
      </c>
      <c r="D1055" s="152">
        <v>2.1616439999999999</v>
      </c>
      <c r="E1055" s="152" t="s">
        <v>1325</v>
      </c>
      <c r="F1055" s="152" t="s">
        <v>1326</v>
      </c>
      <c r="G1055" s="152"/>
      <c r="H1055" s="152"/>
      <c r="I1055" s="152" t="s">
        <v>1327</v>
      </c>
      <c r="J1055" s="152" t="s">
        <v>1327</v>
      </c>
      <c r="K1055" s="152" t="s">
        <v>1327</v>
      </c>
      <c r="L1055" s="152" t="s">
        <v>1327</v>
      </c>
      <c r="M1055" s="152" t="s">
        <v>1327</v>
      </c>
      <c r="N1055" s="152" t="s">
        <v>1327</v>
      </c>
      <c r="O1055" s="152">
        <v>4.3051209999999998</v>
      </c>
      <c r="P1055" s="152">
        <v>232.95377500000001</v>
      </c>
      <c r="Q1055" s="152">
        <v>4.3051209999999998</v>
      </c>
      <c r="R1055" s="152" t="s">
        <v>1327</v>
      </c>
      <c r="S1055" s="152">
        <v>99.375667000000007</v>
      </c>
      <c r="T1055" s="152">
        <v>0.36164400000000002</v>
      </c>
      <c r="U1055" s="152">
        <v>2.0494129999999999</v>
      </c>
      <c r="V1055" s="152">
        <v>4.8216349999999997</v>
      </c>
      <c r="W1055" s="152">
        <v>1000</v>
      </c>
      <c r="X1055" s="152" t="s">
        <v>23</v>
      </c>
      <c r="Y1055" s="152" t="s">
        <v>1328</v>
      </c>
      <c r="Z1055" s="152" t="s">
        <v>1327</v>
      </c>
    </row>
    <row r="1056" spans="1:26" x14ac:dyDescent="0.2">
      <c r="A1056" s="152" t="s">
        <v>2238</v>
      </c>
      <c r="B1056" s="152">
        <v>4.2</v>
      </c>
      <c r="C1056" s="151">
        <v>44116</v>
      </c>
      <c r="D1056" s="152">
        <v>1.967123</v>
      </c>
      <c r="E1056" s="152" t="s">
        <v>1325</v>
      </c>
      <c r="F1056" s="152" t="s">
        <v>1326</v>
      </c>
      <c r="G1056" s="152"/>
      <c r="H1056" s="152"/>
      <c r="I1056" s="152" t="s">
        <v>1327</v>
      </c>
      <c r="J1056" s="152" t="s">
        <v>1327</v>
      </c>
      <c r="K1056" s="152" t="s">
        <v>1327</v>
      </c>
      <c r="L1056" s="152" t="s">
        <v>1327</v>
      </c>
      <c r="M1056" s="152" t="s">
        <v>1327</v>
      </c>
      <c r="N1056" s="152" t="s">
        <v>1327</v>
      </c>
      <c r="O1056" s="152">
        <v>4.2882749999999996</v>
      </c>
      <c r="P1056" s="152">
        <v>233.57962499999999</v>
      </c>
      <c r="Q1056" s="152">
        <v>4.2882749999999996</v>
      </c>
      <c r="R1056" s="152" t="s">
        <v>1327</v>
      </c>
      <c r="S1056" s="152">
        <v>99.825100000000006</v>
      </c>
      <c r="T1056" s="152">
        <v>0.149589</v>
      </c>
      <c r="U1056" s="152">
        <v>1.875019</v>
      </c>
      <c r="V1056" s="152">
        <v>4.0623209999999998</v>
      </c>
      <c r="W1056" s="152">
        <v>1000</v>
      </c>
      <c r="X1056" s="152" t="s">
        <v>23</v>
      </c>
      <c r="Y1056" s="152" t="s">
        <v>1328</v>
      </c>
      <c r="Z1056" s="152" t="s">
        <v>1327</v>
      </c>
    </row>
    <row r="1057" spans="1:26" x14ac:dyDescent="0.2">
      <c r="A1057" s="152" t="s">
        <v>2239</v>
      </c>
      <c r="B1057" s="152">
        <v>4.3</v>
      </c>
      <c r="C1057" s="151">
        <v>44473</v>
      </c>
      <c r="D1057" s="152">
        <v>2.9452050000000001</v>
      </c>
      <c r="E1057" s="152" t="s">
        <v>1325</v>
      </c>
      <c r="F1057" s="152" t="s">
        <v>1326</v>
      </c>
      <c r="G1057" s="152"/>
      <c r="H1057" s="152"/>
      <c r="I1057" s="151" t="s">
        <v>1327</v>
      </c>
      <c r="J1057" s="152" t="s">
        <v>1327</v>
      </c>
      <c r="K1057" s="152" t="s">
        <v>1327</v>
      </c>
      <c r="L1057" s="152" t="s">
        <v>1327</v>
      </c>
      <c r="M1057" s="152" t="s">
        <v>1327</v>
      </c>
      <c r="N1057" s="152" t="s">
        <v>1327</v>
      </c>
      <c r="O1057" s="152">
        <v>4.3136970000000003</v>
      </c>
      <c r="P1057" s="152">
        <v>226.76715899999999</v>
      </c>
      <c r="Q1057" s="152">
        <v>4.3136970000000003</v>
      </c>
      <c r="R1057" s="152" t="s">
        <v>1327</v>
      </c>
      <c r="S1057" s="152">
        <v>99.952485999999993</v>
      </c>
      <c r="T1057" s="152">
        <v>0.24739700000000001</v>
      </c>
      <c r="U1057" s="152">
        <v>2.7454589999999999</v>
      </c>
      <c r="V1057" s="152">
        <v>8.5095600000000005</v>
      </c>
      <c r="W1057" s="152">
        <v>1000</v>
      </c>
      <c r="X1057" s="152" t="s">
        <v>23</v>
      </c>
      <c r="Y1057" s="152" t="s">
        <v>1328</v>
      </c>
      <c r="Z1057" s="152" t="s">
        <v>1327</v>
      </c>
    </row>
    <row r="1058" spans="1:26" x14ac:dyDescent="0.2">
      <c r="A1058" s="152" t="s">
        <v>2240</v>
      </c>
      <c r="B1058" s="152">
        <v>6</v>
      </c>
      <c r="C1058" s="151">
        <v>43455</v>
      </c>
      <c r="D1058" s="152">
        <v>0.156164</v>
      </c>
      <c r="E1058" s="152" t="s">
        <v>1325</v>
      </c>
      <c r="F1058" s="152" t="s">
        <v>1326</v>
      </c>
      <c r="G1058" s="152"/>
      <c r="H1058" s="152"/>
      <c r="I1058" s="152" t="s">
        <v>1327</v>
      </c>
      <c r="J1058" s="152" t="s">
        <v>1327</v>
      </c>
      <c r="K1058" s="152" t="s">
        <v>1327</v>
      </c>
      <c r="L1058" s="152" t="s">
        <v>1327</v>
      </c>
      <c r="M1058" s="152" t="s">
        <v>1327</v>
      </c>
      <c r="N1058" s="152" t="s">
        <v>1327</v>
      </c>
      <c r="O1058" s="152">
        <v>5.9296030000000002</v>
      </c>
      <c r="P1058" s="152">
        <v>466.69081299999999</v>
      </c>
      <c r="Q1058" s="152">
        <v>5.9296030000000002</v>
      </c>
      <c r="R1058" s="152" t="s">
        <v>1327</v>
      </c>
      <c r="S1058" s="152">
        <v>100.012387</v>
      </c>
      <c r="T1058" s="152">
        <v>0.55890399999999996</v>
      </c>
      <c r="U1058" s="152">
        <v>0.15388299999999999</v>
      </c>
      <c r="V1058" s="152">
        <v>6.1588999999999998E-2</v>
      </c>
      <c r="W1058" s="152">
        <v>1000</v>
      </c>
      <c r="X1058" s="152" t="s">
        <v>23</v>
      </c>
      <c r="Y1058" s="152" t="s">
        <v>1328</v>
      </c>
      <c r="Z1058" s="152" t="s">
        <v>1327</v>
      </c>
    </row>
    <row r="1059" spans="1:26" x14ac:dyDescent="0.2">
      <c r="A1059" s="152" t="s">
        <v>2241</v>
      </c>
      <c r="B1059" s="152">
        <v>3.25</v>
      </c>
      <c r="C1059" s="151">
        <v>43779</v>
      </c>
      <c r="D1059" s="152">
        <v>1.043836</v>
      </c>
      <c r="E1059" s="152" t="s">
        <v>1325</v>
      </c>
      <c r="F1059" s="152" t="s">
        <v>1326</v>
      </c>
      <c r="G1059" s="152"/>
      <c r="H1059" s="152"/>
      <c r="I1059" s="152">
        <v>42979</v>
      </c>
      <c r="J1059" s="152">
        <v>2.84</v>
      </c>
      <c r="K1059" s="152" t="s">
        <v>1327</v>
      </c>
      <c r="L1059" s="152" t="s">
        <v>1327</v>
      </c>
      <c r="M1059" s="152" t="s">
        <v>1327</v>
      </c>
      <c r="N1059" s="152" t="s">
        <v>1327</v>
      </c>
      <c r="O1059" s="152">
        <v>3.1396440000000001</v>
      </c>
      <c r="P1059" s="152">
        <v>135.79962900000001</v>
      </c>
      <c r="Q1059" s="152">
        <v>3.1396440000000001</v>
      </c>
      <c r="R1059" s="152" t="s">
        <v>1327</v>
      </c>
      <c r="S1059" s="152">
        <v>100.105754</v>
      </c>
      <c r="T1059" s="152">
        <v>0.67671199999999998</v>
      </c>
      <c r="U1059" s="152">
        <v>1.0158910000000001</v>
      </c>
      <c r="V1059" s="152">
        <v>1.2984199999999999</v>
      </c>
      <c r="W1059" s="152">
        <v>1000</v>
      </c>
      <c r="X1059" s="152" t="s">
        <v>23</v>
      </c>
      <c r="Y1059" s="152" t="s">
        <v>1328</v>
      </c>
      <c r="Z1059" s="152" t="s">
        <v>1327</v>
      </c>
    </row>
    <row r="1060" spans="1:26" x14ac:dyDescent="0.2">
      <c r="A1060" s="152" t="s">
        <v>2242</v>
      </c>
      <c r="B1060" s="152">
        <v>5</v>
      </c>
      <c r="C1060" s="151">
        <v>45750</v>
      </c>
      <c r="D1060" s="152">
        <v>6.4438360000000001</v>
      </c>
      <c r="E1060" s="152" t="s">
        <v>1325</v>
      </c>
      <c r="F1060" s="152" t="s">
        <v>1326</v>
      </c>
      <c r="G1060" s="152"/>
      <c r="H1060" s="152" t="s">
        <v>1278</v>
      </c>
      <c r="I1060" s="152">
        <v>42940</v>
      </c>
      <c r="J1060" s="152">
        <v>4.21</v>
      </c>
      <c r="K1060" s="152" t="s">
        <v>1327</v>
      </c>
      <c r="L1060" s="152" t="s">
        <v>1327</v>
      </c>
      <c r="M1060" s="152" t="s">
        <v>1327</v>
      </c>
      <c r="N1060" s="152" t="s">
        <v>1327</v>
      </c>
      <c r="O1060" s="152">
        <v>4.4458640000000003</v>
      </c>
      <c r="P1060" s="152">
        <v>192.675299</v>
      </c>
      <c r="Q1060" s="152">
        <v>4.4458640000000003</v>
      </c>
      <c r="R1060" s="152" t="s">
        <v>1327</v>
      </c>
      <c r="S1060" s="152">
        <v>103.077653</v>
      </c>
      <c r="T1060" s="152">
        <v>0.30137000000000003</v>
      </c>
      <c r="U1060" s="152">
        <v>5.4871619999999997</v>
      </c>
      <c r="V1060" s="152">
        <v>34.484720000000003</v>
      </c>
      <c r="W1060" s="152">
        <v>1000</v>
      </c>
      <c r="X1060" s="152" t="s">
        <v>23</v>
      </c>
      <c r="Y1060" s="152" t="s">
        <v>1328</v>
      </c>
      <c r="Z1060" s="152" t="s">
        <v>1327</v>
      </c>
    </row>
    <row r="1061" spans="1:26" x14ac:dyDescent="0.2">
      <c r="A1061" s="152" t="s">
        <v>2243</v>
      </c>
      <c r="B1061" s="152">
        <v>3.95</v>
      </c>
      <c r="C1061" s="151">
        <v>46121</v>
      </c>
      <c r="D1061" s="152">
        <v>7.4602740000000001</v>
      </c>
      <c r="E1061" s="152" t="s">
        <v>1325</v>
      </c>
      <c r="F1061" s="152" t="s">
        <v>1326</v>
      </c>
      <c r="G1061" s="152"/>
      <c r="H1061" s="152" t="s">
        <v>1278</v>
      </c>
      <c r="I1061" s="152">
        <v>43158</v>
      </c>
      <c r="J1061" s="152">
        <v>3.42</v>
      </c>
      <c r="K1061" s="152" t="s">
        <v>1327</v>
      </c>
      <c r="L1061" s="152" t="s">
        <v>1327</v>
      </c>
      <c r="M1061" s="152" t="s">
        <v>1327</v>
      </c>
      <c r="N1061" s="152" t="s">
        <v>1327</v>
      </c>
      <c r="O1061" s="152">
        <v>3.70261</v>
      </c>
      <c r="P1061" s="152">
        <v>105.31979800000001</v>
      </c>
      <c r="Q1061" s="152">
        <v>3.70261</v>
      </c>
      <c r="R1061" s="152" t="s">
        <v>1327</v>
      </c>
      <c r="S1061" s="152">
        <v>101.597054</v>
      </c>
      <c r="T1061" s="152">
        <v>0.173151</v>
      </c>
      <c r="U1061" s="152">
        <v>6.4358300000000002</v>
      </c>
      <c r="V1061" s="152">
        <v>46.854484999999997</v>
      </c>
      <c r="W1061" s="152">
        <v>1000</v>
      </c>
      <c r="X1061" s="152" t="s">
        <v>23</v>
      </c>
      <c r="Y1061" s="152" t="s">
        <v>1328</v>
      </c>
      <c r="Z1061" s="152" t="s">
        <v>1327</v>
      </c>
    </row>
    <row r="1062" spans="1:26" x14ac:dyDescent="0.2">
      <c r="A1062" s="152" t="s">
        <v>2244</v>
      </c>
      <c r="B1062" s="152">
        <v>3.5</v>
      </c>
      <c r="C1062" s="151">
        <v>46401</v>
      </c>
      <c r="D1062" s="152">
        <v>8.2273969999999998</v>
      </c>
      <c r="E1062" s="152" t="s">
        <v>1325</v>
      </c>
      <c r="F1062" s="152" t="s">
        <v>1326</v>
      </c>
      <c r="G1062" s="152"/>
      <c r="H1062" s="152" t="s">
        <v>1278</v>
      </c>
      <c r="I1062" s="152" t="s">
        <v>1327</v>
      </c>
      <c r="J1062" s="152" t="s">
        <v>1327</v>
      </c>
      <c r="K1062" s="152" t="s">
        <v>1327</v>
      </c>
      <c r="L1062" s="152" t="s">
        <v>1327</v>
      </c>
      <c r="M1062" s="152" t="s">
        <v>1327</v>
      </c>
      <c r="N1062" s="152" t="s">
        <v>1327</v>
      </c>
      <c r="O1062" s="152">
        <v>3.5564870000000002</v>
      </c>
      <c r="P1062" s="152">
        <v>83.534959999999998</v>
      </c>
      <c r="Q1062" s="152">
        <v>3.5564870000000002</v>
      </c>
      <c r="R1062" s="152" t="s">
        <v>1327</v>
      </c>
      <c r="S1062" s="152">
        <v>99.591266000000005</v>
      </c>
      <c r="T1062" s="152">
        <v>0.105479</v>
      </c>
      <c r="U1062" s="152">
        <v>7.1073750000000002</v>
      </c>
      <c r="V1062" s="152">
        <v>56.916127000000003</v>
      </c>
      <c r="W1062" s="152">
        <v>1000</v>
      </c>
      <c r="X1062" s="152" t="s">
        <v>23</v>
      </c>
      <c r="Y1062" s="152" t="s">
        <v>1328</v>
      </c>
      <c r="Z1062" s="152" t="s">
        <v>1327</v>
      </c>
    </row>
    <row r="1063" spans="1:26" x14ac:dyDescent="0.2">
      <c r="A1063" s="152" t="s">
        <v>2245</v>
      </c>
      <c r="B1063" s="152">
        <v>3.22</v>
      </c>
      <c r="C1063" s="151">
        <v>44006</v>
      </c>
      <c r="D1063" s="152">
        <v>1.665753</v>
      </c>
      <c r="E1063" s="152" t="s">
        <v>1325</v>
      </c>
      <c r="F1063" s="152" t="s">
        <v>1326</v>
      </c>
      <c r="G1063" s="152"/>
      <c r="H1063" s="152"/>
      <c r="I1063" s="152" t="s">
        <v>1327</v>
      </c>
      <c r="J1063" s="152" t="s">
        <v>1327</v>
      </c>
      <c r="K1063" s="152" t="s">
        <v>1327</v>
      </c>
      <c r="L1063" s="152" t="s">
        <v>1327</v>
      </c>
      <c r="M1063" s="152" t="s">
        <v>1327</v>
      </c>
      <c r="N1063" s="152" t="s">
        <v>1327</v>
      </c>
      <c r="O1063" s="152">
        <v>2.6838630000000001</v>
      </c>
      <c r="P1063" s="152">
        <v>74.140614999999997</v>
      </c>
      <c r="Q1063" s="152">
        <v>2.6838630000000001</v>
      </c>
      <c r="R1063" s="152" t="s">
        <v>1327</v>
      </c>
      <c r="S1063" s="152">
        <v>100.87240300000001</v>
      </c>
      <c r="T1063" s="152">
        <v>0.29112300000000002</v>
      </c>
      <c r="U1063" s="152">
        <v>1.6141160000000001</v>
      </c>
      <c r="V1063" s="152">
        <v>3.0492509999999999</v>
      </c>
      <c r="W1063" s="152">
        <v>1000</v>
      </c>
      <c r="X1063" s="152" t="s">
        <v>23</v>
      </c>
      <c r="Y1063" s="152" t="s">
        <v>1328</v>
      </c>
      <c r="Z1063" s="152" t="s">
        <v>1327</v>
      </c>
    </row>
    <row r="1064" spans="1:26" x14ac:dyDescent="0.2">
      <c r="A1064" s="152" t="s">
        <v>2246</v>
      </c>
      <c r="B1064" s="152">
        <v>3.22</v>
      </c>
      <c r="C1064" s="151">
        <v>44047</v>
      </c>
      <c r="D1064" s="152">
        <v>1.7780819999999999</v>
      </c>
      <c r="E1064" s="152" t="s">
        <v>1325</v>
      </c>
      <c r="F1064" s="152" t="s">
        <v>1326</v>
      </c>
      <c r="G1064" s="152"/>
      <c r="H1064" s="152"/>
      <c r="I1064" s="152" t="s">
        <v>1327</v>
      </c>
      <c r="J1064" s="152" t="s">
        <v>1327</v>
      </c>
      <c r="K1064" s="152" t="s">
        <v>1327</v>
      </c>
      <c r="L1064" s="152" t="s">
        <v>1327</v>
      </c>
      <c r="M1064" s="152" t="s">
        <v>1327</v>
      </c>
      <c r="N1064" s="152" t="s">
        <v>1327</v>
      </c>
      <c r="O1064" s="152">
        <v>2.71305</v>
      </c>
      <c r="P1064" s="152">
        <v>74.585230999999993</v>
      </c>
      <c r="Q1064" s="152">
        <v>2.71305</v>
      </c>
      <c r="R1064" s="152" t="s">
        <v>1327</v>
      </c>
      <c r="S1064" s="152">
        <v>100.877072</v>
      </c>
      <c r="T1064" s="152">
        <v>-5.2932E-2</v>
      </c>
      <c r="U1064" s="152">
        <v>1.723956</v>
      </c>
      <c r="V1064" s="152">
        <v>3.4434230000000001</v>
      </c>
      <c r="W1064" s="152">
        <v>1000</v>
      </c>
      <c r="X1064" s="152" t="s">
        <v>23</v>
      </c>
      <c r="Y1064" s="152" t="s">
        <v>1328</v>
      </c>
      <c r="Z1064" s="152" t="s">
        <v>1327</v>
      </c>
    </row>
    <row r="1065" spans="1:26" x14ac:dyDescent="0.2">
      <c r="A1065" s="152" t="s">
        <v>2247</v>
      </c>
      <c r="B1065" s="152">
        <v>2.46</v>
      </c>
      <c r="C1065" s="151">
        <v>44648</v>
      </c>
      <c r="D1065" s="152">
        <v>3.424658</v>
      </c>
      <c r="E1065" s="152" t="s">
        <v>1325</v>
      </c>
      <c r="F1065" s="152" t="s">
        <v>1326</v>
      </c>
      <c r="G1065" s="152"/>
      <c r="H1065" s="152"/>
      <c r="I1065" s="152">
        <v>43300</v>
      </c>
      <c r="J1065" s="152">
        <v>2.78</v>
      </c>
      <c r="K1065" s="152" t="s">
        <v>1327</v>
      </c>
      <c r="L1065" s="152" t="s">
        <v>1327</v>
      </c>
      <c r="M1065" s="152" t="s">
        <v>1327</v>
      </c>
      <c r="N1065" s="152" t="s">
        <v>1327</v>
      </c>
      <c r="O1065" s="152">
        <v>3.0006729999999999</v>
      </c>
      <c r="P1065" s="152">
        <v>76.933105999999995</v>
      </c>
      <c r="Q1065" s="152">
        <v>3.0006729999999999</v>
      </c>
      <c r="R1065" s="152" t="s">
        <v>1327</v>
      </c>
      <c r="S1065" s="152">
        <v>98.262989000000005</v>
      </c>
      <c r="T1065" s="152">
        <v>0.181973</v>
      </c>
      <c r="U1065" s="152">
        <v>3.2467980000000001</v>
      </c>
      <c r="V1065" s="152">
        <v>12.393452</v>
      </c>
      <c r="W1065" s="152">
        <v>1000</v>
      </c>
      <c r="X1065" s="152" t="s">
        <v>23</v>
      </c>
      <c r="Y1065" s="152" t="s">
        <v>1328</v>
      </c>
      <c r="Z1065" s="152" t="s">
        <v>1327</v>
      </c>
    </row>
    <row r="1066" spans="1:26" x14ac:dyDescent="0.2">
      <c r="A1066" s="152" t="s">
        <v>2248</v>
      </c>
      <c r="B1066" s="152">
        <v>1.6</v>
      </c>
      <c r="C1066" s="151">
        <v>43538</v>
      </c>
      <c r="D1066" s="152">
        <v>0.38356200000000001</v>
      </c>
      <c r="E1066" s="152" t="s">
        <v>1325</v>
      </c>
      <c r="F1066" s="152" t="s">
        <v>1326</v>
      </c>
      <c r="G1066" s="152" t="s">
        <v>302</v>
      </c>
      <c r="H1066" s="152"/>
      <c r="I1066" s="152">
        <v>43390</v>
      </c>
      <c r="J1066" s="152">
        <v>1.92</v>
      </c>
      <c r="K1066" s="152" t="s">
        <v>1327</v>
      </c>
      <c r="L1066" s="152" t="s">
        <v>1327</v>
      </c>
      <c r="M1066" s="152" t="s">
        <v>1327</v>
      </c>
      <c r="N1066" s="152" t="s">
        <v>1327</v>
      </c>
      <c r="O1066" s="152">
        <v>1.920579</v>
      </c>
      <c r="P1066" s="152">
        <v>24.874517999999998</v>
      </c>
      <c r="Q1066" s="152">
        <v>1.920579</v>
      </c>
      <c r="R1066" s="152" t="s">
        <v>1327</v>
      </c>
      <c r="S1066" s="152">
        <v>99.883965000000003</v>
      </c>
      <c r="T1066" s="152">
        <v>0.179726</v>
      </c>
      <c r="U1066" s="152">
        <v>0.379913</v>
      </c>
      <c r="V1066" s="152">
        <v>0.332484</v>
      </c>
      <c r="W1066" s="152">
        <v>1000</v>
      </c>
      <c r="X1066" s="152" t="s">
        <v>23</v>
      </c>
      <c r="Y1066" s="152" t="s">
        <v>1328</v>
      </c>
      <c r="Z1066" s="152" t="s">
        <v>1327</v>
      </c>
    </row>
    <row r="1067" spans="1:26" x14ac:dyDescent="0.2">
      <c r="A1067" s="152" t="s">
        <v>540</v>
      </c>
      <c r="B1067" s="152">
        <v>1.84</v>
      </c>
      <c r="C1067" s="151">
        <v>43729</v>
      </c>
      <c r="D1067" s="152">
        <v>0.90684900000000002</v>
      </c>
      <c r="E1067" s="152" t="s">
        <v>1325</v>
      </c>
      <c r="F1067" s="152" t="s">
        <v>1326</v>
      </c>
      <c r="G1067" s="152" t="s">
        <v>302</v>
      </c>
      <c r="H1067" s="152"/>
      <c r="I1067" s="152">
        <v>43363</v>
      </c>
      <c r="J1067" s="152">
        <v>1.835</v>
      </c>
      <c r="K1067" s="152" t="s">
        <v>1327</v>
      </c>
      <c r="L1067" s="152" t="s">
        <v>1327</v>
      </c>
      <c r="M1067" s="152" t="s">
        <v>1327</v>
      </c>
      <c r="N1067" s="152" t="s">
        <v>1327</v>
      </c>
      <c r="O1067" s="152">
        <v>1.9664600000000001</v>
      </c>
      <c r="P1067" s="152">
        <v>15.973029</v>
      </c>
      <c r="Q1067" s="152">
        <v>1.9664600000000001</v>
      </c>
      <c r="R1067" s="152" t="s">
        <v>1327</v>
      </c>
      <c r="S1067" s="152">
        <v>99.894251999999994</v>
      </c>
      <c r="T1067" s="152">
        <v>0.17139699999999999</v>
      </c>
      <c r="U1067" s="152">
        <v>0.88943399999999995</v>
      </c>
      <c r="V1067" s="152">
        <v>1.233695</v>
      </c>
      <c r="W1067" s="152">
        <v>1000</v>
      </c>
      <c r="X1067" s="152" t="s">
        <v>23</v>
      </c>
      <c r="Y1067" s="152" t="s">
        <v>1328</v>
      </c>
      <c r="Z1067" s="152" t="s">
        <v>1327</v>
      </c>
    </row>
    <row r="1068" spans="1:26" x14ac:dyDescent="0.2">
      <c r="A1068" s="152" t="s">
        <v>2249</v>
      </c>
      <c r="B1068" s="152">
        <v>2.08</v>
      </c>
      <c r="C1068" s="151">
        <v>43734</v>
      </c>
      <c r="D1068" s="152">
        <v>0.92054800000000003</v>
      </c>
      <c r="E1068" s="152" t="s">
        <v>1325</v>
      </c>
      <c r="F1068" s="152" t="s">
        <v>1326</v>
      </c>
      <c r="G1068" s="152" t="s">
        <v>302</v>
      </c>
      <c r="H1068" s="152"/>
      <c r="I1068" s="152" t="s">
        <v>1327</v>
      </c>
      <c r="J1068" s="152" t="s">
        <v>1327</v>
      </c>
      <c r="K1068" s="152" t="s">
        <v>1327</v>
      </c>
      <c r="L1068" s="152" t="s">
        <v>1327</v>
      </c>
      <c r="M1068" s="152" t="s">
        <v>1327</v>
      </c>
      <c r="N1068" s="152" t="s">
        <v>1327</v>
      </c>
      <c r="O1068" s="152">
        <v>2.166725</v>
      </c>
      <c r="P1068" s="152">
        <v>36.058895999999997</v>
      </c>
      <c r="Q1068" s="152">
        <v>2.166725</v>
      </c>
      <c r="R1068" s="152" t="s">
        <v>1327</v>
      </c>
      <c r="S1068" s="152">
        <v>99.929494000000005</v>
      </c>
      <c r="T1068" s="152">
        <v>0.16525999999999999</v>
      </c>
      <c r="U1068" s="152">
        <v>0.90152299999999996</v>
      </c>
      <c r="V1068" s="152">
        <v>1.2611680000000001</v>
      </c>
      <c r="W1068" s="152">
        <v>1000</v>
      </c>
      <c r="X1068" s="152" t="s">
        <v>23</v>
      </c>
      <c r="Y1068" s="152" t="s">
        <v>1328</v>
      </c>
      <c r="Z1068" s="152" t="s">
        <v>1327</v>
      </c>
    </row>
    <row r="1069" spans="1:26" x14ac:dyDescent="0.2">
      <c r="A1069" s="152" t="s">
        <v>542</v>
      </c>
      <c r="B1069" s="152">
        <v>1.66</v>
      </c>
      <c r="C1069" s="151">
        <v>43904</v>
      </c>
      <c r="D1069" s="152">
        <v>1.386301</v>
      </c>
      <c r="E1069" s="152" t="s">
        <v>1325</v>
      </c>
      <c r="F1069" s="152" t="s">
        <v>1326</v>
      </c>
      <c r="G1069" s="152" t="s">
        <v>302</v>
      </c>
      <c r="H1069" s="152"/>
      <c r="I1069" s="151">
        <v>43341</v>
      </c>
      <c r="J1069" s="152">
        <v>1.9950000000000001</v>
      </c>
      <c r="K1069" s="152" t="s">
        <v>1327</v>
      </c>
      <c r="L1069" s="152" t="s">
        <v>1327</v>
      </c>
      <c r="M1069" s="152" t="s">
        <v>1327</v>
      </c>
      <c r="N1069" s="152" t="s">
        <v>1327</v>
      </c>
      <c r="O1069" s="152">
        <v>2.2000229999999998</v>
      </c>
      <c r="P1069" s="152">
        <v>31.009589999999999</v>
      </c>
      <c r="Q1069" s="152">
        <v>2.2000229999999998</v>
      </c>
      <c r="R1069" s="152" t="s">
        <v>1327</v>
      </c>
      <c r="S1069" s="152">
        <v>99.274071000000006</v>
      </c>
      <c r="T1069" s="152">
        <v>0.18646599999999999</v>
      </c>
      <c r="U1069" s="152">
        <v>1.3562749999999999</v>
      </c>
      <c r="V1069" s="152">
        <v>2.5201880000000001</v>
      </c>
      <c r="W1069" s="152">
        <v>1000</v>
      </c>
      <c r="X1069" s="152" t="s">
        <v>23</v>
      </c>
      <c r="Y1069" s="152" t="s">
        <v>1328</v>
      </c>
      <c r="Z1069" s="152" t="s">
        <v>1327</v>
      </c>
    </row>
    <row r="1070" spans="1:26" x14ac:dyDescent="0.2">
      <c r="A1070" s="152" t="s">
        <v>2250</v>
      </c>
      <c r="B1070" s="152">
        <v>2.4</v>
      </c>
      <c r="C1070" s="151">
        <v>44100</v>
      </c>
      <c r="D1070" s="152">
        <v>1.9232880000000001</v>
      </c>
      <c r="E1070" s="152" t="s">
        <v>1325</v>
      </c>
      <c r="F1070" s="152" t="s">
        <v>1326</v>
      </c>
      <c r="G1070" s="152" t="s">
        <v>302</v>
      </c>
      <c r="H1070" s="152"/>
      <c r="I1070" s="152" t="s">
        <v>1327</v>
      </c>
      <c r="J1070" s="152" t="s">
        <v>1327</v>
      </c>
      <c r="K1070" s="152" t="s">
        <v>1327</v>
      </c>
      <c r="L1070" s="152" t="s">
        <v>1327</v>
      </c>
      <c r="M1070" s="152" t="s">
        <v>1327</v>
      </c>
      <c r="N1070" s="152" t="s">
        <v>1327</v>
      </c>
      <c r="O1070" s="152">
        <v>2.469668</v>
      </c>
      <c r="P1070" s="152">
        <v>45.830032000000003</v>
      </c>
      <c r="Q1070" s="152">
        <v>2.469668</v>
      </c>
      <c r="R1070" s="152" t="s">
        <v>1327</v>
      </c>
      <c r="S1070" s="152">
        <v>99.879215000000002</v>
      </c>
      <c r="T1070" s="152">
        <v>0.19068499999999999</v>
      </c>
      <c r="U1070" s="152">
        <v>1.8581730000000001</v>
      </c>
      <c r="V1070" s="152">
        <v>4.4096669999999998</v>
      </c>
      <c r="W1070" s="152">
        <v>1000</v>
      </c>
      <c r="X1070" s="152" t="s">
        <v>23</v>
      </c>
      <c r="Y1070" s="152" t="s">
        <v>1328</v>
      </c>
      <c r="Z1070" s="152" t="s">
        <v>1327</v>
      </c>
    </row>
    <row r="1071" spans="1:26" x14ac:dyDescent="0.2">
      <c r="A1071" s="152" t="s">
        <v>2251</v>
      </c>
      <c r="B1071" s="152">
        <v>2.44</v>
      </c>
      <c r="C1071" s="151">
        <v>44281</v>
      </c>
      <c r="D1071" s="152">
        <v>2.4191780000000001</v>
      </c>
      <c r="E1071" s="152" t="s">
        <v>1325</v>
      </c>
      <c r="F1071" s="152" t="s">
        <v>1326</v>
      </c>
      <c r="G1071" s="152" t="s">
        <v>302</v>
      </c>
      <c r="H1071" s="152"/>
      <c r="I1071" s="152" t="s">
        <v>1327</v>
      </c>
      <c r="J1071" s="152" t="s">
        <v>1327</v>
      </c>
      <c r="K1071" s="152" t="s">
        <v>1327</v>
      </c>
      <c r="L1071" s="152" t="s">
        <v>1327</v>
      </c>
      <c r="M1071" s="152" t="s">
        <v>1327</v>
      </c>
      <c r="N1071" s="152" t="s">
        <v>1327</v>
      </c>
      <c r="O1071" s="152">
        <v>2.5067740000000001</v>
      </c>
      <c r="P1071" s="152">
        <v>45.828299000000001</v>
      </c>
      <c r="Q1071" s="152">
        <v>2.5067740000000001</v>
      </c>
      <c r="R1071" s="152" t="s">
        <v>1327</v>
      </c>
      <c r="S1071" s="152">
        <v>99.853350000000006</v>
      </c>
      <c r="T1071" s="152">
        <v>0.19386300000000001</v>
      </c>
      <c r="U1071" s="152">
        <v>2.327664</v>
      </c>
      <c r="V1071" s="152">
        <v>6.6515409999999999</v>
      </c>
      <c r="W1071" s="152">
        <v>1000</v>
      </c>
      <c r="X1071" s="152" t="s">
        <v>23</v>
      </c>
      <c r="Y1071" s="152" t="s">
        <v>1328</v>
      </c>
      <c r="Z1071" s="152" t="s">
        <v>1327</v>
      </c>
    </row>
    <row r="1072" spans="1:26" x14ac:dyDescent="0.2">
      <c r="A1072" s="152" t="s">
        <v>2252</v>
      </c>
      <c r="B1072" s="152">
        <v>0</v>
      </c>
      <c r="C1072" s="151">
        <v>43560</v>
      </c>
      <c r="D1072" s="152">
        <v>0.44383600000000001</v>
      </c>
      <c r="E1072" s="152" t="s">
        <v>1325</v>
      </c>
      <c r="F1072" s="152" t="s">
        <v>1326</v>
      </c>
      <c r="G1072" s="152"/>
      <c r="H1072" s="152"/>
      <c r="I1072" s="152">
        <v>43202</v>
      </c>
      <c r="J1072" s="152">
        <v>2.0499999999999998</v>
      </c>
      <c r="K1072" s="152" t="s">
        <v>1327</v>
      </c>
      <c r="L1072" s="152" t="s">
        <v>1327</v>
      </c>
      <c r="M1072" s="152" t="s">
        <v>1327</v>
      </c>
      <c r="N1072" s="152" t="s">
        <v>1327</v>
      </c>
      <c r="O1072" s="152">
        <v>2.3870390000000001</v>
      </c>
      <c r="P1072" s="152">
        <v>68.315821999999997</v>
      </c>
      <c r="Q1072" s="152">
        <v>2.3870390000000001</v>
      </c>
      <c r="R1072" s="152" t="s">
        <v>1327</v>
      </c>
      <c r="S1072" s="152">
        <v>98.951654000000005</v>
      </c>
      <c r="T1072" s="152">
        <v>0</v>
      </c>
      <c r="U1072" s="152">
        <v>0.43918299999999999</v>
      </c>
      <c r="V1072" s="152">
        <v>0.38576300000000002</v>
      </c>
      <c r="W1072" s="152">
        <v>1000</v>
      </c>
      <c r="X1072" s="152" t="s">
        <v>23</v>
      </c>
      <c r="Y1072" s="152" t="s">
        <v>1921</v>
      </c>
      <c r="Z1072" s="152" t="s">
        <v>1327</v>
      </c>
    </row>
    <row r="1073" spans="1:26" x14ac:dyDescent="0.2">
      <c r="A1073" s="152" t="s">
        <v>2253</v>
      </c>
      <c r="B1073" s="152">
        <v>2.15</v>
      </c>
      <c r="C1073" s="151">
        <v>43777</v>
      </c>
      <c r="D1073" s="152">
        <v>1.0383560000000001</v>
      </c>
      <c r="E1073" s="152" t="s">
        <v>1325</v>
      </c>
      <c r="F1073" s="152" t="s">
        <v>1326</v>
      </c>
      <c r="G1073" s="152" t="s">
        <v>116</v>
      </c>
      <c r="H1073" s="152"/>
      <c r="I1073" s="152" t="s">
        <v>1327</v>
      </c>
      <c r="J1073" s="152" t="s">
        <v>1327</v>
      </c>
      <c r="K1073" s="152" t="s">
        <v>1327</v>
      </c>
      <c r="L1073" s="152" t="s">
        <v>1327</v>
      </c>
      <c r="M1073" s="152" t="s">
        <v>1327</v>
      </c>
      <c r="N1073" s="152" t="s">
        <v>1327</v>
      </c>
      <c r="O1073" s="152">
        <v>2.4682710000000001</v>
      </c>
      <c r="P1073" s="152">
        <v>67.768212000000005</v>
      </c>
      <c r="Q1073" s="152">
        <v>2.4682710000000001</v>
      </c>
      <c r="R1073" s="152" t="s">
        <v>1327</v>
      </c>
      <c r="S1073" s="152">
        <v>99.669432999999998</v>
      </c>
      <c r="T1073" s="152">
        <v>0.45356200000000002</v>
      </c>
      <c r="U1073" s="152">
        <v>1.0208010000000001</v>
      </c>
      <c r="V1073" s="152">
        <v>1.305369</v>
      </c>
      <c r="W1073" s="152">
        <v>1000</v>
      </c>
      <c r="X1073" s="152" t="s">
        <v>23</v>
      </c>
      <c r="Y1073" s="152" t="s">
        <v>1328</v>
      </c>
      <c r="Z1073" s="152" t="s">
        <v>1327</v>
      </c>
    </row>
    <row r="1074" spans="1:26" x14ac:dyDescent="0.2">
      <c r="A1074" s="152" t="s">
        <v>2254</v>
      </c>
      <c r="B1074" s="152">
        <v>2.35</v>
      </c>
      <c r="C1074" s="151">
        <v>44144</v>
      </c>
      <c r="D1074" s="152">
        <v>2.0438360000000002</v>
      </c>
      <c r="E1074" s="152" t="s">
        <v>1325</v>
      </c>
      <c r="F1074" s="152" t="s">
        <v>1326</v>
      </c>
      <c r="G1074" s="152" t="s">
        <v>116</v>
      </c>
      <c r="H1074" s="152"/>
      <c r="I1074" s="152" t="s">
        <v>1327</v>
      </c>
      <c r="J1074" s="152" t="s">
        <v>1327</v>
      </c>
      <c r="K1074" s="152" t="s">
        <v>1327</v>
      </c>
      <c r="L1074" s="152" t="s">
        <v>1327</v>
      </c>
      <c r="M1074" s="152" t="s">
        <v>1327</v>
      </c>
      <c r="N1074" s="152" t="s">
        <v>1327</v>
      </c>
      <c r="O1074" s="152">
        <v>2.7304170000000001</v>
      </c>
      <c r="P1074" s="152">
        <v>72.313475999999994</v>
      </c>
      <c r="Q1074" s="152">
        <v>2.7304170000000001</v>
      </c>
      <c r="R1074" s="152" t="s">
        <v>1327</v>
      </c>
      <c r="S1074" s="152">
        <v>99.242165</v>
      </c>
      <c r="T1074" s="152">
        <v>0.495753</v>
      </c>
      <c r="U1074" s="152">
        <v>1.9754860000000001</v>
      </c>
      <c r="V1074" s="152">
        <v>4.4635720000000001</v>
      </c>
      <c r="W1074" s="152">
        <v>1000</v>
      </c>
      <c r="X1074" s="152" t="s">
        <v>23</v>
      </c>
      <c r="Y1074" s="152" t="s">
        <v>1328</v>
      </c>
      <c r="Z1074" s="152" t="s">
        <v>1327</v>
      </c>
    </row>
    <row r="1075" spans="1:26" x14ac:dyDescent="0.2">
      <c r="A1075" s="152" t="s">
        <v>2255</v>
      </c>
      <c r="B1075" s="152">
        <v>5.0999999999999996</v>
      </c>
      <c r="C1075" s="151">
        <v>43436</v>
      </c>
      <c r="D1075" s="152">
        <v>0.10410999999999999</v>
      </c>
      <c r="E1075" s="152" t="s">
        <v>1325</v>
      </c>
      <c r="F1075" s="152" t="s">
        <v>1326</v>
      </c>
      <c r="G1075" s="152" t="s">
        <v>116</v>
      </c>
      <c r="H1075" s="152"/>
      <c r="I1075" s="152">
        <v>41877</v>
      </c>
      <c r="J1075" s="152">
        <v>4.1500000000000004</v>
      </c>
      <c r="K1075" s="152">
        <v>41362</v>
      </c>
      <c r="L1075" s="152">
        <v>4.2700019999999999</v>
      </c>
      <c r="M1075" s="152">
        <v>5.2382999999999997</v>
      </c>
      <c r="N1075" s="152">
        <v>4.2615189999999998</v>
      </c>
      <c r="O1075" s="152">
        <v>1.6451210000000001</v>
      </c>
      <c r="P1075" s="152">
        <v>34.926357000000003</v>
      </c>
      <c r="Q1075" s="152">
        <v>1.6451210000000001</v>
      </c>
      <c r="R1075" s="152" t="s">
        <v>1327</v>
      </c>
      <c r="S1075" s="152">
        <v>100.3492</v>
      </c>
      <c r="T1075" s="152">
        <v>2.026027</v>
      </c>
      <c r="U1075" s="152">
        <v>0.10326</v>
      </c>
      <c r="V1075" s="152">
        <v>6.1872000000000003E-2</v>
      </c>
      <c r="W1075" s="152">
        <v>1000</v>
      </c>
      <c r="X1075" s="152" t="s">
        <v>23</v>
      </c>
      <c r="Y1075" s="152" t="s">
        <v>1328</v>
      </c>
      <c r="Z1075" s="152" t="s">
        <v>1327</v>
      </c>
    </row>
    <row r="1076" spans="1:26" x14ac:dyDescent="0.2">
      <c r="A1076" s="152" t="s">
        <v>2256</v>
      </c>
      <c r="B1076" s="152">
        <v>5.05</v>
      </c>
      <c r="C1076" s="151">
        <v>43441</v>
      </c>
      <c r="D1076" s="152">
        <v>0.117808</v>
      </c>
      <c r="E1076" s="152" t="s">
        <v>1325</v>
      </c>
      <c r="F1076" s="152" t="s">
        <v>1326</v>
      </c>
      <c r="G1076" s="152" t="s">
        <v>116</v>
      </c>
      <c r="H1076" s="152"/>
      <c r="I1076" s="152" t="s">
        <v>1327</v>
      </c>
      <c r="J1076" s="152" t="s">
        <v>1327</v>
      </c>
      <c r="K1076" s="152">
        <v>41362</v>
      </c>
      <c r="L1076" s="152">
        <v>4.2698850000000004</v>
      </c>
      <c r="M1076" s="152">
        <v>5.2382999999999997</v>
      </c>
      <c r="N1076" s="152">
        <v>4.2610739999999998</v>
      </c>
      <c r="O1076" s="152">
        <v>1.6694070000000001</v>
      </c>
      <c r="P1076" s="152">
        <v>34.880074</v>
      </c>
      <c r="Q1076" s="152">
        <v>1.6694070000000001</v>
      </c>
      <c r="R1076" s="152" t="s">
        <v>1327</v>
      </c>
      <c r="S1076" s="152">
        <v>100.387412</v>
      </c>
      <c r="T1076" s="152">
        <v>1.9369860000000001</v>
      </c>
      <c r="U1076" s="152">
        <v>0.11683300000000001</v>
      </c>
      <c r="V1076" s="152">
        <v>7.1582999999999994E-2</v>
      </c>
      <c r="W1076" s="152">
        <v>1000</v>
      </c>
      <c r="X1076" s="152" t="s">
        <v>23</v>
      </c>
      <c r="Y1076" s="152" t="s">
        <v>1328</v>
      </c>
      <c r="Z1076" s="152" t="s">
        <v>1327</v>
      </c>
    </row>
    <row r="1077" spans="1:26" x14ac:dyDescent="0.2">
      <c r="A1077" s="152" t="s">
        <v>2257</v>
      </c>
      <c r="B1077" s="152">
        <v>1.8</v>
      </c>
      <c r="C1077" s="151">
        <v>43881</v>
      </c>
      <c r="D1077" s="152">
        <v>1.323288</v>
      </c>
      <c r="E1077" s="152" t="s">
        <v>1325</v>
      </c>
      <c r="F1077" s="152" t="s">
        <v>1326</v>
      </c>
      <c r="G1077" s="152" t="s">
        <v>116</v>
      </c>
      <c r="H1077" s="152"/>
      <c r="I1077" s="151">
        <v>43266</v>
      </c>
      <c r="J1077" s="152">
        <v>2.0649999999999999</v>
      </c>
      <c r="K1077" s="152" t="s">
        <v>1327</v>
      </c>
      <c r="L1077" s="152" t="s">
        <v>1327</v>
      </c>
      <c r="M1077" s="152" t="s">
        <v>1327</v>
      </c>
      <c r="N1077" s="152" t="s">
        <v>1327</v>
      </c>
      <c r="O1077" s="152">
        <v>2.284843</v>
      </c>
      <c r="P1077" s="152">
        <v>41.793495</v>
      </c>
      <c r="Q1077" s="152">
        <v>2.284843</v>
      </c>
      <c r="R1077" s="152" t="s">
        <v>1327</v>
      </c>
      <c r="S1077" s="152">
        <v>99.362979999999993</v>
      </c>
      <c r="T1077" s="152">
        <v>0.32547900000000002</v>
      </c>
      <c r="U1077" s="152">
        <v>1.2950999999999999</v>
      </c>
      <c r="V1077" s="152">
        <v>2.3282699999999998</v>
      </c>
      <c r="W1077" s="152">
        <v>1000</v>
      </c>
      <c r="X1077" s="152" t="s">
        <v>23</v>
      </c>
      <c r="Y1077" s="152" t="s">
        <v>1328</v>
      </c>
      <c r="Z1077" s="152" t="s">
        <v>1327</v>
      </c>
    </row>
    <row r="1078" spans="1:26" x14ac:dyDescent="0.2">
      <c r="A1078" s="152" t="s">
        <v>211</v>
      </c>
      <c r="B1078" s="152">
        <v>1.72</v>
      </c>
      <c r="C1078" s="151">
        <v>43910</v>
      </c>
      <c r="D1078" s="152">
        <v>1.4027400000000001</v>
      </c>
      <c r="E1078" s="152" t="s">
        <v>1325</v>
      </c>
      <c r="F1078" s="152" t="s">
        <v>1326</v>
      </c>
      <c r="G1078" s="152" t="s">
        <v>116</v>
      </c>
      <c r="H1078" s="152"/>
      <c r="I1078" s="151">
        <v>43374</v>
      </c>
      <c r="J1078" s="152">
        <v>2.27</v>
      </c>
      <c r="K1078" s="152" t="s">
        <v>1327</v>
      </c>
      <c r="L1078" s="152" t="s">
        <v>1327</v>
      </c>
      <c r="M1078" s="152" t="s">
        <v>1327</v>
      </c>
      <c r="N1078" s="152" t="s">
        <v>1327</v>
      </c>
      <c r="O1078" s="152">
        <v>2.3152680000000001</v>
      </c>
      <c r="P1078" s="152">
        <v>42.185713</v>
      </c>
      <c r="Q1078" s="152">
        <v>2.3152680000000001</v>
      </c>
      <c r="R1078" s="152" t="s">
        <v>1327</v>
      </c>
      <c r="S1078" s="152">
        <v>99.190898000000004</v>
      </c>
      <c r="T1078" s="152">
        <v>0.164932</v>
      </c>
      <c r="U1078" s="152">
        <v>1.37131</v>
      </c>
      <c r="V1078" s="152">
        <v>2.5685910000000001</v>
      </c>
      <c r="W1078" s="152">
        <v>1000</v>
      </c>
      <c r="X1078" s="152" t="s">
        <v>23</v>
      </c>
      <c r="Y1078" s="152" t="s">
        <v>1328</v>
      </c>
      <c r="Z1078" s="152" t="s">
        <v>1327</v>
      </c>
    </row>
    <row r="1079" spans="1:26" x14ac:dyDescent="0.2">
      <c r="A1079" s="152" t="s">
        <v>2258</v>
      </c>
      <c r="B1079" s="152">
        <v>5.0999999999999996</v>
      </c>
      <c r="C1079" s="151">
        <v>46014</v>
      </c>
      <c r="D1079" s="152">
        <v>7.1671230000000001</v>
      </c>
      <c r="E1079" s="152" t="s">
        <v>1325</v>
      </c>
      <c r="F1079" s="152" t="s">
        <v>1326</v>
      </c>
      <c r="G1079" s="152" t="s">
        <v>35</v>
      </c>
      <c r="H1079" s="152"/>
      <c r="I1079" s="151">
        <v>43164</v>
      </c>
      <c r="J1079" s="152">
        <v>5.0925469999999997</v>
      </c>
      <c r="K1079" s="152" t="s">
        <v>1327</v>
      </c>
      <c r="L1079" s="152" t="s">
        <v>1327</v>
      </c>
      <c r="M1079" s="152" t="s">
        <v>1327</v>
      </c>
      <c r="N1079" s="152" t="s">
        <v>1327</v>
      </c>
      <c r="O1079" s="152">
        <v>5.102868</v>
      </c>
      <c r="P1079" s="152">
        <v>253.319849</v>
      </c>
      <c r="Q1079" s="152">
        <v>5.102868</v>
      </c>
      <c r="R1079" s="152" t="s">
        <v>1327</v>
      </c>
      <c r="S1079" s="152">
        <v>99.984532999999999</v>
      </c>
      <c r="T1079" s="152">
        <v>0.44712299999999999</v>
      </c>
      <c r="U1079" s="152">
        <v>5.9415399999999998</v>
      </c>
      <c r="V1079" s="152">
        <v>40.946461999999997</v>
      </c>
      <c r="W1079" s="152">
        <v>1000</v>
      </c>
      <c r="X1079" s="152" t="s">
        <v>23</v>
      </c>
      <c r="Y1079" s="152" t="s">
        <v>1328</v>
      </c>
      <c r="Z1079" s="152" t="s">
        <v>1327</v>
      </c>
    </row>
    <row r="1080" spans="1:26" x14ac:dyDescent="0.2">
      <c r="A1080" s="152" t="s">
        <v>2259</v>
      </c>
      <c r="B1080" s="152">
        <v>4.75</v>
      </c>
      <c r="C1080" s="151">
        <v>46078</v>
      </c>
      <c r="D1080" s="152">
        <v>7.3424659999999999</v>
      </c>
      <c r="E1080" s="152" t="s">
        <v>1325</v>
      </c>
      <c r="F1080" s="152" t="s">
        <v>1326</v>
      </c>
      <c r="G1080" s="152"/>
      <c r="H1080" s="152"/>
      <c r="I1080" s="152" t="s">
        <v>1327</v>
      </c>
      <c r="J1080" s="152" t="s">
        <v>1327</v>
      </c>
      <c r="K1080" s="152" t="s">
        <v>1327</v>
      </c>
      <c r="L1080" s="152" t="s">
        <v>1327</v>
      </c>
      <c r="M1080" s="152" t="s">
        <v>1327</v>
      </c>
      <c r="N1080" s="152" t="s">
        <v>1327</v>
      </c>
      <c r="O1080" s="152">
        <v>4.2932689999999996</v>
      </c>
      <c r="P1080" s="152">
        <v>167.58587299999999</v>
      </c>
      <c r="Q1080" s="152">
        <v>4.2932689999999996</v>
      </c>
      <c r="R1080" s="152" t="s">
        <v>1327</v>
      </c>
      <c r="S1080" s="152">
        <v>102.849654</v>
      </c>
      <c r="T1080" s="152">
        <v>0.79383599999999999</v>
      </c>
      <c r="U1080" s="152">
        <v>6.1422030000000003</v>
      </c>
      <c r="V1080" s="152">
        <v>43.565027000000001</v>
      </c>
      <c r="W1080" s="152">
        <v>1000</v>
      </c>
      <c r="X1080" s="152" t="s">
        <v>23</v>
      </c>
      <c r="Y1080" s="152" t="s">
        <v>1328</v>
      </c>
      <c r="Z1080" s="152" t="s">
        <v>1327</v>
      </c>
    </row>
    <row r="1081" spans="1:26" x14ac:dyDescent="0.2">
      <c r="A1081" s="152" t="s">
        <v>2260</v>
      </c>
      <c r="B1081" s="152">
        <v>3.8</v>
      </c>
      <c r="C1081" s="151">
        <v>46264</v>
      </c>
      <c r="D1081" s="152">
        <v>7.852055</v>
      </c>
      <c r="E1081" s="152" t="s">
        <v>1325</v>
      </c>
      <c r="F1081" s="152" t="s">
        <v>1326</v>
      </c>
      <c r="G1081" s="152"/>
      <c r="H1081" s="152"/>
      <c r="I1081" s="152" t="s">
        <v>1327</v>
      </c>
      <c r="J1081" s="152" t="s">
        <v>1327</v>
      </c>
      <c r="K1081" s="152" t="s">
        <v>1327</v>
      </c>
      <c r="L1081" s="152" t="s">
        <v>1327</v>
      </c>
      <c r="M1081" s="152" t="s">
        <v>1327</v>
      </c>
      <c r="N1081" s="152" t="s">
        <v>1327</v>
      </c>
      <c r="O1081" s="152">
        <v>3.7982870000000002</v>
      </c>
      <c r="P1081" s="152">
        <v>112.102778</v>
      </c>
      <c r="Q1081" s="152">
        <v>3.7982870000000002</v>
      </c>
      <c r="R1081" s="152" t="s">
        <v>1327</v>
      </c>
      <c r="S1081" s="152">
        <v>100.002697</v>
      </c>
      <c r="T1081" s="152">
        <v>0.58301400000000003</v>
      </c>
      <c r="U1081" s="152">
        <v>6.7206760000000001</v>
      </c>
      <c r="V1081" s="152">
        <v>51.335718</v>
      </c>
      <c r="W1081" s="152">
        <v>1000</v>
      </c>
      <c r="X1081" s="152" t="s">
        <v>23</v>
      </c>
      <c r="Y1081" s="152" t="s">
        <v>1328</v>
      </c>
      <c r="Z1081" s="152" t="s">
        <v>1327</v>
      </c>
    </row>
    <row r="1082" spans="1:26" x14ac:dyDescent="0.2">
      <c r="A1082" s="152" t="s">
        <v>2261</v>
      </c>
      <c r="B1082" s="152">
        <v>3.5</v>
      </c>
      <c r="C1082" s="151">
        <v>46891</v>
      </c>
      <c r="D1082" s="152">
        <v>9.5698629999999998</v>
      </c>
      <c r="E1082" s="152" t="s">
        <v>1325</v>
      </c>
      <c r="F1082" s="152" t="s">
        <v>1326</v>
      </c>
      <c r="G1082" s="152"/>
      <c r="H1082" s="152"/>
      <c r="I1082" s="152" t="s">
        <v>1327</v>
      </c>
      <c r="J1082" s="152" t="s">
        <v>1327</v>
      </c>
      <c r="K1082" s="152" t="s">
        <v>1327</v>
      </c>
      <c r="L1082" s="152" t="s">
        <v>1327</v>
      </c>
      <c r="M1082" s="152" t="s">
        <v>1327</v>
      </c>
      <c r="N1082" s="152" t="s">
        <v>1327</v>
      </c>
      <c r="O1082" s="152">
        <v>3.5054720000000001</v>
      </c>
      <c r="P1082" s="152">
        <v>73.434645000000003</v>
      </c>
      <c r="Q1082" s="152">
        <v>3.5054720000000001</v>
      </c>
      <c r="R1082" s="152" t="s">
        <v>1327</v>
      </c>
      <c r="S1082" s="152">
        <v>99.947759000000005</v>
      </c>
      <c r="T1082" s="152">
        <v>0.65205500000000005</v>
      </c>
      <c r="U1082" s="152">
        <v>8.0472099999999998</v>
      </c>
      <c r="V1082" s="152">
        <v>74.071505000000002</v>
      </c>
      <c r="W1082" s="152">
        <v>1000</v>
      </c>
      <c r="X1082" s="152" t="s">
        <v>23</v>
      </c>
      <c r="Y1082" s="152" t="s">
        <v>1328</v>
      </c>
      <c r="Z1082" s="152" t="s">
        <v>1327</v>
      </c>
    </row>
    <row r="1083" spans="1:26" x14ac:dyDescent="0.2">
      <c r="A1083" s="152" t="s">
        <v>2262</v>
      </c>
      <c r="B1083" s="152">
        <v>4</v>
      </c>
      <c r="C1083" s="151">
        <v>47034</v>
      </c>
      <c r="D1083" s="152">
        <v>9.9616439999999997</v>
      </c>
      <c r="E1083" s="152" t="s">
        <v>1325</v>
      </c>
      <c r="F1083" s="152" t="s">
        <v>1326</v>
      </c>
      <c r="G1083" s="152"/>
      <c r="H1083" s="152"/>
      <c r="I1083" s="151" t="s">
        <v>1327</v>
      </c>
      <c r="J1083" s="152" t="s">
        <v>1327</v>
      </c>
      <c r="K1083" s="152" t="s">
        <v>1327</v>
      </c>
      <c r="L1083" s="152" t="s">
        <v>1327</v>
      </c>
      <c r="M1083" s="152" t="s">
        <v>1327</v>
      </c>
      <c r="N1083" s="152" t="s">
        <v>1327</v>
      </c>
      <c r="O1083" s="152">
        <v>4.0489860000000002</v>
      </c>
      <c r="P1083" s="152">
        <v>129.28285</v>
      </c>
      <c r="Q1083" s="152">
        <v>4.0489860000000002</v>
      </c>
      <c r="R1083" s="152" t="s">
        <v>1327</v>
      </c>
      <c r="S1083" s="152">
        <v>99.591319999999996</v>
      </c>
      <c r="T1083" s="152">
        <v>0.18630099999999999</v>
      </c>
      <c r="U1083" s="152">
        <v>8.1594259999999998</v>
      </c>
      <c r="V1083" s="152">
        <v>77.129559</v>
      </c>
      <c r="W1083" s="152">
        <v>1000</v>
      </c>
      <c r="X1083" s="152" t="s">
        <v>23</v>
      </c>
      <c r="Y1083" s="152" t="s">
        <v>1328</v>
      </c>
      <c r="Z1083" s="152" t="s">
        <v>1327</v>
      </c>
    </row>
    <row r="1084" spans="1:26" x14ac:dyDescent="0.2">
      <c r="A1084" s="152" t="s">
        <v>2263</v>
      </c>
      <c r="B1084" s="152">
        <v>2.34</v>
      </c>
      <c r="C1084" s="151">
        <v>43520</v>
      </c>
      <c r="D1084" s="152">
        <v>0.33424700000000002</v>
      </c>
      <c r="E1084" s="152" t="s">
        <v>1325</v>
      </c>
      <c r="F1084" s="152" t="s">
        <v>1326</v>
      </c>
      <c r="G1084" s="152" t="s">
        <v>47</v>
      </c>
      <c r="H1084" s="152"/>
      <c r="I1084" s="151">
        <v>43377</v>
      </c>
      <c r="J1084" s="152">
        <v>1.895</v>
      </c>
      <c r="K1084" s="152" t="s">
        <v>1327</v>
      </c>
      <c r="L1084" s="152" t="s">
        <v>1327</v>
      </c>
      <c r="M1084" s="152" t="s">
        <v>1327</v>
      </c>
      <c r="N1084" s="152" t="s">
        <v>1327</v>
      </c>
      <c r="O1084" s="152">
        <v>2.0052319999999999</v>
      </c>
      <c r="P1084" s="152">
        <v>37.566626999999997</v>
      </c>
      <c r="Q1084" s="152">
        <v>2.0052319999999999</v>
      </c>
      <c r="R1084" s="152" t="s">
        <v>1327</v>
      </c>
      <c r="S1084" s="152">
        <v>100.100059</v>
      </c>
      <c r="T1084" s="152">
        <v>0.39747900000000003</v>
      </c>
      <c r="U1084" s="152">
        <v>0.33092899999999997</v>
      </c>
      <c r="V1084" s="152">
        <v>0.27333600000000002</v>
      </c>
      <c r="W1084" s="152">
        <v>1000</v>
      </c>
      <c r="X1084" s="152" t="s">
        <v>23</v>
      </c>
      <c r="Y1084" s="152" t="s">
        <v>1328</v>
      </c>
      <c r="Z1084" s="152" t="s">
        <v>1327</v>
      </c>
    </row>
    <row r="1085" spans="1:26" x14ac:dyDescent="0.2">
      <c r="A1085" s="152" t="s">
        <v>2264</v>
      </c>
      <c r="B1085" s="152">
        <v>4.25</v>
      </c>
      <c r="C1085" s="151">
        <v>43682</v>
      </c>
      <c r="D1085" s="152">
        <v>0.77808200000000005</v>
      </c>
      <c r="E1085" s="152" t="s">
        <v>1325</v>
      </c>
      <c r="F1085" s="152" t="s">
        <v>1326</v>
      </c>
      <c r="G1085" s="152" t="s">
        <v>47</v>
      </c>
      <c r="H1085" s="152"/>
      <c r="I1085" s="151">
        <v>43397</v>
      </c>
      <c r="J1085" s="152">
        <v>2.16</v>
      </c>
      <c r="K1085" s="152" t="s">
        <v>1327</v>
      </c>
      <c r="L1085" s="152" t="s">
        <v>1327</v>
      </c>
      <c r="M1085" s="152" t="s">
        <v>1327</v>
      </c>
      <c r="N1085" s="152" t="s">
        <v>1327</v>
      </c>
      <c r="O1085" s="152">
        <v>2.16</v>
      </c>
      <c r="P1085" s="152">
        <v>38.314903000000001</v>
      </c>
      <c r="Q1085" s="152">
        <v>2.16</v>
      </c>
      <c r="R1085" s="152" t="s">
        <v>1327</v>
      </c>
      <c r="S1085" s="152">
        <v>101.592158</v>
      </c>
      <c r="T1085" s="152">
        <v>0.94315099999999996</v>
      </c>
      <c r="U1085" s="152">
        <v>0.76364500000000002</v>
      </c>
      <c r="V1085" s="152">
        <v>0.96583300000000005</v>
      </c>
      <c r="W1085" s="152">
        <v>1000</v>
      </c>
      <c r="X1085" s="152" t="s">
        <v>23</v>
      </c>
      <c r="Y1085" s="152" t="s">
        <v>1328</v>
      </c>
      <c r="Z1085" s="152" t="s">
        <v>1327</v>
      </c>
    </row>
    <row r="1086" spans="1:26" x14ac:dyDescent="0.2">
      <c r="A1086" s="152" t="s">
        <v>2265</v>
      </c>
      <c r="B1086" s="152">
        <v>4.07</v>
      </c>
      <c r="C1086" s="151">
        <v>43726</v>
      </c>
      <c r="D1086" s="152">
        <v>0.89863000000000004</v>
      </c>
      <c r="E1086" s="152" t="s">
        <v>1325</v>
      </c>
      <c r="F1086" s="152" t="s">
        <v>1326</v>
      </c>
      <c r="G1086" s="152" t="s">
        <v>47</v>
      </c>
      <c r="H1086" s="152"/>
      <c r="I1086" s="151">
        <v>43354</v>
      </c>
      <c r="J1086" s="152">
        <v>2.11</v>
      </c>
      <c r="K1086" s="152" t="s">
        <v>1327</v>
      </c>
      <c r="L1086" s="152" t="s">
        <v>1327</v>
      </c>
      <c r="M1086" s="152" t="s">
        <v>1327</v>
      </c>
      <c r="N1086" s="152" t="s">
        <v>1327</v>
      </c>
      <c r="O1086" s="152">
        <v>2.2154150000000001</v>
      </c>
      <c r="P1086" s="152">
        <v>41.107370000000003</v>
      </c>
      <c r="Q1086" s="152">
        <v>2.2154150000000001</v>
      </c>
      <c r="R1086" s="152" t="s">
        <v>1327</v>
      </c>
      <c r="S1086" s="152">
        <v>101.648554</v>
      </c>
      <c r="T1086" s="152">
        <v>0.41257500000000003</v>
      </c>
      <c r="U1086" s="152">
        <v>0.87494499999999997</v>
      </c>
      <c r="V1086" s="152">
        <v>1.2029479999999999</v>
      </c>
      <c r="W1086" s="152">
        <v>1000</v>
      </c>
      <c r="X1086" s="152" t="s">
        <v>23</v>
      </c>
      <c r="Y1086" s="152" t="s">
        <v>1328</v>
      </c>
      <c r="Z1086" s="152" t="s">
        <v>1327</v>
      </c>
    </row>
    <row r="1087" spans="1:26" x14ac:dyDescent="0.2">
      <c r="A1087" s="152" t="s">
        <v>2266</v>
      </c>
      <c r="B1087" s="152">
        <v>2.56</v>
      </c>
      <c r="C1087" s="151">
        <v>43885</v>
      </c>
      <c r="D1087" s="152">
        <v>1.334247</v>
      </c>
      <c r="E1087" s="152" t="s">
        <v>1325</v>
      </c>
      <c r="F1087" s="152" t="s">
        <v>1326</v>
      </c>
      <c r="G1087" s="152" t="s">
        <v>47</v>
      </c>
      <c r="H1087" s="152"/>
      <c r="I1087" s="151">
        <v>43280</v>
      </c>
      <c r="J1087" s="152">
        <v>2</v>
      </c>
      <c r="K1087" s="152" t="s">
        <v>1327</v>
      </c>
      <c r="L1087" s="152" t="s">
        <v>1327</v>
      </c>
      <c r="M1087" s="152" t="s">
        <v>1327</v>
      </c>
      <c r="N1087" s="152" t="s">
        <v>1327</v>
      </c>
      <c r="O1087" s="152">
        <v>2.3773939999999998</v>
      </c>
      <c r="P1087" s="152">
        <v>50.901293000000003</v>
      </c>
      <c r="Q1087" s="152">
        <v>2.3773939999999998</v>
      </c>
      <c r="R1087" s="152" t="s">
        <v>1327</v>
      </c>
      <c r="S1087" s="152">
        <v>100.226231</v>
      </c>
      <c r="T1087" s="152">
        <v>0.43484899999999999</v>
      </c>
      <c r="U1087" s="152">
        <v>1.299944</v>
      </c>
      <c r="V1087" s="152">
        <v>2.3472110000000002</v>
      </c>
      <c r="W1087" s="152">
        <v>1000</v>
      </c>
      <c r="X1087" s="152" t="s">
        <v>23</v>
      </c>
      <c r="Y1087" s="152" t="s">
        <v>1328</v>
      </c>
      <c r="Z1087" s="152" t="s">
        <v>1327</v>
      </c>
    </row>
    <row r="1088" spans="1:26" x14ac:dyDescent="0.2">
      <c r="A1088" s="152" t="s">
        <v>543</v>
      </c>
      <c r="B1088" s="152">
        <v>3.48</v>
      </c>
      <c r="C1088" s="151">
        <v>43903</v>
      </c>
      <c r="D1088" s="152">
        <v>1.383562</v>
      </c>
      <c r="E1088" s="152" t="s">
        <v>1325</v>
      </c>
      <c r="F1088" s="152" t="s">
        <v>1326</v>
      </c>
      <c r="G1088" s="152" t="s">
        <v>47</v>
      </c>
      <c r="H1088" s="152"/>
      <c r="I1088" s="151">
        <v>43369</v>
      </c>
      <c r="J1088" s="152">
        <v>2.35</v>
      </c>
      <c r="K1088" s="152" t="s">
        <v>1327</v>
      </c>
      <c r="L1088" s="152" t="s">
        <v>1327</v>
      </c>
      <c r="M1088" s="152" t="s">
        <v>1327</v>
      </c>
      <c r="N1088" s="152" t="s">
        <v>1327</v>
      </c>
      <c r="O1088" s="152">
        <v>2.4684360000000001</v>
      </c>
      <c r="P1088" s="152">
        <v>58.287435000000002</v>
      </c>
      <c r="Q1088" s="152">
        <v>2.4684360000000001</v>
      </c>
      <c r="R1088" s="152" t="s">
        <v>1327</v>
      </c>
      <c r="S1088" s="152">
        <v>101.37735600000001</v>
      </c>
      <c r="T1088" s="152">
        <v>0.40043800000000002</v>
      </c>
      <c r="U1088" s="152">
        <v>1.3389930000000001</v>
      </c>
      <c r="V1088" s="152">
        <v>2.474221</v>
      </c>
      <c r="W1088" s="152">
        <v>1000</v>
      </c>
      <c r="X1088" s="152" t="s">
        <v>23</v>
      </c>
      <c r="Y1088" s="152" t="s">
        <v>1328</v>
      </c>
      <c r="Z1088" s="152" t="s">
        <v>1327</v>
      </c>
    </row>
    <row r="1089" spans="1:26" x14ac:dyDescent="0.2">
      <c r="A1089" s="152" t="s">
        <v>2267</v>
      </c>
      <c r="B1089" s="152">
        <v>2.5</v>
      </c>
      <c r="C1089" s="151">
        <v>44002</v>
      </c>
      <c r="D1089" s="152">
        <v>1.654795</v>
      </c>
      <c r="E1089" s="152" t="s">
        <v>1325</v>
      </c>
      <c r="F1089" s="152" t="s">
        <v>1326</v>
      </c>
      <c r="G1089" s="152"/>
      <c r="H1089" s="152"/>
      <c r="I1089" s="152">
        <v>43216</v>
      </c>
      <c r="J1089" s="152">
        <v>1.94</v>
      </c>
      <c r="K1089" s="152" t="s">
        <v>1327</v>
      </c>
      <c r="L1089" s="152" t="s">
        <v>1327</v>
      </c>
      <c r="M1089" s="152" t="s">
        <v>1327</v>
      </c>
      <c r="N1089" s="152" t="s">
        <v>1327</v>
      </c>
      <c r="O1089" s="152">
        <v>2.518243</v>
      </c>
      <c r="P1089" s="152">
        <v>56.308030000000002</v>
      </c>
      <c r="Q1089" s="152">
        <v>2.518243</v>
      </c>
      <c r="R1089" s="152" t="s">
        <v>1327</v>
      </c>
      <c r="S1089" s="152">
        <v>99.965547000000001</v>
      </c>
      <c r="T1089" s="152">
        <v>0.86986300000000005</v>
      </c>
      <c r="U1089" s="152">
        <v>1.596581</v>
      </c>
      <c r="V1089" s="152">
        <v>3.3780480000000002</v>
      </c>
      <c r="W1089" s="152">
        <v>1000</v>
      </c>
      <c r="X1089" s="152" t="s">
        <v>23</v>
      </c>
      <c r="Y1089" s="152" t="s">
        <v>1328</v>
      </c>
      <c r="Z1089" s="152" t="s">
        <v>1327</v>
      </c>
    </row>
    <row r="1090" spans="1:26" x14ac:dyDescent="0.2">
      <c r="A1090" s="152" t="s">
        <v>675</v>
      </c>
      <c r="B1090" s="152">
        <v>2.15</v>
      </c>
      <c r="C1090" s="151">
        <v>44319</v>
      </c>
      <c r="D1090" s="152">
        <v>2.523288</v>
      </c>
      <c r="E1090" s="152" t="s">
        <v>1325</v>
      </c>
      <c r="F1090" s="152" t="s">
        <v>1326</v>
      </c>
      <c r="G1090" s="152"/>
      <c r="H1090" s="152"/>
      <c r="I1090" s="152" t="s">
        <v>1327</v>
      </c>
      <c r="J1090" s="152" t="s">
        <v>1327</v>
      </c>
      <c r="K1090" s="152" t="s">
        <v>1327</v>
      </c>
      <c r="L1090" s="152" t="s">
        <v>1327</v>
      </c>
      <c r="M1090" s="152" t="s">
        <v>1327</v>
      </c>
      <c r="N1090" s="152" t="s">
        <v>1327</v>
      </c>
      <c r="O1090" s="152">
        <v>2.6267580000000001</v>
      </c>
      <c r="P1090" s="152">
        <v>57.611505000000001</v>
      </c>
      <c r="Q1090" s="152">
        <v>2.6267580000000001</v>
      </c>
      <c r="R1090" s="152" t="s">
        <v>1327</v>
      </c>
      <c r="S1090" s="152">
        <v>98.843089000000006</v>
      </c>
      <c r="T1090" s="152">
        <v>-5.3013999999999999E-2</v>
      </c>
      <c r="U1090" s="152">
        <v>2.4396390000000001</v>
      </c>
      <c r="V1090" s="152">
        <v>7.2308630000000003</v>
      </c>
      <c r="W1090" s="152">
        <v>1000</v>
      </c>
      <c r="X1090" s="152" t="s">
        <v>23</v>
      </c>
      <c r="Y1090" s="152" t="s">
        <v>1328</v>
      </c>
      <c r="Z1090" s="152" t="s">
        <v>1327</v>
      </c>
    </row>
    <row r="1091" spans="1:26" x14ac:dyDescent="0.2">
      <c r="A1091" s="152" t="s">
        <v>2268</v>
      </c>
      <c r="B1091" s="152">
        <v>3.74</v>
      </c>
      <c r="C1091" s="151">
        <v>46728</v>
      </c>
      <c r="D1091" s="152">
        <v>9.1232880000000005</v>
      </c>
      <c r="E1091" s="152" t="s">
        <v>1325</v>
      </c>
      <c r="F1091" s="152" t="s">
        <v>1326</v>
      </c>
      <c r="G1091" s="152" t="s">
        <v>47</v>
      </c>
      <c r="H1091" s="152"/>
      <c r="I1091" s="151" t="s">
        <v>1327</v>
      </c>
      <c r="J1091" s="152" t="s">
        <v>1327</v>
      </c>
      <c r="K1091" s="151" t="s">
        <v>1327</v>
      </c>
      <c r="L1091" s="152" t="s">
        <v>1327</v>
      </c>
      <c r="M1091" s="152" t="s">
        <v>1327</v>
      </c>
      <c r="N1091" s="152" t="s">
        <v>1327</v>
      </c>
      <c r="O1091" s="152">
        <v>3.7375449999999999</v>
      </c>
      <c r="P1091" s="152">
        <v>94.027191000000002</v>
      </c>
      <c r="Q1091" s="152">
        <v>3.7375449999999999</v>
      </c>
      <c r="R1091" s="152" t="s">
        <v>1327</v>
      </c>
      <c r="S1091" s="152">
        <v>100.010575</v>
      </c>
      <c r="T1091" s="152">
        <v>1.4345209999999999</v>
      </c>
      <c r="U1091" s="152">
        <v>7.5591200000000001</v>
      </c>
      <c r="V1091" s="152">
        <v>67.570746</v>
      </c>
      <c r="W1091" s="152">
        <v>1000</v>
      </c>
      <c r="X1091" s="152" t="s">
        <v>23</v>
      </c>
      <c r="Y1091" s="152" t="s">
        <v>1328</v>
      </c>
      <c r="Z1091" s="152" t="s">
        <v>1327</v>
      </c>
    </row>
    <row r="1092" spans="1:26" x14ac:dyDescent="0.2">
      <c r="A1092" s="152" t="s">
        <v>2269</v>
      </c>
      <c r="B1092" s="152">
        <v>3.6</v>
      </c>
      <c r="C1092" s="151">
        <v>46876</v>
      </c>
      <c r="D1092" s="152">
        <v>9.5287670000000002</v>
      </c>
      <c r="E1092" s="152" t="s">
        <v>1325</v>
      </c>
      <c r="F1092" s="152" t="s">
        <v>1326</v>
      </c>
      <c r="G1092" s="152"/>
      <c r="H1092" s="152"/>
      <c r="I1092" s="152" t="s">
        <v>1327</v>
      </c>
      <c r="J1092" s="152" t="s">
        <v>1327</v>
      </c>
      <c r="K1092" s="151" t="s">
        <v>1327</v>
      </c>
      <c r="L1092" s="152" t="s">
        <v>1327</v>
      </c>
      <c r="M1092" s="152" t="s">
        <v>1327</v>
      </c>
      <c r="N1092" s="152" t="s">
        <v>1327</v>
      </c>
      <c r="O1092" s="152">
        <v>3.7442350000000002</v>
      </c>
      <c r="P1092" s="152">
        <v>96.133049</v>
      </c>
      <c r="Q1092" s="152">
        <v>3.7442350000000002</v>
      </c>
      <c r="R1092" s="152" t="s">
        <v>1327</v>
      </c>
      <c r="S1092" s="152">
        <v>98.854242999999997</v>
      </c>
      <c r="T1092" s="152">
        <v>-8.8766999999999999E-2</v>
      </c>
      <c r="U1092" s="152">
        <v>7.9948449999999998</v>
      </c>
      <c r="V1092" s="152">
        <v>74.434501999999995</v>
      </c>
      <c r="W1092" s="152">
        <v>1000</v>
      </c>
      <c r="X1092" s="152" t="s">
        <v>23</v>
      </c>
      <c r="Y1092" s="152" t="s">
        <v>1328</v>
      </c>
      <c r="Z1092" s="152" t="s">
        <v>1327</v>
      </c>
    </row>
    <row r="1093" spans="1:26" x14ac:dyDescent="0.2">
      <c r="A1093" s="152" t="s">
        <v>2270</v>
      </c>
      <c r="B1093" s="152">
        <v>3.4</v>
      </c>
      <c r="C1093" s="151">
        <v>46714</v>
      </c>
      <c r="D1093" s="152">
        <v>9.0849320000000002</v>
      </c>
      <c r="E1093" s="152" t="s">
        <v>1325</v>
      </c>
      <c r="F1093" s="152" t="s">
        <v>1326</v>
      </c>
      <c r="G1093" s="152"/>
      <c r="H1093" s="152" t="s">
        <v>1278</v>
      </c>
      <c r="I1093" s="151">
        <v>43354</v>
      </c>
      <c r="J1093" s="152">
        <v>3.6815899999999999</v>
      </c>
      <c r="K1093" s="151" t="s">
        <v>1327</v>
      </c>
      <c r="L1093" s="152" t="s">
        <v>1327</v>
      </c>
      <c r="M1093" s="152" t="s">
        <v>1327</v>
      </c>
      <c r="N1093" s="152" t="s">
        <v>1327</v>
      </c>
      <c r="O1093" s="152">
        <v>3.7271369999999999</v>
      </c>
      <c r="P1093" s="152">
        <v>94.349659000000003</v>
      </c>
      <c r="Q1093" s="152">
        <v>3.7271369999999999</v>
      </c>
      <c r="R1093" s="152" t="s">
        <v>1327</v>
      </c>
      <c r="S1093" s="152">
        <v>97.482112000000001</v>
      </c>
      <c r="T1093" s="152">
        <v>0.58684899999999995</v>
      </c>
      <c r="U1093" s="152">
        <v>7.7122390000000003</v>
      </c>
      <c r="V1093" s="152">
        <v>67.689825999999996</v>
      </c>
      <c r="W1093" s="152">
        <v>1000</v>
      </c>
      <c r="X1093" s="152" t="s">
        <v>23</v>
      </c>
      <c r="Y1093" s="152" t="s">
        <v>1328</v>
      </c>
      <c r="Z1093" s="152" t="s">
        <v>1327</v>
      </c>
    </row>
    <row r="1094" spans="1:26" x14ac:dyDescent="0.2">
      <c r="A1094" s="152" t="s">
        <v>2271</v>
      </c>
      <c r="B1094" s="152">
        <v>4</v>
      </c>
      <c r="C1094" s="151">
        <v>43699</v>
      </c>
      <c r="D1094" s="152">
        <v>0.824658</v>
      </c>
      <c r="E1094" s="152" t="s">
        <v>1325</v>
      </c>
      <c r="F1094" s="152" t="s">
        <v>1326</v>
      </c>
      <c r="G1094" s="152"/>
      <c r="H1094" s="152"/>
      <c r="I1094" s="152" t="s">
        <v>1327</v>
      </c>
      <c r="J1094" s="152" t="s">
        <v>1327</v>
      </c>
      <c r="K1094" s="151" t="s">
        <v>1327</v>
      </c>
      <c r="L1094" s="152" t="s">
        <v>1327</v>
      </c>
      <c r="M1094" s="152" t="s">
        <v>1327</v>
      </c>
      <c r="N1094" s="152" t="s">
        <v>1327</v>
      </c>
      <c r="O1094" s="152">
        <v>4.5216430000000001</v>
      </c>
      <c r="P1094" s="152">
        <v>280.78921200000002</v>
      </c>
      <c r="Q1094" s="152">
        <v>4.5216430000000001</v>
      </c>
      <c r="R1094" s="152" t="s">
        <v>1327</v>
      </c>
      <c r="S1094" s="152">
        <v>99.569626999999997</v>
      </c>
      <c r="T1094" s="152">
        <v>0.70137000000000005</v>
      </c>
      <c r="U1094" s="152">
        <v>0.80284</v>
      </c>
      <c r="V1094" s="152">
        <v>0.85126599999999997</v>
      </c>
      <c r="W1094" s="152">
        <v>1000</v>
      </c>
      <c r="X1094" s="152" t="s">
        <v>23</v>
      </c>
      <c r="Y1094" s="152" t="s">
        <v>1328</v>
      </c>
      <c r="Z1094" s="152" t="s">
        <v>1327</v>
      </c>
    </row>
    <row r="1095" spans="1:26" x14ac:dyDescent="0.2">
      <c r="A1095" s="152" t="s">
        <v>2272</v>
      </c>
      <c r="B1095" s="152">
        <v>2.65</v>
      </c>
      <c r="C1095" s="151">
        <v>43411</v>
      </c>
      <c r="D1095" s="152">
        <v>3.5616000000000002E-2</v>
      </c>
      <c r="E1095" s="152" t="s">
        <v>1325</v>
      </c>
      <c r="F1095" s="152" t="s">
        <v>1326</v>
      </c>
      <c r="G1095" s="152" t="s">
        <v>51</v>
      </c>
      <c r="H1095" s="152"/>
      <c r="I1095" s="151">
        <v>43313</v>
      </c>
      <c r="J1095" s="152">
        <v>1.5049999999999999</v>
      </c>
      <c r="K1095" s="152" t="s">
        <v>1327</v>
      </c>
      <c r="L1095" s="152" t="s">
        <v>1327</v>
      </c>
      <c r="M1095" s="152" t="s">
        <v>1327</v>
      </c>
      <c r="N1095" s="152" t="s">
        <v>1327</v>
      </c>
      <c r="O1095" s="152">
        <v>1.3730629999999999</v>
      </c>
      <c r="P1095" s="152">
        <v>20.072724999999998</v>
      </c>
      <c r="Q1095" s="152">
        <v>1.3730629999999999</v>
      </c>
      <c r="R1095" s="152" t="s">
        <v>1327</v>
      </c>
      <c r="S1095" s="152">
        <v>100.04521</v>
      </c>
      <c r="T1095" s="152">
        <v>0.82767100000000005</v>
      </c>
      <c r="U1095" s="152">
        <v>3.5374000000000003E-2</v>
      </c>
      <c r="V1095" s="152">
        <v>1.8817E-2</v>
      </c>
      <c r="W1095" s="152">
        <v>1000</v>
      </c>
      <c r="X1095" s="152" t="s">
        <v>23</v>
      </c>
      <c r="Y1095" s="152" t="s">
        <v>1328</v>
      </c>
      <c r="Z1095" s="152" t="s">
        <v>1327</v>
      </c>
    </row>
    <row r="1096" spans="1:26" x14ac:dyDescent="0.2">
      <c r="A1096" s="152" t="s">
        <v>2273</v>
      </c>
      <c r="B1096" s="152">
        <v>2.21</v>
      </c>
      <c r="C1096" s="151">
        <v>43522</v>
      </c>
      <c r="D1096" s="152">
        <v>0.33972599999999997</v>
      </c>
      <c r="E1096" s="152" t="s">
        <v>1325</v>
      </c>
      <c r="F1096" s="152" t="s">
        <v>1326</v>
      </c>
      <c r="G1096" s="152" t="s">
        <v>51</v>
      </c>
      <c r="H1096" s="152"/>
      <c r="I1096" s="152">
        <v>43164</v>
      </c>
      <c r="J1096" s="152">
        <v>1.5</v>
      </c>
      <c r="K1096" s="152" t="s">
        <v>1327</v>
      </c>
      <c r="L1096" s="152" t="s">
        <v>1327</v>
      </c>
      <c r="M1096" s="152" t="s">
        <v>1327</v>
      </c>
      <c r="N1096" s="152" t="s">
        <v>1327</v>
      </c>
      <c r="O1096" s="152">
        <v>1.857874</v>
      </c>
      <c r="P1096" s="152">
        <v>22.178749</v>
      </c>
      <c r="Q1096" s="152">
        <v>1.857874</v>
      </c>
      <c r="R1096" s="152" t="s">
        <v>1327</v>
      </c>
      <c r="S1096" s="152">
        <v>100.10850600000001</v>
      </c>
      <c r="T1096" s="152">
        <v>0.363288</v>
      </c>
      <c r="U1096" s="152">
        <v>0.33659899999999998</v>
      </c>
      <c r="V1096" s="152">
        <v>0.28005000000000002</v>
      </c>
      <c r="W1096" s="152">
        <v>1000</v>
      </c>
      <c r="X1096" s="152" t="s">
        <v>23</v>
      </c>
      <c r="Y1096" s="152" t="s">
        <v>1328</v>
      </c>
      <c r="Z1096" s="152" t="s">
        <v>1327</v>
      </c>
    </row>
    <row r="1097" spans="1:26" x14ac:dyDescent="0.2">
      <c r="A1097" s="152" t="s">
        <v>2274</v>
      </c>
      <c r="B1097" s="152">
        <v>1.88</v>
      </c>
      <c r="C1097" s="151">
        <v>43594</v>
      </c>
      <c r="D1097" s="152">
        <v>0.53698599999999996</v>
      </c>
      <c r="E1097" s="152" t="s">
        <v>1325</v>
      </c>
      <c r="F1097" s="152" t="s">
        <v>1326</v>
      </c>
      <c r="G1097" s="152" t="s">
        <v>51</v>
      </c>
      <c r="H1097" s="152"/>
      <c r="I1097" s="151">
        <v>43370</v>
      </c>
      <c r="J1097" s="152">
        <v>1.9</v>
      </c>
      <c r="K1097" s="152" t="s">
        <v>1327</v>
      </c>
      <c r="L1097" s="152" t="s">
        <v>1327</v>
      </c>
      <c r="M1097" s="152" t="s">
        <v>1327</v>
      </c>
      <c r="N1097" s="152" t="s">
        <v>1327</v>
      </c>
      <c r="O1097" s="152">
        <v>2.01864</v>
      </c>
      <c r="P1097" s="152">
        <v>28.462468000000001</v>
      </c>
      <c r="Q1097" s="152">
        <v>2.01864</v>
      </c>
      <c r="R1097" s="152" t="s">
        <v>1327</v>
      </c>
      <c r="S1097" s="152">
        <v>99.917680000000004</v>
      </c>
      <c r="T1097" s="152">
        <v>0.87046599999999996</v>
      </c>
      <c r="U1097" s="152">
        <v>0.53107599999999999</v>
      </c>
      <c r="V1097" s="152">
        <v>0.54718900000000004</v>
      </c>
      <c r="W1097" s="152">
        <v>1000</v>
      </c>
      <c r="X1097" s="152" t="s">
        <v>23</v>
      </c>
      <c r="Y1097" s="152" t="s">
        <v>1328</v>
      </c>
      <c r="Z1097" s="152" t="s">
        <v>1327</v>
      </c>
    </row>
    <row r="1098" spans="1:26" x14ac:dyDescent="0.2">
      <c r="A1098" s="152" t="s">
        <v>2275</v>
      </c>
      <c r="B1098" s="152">
        <v>3.75</v>
      </c>
      <c r="C1098" s="151">
        <v>43691</v>
      </c>
      <c r="D1098" s="152">
        <v>0.80274000000000001</v>
      </c>
      <c r="E1098" s="152" t="s">
        <v>1325</v>
      </c>
      <c r="F1098" s="152" t="s">
        <v>1326</v>
      </c>
      <c r="G1098" s="152" t="s">
        <v>51</v>
      </c>
      <c r="H1098" s="152"/>
      <c r="I1098" s="152">
        <v>42934</v>
      </c>
      <c r="J1098" s="152">
        <v>2.2000000000000002</v>
      </c>
      <c r="K1098" s="152" t="s">
        <v>1327</v>
      </c>
      <c r="L1098" s="152" t="s">
        <v>1327</v>
      </c>
      <c r="M1098" s="152" t="s">
        <v>1327</v>
      </c>
      <c r="N1098" s="152" t="s">
        <v>1327</v>
      </c>
      <c r="O1098" s="152">
        <v>2.0625149999999999</v>
      </c>
      <c r="P1098" s="152">
        <v>28.213697</v>
      </c>
      <c r="Q1098" s="152">
        <v>2.0625149999999999</v>
      </c>
      <c r="R1098" s="152" t="s">
        <v>1327</v>
      </c>
      <c r="S1098" s="152">
        <v>101.335319</v>
      </c>
      <c r="T1098" s="152">
        <v>0.73972599999999999</v>
      </c>
      <c r="U1098" s="152">
        <v>0.787022</v>
      </c>
      <c r="V1098" s="152">
        <v>0.82289199999999996</v>
      </c>
      <c r="W1098" s="152">
        <v>1000</v>
      </c>
      <c r="X1098" s="152" t="s">
        <v>23</v>
      </c>
      <c r="Y1098" s="152" t="s">
        <v>1328</v>
      </c>
      <c r="Z1098" s="152" t="s">
        <v>1327</v>
      </c>
    </row>
    <row r="1099" spans="1:26" x14ac:dyDescent="0.2">
      <c r="A1099" s="152" t="s">
        <v>2276</v>
      </c>
      <c r="B1099" s="152">
        <v>3.75</v>
      </c>
      <c r="C1099" s="151">
        <v>43691</v>
      </c>
      <c r="D1099" s="152">
        <v>0.80274000000000001</v>
      </c>
      <c r="E1099" s="152" t="s">
        <v>1325</v>
      </c>
      <c r="F1099" s="152" t="s">
        <v>1326</v>
      </c>
      <c r="G1099" s="152" t="s">
        <v>51</v>
      </c>
      <c r="H1099" s="152"/>
      <c r="I1099" s="152" t="s">
        <v>1327</v>
      </c>
      <c r="J1099" s="152" t="s">
        <v>1327</v>
      </c>
      <c r="K1099" s="152" t="s">
        <v>1327</v>
      </c>
      <c r="L1099" s="152" t="s">
        <v>1327</v>
      </c>
      <c r="M1099" s="152" t="s">
        <v>1327</v>
      </c>
      <c r="N1099" s="152" t="s">
        <v>1327</v>
      </c>
      <c r="O1099" s="152">
        <v>2.065461</v>
      </c>
      <c r="P1099" s="152">
        <v>28.513697000000001</v>
      </c>
      <c r="Q1099" s="152">
        <v>2.065461</v>
      </c>
      <c r="R1099" s="152" t="s">
        <v>1327</v>
      </c>
      <c r="S1099" s="152">
        <v>101.332953</v>
      </c>
      <c r="T1099" s="152">
        <v>0.73972599999999999</v>
      </c>
      <c r="U1099" s="152">
        <v>0.78701600000000005</v>
      </c>
      <c r="V1099" s="152">
        <v>0.82287999999999994</v>
      </c>
      <c r="W1099" s="152">
        <v>1000</v>
      </c>
      <c r="X1099" s="152" t="s">
        <v>23</v>
      </c>
      <c r="Y1099" s="152" t="s">
        <v>1328</v>
      </c>
      <c r="Z1099" s="152" t="s">
        <v>1327</v>
      </c>
    </row>
    <row r="1100" spans="1:26" x14ac:dyDescent="0.2">
      <c r="A1100" s="152" t="s">
        <v>2277</v>
      </c>
      <c r="B1100" s="152">
        <v>2.5</v>
      </c>
      <c r="C1100" s="151">
        <v>44054</v>
      </c>
      <c r="D1100" s="152">
        <v>1.7972600000000001</v>
      </c>
      <c r="E1100" s="152" t="s">
        <v>1325</v>
      </c>
      <c r="F1100" s="152" t="s">
        <v>1326</v>
      </c>
      <c r="G1100" s="152" t="s">
        <v>51</v>
      </c>
      <c r="H1100" s="152"/>
      <c r="I1100" s="152">
        <v>42963</v>
      </c>
      <c r="J1100" s="152">
        <v>2.2200000000000002</v>
      </c>
      <c r="K1100" s="152" t="s">
        <v>1327</v>
      </c>
      <c r="L1100" s="152" t="s">
        <v>1327</v>
      </c>
      <c r="M1100" s="152" t="s">
        <v>1327</v>
      </c>
      <c r="N1100" s="152" t="s">
        <v>1327</v>
      </c>
      <c r="O1100" s="152">
        <v>2.3489260000000001</v>
      </c>
      <c r="P1100" s="152">
        <v>37.072558999999998</v>
      </c>
      <c r="Q1100" s="152">
        <v>2.3489260000000001</v>
      </c>
      <c r="R1100" s="152" t="s">
        <v>1327</v>
      </c>
      <c r="S1100" s="152">
        <v>100.259593</v>
      </c>
      <c r="T1100" s="152">
        <v>0.51369900000000002</v>
      </c>
      <c r="U1100" s="152">
        <v>1.7434730000000001</v>
      </c>
      <c r="V1100" s="152">
        <v>3.5243470000000001</v>
      </c>
      <c r="W1100" s="152">
        <v>1000</v>
      </c>
      <c r="X1100" s="152" t="s">
        <v>23</v>
      </c>
      <c r="Y1100" s="152" t="s">
        <v>1328</v>
      </c>
      <c r="Z1100" s="152" t="s">
        <v>1327</v>
      </c>
    </row>
    <row r="1101" spans="1:26" x14ac:dyDescent="0.2">
      <c r="A1101" s="152" t="s">
        <v>2278</v>
      </c>
      <c r="B1101" s="152">
        <v>2.2000000000000002</v>
      </c>
      <c r="C1101" s="151">
        <v>44057</v>
      </c>
      <c r="D1101" s="152">
        <v>1.8054790000000001</v>
      </c>
      <c r="E1101" s="152" t="s">
        <v>1325</v>
      </c>
      <c r="F1101" s="152" t="s">
        <v>1326</v>
      </c>
      <c r="G1101" s="152" t="s">
        <v>51</v>
      </c>
      <c r="H1101" s="152"/>
      <c r="I1101" s="151">
        <v>43374</v>
      </c>
      <c r="J1101" s="152">
        <v>2.5</v>
      </c>
      <c r="K1101" s="152" t="s">
        <v>1327</v>
      </c>
      <c r="L1101" s="152" t="s">
        <v>1327</v>
      </c>
      <c r="M1101" s="152" t="s">
        <v>1327</v>
      </c>
      <c r="N1101" s="152" t="s">
        <v>1327</v>
      </c>
      <c r="O1101" s="152">
        <v>2.5572810000000001</v>
      </c>
      <c r="P1101" s="152">
        <v>57.377817999999998</v>
      </c>
      <c r="Q1101" s="152">
        <v>2.5572810000000001</v>
      </c>
      <c r="R1101" s="152" t="s">
        <v>1327</v>
      </c>
      <c r="S1101" s="152">
        <v>99.362917999999993</v>
      </c>
      <c r="T1101" s="152">
        <v>0.42191800000000002</v>
      </c>
      <c r="U1101" s="152">
        <v>1.7507809999999999</v>
      </c>
      <c r="V1101" s="152">
        <v>3.9652370000000001</v>
      </c>
      <c r="W1101" s="152">
        <v>1000</v>
      </c>
      <c r="X1101" s="152" t="s">
        <v>23</v>
      </c>
      <c r="Y1101" s="152" t="s">
        <v>1328</v>
      </c>
      <c r="Z1101" s="152" t="s">
        <v>1327</v>
      </c>
    </row>
    <row r="1102" spans="1:26" x14ac:dyDescent="0.2">
      <c r="A1102" s="152" t="s">
        <v>2279</v>
      </c>
      <c r="B1102" s="152">
        <v>3.14</v>
      </c>
      <c r="C1102" s="151">
        <v>44105</v>
      </c>
      <c r="D1102" s="152">
        <v>1.9369860000000001</v>
      </c>
      <c r="E1102" s="152" t="s">
        <v>1325</v>
      </c>
      <c r="F1102" s="152" t="s">
        <v>1326</v>
      </c>
      <c r="G1102" s="152" t="s">
        <v>51</v>
      </c>
      <c r="H1102" s="152"/>
      <c r="I1102" s="151">
        <v>43244</v>
      </c>
      <c r="J1102" s="152">
        <v>2.1</v>
      </c>
      <c r="K1102" s="152" t="s">
        <v>1327</v>
      </c>
      <c r="L1102" s="152" t="s">
        <v>1327</v>
      </c>
      <c r="M1102" s="152" t="s">
        <v>1327</v>
      </c>
      <c r="N1102" s="152" t="s">
        <v>1327</v>
      </c>
      <c r="O1102" s="152">
        <v>2.4789400000000001</v>
      </c>
      <c r="P1102" s="152">
        <v>47.036160000000002</v>
      </c>
      <c r="Q1102" s="152">
        <v>2.4789400000000001</v>
      </c>
      <c r="R1102" s="152" t="s">
        <v>1327</v>
      </c>
      <c r="S1102" s="152">
        <v>101.24330999999999</v>
      </c>
      <c r="T1102" s="152">
        <v>0.20646600000000001</v>
      </c>
      <c r="U1102" s="152">
        <v>1.8642099999999999</v>
      </c>
      <c r="V1102" s="152">
        <v>4.4459580000000001</v>
      </c>
      <c r="W1102" s="152">
        <v>1000</v>
      </c>
      <c r="X1102" s="152" t="s">
        <v>23</v>
      </c>
      <c r="Y1102" s="152" t="s">
        <v>1328</v>
      </c>
      <c r="Z1102" s="152" t="s">
        <v>1327</v>
      </c>
    </row>
    <row r="1103" spans="1:26" x14ac:dyDescent="0.2">
      <c r="A1103" s="152" t="s">
        <v>2280</v>
      </c>
      <c r="B1103" s="152">
        <v>2.64</v>
      </c>
      <c r="C1103" s="151">
        <v>44253</v>
      </c>
      <c r="D1103" s="152">
        <v>2.3424659999999999</v>
      </c>
      <c r="E1103" s="152" t="s">
        <v>1325</v>
      </c>
      <c r="F1103" s="152" t="s">
        <v>1326</v>
      </c>
      <c r="G1103" s="152" t="s">
        <v>51</v>
      </c>
      <c r="H1103" s="152"/>
      <c r="I1103" s="151" t="s">
        <v>1327</v>
      </c>
      <c r="J1103" s="152" t="s">
        <v>1327</v>
      </c>
      <c r="K1103" s="152" t="s">
        <v>1327</v>
      </c>
      <c r="L1103" s="152" t="s">
        <v>1327</v>
      </c>
      <c r="M1103" s="152" t="s">
        <v>1327</v>
      </c>
      <c r="N1103" s="152" t="s">
        <v>1327</v>
      </c>
      <c r="O1103" s="152">
        <v>2.5149720000000002</v>
      </c>
      <c r="P1103" s="152">
        <v>47.241995000000003</v>
      </c>
      <c r="Q1103" s="152">
        <v>2.5149720000000002</v>
      </c>
      <c r="R1103" s="152" t="s">
        <v>1327</v>
      </c>
      <c r="S1103" s="152">
        <v>100.26972600000001</v>
      </c>
      <c r="T1103" s="152">
        <v>0.433973</v>
      </c>
      <c r="U1103" s="152">
        <v>2.2472840000000001</v>
      </c>
      <c r="V1103" s="152">
        <v>6.2502430000000002</v>
      </c>
      <c r="W1103" s="152">
        <v>1000</v>
      </c>
      <c r="X1103" s="152" t="s">
        <v>23</v>
      </c>
      <c r="Y1103" s="152" t="s">
        <v>1328</v>
      </c>
      <c r="Z1103" s="152" t="s">
        <v>1327</v>
      </c>
    </row>
    <row r="1104" spans="1:26" x14ac:dyDescent="0.2">
      <c r="A1104" s="152" t="s">
        <v>2281</v>
      </c>
      <c r="B1104" s="152">
        <v>2.12</v>
      </c>
      <c r="C1104" s="151">
        <v>44327</v>
      </c>
      <c r="D1104" s="152">
        <v>2.5452050000000002</v>
      </c>
      <c r="E1104" s="152" t="s">
        <v>1325</v>
      </c>
      <c r="F1104" s="152" t="s">
        <v>1326</v>
      </c>
      <c r="G1104" s="152" t="s">
        <v>51</v>
      </c>
      <c r="H1104" s="152"/>
      <c r="I1104" s="151">
        <v>43354</v>
      </c>
      <c r="J1104" s="152">
        <v>2.29</v>
      </c>
      <c r="K1104" s="152" t="s">
        <v>1327</v>
      </c>
      <c r="L1104" s="152" t="s">
        <v>1327</v>
      </c>
      <c r="M1104" s="152" t="s">
        <v>1327</v>
      </c>
      <c r="N1104" s="152" t="s">
        <v>1327</v>
      </c>
      <c r="O1104" s="152">
        <v>2.5261269999999998</v>
      </c>
      <c r="P1104" s="152">
        <v>46.841197000000001</v>
      </c>
      <c r="Q1104" s="152">
        <v>2.5261269999999998</v>
      </c>
      <c r="R1104" s="152" t="s">
        <v>1327</v>
      </c>
      <c r="S1104" s="152">
        <v>98.996729000000002</v>
      </c>
      <c r="T1104" s="152">
        <v>0.98158900000000004</v>
      </c>
      <c r="U1104" s="152">
        <v>2.4335309999999999</v>
      </c>
      <c r="V1104" s="152">
        <v>7.2583310000000001</v>
      </c>
      <c r="W1104" s="152">
        <v>1000</v>
      </c>
      <c r="X1104" s="152" t="s">
        <v>23</v>
      </c>
      <c r="Y1104" s="152" t="s">
        <v>1328</v>
      </c>
      <c r="Z1104" s="152" t="s">
        <v>1327</v>
      </c>
    </row>
    <row r="1105" spans="1:26" x14ac:dyDescent="0.2">
      <c r="A1105" s="152" t="s">
        <v>2282</v>
      </c>
      <c r="B1105" s="152">
        <v>2.54</v>
      </c>
      <c r="C1105" s="151">
        <v>44399</v>
      </c>
      <c r="D1105" s="152">
        <v>2.7424659999999998</v>
      </c>
      <c r="E1105" s="152" t="s">
        <v>1325</v>
      </c>
      <c r="F1105" s="152" t="s">
        <v>1326</v>
      </c>
      <c r="G1105" s="152" t="s">
        <v>51</v>
      </c>
      <c r="H1105" s="152"/>
      <c r="I1105" s="151">
        <v>43259</v>
      </c>
      <c r="J1105" s="152">
        <v>2.19</v>
      </c>
      <c r="K1105" s="152" t="s">
        <v>1327</v>
      </c>
      <c r="L1105" s="152" t="s">
        <v>1327</v>
      </c>
      <c r="M1105" s="152" t="s">
        <v>1327</v>
      </c>
      <c r="N1105" s="152" t="s">
        <v>1327</v>
      </c>
      <c r="O1105" s="152">
        <v>2.5478689999999999</v>
      </c>
      <c r="P1105" s="152">
        <v>47.617044</v>
      </c>
      <c r="Q1105" s="152">
        <v>2.5478689999999999</v>
      </c>
      <c r="R1105" s="152" t="s">
        <v>1327</v>
      </c>
      <c r="S1105" s="152">
        <v>99.966825999999998</v>
      </c>
      <c r="T1105" s="152">
        <v>0.66109600000000002</v>
      </c>
      <c r="U1105" s="152">
        <v>2.6179739999999998</v>
      </c>
      <c r="V1105" s="152">
        <v>8.3042119999999997</v>
      </c>
      <c r="W1105" s="152">
        <v>1000</v>
      </c>
      <c r="X1105" s="152" t="s">
        <v>23</v>
      </c>
      <c r="Y1105" s="152" t="s">
        <v>1328</v>
      </c>
      <c r="Z1105" s="152" t="s">
        <v>1327</v>
      </c>
    </row>
    <row r="1106" spans="1:26" x14ac:dyDescent="0.2">
      <c r="A1106" s="152" t="s">
        <v>2283</v>
      </c>
      <c r="B1106" s="152">
        <v>2.48</v>
      </c>
      <c r="C1106" s="151">
        <v>44419</v>
      </c>
      <c r="D1106" s="152">
        <v>2.7972600000000001</v>
      </c>
      <c r="E1106" s="152" t="s">
        <v>1325</v>
      </c>
      <c r="F1106" s="152" t="s">
        <v>1326</v>
      </c>
      <c r="G1106" s="152" t="s">
        <v>51</v>
      </c>
      <c r="H1106" s="152"/>
      <c r="I1106" s="151">
        <v>43347</v>
      </c>
      <c r="J1106" s="152">
        <v>2.4550000000000001</v>
      </c>
      <c r="K1106" s="152" t="s">
        <v>1327</v>
      </c>
      <c r="L1106" s="152" t="s">
        <v>1327</v>
      </c>
      <c r="M1106" s="152" t="s">
        <v>1327</v>
      </c>
      <c r="N1106" s="152" t="s">
        <v>1327</v>
      </c>
      <c r="O1106" s="152">
        <v>2.57701</v>
      </c>
      <c r="P1106" s="152">
        <v>49.499491999999996</v>
      </c>
      <c r="Q1106" s="152">
        <v>2.57701</v>
      </c>
      <c r="R1106" s="152" t="s">
        <v>1327</v>
      </c>
      <c r="S1106" s="152">
        <v>99.728250000000003</v>
      </c>
      <c r="T1106" s="152">
        <v>0.47561599999999998</v>
      </c>
      <c r="U1106" s="152">
        <v>2.6706500000000002</v>
      </c>
      <c r="V1106" s="152">
        <v>8.6024259999999995</v>
      </c>
      <c r="W1106" s="152">
        <v>1000</v>
      </c>
      <c r="X1106" s="152" t="s">
        <v>23</v>
      </c>
      <c r="Y1106" s="152" t="s">
        <v>1328</v>
      </c>
      <c r="Z1106" s="152" t="s">
        <v>1327</v>
      </c>
    </row>
    <row r="1107" spans="1:26" x14ac:dyDescent="0.2">
      <c r="A1107" s="152" t="s">
        <v>2284</v>
      </c>
      <c r="B1107" s="152">
        <v>2.86</v>
      </c>
      <c r="C1107" s="151">
        <v>44530</v>
      </c>
      <c r="D1107" s="152">
        <v>3.1013700000000002</v>
      </c>
      <c r="E1107" s="152" t="s">
        <v>1325</v>
      </c>
      <c r="F1107" s="152" t="s">
        <v>1326</v>
      </c>
      <c r="G1107" s="152" t="s">
        <v>51</v>
      </c>
      <c r="H1107" s="152"/>
      <c r="I1107" s="151">
        <v>43150</v>
      </c>
      <c r="J1107" s="152">
        <v>1.99</v>
      </c>
      <c r="K1107" s="152" t="s">
        <v>1327</v>
      </c>
      <c r="L1107" s="152" t="s">
        <v>1327</v>
      </c>
      <c r="M1107" s="152" t="s">
        <v>1327</v>
      </c>
      <c r="N1107" s="152" t="s">
        <v>1327</v>
      </c>
      <c r="O1107" s="152">
        <v>2.6256339999999998</v>
      </c>
      <c r="P1107" s="152">
        <v>48.903534000000001</v>
      </c>
      <c r="Q1107" s="152">
        <v>2.6256339999999998</v>
      </c>
      <c r="R1107" s="152" t="s">
        <v>1327</v>
      </c>
      <c r="S1107" s="152">
        <v>100.679867</v>
      </c>
      <c r="T1107" s="152">
        <v>1.1596709999999999</v>
      </c>
      <c r="U1107" s="152">
        <v>2.9164189999999999</v>
      </c>
      <c r="V1107" s="152">
        <v>10.230460000000001</v>
      </c>
      <c r="W1107" s="152">
        <v>1000</v>
      </c>
      <c r="X1107" s="152" t="s">
        <v>23</v>
      </c>
      <c r="Y1107" s="152" t="s">
        <v>1328</v>
      </c>
      <c r="Z1107" s="152" t="s">
        <v>1327</v>
      </c>
    </row>
    <row r="1108" spans="1:26" x14ac:dyDescent="0.2">
      <c r="A1108" s="152" t="s">
        <v>2285</v>
      </c>
      <c r="B1108" s="152">
        <v>3.03</v>
      </c>
      <c r="C1108" s="151">
        <v>44656</v>
      </c>
      <c r="D1108" s="152">
        <v>3.4465750000000002</v>
      </c>
      <c r="E1108" s="152" t="s">
        <v>1325</v>
      </c>
      <c r="F1108" s="152" t="s">
        <v>1326</v>
      </c>
      <c r="G1108" s="152" t="s">
        <v>51</v>
      </c>
      <c r="H1108" s="152"/>
      <c r="I1108" s="152">
        <v>43378</v>
      </c>
      <c r="J1108" s="152">
        <v>2.67</v>
      </c>
      <c r="K1108" s="152" t="s">
        <v>1327</v>
      </c>
      <c r="L1108" s="152" t="s">
        <v>1327</v>
      </c>
      <c r="M1108" s="152" t="s">
        <v>1327</v>
      </c>
      <c r="N1108" s="152" t="s">
        <v>1327</v>
      </c>
      <c r="O1108" s="152">
        <v>2.6964250000000001</v>
      </c>
      <c r="P1108" s="152">
        <v>45.605877</v>
      </c>
      <c r="Q1108" s="152">
        <v>2.6964250000000001</v>
      </c>
      <c r="R1108" s="152" t="s">
        <v>1327</v>
      </c>
      <c r="S1108" s="152">
        <v>101.093198</v>
      </c>
      <c r="T1108" s="152">
        <v>0.16602700000000001</v>
      </c>
      <c r="U1108" s="152">
        <v>3.2481990000000001</v>
      </c>
      <c r="V1108" s="152">
        <v>12.453332</v>
      </c>
      <c r="W1108" s="152">
        <v>1000</v>
      </c>
      <c r="X1108" s="152" t="s">
        <v>23</v>
      </c>
      <c r="Y1108" s="152" t="s">
        <v>1328</v>
      </c>
      <c r="Z1108" s="152" t="s">
        <v>1327</v>
      </c>
    </row>
    <row r="1109" spans="1:26" x14ac:dyDescent="0.2">
      <c r="A1109" s="152" t="s">
        <v>2286</v>
      </c>
      <c r="B1109" s="152">
        <v>3</v>
      </c>
      <c r="C1109" s="151">
        <v>44713</v>
      </c>
      <c r="D1109" s="152">
        <v>3.6027399999999998</v>
      </c>
      <c r="E1109" s="152" t="s">
        <v>1325</v>
      </c>
      <c r="F1109" s="152" t="s">
        <v>1326</v>
      </c>
      <c r="G1109" s="152" t="s">
        <v>51</v>
      </c>
      <c r="H1109" s="152"/>
      <c r="I1109" s="152" t="s">
        <v>1327</v>
      </c>
      <c r="J1109" s="152" t="s">
        <v>1327</v>
      </c>
      <c r="K1109" s="152" t="s">
        <v>1327</v>
      </c>
      <c r="L1109" s="152" t="s">
        <v>1327</v>
      </c>
      <c r="M1109" s="152" t="s">
        <v>1327</v>
      </c>
      <c r="N1109" s="152" t="s">
        <v>1327</v>
      </c>
      <c r="O1109" s="152">
        <v>2.7872349999999999</v>
      </c>
      <c r="P1109" s="152">
        <v>51.564177000000001</v>
      </c>
      <c r="Q1109" s="152">
        <v>2.7872349999999999</v>
      </c>
      <c r="R1109" s="152" t="s">
        <v>1327</v>
      </c>
      <c r="S1109" s="152">
        <v>101.420237</v>
      </c>
      <c r="T1109" s="152">
        <v>0.44383600000000001</v>
      </c>
      <c r="U1109" s="152">
        <v>3.3858389999999998</v>
      </c>
      <c r="V1109" s="152">
        <v>12.723167</v>
      </c>
      <c r="W1109" s="152">
        <v>1000</v>
      </c>
      <c r="X1109" s="152" t="s">
        <v>23</v>
      </c>
      <c r="Y1109" s="152" t="s">
        <v>1328</v>
      </c>
      <c r="Z1109" s="152" t="s">
        <v>1327</v>
      </c>
    </row>
    <row r="1110" spans="1:26" x14ac:dyDescent="0.2">
      <c r="A1110" s="152" t="s">
        <v>2287</v>
      </c>
      <c r="B1110" s="152">
        <v>3.68</v>
      </c>
      <c r="C1110" s="151">
        <v>44876</v>
      </c>
      <c r="D1110" s="152">
        <v>4.049315</v>
      </c>
      <c r="E1110" s="152" t="s">
        <v>1325</v>
      </c>
      <c r="F1110" s="152" t="s">
        <v>1326</v>
      </c>
      <c r="G1110" s="152" t="s">
        <v>51</v>
      </c>
      <c r="H1110" s="152"/>
      <c r="I1110" s="152">
        <v>43392</v>
      </c>
      <c r="J1110" s="152">
        <v>2.93</v>
      </c>
      <c r="K1110" s="152" t="s">
        <v>1327</v>
      </c>
      <c r="L1110" s="152" t="s">
        <v>1327</v>
      </c>
      <c r="M1110" s="152" t="s">
        <v>1327</v>
      </c>
      <c r="N1110" s="152" t="s">
        <v>1327</v>
      </c>
      <c r="O1110" s="152">
        <v>2.9317289999999998</v>
      </c>
      <c r="P1110" s="152">
        <v>59.675612000000001</v>
      </c>
      <c r="Q1110" s="152">
        <v>2.9317289999999998</v>
      </c>
      <c r="R1110" s="152" t="s">
        <v>1327</v>
      </c>
      <c r="S1110" s="152">
        <v>102.819439</v>
      </c>
      <c r="T1110" s="152">
        <v>1.6837260000000001</v>
      </c>
      <c r="U1110" s="152">
        <v>3.6864789999999998</v>
      </c>
      <c r="V1110" s="152">
        <v>16.166381999999999</v>
      </c>
      <c r="W1110" s="152">
        <v>1000</v>
      </c>
      <c r="X1110" s="152" t="s">
        <v>23</v>
      </c>
      <c r="Y1110" s="152" t="s">
        <v>1328</v>
      </c>
      <c r="Z1110" s="152" t="s">
        <v>1327</v>
      </c>
    </row>
    <row r="1111" spans="1:26" x14ac:dyDescent="0.2">
      <c r="A1111" s="152" t="s">
        <v>2288</v>
      </c>
      <c r="B1111" s="152">
        <v>2.46</v>
      </c>
      <c r="C1111" s="151">
        <v>44853</v>
      </c>
      <c r="D1111" s="152">
        <v>3.9863010000000001</v>
      </c>
      <c r="E1111" s="152" t="s">
        <v>1325</v>
      </c>
      <c r="F1111" s="152" t="s">
        <v>1326</v>
      </c>
      <c r="G1111" s="152" t="s">
        <v>51</v>
      </c>
      <c r="H1111" s="152"/>
      <c r="I1111" s="151">
        <v>43227</v>
      </c>
      <c r="J1111" s="152">
        <v>2.33</v>
      </c>
      <c r="K1111" s="152" t="s">
        <v>1327</v>
      </c>
      <c r="L1111" s="152" t="s">
        <v>1327</v>
      </c>
      <c r="M1111" s="152" t="s">
        <v>1327</v>
      </c>
      <c r="N1111" s="152" t="s">
        <v>1327</v>
      </c>
      <c r="O1111" s="152">
        <v>2.8749500000000001</v>
      </c>
      <c r="P1111" s="152">
        <v>53.665171999999998</v>
      </c>
      <c r="Q1111" s="152">
        <v>2.8749500000000001</v>
      </c>
      <c r="R1111" s="152" t="s">
        <v>1327</v>
      </c>
      <c r="S1111" s="152">
        <v>98.452235000000002</v>
      </c>
      <c r="T1111" s="152">
        <v>4.0438000000000002E-2</v>
      </c>
      <c r="U1111" s="152">
        <v>3.7604920000000002</v>
      </c>
      <c r="V1111" s="152">
        <v>16.378366</v>
      </c>
      <c r="W1111" s="152">
        <v>1000</v>
      </c>
      <c r="X1111" s="152" t="s">
        <v>23</v>
      </c>
      <c r="Y1111" s="152" t="s">
        <v>1328</v>
      </c>
      <c r="Z1111" s="152" t="s">
        <v>1327</v>
      </c>
    </row>
    <row r="1112" spans="1:26" x14ac:dyDescent="0.2">
      <c r="A1112" s="152" t="s">
        <v>2289</v>
      </c>
      <c r="B1112" s="152">
        <v>2.35</v>
      </c>
      <c r="C1112" s="151">
        <v>44973</v>
      </c>
      <c r="D1112" s="152">
        <v>4.3150680000000001</v>
      </c>
      <c r="E1112" s="152" t="s">
        <v>1325</v>
      </c>
      <c r="F1112" s="152" t="s">
        <v>1326</v>
      </c>
      <c r="G1112" s="152" t="s">
        <v>51</v>
      </c>
      <c r="H1112" s="152"/>
      <c r="I1112" s="152">
        <v>43192</v>
      </c>
      <c r="J1112" s="152">
        <v>2.25</v>
      </c>
      <c r="K1112" s="152" t="s">
        <v>1327</v>
      </c>
      <c r="L1112" s="152" t="s">
        <v>1327</v>
      </c>
      <c r="M1112" s="152" t="s">
        <v>1327</v>
      </c>
      <c r="N1112" s="152" t="s">
        <v>1327</v>
      </c>
      <c r="O1112" s="152">
        <v>2.9223300000000001</v>
      </c>
      <c r="P1112" s="152">
        <v>55.698582999999999</v>
      </c>
      <c r="Q1112" s="152">
        <v>2.9223300000000001</v>
      </c>
      <c r="R1112" s="152" t="s">
        <v>1327</v>
      </c>
      <c r="S1112" s="152">
        <v>97.685203000000001</v>
      </c>
      <c r="T1112" s="152">
        <v>0.450685</v>
      </c>
      <c r="U1112" s="152">
        <v>4.0466509999999998</v>
      </c>
      <c r="V1112" s="152">
        <v>18.902229999999999</v>
      </c>
      <c r="W1112" s="152">
        <v>1000</v>
      </c>
      <c r="X1112" s="152" t="s">
        <v>23</v>
      </c>
      <c r="Y1112" s="152" t="s">
        <v>1328</v>
      </c>
      <c r="Z1112" s="152" t="s">
        <v>1327</v>
      </c>
    </row>
    <row r="1113" spans="1:26" x14ac:dyDescent="0.2">
      <c r="A1113" s="152" t="s">
        <v>2290</v>
      </c>
      <c r="B1113" s="152">
        <v>3.5</v>
      </c>
      <c r="C1113" s="151">
        <v>45289</v>
      </c>
      <c r="D1113" s="152">
        <v>5.180822</v>
      </c>
      <c r="E1113" s="152" t="s">
        <v>1325</v>
      </c>
      <c r="F1113" s="152" t="s">
        <v>1326</v>
      </c>
      <c r="G1113" s="152" t="s">
        <v>51</v>
      </c>
      <c r="H1113" s="152"/>
      <c r="I1113" s="151" t="s">
        <v>1327</v>
      </c>
      <c r="J1113" s="152" t="s">
        <v>1327</v>
      </c>
      <c r="K1113" s="151" t="s">
        <v>1327</v>
      </c>
      <c r="L1113" s="152" t="s">
        <v>1327</v>
      </c>
      <c r="M1113" s="152" t="s">
        <v>1327</v>
      </c>
      <c r="N1113" s="152" t="s">
        <v>1327</v>
      </c>
      <c r="O1113" s="152">
        <v>3.071361</v>
      </c>
      <c r="P1113" s="152">
        <v>62.969185000000003</v>
      </c>
      <c r="Q1113" s="152">
        <v>3.071361</v>
      </c>
      <c r="R1113" s="152" t="s">
        <v>1327</v>
      </c>
      <c r="S1113" s="152">
        <v>102.029777</v>
      </c>
      <c r="T1113" s="152">
        <v>1.131507</v>
      </c>
      <c r="U1113" s="152">
        <v>4.6629259999999997</v>
      </c>
      <c r="V1113" s="152">
        <v>25.373525000000001</v>
      </c>
      <c r="W1113" s="152">
        <v>1000</v>
      </c>
      <c r="X1113" s="152" t="s">
        <v>23</v>
      </c>
      <c r="Y1113" s="152" t="s">
        <v>1328</v>
      </c>
      <c r="Z1113" s="152" t="s">
        <v>1327</v>
      </c>
    </row>
    <row r="1114" spans="1:26" x14ac:dyDescent="0.2">
      <c r="A1114" s="152" t="s">
        <v>2291</v>
      </c>
      <c r="B1114" s="152">
        <v>3.5</v>
      </c>
      <c r="C1114" s="151">
        <v>45260</v>
      </c>
      <c r="D1114" s="152">
        <v>5.1013700000000002</v>
      </c>
      <c r="E1114" s="152" t="s">
        <v>1325</v>
      </c>
      <c r="F1114" s="152" t="s">
        <v>1326</v>
      </c>
      <c r="G1114" s="152" t="s">
        <v>51</v>
      </c>
      <c r="H1114" s="152"/>
      <c r="I1114" s="151">
        <v>43224</v>
      </c>
      <c r="J1114" s="152">
        <v>2.6</v>
      </c>
      <c r="K1114" s="152" t="s">
        <v>1327</v>
      </c>
      <c r="L1114" s="152" t="s">
        <v>1327</v>
      </c>
      <c r="M1114" s="152" t="s">
        <v>1327</v>
      </c>
      <c r="N1114" s="152" t="s">
        <v>1327</v>
      </c>
      <c r="O1114" s="152">
        <v>3.0285609999999998</v>
      </c>
      <c r="P1114" s="152">
        <v>59.301693999999998</v>
      </c>
      <c r="Q1114" s="152">
        <v>3.0285609999999998</v>
      </c>
      <c r="R1114" s="152" t="s">
        <v>1327</v>
      </c>
      <c r="S1114" s="152">
        <v>102.195387</v>
      </c>
      <c r="T1114" s="152">
        <v>1.4191780000000001</v>
      </c>
      <c r="U1114" s="152">
        <v>4.5862129999999999</v>
      </c>
      <c r="V1114" s="152">
        <v>24.625496999999999</v>
      </c>
      <c r="W1114" s="152">
        <v>1000</v>
      </c>
      <c r="X1114" s="152" t="s">
        <v>23</v>
      </c>
      <c r="Y1114" s="152" t="s">
        <v>1328</v>
      </c>
      <c r="Z1114" s="152" t="s">
        <v>1327</v>
      </c>
    </row>
    <row r="1115" spans="1:26" x14ac:dyDescent="0.2">
      <c r="A1115" s="152" t="s">
        <v>2292</v>
      </c>
      <c r="B1115" s="152">
        <v>3</v>
      </c>
      <c r="C1115" s="151">
        <v>45478</v>
      </c>
      <c r="D1115" s="152">
        <v>5.6986299999999996</v>
      </c>
      <c r="E1115" s="152" t="s">
        <v>1325</v>
      </c>
      <c r="F1115" s="152" t="s">
        <v>1326</v>
      </c>
      <c r="G1115" s="152" t="s">
        <v>51</v>
      </c>
      <c r="H1115" s="152"/>
      <c r="I1115" s="151" t="s">
        <v>1327</v>
      </c>
      <c r="J1115" s="152" t="s">
        <v>1327</v>
      </c>
      <c r="K1115" s="152" t="s">
        <v>1327</v>
      </c>
      <c r="L1115" s="152" t="s">
        <v>1327</v>
      </c>
      <c r="M1115" s="152" t="s">
        <v>1327</v>
      </c>
      <c r="N1115" s="152" t="s">
        <v>1327</v>
      </c>
      <c r="O1115" s="152">
        <v>3.152752</v>
      </c>
      <c r="P1115" s="152">
        <v>65.641955999999993</v>
      </c>
      <c r="Q1115" s="152">
        <v>3.152752</v>
      </c>
      <c r="R1115" s="152" t="s">
        <v>1327</v>
      </c>
      <c r="S1115" s="152">
        <v>99.194198</v>
      </c>
      <c r="T1115" s="152">
        <v>0.91232899999999995</v>
      </c>
      <c r="U1115" s="152">
        <v>5.1485180000000001</v>
      </c>
      <c r="V1115" s="152">
        <v>30.586839000000001</v>
      </c>
      <c r="W1115" s="152">
        <v>1000</v>
      </c>
      <c r="X1115" s="152" t="s">
        <v>23</v>
      </c>
      <c r="Y1115" s="152" t="s">
        <v>1328</v>
      </c>
      <c r="Z1115" s="152" t="s">
        <v>1327</v>
      </c>
    </row>
    <row r="1116" spans="1:26" x14ac:dyDescent="0.2">
      <c r="A1116" s="152" t="s">
        <v>2293</v>
      </c>
      <c r="B1116" s="152">
        <v>4</v>
      </c>
      <c r="C1116" s="151">
        <v>45916</v>
      </c>
      <c r="D1116" s="152">
        <v>6.8986299999999998</v>
      </c>
      <c r="E1116" s="152" t="s">
        <v>1325</v>
      </c>
      <c r="F1116" s="152" t="s">
        <v>1326</v>
      </c>
      <c r="G1116" s="152" t="s">
        <v>51</v>
      </c>
      <c r="H1116" s="152"/>
      <c r="I1116" s="151" t="s">
        <v>1327</v>
      </c>
      <c r="J1116" s="152" t="s">
        <v>1327</v>
      </c>
      <c r="K1116" s="152" t="s">
        <v>1327</v>
      </c>
      <c r="L1116" s="152" t="s">
        <v>1327</v>
      </c>
      <c r="M1116" s="152" t="s">
        <v>1327</v>
      </c>
      <c r="N1116" s="152" t="s">
        <v>1327</v>
      </c>
      <c r="O1116" s="152">
        <v>3.3593500000000001</v>
      </c>
      <c r="P1116" s="152">
        <v>73.056430000000006</v>
      </c>
      <c r="Q1116" s="152">
        <v>3.3593500000000001</v>
      </c>
      <c r="R1116" s="152" t="s">
        <v>1327</v>
      </c>
      <c r="S1116" s="152">
        <v>103.924441</v>
      </c>
      <c r="T1116" s="152">
        <v>0.42739700000000003</v>
      </c>
      <c r="U1116" s="152">
        <v>5.9821200000000001</v>
      </c>
      <c r="V1116" s="152">
        <v>41.672426999999999</v>
      </c>
      <c r="W1116" s="152">
        <v>1000</v>
      </c>
      <c r="X1116" s="152" t="s">
        <v>23</v>
      </c>
      <c r="Y1116" s="152" t="s">
        <v>1328</v>
      </c>
      <c r="Z1116" s="152" t="s">
        <v>1327</v>
      </c>
    </row>
    <row r="1117" spans="1:26" x14ac:dyDescent="0.2">
      <c r="A1117" s="152" t="s">
        <v>2294</v>
      </c>
      <c r="B1117" s="152">
        <v>3.9</v>
      </c>
      <c r="C1117" s="151">
        <v>45981</v>
      </c>
      <c r="D1117" s="152">
        <v>7.0767119999999997</v>
      </c>
      <c r="E1117" s="152" t="s">
        <v>1325</v>
      </c>
      <c r="F1117" s="152" t="s">
        <v>1326</v>
      </c>
      <c r="G1117" s="152" t="s">
        <v>51</v>
      </c>
      <c r="H1117" s="152"/>
      <c r="I1117" s="151">
        <v>42541</v>
      </c>
      <c r="J1117" s="152">
        <v>2.9750000000000001</v>
      </c>
      <c r="K1117" s="152" t="s">
        <v>1327</v>
      </c>
      <c r="L1117" s="152" t="s">
        <v>1327</v>
      </c>
      <c r="M1117" s="152" t="s">
        <v>1327</v>
      </c>
      <c r="N1117" s="152" t="s">
        <v>1327</v>
      </c>
      <c r="O1117" s="152">
        <v>3.3822260000000002</v>
      </c>
      <c r="P1117" s="152">
        <v>73.811177999999998</v>
      </c>
      <c r="Q1117" s="152">
        <v>3.3822260000000002</v>
      </c>
      <c r="R1117" s="152" t="s">
        <v>1327</v>
      </c>
      <c r="S1117" s="152">
        <v>103.214232</v>
      </c>
      <c r="T1117" s="152">
        <v>1.6882189999999999</v>
      </c>
      <c r="U1117" s="152">
        <v>6.0619240000000003</v>
      </c>
      <c r="V1117" s="152">
        <v>43.254167000000002</v>
      </c>
      <c r="W1117" s="152">
        <v>1000</v>
      </c>
      <c r="X1117" s="152" t="s">
        <v>23</v>
      </c>
      <c r="Y1117" s="152" t="s">
        <v>1328</v>
      </c>
      <c r="Z1117" s="152" t="s">
        <v>1327</v>
      </c>
    </row>
    <row r="1118" spans="1:26" x14ac:dyDescent="0.2">
      <c r="A1118" s="152" t="s">
        <v>2295</v>
      </c>
      <c r="B1118" s="152">
        <v>3.85</v>
      </c>
      <c r="C1118" s="151">
        <v>46070</v>
      </c>
      <c r="D1118" s="152">
        <v>7.3205479999999996</v>
      </c>
      <c r="E1118" s="152" t="s">
        <v>1325</v>
      </c>
      <c r="F1118" s="152" t="s">
        <v>1326</v>
      </c>
      <c r="G1118" s="152" t="s">
        <v>51</v>
      </c>
      <c r="H1118" s="152"/>
      <c r="I1118" s="151">
        <v>42453</v>
      </c>
      <c r="J1118" s="152">
        <v>3.65</v>
      </c>
      <c r="K1118" s="152" t="s">
        <v>1327</v>
      </c>
      <c r="L1118" s="152" t="s">
        <v>1327</v>
      </c>
      <c r="M1118" s="152" t="s">
        <v>1327</v>
      </c>
      <c r="N1118" s="152" t="s">
        <v>1327</v>
      </c>
      <c r="O1118" s="152">
        <v>3.454799</v>
      </c>
      <c r="P1118" s="152">
        <v>79.111391999999995</v>
      </c>
      <c r="Q1118" s="152">
        <v>3.454799</v>
      </c>
      <c r="R1118" s="152" t="s">
        <v>1327</v>
      </c>
      <c r="S1118" s="152">
        <v>102.515693</v>
      </c>
      <c r="T1118" s="152">
        <v>0.72780800000000001</v>
      </c>
      <c r="U1118" s="152">
        <v>6.305536</v>
      </c>
      <c r="V1118" s="152">
        <v>46.366267000000001</v>
      </c>
      <c r="W1118" s="152">
        <v>1000</v>
      </c>
      <c r="X1118" s="152" t="s">
        <v>23</v>
      </c>
      <c r="Y1118" s="152" t="s">
        <v>1328</v>
      </c>
      <c r="Z1118" s="152" t="s">
        <v>1327</v>
      </c>
    </row>
    <row r="1119" spans="1:26" x14ac:dyDescent="0.2">
      <c r="A1119" s="152" t="s">
        <v>2296</v>
      </c>
      <c r="B1119" s="152">
        <v>3.85</v>
      </c>
      <c r="C1119" s="151">
        <v>46070</v>
      </c>
      <c r="D1119" s="152">
        <v>7.3205479999999996</v>
      </c>
      <c r="E1119" s="152" t="s">
        <v>1325</v>
      </c>
      <c r="F1119" s="152" t="s">
        <v>1326</v>
      </c>
      <c r="G1119" s="152" t="s">
        <v>51</v>
      </c>
      <c r="H1119" s="152"/>
      <c r="I1119" s="152" t="s">
        <v>1327</v>
      </c>
      <c r="J1119" s="152" t="s">
        <v>1327</v>
      </c>
      <c r="K1119" s="152" t="s">
        <v>1327</v>
      </c>
      <c r="L1119" s="152" t="s">
        <v>1327</v>
      </c>
      <c r="M1119" s="152" t="s">
        <v>1327</v>
      </c>
      <c r="N1119" s="152" t="s">
        <v>1327</v>
      </c>
      <c r="O1119" s="152">
        <v>3.4648029999999999</v>
      </c>
      <c r="P1119" s="152">
        <v>80.129817000000003</v>
      </c>
      <c r="Q1119" s="152">
        <v>3.4648029999999999</v>
      </c>
      <c r="R1119" s="152" t="s">
        <v>1327</v>
      </c>
      <c r="S1119" s="152">
        <v>102.45059000000001</v>
      </c>
      <c r="T1119" s="152">
        <v>0.72780800000000001</v>
      </c>
      <c r="U1119" s="152">
        <v>6.304875</v>
      </c>
      <c r="V1119" s="152">
        <v>46.358429000000001</v>
      </c>
      <c r="W1119" s="152">
        <v>1000</v>
      </c>
      <c r="X1119" s="152" t="s">
        <v>23</v>
      </c>
      <c r="Y1119" s="152" t="s">
        <v>1328</v>
      </c>
      <c r="Z1119" s="152" t="s">
        <v>1327</v>
      </c>
    </row>
    <row r="1120" spans="1:26" x14ac:dyDescent="0.2">
      <c r="A1120" s="152" t="s">
        <v>2297</v>
      </c>
      <c r="B1120" s="152">
        <v>3.5</v>
      </c>
      <c r="C1120" s="151">
        <v>46287</v>
      </c>
      <c r="D1120" s="152">
        <v>7.9150679999999998</v>
      </c>
      <c r="E1120" s="152" t="s">
        <v>1325</v>
      </c>
      <c r="F1120" s="152" t="s">
        <v>1326</v>
      </c>
      <c r="G1120" s="152" t="s">
        <v>51</v>
      </c>
      <c r="H1120" s="152"/>
      <c r="I1120" s="151" t="s">
        <v>1327</v>
      </c>
      <c r="J1120" s="152" t="s">
        <v>1327</v>
      </c>
      <c r="K1120" s="152" t="s">
        <v>1327</v>
      </c>
      <c r="L1120" s="152" t="s">
        <v>1327</v>
      </c>
      <c r="M1120" s="152" t="s">
        <v>1327</v>
      </c>
      <c r="N1120" s="152" t="s">
        <v>1327</v>
      </c>
      <c r="O1120" s="152">
        <v>3.5468320000000002</v>
      </c>
      <c r="P1120" s="152">
        <v>83.487700000000004</v>
      </c>
      <c r="Q1120" s="152">
        <v>3.5468320000000002</v>
      </c>
      <c r="R1120" s="152" t="s">
        <v>1327</v>
      </c>
      <c r="S1120" s="152">
        <v>99.691631000000001</v>
      </c>
      <c r="T1120" s="152">
        <v>0.316438</v>
      </c>
      <c r="U1120" s="152">
        <v>6.8289150000000003</v>
      </c>
      <c r="V1120" s="152">
        <v>53.978883000000003</v>
      </c>
      <c r="W1120" s="152">
        <v>1000</v>
      </c>
      <c r="X1120" s="152" t="s">
        <v>23</v>
      </c>
      <c r="Y1120" s="152" t="s">
        <v>1328</v>
      </c>
      <c r="Z1120" s="152" t="s">
        <v>1327</v>
      </c>
    </row>
    <row r="1121" spans="1:26" x14ac:dyDescent="0.2">
      <c r="A1121" s="152" t="s">
        <v>2298</v>
      </c>
      <c r="B1121" s="152">
        <v>4</v>
      </c>
      <c r="C1121" s="151">
        <v>46385</v>
      </c>
      <c r="D1121" s="152">
        <v>8.1835620000000002</v>
      </c>
      <c r="E1121" s="152" t="s">
        <v>1325</v>
      </c>
      <c r="F1121" s="152" t="s">
        <v>1326</v>
      </c>
      <c r="G1121" s="152" t="s">
        <v>51</v>
      </c>
      <c r="H1121" s="152"/>
      <c r="I1121" s="151" t="s">
        <v>1327</v>
      </c>
      <c r="J1121" s="152" t="s">
        <v>1327</v>
      </c>
      <c r="K1121" s="152" t="s">
        <v>1327</v>
      </c>
      <c r="L1121" s="152" t="s">
        <v>1327</v>
      </c>
      <c r="M1121" s="152" t="s">
        <v>1327</v>
      </c>
      <c r="N1121" s="152" t="s">
        <v>1327</v>
      </c>
      <c r="O1121" s="152">
        <v>3.8029850000000001</v>
      </c>
      <c r="P1121" s="152">
        <v>107.99336</v>
      </c>
      <c r="Q1121" s="152">
        <v>3.8029850000000001</v>
      </c>
      <c r="R1121" s="152" t="s">
        <v>1327</v>
      </c>
      <c r="S1121" s="152">
        <v>101.36382500000001</v>
      </c>
      <c r="T1121" s="152">
        <v>1.2931509999999999</v>
      </c>
      <c r="U1121" s="152">
        <v>6.8470779999999998</v>
      </c>
      <c r="V1121" s="152">
        <v>55.373665000000003</v>
      </c>
      <c r="W1121" s="152">
        <v>1000</v>
      </c>
      <c r="X1121" s="152" t="s">
        <v>23</v>
      </c>
      <c r="Y1121" s="152" t="s">
        <v>1328</v>
      </c>
      <c r="Z1121" s="152" t="s">
        <v>1327</v>
      </c>
    </row>
    <row r="1122" spans="1:26" x14ac:dyDescent="0.2">
      <c r="A1122" s="152" t="s">
        <v>2299</v>
      </c>
      <c r="B1122" s="152">
        <v>4</v>
      </c>
      <c r="C1122" s="151">
        <v>46353</v>
      </c>
      <c r="D1122" s="152">
        <v>8.0958900000000007</v>
      </c>
      <c r="E1122" s="152" t="s">
        <v>1325</v>
      </c>
      <c r="F1122" s="152" t="s">
        <v>1326</v>
      </c>
      <c r="G1122" s="152" t="s">
        <v>51</v>
      </c>
      <c r="H1122" s="152"/>
      <c r="I1122" s="152">
        <v>43377</v>
      </c>
      <c r="J1122" s="152">
        <v>3.72</v>
      </c>
      <c r="K1122" s="152" t="s">
        <v>1327</v>
      </c>
      <c r="L1122" s="152" t="s">
        <v>1327</v>
      </c>
      <c r="M1122" s="152" t="s">
        <v>1327</v>
      </c>
      <c r="N1122" s="152" t="s">
        <v>1327</v>
      </c>
      <c r="O1122" s="152">
        <v>3.7490420000000002</v>
      </c>
      <c r="P1122" s="152">
        <v>103.486431</v>
      </c>
      <c r="Q1122" s="152">
        <v>3.7490420000000002</v>
      </c>
      <c r="R1122" s="152" t="s">
        <v>1327</v>
      </c>
      <c r="S1122" s="152">
        <v>101.718931</v>
      </c>
      <c r="T1122" s="152">
        <v>1.621918</v>
      </c>
      <c r="U1122" s="152">
        <v>6.7707119999999996</v>
      </c>
      <c r="V1122" s="152">
        <v>54.281965</v>
      </c>
      <c r="W1122" s="152">
        <v>1000</v>
      </c>
      <c r="X1122" s="152" t="s">
        <v>23</v>
      </c>
      <c r="Y1122" s="152" t="s">
        <v>1328</v>
      </c>
      <c r="Z1122" s="152" t="s">
        <v>1327</v>
      </c>
    </row>
    <row r="1123" spans="1:26" x14ac:dyDescent="0.2">
      <c r="A1123" s="152" t="s">
        <v>2300</v>
      </c>
      <c r="B1123" s="152">
        <v>3.8</v>
      </c>
      <c r="C1123" s="151">
        <v>46602</v>
      </c>
      <c r="D1123" s="152">
        <v>8.7780819999999995</v>
      </c>
      <c r="E1123" s="152" t="s">
        <v>1325</v>
      </c>
      <c r="F1123" s="152" t="s">
        <v>1326</v>
      </c>
      <c r="G1123" s="152" t="s">
        <v>51</v>
      </c>
      <c r="H1123" s="152"/>
      <c r="I1123" s="151" t="s">
        <v>1327</v>
      </c>
      <c r="J1123" s="152" t="s">
        <v>1327</v>
      </c>
      <c r="K1123" s="152" t="s">
        <v>1327</v>
      </c>
      <c r="L1123" s="152" t="s">
        <v>1327</v>
      </c>
      <c r="M1123" s="152" t="s">
        <v>1327</v>
      </c>
      <c r="N1123" s="152" t="s">
        <v>1327</v>
      </c>
      <c r="O1123" s="152">
        <v>3.7948789999999999</v>
      </c>
      <c r="P1123" s="152">
        <v>101.46116499999999</v>
      </c>
      <c r="Q1123" s="152">
        <v>3.7948789999999999</v>
      </c>
      <c r="R1123" s="152" t="s">
        <v>1327</v>
      </c>
      <c r="S1123" s="152">
        <v>100.01789599999999</v>
      </c>
      <c r="T1123" s="152">
        <v>0.86411000000000004</v>
      </c>
      <c r="U1123" s="152">
        <v>7.3437029999999996</v>
      </c>
      <c r="V1123" s="152">
        <v>63.382902999999999</v>
      </c>
      <c r="W1123" s="152">
        <v>1000</v>
      </c>
      <c r="X1123" s="152" t="s">
        <v>23</v>
      </c>
      <c r="Y1123" s="152" t="s">
        <v>1328</v>
      </c>
      <c r="Z1123" s="152" t="s">
        <v>1327</v>
      </c>
    </row>
    <row r="1124" spans="1:26" x14ac:dyDescent="0.2">
      <c r="A1124" s="152" t="s">
        <v>2301</v>
      </c>
      <c r="B1124" s="152">
        <v>3.65</v>
      </c>
      <c r="C1124" s="151">
        <v>46624</v>
      </c>
      <c r="D1124" s="152">
        <v>8.8383559999999992</v>
      </c>
      <c r="E1124" s="152" t="s">
        <v>1325</v>
      </c>
      <c r="F1124" s="152" t="s">
        <v>1326</v>
      </c>
      <c r="G1124" s="152" t="s">
        <v>51</v>
      </c>
      <c r="H1124" s="152"/>
      <c r="I1124" s="151" t="s">
        <v>1327</v>
      </c>
      <c r="J1124" s="152" t="s">
        <v>1327</v>
      </c>
      <c r="K1124" s="152" t="s">
        <v>1327</v>
      </c>
      <c r="L1124" s="152" t="s">
        <v>1327</v>
      </c>
      <c r="M1124" s="152" t="s">
        <v>1327</v>
      </c>
      <c r="N1124" s="152" t="s">
        <v>1327</v>
      </c>
      <c r="O1124" s="152">
        <v>3.7920560000000001</v>
      </c>
      <c r="P1124" s="152">
        <v>100.579508</v>
      </c>
      <c r="Q1124" s="152">
        <v>3.7920560000000001</v>
      </c>
      <c r="R1124" s="152" t="s">
        <v>1327</v>
      </c>
      <c r="S1124" s="152">
        <v>98.922995</v>
      </c>
      <c r="T1124" s="152">
        <v>0.61</v>
      </c>
      <c r="U1124" s="152">
        <v>7.4392449999999997</v>
      </c>
      <c r="V1124" s="152">
        <v>64.719811000000007</v>
      </c>
      <c r="W1124" s="152">
        <v>1000</v>
      </c>
      <c r="X1124" s="152" t="s">
        <v>23</v>
      </c>
      <c r="Y1124" s="152" t="s">
        <v>1328</v>
      </c>
      <c r="Z1124" s="152" t="s">
        <v>1327</v>
      </c>
    </row>
    <row r="1125" spans="1:26" x14ac:dyDescent="0.2">
      <c r="A1125" s="152" t="s">
        <v>2302</v>
      </c>
      <c r="B1125" s="152">
        <v>3.5</v>
      </c>
      <c r="C1125" s="151">
        <v>46707</v>
      </c>
      <c r="D1125" s="152">
        <v>9.0657530000000008</v>
      </c>
      <c r="E1125" s="152" t="s">
        <v>1325</v>
      </c>
      <c r="F1125" s="152" t="s">
        <v>1326</v>
      </c>
      <c r="G1125" s="152" t="s">
        <v>51</v>
      </c>
      <c r="H1125" s="152"/>
      <c r="I1125" s="151">
        <v>43083</v>
      </c>
      <c r="J1125" s="152">
        <v>3.49</v>
      </c>
      <c r="K1125" s="152" t="s">
        <v>1327</v>
      </c>
      <c r="L1125" s="152" t="s">
        <v>1327</v>
      </c>
      <c r="M1125" s="152" t="s">
        <v>1327</v>
      </c>
      <c r="N1125" s="152" t="s">
        <v>1327</v>
      </c>
      <c r="O1125" s="152">
        <v>3.7824239999999998</v>
      </c>
      <c r="P1125" s="152">
        <v>100.190352</v>
      </c>
      <c r="Q1125" s="152">
        <v>3.7824239999999998</v>
      </c>
      <c r="R1125" s="152" t="s">
        <v>1327</v>
      </c>
      <c r="S1125" s="152">
        <v>97.834137999999996</v>
      </c>
      <c r="T1125" s="152">
        <v>0.67123299999999997</v>
      </c>
      <c r="U1125" s="152">
        <v>7.6613819999999997</v>
      </c>
      <c r="V1125" s="152">
        <v>67.007256999999996</v>
      </c>
      <c r="W1125" s="152">
        <v>1000</v>
      </c>
      <c r="X1125" s="152" t="s">
        <v>23</v>
      </c>
      <c r="Y1125" s="152" t="s">
        <v>1328</v>
      </c>
      <c r="Z1125" s="152" t="s">
        <v>1327</v>
      </c>
    </row>
    <row r="1126" spans="1:26" x14ac:dyDescent="0.2">
      <c r="A1126" s="152" t="s">
        <v>2303</v>
      </c>
      <c r="B1126" s="152">
        <v>3.5</v>
      </c>
      <c r="C1126" s="151">
        <v>46679</v>
      </c>
      <c r="D1126" s="152">
        <v>8.9890410000000003</v>
      </c>
      <c r="E1126" s="152" t="s">
        <v>1325</v>
      </c>
      <c r="F1126" s="152" t="s">
        <v>1326</v>
      </c>
      <c r="G1126" s="152" t="s">
        <v>51</v>
      </c>
      <c r="H1126" s="152"/>
      <c r="I1126" s="151">
        <v>43126</v>
      </c>
      <c r="J1126" s="152">
        <v>3.34</v>
      </c>
      <c r="K1126" s="152" t="s">
        <v>1327</v>
      </c>
      <c r="L1126" s="152" t="s">
        <v>1327</v>
      </c>
      <c r="M1126" s="152" t="s">
        <v>1327</v>
      </c>
      <c r="N1126" s="152" t="s">
        <v>1327</v>
      </c>
      <c r="O1126" s="152">
        <v>3.7963719999999999</v>
      </c>
      <c r="P1126" s="152">
        <v>99.852699999999999</v>
      </c>
      <c r="Q1126" s="152">
        <v>3.7963719999999999</v>
      </c>
      <c r="R1126" s="152" t="s">
        <v>1327</v>
      </c>
      <c r="S1126" s="152">
        <v>97.766334000000001</v>
      </c>
      <c r="T1126" s="152">
        <v>5.7534000000000002E-2</v>
      </c>
      <c r="U1126" s="152">
        <v>7.6183059999999996</v>
      </c>
      <c r="V1126" s="152">
        <v>67.377212999999998</v>
      </c>
      <c r="W1126" s="152">
        <v>1000</v>
      </c>
      <c r="X1126" s="152" t="s">
        <v>23</v>
      </c>
      <c r="Y1126" s="152" t="s">
        <v>1328</v>
      </c>
      <c r="Z1126" s="152" t="s">
        <v>1327</v>
      </c>
    </row>
    <row r="1127" spans="1:26" x14ac:dyDescent="0.2">
      <c r="A1127" s="152" t="s">
        <v>2304</v>
      </c>
      <c r="B1127" s="152">
        <v>3.43</v>
      </c>
      <c r="C1127" s="151">
        <v>46799</v>
      </c>
      <c r="D1127" s="152">
        <v>9.3178079999999994</v>
      </c>
      <c r="E1127" s="152" t="s">
        <v>1325</v>
      </c>
      <c r="F1127" s="152" t="s">
        <v>1326</v>
      </c>
      <c r="G1127" s="152" t="s">
        <v>51</v>
      </c>
      <c r="H1127" s="152"/>
      <c r="I1127" s="152">
        <v>43357</v>
      </c>
      <c r="J1127" s="152">
        <v>3.8250000000000002</v>
      </c>
      <c r="K1127" s="152" t="s">
        <v>1327</v>
      </c>
      <c r="L1127" s="152" t="s">
        <v>1327</v>
      </c>
      <c r="M1127" s="152" t="s">
        <v>1327</v>
      </c>
      <c r="N1127" s="152" t="s">
        <v>1327</v>
      </c>
      <c r="O1127" s="152">
        <v>3.801682</v>
      </c>
      <c r="P1127" s="152">
        <v>100.737212</v>
      </c>
      <c r="Q1127" s="152">
        <v>3.801682</v>
      </c>
      <c r="R1127" s="152" t="s">
        <v>1327</v>
      </c>
      <c r="S1127" s="152">
        <v>97.090085000000002</v>
      </c>
      <c r="T1127" s="152">
        <v>0.65780799999999995</v>
      </c>
      <c r="U1127" s="152">
        <v>7.826638</v>
      </c>
      <c r="V1127" s="152">
        <v>71.538417999999993</v>
      </c>
      <c r="W1127" s="152">
        <v>1000</v>
      </c>
      <c r="X1127" s="152" t="s">
        <v>23</v>
      </c>
      <c r="Y1127" s="152" t="s">
        <v>1328</v>
      </c>
      <c r="Z1127" s="152" t="s">
        <v>1327</v>
      </c>
    </row>
    <row r="1128" spans="1:26" x14ac:dyDescent="0.2">
      <c r="A1128" s="152" t="s">
        <v>2305</v>
      </c>
      <c r="B1128" s="152">
        <v>3.83</v>
      </c>
      <c r="C1128" s="151">
        <v>46981</v>
      </c>
      <c r="D1128" s="152">
        <v>9.8164379999999998</v>
      </c>
      <c r="E1128" s="152" t="s">
        <v>1325</v>
      </c>
      <c r="F1128" s="152" t="s">
        <v>1326</v>
      </c>
      <c r="G1128" s="152" t="s">
        <v>51</v>
      </c>
      <c r="H1128" s="152"/>
      <c r="I1128" s="151" t="s">
        <v>1327</v>
      </c>
      <c r="J1128" s="152" t="s">
        <v>1327</v>
      </c>
      <c r="K1128" s="152" t="s">
        <v>1327</v>
      </c>
      <c r="L1128" s="152" t="s">
        <v>1327</v>
      </c>
      <c r="M1128" s="152" t="s">
        <v>1327</v>
      </c>
      <c r="N1128" s="152" t="s">
        <v>1327</v>
      </c>
      <c r="O1128" s="152">
        <v>3.8975110000000002</v>
      </c>
      <c r="P1128" s="152">
        <v>112.48563300000001</v>
      </c>
      <c r="Q1128" s="152">
        <v>3.8975110000000002</v>
      </c>
      <c r="R1128" s="152" t="s">
        <v>1327</v>
      </c>
      <c r="S1128" s="152">
        <v>99.433801000000003</v>
      </c>
      <c r="T1128" s="152">
        <v>0.73452099999999998</v>
      </c>
      <c r="U1128" s="152">
        <v>8.0510649999999995</v>
      </c>
      <c r="V1128" s="152">
        <v>76.629959999999997</v>
      </c>
      <c r="W1128" s="152">
        <v>1000</v>
      </c>
      <c r="X1128" s="152" t="s">
        <v>23</v>
      </c>
      <c r="Y1128" s="152" t="s">
        <v>1328</v>
      </c>
      <c r="Z1128" s="152" t="s">
        <v>1327</v>
      </c>
    </row>
    <row r="1129" spans="1:26" x14ac:dyDescent="0.2">
      <c r="A1129" s="152" t="s">
        <v>2306</v>
      </c>
      <c r="B1129" s="152">
        <v>3.1</v>
      </c>
      <c r="C1129" s="151">
        <v>43449</v>
      </c>
      <c r="D1129" s="152">
        <v>0.13972599999999999</v>
      </c>
      <c r="E1129" s="152" t="s">
        <v>1325</v>
      </c>
      <c r="F1129" s="152" t="s">
        <v>1326</v>
      </c>
      <c r="G1129" s="152"/>
      <c r="H1129" s="152"/>
      <c r="I1129" s="151" t="s">
        <v>1327</v>
      </c>
      <c r="J1129" s="152" t="s">
        <v>1327</v>
      </c>
      <c r="K1129" s="152" t="s">
        <v>1327</v>
      </c>
      <c r="L1129" s="152" t="s">
        <v>1327</v>
      </c>
      <c r="M1129" s="152" t="s">
        <v>1327</v>
      </c>
      <c r="N1129" s="152" t="s">
        <v>1327</v>
      </c>
      <c r="O1129" s="152">
        <v>2.6108920000000002</v>
      </c>
      <c r="P1129" s="152">
        <v>126.09894199999999</v>
      </c>
      <c r="Q1129" s="152">
        <v>2.6108920000000002</v>
      </c>
      <c r="R1129" s="152" t="s">
        <v>1327</v>
      </c>
      <c r="S1129" s="152">
        <v>100.061503</v>
      </c>
      <c r="T1129" s="152">
        <v>1.1210960000000001</v>
      </c>
      <c r="U1129" s="152">
        <v>0.13792499999999999</v>
      </c>
      <c r="V1129" s="152">
        <v>8.7097999999999995E-2</v>
      </c>
      <c r="W1129" s="152">
        <v>1000</v>
      </c>
      <c r="X1129" s="152" t="s">
        <v>23</v>
      </c>
      <c r="Y1129" s="152" t="s">
        <v>1328</v>
      </c>
      <c r="Z1129" s="152" t="s">
        <v>1327</v>
      </c>
    </row>
    <row r="1130" spans="1:26" x14ac:dyDescent="0.2">
      <c r="A1130" s="152" t="s">
        <v>2307</v>
      </c>
      <c r="B1130" s="152">
        <v>3.5</v>
      </c>
      <c r="C1130" s="151">
        <v>43492</v>
      </c>
      <c r="D1130" s="152">
        <v>0.25753399999999999</v>
      </c>
      <c r="E1130" s="152" t="s">
        <v>1325</v>
      </c>
      <c r="F1130" s="152" t="s">
        <v>1326</v>
      </c>
      <c r="G1130" s="152"/>
      <c r="H1130" s="152"/>
      <c r="I1130" s="151" t="s">
        <v>1327</v>
      </c>
      <c r="J1130" s="152" t="s">
        <v>1327</v>
      </c>
      <c r="K1130" s="152" t="s">
        <v>1327</v>
      </c>
      <c r="L1130" s="152" t="s">
        <v>1327</v>
      </c>
      <c r="M1130" s="152" t="s">
        <v>1327</v>
      </c>
      <c r="N1130" s="152" t="s">
        <v>1327</v>
      </c>
      <c r="O1130" s="152">
        <v>3.3103069999999999</v>
      </c>
      <c r="P1130" s="152">
        <v>178.42222799999999</v>
      </c>
      <c r="Q1130" s="152">
        <v>3.3103069999999999</v>
      </c>
      <c r="R1130" s="152" t="s">
        <v>1327</v>
      </c>
      <c r="S1130" s="152">
        <v>100.030277</v>
      </c>
      <c r="T1130" s="152">
        <v>0.86301399999999995</v>
      </c>
      <c r="U1130" s="152">
        <v>0.25334099999999998</v>
      </c>
      <c r="V1130" s="152">
        <v>0.18879000000000001</v>
      </c>
      <c r="W1130" s="152">
        <v>1000</v>
      </c>
      <c r="X1130" s="152" t="s">
        <v>23</v>
      </c>
      <c r="Y1130" s="152" t="s">
        <v>1328</v>
      </c>
      <c r="Z1130" s="152" t="s">
        <v>1327</v>
      </c>
    </row>
    <row r="1131" spans="1:26" x14ac:dyDescent="0.2">
      <c r="A1131" s="152" t="s">
        <v>2308</v>
      </c>
      <c r="B1131" s="152">
        <v>3.5</v>
      </c>
      <c r="C1131" s="151">
        <v>43603</v>
      </c>
      <c r="D1131" s="152">
        <v>0.56164400000000003</v>
      </c>
      <c r="E1131" s="152" t="s">
        <v>1325</v>
      </c>
      <c r="F1131" s="152" t="s">
        <v>1326</v>
      </c>
      <c r="G1131" s="152" t="s">
        <v>29</v>
      </c>
      <c r="H1131" s="152"/>
      <c r="I1131" s="152" t="s">
        <v>1327</v>
      </c>
      <c r="J1131" s="152" t="s">
        <v>1327</v>
      </c>
      <c r="K1131" s="152" t="s">
        <v>1327</v>
      </c>
      <c r="L1131" s="152" t="s">
        <v>1327</v>
      </c>
      <c r="M1131" s="152" t="s">
        <v>1327</v>
      </c>
      <c r="N1131" s="152" t="s">
        <v>1327</v>
      </c>
      <c r="O1131" s="152">
        <v>3.682299</v>
      </c>
      <c r="P1131" s="152">
        <v>199.417711</v>
      </c>
      <c r="Q1131" s="152">
        <v>3.682299</v>
      </c>
      <c r="R1131" s="152" t="s">
        <v>1327</v>
      </c>
      <c r="S1131" s="152">
        <v>99.890422999999998</v>
      </c>
      <c r="T1131" s="152">
        <v>0.65205500000000005</v>
      </c>
      <c r="U1131" s="152">
        <v>0.55415999999999999</v>
      </c>
      <c r="V1131" s="152">
        <v>0.446988</v>
      </c>
      <c r="W1131" s="152">
        <v>1000</v>
      </c>
      <c r="X1131" s="152" t="s">
        <v>23</v>
      </c>
      <c r="Y1131" s="152" t="s">
        <v>1328</v>
      </c>
      <c r="Z1131" s="152" t="s">
        <v>1327</v>
      </c>
    </row>
    <row r="1132" spans="1:26" x14ac:dyDescent="0.2">
      <c r="A1132" s="152" t="s">
        <v>2309</v>
      </c>
      <c r="B1132" s="152">
        <v>3.9</v>
      </c>
      <c r="C1132" s="151">
        <v>43969</v>
      </c>
      <c r="D1132" s="152">
        <v>1.564384</v>
      </c>
      <c r="E1132" s="152" t="s">
        <v>1325</v>
      </c>
      <c r="F1132" s="152" t="s">
        <v>1326</v>
      </c>
      <c r="G1132" s="152" t="s">
        <v>29</v>
      </c>
      <c r="H1132" s="152"/>
      <c r="I1132" s="151" t="s">
        <v>1327</v>
      </c>
      <c r="J1132" s="152" t="s">
        <v>1327</v>
      </c>
      <c r="K1132" s="152" t="s">
        <v>1327</v>
      </c>
      <c r="L1132" s="152" t="s">
        <v>1327</v>
      </c>
      <c r="M1132" s="152" t="s">
        <v>1327</v>
      </c>
      <c r="N1132" s="152" t="s">
        <v>1327</v>
      </c>
      <c r="O1132" s="152">
        <v>4.1154000000000002</v>
      </c>
      <c r="P1132" s="152">
        <v>223.812883</v>
      </c>
      <c r="Q1132" s="152">
        <v>4.1154000000000002</v>
      </c>
      <c r="R1132" s="152" t="s">
        <v>1327</v>
      </c>
      <c r="S1132" s="152">
        <v>99.666008000000005</v>
      </c>
      <c r="T1132" s="152">
        <v>0.72657499999999997</v>
      </c>
      <c r="U1132" s="152">
        <v>1.500321</v>
      </c>
      <c r="V1132" s="152">
        <v>2.6731180000000001</v>
      </c>
      <c r="W1132" s="152">
        <v>1000</v>
      </c>
      <c r="X1132" s="152" t="s">
        <v>23</v>
      </c>
      <c r="Y1132" s="152" t="s">
        <v>1328</v>
      </c>
      <c r="Z1132" s="152" t="s">
        <v>1327</v>
      </c>
    </row>
    <row r="1133" spans="1:26" x14ac:dyDescent="0.2">
      <c r="A1133" s="152" t="s">
        <v>2310</v>
      </c>
      <c r="B1133" s="152">
        <v>3.25</v>
      </c>
      <c r="C1133" s="151">
        <v>43627</v>
      </c>
      <c r="D1133" s="152">
        <v>0.62739699999999998</v>
      </c>
      <c r="E1133" s="152" t="s">
        <v>1325</v>
      </c>
      <c r="F1133" s="152" t="s">
        <v>1326</v>
      </c>
      <c r="G1133" s="152"/>
      <c r="H1133" s="152"/>
      <c r="I1133" s="152">
        <v>42536</v>
      </c>
      <c r="J1133" s="152">
        <v>3.2450000000000001</v>
      </c>
      <c r="K1133" s="152" t="s">
        <v>1327</v>
      </c>
      <c r="L1133" s="152" t="s">
        <v>1327</v>
      </c>
      <c r="M1133" s="152" t="s">
        <v>1327</v>
      </c>
      <c r="N1133" s="152" t="s">
        <v>1327</v>
      </c>
      <c r="O1133" s="152">
        <v>2.940337</v>
      </c>
      <c r="P1133" s="152">
        <v>120.66293400000001</v>
      </c>
      <c r="Q1133" s="152">
        <v>2.940337</v>
      </c>
      <c r="R1133" s="152" t="s">
        <v>1327</v>
      </c>
      <c r="S1133" s="152">
        <v>100.194232</v>
      </c>
      <c r="T1133" s="152">
        <v>0.40958899999999998</v>
      </c>
      <c r="U1133" s="152">
        <v>0.62012199999999995</v>
      </c>
      <c r="V1133" s="152">
        <v>0.54097799999999996</v>
      </c>
      <c r="W1133" s="152">
        <v>1000</v>
      </c>
      <c r="X1133" s="152" t="s">
        <v>23</v>
      </c>
      <c r="Y1133" s="152" t="s">
        <v>1328</v>
      </c>
      <c r="Z1133" s="152" t="s">
        <v>1327</v>
      </c>
    </row>
    <row r="1134" spans="1:26" x14ac:dyDescent="0.2">
      <c r="A1134" s="152" t="s">
        <v>2311</v>
      </c>
      <c r="B1134" s="152">
        <v>3.25</v>
      </c>
      <c r="C1134" s="151">
        <v>43654</v>
      </c>
      <c r="D1134" s="152">
        <v>0.70137000000000005</v>
      </c>
      <c r="E1134" s="152" t="s">
        <v>1325</v>
      </c>
      <c r="F1134" s="152" t="s">
        <v>1326</v>
      </c>
      <c r="G1134" s="152"/>
      <c r="H1134" s="152"/>
      <c r="I1134" s="152" t="s">
        <v>1327</v>
      </c>
      <c r="J1134" s="152" t="s">
        <v>1327</v>
      </c>
      <c r="K1134" s="152" t="s">
        <v>1327</v>
      </c>
      <c r="L1134" s="152" t="s">
        <v>1327</v>
      </c>
      <c r="M1134" s="152" t="s">
        <v>1327</v>
      </c>
      <c r="N1134" s="152" t="s">
        <v>1327</v>
      </c>
      <c r="O1134" s="152">
        <v>2.9986079999999999</v>
      </c>
      <c r="P1134" s="152">
        <v>125.34433</v>
      </c>
      <c r="Q1134" s="152">
        <v>2.9986079999999999</v>
      </c>
      <c r="R1134" s="152" t="s">
        <v>1327</v>
      </c>
      <c r="S1134" s="152">
        <v>100.167506</v>
      </c>
      <c r="T1134" s="152">
        <v>0.160274</v>
      </c>
      <c r="U1134" s="152">
        <v>0.69354000000000005</v>
      </c>
      <c r="V1134" s="152">
        <v>0.65555600000000003</v>
      </c>
      <c r="W1134" s="152">
        <v>1000</v>
      </c>
      <c r="X1134" s="152" t="s">
        <v>23</v>
      </c>
      <c r="Y1134" s="152" t="s">
        <v>1328</v>
      </c>
      <c r="Z1134" s="152" t="s">
        <v>1327</v>
      </c>
    </row>
    <row r="1135" spans="1:26" x14ac:dyDescent="0.2">
      <c r="A1135" s="152" t="s">
        <v>2312</v>
      </c>
      <c r="B1135" s="152">
        <v>3.25</v>
      </c>
      <c r="C1135" s="151">
        <v>43676</v>
      </c>
      <c r="D1135" s="152">
        <v>0.76164399999999999</v>
      </c>
      <c r="E1135" s="152" t="s">
        <v>1325</v>
      </c>
      <c r="F1135" s="152" t="s">
        <v>1326</v>
      </c>
      <c r="G1135" s="152"/>
      <c r="H1135" s="152"/>
      <c r="I1135" s="151" t="s">
        <v>1327</v>
      </c>
      <c r="J1135" s="152" t="s">
        <v>1327</v>
      </c>
      <c r="K1135" s="152" t="s">
        <v>1327</v>
      </c>
      <c r="L1135" s="152" t="s">
        <v>1327</v>
      </c>
      <c r="M1135" s="152" t="s">
        <v>1327</v>
      </c>
      <c r="N1135" s="152" t="s">
        <v>1327</v>
      </c>
      <c r="O1135" s="152">
        <v>3.0138769999999999</v>
      </c>
      <c r="P1135" s="152">
        <v>125.67037500000001</v>
      </c>
      <c r="Q1135" s="152">
        <v>3.0138769999999999</v>
      </c>
      <c r="R1135" s="152" t="s">
        <v>1327</v>
      </c>
      <c r="S1135" s="152">
        <v>100.17778300000001</v>
      </c>
      <c r="T1135" s="152">
        <v>-4.4520999999999998E-2</v>
      </c>
      <c r="U1135" s="152">
        <v>0.75200999999999996</v>
      </c>
      <c r="V1135" s="152">
        <v>0.75455399999999995</v>
      </c>
      <c r="W1135" s="152">
        <v>1000</v>
      </c>
      <c r="X1135" s="152" t="s">
        <v>23</v>
      </c>
      <c r="Y1135" s="152" t="s">
        <v>1328</v>
      </c>
      <c r="Z1135" s="152" t="s">
        <v>1327</v>
      </c>
    </row>
    <row r="1136" spans="1:26" x14ac:dyDescent="0.2">
      <c r="A1136" s="152" t="s">
        <v>2313</v>
      </c>
      <c r="B1136" s="152">
        <v>3.4</v>
      </c>
      <c r="C1136" s="151">
        <v>43885</v>
      </c>
      <c r="D1136" s="152">
        <v>1.334247</v>
      </c>
      <c r="E1136" s="152" t="s">
        <v>1325</v>
      </c>
      <c r="F1136" s="152" t="s">
        <v>1326</v>
      </c>
      <c r="G1136" s="152"/>
      <c r="H1136" s="152"/>
      <c r="I1136" s="151">
        <v>42863</v>
      </c>
      <c r="J1136" s="152">
        <v>3.4002210000000002</v>
      </c>
      <c r="K1136" s="152" t="s">
        <v>1327</v>
      </c>
      <c r="L1136" s="152" t="s">
        <v>1327</v>
      </c>
      <c r="M1136" s="152" t="s">
        <v>1327</v>
      </c>
      <c r="N1136" s="152" t="s">
        <v>1327</v>
      </c>
      <c r="O1136" s="152">
        <v>3.1035110000000001</v>
      </c>
      <c r="P1136" s="152">
        <v>125.31349899999999</v>
      </c>
      <c r="Q1136" s="152">
        <v>3.1035110000000001</v>
      </c>
      <c r="R1136" s="152" t="s">
        <v>1327</v>
      </c>
      <c r="S1136" s="152">
        <v>100.377752</v>
      </c>
      <c r="T1136" s="152">
        <v>0.57753399999999999</v>
      </c>
      <c r="U1136" s="152">
        <v>1.2910029999999999</v>
      </c>
      <c r="V1136" s="152">
        <v>2.014227</v>
      </c>
      <c r="W1136" s="152">
        <v>1000</v>
      </c>
      <c r="X1136" s="152" t="s">
        <v>23</v>
      </c>
      <c r="Y1136" s="152" t="s">
        <v>1328</v>
      </c>
      <c r="Z1136" s="152" t="s">
        <v>1327</v>
      </c>
    </row>
    <row r="1137" spans="1:26" x14ac:dyDescent="0.2">
      <c r="A1137" s="152" t="s">
        <v>2314</v>
      </c>
      <c r="B1137" s="152">
        <v>3.3</v>
      </c>
      <c r="C1137" s="151">
        <v>44019</v>
      </c>
      <c r="D1137" s="152">
        <v>1.70137</v>
      </c>
      <c r="E1137" s="152" t="s">
        <v>1325</v>
      </c>
      <c r="F1137" s="152" t="s">
        <v>1326</v>
      </c>
      <c r="G1137" s="152"/>
      <c r="H1137" s="152"/>
      <c r="I1137" s="152" t="s">
        <v>1327</v>
      </c>
      <c r="J1137" s="152" t="s">
        <v>1327</v>
      </c>
      <c r="K1137" s="152" t="s">
        <v>1327</v>
      </c>
      <c r="L1137" s="152" t="s">
        <v>1327</v>
      </c>
      <c r="M1137" s="152" t="s">
        <v>1327</v>
      </c>
      <c r="N1137" s="152" t="s">
        <v>1327</v>
      </c>
      <c r="O1137" s="152">
        <v>3.2068500000000002</v>
      </c>
      <c r="P1137" s="152">
        <v>125.677791</v>
      </c>
      <c r="Q1137" s="152">
        <v>3.2068500000000002</v>
      </c>
      <c r="R1137" s="152" t="s">
        <v>1327</v>
      </c>
      <c r="S1137" s="152">
        <v>100.136439</v>
      </c>
      <c r="T1137" s="152">
        <v>0.99452099999999999</v>
      </c>
      <c r="U1137" s="152">
        <v>1.628506</v>
      </c>
      <c r="V1137" s="152">
        <v>3.5057800000000001</v>
      </c>
      <c r="W1137" s="152">
        <v>1000</v>
      </c>
      <c r="X1137" s="152" t="s">
        <v>23</v>
      </c>
      <c r="Y1137" s="152" t="s">
        <v>1328</v>
      </c>
      <c r="Z1137" s="152" t="s">
        <v>1327</v>
      </c>
    </row>
    <row r="1138" spans="1:26" x14ac:dyDescent="0.2">
      <c r="A1138" s="152" t="s">
        <v>2315</v>
      </c>
      <c r="B1138" s="152">
        <v>3.3</v>
      </c>
      <c r="C1138" s="151">
        <v>44039</v>
      </c>
      <c r="D1138" s="152">
        <v>1.7561640000000001</v>
      </c>
      <c r="E1138" s="152" t="s">
        <v>1325</v>
      </c>
      <c r="F1138" s="152" t="s">
        <v>1326</v>
      </c>
      <c r="G1138" s="152"/>
      <c r="H1138" s="152"/>
      <c r="I1138" s="152" t="s">
        <v>1327</v>
      </c>
      <c r="J1138" s="152" t="s">
        <v>1327</v>
      </c>
      <c r="K1138" s="152" t="s">
        <v>1327</v>
      </c>
      <c r="L1138" s="152" t="s">
        <v>1327</v>
      </c>
      <c r="M1138" s="152" t="s">
        <v>1327</v>
      </c>
      <c r="N1138" s="152" t="s">
        <v>1327</v>
      </c>
      <c r="O1138" s="152">
        <v>3.206423</v>
      </c>
      <c r="P1138" s="152">
        <v>125.41688499999999</v>
      </c>
      <c r="Q1138" s="152">
        <v>3.206423</v>
      </c>
      <c r="R1138" s="152" t="s">
        <v>1327</v>
      </c>
      <c r="S1138" s="152">
        <v>100.159189</v>
      </c>
      <c r="T1138" s="152">
        <v>-1.8082000000000001E-2</v>
      </c>
      <c r="U1138" s="152">
        <v>1.6995199999999999</v>
      </c>
      <c r="V1138" s="152">
        <v>3.3534269999999999</v>
      </c>
      <c r="W1138" s="152">
        <v>1000</v>
      </c>
      <c r="X1138" s="152" t="s">
        <v>23</v>
      </c>
      <c r="Y1138" s="152" t="s">
        <v>1328</v>
      </c>
      <c r="Z1138" s="152" t="s">
        <v>1327</v>
      </c>
    </row>
    <row r="1139" spans="1:26" x14ac:dyDescent="0.2">
      <c r="A1139" s="152" t="s">
        <v>2316</v>
      </c>
      <c r="B1139" s="152">
        <v>2.95</v>
      </c>
      <c r="C1139" s="151">
        <v>44262</v>
      </c>
      <c r="D1139" s="152">
        <v>2.3671229999999999</v>
      </c>
      <c r="E1139" s="152" t="s">
        <v>1325</v>
      </c>
      <c r="F1139" s="152" t="s">
        <v>1326</v>
      </c>
      <c r="G1139" s="152"/>
      <c r="H1139" s="152"/>
      <c r="I1139" s="152">
        <v>43174</v>
      </c>
      <c r="J1139" s="152">
        <v>2.95</v>
      </c>
      <c r="K1139" s="152" t="s">
        <v>1327</v>
      </c>
      <c r="L1139" s="152" t="s">
        <v>1327</v>
      </c>
      <c r="M1139" s="152" t="s">
        <v>1327</v>
      </c>
      <c r="N1139" s="152" t="s">
        <v>1327</v>
      </c>
      <c r="O1139" s="152">
        <v>3.2506469999999998</v>
      </c>
      <c r="P1139" s="152">
        <v>123.472194</v>
      </c>
      <c r="Q1139" s="152">
        <v>3.2506469999999998</v>
      </c>
      <c r="R1139" s="152" t="s">
        <v>1327</v>
      </c>
      <c r="S1139" s="152">
        <v>99.318772999999993</v>
      </c>
      <c r="T1139" s="152">
        <v>0.38794499999999998</v>
      </c>
      <c r="U1139" s="152">
        <v>2.2682359999999999</v>
      </c>
      <c r="V1139" s="152">
        <v>5.8280979999999998</v>
      </c>
      <c r="W1139" s="152">
        <v>1000</v>
      </c>
      <c r="X1139" s="152" t="s">
        <v>23</v>
      </c>
      <c r="Y1139" s="152" t="s">
        <v>1328</v>
      </c>
      <c r="Z1139" s="152" t="s">
        <v>1327</v>
      </c>
    </row>
    <row r="1140" spans="1:26" x14ac:dyDescent="0.2">
      <c r="A1140" s="152" t="s">
        <v>2317</v>
      </c>
      <c r="B1140" s="152">
        <v>2.95</v>
      </c>
      <c r="C1140" s="151">
        <v>44280</v>
      </c>
      <c r="D1140" s="152">
        <v>2.4164379999999999</v>
      </c>
      <c r="E1140" s="152" t="s">
        <v>1325</v>
      </c>
      <c r="F1140" s="152" t="s">
        <v>1326</v>
      </c>
      <c r="G1140" s="152"/>
      <c r="H1140" s="152"/>
      <c r="I1140" s="151" t="s">
        <v>1327</v>
      </c>
      <c r="J1140" s="152" t="s">
        <v>1327</v>
      </c>
      <c r="K1140" s="152" t="s">
        <v>1327</v>
      </c>
      <c r="L1140" s="152" t="s">
        <v>1327</v>
      </c>
      <c r="M1140" s="152" t="s">
        <v>1327</v>
      </c>
      <c r="N1140" s="152" t="s">
        <v>1327</v>
      </c>
      <c r="O1140" s="152">
        <v>3.2559089999999999</v>
      </c>
      <c r="P1140" s="152">
        <v>123.666698</v>
      </c>
      <c r="Q1140" s="152">
        <v>3.2559089999999999</v>
      </c>
      <c r="R1140" s="152" t="s">
        <v>1327</v>
      </c>
      <c r="S1140" s="152">
        <v>99.293053</v>
      </c>
      <c r="T1140" s="152">
        <v>0.24246599999999999</v>
      </c>
      <c r="U1140" s="152">
        <v>2.3171170000000001</v>
      </c>
      <c r="V1140" s="152">
        <v>6.0643560000000001</v>
      </c>
      <c r="W1140" s="152">
        <v>1000</v>
      </c>
      <c r="X1140" s="152" t="s">
        <v>23</v>
      </c>
      <c r="Y1140" s="152" t="s">
        <v>1328</v>
      </c>
      <c r="Z1140" s="152" t="s">
        <v>1327</v>
      </c>
    </row>
    <row r="1141" spans="1:26" x14ac:dyDescent="0.2">
      <c r="A1141" s="152" t="s">
        <v>2318</v>
      </c>
      <c r="B1141" s="152">
        <v>3.22</v>
      </c>
      <c r="C1141" s="151">
        <v>44410</v>
      </c>
      <c r="D1141" s="152">
        <v>2.7726030000000002</v>
      </c>
      <c r="E1141" s="152" t="s">
        <v>1325</v>
      </c>
      <c r="F1141" s="152" t="s">
        <v>1326</v>
      </c>
      <c r="G1141" s="152"/>
      <c r="H1141" s="152"/>
      <c r="I1141" s="152">
        <v>43347</v>
      </c>
      <c r="J1141" s="152">
        <v>3.18</v>
      </c>
      <c r="K1141" s="152" t="s">
        <v>1327</v>
      </c>
      <c r="L1141" s="152" t="s">
        <v>1327</v>
      </c>
      <c r="M1141" s="152" t="s">
        <v>1327</v>
      </c>
      <c r="N1141" s="152" t="s">
        <v>1327</v>
      </c>
      <c r="O1141" s="152">
        <v>3.2739929999999999</v>
      </c>
      <c r="P1141" s="152">
        <v>122.176063</v>
      </c>
      <c r="Q1141" s="152">
        <v>3.2739929999999999</v>
      </c>
      <c r="R1141" s="152" t="s">
        <v>1327</v>
      </c>
      <c r="S1141" s="152">
        <v>99.857794999999996</v>
      </c>
      <c r="T1141" s="152">
        <v>-7.0574999999999999E-2</v>
      </c>
      <c r="U1141" s="152">
        <v>2.6429749999999999</v>
      </c>
      <c r="V1141" s="152">
        <v>7.8154079999999997</v>
      </c>
      <c r="W1141" s="152">
        <v>1000</v>
      </c>
      <c r="X1141" s="152" t="s">
        <v>23</v>
      </c>
      <c r="Y1141" s="152" t="s">
        <v>1328</v>
      </c>
      <c r="Z1141" s="152" t="s">
        <v>1327</v>
      </c>
    </row>
    <row r="1142" spans="1:26" x14ac:dyDescent="0.2">
      <c r="A1142" s="152" t="s">
        <v>600</v>
      </c>
      <c r="B1142" s="152">
        <v>1.82</v>
      </c>
      <c r="C1142" s="151">
        <v>43584</v>
      </c>
      <c r="D1142" s="152">
        <v>0.50958899999999996</v>
      </c>
      <c r="E1142" s="152" t="s">
        <v>1325</v>
      </c>
      <c r="F1142" s="152" t="s">
        <v>1326</v>
      </c>
      <c r="G1142" s="152" t="s">
        <v>51</v>
      </c>
      <c r="H1142" s="152"/>
      <c r="I1142" s="152">
        <v>43397</v>
      </c>
      <c r="J1142" s="152">
        <v>2</v>
      </c>
      <c r="K1142" s="152" t="s">
        <v>1327</v>
      </c>
      <c r="L1142" s="152" t="s">
        <v>1327</v>
      </c>
      <c r="M1142" s="152" t="s">
        <v>1327</v>
      </c>
      <c r="N1142" s="152" t="s">
        <v>1327</v>
      </c>
      <c r="O1142" s="152">
        <v>2</v>
      </c>
      <c r="P1142" s="152">
        <v>26.515326000000002</v>
      </c>
      <c r="Q1142" s="152">
        <v>2</v>
      </c>
      <c r="R1142" s="152" t="s">
        <v>1327</v>
      </c>
      <c r="S1142" s="152">
        <v>99.909048999999996</v>
      </c>
      <c r="T1142" s="152">
        <v>-1.9945000000000001E-2</v>
      </c>
      <c r="U1142" s="152">
        <v>0.50590000000000002</v>
      </c>
      <c r="V1142" s="152">
        <v>0.50638000000000005</v>
      </c>
      <c r="W1142" s="152">
        <v>1000</v>
      </c>
      <c r="X1142" s="152" t="s">
        <v>23</v>
      </c>
      <c r="Y1142" s="152" t="s">
        <v>1328</v>
      </c>
      <c r="Z1142" s="152" t="s">
        <v>1327</v>
      </c>
    </row>
    <row r="1143" spans="1:26" x14ac:dyDescent="0.2">
      <c r="A1143" s="152" t="s">
        <v>545</v>
      </c>
      <c r="B1143" s="152">
        <v>2.2200000000000002</v>
      </c>
      <c r="C1143" s="151">
        <v>43583</v>
      </c>
      <c r="D1143" s="152">
        <v>0.50684899999999999</v>
      </c>
      <c r="E1143" s="152" t="s">
        <v>1325</v>
      </c>
      <c r="F1143" s="152" t="s">
        <v>1326</v>
      </c>
      <c r="G1143" s="152" t="s">
        <v>51</v>
      </c>
      <c r="H1143" s="152"/>
      <c r="I1143" s="151">
        <v>43339</v>
      </c>
      <c r="J1143" s="152">
        <v>1.67</v>
      </c>
      <c r="K1143" s="152" t="s">
        <v>1327</v>
      </c>
      <c r="L1143" s="152" t="s">
        <v>1327</v>
      </c>
      <c r="M1143" s="152" t="s">
        <v>1327</v>
      </c>
      <c r="N1143" s="152" t="s">
        <v>1327</v>
      </c>
      <c r="O1143" s="152">
        <v>1.9989189999999999</v>
      </c>
      <c r="P1143" s="152">
        <v>26.516739999999999</v>
      </c>
      <c r="Q1143" s="152">
        <v>1.9989189999999999</v>
      </c>
      <c r="R1143" s="152" t="s">
        <v>1327</v>
      </c>
      <c r="S1143" s="152">
        <v>100.111329</v>
      </c>
      <c r="T1143" s="152">
        <v>-1.8246999999999999E-2</v>
      </c>
      <c r="U1143" s="152">
        <v>0.50319000000000003</v>
      </c>
      <c r="V1143" s="152">
        <v>0.502305</v>
      </c>
      <c r="W1143" s="152">
        <v>1000</v>
      </c>
      <c r="X1143" s="152" t="s">
        <v>23</v>
      </c>
      <c r="Y1143" s="152" t="s">
        <v>1328</v>
      </c>
      <c r="Z1143" s="152" t="s">
        <v>1327</v>
      </c>
    </row>
    <row r="1144" spans="1:26" x14ac:dyDescent="0.2">
      <c r="A1144" s="152" t="s">
        <v>2319</v>
      </c>
      <c r="B1144" s="152">
        <v>2.66</v>
      </c>
      <c r="C1144" s="151">
        <v>43746</v>
      </c>
      <c r="D1144" s="152">
        <v>0.95342499999999997</v>
      </c>
      <c r="E1144" s="152" t="s">
        <v>1325</v>
      </c>
      <c r="F1144" s="152" t="s">
        <v>1326</v>
      </c>
      <c r="G1144" s="152" t="s">
        <v>51</v>
      </c>
      <c r="H1144" s="152"/>
      <c r="I1144" s="151">
        <v>43395</v>
      </c>
      <c r="J1144" s="152">
        <v>2.2999999999999998</v>
      </c>
      <c r="K1144" s="152" t="s">
        <v>1327</v>
      </c>
      <c r="L1144" s="152" t="s">
        <v>1327</v>
      </c>
      <c r="M1144" s="152" t="s">
        <v>1327</v>
      </c>
      <c r="N1144" s="152" t="s">
        <v>1327</v>
      </c>
      <c r="O1144" s="152">
        <v>2.3029310000000001</v>
      </c>
      <c r="P1144" s="152">
        <v>50.274002000000003</v>
      </c>
      <c r="Q1144" s="152">
        <v>2.3029310000000001</v>
      </c>
      <c r="R1144" s="152" t="s">
        <v>1327</v>
      </c>
      <c r="S1144" s="152">
        <v>100.337335</v>
      </c>
      <c r="T1144" s="152">
        <v>0.12389</v>
      </c>
      <c r="U1144" s="152">
        <v>0.93474000000000002</v>
      </c>
      <c r="V1144" s="152">
        <v>1.3389489999999999</v>
      </c>
      <c r="W1144" s="152">
        <v>1000</v>
      </c>
      <c r="X1144" s="152" t="s">
        <v>23</v>
      </c>
      <c r="Y1144" s="152" t="s">
        <v>1328</v>
      </c>
      <c r="Z1144" s="152" t="s">
        <v>1327</v>
      </c>
    </row>
    <row r="1145" spans="1:26" x14ac:dyDescent="0.2">
      <c r="A1145" s="152" t="s">
        <v>676</v>
      </c>
      <c r="B1145" s="152">
        <v>2.23</v>
      </c>
      <c r="C1145" s="151">
        <v>43766</v>
      </c>
      <c r="D1145" s="152">
        <v>1.008219</v>
      </c>
      <c r="E1145" s="152" t="s">
        <v>1325</v>
      </c>
      <c r="F1145" s="152" t="s">
        <v>1326</v>
      </c>
      <c r="G1145" s="152" t="s">
        <v>51</v>
      </c>
      <c r="H1145" s="152"/>
      <c r="I1145" s="151">
        <v>43391</v>
      </c>
      <c r="J1145" s="152">
        <v>2.3199999999999998</v>
      </c>
      <c r="K1145" s="152" t="s">
        <v>1327</v>
      </c>
      <c r="L1145" s="152" t="s">
        <v>1327</v>
      </c>
      <c r="M1145" s="152" t="s">
        <v>1327</v>
      </c>
      <c r="N1145" s="152" t="s">
        <v>1327</v>
      </c>
      <c r="O1145" s="152">
        <v>2.3278150000000002</v>
      </c>
      <c r="P1145" s="152">
        <v>52.622216999999999</v>
      </c>
      <c r="Q1145" s="152">
        <v>2.3278150000000002</v>
      </c>
      <c r="R1145" s="152" t="s">
        <v>1327</v>
      </c>
      <c r="S1145" s="152">
        <v>99.903193000000002</v>
      </c>
      <c r="T1145" s="152">
        <v>-1.8329000000000002E-2</v>
      </c>
      <c r="U1145" s="152">
        <v>0.99116700000000002</v>
      </c>
      <c r="V1145" s="152">
        <v>1.474958</v>
      </c>
      <c r="W1145" s="152">
        <v>1000</v>
      </c>
      <c r="X1145" s="152" t="s">
        <v>23</v>
      </c>
      <c r="Y1145" s="152" t="s">
        <v>1328</v>
      </c>
      <c r="Z1145" s="152" t="s">
        <v>1327</v>
      </c>
    </row>
    <row r="1146" spans="1:26" x14ac:dyDescent="0.2">
      <c r="A1146" s="152" t="s">
        <v>677</v>
      </c>
      <c r="B1146" s="152">
        <v>3.31</v>
      </c>
      <c r="C1146" s="151">
        <v>43923</v>
      </c>
      <c r="D1146" s="152">
        <v>1.438356</v>
      </c>
      <c r="E1146" s="152" t="s">
        <v>1325</v>
      </c>
      <c r="F1146" s="152" t="s">
        <v>1326</v>
      </c>
      <c r="G1146" s="152" t="s">
        <v>51</v>
      </c>
      <c r="H1146" s="152"/>
      <c r="I1146" s="152">
        <v>43390</v>
      </c>
      <c r="J1146" s="152">
        <v>2.6</v>
      </c>
      <c r="K1146" s="152" t="s">
        <v>1327</v>
      </c>
      <c r="L1146" s="152" t="s">
        <v>1327</v>
      </c>
      <c r="M1146" s="152" t="s">
        <v>1327</v>
      </c>
      <c r="N1146" s="152" t="s">
        <v>1327</v>
      </c>
      <c r="O1146" s="152">
        <v>2.5957219999999999</v>
      </c>
      <c r="P1146" s="152">
        <v>69.626885999999999</v>
      </c>
      <c r="Q1146" s="152">
        <v>2.5957219999999999</v>
      </c>
      <c r="R1146" s="152" t="s">
        <v>1327</v>
      </c>
      <c r="S1146" s="152">
        <v>101.003541</v>
      </c>
      <c r="T1146" s="152">
        <v>0.20857500000000001</v>
      </c>
      <c r="U1146" s="152">
        <v>1.3933819999999999</v>
      </c>
      <c r="V1146" s="152">
        <v>2.6483569999999999</v>
      </c>
      <c r="W1146" s="152">
        <v>1000</v>
      </c>
      <c r="X1146" s="152" t="s">
        <v>23</v>
      </c>
      <c r="Y1146" s="152" t="s">
        <v>1328</v>
      </c>
      <c r="Z1146" s="152" t="s">
        <v>1327</v>
      </c>
    </row>
    <row r="1147" spans="1:26" x14ac:dyDescent="0.2">
      <c r="A1147" s="152" t="s">
        <v>678</v>
      </c>
      <c r="B1147" s="152">
        <v>2.48</v>
      </c>
      <c r="C1147" s="151">
        <v>43949</v>
      </c>
      <c r="D1147" s="152">
        <v>1.5095890000000001</v>
      </c>
      <c r="E1147" s="152" t="s">
        <v>1325</v>
      </c>
      <c r="F1147" s="152" t="s">
        <v>1326</v>
      </c>
      <c r="G1147" s="152" t="s">
        <v>51</v>
      </c>
      <c r="H1147" s="152"/>
      <c r="I1147" s="152">
        <v>43392</v>
      </c>
      <c r="J1147" s="152">
        <v>2.6</v>
      </c>
      <c r="K1147" s="152" t="s">
        <v>1327</v>
      </c>
      <c r="L1147" s="152" t="s">
        <v>1327</v>
      </c>
      <c r="M1147" s="152" t="s">
        <v>1327</v>
      </c>
      <c r="N1147" s="152" t="s">
        <v>1327</v>
      </c>
      <c r="O1147" s="152">
        <v>2.6005319999999998</v>
      </c>
      <c r="P1147" s="152">
        <v>68.326948999999999</v>
      </c>
      <c r="Q1147" s="152">
        <v>2.6005319999999998</v>
      </c>
      <c r="R1147" s="152" t="s">
        <v>1327</v>
      </c>
      <c r="S1147" s="152">
        <v>99.822991000000002</v>
      </c>
      <c r="T1147" s="152">
        <v>-2.0383999999999999E-2</v>
      </c>
      <c r="U1147" s="152">
        <v>1.47078</v>
      </c>
      <c r="V1147" s="152">
        <v>2.9037169999999999</v>
      </c>
      <c r="W1147" s="152">
        <v>1000</v>
      </c>
      <c r="X1147" s="152" t="s">
        <v>23</v>
      </c>
      <c r="Y1147" s="152" t="s">
        <v>1328</v>
      </c>
      <c r="Z1147" s="152" t="s">
        <v>1327</v>
      </c>
    </row>
    <row r="1148" spans="1:26" x14ac:dyDescent="0.2">
      <c r="A1148" s="152" t="s">
        <v>679</v>
      </c>
      <c r="B1148" s="152">
        <v>2.99</v>
      </c>
      <c r="C1148" s="151">
        <v>44112</v>
      </c>
      <c r="D1148" s="152">
        <v>1.956164</v>
      </c>
      <c r="E1148" s="152" t="s">
        <v>1325</v>
      </c>
      <c r="F1148" s="152" t="s">
        <v>1326</v>
      </c>
      <c r="G1148" s="152" t="s">
        <v>51</v>
      </c>
      <c r="H1148" s="152"/>
      <c r="I1148" s="152">
        <v>43202</v>
      </c>
      <c r="J1148" s="152">
        <v>1.6950000000000001</v>
      </c>
      <c r="K1148" s="152" t="s">
        <v>1327</v>
      </c>
      <c r="L1148" s="152" t="s">
        <v>1327</v>
      </c>
      <c r="M1148" s="152" t="s">
        <v>1327</v>
      </c>
      <c r="N1148" s="152" t="s">
        <v>1327</v>
      </c>
      <c r="O1148" s="152">
        <v>2.701927</v>
      </c>
      <c r="P1148" s="152">
        <v>69.318269999999998</v>
      </c>
      <c r="Q1148" s="152">
        <v>2.701927</v>
      </c>
      <c r="R1148" s="152" t="s">
        <v>1327</v>
      </c>
      <c r="S1148" s="152">
        <v>100.54741799999999</v>
      </c>
      <c r="T1148" s="152">
        <v>0.13925999999999999</v>
      </c>
      <c r="U1148" s="152">
        <v>1.8829990000000001</v>
      </c>
      <c r="V1148" s="152">
        <v>4.5224799999999998</v>
      </c>
      <c r="W1148" s="152">
        <v>1000</v>
      </c>
      <c r="X1148" s="152" t="s">
        <v>23</v>
      </c>
      <c r="Y1148" s="152" t="s">
        <v>1328</v>
      </c>
      <c r="Z1148" s="152" t="s">
        <v>1327</v>
      </c>
    </row>
    <row r="1149" spans="1:26" x14ac:dyDescent="0.2">
      <c r="A1149" s="152" t="s">
        <v>680</v>
      </c>
      <c r="B1149" s="152">
        <v>2.13</v>
      </c>
      <c r="C1149" s="151">
        <v>44109</v>
      </c>
      <c r="D1149" s="152">
        <v>1.947945</v>
      </c>
      <c r="E1149" s="152" t="s">
        <v>1325</v>
      </c>
      <c r="F1149" s="152" t="s">
        <v>1326</v>
      </c>
      <c r="G1149" s="152" t="s">
        <v>51</v>
      </c>
      <c r="H1149" s="152"/>
      <c r="I1149" s="152">
        <v>43374</v>
      </c>
      <c r="J1149" s="152">
        <v>2.75</v>
      </c>
      <c r="K1149" s="152" t="s">
        <v>1327</v>
      </c>
      <c r="L1149" s="152" t="s">
        <v>1327</v>
      </c>
      <c r="M1149" s="152" t="s">
        <v>1327</v>
      </c>
      <c r="N1149" s="152" t="s">
        <v>1327</v>
      </c>
      <c r="O1149" s="152">
        <v>2.7109540000000001</v>
      </c>
      <c r="P1149" s="152">
        <v>70.226084</v>
      </c>
      <c r="Q1149" s="152">
        <v>2.7109540000000001</v>
      </c>
      <c r="R1149" s="152" t="s">
        <v>1327</v>
      </c>
      <c r="S1149" s="152">
        <v>98.909361000000004</v>
      </c>
      <c r="T1149" s="152">
        <v>0.116712</v>
      </c>
      <c r="U1149" s="152">
        <v>1.886665</v>
      </c>
      <c r="V1149" s="152">
        <v>4.5252480000000004</v>
      </c>
      <c r="W1149" s="152">
        <v>1000</v>
      </c>
      <c r="X1149" s="152" t="s">
        <v>23</v>
      </c>
      <c r="Y1149" s="152" t="s">
        <v>1328</v>
      </c>
      <c r="Z1149" s="152" t="s">
        <v>1327</v>
      </c>
    </row>
    <row r="1150" spans="1:26" x14ac:dyDescent="0.2">
      <c r="A1150" s="152" t="s">
        <v>2320</v>
      </c>
      <c r="B1150" s="152">
        <v>1.98</v>
      </c>
      <c r="C1150" s="151">
        <v>44323</v>
      </c>
      <c r="D1150" s="152">
        <v>2.5342470000000001</v>
      </c>
      <c r="E1150" s="152" t="s">
        <v>1325</v>
      </c>
      <c r="F1150" s="152" t="s">
        <v>1326</v>
      </c>
      <c r="G1150" s="152" t="s">
        <v>51</v>
      </c>
      <c r="H1150" s="152"/>
      <c r="I1150" s="151">
        <v>43395</v>
      </c>
      <c r="J1150" s="152">
        <v>2.74</v>
      </c>
      <c r="K1150" s="152" t="s">
        <v>1327</v>
      </c>
      <c r="L1150" s="152" t="s">
        <v>1327</v>
      </c>
      <c r="M1150" s="152" t="s">
        <v>1327</v>
      </c>
      <c r="N1150" s="152" t="s">
        <v>1327</v>
      </c>
      <c r="O1150" s="152">
        <v>2.7395990000000001</v>
      </c>
      <c r="P1150" s="152">
        <v>68.498054999999994</v>
      </c>
      <c r="Q1150" s="152">
        <v>2.7395990000000001</v>
      </c>
      <c r="R1150" s="152" t="s">
        <v>1327</v>
      </c>
      <c r="S1150" s="152">
        <v>98.155055000000004</v>
      </c>
      <c r="T1150" s="152">
        <v>-7.5944999999999999E-2</v>
      </c>
      <c r="U1150" s="152">
        <v>2.449157</v>
      </c>
      <c r="V1150" s="152">
        <v>7.2753829999999997</v>
      </c>
      <c r="W1150" s="152">
        <v>1000</v>
      </c>
      <c r="X1150" s="152" t="s">
        <v>23</v>
      </c>
      <c r="Y1150" s="152" t="s">
        <v>1328</v>
      </c>
      <c r="Z1150" s="152" t="s">
        <v>1327</v>
      </c>
    </row>
    <row r="1151" spans="1:26" x14ac:dyDescent="0.2">
      <c r="A1151" s="152" t="s">
        <v>2321</v>
      </c>
      <c r="B1151" s="152">
        <v>3.02</v>
      </c>
      <c r="C1151" s="151">
        <v>44474</v>
      </c>
      <c r="D1151" s="152">
        <v>2.9479449999999998</v>
      </c>
      <c r="E1151" s="152" t="s">
        <v>1325</v>
      </c>
      <c r="F1151" s="152" t="s">
        <v>1326</v>
      </c>
      <c r="G1151" s="152" t="s">
        <v>51</v>
      </c>
      <c r="H1151" s="152"/>
      <c r="I1151" s="151">
        <v>43391</v>
      </c>
      <c r="J1151" s="152">
        <v>2.96</v>
      </c>
      <c r="K1151" s="152" t="s">
        <v>1327</v>
      </c>
      <c r="L1151" s="152" t="s">
        <v>1327</v>
      </c>
      <c r="M1151" s="152" t="s">
        <v>1327</v>
      </c>
      <c r="N1151" s="152" t="s">
        <v>1327</v>
      </c>
      <c r="O1151" s="152">
        <v>2.9587500000000002</v>
      </c>
      <c r="P1151" s="152">
        <v>85.767111</v>
      </c>
      <c r="Q1151" s="152">
        <v>2.9587500000000002</v>
      </c>
      <c r="R1151" s="152" t="s">
        <v>1327</v>
      </c>
      <c r="S1151" s="152">
        <v>100.174504</v>
      </c>
      <c r="T1151" s="152">
        <v>0.16547899999999999</v>
      </c>
      <c r="U1151" s="152">
        <v>2.79325</v>
      </c>
      <c r="V1151" s="152">
        <v>9.3626419999999992</v>
      </c>
      <c r="W1151" s="152">
        <v>1000</v>
      </c>
      <c r="X1151" s="152" t="s">
        <v>23</v>
      </c>
      <c r="Y1151" s="152" t="s">
        <v>1328</v>
      </c>
      <c r="Z1151" s="152" t="s">
        <v>1327</v>
      </c>
    </row>
    <row r="1152" spans="1:26" x14ac:dyDescent="0.2">
      <c r="A1152" s="152" t="s">
        <v>2322</v>
      </c>
      <c r="B1152" s="152">
        <v>2.96</v>
      </c>
      <c r="C1152" s="151">
        <v>45723</v>
      </c>
      <c r="D1152" s="152">
        <v>6.3698629999999996</v>
      </c>
      <c r="E1152" s="152" t="s">
        <v>1325</v>
      </c>
      <c r="F1152" s="152" t="s">
        <v>1326</v>
      </c>
      <c r="G1152" s="152"/>
      <c r="H1152" s="152"/>
      <c r="I1152" s="152" t="s">
        <v>1327</v>
      </c>
      <c r="J1152" s="152" t="s">
        <v>1327</v>
      </c>
      <c r="K1152" s="152" t="s">
        <v>1327</v>
      </c>
      <c r="L1152" s="152" t="s">
        <v>1327</v>
      </c>
      <c r="M1152" s="152" t="s">
        <v>1327</v>
      </c>
      <c r="N1152" s="152" t="s">
        <v>1327</v>
      </c>
      <c r="O1152" s="152">
        <v>3.4336259999999998</v>
      </c>
      <c r="P1152" s="152">
        <v>85.881698999999998</v>
      </c>
      <c r="Q1152" s="152">
        <v>3.4336259999999998</v>
      </c>
      <c r="R1152" s="152" t="s">
        <v>1327</v>
      </c>
      <c r="S1152" s="152">
        <v>97.322545000000005</v>
      </c>
      <c r="T1152" s="152">
        <v>0.38925999999999999</v>
      </c>
      <c r="U1152" s="152">
        <v>5.7174209999999999</v>
      </c>
      <c r="V1152" s="152">
        <v>37.456474</v>
      </c>
      <c r="W1152" s="152">
        <v>1000</v>
      </c>
      <c r="X1152" s="152" t="s">
        <v>23</v>
      </c>
      <c r="Y1152" s="152" t="s">
        <v>1328</v>
      </c>
      <c r="Z1152" s="152" t="s">
        <v>1327</v>
      </c>
    </row>
    <row r="1153" spans="1:26" x14ac:dyDescent="0.2">
      <c r="A1153" s="152" t="s">
        <v>212</v>
      </c>
      <c r="B1153" s="152">
        <v>1.7</v>
      </c>
      <c r="C1153" s="151">
        <v>43738</v>
      </c>
      <c r="D1153" s="152">
        <v>0.93150699999999997</v>
      </c>
      <c r="E1153" s="152" t="s">
        <v>1325</v>
      </c>
      <c r="F1153" s="152" t="s">
        <v>1326</v>
      </c>
      <c r="G1153" s="152"/>
      <c r="H1153" s="152"/>
      <c r="I1153" s="152" t="s">
        <v>1327</v>
      </c>
      <c r="J1153" s="152" t="s">
        <v>1327</v>
      </c>
      <c r="K1153" s="152" t="s">
        <v>1327</v>
      </c>
      <c r="L1153" s="152" t="s">
        <v>1327</v>
      </c>
      <c r="M1153" s="152" t="s">
        <v>1327</v>
      </c>
      <c r="N1153" s="152" t="s">
        <v>1327</v>
      </c>
      <c r="O1153" s="152">
        <v>2.2183980000000001</v>
      </c>
      <c r="P1153" s="152">
        <v>41.196170000000002</v>
      </c>
      <c r="Q1153" s="152">
        <v>2.2183980000000001</v>
      </c>
      <c r="R1153" s="152" t="s">
        <v>1327</v>
      </c>
      <c r="S1153" s="152">
        <v>99.533148999999995</v>
      </c>
      <c r="T1153" s="152">
        <v>0.116438</v>
      </c>
      <c r="U1153" s="152">
        <v>0.913045</v>
      </c>
      <c r="V1153" s="152">
        <v>1.2872140000000001</v>
      </c>
      <c r="W1153" s="152">
        <v>1000</v>
      </c>
      <c r="X1153" s="152" t="s">
        <v>23</v>
      </c>
      <c r="Y1153" s="152" t="s">
        <v>1328</v>
      </c>
      <c r="Z1153" s="152" t="s">
        <v>1327</v>
      </c>
    </row>
    <row r="1154" spans="1:26" x14ac:dyDescent="0.2">
      <c r="A1154" s="152" t="s">
        <v>214</v>
      </c>
      <c r="B1154" s="152">
        <v>1.75</v>
      </c>
      <c r="C1154" s="151">
        <v>43920</v>
      </c>
      <c r="D1154" s="152">
        <v>1.430137</v>
      </c>
      <c r="E1154" s="152" t="s">
        <v>1325</v>
      </c>
      <c r="F1154" s="152" t="s">
        <v>1326</v>
      </c>
      <c r="G1154" s="152"/>
      <c r="H1154" s="152"/>
      <c r="I1154" s="151">
        <v>43346</v>
      </c>
      <c r="J1154" s="152">
        <v>2.21</v>
      </c>
      <c r="K1154" s="152" t="s">
        <v>1327</v>
      </c>
      <c r="L1154" s="152" t="s">
        <v>1327</v>
      </c>
      <c r="M1154" s="152" t="s">
        <v>1327</v>
      </c>
      <c r="N1154" s="152" t="s">
        <v>1327</v>
      </c>
      <c r="O1154" s="152">
        <v>2.3317450000000002</v>
      </c>
      <c r="P1154" s="152">
        <v>43.083846000000001</v>
      </c>
      <c r="Q1154" s="152">
        <v>2.3317450000000002</v>
      </c>
      <c r="R1154" s="152" t="s">
        <v>1327</v>
      </c>
      <c r="S1154" s="152">
        <v>99.194495000000003</v>
      </c>
      <c r="T1154" s="152">
        <v>0.119863</v>
      </c>
      <c r="U1154" s="152">
        <v>1.3980630000000001</v>
      </c>
      <c r="V1154" s="152">
        <v>2.656018</v>
      </c>
      <c r="W1154" s="152">
        <v>1000</v>
      </c>
      <c r="X1154" s="152" t="s">
        <v>23</v>
      </c>
      <c r="Y1154" s="152" t="s">
        <v>1328</v>
      </c>
      <c r="Z1154" s="152" t="s">
        <v>1327</v>
      </c>
    </row>
    <row r="1155" spans="1:26" x14ac:dyDescent="0.2">
      <c r="A1155" s="152" t="s">
        <v>2323</v>
      </c>
      <c r="B1155" s="152">
        <v>5.125</v>
      </c>
      <c r="C1155" s="151">
        <v>45798</v>
      </c>
      <c r="D1155" s="152">
        <v>6.575342</v>
      </c>
      <c r="E1155" s="152" t="s">
        <v>1325</v>
      </c>
      <c r="F1155" s="152" t="s">
        <v>1326</v>
      </c>
      <c r="G1155" s="152" t="s">
        <v>35</v>
      </c>
      <c r="H1155" s="152"/>
      <c r="I1155" s="152">
        <v>43384</v>
      </c>
      <c r="J1155" s="152">
        <v>4.88</v>
      </c>
      <c r="K1155" s="152" t="s">
        <v>1327</v>
      </c>
      <c r="L1155" s="152" t="s">
        <v>1327</v>
      </c>
      <c r="M1155" s="152" t="s">
        <v>1327</v>
      </c>
      <c r="N1155" s="152" t="s">
        <v>1327</v>
      </c>
      <c r="O1155" s="152">
        <v>4.8706440000000004</v>
      </c>
      <c r="P1155" s="152">
        <v>235.32608500000001</v>
      </c>
      <c r="Q1155" s="152">
        <v>4.8706440000000004</v>
      </c>
      <c r="R1155" s="152" t="s">
        <v>1327</v>
      </c>
      <c r="S1155" s="152">
        <v>101.41136400000001</v>
      </c>
      <c r="T1155" s="152">
        <v>0.91267100000000001</v>
      </c>
      <c r="U1155" s="152">
        <v>5.5142499999999997</v>
      </c>
      <c r="V1155" s="152">
        <v>35.197826999999997</v>
      </c>
      <c r="W1155" s="152">
        <v>1000</v>
      </c>
      <c r="X1155" s="152" t="s">
        <v>23</v>
      </c>
      <c r="Y1155" s="152" t="s">
        <v>1328</v>
      </c>
      <c r="Z1155" s="152" t="s">
        <v>1327</v>
      </c>
    </row>
    <row r="1156" spans="1:26" x14ac:dyDescent="0.2">
      <c r="A1156" s="152" t="s">
        <v>2324</v>
      </c>
      <c r="B1156" s="152">
        <v>2.79</v>
      </c>
      <c r="C1156" s="151">
        <v>44037</v>
      </c>
      <c r="D1156" s="152">
        <v>1.750685</v>
      </c>
      <c r="E1156" s="152" t="s">
        <v>1325</v>
      </c>
      <c r="F1156" s="152" t="s">
        <v>1326</v>
      </c>
      <c r="G1156" s="152" t="s">
        <v>29</v>
      </c>
      <c r="H1156" s="152"/>
      <c r="I1156" s="152" t="s">
        <v>1327</v>
      </c>
      <c r="J1156" s="152" t="s">
        <v>1327</v>
      </c>
      <c r="K1156" s="152" t="s">
        <v>1327</v>
      </c>
      <c r="L1156" s="152" t="s">
        <v>1327</v>
      </c>
      <c r="M1156" s="152" t="s">
        <v>1327</v>
      </c>
      <c r="N1156" s="152" t="s">
        <v>1327</v>
      </c>
      <c r="O1156" s="152">
        <v>2.9846499999999998</v>
      </c>
      <c r="P1156" s="152">
        <v>103.144547</v>
      </c>
      <c r="Q1156" s="152">
        <v>2.9846499999999998</v>
      </c>
      <c r="R1156" s="152" t="s">
        <v>1327</v>
      </c>
      <c r="S1156" s="152">
        <v>99.663216000000006</v>
      </c>
      <c r="T1156" s="152">
        <v>0</v>
      </c>
      <c r="U1156" s="152">
        <v>1.7033240000000001</v>
      </c>
      <c r="V1156" s="152">
        <v>3.3613040000000001</v>
      </c>
      <c r="W1156" s="152">
        <v>1000</v>
      </c>
      <c r="X1156" s="152" t="s">
        <v>23</v>
      </c>
      <c r="Y1156" s="152" t="s">
        <v>1328</v>
      </c>
      <c r="Z1156" s="152" t="s">
        <v>1327</v>
      </c>
    </row>
    <row r="1157" spans="1:26" x14ac:dyDescent="0.2">
      <c r="A1157" s="152" t="s">
        <v>2325</v>
      </c>
      <c r="B1157" s="152">
        <v>5.25</v>
      </c>
      <c r="C1157" s="151">
        <v>43617</v>
      </c>
      <c r="D1157" s="152">
        <v>0.6</v>
      </c>
      <c r="E1157" s="152" t="s">
        <v>1325</v>
      </c>
      <c r="F1157" s="152" t="s">
        <v>1326</v>
      </c>
      <c r="G1157" s="152"/>
      <c r="H1157" s="152"/>
      <c r="I1157" s="151" t="s">
        <v>1327</v>
      </c>
      <c r="J1157" s="152" t="s">
        <v>1327</v>
      </c>
      <c r="K1157" s="152" t="s">
        <v>1327</v>
      </c>
      <c r="L1157" s="152" t="s">
        <v>1327</v>
      </c>
      <c r="M1157" s="152" t="s">
        <v>1327</v>
      </c>
      <c r="N1157" s="152" t="s">
        <v>1327</v>
      </c>
      <c r="O1157" s="152">
        <v>5.2306340000000002</v>
      </c>
      <c r="P1157" s="152">
        <v>357.07518800000003</v>
      </c>
      <c r="Q1157" s="152">
        <v>5.2306340000000002</v>
      </c>
      <c r="R1157" s="152" t="s">
        <v>1327</v>
      </c>
      <c r="S1157" s="152">
        <v>100.01293200000001</v>
      </c>
      <c r="T1157" s="152">
        <v>0.77671199999999996</v>
      </c>
      <c r="U1157" s="152">
        <v>0.58405899999999999</v>
      </c>
      <c r="V1157" s="152">
        <v>0.48909799999999998</v>
      </c>
      <c r="W1157" s="152">
        <v>1000</v>
      </c>
      <c r="X1157" s="152" t="s">
        <v>23</v>
      </c>
      <c r="Y1157" s="152" t="s">
        <v>1328</v>
      </c>
      <c r="Z1157" s="152" t="s">
        <v>1327</v>
      </c>
    </row>
    <row r="1158" spans="1:26" x14ac:dyDescent="0.2">
      <c r="A1158" s="152" t="s">
        <v>2326</v>
      </c>
      <c r="B1158" s="152">
        <v>6</v>
      </c>
      <c r="C1158" s="151">
        <v>43861</v>
      </c>
      <c r="D1158" s="152">
        <v>1.2684930000000001</v>
      </c>
      <c r="E1158" s="152" t="s">
        <v>1325</v>
      </c>
      <c r="F1158" s="152" t="s">
        <v>1326</v>
      </c>
      <c r="G1158" s="152"/>
      <c r="H1158" s="152"/>
      <c r="I1158" s="152" t="s">
        <v>1327</v>
      </c>
      <c r="J1158" s="152" t="s">
        <v>1327</v>
      </c>
      <c r="K1158" s="152" t="s">
        <v>1327</v>
      </c>
      <c r="L1158" s="152" t="s">
        <v>1327</v>
      </c>
      <c r="M1158" s="152" t="s">
        <v>1327</v>
      </c>
      <c r="N1158" s="152" t="s">
        <v>1327</v>
      </c>
      <c r="O1158" s="152">
        <v>6.4162379999999999</v>
      </c>
      <c r="P1158" s="152">
        <v>470.90203100000002</v>
      </c>
      <c r="Q1158" s="152">
        <v>6.4162379999999999</v>
      </c>
      <c r="R1158" s="152" t="s">
        <v>1327</v>
      </c>
      <c r="S1158" s="152">
        <v>99.497795999999994</v>
      </c>
      <c r="T1158" s="152">
        <v>-0.115068</v>
      </c>
      <c r="U1158" s="152">
        <v>1.212572</v>
      </c>
      <c r="V1158" s="152">
        <v>1.7940149999999999</v>
      </c>
      <c r="W1158" s="152">
        <v>1000</v>
      </c>
      <c r="X1158" s="152" t="s">
        <v>23</v>
      </c>
      <c r="Y1158" s="152" t="s">
        <v>1328</v>
      </c>
      <c r="Z1158" s="152" t="s">
        <v>1327</v>
      </c>
    </row>
    <row r="1159" spans="1:26" x14ac:dyDescent="0.2">
      <c r="A1159" s="152" t="s">
        <v>2327</v>
      </c>
      <c r="B1159" s="152">
        <v>6</v>
      </c>
      <c r="C1159" s="151">
        <v>43883</v>
      </c>
      <c r="D1159" s="152">
        <v>1.328767</v>
      </c>
      <c r="E1159" s="152" t="s">
        <v>1325</v>
      </c>
      <c r="F1159" s="152" t="s">
        <v>1326</v>
      </c>
      <c r="G1159" s="152"/>
      <c r="H1159" s="152"/>
      <c r="I1159" s="151" t="s">
        <v>1327</v>
      </c>
      <c r="J1159" s="152" t="s">
        <v>1327</v>
      </c>
      <c r="K1159" s="152" t="s">
        <v>1327</v>
      </c>
      <c r="L1159" s="152" t="s">
        <v>1327</v>
      </c>
      <c r="M1159" s="152" t="s">
        <v>1327</v>
      </c>
      <c r="N1159" s="152" t="s">
        <v>1327</v>
      </c>
      <c r="O1159" s="152">
        <v>6.3045039999999997</v>
      </c>
      <c r="P1159" s="152">
        <v>456.65702199999998</v>
      </c>
      <c r="Q1159" s="152">
        <v>6.3045039999999997</v>
      </c>
      <c r="R1159" s="152" t="s">
        <v>1327</v>
      </c>
      <c r="S1159" s="152">
        <v>99.600516999999996</v>
      </c>
      <c r="T1159" s="152">
        <v>1.052055</v>
      </c>
      <c r="U1159" s="152">
        <v>1.252491</v>
      </c>
      <c r="V1159" s="152">
        <v>1.9228430000000001</v>
      </c>
      <c r="W1159" s="152">
        <v>1000</v>
      </c>
      <c r="X1159" s="152" t="s">
        <v>23</v>
      </c>
      <c r="Y1159" s="152" t="s">
        <v>1328</v>
      </c>
      <c r="Z1159" s="152" t="s">
        <v>1327</v>
      </c>
    </row>
    <row r="1160" spans="1:26" x14ac:dyDescent="0.2">
      <c r="A1160" s="152" t="s">
        <v>2328</v>
      </c>
      <c r="B1160" s="152">
        <v>5.75</v>
      </c>
      <c r="C1160" s="151">
        <v>43953</v>
      </c>
      <c r="D1160" s="152">
        <v>1.520548</v>
      </c>
      <c r="E1160" s="152" t="s">
        <v>1325</v>
      </c>
      <c r="F1160" s="152" t="s">
        <v>1326</v>
      </c>
      <c r="G1160" s="152"/>
      <c r="H1160" s="152"/>
      <c r="I1160" s="151" t="s">
        <v>1327</v>
      </c>
      <c r="J1160" s="152" t="s">
        <v>1327</v>
      </c>
      <c r="K1160" s="152" t="s">
        <v>1327</v>
      </c>
      <c r="L1160" s="152" t="s">
        <v>1327</v>
      </c>
      <c r="M1160" s="152" t="s">
        <v>1327</v>
      </c>
      <c r="N1160" s="152" t="s">
        <v>1327</v>
      </c>
      <c r="O1160" s="152">
        <v>6.3688760000000002</v>
      </c>
      <c r="P1160" s="152">
        <v>459.67645299999998</v>
      </c>
      <c r="Q1160" s="152">
        <v>6.3688760000000002</v>
      </c>
      <c r="R1160" s="152" t="s">
        <v>1327</v>
      </c>
      <c r="S1160" s="152">
        <v>99.110145000000003</v>
      </c>
      <c r="T1160" s="152">
        <v>-0.126027</v>
      </c>
      <c r="U1160" s="152">
        <v>1.446461</v>
      </c>
      <c r="V1160" s="152">
        <v>2.492407</v>
      </c>
      <c r="W1160" s="152">
        <v>1000</v>
      </c>
      <c r="X1160" s="152" t="s">
        <v>23</v>
      </c>
      <c r="Y1160" s="152" t="s">
        <v>1328</v>
      </c>
      <c r="Z1160" s="152" t="s">
        <v>1327</v>
      </c>
    </row>
    <row r="1161" spans="1:26" x14ac:dyDescent="0.2">
      <c r="A1161" s="152" t="s">
        <v>2329</v>
      </c>
      <c r="B1161" s="152">
        <v>3.36</v>
      </c>
      <c r="C1161" s="151">
        <v>44183</v>
      </c>
      <c r="D1161" s="152">
        <v>2.1506850000000002</v>
      </c>
      <c r="E1161" s="152" t="s">
        <v>1325</v>
      </c>
      <c r="F1161" s="152" t="s">
        <v>1326</v>
      </c>
      <c r="G1161" s="152" t="s">
        <v>116</v>
      </c>
      <c r="H1161" s="152"/>
      <c r="I1161" s="151">
        <v>42908</v>
      </c>
      <c r="J1161" s="152">
        <v>2.82</v>
      </c>
      <c r="K1161" s="152" t="s">
        <v>1327</v>
      </c>
      <c r="L1161" s="152" t="s">
        <v>1327</v>
      </c>
      <c r="M1161" s="152" t="s">
        <v>1327</v>
      </c>
      <c r="N1161" s="152" t="s">
        <v>1327</v>
      </c>
      <c r="O1161" s="152">
        <v>2.7739370000000001</v>
      </c>
      <c r="P1161" s="152">
        <v>74.953254000000001</v>
      </c>
      <c r="Q1161" s="152">
        <v>2.7739370000000001</v>
      </c>
      <c r="R1161" s="152" t="s">
        <v>1327</v>
      </c>
      <c r="S1161" s="152">
        <v>101.206896</v>
      </c>
      <c r="T1161" s="152">
        <v>1.1875070000000001</v>
      </c>
      <c r="U1161" s="152">
        <v>2.039072</v>
      </c>
      <c r="V1161" s="152">
        <v>5.2752249999999998</v>
      </c>
      <c r="W1161" s="152">
        <v>1000</v>
      </c>
      <c r="X1161" s="152" t="s">
        <v>23</v>
      </c>
      <c r="Y1161" s="152" t="s">
        <v>1328</v>
      </c>
      <c r="Z1161" s="152" t="s">
        <v>1327</v>
      </c>
    </row>
    <row r="1162" spans="1:26" x14ac:dyDescent="0.2">
      <c r="A1162" s="152" t="s">
        <v>2330</v>
      </c>
      <c r="B1162" s="152">
        <v>3.89</v>
      </c>
      <c r="C1162" s="151">
        <v>44913</v>
      </c>
      <c r="D1162" s="152">
        <v>4.1506850000000002</v>
      </c>
      <c r="E1162" s="152" t="s">
        <v>1325</v>
      </c>
      <c r="F1162" s="152" t="s">
        <v>1326</v>
      </c>
      <c r="G1162" s="152" t="s">
        <v>116</v>
      </c>
      <c r="H1162" s="152"/>
      <c r="I1162" s="151">
        <v>43326</v>
      </c>
      <c r="J1162" s="152">
        <v>3.09</v>
      </c>
      <c r="K1162" s="152" t="s">
        <v>1327</v>
      </c>
      <c r="L1162" s="152" t="s">
        <v>1327</v>
      </c>
      <c r="M1162" s="152" t="s">
        <v>1327</v>
      </c>
      <c r="N1162" s="152" t="s">
        <v>1327</v>
      </c>
      <c r="O1162" s="152">
        <v>3.2977439999999998</v>
      </c>
      <c r="P1162" s="152">
        <v>96.176945000000003</v>
      </c>
      <c r="Q1162" s="152">
        <v>3.2977439999999998</v>
      </c>
      <c r="R1162" s="152" t="s">
        <v>1327</v>
      </c>
      <c r="S1162" s="152">
        <v>102.269903</v>
      </c>
      <c r="T1162" s="152">
        <v>1.374822</v>
      </c>
      <c r="U1162" s="152">
        <v>3.7621730000000002</v>
      </c>
      <c r="V1162" s="152">
        <v>16.800695999999999</v>
      </c>
      <c r="W1162" s="152">
        <v>1000</v>
      </c>
      <c r="X1162" s="152" t="s">
        <v>23</v>
      </c>
      <c r="Y1162" s="152" t="s">
        <v>1328</v>
      </c>
      <c r="Z1162" s="152" t="s">
        <v>1327</v>
      </c>
    </row>
    <row r="1163" spans="1:26" x14ac:dyDescent="0.2">
      <c r="A1163" s="152" t="s">
        <v>2331</v>
      </c>
      <c r="B1163" s="152">
        <v>3.7</v>
      </c>
      <c r="C1163" s="151">
        <v>43517</v>
      </c>
      <c r="D1163" s="152">
        <v>0.32602700000000001</v>
      </c>
      <c r="E1163" s="152" t="s">
        <v>1325</v>
      </c>
      <c r="F1163" s="152" t="s">
        <v>1326</v>
      </c>
      <c r="G1163" s="152"/>
      <c r="H1163" s="152"/>
      <c r="I1163" s="151">
        <v>42425</v>
      </c>
      <c r="J1163" s="152">
        <v>3.6996310000000001</v>
      </c>
      <c r="K1163" s="152" t="s">
        <v>1327</v>
      </c>
      <c r="L1163" s="152" t="s">
        <v>1327</v>
      </c>
      <c r="M1163" s="152" t="s">
        <v>1327</v>
      </c>
      <c r="N1163" s="152" t="s">
        <v>1327</v>
      </c>
      <c r="O1163" s="152">
        <v>3.4701019999999998</v>
      </c>
      <c r="P1163" s="152">
        <v>186.84793300000001</v>
      </c>
      <c r="Q1163" s="152">
        <v>3.4701019999999998</v>
      </c>
      <c r="R1163" s="152" t="s">
        <v>1327</v>
      </c>
      <c r="S1163" s="152">
        <v>100.055083</v>
      </c>
      <c r="T1163" s="152">
        <v>0.65890400000000005</v>
      </c>
      <c r="U1163" s="152">
        <v>0.320467</v>
      </c>
      <c r="V1163" s="152">
        <v>0.26019999999999999</v>
      </c>
      <c r="W1163" s="152">
        <v>1000</v>
      </c>
      <c r="X1163" s="152" t="s">
        <v>23</v>
      </c>
      <c r="Y1163" s="152" t="s">
        <v>1328</v>
      </c>
      <c r="Z1163" s="152" t="s">
        <v>1327</v>
      </c>
    </row>
    <row r="1164" spans="1:26" x14ac:dyDescent="0.2">
      <c r="A1164" s="152" t="s">
        <v>2332</v>
      </c>
      <c r="B1164" s="152">
        <v>3.65</v>
      </c>
      <c r="C1164" s="151">
        <v>43558</v>
      </c>
      <c r="D1164" s="152">
        <v>0.43835600000000002</v>
      </c>
      <c r="E1164" s="152" t="s">
        <v>1325</v>
      </c>
      <c r="F1164" s="152" t="s">
        <v>1326</v>
      </c>
      <c r="G1164" s="152"/>
      <c r="H1164" s="152"/>
      <c r="I1164" s="151">
        <v>42465</v>
      </c>
      <c r="J1164" s="152">
        <v>3.6495419999999998</v>
      </c>
      <c r="K1164" s="152" t="s">
        <v>1327</v>
      </c>
      <c r="L1164" s="152" t="s">
        <v>1327</v>
      </c>
      <c r="M1164" s="152" t="s">
        <v>1327</v>
      </c>
      <c r="N1164" s="152" t="s">
        <v>1327</v>
      </c>
      <c r="O1164" s="152">
        <v>3.5605549999999999</v>
      </c>
      <c r="P1164" s="152">
        <v>187.55537100000001</v>
      </c>
      <c r="Q1164" s="152">
        <v>3.5605549999999999</v>
      </c>
      <c r="R1164" s="152" t="s">
        <v>1327</v>
      </c>
      <c r="S1164" s="152">
        <v>100.041828</v>
      </c>
      <c r="T1164" s="152">
        <v>0.22</v>
      </c>
      <c r="U1164" s="152">
        <v>0.43068899999999999</v>
      </c>
      <c r="V1164" s="152">
        <v>0.39706999999999998</v>
      </c>
      <c r="W1164" s="152">
        <v>1000</v>
      </c>
      <c r="X1164" s="152" t="s">
        <v>23</v>
      </c>
      <c r="Y1164" s="152" t="s">
        <v>1328</v>
      </c>
      <c r="Z1164" s="152" t="s">
        <v>1327</v>
      </c>
    </row>
    <row r="1165" spans="1:26" x14ac:dyDescent="0.2">
      <c r="A1165" s="152" t="s">
        <v>2333</v>
      </c>
      <c r="B1165" s="152">
        <v>3.25</v>
      </c>
      <c r="C1165" s="151">
        <v>43701</v>
      </c>
      <c r="D1165" s="152">
        <v>0.83013700000000001</v>
      </c>
      <c r="E1165" s="152" t="s">
        <v>1325</v>
      </c>
      <c r="F1165" s="152" t="s">
        <v>1326</v>
      </c>
      <c r="G1165" s="152"/>
      <c r="H1165" s="152"/>
      <c r="I1165" s="151" t="s">
        <v>1327</v>
      </c>
      <c r="J1165" s="152" t="s">
        <v>1327</v>
      </c>
      <c r="K1165" s="152" t="s">
        <v>1327</v>
      </c>
      <c r="L1165" s="152" t="s">
        <v>1327</v>
      </c>
      <c r="M1165" s="152" t="s">
        <v>1327</v>
      </c>
      <c r="N1165" s="152" t="s">
        <v>1327</v>
      </c>
      <c r="O1165" s="152">
        <v>3.5368710000000001</v>
      </c>
      <c r="P1165" s="152">
        <v>178.270591</v>
      </c>
      <c r="Q1165" s="152">
        <v>3.5368710000000001</v>
      </c>
      <c r="R1165" s="152" t="s">
        <v>1327</v>
      </c>
      <c r="S1165" s="152">
        <v>99.749696</v>
      </c>
      <c r="T1165" s="152">
        <v>0.55205499999999996</v>
      </c>
      <c r="U1165" s="152">
        <v>0.81188300000000002</v>
      </c>
      <c r="V1165" s="152">
        <v>1.061844</v>
      </c>
      <c r="W1165" s="152">
        <v>1000</v>
      </c>
      <c r="X1165" s="152" t="s">
        <v>23</v>
      </c>
      <c r="Y1165" s="152" t="s">
        <v>1328</v>
      </c>
      <c r="Z1165" s="152" t="s">
        <v>1327</v>
      </c>
    </row>
    <row r="1166" spans="1:26" x14ac:dyDescent="0.2">
      <c r="A1166" s="152" t="s">
        <v>2334</v>
      </c>
      <c r="B1166" s="152">
        <v>3.25</v>
      </c>
      <c r="C1166" s="151">
        <v>43743</v>
      </c>
      <c r="D1166" s="152">
        <v>0.94520499999999996</v>
      </c>
      <c r="E1166" s="152" t="s">
        <v>1325</v>
      </c>
      <c r="F1166" s="152" t="s">
        <v>1326</v>
      </c>
      <c r="G1166" s="152"/>
      <c r="H1166" s="152"/>
      <c r="I1166" s="151" t="s">
        <v>1327</v>
      </c>
      <c r="J1166" s="152" t="s">
        <v>1327</v>
      </c>
      <c r="K1166" s="152" t="s">
        <v>1327</v>
      </c>
      <c r="L1166" s="152" t="s">
        <v>1327</v>
      </c>
      <c r="M1166" s="152" t="s">
        <v>1327</v>
      </c>
      <c r="N1166" s="152" t="s">
        <v>1327</v>
      </c>
      <c r="O1166" s="152">
        <v>3.5781079999999998</v>
      </c>
      <c r="P1166" s="152">
        <v>179.54355000000001</v>
      </c>
      <c r="Q1166" s="152">
        <v>3.5781079999999998</v>
      </c>
      <c r="R1166" s="152" t="s">
        <v>1327</v>
      </c>
      <c r="S1166" s="152">
        <v>99.701156999999995</v>
      </c>
      <c r="T1166" s="152">
        <v>0.17808199999999999</v>
      </c>
      <c r="U1166" s="152">
        <v>0.91937999999999998</v>
      </c>
      <c r="V1166" s="152">
        <v>1.3006720000000001</v>
      </c>
      <c r="W1166" s="152">
        <v>1000</v>
      </c>
      <c r="X1166" s="152" t="s">
        <v>23</v>
      </c>
      <c r="Y1166" s="152" t="s">
        <v>1328</v>
      </c>
      <c r="Z1166" s="152" t="s">
        <v>1327</v>
      </c>
    </row>
    <row r="1167" spans="1:26" x14ac:dyDescent="0.2">
      <c r="A1167" s="152" t="s">
        <v>2335</v>
      </c>
      <c r="B1167" s="152">
        <v>3.75</v>
      </c>
      <c r="C1167" s="151">
        <v>44216</v>
      </c>
      <c r="D1167" s="152">
        <v>2.2410960000000002</v>
      </c>
      <c r="E1167" s="152" t="s">
        <v>1325</v>
      </c>
      <c r="F1167" s="152" t="s">
        <v>1326</v>
      </c>
      <c r="G1167" s="152"/>
      <c r="H1167" s="152"/>
      <c r="I1167" s="151" t="s">
        <v>1327</v>
      </c>
      <c r="J1167" s="152" t="s">
        <v>1327</v>
      </c>
      <c r="K1167" s="152" t="s">
        <v>1327</v>
      </c>
      <c r="L1167" s="152" t="s">
        <v>1327</v>
      </c>
      <c r="M1167" s="152" t="s">
        <v>1327</v>
      </c>
      <c r="N1167" s="152" t="s">
        <v>1327</v>
      </c>
      <c r="O1167" s="152">
        <v>3.8274629999999998</v>
      </c>
      <c r="P1167" s="152">
        <v>181.30046899999999</v>
      </c>
      <c r="Q1167" s="152">
        <v>3.8274629999999998</v>
      </c>
      <c r="R1167" s="152" t="s">
        <v>1327</v>
      </c>
      <c r="S1167" s="152">
        <v>99.815489999999997</v>
      </c>
      <c r="T1167" s="152">
        <v>0.99657499999999999</v>
      </c>
      <c r="U1167" s="152">
        <v>2.1075789999999999</v>
      </c>
      <c r="V1167" s="152">
        <v>5.5994539999999997</v>
      </c>
      <c r="W1167" s="152">
        <v>1000</v>
      </c>
      <c r="X1167" s="152" t="s">
        <v>23</v>
      </c>
      <c r="Y1167" s="152" t="s">
        <v>1328</v>
      </c>
      <c r="Z1167" s="152" t="s">
        <v>1327</v>
      </c>
    </row>
    <row r="1168" spans="1:26" x14ac:dyDescent="0.2">
      <c r="A1168" s="152" t="s">
        <v>2336</v>
      </c>
      <c r="B1168" s="152">
        <v>3.75</v>
      </c>
      <c r="C1168" s="151">
        <v>44404</v>
      </c>
      <c r="D1168" s="152">
        <v>2.7561640000000001</v>
      </c>
      <c r="E1168" s="152" t="s">
        <v>1325</v>
      </c>
      <c r="F1168" s="152" t="s">
        <v>1326</v>
      </c>
      <c r="G1168" s="152"/>
      <c r="H1168" s="152"/>
      <c r="I1168" s="151" t="s">
        <v>1327</v>
      </c>
      <c r="J1168" s="152" t="s">
        <v>1327</v>
      </c>
      <c r="K1168" s="152" t="s">
        <v>1327</v>
      </c>
      <c r="L1168" s="152" t="s">
        <v>1327</v>
      </c>
      <c r="M1168" s="152" t="s">
        <v>1327</v>
      </c>
      <c r="N1168" s="152" t="s">
        <v>1327</v>
      </c>
      <c r="O1168" s="152">
        <v>4.0672620000000004</v>
      </c>
      <c r="P1168" s="152">
        <v>202.19001800000001</v>
      </c>
      <c r="Q1168" s="152">
        <v>4.0672620000000004</v>
      </c>
      <c r="R1168" s="152" t="s">
        <v>1327</v>
      </c>
      <c r="S1168" s="152">
        <v>99.160140999999996</v>
      </c>
      <c r="T1168" s="152">
        <v>0.92465799999999998</v>
      </c>
      <c r="U1168" s="152">
        <v>2.5698569999999998</v>
      </c>
      <c r="V1168" s="152">
        <v>8.0863560000000003</v>
      </c>
      <c r="W1168" s="152">
        <v>1000</v>
      </c>
      <c r="X1168" s="152" t="s">
        <v>23</v>
      </c>
      <c r="Y1168" s="152" t="s">
        <v>1328</v>
      </c>
      <c r="Z1168" s="152" t="s">
        <v>1327</v>
      </c>
    </row>
    <row r="1169" spans="1:26" x14ac:dyDescent="0.2">
      <c r="A1169" s="152" t="s">
        <v>2337</v>
      </c>
      <c r="B1169" s="152">
        <v>3.95</v>
      </c>
      <c r="C1169" s="151">
        <v>44425</v>
      </c>
      <c r="D1169" s="152">
        <v>2.8136990000000002</v>
      </c>
      <c r="E1169" s="152" t="s">
        <v>1325</v>
      </c>
      <c r="F1169" s="152" t="s">
        <v>1326</v>
      </c>
      <c r="G1169" s="152"/>
      <c r="H1169" s="152"/>
      <c r="I1169" s="151" t="s">
        <v>1327</v>
      </c>
      <c r="J1169" s="152" t="s">
        <v>1327</v>
      </c>
      <c r="K1169" s="152" t="s">
        <v>1327</v>
      </c>
      <c r="L1169" s="152" t="s">
        <v>1327</v>
      </c>
      <c r="M1169" s="152" t="s">
        <v>1327</v>
      </c>
      <c r="N1169" s="152" t="s">
        <v>1327</v>
      </c>
      <c r="O1169" s="152">
        <v>4.1072040000000003</v>
      </c>
      <c r="P1169" s="152">
        <v>205.56080800000001</v>
      </c>
      <c r="Q1169" s="152">
        <v>4.1072040000000003</v>
      </c>
      <c r="R1169" s="152" t="s">
        <v>1327</v>
      </c>
      <c r="S1169" s="152">
        <v>99.565173999999999</v>
      </c>
      <c r="T1169" s="152">
        <v>0.74671200000000004</v>
      </c>
      <c r="U1169" s="152">
        <v>2.619345</v>
      </c>
      <c r="V1169" s="152">
        <v>8.3769270000000002</v>
      </c>
      <c r="W1169" s="152">
        <v>1000</v>
      </c>
      <c r="X1169" s="152" t="s">
        <v>23</v>
      </c>
      <c r="Y1169" s="152" t="s">
        <v>1328</v>
      </c>
      <c r="Z1169" s="152" t="s">
        <v>1327</v>
      </c>
    </row>
    <row r="1170" spans="1:26" x14ac:dyDescent="0.2">
      <c r="A1170" s="152" t="s">
        <v>2338</v>
      </c>
      <c r="B1170" s="152">
        <v>3.75</v>
      </c>
      <c r="C1170" s="151">
        <v>44545</v>
      </c>
      <c r="D1170" s="152">
        <v>3.1424660000000002</v>
      </c>
      <c r="E1170" s="152" t="s">
        <v>1325</v>
      </c>
      <c r="F1170" s="152" t="s">
        <v>1326</v>
      </c>
      <c r="G1170" s="152"/>
      <c r="H1170" s="152"/>
      <c r="I1170" s="152" t="s">
        <v>1327</v>
      </c>
      <c r="J1170" s="152" t="s">
        <v>1327</v>
      </c>
      <c r="K1170" s="152" t="s">
        <v>1327</v>
      </c>
      <c r="L1170" s="152" t="s">
        <v>1327</v>
      </c>
      <c r="M1170" s="152" t="s">
        <v>1327</v>
      </c>
      <c r="N1170" s="152" t="s">
        <v>1327</v>
      </c>
      <c r="O1170" s="152">
        <v>4.1954849999999997</v>
      </c>
      <c r="P1170" s="152">
        <v>207.59252900000001</v>
      </c>
      <c r="Q1170" s="152">
        <v>4.1954849999999997</v>
      </c>
      <c r="R1170" s="152" t="s">
        <v>1327</v>
      </c>
      <c r="S1170" s="152">
        <v>98.693136999999993</v>
      </c>
      <c r="T1170" s="152">
        <v>1.3561639999999999</v>
      </c>
      <c r="U1170" s="152">
        <v>2.8900250000000001</v>
      </c>
      <c r="V1170" s="152">
        <v>10.130418000000001</v>
      </c>
      <c r="W1170" s="152">
        <v>1000</v>
      </c>
      <c r="X1170" s="152" t="s">
        <v>23</v>
      </c>
      <c r="Y1170" s="152" t="s">
        <v>1328</v>
      </c>
      <c r="Z1170" s="152" t="s">
        <v>1327</v>
      </c>
    </row>
    <row r="1171" spans="1:26" x14ac:dyDescent="0.2">
      <c r="A1171" s="152" t="s">
        <v>2339</v>
      </c>
      <c r="B1171" s="152">
        <v>2.4900000000000002</v>
      </c>
      <c r="C1171" s="151">
        <v>44475</v>
      </c>
      <c r="D1171" s="152">
        <v>2.950685</v>
      </c>
      <c r="E1171" s="152" t="s">
        <v>1325</v>
      </c>
      <c r="F1171" s="152" t="s">
        <v>1326</v>
      </c>
      <c r="G1171" s="152" t="s">
        <v>47</v>
      </c>
      <c r="H1171" s="152"/>
      <c r="I1171" s="152">
        <v>43360</v>
      </c>
      <c r="J1171" s="152">
        <v>2.6</v>
      </c>
      <c r="K1171" s="152" t="s">
        <v>1327</v>
      </c>
      <c r="L1171" s="152" t="s">
        <v>1327</v>
      </c>
      <c r="M1171" s="152" t="s">
        <v>1327</v>
      </c>
      <c r="N1171" s="152" t="s">
        <v>1327</v>
      </c>
      <c r="O1171" s="152">
        <v>2.6271170000000001</v>
      </c>
      <c r="P1171" s="152">
        <v>52.041007999999998</v>
      </c>
      <c r="Q1171" s="152">
        <v>2.6271170000000001</v>
      </c>
      <c r="R1171" s="152" t="s">
        <v>1327</v>
      </c>
      <c r="S1171" s="152">
        <v>99.616288999999995</v>
      </c>
      <c r="T1171" s="152">
        <v>0.12961600000000001</v>
      </c>
      <c r="U1171" s="152">
        <v>2.8186070000000001</v>
      </c>
      <c r="V1171" s="152">
        <v>9.4908509999999993</v>
      </c>
      <c r="W1171" s="152">
        <v>1000</v>
      </c>
      <c r="X1171" s="152" t="s">
        <v>23</v>
      </c>
      <c r="Y1171" s="152" t="s">
        <v>1328</v>
      </c>
      <c r="Z1171" s="152" t="s">
        <v>1327</v>
      </c>
    </row>
    <row r="1172" spans="1:26" x14ac:dyDescent="0.2">
      <c r="A1172" s="152" t="s">
        <v>547</v>
      </c>
      <c r="B1172" s="152">
        <v>2.8</v>
      </c>
      <c r="C1172" s="151">
        <v>44816</v>
      </c>
      <c r="D1172" s="152">
        <v>3.8849320000000001</v>
      </c>
      <c r="E1172" s="152" t="s">
        <v>1325</v>
      </c>
      <c r="F1172" s="152" t="s">
        <v>1326</v>
      </c>
      <c r="G1172" s="152" t="s">
        <v>47</v>
      </c>
      <c r="H1172" s="152"/>
      <c r="I1172" s="151">
        <v>43360</v>
      </c>
      <c r="J1172" s="152">
        <v>2.84</v>
      </c>
      <c r="K1172" s="152" t="s">
        <v>1327</v>
      </c>
      <c r="L1172" s="152" t="s">
        <v>1327</v>
      </c>
      <c r="M1172" s="152" t="s">
        <v>1327</v>
      </c>
      <c r="N1172" s="152" t="s">
        <v>1327</v>
      </c>
      <c r="O1172" s="152">
        <v>2.9263750000000002</v>
      </c>
      <c r="P1172" s="152">
        <v>59.638182</v>
      </c>
      <c r="Q1172" s="152">
        <v>2.9263750000000002</v>
      </c>
      <c r="R1172" s="152" t="s">
        <v>1327</v>
      </c>
      <c r="S1172" s="152">
        <v>99.549499999999995</v>
      </c>
      <c r="T1172" s="152">
        <v>0.32986300000000002</v>
      </c>
      <c r="U1172" s="152">
        <v>3.636282</v>
      </c>
      <c r="V1172" s="152">
        <v>15.441865999999999</v>
      </c>
      <c r="W1172" s="152">
        <v>1000</v>
      </c>
      <c r="X1172" s="152" t="s">
        <v>23</v>
      </c>
      <c r="Y1172" s="152" t="s">
        <v>1328</v>
      </c>
      <c r="Z1172" s="152" t="s">
        <v>1327</v>
      </c>
    </row>
    <row r="1173" spans="1:26" x14ac:dyDescent="0.2">
      <c r="A1173" s="152" t="s">
        <v>2340</v>
      </c>
      <c r="B1173" s="152">
        <v>4.75</v>
      </c>
      <c r="C1173" s="151">
        <v>44029</v>
      </c>
      <c r="D1173" s="152">
        <v>1.7287669999999999</v>
      </c>
      <c r="E1173" s="152" t="s">
        <v>1325</v>
      </c>
      <c r="F1173" s="152" t="s">
        <v>1326</v>
      </c>
      <c r="G1173" s="152" t="s">
        <v>47</v>
      </c>
      <c r="H1173" s="152"/>
      <c r="I1173" s="151">
        <v>43245</v>
      </c>
      <c r="J1173" s="152">
        <v>2.0874999999999999</v>
      </c>
      <c r="K1173" s="152" t="s">
        <v>1327</v>
      </c>
      <c r="L1173" s="152" t="s">
        <v>1327</v>
      </c>
      <c r="M1173" s="152" t="s">
        <v>1327</v>
      </c>
      <c r="N1173" s="152" t="s">
        <v>1327</v>
      </c>
      <c r="O1173" s="152">
        <v>2.2870309999999998</v>
      </c>
      <c r="P1173" s="152">
        <v>31.938704999999999</v>
      </c>
      <c r="Q1173" s="152">
        <v>2.2870309999999998</v>
      </c>
      <c r="R1173" s="152" t="s">
        <v>1327</v>
      </c>
      <c r="S1173" s="152">
        <v>104.13194799999999</v>
      </c>
      <c r="T1173" s="152">
        <v>1.3013699999999999</v>
      </c>
      <c r="U1173" s="152">
        <v>1.6446099999999999</v>
      </c>
      <c r="V1173" s="152">
        <v>3.589696</v>
      </c>
      <c r="W1173" s="152">
        <v>1000</v>
      </c>
      <c r="X1173" s="152" t="s">
        <v>23</v>
      </c>
      <c r="Y1173" s="152" t="s">
        <v>1328</v>
      </c>
      <c r="Z1173" s="152" t="s">
        <v>1327</v>
      </c>
    </row>
    <row r="1174" spans="1:26" x14ac:dyDescent="0.2">
      <c r="A1174" s="152" t="s">
        <v>2341</v>
      </c>
      <c r="B1174" s="152">
        <v>4.75</v>
      </c>
      <c r="C1174" s="151">
        <v>44037</v>
      </c>
      <c r="D1174" s="152">
        <v>1.750685</v>
      </c>
      <c r="E1174" s="152" t="s">
        <v>1325</v>
      </c>
      <c r="F1174" s="152" t="s">
        <v>1326</v>
      </c>
      <c r="G1174" s="152" t="s">
        <v>47</v>
      </c>
      <c r="H1174" s="152"/>
      <c r="I1174" s="152" t="s">
        <v>1327</v>
      </c>
      <c r="J1174" s="152" t="s">
        <v>1327</v>
      </c>
      <c r="K1174" s="152" t="s">
        <v>1327</v>
      </c>
      <c r="L1174" s="152" t="s">
        <v>1327</v>
      </c>
      <c r="M1174" s="152" t="s">
        <v>1327</v>
      </c>
      <c r="N1174" s="152" t="s">
        <v>1327</v>
      </c>
      <c r="O1174" s="152">
        <v>2.3911530000000001</v>
      </c>
      <c r="P1174" s="152">
        <v>42.047393999999997</v>
      </c>
      <c r="Q1174" s="152">
        <v>2.3911530000000001</v>
      </c>
      <c r="R1174" s="152" t="s">
        <v>1327</v>
      </c>
      <c r="S1174" s="152">
        <v>104.000899</v>
      </c>
      <c r="T1174" s="152">
        <v>1.19726</v>
      </c>
      <c r="U1174" s="152">
        <v>1.6653480000000001</v>
      </c>
      <c r="V1174" s="152">
        <v>3.668177</v>
      </c>
      <c r="W1174" s="152">
        <v>1000</v>
      </c>
      <c r="X1174" s="152" t="s">
        <v>23</v>
      </c>
      <c r="Y1174" s="152" t="s">
        <v>1328</v>
      </c>
      <c r="Z1174" s="152" t="s">
        <v>1327</v>
      </c>
    </row>
    <row r="1175" spans="1:26" x14ac:dyDescent="0.2">
      <c r="A1175" s="152" t="s">
        <v>2342</v>
      </c>
      <c r="B1175" s="152">
        <v>4.93</v>
      </c>
      <c r="C1175" s="151">
        <v>44766</v>
      </c>
      <c r="D1175" s="152">
        <v>3.7479450000000001</v>
      </c>
      <c r="E1175" s="152" t="s">
        <v>1325</v>
      </c>
      <c r="F1175" s="152" t="s">
        <v>1326</v>
      </c>
      <c r="G1175" s="152" t="s">
        <v>47</v>
      </c>
      <c r="H1175" s="152"/>
      <c r="I1175" s="152">
        <v>41411</v>
      </c>
      <c r="J1175" s="152">
        <v>4.58</v>
      </c>
      <c r="K1175" s="152">
        <v>41362</v>
      </c>
      <c r="L1175" s="152">
        <v>4.6658650000000002</v>
      </c>
      <c r="M1175" s="152">
        <v>5.272532</v>
      </c>
      <c r="N1175" s="152">
        <v>4.6635309999999999</v>
      </c>
      <c r="O1175" s="152">
        <v>2.977176</v>
      </c>
      <c r="P1175" s="152">
        <v>67.969247999999993</v>
      </c>
      <c r="Q1175" s="152">
        <v>2.977176</v>
      </c>
      <c r="R1175" s="152" t="s">
        <v>1327</v>
      </c>
      <c r="S1175" s="152">
        <v>106.85480699999999</v>
      </c>
      <c r="T1175" s="152">
        <v>1.2561370000000001</v>
      </c>
      <c r="U1175" s="152">
        <v>3.3910969999999998</v>
      </c>
      <c r="V1175" s="152">
        <v>13.831785999999999</v>
      </c>
      <c r="W1175" s="152">
        <v>1000</v>
      </c>
      <c r="X1175" s="152" t="s">
        <v>23</v>
      </c>
      <c r="Y1175" s="152" t="s">
        <v>1328</v>
      </c>
      <c r="Z1175" s="152" t="s">
        <v>1327</v>
      </c>
    </row>
    <row r="1176" spans="1:26" x14ac:dyDescent="0.2">
      <c r="A1176" s="152" t="s">
        <v>2343</v>
      </c>
      <c r="B1176" s="152">
        <v>4.7</v>
      </c>
      <c r="C1176" s="151">
        <v>44811</v>
      </c>
      <c r="D1176" s="152">
        <v>3.8712330000000001</v>
      </c>
      <c r="E1176" s="152" t="s">
        <v>1325</v>
      </c>
      <c r="F1176" s="152" t="s">
        <v>1326</v>
      </c>
      <c r="G1176" s="152" t="s">
        <v>47</v>
      </c>
      <c r="H1176" s="152"/>
      <c r="I1176" s="152">
        <v>42958</v>
      </c>
      <c r="J1176" s="152">
        <v>2.63</v>
      </c>
      <c r="K1176" s="152">
        <v>41362</v>
      </c>
      <c r="L1176" s="152">
        <v>4.8000489999999996</v>
      </c>
      <c r="M1176" s="152">
        <v>5.2794160000000003</v>
      </c>
      <c r="N1176" s="152">
        <v>4.8000489999999996</v>
      </c>
      <c r="O1176" s="152">
        <v>3.0077310000000002</v>
      </c>
      <c r="P1176" s="152">
        <v>68.854027000000002</v>
      </c>
      <c r="Q1176" s="152">
        <v>3.0077310000000002</v>
      </c>
      <c r="R1176" s="152" t="s">
        <v>1327</v>
      </c>
      <c r="S1176" s="152">
        <v>106.146325</v>
      </c>
      <c r="T1176" s="152">
        <v>0.61808200000000002</v>
      </c>
      <c r="U1176" s="152">
        <v>3.5155599999999998</v>
      </c>
      <c r="V1176" s="152">
        <v>14.730394</v>
      </c>
      <c r="W1176" s="152">
        <v>1000</v>
      </c>
      <c r="X1176" s="152" t="s">
        <v>23</v>
      </c>
      <c r="Y1176" s="152" t="s">
        <v>1328</v>
      </c>
      <c r="Z1176" s="152" t="s">
        <v>1327</v>
      </c>
    </row>
    <row r="1177" spans="1:26" x14ac:dyDescent="0.2">
      <c r="A1177" s="152" t="s">
        <v>2344</v>
      </c>
      <c r="B1177" s="152">
        <v>4.72</v>
      </c>
      <c r="C1177" s="151">
        <v>44824</v>
      </c>
      <c r="D1177" s="152">
        <v>3.9068489999999998</v>
      </c>
      <c r="E1177" s="152" t="s">
        <v>1325</v>
      </c>
      <c r="F1177" s="152" t="s">
        <v>1326</v>
      </c>
      <c r="G1177" s="152" t="s">
        <v>47</v>
      </c>
      <c r="H1177" s="152"/>
      <c r="I1177" s="152">
        <v>42908</v>
      </c>
      <c r="J1177" s="152">
        <v>2.86</v>
      </c>
      <c r="K1177" s="152">
        <v>41362</v>
      </c>
      <c r="L1177" s="152">
        <v>4.7959569999999996</v>
      </c>
      <c r="M1177" s="152">
        <v>5.2794160000000003</v>
      </c>
      <c r="N1177" s="152">
        <v>4.7959569999999996</v>
      </c>
      <c r="O1177" s="152">
        <v>3.014529</v>
      </c>
      <c r="P1177" s="152">
        <v>69.233754000000005</v>
      </c>
      <c r="Q1177" s="152">
        <v>3.014529</v>
      </c>
      <c r="R1177" s="152" t="s">
        <v>1327</v>
      </c>
      <c r="S1177" s="152">
        <v>106.247665</v>
      </c>
      <c r="T1177" s="152">
        <v>0.45260299999999998</v>
      </c>
      <c r="U1177" s="152">
        <v>3.5494520000000001</v>
      </c>
      <c r="V1177" s="152">
        <v>14.988495</v>
      </c>
      <c r="W1177" s="152">
        <v>1000</v>
      </c>
      <c r="X1177" s="152" t="s">
        <v>23</v>
      </c>
      <c r="Y1177" s="152" t="s">
        <v>1328</v>
      </c>
      <c r="Z1177" s="152" t="s">
        <v>1327</v>
      </c>
    </row>
    <row r="1178" spans="1:26" x14ac:dyDescent="0.2">
      <c r="A1178" s="152" t="s">
        <v>2345</v>
      </c>
      <c r="B1178" s="152">
        <v>3.125</v>
      </c>
      <c r="C1178" s="151">
        <v>45002</v>
      </c>
      <c r="D1178" s="152">
        <v>4.3945210000000001</v>
      </c>
      <c r="E1178" s="152" t="s">
        <v>1325</v>
      </c>
      <c r="F1178" s="152" t="s">
        <v>1326</v>
      </c>
      <c r="G1178" s="152"/>
      <c r="H1178" s="152"/>
      <c r="I1178" s="151">
        <v>42989</v>
      </c>
      <c r="J1178" s="152">
        <v>2.85</v>
      </c>
      <c r="K1178" s="152" t="s">
        <v>1327</v>
      </c>
      <c r="L1178" s="152" t="s">
        <v>1327</v>
      </c>
      <c r="M1178" s="152" t="s">
        <v>1327</v>
      </c>
      <c r="N1178" s="152" t="s">
        <v>1327</v>
      </c>
      <c r="O1178" s="152">
        <v>3.1589740000000002</v>
      </c>
      <c r="P1178" s="152">
        <v>79.454628</v>
      </c>
      <c r="Q1178" s="152">
        <v>3.1589740000000002</v>
      </c>
      <c r="R1178" s="152" t="s">
        <v>1327</v>
      </c>
      <c r="S1178" s="152">
        <v>99.844731999999993</v>
      </c>
      <c r="T1178" s="152">
        <v>0.51369900000000002</v>
      </c>
      <c r="U1178" s="152">
        <v>4.0577940000000003</v>
      </c>
      <c r="V1178" s="152">
        <v>19.161964000000001</v>
      </c>
      <c r="W1178" s="152">
        <v>1000</v>
      </c>
      <c r="X1178" s="152" t="s">
        <v>23</v>
      </c>
      <c r="Y1178" s="152" t="s">
        <v>1328</v>
      </c>
      <c r="Z1178" s="152" t="s">
        <v>1327</v>
      </c>
    </row>
    <row r="1179" spans="1:26" x14ac:dyDescent="0.2">
      <c r="A1179" s="152" t="s">
        <v>681</v>
      </c>
      <c r="B1179" s="152">
        <v>3.57</v>
      </c>
      <c r="C1179" s="151">
        <v>46079</v>
      </c>
      <c r="D1179" s="152">
        <v>7.345205</v>
      </c>
      <c r="E1179" s="152" t="s">
        <v>1325</v>
      </c>
      <c r="F1179" s="152" t="s">
        <v>1326</v>
      </c>
      <c r="G1179" s="152"/>
      <c r="H1179" s="152"/>
      <c r="I1179" s="151" t="s">
        <v>1327</v>
      </c>
      <c r="J1179" s="152" t="s">
        <v>1327</v>
      </c>
      <c r="K1179" s="152" t="s">
        <v>1327</v>
      </c>
      <c r="L1179" s="152" t="s">
        <v>1327</v>
      </c>
      <c r="M1179" s="152" t="s">
        <v>1327</v>
      </c>
      <c r="N1179" s="152" t="s">
        <v>1327</v>
      </c>
      <c r="O1179" s="152">
        <v>3.470186</v>
      </c>
      <c r="P1179" s="152">
        <v>80.217599000000007</v>
      </c>
      <c r="Q1179" s="152">
        <v>3.470186</v>
      </c>
      <c r="R1179" s="152" t="s">
        <v>1327</v>
      </c>
      <c r="S1179" s="152">
        <v>100.623863</v>
      </c>
      <c r="T1179" s="152">
        <v>0.58684899999999995</v>
      </c>
      <c r="U1179" s="152">
        <v>6.3782030000000001</v>
      </c>
      <c r="V1179" s="152">
        <v>47.17042</v>
      </c>
      <c r="W1179" s="152">
        <v>1000</v>
      </c>
      <c r="X1179" s="152" t="s">
        <v>23</v>
      </c>
      <c r="Y1179" s="152" t="s">
        <v>1328</v>
      </c>
      <c r="Z1179" s="152" t="s">
        <v>1327</v>
      </c>
    </row>
    <row r="1180" spans="1:26" x14ac:dyDescent="0.2">
      <c r="A1180" s="152" t="s">
        <v>2346</v>
      </c>
      <c r="B1180" s="152">
        <v>3.78</v>
      </c>
      <c r="C1180" s="151">
        <v>46588</v>
      </c>
      <c r="D1180" s="152">
        <v>8.7397259999999992</v>
      </c>
      <c r="E1180" s="152" t="s">
        <v>1325</v>
      </c>
      <c r="F1180" s="152" t="s">
        <v>1326</v>
      </c>
      <c r="G1180" s="152"/>
      <c r="H1180" s="152"/>
      <c r="I1180" s="151" t="s">
        <v>1327</v>
      </c>
      <c r="J1180" s="152" t="s">
        <v>1327</v>
      </c>
      <c r="K1180" s="152" t="s">
        <v>1327</v>
      </c>
      <c r="L1180" s="152" t="s">
        <v>1327</v>
      </c>
      <c r="M1180" s="152" t="s">
        <v>1327</v>
      </c>
      <c r="N1180" s="152" t="s">
        <v>1327</v>
      </c>
      <c r="O1180" s="152">
        <v>3.5880380000000001</v>
      </c>
      <c r="P1180" s="152">
        <v>80.617840999999999</v>
      </c>
      <c r="Q1180" s="152">
        <v>3.5880380000000001</v>
      </c>
      <c r="R1180" s="152" t="s">
        <v>1327</v>
      </c>
      <c r="S1180" s="152">
        <v>101.409313</v>
      </c>
      <c r="T1180" s="152">
        <v>1.004548</v>
      </c>
      <c r="U1180" s="152">
        <v>7.3302899999999998</v>
      </c>
      <c r="V1180" s="152">
        <v>63.128515</v>
      </c>
      <c r="W1180" s="152">
        <v>1000</v>
      </c>
      <c r="X1180" s="152" t="s">
        <v>23</v>
      </c>
      <c r="Y1180" s="152" t="s">
        <v>1328</v>
      </c>
      <c r="Z1180" s="152" t="s">
        <v>1327</v>
      </c>
    </row>
    <row r="1181" spans="1:26" x14ac:dyDescent="0.2">
      <c r="A1181" s="152" t="s">
        <v>2347</v>
      </c>
      <c r="B1181" s="152">
        <v>5.0999999999999996</v>
      </c>
      <c r="C1181" s="151">
        <v>46698</v>
      </c>
      <c r="D1181" s="152">
        <v>9.0410959999999996</v>
      </c>
      <c r="E1181" s="152" t="s">
        <v>1325</v>
      </c>
      <c r="F1181" s="152" t="s">
        <v>1326</v>
      </c>
      <c r="G1181" s="152" t="s">
        <v>47</v>
      </c>
      <c r="H1181" s="152"/>
      <c r="I1181" s="152">
        <v>43125</v>
      </c>
      <c r="J1181" s="152">
        <v>3.42</v>
      </c>
      <c r="K1181" s="152" t="s">
        <v>1327</v>
      </c>
      <c r="L1181" s="152" t="s">
        <v>1327</v>
      </c>
      <c r="M1181" s="152" t="s">
        <v>1327</v>
      </c>
      <c r="N1181" s="152" t="s">
        <v>1327</v>
      </c>
      <c r="O1181" s="152">
        <v>3.5973920000000001</v>
      </c>
      <c r="P1181" s="152">
        <v>81.352220000000003</v>
      </c>
      <c r="Q1181" s="152">
        <v>3.5973920000000001</v>
      </c>
      <c r="R1181" s="152" t="s">
        <v>1327</v>
      </c>
      <c r="S1181" s="152">
        <v>111.505689</v>
      </c>
      <c r="T1181" s="152">
        <v>-0.181644</v>
      </c>
      <c r="U1181" s="152">
        <v>7.3362720000000001</v>
      </c>
      <c r="V1181" s="152">
        <v>64.099245999999994</v>
      </c>
      <c r="W1181" s="152">
        <v>1000</v>
      </c>
      <c r="X1181" s="152" t="s">
        <v>23</v>
      </c>
      <c r="Y1181" s="152" t="s">
        <v>1328</v>
      </c>
      <c r="Z1181" s="152" t="s">
        <v>1327</v>
      </c>
    </row>
    <row r="1182" spans="1:26" x14ac:dyDescent="0.2">
      <c r="A1182" s="152" t="s">
        <v>2348</v>
      </c>
      <c r="B1182" s="152">
        <v>3.5</v>
      </c>
      <c r="C1182" s="151">
        <v>46868</v>
      </c>
      <c r="D1182" s="152">
        <v>9.5068490000000008</v>
      </c>
      <c r="E1182" s="152" t="s">
        <v>1325</v>
      </c>
      <c r="F1182" s="152" t="s">
        <v>1326</v>
      </c>
      <c r="G1182" s="152"/>
      <c r="H1182" s="152"/>
      <c r="I1182" s="151" t="s">
        <v>1327</v>
      </c>
      <c r="J1182" s="152" t="s">
        <v>1327</v>
      </c>
      <c r="K1182" s="152" t="s">
        <v>1327</v>
      </c>
      <c r="L1182" s="152" t="s">
        <v>1327</v>
      </c>
      <c r="M1182" s="152" t="s">
        <v>1327</v>
      </c>
      <c r="N1182" s="152" t="s">
        <v>1327</v>
      </c>
      <c r="O1182" s="152">
        <v>3.6101139999999998</v>
      </c>
      <c r="P1182" s="152">
        <v>82.069603999999998</v>
      </c>
      <c r="Q1182" s="152">
        <v>3.6101139999999998</v>
      </c>
      <c r="R1182" s="152" t="s">
        <v>1327</v>
      </c>
      <c r="S1182" s="152">
        <v>99.125926000000007</v>
      </c>
      <c r="T1182" s="152">
        <v>0</v>
      </c>
      <c r="U1182" s="152">
        <v>8.0102379999999993</v>
      </c>
      <c r="V1182" s="152">
        <v>74.56532</v>
      </c>
      <c r="W1182" s="152">
        <v>1000</v>
      </c>
      <c r="X1182" s="152" t="s">
        <v>23</v>
      </c>
      <c r="Y1182" s="152" t="s">
        <v>1328</v>
      </c>
      <c r="Z1182" s="152" t="s">
        <v>1327</v>
      </c>
    </row>
    <row r="1183" spans="1:26" x14ac:dyDescent="0.2">
      <c r="A1183" s="152" t="s">
        <v>2349</v>
      </c>
      <c r="B1183" s="152">
        <v>3.9</v>
      </c>
      <c r="C1183" s="151">
        <v>48724</v>
      </c>
      <c r="D1183" s="152">
        <v>14.591780999999999</v>
      </c>
      <c r="E1183" s="152" t="s">
        <v>1325</v>
      </c>
      <c r="F1183" s="152" t="s">
        <v>1326</v>
      </c>
      <c r="G1183" s="152"/>
      <c r="H1183" s="152"/>
      <c r="I1183" s="151" t="s">
        <v>1327</v>
      </c>
      <c r="J1183" s="152" t="s">
        <v>1327</v>
      </c>
      <c r="K1183" s="152" t="s">
        <v>1327</v>
      </c>
      <c r="L1183" s="152" t="s">
        <v>1327</v>
      </c>
      <c r="M1183" s="152" t="s">
        <v>1327</v>
      </c>
      <c r="N1183" s="152" t="s">
        <v>1327</v>
      </c>
      <c r="O1183" s="152">
        <v>4.041804</v>
      </c>
      <c r="P1183" s="152">
        <v>76.381828999999996</v>
      </c>
      <c r="Q1183" s="152">
        <v>4.041804</v>
      </c>
      <c r="R1183" s="152" t="s">
        <v>1327</v>
      </c>
      <c r="S1183" s="152">
        <v>98.430055999999993</v>
      </c>
      <c r="T1183" s="152">
        <v>1.634795</v>
      </c>
      <c r="U1183" s="152">
        <v>10.828443</v>
      </c>
      <c r="V1183" s="152">
        <v>145.53285</v>
      </c>
      <c r="W1183" s="152">
        <v>1000</v>
      </c>
      <c r="X1183" s="152" t="s">
        <v>23</v>
      </c>
      <c r="Y1183" s="152" t="s">
        <v>1328</v>
      </c>
      <c r="Z1183" s="152" t="s">
        <v>1327</v>
      </c>
    </row>
    <row r="1184" spans="1:26" x14ac:dyDescent="0.2">
      <c r="A1184" s="152" t="s">
        <v>2350</v>
      </c>
      <c r="B1184" s="152">
        <v>1.9</v>
      </c>
      <c r="C1184" s="151">
        <v>43504</v>
      </c>
      <c r="D1184" s="152">
        <v>0.29041099999999997</v>
      </c>
      <c r="E1184" s="152" t="s">
        <v>1325</v>
      </c>
      <c r="F1184" s="152" t="s">
        <v>1326</v>
      </c>
      <c r="G1184" s="152"/>
      <c r="H1184" s="152" t="s">
        <v>1278</v>
      </c>
      <c r="I1184" s="152">
        <v>43347</v>
      </c>
      <c r="J1184" s="152">
        <v>2</v>
      </c>
      <c r="K1184" s="152" t="s">
        <v>1327</v>
      </c>
      <c r="L1184" s="152" t="s">
        <v>1327</v>
      </c>
      <c r="M1184" s="152" t="s">
        <v>1327</v>
      </c>
      <c r="N1184" s="152" t="s">
        <v>1327</v>
      </c>
      <c r="O1184" s="152">
        <v>2.1813600000000002</v>
      </c>
      <c r="P1184" s="152">
        <v>60.560271</v>
      </c>
      <c r="Q1184" s="152">
        <v>2.1813600000000002</v>
      </c>
      <c r="R1184" s="152" t="s">
        <v>1327</v>
      </c>
      <c r="S1184" s="152">
        <v>99.914691000000005</v>
      </c>
      <c r="T1184" s="152">
        <v>0.40082200000000001</v>
      </c>
      <c r="U1184" s="152">
        <v>0.287663</v>
      </c>
      <c r="V1184" s="152">
        <v>0.15456500000000001</v>
      </c>
      <c r="W1184" s="152">
        <v>1000</v>
      </c>
      <c r="X1184" s="152" t="s">
        <v>23</v>
      </c>
      <c r="Y1184" s="152" t="s">
        <v>1328</v>
      </c>
      <c r="Z1184" s="152" t="s">
        <v>1327</v>
      </c>
    </row>
    <row r="1185" spans="1:26" x14ac:dyDescent="0.2">
      <c r="A1185" s="152" t="s">
        <v>2351</v>
      </c>
      <c r="B1185" s="152">
        <v>1.9</v>
      </c>
      <c r="C1185" s="151">
        <v>43580</v>
      </c>
      <c r="D1185" s="152">
        <v>0.49863000000000002</v>
      </c>
      <c r="E1185" s="152" t="s">
        <v>1325</v>
      </c>
      <c r="F1185" s="152" t="s">
        <v>1326</v>
      </c>
      <c r="G1185" s="152"/>
      <c r="H1185" s="152" t="s">
        <v>1278</v>
      </c>
      <c r="I1185" s="152">
        <v>43215</v>
      </c>
      <c r="J1185" s="152">
        <v>1.9</v>
      </c>
      <c r="K1185" s="152" t="s">
        <v>1327</v>
      </c>
      <c r="L1185" s="152" t="s">
        <v>1327</v>
      </c>
      <c r="M1185" s="152" t="s">
        <v>1327</v>
      </c>
      <c r="N1185" s="152" t="s">
        <v>1327</v>
      </c>
      <c r="O1185" s="152">
        <v>2.2191390000000002</v>
      </c>
      <c r="P1185" s="152">
        <v>50.776235999999997</v>
      </c>
      <c r="Q1185" s="152">
        <v>2.2191390000000002</v>
      </c>
      <c r="R1185" s="152" t="s">
        <v>1327</v>
      </c>
      <c r="S1185" s="152">
        <v>99.837209000000001</v>
      </c>
      <c r="T1185" s="152">
        <v>0</v>
      </c>
      <c r="U1185" s="152">
        <v>0.49810900000000002</v>
      </c>
      <c r="V1185" s="152">
        <v>0.37224299999999999</v>
      </c>
      <c r="W1185" s="152">
        <v>1000</v>
      </c>
      <c r="X1185" s="152" t="s">
        <v>23</v>
      </c>
      <c r="Y1185" s="152" t="s">
        <v>1328</v>
      </c>
      <c r="Z1185" s="152" t="s">
        <v>1327</v>
      </c>
    </row>
    <row r="1186" spans="1:26" x14ac:dyDescent="0.2">
      <c r="A1186" s="152" t="s">
        <v>2352</v>
      </c>
      <c r="B1186" s="152">
        <v>4.25</v>
      </c>
      <c r="C1186" s="151">
        <v>43731</v>
      </c>
      <c r="D1186" s="152">
        <v>0.91232899999999995</v>
      </c>
      <c r="E1186" s="152" t="s">
        <v>1355</v>
      </c>
      <c r="F1186" s="152" t="s">
        <v>1326</v>
      </c>
      <c r="G1186" s="152" t="s">
        <v>2353</v>
      </c>
      <c r="H1186" s="152"/>
      <c r="I1186" s="152">
        <v>43091</v>
      </c>
      <c r="J1186" s="152">
        <v>2.165</v>
      </c>
      <c r="K1186" s="152" t="s">
        <v>1327</v>
      </c>
      <c r="L1186" s="152" t="s">
        <v>1327</v>
      </c>
      <c r="M1186" s="152" t="s">
        <v>1327</v>
      </c>
      <c r="N1186" s="152" t="s">
        <v>1327</v>
      </c>
      <c r="O1186" s="152">
        <v>2.488486</v>
      </c>
      <c r="P1186" s="152">
        <v>71.486485000000002</v>
      </c>
      <c r="Q1186" s="152">
        <v>2.488486</v>
      </c>
      <c r="R1186" s="152" t="s">
        <v>1327</v>
      </c>
      <c r="S1186" s="152">
        <v>101.529774</v>
      </c>
      <c r="T1186" s="152">
        <v>2.3288E-2</v>
      </c>
      <c r="U1186" s="152">
        <v>0.86399400000000004</v>
      </c>
      <c r="V1186" s="152">
        <v>0.84348800000000002</v>
      </c>
      <c r="W1186" s="152">
        <v>7619.5926609999997</v>
      </c>
      <c r="X1186" s="152" t="s">
        <v>23</v>
      </c>
      <c r="Y1186" s="152" t="s">
        <v>1328</v>
      </c>
      <c r="Z1186" s="152" t="s">
        <v>1327</v>
      </c>
    </row>
    <row r="1187" spans="1:26" x14ac:dyDescent="0.2">
      <c r="A1187" s="152" t="s">
        <v>2354</v>
      </c>
      <c r="B1187" s="152">
        <v>3.35</v>
      </c>
      <c r="C1187" s="151">
        <v>44159</v>
      </c>
      <c r="D1187" s="152">
        <v>2.0849319999999998</v>
      </c>
      <c r="E1187" s="152" t="s">
        <v>1355</v>
      </c>
      <c r="F1187" s="152" t="s">
        <v>1326</v>
      </c>
      <c r="G1187" s="152" t="s">
        <v>2353</v>
      </c>
      <c r="H1187" s="152"/>
      <c r="I1187" s="152">
        <v>43343</v>
      </c>
      <c r="J1187" s="152">
        <v>2.56</v>
      </c>
      <c r="K1187" s="152" t="s">
        <v>1327</v>
      </c>
      <c r="L1187" s="152" t="s">
        <v>1327</v>
      </c>
      <c r="M1187" s="152" t="s">
        <v>1327</v>
      </c>
      <c r="N1187" s="152" t="s">
        <v>1327</v>
      </c>
      <c r="O1187" s="152">
        <v>2.673422</v>
      </c>
      <c r="P1187" s="152">
        <v>67.233620000000002</v>
      </c>
      <c r="Q1187" s="152">
        <v>2.673422</v>
      </c>
      <c r="R1187" s="152" t="s">
        <v>1327</v>
      </c>
      <c r="S1187" s="152">
        <v>101.34337499999999</v>
      </c>
      <c r="T1187" s="152">
        <v>9.1780000000000004E-3</v>
      </c>
      <c r="U1187" s="152">
        <v>1.961649</v>
      </c>
      <c r="V1187" s="152">
        <v>4.1558700000000002</v>
      </c>
      <c r="W1187" s="152">
        <v>9373.2131649999992</v>
      </c>
      <c r="X1187" s="152" t="s">
        <v>23</v>
      </c>
      <c r="Y1187" s="152" t="s">
        <v>1328</v>
      </c>
      <c r="Z1187" s="152" t="s">
        <v>1327</v>
      </c>
    </row>
    <row r="1188" spans="1:26" x14ac:dyDescent="0.2">
      <c r="A1188" s="152" t="s">
        <v>2355</v>
      </c>
      <c r="B1188" s="152">
        <v>3.24</v>
      </c>
      <c r="C1188" s="151">
        <v>44529</v>
      </c>
      <c r="D1188" s="152">
        <v>3.09863</v>
      </c>
      <c r="E1188" s="152" t="s">
        <v>1355</v>
      </c>
      <c r="F1188" s="152" t="s">
        <v>1326</v>
      </c>
      <c r="G1188" s="152" t="s">
        <v>2353</v>
      </c>
      <c r="H1188" s="152"/>
      <c r="I1188" s="152">
        <v>43167</v>
      </c>
      <c r="J1188" s="152">
        <v>2.5249999999999999</v>
      </c>
      <c r="K1188" s="152" t="s">
        <v>1327</v>
      </c>
      <c r="L1188" s="152" t="s">
        <v>1327</v>
      </c>
      <c r="M1188" s="152" t="s">
        <v>1327</v>
      </c>
      <c r="N1188" s="152" t="s">
        <v>1327</v>
      </c>
      <c r="O1188" s="152">
        <v>3.0550090000000001</v>
      </c>
      <c r="P1188" s="152">
        <v>95.840759000000006</v>
      </c>
      <c r="Q1188" s="152">
        <v>3.0550090000000001</v>
      </c>
      <c r="R1188" s="152" t="s">
        <v>1327</v>
      </c>
      <c r="S1188" s="152">
        <v>100.513176</v>
      </c>
      <c r="T1188" s="152">
        <v>-3.5506999999999997E-2</v>
      </c>
      <c r="U1188" s="152">
        <v>2.7053600000000002</v>
      </c>
      <c r="V1188" s="152">
        <v>8.1753129999999992</v>
      </c>
      <c r="W1188" s="152">
        <v>9098.9855800000005</v>
      </c>
      <c r="X1188" s="152" t="s">
        <v>23</v>
      </c>
      <c r="Y1188" s="152" t="s">
        <v>1328</v>
      </c>
      <c r="Z1188" s="152" t="s">
        <v>1327</v>
      </c>
    </row>
    <row r="1189" spans="1:26" x14ac:dyDescent="0.2">
      <c r="A1189" s="152" t="s">
        <v>562</v>
      </c>
      <c r="B1189" s="152">
        <v>2.16</v>
      </c>
      <c r="C1189" s="151">
        <v>43437</v>
      </c>
      <c r="D1189" s="152">
        <v>0.106849</v>
      </c>
      <c r="E1189" s="152" t="s">
        <v>1325</v>
      </c>
      <c r="F1189" s="152" t="s">
        <v>1326</v>
      </c>
      <c r="G1189" s="152"/>
      <c r="H1189" s="152" t="s">
        <v>58</v>
      </c>
      <c r="I1189" s="151">
        <v>43364</v>
      </c>
      <c r="J1189" s="152">
        <v>1.38</v>
      </c>
      <c r="K1189" s="152" t="s">
        <v>1327</v>
      </c>
      <c r="L1189" s="152" t="s">
        <v>1327</v>
      </c>
      <c r="M1189" s="152" t="s">
        <v>1327</v>
      </c>
      <c r="N1189" s="152" t="s">
        <v>1327</v>
      </c>
      <c r="O1189" s="152">
        <v>1.41991</v>
      </c>
      <c r="P1189" s="152">
        <v>11.732073</v>
      </c>
      <c r="Q1189" s="152">
        <v>1.41991</v>
      </c>
      <c r="R1189" s="152" t="s">
        <v>1327</v>
      </c>
      <c r="S1189" s="152">
        <v>100.075138</v>
      </c>
      <c r="T1189" s="152">
        <v>0.85216400000000003</v>
      </c>
      <c r="U1189" s="152">
        <v>0.106096</v>
      </c>
      <c r="V1189" s="152">
        <v>6.3930000000000001E-2</v>
      </c>
      <c r="W1189" s="152">
        <v>1000</v>
      </c>
      <c r="X1189" s="152" t="s">
        <v>23</v>
      </c>
      <c r="Y1189" s="152" t="s">
        <v>1328</v>
      </c>
      <c r="Z1189" s="152" t="s">
        <v>1327</v>
      </c>
    </row>
    <row r="1190" spans="1:26" x14ac:dyDescent="0.2">
      <c r="A1190" s="152" t="s">
        <v>2356</v>
      </c>
      <c r="B1190" s="152">
        <v>3.15</v>
      </c>
      <c r="C1190" s="151">
        <v>43522</v>
      </c>
      <c r="D1190" s="152">
        <v>0.33972599999999997</v>
      </c>
      <c r="E1190" s="152" t="s">
        <v>1325</v>
      </c>
      <c r="F1190" s="152" t="s">
        <v>1326</v>
      </c>
      <c r="G1190" s="152"/>
      <c r="H1190" s="152" t="s">
        <v>58</v>
      </c>
      <c r="I1190" s="151">
        <v>43389</v>
      </c>
      <c r="J1190" s="152">
        <v>1.85</v>
      </c>
      <c r="K1190" s="152" t="s">
        <v>1327</v>
      </c>
      <c r="L1190" s="152" t="s">
        <v>1327</v>
      </c>
      <c r="M1190" s="152" t="s">
        <v>1327</v>
      </c>
      <c r="N1190" s="152" t="s">
        <v>1327</v>
      </c>
      <c r="O1190" s="152">
        <v>1.850619</v>
      </c>
      <c r="P1190" s="152">
        <v>21.446545</v>
      </c>
      <c r="Q1190" s="152">
        <v>1.850619</v>
      </c>
      <c r="R1190" s="152" t="s">
        <v>1327</v>
      </c>
      <c r="S1190" s="152">
        <v>100.423508</v>
      </c>
      <c r="T1190" s="152">
        <v>0.51780800000000005</v>
      </c>
      <c r="U1190" s="152">
        <v>0.33661099999999999</v>
      </c>
      <c r="V1190" s="152">
        <v>0.28006999999999999</v>
      </c>
      <c r="W1190" s="152">
        <v>1000</v>
      </c>
      <c r="X1190" s="152" t="s">
        <v>23</v>
      </c>
      <c r="Y1190" s="152" t="s">
        <v>1328</v>
      </c>
      <c r="Z1190" s="152" t="s">
        <v>1327</v>
      </c>
    </row>
    <row r="1191" spans="1:26" x14ac:dyDescent="0.2">
      <c r="A1191" s="152" t="s">
        <v>2357</v>
      </c>
      <c r="B1191" s="152">
        <v>1.79</v>
      </c>
      <c r="C1191" s="151">
        <v>43603</v>
      </c>
      <c r="D1191" s="152">
        <v>0.56164400000000003</v>
      </c>
      <c r="E1191" s="152" t="s">
        <v>1325</v>
      </c>
      <c r="F1191" s="152" t="s">
        <v>1326</v>
      </c>
      <c r="G1191" s="152"/>
      <c r="H1191" s="152" t="s">
        <v>58</v>
      </c>
      <c r="I1191" s="152">
        <v>43146</v>
      </c>
      <c r="J1191" s="152">
        <v>1.53</v>
      </c>
      <c r="K1191" s="151" t="s">
        <v>1327</v>
      </c>
      <c r="L1191" s="152" t="s">
        <v>1327</v>
      </c>
      <c r="M1191" s="152" t="s">
        <v>1327</v>
      </c>
      <c r="N1191" s="152" t="s">
        <v>1327</v>
      </c>
      <c r="O1191" s="152">
        <v>1.9835560000000001</v>
      </c>
      <c r="P1191" s="152">
        <v>24.058619</v>
      </c>
      <c r="Q1191" s="152">
        <v>1.9835560000000001</v>
      </c>
      <c r="R1191" s="152" t="s">
        <v>1327</v>
      </c>
      <c r="S1191" s="152">
        <v>99.883779000000004</v>
      </c>
      <c r="T1191" s="152">
        <v>0.78465799999999997</v>
      </c>
      <c r="U1191" s="152">
        <v>0.55580200000000002</v>
      </c>
      <c r="V1191" s="152">
        <v>0.58624399999999999</v>
      </c>
      <c r="W1191" s="152">
        <v>1000</v>
      </c>
      <c r="X1191" s="152" t="s">
        <v>23</v>
      </c>
      <c r="Y1191" s="152" t="s">
        <v>1328</v>
      </c>
      <c r="Z1191" s="152" t="s">
        <v>1327</v>
      </c>
    </row>
    <row r="1192" spans="1:26" x14ac:dyDescent="0.2">
      <c r="A1192" s="152" t="s">
        <v>2358</v>
      </c>
      <c r="B1192" s="152">
        <v>2.0299999999999998</v>
      </c>
      <c r="C1192" s="151">
        <v>43715</v>
      </c>
      <c r="D1192" s="152">
        <v>0.86849299999999996</v>
      </c>
      <c r="E1192" s="152" t="s">
        <v>1325</v>
      </c>
      <c r="F1192" s="152" t="s">
        <v>1326</v>
      </c>
      <c r="G1192" s="152"/>
      <c r="H1192" s="152" t="s">
        <v>58</v>
      </c>
      <c r="I1192" s="151">
        <v>43397</v>
      </c>
      <c r="J1192" s="152">
        <v>2.02</v>
      </c>
      <c r="K1192" s="151" t="s">
        <v>1327</v>
      </c>
      <c r="L1192" s="152" t="s">
        <v>1327</v>
      </c>
      <c r="M1192" s="152" t="s">
        <v>1327</v>
      </c>
      <c r="N1192" s="152" t="s">
        <v>1327</v>
      </c>
      <c r="O1192" s="152">
        <v>2.02</v>
      </c>
      <c r="P1192" s="152">
        <v>21.507487000000001</v>
      </c>
      <c r="Q1192" s="152">
        <v>2.02</v>
      </c>
      <c r="R1192" s="152" t="s">
        <v>1327</v>
      </c>
      <c r="S1192" s="152">
        <v>100.015861</v>
      </c>
      <c r="T1192" s="152">
        <v>0.266959</v>
      </c>
      <c r="U1192" s="152">
        <v>0.85076700000000005</v>
      </c>
      <c r="V1192" s="152">
        <v>1.1473720000000001</v>
      </c>
      <c r="W1192" s="152">
        <v>1000</v>
      </c>
      <c r="X1192" s="152" t="s">
        <v>23</v>
      </c>
      <c r="Y1192" s="152" t="s">
        <v>1328</v>
      </c>
      <c r="Z1192" s="152" t="s">
        <v>1327</v>
      </c>
    </row>
    <row r="1193" spans="1:26" x14ac:dyDescent="0.2">
      <c r="A1193" s="152" t="s">
        <v>804</v>
      </c>
      <c r="B1193" s="152">
        <v>2.2000000000000002</v>
      </c>
      <c r="C1193" s="151">
        <v>43808</v>
      </c>
      <c r="D1193" s="152">
        <v>1.1232880000000001</v>
      </c>
      <c r="E1193" s="152" t="s">
        <v>1325</v>
      </c>
      <c r="F1193" s="152" t="s">
        <v>1326</v>
      </c>
      <c r="G1193" s="152"/>
      <c r="H1193" s="152" t="s">
        <v>58</v>
      </c>
      <c r="I1193" s="151">
        <v>43328</v>
      </c>
      <c r="J1193" s="152">
        <v>1.81</v>
      </c>
      <c r="K1193" s="152" t="s">
        <v>1327</v>
      </c>
      <c r="L1193" s="152" t="s">
        <v>1327</v>
      </c>
      <c r="M1193" s="152" t="s">
        <v>1327</v>
      </c>
      <c r="N1193" s="152" t="s">
        <v>1327</v>
      </c>
      <c r="O1193" s="152">
        <v>2.1064039999999999</v>
      </c>
      <c r="P1193" s="152">
        <v>28.523457000000001</v>
      </c>
      <c r="Q1193" s="152">
        <v>2.1064039999999999</v>
      </c>
      <c r="R1193" s="152" t="s">
        <v>1327</v>
      </c>
      <c r="S1193" s="152">
        <v>100.099279</v>
      </c>
      <c r="T1193" s="152">
        <v>0.83178099999999999</v>
      </c>
      <c r="U1193" s="152">
        <v>1.0955010000000001</v>
      </c>
      <c r="V1193" s="152">
        <v>1.7551840000000001</v>
      </c>
      <c r="W1193" s="152">
        <v>1000</v>
      </c>
      <c r="X1193" s="152" t="s">
        <v>23</v>
      </c>
      <c r="Y1193" s="152" t="s">
        <v>1328</v>
      </c>
      <c r="Z1193" s="152" t="s">
        <v>1327</v>
      </c>
    </row>
    <row r="1194" spans="1:26" x14ac:dyDescent="0.2">
      <c r="A1194" s="152" t="s">
        <v>2359</v>
      </c>
      <c r="B1194" s="152">
        <v>2.1</v>
      </c>
      <c r="C1194" s="151">
        <v>44017</v>
      </c>
      <c r="D1194" s="152">
        <v>1.6958899999999999</v>
      </c>
      <c r="E1194" s="152" t="s">
        <v>1325</v>
      </c>
      <c r="F1194" s="152" t="s">
        <v>1326</v>
      </c>
      <c r="G1194" s="152"/>
      <c r="H1194" s="152" t="s">
        <v>58</v>
      </c>
      <c r="I1194" s="152">
        <v>43357</v>
      </c>
      <c r="J1194" s="152">
        <v>2.2200000000000002</v>
      </c>
      <c r="K1194" s="152" t="s">
        <v>1327</v>
      </c>
      <c r="L1194" s="152" t="s">
        <v>1327</v>
      </c>
      <c r="M1194" s="152" t="s">
        <v>1327</v>
      </c>
      <c r="N1194" s="152" t="s">
        <v>1327</v>
      </c>
      <c r="O1194" s="152">
        <v>2.257304</v>
      </c>
      <c r="P1194" s="152">
        <v>29.324615000000001</v>
      </c>
      <c r="Q1194" s="152">
        <v>2.257304</v>
      </c>
      <c r="R1194" s="152" t="s">
        <v>1327</v>
      </c>
      <c r="S1194" s="152">
        <v>99.729465000000005</v>
      </c>
      <c r="T1194" s="152">
        <v>0.64438399999999996</v>
      </c>
      <c r="U1194" s="152">
        <v>1.6476519999999999</v>
      </c>
      <c r="V1194" s="152">
        <v>3.56392</v>
      </c>
      <c r="W1194" s="152">
        <v>1000</v>
      </c>
      <c r="X1194" s="152" t="s">
        <v>23</v>
      </c>
      <c r="Y1194" s="152" t="s">
        <v>1328</v>
      </c>
      <c r="Z1194" s="152" t="s">
        <v>1327</v>
      </c>
    </row>
    <row r="1195" spans="1:26" x14ac:dyDescent="0.2">
      <c r="A1195" s="152" t="s">
        <v>2360</v>
      </c>
      <c r="B1195" s="152">
        <v>1.97</v>
      </c>
      <c r="C1195" s="151">
        <v>44082</v>
      </c>
      <c r="D1195" s="152">
        <v>1.8739730000000001</v>
      </c>
      <c r="E1195" s="152" t="s">
        <v>1325</v>
      </c>
      <c r="F1195" s="152" t="s">
        <v>1326</v>
      </c>
      <c r="G1195" s="152"/>
      <c r="H1195" s="152" t="s">
        <v>58</v>
      </c>
      <c r="I1195" s="151">
        <v>43354</v>
      </c>
      <c r="J1195" s="152">
        <v>2.27</v>
      </c>
      <c r="K1195" s="151" t="s">
        <v>1327</v>
      </c>
      <c r="L1195" s="152" t="s">
        <v>1327</v>
      </c>
      <c r="M1195" s="152" t="s">
        <v>1327</v>
      </c>
      <c r="N1195" s="152" t="s">
        <v>1327</v>
      </c>
      <c r="O1195" s="152">
        <v>2.3262339999999999</v>
      </c>
      <c r="P1195" s="152">
        <v>31.990324999999999</v>
      </c>
      <c r="Q1195" s="152">
        <v>2.3262339999999999</v>
      </c>
      <c r="R1195" s="152" t="s">
        <v>1327</v>
      </c>
      <c r="S1195" s="152">
        <v>99.359765999999993</v>
      </c>
      <c r="T1195" s="152">
        <v>0.25367099999999998</v>
      </c>
      <c r="U1195" s="152">
        <v>1.8168029999999999</v>
      </c>
      <c r="V1195" s="152">
        <v>4.2312630000000002</v>
      </c>
      <c r="W1195" s="152">
        <v>1000</v>
      </c>
      <c r="X1195" s="152" t="s">
        <v>23</v>
      </c>
      <c r="Y1195" s="152" t="s">
        <v>1328</v>
      </c>
      <c r="Z1195" s="152" t="s">
        <v>1327</v>
      </c>
    </row>
    <row r="1196" spans="1:26" x14ac:dyDescent="0.2">
      <c r="A1196" s="152" t="s">
        <v>2361</v>
      </c>
      <c r="B1196" s="152">
        <v>2.34</v>
      </c>
      <c r="C1196" s="151">
        <v>44432</v>
      </c>
      <c r="D1196" s="152">
        <v>2.8328769999999999</v>
      </c>
      <c r="E1196" s="152" t="s">
        <v>1325</v>
      </c>
      <c r="F1196" s="152" t="s">
        <v>1326</v>
      </c>
      <c r="G1196" s="152"/>
      <c r="H1196" s="152" t="s">
        <v>58</v>
      </c>
      <c r="I1196" s="151">
        <v>43361</v>
      </c>
      <c r="J1196" s="152">
        <v>2.4300000000000002</v>
      </c>
      <c r="K1196" s="151" t="s">
        <v>1327</v>
      </c>
      <c r="L1196" s="152" t="s">
        <v>1327</v>
      </c>
      <c r="M1196" s="152" t="s">
        <v>1327</v>
      </c>
      <c r="N1196" s="152" t="s">
        <v>1327</v>
      </c>
      <c r="O1196" s="152">
        <v>2.4535230000000001</v>
      </c>
      <c r="P1196" s="152">
        <v>36.848424000000001</v>
      </c>
      <c r="Q1196" s="152">
        <v>2.4535230000000001</v>
      </c>
      <c r="R1196" s="152" t="s">
        <v>1327</v>
      </c>
      <c r="S1196" s="152">
        <v>99.679811000000001</v>
      </c>
      <c r="T1196" s="152">
        <v>0.39747900000000003</v>
      </c>
      <c r="U1196" s="152">
        <v>2.7153580000000002</v>
      </c>
      <c r="V1196" s="152">
        <v>8.8611470000000008</v>
      </c>
      <c r="W1196" s="152">
        <v>1000</v>
      </c>
      <c r="X1196" s="152" t="s">
        <v>23</v>
      </c>
      <c r="Y1196" s="152" t="s">
        <v>1328</v>
      </c>
      <c r="Z1196" s="152" t="s">
        <v>1327</v>
      </c>
    </row>
    <row r="1197" spans="1:26" x14ac:dyDescent="0.2">
      <c r="A1197" s="152" t="s">
        <v>2362</v>
      </c>
      <c r="B1197" s="152">
        <v>4.3</v>
      </c>
      <c r="C1197" s="151">
        <v>43605</v>
      </c>
      <c r="D1197" s="152">
        <v>0.56712300000000004</v>
      </c>
      <c r="E1197" s="152" t="s">
        <v>1325</v>
      </c>
      <c r="F1197" s="152" t="s">
        <v>1326</v>
      </c>
      <c r="G1197" s="152"/>
      <c r="H1197" s="152"/>
      <c r="I1197" s="151" t="s">
        <v>1327</v>
      </c>
      <c r="J1197" s="152" t="s">
        <v>1327</v>
      </c>
      <c r="K1197" s="151" t="s">
        <v>1327</v>
      </c>
      <c r="L1197" s="152" t="s">
        <v>1327</v>
      </c>
      <c r="M1197" s="152" t="s">
        <v>1327</v>
      </c>
      <c r="N1197" s="152" t="s">
        <v>1327</v>
      </c>
      <c r="O1197" s="152">
        <v>4.7755729999999996</v>
      </c>
      <c r="P1197" s="152">
        <v>312.929799</v>
      </c>
      <c r="Q1197" s="152">
        <v>4.7755729999999996</v>
      </c>
      <c r="R1197" s="152" t="s">
        <v>1327</v>
      </c>
      <c r="S1197" s="152">
        <v>99.723438999999999</v>
      </c>
      <c r="T1197" s="152">
        <v>0.77753399999999995</v>
      </c>
      <c r="U1197" s="152">
        <v>0.55662400000000001</v>
      </c>
      <c r="V1197" s="152">
        <v>0.45052799999999998</v>
      </c>
      <c r="W1197" s="152">
        <v>1000</v>
      </c>
      <c r="X1197" s="152" t="s">
        <v>23</v>
      </c>
      <c r="Y1197" s="152" t="s">
        <v>1328</v>
      </c>
      <c r="Z1197" s="152" t="s">
        <v>1327</v>
      </c>
    </row>
    <row r="1198" spans="1:26" x14ac:dyDescent="0.2">
      <c r="A1198" s="152" t="s">
        <v>2363</v>
      </c>
      <c r="B1198" s="152">
        <v>5.0999999999999996</v>
      </c>
      <c r="C1198" s="151">
        <v>43606</v>
      </c>
      <c r="D1198" s="152">
        <v>0.56986300000000001</v>
      </c>
      <c r="E1198" s="152" t="s">
        <v>1325</v>
      </c>
      <c r="F1198" s="152" t="s">
        <v>1326</v>
      </c>
      <c r="G1198" s="152"/>
      <c r="H1198" s="152"/>
      <c r="I1198" s="151" t="s">
        <v>1327</v>
      </c>
      <c r="J1198" s="152" t="s">
        <v>1327</v>
      </c>
      <c r="K1198" s="152" t="s">
        <v>1327</v>
      </c>
      <c r="L1198" s="152" t="s">
        <v>1327</v>
      </c>
      <c r="M1198" s="152" t="s">
        <v>1327</v>
      </c>
      <c r="N1198" s="152" t="s">
        <v>1327</v>
      </c>
      <c r="O1198" s="152">
        <v>5.1734920000000004</v>
      </c>
      <c r="P1198" s="152">
        <v>350.55661400000002</v>
      </c>
      <c r="Q1198" s="152">
        <v>5.1734920000000004</v>
      </c>
      <c r="R1198" s="152" t="s">
        <v>1327</v>
      </c>
      <c r="S1198" s="152">
        <v>99.944924</v>
      </c>
      <c r="T1198" s="152">
        <v>5.5890000000000002E-2</v>
      </c>
      <c r="U1198" s="152">
        <v>0.55849899999999997</v>
      </c>
      <c r="V1198" s="152">
        <v>0.45107399999999997</v>
      </c>
      <c r="W1198" s="152">
        <v>1000</v>
      </c>
      <c r="X1198" s="152" t="s">
        <v>23</v>
      </c>
      <c r="Y1198" s="152" t="s">
        <v>1328</v>
      </c>
      <c r="Z1198" s="152" t="s">
        <v>1327</v>
      </c>
    </row>
    <row r="1199" spans="1:26" x14ac:dyDescent="0.2">
      <c r="A1199" s="152" t="s">
        <v>2364</v>
      </c>
      <c r="B1199" s="152">
        <v>5.0999999999999996</v>
      </c>
      <c r="C1199" s="151">
        <v>43606</v>
      </c>
      <c r="D1199" s="152">
        <v>0.56986300000000001</v>
      </c>
      <c r="E1199" s="152" t="s">
        <v>1325</v>
      </c>
      <c r="F1199" s="152" t="s">
        <v>1326</v>
      </c>
      <c r="G1199" s="152"/>
      <c r="H1199" s="152"/>
      <c r="I1199" s="152" t="s">
        <v>1327</v>
      </c>
      <c r="J1199" s="152" t="s">
        <v>1327</v>
      </c>
      <c r="K1199" s="152" t="s">
        <v>1327</v>
      </c>
      <c r="L1199" s="152" t="s">
        <v>1327</v>
      </c>
      <c r="M1199" s="152" t="s">
        <v>1327</v>
      </c>
      <c r="N1199" s="152" t="s">
        <v>1327</v>
      </c>
      <c r="O1199" s="152">
        <v>5.1889450000000004</v>
      </c>
      <c r="P1199" s="152">
        <v>352.16276599999998</v>
      </c>
      <c r="Q1199" s="152">
        <v>5.1889450000000004</v>
      </c>
      <c r="R1199" s="152" t="s">
        <v>1327</v>
      </c>
      <c r="S1199" s="152">
        <v>99.936294000000004</v>
      </c>
      <c r="T1199" s="152">
        <v>5.5890000000000002E-2</v>
      </c>
      <c r="U1199" s="152">
        <v>0.55847800000000003</v>
      </c>
      <c r="V1199" s="152">
        <v>0.45103900000000002</v>
      </c>
      <c r="W1199" s="152">
        <v>1000</v>
      </c>
      <c r="X1199" s="152" t="s">
        <v>23</v>
      </c>
      <c r="Y1199" s="152" t="s">
        <v>1328</v>
      </c>
      <c r="Z1199" s="152" t="s">
        <v>1327</v>
      </c>
    </row>
    <row r="1200" spans="1:26" x14ac:dyDescent="0.2">
      <c r="A1200" s="152" t="s">
        <v>2365</v>
      </c>
      <c r="B1200" s="152">
        <v>5</v>
      </c>
      <c r="C1200" s="151">
        <v>43793</v>
      </c>
      <c r="D1200" s="152">
        <v>1.082192</v>
      </c>
      <c r="E1200" s="152" t="s">
        <v>1325</v>
      </c>
      <c r="F1200" s="152" t="s">
        <v>1326</v>
      </c>
      <c r="G1200" s="152"/>
      <c r="H1200" s="152"/>
      <c r="I1200" s="152" t="s">
        <v>1327</v>
      </c>
      <c r="J1200" s="152" t="s">
        <v>1327</v>
      </c>
      <c r="K1200" s="152" t="s">
        <v>1327</v>
      </c>
      <c r="L1200" s="152" t="s">
        <v>1327</v>
      </c>
      <c r="M1200" s="152" t="s">
        <v>1327</v>
      </c>
      <c r="N1200" s="152" t="s">
        <v>1327</v>
      </c>
      <c r="O1200" s="152">
        <v>5.2508290000000004</v>
      </c>
      <c r="P1200" s="152">
        <v>353.13782500000002</v>
      </c>
      <c r="Q1200" s="152">
        <v>5.2508290000000004</v>
      </c>
      <c r="R1200" s="152" t="s">
        <v>1327</v>
      </c>
      <c r="S1200" s="152">
        <v>99.725718000000001</v>
      </c>
      <c r="T1200" s="152">
        <v>0.84931500000000004</v>
      </c>
      <c r="U1200" s="152">
        <v>1.038025</v>
      </c>
      <c r="V1200" s="152">
        <v>1.3551439999999999</v>
      </c>
      <c r="W1200" s="152">
        <v>1000</v>
      </c>
      <c r="X1200" s="152" t="s">
        <v>23</v>
      </c>
      <c r="Y1200" s="152" t="s">
        <v>1328</v>
      </c>
      <c r="Z1200" s="152" t="s">
        <v>1327</v>
      </c>
    </row>
    <row r="1201" spans="1:26" x14ac:dyDescent="0.2">
      <c r="A1201" s="152" t="s">
        <v>2366</v>
      </c>
      <c r="B1201" s="152">
        <v>5.25</v>
      </c>
      <c r="C1201" s="151">
        <v>44101</v>
      </c>
      <c r="D1201" s="152">
        <v>1.9260269999999999</v>
      </c>
      <c r="E1201" s="152" t="s">
        <v>1325</v>
      </c>
      <c r="F1201" s="152" t="s">
        <v>1326</v>
      </c>
      <c r="G1201" s="152"/>
      <c r="H1201" s="152"/>
      <c r="I1201" s="151" t="s">
        <v>1327</v>
      </c>
      <c r="J1201" s="152" t="s">
        <v>1327</v>
      </c>
      <c r="K1201" s="152" t="s">
        <v>1327</v>
      </c>
      <c r="L1201" s="152" t="s">
        <v>1327</v>
      </c>
      <c r="M1201" s="152" t="s">
        <v>1327</v>
      </c>
      <c r="N1201" s="152" t="s">
        <v>1327</v>
      </c>
      <c r="O1201" s="152">
        <v>5.3007439999999999</v>
      </c>
      <c r="P1201" s="152">
        <v>338.36291899999998</v>
      </c>
      <c r="Q1201" s="152">
        <v>5.3007439999999999</v>
      </c>
      <c r="R1201" s="152" t="s">
        <v>1327</v>
      </c>
      <c r="S1201" s="152">
        <v>99.909576000000001</v>
      </c>
      <c r="T1201" s="152">
        <v>0.40273999999999999</v>
      </c>
      <c r="U1201" s="152">
        <v>1.81019</v>
      </c>
      <c r="V1201" s="152">
        <v>3.824303</v>
      </c>
      <c r="W1201" s="152">
        <v>1000</v>
      </c>
      <c r="X1201" s="152" t="s">
        <v>23</v>
      </c>
      <c r="Y1201" s="152" t="s">
        <v>1328</v>
      </c>
      <c r="Z1201" s="152" t="s">
        <v>1327</v>
      </c>
    </row>
    <row r="1202" spans="1:26" x14ac:dyDescent="0.2">
      <c r="A1202" s="152" t="s">
        <v>2367</v>
      </c>
      <c r="B1202" s="152">
        <v>5.25</v>
      </c>
      <c r="C1202" s="151">
        <v>43707</v>
      </c>
      <c r="D1202" s="152">
        <v>0.84657499999999997</v>
      </c>
      <c r="E1202" s="152" t="s">
        <v>1325</v>
      </c>
      <c r="F1202" s="152" t="s">
        <v>1326</v>
      </c>
      <c r="G1202" s="152"/>
      <c r="H1202" s="152"/>
      <c r="I1202" s="152" t="s">
        <v>1327</v>
      </c>
      <c r="J1202" s="152" t="s">
        <v>1327</v>
      </c>
      <c r="K1202" s="152" t="s">
        <v>1327</v>
      </c>
      <c r="L1202" s="152" t="s">
        <v>1327</v>
      </c>
      <c r="M1202" s="152" t="s">
        <v>1327</v>
      </c>
      <c r="N1202" s="152" t="s">
        <v>1327</v>
      </c>
      <c r="O1202" s="152">
        <v>5.2764810000000004</v>
      </c>
      <c r="P1202" s="152">
        <v>359.24179299999997</v>
      </c>
      <c r="Q1202" s="152">
        <v>5.2764810000000004</v>
      </c>
      <c r="R1202" s="152" t="s">
        <v>1327</v>
      </c>
      <c r="S1202" s="152">
        <v>99.965321000000003</v>
      </c>
      <c r="T1202" s="152">
        <v>0.80547899999999995</v>
      </c>
      <c r="U1202" s="152">
        <v>0.81856399999999996</v>
      </c>
      <c r="V1202" s="152">
        <v>0.88264600000000004</v>
      </c>
      <c r="W1202" s="152">
        <v>1000</v>
      </c>
      <c r="X1202" s="152" t="s">
        <v>23</v>
      </c>
      <c r="Y1202" s="152" t="s">
        <v>1328</v>
      </c>
      <c r="Z1202" s="152" t="s">
        <v>1327</v>
      </c>
    </row>
    <row r="1203" spans="1:26" x14ac:dyDescent="0.2">
      <c r="A1203" s="152" t="s">
        <v>2368</v>
      </c>
      <c r="B1203" s="152">
        <v>5.55</v>
      </c>
      <c r="C1203" s="151">
        <v>43945</v>
      </c>
      <c r="D1203" s="152">
        <v>1.4986299999999999</v>
      </c>
      <c r="E1203" s="152" t="s">
        <v>1325</v>
      </c>
      <c r="F1203" s="152" t="s">
        <v>1326</v>
      </c>
      <c r="G1203" s="152"/>
      <c r="H1203" s="152"/>
      <c r="I1203" s="152">
        <v>43215</v>
      </c>
      <c r="J1203" s="152">
        <v>5.576219</v>
      </c>
      <c r="K1203" s="152" t="s">
        <v>1327</v>
      </c>
      <c r="L1203" s="152" t="s">
        <v>1327</v>
      </c>
      <c r="M1203" s="152" t="s">
        <v>1327</v>
      </c>
      <c r="N1203" s="152" t="s">
        <v>1327</v>
      </c>
      <c r="O1203" s="152">
        <v>5.6964880000000004</v>
      </c>
      <c r="P1203" s="152">
        <v>389.65232400000002</v>
      </c>
      <c r="Q1203" s="152">
        <v>5.6964880000000004</v>
      </c>
      <c r="R1203" s="152" t="s">
        <v>1327</v>
      </c>
      <c r="S1203" s="152">
        <v>99.779478999999995</v>
      </c>
      <c r="T1203" s="152">
        <v>1.5205E-2</v>
      </c>
      <c r="U1203" s="152">
        <v>1.428515</v>
      </c>
      <c r="V1203" s="152">
        <v>2.4355259999999999</v>
      </c>
      <c r="W1203" s="152">
        <v>1000</v>
      </c>
      <c r="X1203" s="152" t="s">
        <v>23</v>
      </c>
      <c r="Y1203" s="152" t="s">
        <v>1328</v>
      </c>
      <c r="Z1203" s="152" t="s">
        <v>1327</v>
      </c>
    </row>
    <row r="1204" spans="1:26" x14ac:dyDescent="0.2">
      <c r="A1204" s="152" t="s">
        <v>2369</v>
      </c>
      <c r="B1204" s="152">
        <v>5.25</v>
      </c>
      <c r="C1204" s="151">
        <v>44220</v>
      </c>
      <c r="D1204" s="152">
        <v>2.2520549999999999</v>
      </c>
      <c r="E1204" s="152" t="s">
        <v>1325</v>
      </c>
      <c r="F1204" s="152" t="s">
        <v>1326</v>
      </c>
      <c r="G1204" s="152"/>
      <c r="H1204" s="152"/>
      <c r="I1204" s="152" t="s">
        <v>1327</v>
      </c>
      <c r="J1204" s="152" t="s">
        <v>1327</v>
      </c>
      <c r="K1204" s="152" t="s">
        <v>1327</v>
      </c>
      <c r="L1204" s="152" t="s">
        <v>1327</v>
      </c>
      <c r="M1204" s="152" t="s">
        <v>1327</v>
      </c>
      <c r="N1204" s="152" t="s">
        <v>1327</v>
      </c>
      <c r="O1204" s="152">
        <v>5.4730970000000001</v>
      </c>
      <c r="P1204" s="152">
        <v>353.47701599999999</v>
      </c>
      <c r="Q1204" s="152">
        <v>5.4730970000000001</v>
      </c>
      <c r="R1204" s="152" t="s">
        <v>1327</v>
      </c>
      <c r="S1204" s="152">
        <v>99.520041000000006</v>
      </c>
      <c r="T1204" s="152">
        <v>1.4383999999999999E-2</v>
      </c>
      <c r="U1204" s="152">
        <v>2.1070190000000002</v>
      </c>
      <c r="V1204" s="152">
        <v>5.1045259999999999</v>
      </c>
      <c r="W1204" s="152">
        <v>1000</v>
      </c>
      <c r="X1204" s="152" t="s">
        <v>23</v>
      </c>
      <c r="Y1204" s="152" t="s">
        <v>1328</v>
      </c>
      <c r="Z1204" s="152" t="s">
        <v>1327</v>
      </c>
    </row>
    <row r="1205" spans="1:26" x14ac:dyDescent="0.2">
      <c r="A1205" s="152" t="s">
        <v>2370</v>
      </c>
      <c r="B1205" s="152">
        <v>5.85</v>
      </c>
      <c r="C1205" s="151">
        <v>79895</v>
      </c>
      <c r="D1205" s="152">
        <v>99.991781000000003</v>
      </c>
      <c r="E1205" s="152" t="s">
        <v>1325</v>
      </c>
      <c r="F1205" s="152" t="s">
        <v>1326</v>
      </c>
      <c r="G1205" s="152" t="s">
        <v>29</v>
      </c>
      <c r="H1205" s="152"/>
      <c r="I1205" s="151" t="s">
        <v>1327</v>
      </c>
      <c r="J1205" s="152" t="s">
        <v>1327</v>
      </c>
      <c r="K1205" s="152" t="s">
        <v>1327</v>
      </c>
      <c r="L1205" s="152" t="s">
        <v>1327</v>
      </c>
      <c r="M1205" s="152" t="s">
        <v>1327</v>
      </c>
      <c r="N1205" s="152" t="s">
        <v>1327</v>
      </c>
      <c r="O1205" s="152" t="s">
        <v>1327</v>
      </c>
      <c r="P1205" s="152" t="s">
        <v>1327</v>
      </c>
      <c r="Q1205" s="152" t="s">
        <v>1327</v>
      </c>
      <c r="R1205" s="152" t="s">
        <v>1327</v>
      </c>
      <c r="S1205" s="152">
        <v>99.981174999999993</v>
      </c>
      <c r="T1205" s="152" t="s">
        <v>1327</v>
      </c>
      <c r="U1205" s="152" t="s">
        <v>1327</v>
      </c>
      <c r="V1205" s="152" t="s">
        <v>1327</v>
      </c>
      <c r="W1205" s="152">
        <v>1000</v>
      </c>
      <c r="X1205" s="152" t="s">
        <v>23</v>
      </c>
      <c r="Y1205" s="152" t="s">
        <v>1328</v>
      </c>
      <c r="Z1205" s="152" t="s">
        <v>1327</v>
      </c>
    </row>
    <row r="1206" spans="1:26" x14ac:dyDescent="0.2">
      <c r="A1206" s="152" t="s">
        <v>549</v>
      </c>
      <c r="B1206" s="152">
        <v>4.46</v>
      </c>
      <c r="C1206" s="151">
        <v>43538</v>
      </c>
      <c r="D1206" s="152">
        <v>0.38356200000000001</v>
      </c>
      <c r="E1206" s="152" t="s">
        <v>1325</v>
      </c>
      <c r="F1206" s="152" t="s">
        <v>1326</v>
      </c>
      <c r="G1206" s="152" t="s">
        <v>47</v>
      </c>
      <c r="H1206" s="152"/>
      <c r="I1206" s="151">
        <v>43370</v>
      </c>
      <c r="J1206" s="152">
        <v>1.8</v>
      </c>
      <c r="K1206" s="152">
        <v>42247</v>
      </c>
      <c r="L1206" s="152">
        <v>2.68</v>
      </c>
      <c r="M1206" s="152">
        <v>3.399289</v>
      </c>
      <c r="N1206" s="152">
        <v>2.66</v>
      </c>
      <c r="O1206" s="152">
        <v>1.998688</v>
      </c>
      <c r="P1206" s="152">
        <v>32.761944999999997</v>
      </c>
      <c r="Q1206" s="152">
        <v>1.998688</v>
      </c>
      <c r="R1206" s="152" t="s">
        <v>1327</v>
      </c>
      <c r="S1206" s="152">
        <v>100.952155</v>
      </c>
      <c r="T1206" s="152">
        <v>0.50098600000000004</v>
      </c>
      <c r="U1206" s="152">
        <v>0.37976599999999999</v>
      </c>
      <c r="V1206" s="152">
        <v>0.33222699999999999</v>
      </c>
      <c r="W1206" s="152">
        <v>1000</v>
      </c>
      <c r="X1206" s="152" t="s">
        <v>23</v>
      </c>
      <c r="Y1206" s="152" t="s">
        <v>1328</v>
      </c>
      <c r="Z1206" s="152" t="s">
        <v>1327</v>
      </c>
    </row>
    <row r="1207" spans="1:26" x14ac:dyDescent="0.2">
      <c r="A1207" s="152" t="s">
        <v>601</v>
      </c>
      <c r="B1207" s="152">
        <v>3.05</v>
      </c>
      <c r="C1207" s="151">
        <v>43973</v>
      </c>
      <c r="D1207" s="152">
        <v>1.575342</v>
      </c>
      <c r="E1207" s="152" t="s">
        <v>1325</v>
      </c>
      <c r="F1207" s="152" t="s">
        <v>1326</v>
      </c>
      <c r="G1207" s="152" t="s">
        <v>47</v>
      </c>
      <c r="H1207" s="152"/>
      <c r="I1207" s="151">
        <v>43334</v>
      </c>
      <c r="J1207" s="152">
        <v>2.2000000000000002</v>
      </c>
      <c r="K1207" s="152">
        <v>42307</v>
      </c>
      <c r="L1207" s="152">
        <v>2.92781</v>
      </c>
      <c r="M1207" s="152">
        <v>3.578837</v>
      </c>
      <c r="N1207" s="152">
        <v>2.9</v>
      </c>
      <c r="O1207" s="152">
        <v>2.516772</v>
      </c>
      <c r="P1207" s="152">
        <v>58.616771</v>
      </c>
      <c r="Q1207" s="152">
        <v>2.516772</v>
      </c>
      <c r="R1207" s="152" t="s">
        <v>1327</v>
      </c>
      <c r="S1207" s="152">
        <v>100.80546699999999</v>
      </c>
      <c r="T1207" s="152">
        <v>1.3035620000000001</v>
      </c>
      <c r="U1207" s="152">
        <v>1.5133190000000001</v>
      </c>
      <c r="V1207" s="152">
        <v>3.0860859999999999</v>
      </c>
      <c r="W1207" s="152">
        <v>1000</v>
      </c>
      <c r="X1207" s="152" t="s">
        <v>23</v>
      </c>
      <c r="Y1207" s="152" t="s">
        <v>1328</v>
      </c>
      <c r="Z1207" s="152" t="s">
        <v>1327</v>
      </c>
    </row>
    <row r="1208" spans="1:26" x14ac:dyDescent="0.2">
      <c r="A1208" s="152" t="s">
        <v>602</v>
      </c>
      <c r="B1208" s="152">
        <v>2.27</v>
      </c>
      <c r="C1208" s="151">
        <v>44270</v>
      </c>
      <c r="D1208" s="152">
        <v>2.3890410000000002</v>
      </c>
      <c r="E1208" s="152" t="s">
        <v>1325</v>
      </c>
      <c r="F1208" s="152" t="s">
        <v>1326</v>
      </c>
      <c r="G1208" s="152" t="s">
        <v>47</v>
      </c>
      <c r="H1208" s="152"/>
      <c r="I1208" s="151">
        <v>43334</v>
      </c>
      <c r="J1208" s="152">
        <v>2.4350000000000001</v>
      </c>
      <c r="K1208" s="152" t="s">
        <v>1327</v>
      </c>
      <c r="L1208" s="152" t="s">
        <v>1327</v>
      </c>
      <c r="M1208" s="152" t="s">
        <v>1327</v>
      </c>
      <c r="N1208" s="152" t="s">
        <v>1327</v>
      </c>
      <c r="O1208" s="152">
        <v>2.694315</v>
      </c>
      <c r="P1208" s="152">
        <v>64.990284000000003</v>
      </c>
      <c r="Q1208" s="152">
        <v>2.694315</v>
      </c>
      <c r="R1208" s="152" t="s">
        <v>1327</v>
      </c>
      <c r="S1208" s="152">
        <v>99.033657000000005</v>
      </c>
      <c r="T1208" s="152">
        <v>0.24876699999999999</v>
      </c>
      <c r="U1208" s="152">
        <v>2.2994979999999998</v>
      </c>
      <c r="V1208" s="152">
        <v>6.5010130000000004</v>
      </c>
      <c r="W1208" s="152">
        <v>1000</v>
      </c>
      <c r="X1208" s="152" t="s">
        <v>23</v>
      </c>
      <c r="Y1208" s="152" t="s">
        <v>1328</v>
      </c>
      <c r="Z1208" s="152" t="s">
        <v>1327</v>
      </c>
    </row>
    <row r="1209" spans="1:26" x14ac:dyDescent="0.2">
      <c r="A1209" s="152" t="s">
        <v>2371</v>
      </c>
      <c r="B1209" s="152">
        <v>5</v>
      </c>
      <c r="C1209" s="151">
        <v>44472</v>
      </c>
      <c r="D1209" s="152">
        <v>2.942466</v>
      </c>
      <c r="E1209" s="152" t="s">
        <v>1325</v>
      </c>
      <c r="F1209" s="152" t="s">
        <v>1326</v>
      </c>
      <c r="G1209" s="152" t="s">
        <v>47</v>
      </c>
      <c r="H1209" s="152"/>
      <c r="I1209" s="151" t="s">
        <v>1327</v>
      </c>
      <c r="J1209" s="152" t="s">
        <v>1327</v>
      </c>
      <c r="K1209" s="152">
        <v>41897</v>
      </c>
      <c r="L1209" s="152">
        <v>4.2495250000000002</v>
      </c>
      <c r="M1209" s="152">
        <v>5.1431040000000001</v>
      </c>
      <c r="N1209" s="152">
        <v>4.2495250000000002</v>
      </c>
      <c r="O1209" s="152">
        <v>2.7976930000000002</v>
      </c>
      <c r="P1209" s="152">
        <v>69.890388999999999</v>
      </c>
      <c r="Q1209" s="152">
        <v>2.7976930000000002</v>
      </c>
      <c r="R1209" s="152" t="s">
        <v>1327</v>
      </c>
      <c r="S1209" s="152">
        <v>106.175978</v>
      </c>
      <c r="T1209" s="152">
        <v>0.30137000000000003</v>
      </c>
      <c r="U1209" s="152">
        <v>2.7293810000000001</v>
      </c>
      <c r="V1209" s="152">
        <v>9.0733440000000005</v>
      </c>
      <c r="W1209" s="152">
        <v>1000</v>
      </c>
      <c r="X1209" s="152" t="s">
        <v>23</v>
      </c>
      <c r="Y1209" s="152" t="s">
        <v>1328</v>
      </c>
      <c r="Z1209" s="152" t="s">
        <v>1327</v>
      </c>
    </row>
    <row r="1210" spans="1:26" x14ac:dyDescent="0.2">
      <c r="A1210" s="152" t="s">
        <v>2372</v>
      </c>
      <c r="B1210" s="152">
        <v>4.75</v>
      </c>
      <c r="C1210" s="151">
        <v>44782</v>
      </c>
      <c r="D1210" s="152">
        <v>3.7917809999999998</v>
      </c>
      <c r="E1210" s="152" t="s">
        <v>1325</v>
      </c>
      <c r="F1210" s="152" t="s">
        <v>1326</v>
      </c>
      <c r="G1210" s="152" t="s">
        <v>47</v>
      </c>
      <c r="H1210" s="152"/>
      <c r="I1210" s="151">
        <v>43395</v>
      </c>
      <c r="J1210" s="152">
        <v>3.11</v>
      </c>
      <c r="K1210" s="152">
        <v>41820</v>
      </c>
      <c r="L1210" s="152">
        <v>4.6500000000000004</v>
      </c>
      <c r="M1210" s="152">
        <v>5.4665670000000004</v>
      </c>
      <c r="N1210" s="152">
        <v>4.5730510000000004</v>
      </c>
      <c r="O1210" s="152">
        <v>3.09707</v>
      </c>
      <c r="P1210" s="152">
        <v>79.476871000000003</v>
      </c>
      <c r="Q1210" s="152">
        <v>3.09707</v>
      </c>
      <c r="R1210" s="152" t="s">
        <v>1327</v>
      </c>
      <c r="S1210" s="152">
        <v>105.848854</v>
      </c>
      <c r="T1210" s="152">
        <v>1.0020549999999999</v>
      </c>
      <c r="U1210" s="152">
        <v>3.4407079999999999</v>
      </c>
      <c r="V1210" s="152">
        <v>14.177708000000001</v>
      </c>
      <c r="W1210" s="152">
        <v>1000</v>
      </c>
      <c r="X1210" s="152" t="s">
        <v>23</v>
      </c>
      <c r="Y1210" s="152" t="s">
        <v>1328</v>
      </c>
      <c r="Z1210" s="152" t="s">
        <v>1327</v>
      </c>
    </row>
    <row r="1211" spans="1:26" x14ac:dyDescent="0.2">
      <c r="A1211" s="152" t="s">
        <v>2373</v>
      </c>
      <c r="B1211" s="152">
        <v>2.91</v>
      </c>
      <c r="C1211" s="151">
        <v>45562</v>
      </c>
      <c r="D1211" s="152">
        <v>5.9287669999999997</v>
      </c>
      <c r="E1211" s="152" t="s">
        <v>1325</v>
      </c>
      <c r="F1211" s="152" t="s">
        <v>1326</v>
      </c>
      <c r="G1211" s="152" t="s">
        <v>47</v>
      </c>
      <c r="H1211" s="152"/>
      <c r="I1211" s="151">
        <v>43349</v>
      </c>
      <c r="J1211" s="152">
        <v>3.2</v>
      </c>
      <c r="K1211" s="152" t="s">
        <v>1327</v>
      </c>
      <c r="L1211" s="152" t="s">
        <v>1327</v>
      </c>
      <c r="M1211" s="152" t="s">
        <v>1327</v>
      </c>
      <c r="N1211" s="152" t="s">
        <v>1327</v>
      </c>
      <c r="O1211" s="152">
        <v>3.3712800000000001</v>
      </c>
      <c r="P1211" s="152">
        <v>84.654910999999998</v>
      </c>
      <c r="Q1211" s="152">
        <v>3.3712800000000001</v>
      </c>
      <c r="R1211" s="152" t="s">
        <v>1327</v>
      </c>
      <c r="S1211" s="152">
        <v>97.553747000000001</v>
      </c>
      <c r="T1211" s="152">
        <v>0.22323299999999999</v>
      </c>
      <c r="U1211" s="152">
        <v>5.3702079999999999</v>
      </c>
      <c r="V1211" s="152">
        <v>33.002479999999998</v>
      </c>
      <c r="W1211" s="152">
        <v>1000</v>
      </c>
      <c r="X1211" s="152" t="s">
        <v>23</v>
      </c>
      <c r="Y1211" s="152" t="s">
        <v>1328</v>
      </c>
      <c r="Z1211" s="152" t="s">
        <v>1327</v>
      </c>
    </row>
    <row r="1212" spans="1:26" x14ac:dyDescent="0.2">
      <c r="A1212" s="152" t="s">
        <v>2374</v>
      </c>
      <c r="B1212" s="152">
        <v>4.04</v>
      </c>
      <c r="C1212" s="151">
        <v>45799</v>
      </c>
      <c r="D1212" s="152">
        <v>6.5780820000000002</v>
      </c>
      <c r="E1212" s="152" t="s">
        <v>1325</v>
      </c>
      <c r="F1212" s="152" t="s">
        <v>1326</v>
      </c>
      <c r="G1212" s="152" t="s">
        <v>47</v>
      </c>
      <c r="H1212" s="152"/>
      <c r="I1212" s="151">
        <v>43256</v>
      </c>
      <c r="J1212" s="152">
        <v>3.17</v>
      </c>
      <c r="K1212" s="152" t="s">
        <v>1327</v>
      </c>
      <c r="L1212" s="152" t="s">
        <v>1327</v>
      </c>
      <c r="M1212" s="152" t="s">
        <v>1327</v>
      </c>
      <c r="N1212" s="152" t="s">
        <v>1327</v>
      </c>
      <c r="O1212" s="152">
        <v>3.6673520000000002</v>
      </c>
      <c r="P1212" s="152">
        <v>108.35471699999999</v>
      </c>
      <c r="Q1212" s="152">
        <v>3.6673520000000002</v>
      </c>
      <c r="R1212" s="152" t="s">
        <v>1327</v>
      </c>
      <c r="S1212" s="152">
        <v>102.141187</v>
      </c>
      <c r="T1212" s="152">
        <v>1.726685</v>
      </c>
      <c r="U1212" s="152">
        <v>5.6511969999999998</v>
      </c>
      <c r="V1212" s="152">
        <v>37.696666999999998</v>
      </c>
      <c r="W1212" s="152">
        <v>1000</v>
      </c>
      <c r="X1212" s="152" t="s">
        <v>23</v>
      </c>
      <c r="Y1212" s="152" t="s">
        <v>1328</v>
      </c>
      <c r="Z1212" s="152" t="s">
        <v>1327</v>
      </c>
    </row>
    <row r="1213" spans="1:26" x14ac:dyDescent="0.2">
      <c r="A1213" s="152" t="s">
        <v>2375</v>
      </c>
      <c r="B1213" s="152">
        <v>3.43</v>
      </c>
      <c r="C1213" s="151">
        <v>46828</v>
      </c>
      <c r="D1213" s="152">
        <v>9.3972599999999993</v>
      </c>
      <c r="E1213" s="152" t="s">
        <v>1325</v>
      </c>
      <c r="F1213" s="152" t="s">
        <v>1326</v>
      </c>
      <c r="G1213" s="152" t="s">
        <v>47</v>
      </c>
      <c r="H1213" s="152"/>
      <c r="I1213" s="151" t="s">
        <v>1327</v>
      </c>
      <c r="J1213" s="152" t="s">
        <v>1327</v>
      </c>
      <c r="K1213" s="152" t="s">
        <v>1327</v>
      </c>
      <c r="L1213" s="152" t="s">
        <v>1327</v>
      </c>
      <c r="M1213" s="152" t="s">
        <v>1327</v>
      </c>
      <c r="N1213" s="152" t="s">
        <v>1327</v>
      </c>
      <c r="O1213" s="152">
        <v>3.9258220000000001</v>
      </c>
      <c r="P1213" s="152">
        <v>113.634287</v>
      </c>
      <c r="Q1213" s="152">
        <v>3.9258220000000001</v>
      </c>
      <c r="R1213" s="152" t="s">
        <v>1327</v>
      </c>
      <c r="S1213" s="152">
        <v>96.148770999999996</v>
      </c>
      <c r="T1213" s="152">
        <v>0.36649300000000001</v>
      </c>
      <c r="U1213" s="152">
        <v>7.8890969999999996</v>
      </c>
      <c r="V1213" s="152">
        <v>72.576280999999994</v>
      </c>
      <c r="W1213" s="152">
        <v>1000</v>
      </c>
      <c r="X1213" s="152" t="s">
        <v>23</v>
      </c>
      <c r="Y1213" s="152" t="s">
        <v>1328</v>
      </c>
      <c r="Z1213" s="152" t="s">
        <v>1327</v>
      </c>
    </row>
    <row r="1214" spans="1:26" x14ac:dyDescent="0.2">
      <c r="A1214" s="152" t="s">
        <v>2376</v>
      </c>
      <c r="B1214" s="152">
        <v>3.95</v>
      </c>
      <c r="C1214" s="151">
        <v>47922</v>
      </c>
      <c r="D1214" s="152">
        <v>12.394520999999999</v>
      </c>
      <c r="E1214" s="152" t="s">
        <v>1325</v>
      </c>
      <c r="F1214" s="152" t="s">
        <v>1326</v>
      </c>
      <c r="G1214" s="152" t="s">
        <v>47</v>
      </c>
      <c r="H1214" s="152"/>
      <c r="I1214" s="151">
        <v>42662</v>
      </c>
      <c r="J1214" s="152">
        <v>3.95</v>
      </c>
      <c r="K1214" s="152" t="s">
        <v>1327</v>
      </c>
      <c r="L1214" s="152" t="s">
        <v>1327</v>
      </c>
      <c r="M1214" s="152" t="s">
        <v>1327</v>
      </c>
      <c r="N1214" s="152" t="s">
        <v>1327</v>
      </c>
      <c r="O1214" s="152">
        <v>4.4641739999999999</v>
      </c>
      <c r="P1214" s="152">
        <v>135.07189600000001</v>
      </c>
      <c r="Q1214" s="152">
        <v>4.4641739999999999</v>
      </c>
      <c r="R1214" s="152" t="s">
        <v>1327</v>
      </c>
      <c r="S1214" s="152">
        <v>95.160673000000003</v>
      </c>
      <c r="T1214" s="152">
        <v>0.43287700000000001</v>
      </c>
      <c r="U1214" s="152">
        <v>9.5797910000000002</v>
      </c>
      <c r="V1214" s="152">
        <v>111.160678</v>
      </c>
      <c r="W1214" s="152">
        <v>1000</v>
      </c>
      <c r="X1214" s="152" t="s">
        <v>23</v>
      </c>
      <c r="Y1214" s="152" t="s">
        <v>1328</v>
      </c>
      <c r="Z1214" s="152" t="s">
        <v>1327</v>
      </c>
    </row>
    <row r="1215" spans="1:26" x14ac:dyDescent="0.2">
      <c r="A1215" s="152" t="s">
        <v>2377</v>
      </c>
      <c r="B1215" s="152">
        <v>3.93</v>
      </c>
      <c r="C1215" s="151">
        <v>48484</v>
      </c>
      <c r="D1215" s="152">
        <v>13.934246999999999</v>
      </c>
      <c r="E1215" s="152" t="s">
        <v>1325</v>
      </c>
      <c r="F1215" s="152" t="s">
        <v>1326</v>
      </c>
      <c r="G1215" s="152" t="s">
        <v>47</v>
      </c>
      <c r="H1215" s="152"/>
      <c r="I1215" s="151">
        <v>43090</v>
      </c>
      <c r="J1215" s="152">
        <v>4.1500000000000004</v>
      </c>
      <c r="K1215" s="152" t="s">
        <v>1327</v>
      </c>
      <c r="L1215" s="152" t="s">
        <v>1327</v>
      </c>
      <c r="M1215" s="152" t="s">
        <v>1327</v>
      </c>
      <c r="N1215" s="152" t="s">
        <v>1327</v>
      </c>
      <c r="O1215" s="152">
        <v>4.7018909999999998</v>
      </c>
      <c r="P1215" s="152">
        <v>147.802716</v>
      </c>
      <c r="Q1215" s="152">
        <v>4.7018909999999998</v>
      </c>
      <c r="R1215" s="152" t="s">
        <v>1327</v>
      </c>
      <c r="S1215" s="152">
        <v>92.193372999999994</v>
      </c>
      <c r="T1215" s="152">
        <v>0.301479</v>
      </c>
      <c r="U1215" s="152">
        <v>10.419230000000001</v>
      </c>
      <c r="V1215" s="152">
        <v>133.463843</v>
      </c>
      <c r="W1215" s="152">
        <v>1000</v>
      </c>
      <c r="X1215" s="152" t="s">
        <v>23</v>
      </c>
      <c r="Y1215" s="152" t="s">
        <v>1328</v>
      </c>
      <c r="Z1215" s="152" t="s">
        <v>1327</v>
      </c>
    </row>
    <row r="1216" spans="1:26" x14ac:dyDescent="0.2">
      <c r="A1216" s="152" t="s">
        <v>2378</v>
      </c>
      <c r="B1216" s="152">
        <v>5.4</v>
      </c>
      <c r="C1216" s="151">
        <v>43487</v>
      </c>
      <c r="D1216" s="152">
        <v>0.243836</v>
      </c>
      <c r="E1216" s="152" t="s">
        <v>1325</v>
      </c>
      <c r="F1216" s="152" t="s">
        <v>1326</v>
      </c>
      <c r="G1216" s="152"/>
      <c r="H1216" s="152"/>
      <c r="I1216" s="151">
        <v>43018</v>
      </c>
      <c r="J1216" s="152">
        <v>5</v>
      </c>
      <c r="K1216" s="152" t="s">
        <v>1327</v>
      </c>
      <c r="L1216" s="152" t="s">
        <v>1327</v>
      </c>
      <c r="M1216" s="152" t="s">
        <v>1327</v>
      </c>
      <c r="N1216" s="152" t="s">
        <v>1327</v>
      </c>
      <c r="O1216" s="152">
        <v>5.1169849999999997</v>
      </c>
      <c r="P1216" s="152">
        <v>368.10922199999999</v>
      </c>
      <c r="Q1216" s="152">
        <v>5.1169849999999997</v>
      </c>
      <c r="R1216" s="152" t="s">
        <v>1327</v>
      </c>
      <c r="S1216" s="152">
        <v>100.05684599999999</v>
      </c>
      <c r="T1216" s="152">
        <v>4.4384E-2</v>
      </c>
      <c r="U1216" s="152">
        <v>0.240756</v>
      </c>
      <c r="V1216" s="152">
        <v>0.117392</v>
      </c>
      <c r="W1216" s="152">
        <v>1000</v>
      </c>
      <c r="X1216" s="152" t="s">
        <v>23</v>
      </c>
      <c r="Y1216" s="152" t="s">
        <v>1328</v>
      </c>
      <c r="Z1216" s="152" t="s">
        <v>1327</v>
      </c>
    </row>
    <row r="1217" spans="1:26" x14ac:dyDescent="0.2">
      <c r="A1217" s="152" t="s">
        <v>2379</v>
      </c>
      <c r="B1217" s="152">
        <v>6.25</v>
      </c>
      <c r="C1217" s="151">
        <v>43558</v>
      </c>
      <c r="D1217" s="152">
        <v>0.43835600000000002</v>
      </c>
      <c r="E1217" s="152" t="s">
        <v>1325</v>
      </c>
      <c r="F1217" s="152" t="s">
        <v>1326</v>
      </c>
      <c r="G1217" s="152"/>
      <c r="H1217" s="152"/>
      <c r="I1217" s="152" t="s">
        <v>1327</v>
      </c>
      <c r="J1217" s="152" t="s">
        <v>1327</v>
      </c>
      <c r="K1217" s="152" t="s">
        <v>1327</v>
      </c>
      <c r="L1217" s="152" t="s">
        <v>1327</v>
      </c>
      <c r="M1217" s="152" t="s">
        <v>1327</v>
      </c>
      <c r="N1217" s="152" t="s">
        <v>1327</v>
      </c>
      <c r="O1217" s="152">
        <v>6.4621279999999999</v>
      </c>
      <c r="P1217" s="152">
        <v>495.85449199999999</v>
      </c>
      <c r="Q1217" s="152">
        <v>6.4621279999999999</v>
      </c>
      <c r="R1217" s="152" t="s">
        <v>1327</v>
      </c>
      <c r="S1217" s="152">
        <v>99.893263000000005</v>
      </c>
      <c r="T1217" s="152">
        <v>0.37671199999999999</v>
      </c>
      <c r="U1217" s="152">
        <v>0.43097000000000002</v>
      </c>
      <c r="V1217" s="152">
        <v>0.292682</v>
      </c>
      <c r="W1217" s="152">
        <v>1000</v>
      </c>
      <c r="X1217" s="152" t="s">
        <v>23</v>
      </c>
      <c r="Y1217" s="152" t="s">
        <v>1328</v>
      </c>
      <c r="Z1217" s="152" t="s">
        <v>1327</v>
      </c>
    </row>
    <row r="1218" spans="1:26" x14ac:dyDescent="0.2">
      <c r="A1218" s="152" t="s">
        <v>2380</v>
      </c>
      <c r="B1218" s="152">
        <v>4.9000000000000004</v>
      </c>
      <c r="C1218" s="151">
        <v>43605</v>
      </c>
      <c r="D1218" s="152">
        <v>0.56712300000000004</v>
      </c>
      <c r="E1218" s="152" t="s">
        <v>1325</v>
      </c>
      <c r="F1218" s="152" t="s">
        <v>1326</v>
      </c>
      <c r="G1218" s="152"/>
      <c r="H1218" s="152"/>
      <c r="I1218" s="152" t="s">
        <v>1327</v>
      </c>
      <c r="J1218" s="152" t="s">
        <v>1327</v>
      </c>
      <c r="K1218" s="152" t="s">
        <v>1327</v>
      </c>
      <c r="L1218" s="152" t="s">
        <v>1327</v>
      </c>
      <c r="M1218" s="152" t="s">
        <v>1327</v>
      </c>
      <c r="N1218" s="152" t="s">
        <v>1327</v>
      </c>
      <c r="O1218" s="152">
        <v>5.3258890000000001</v>
      </c>
      <c r="P1218" s="152">
        <v>370.51661000000001</v>
      </c>
      <c r="Q1218" s="152">
        <v>5.3258890000000001</v>
      </c>
      <c r="R1218" s="152" t="s">
        <v>1327</v>
      </c>
      <c r="S1218" s="152">
        <v>99.750219000000001</v>
      </c>
      <c r="T1218" s="152">
        <v>0.88602700000000001</v>
      </c>
      <c r="U1218" s="152">
        <v>0.55479100000000003</v>
      </c>
      <c r="V1218" s="152">
        <v>0.44826899999999997</v>
      </c>
      <c r="W1218" s="152">
        <v>1000</v>
      </c>
      <c r="X1218" s="152" t="s">
        <v>23</v>
      </c>
      <c r="Y1218" s="152" t="s">
        <v>1328</v>
      </c>
      <c r="Z1218" s="152" t="s">
        <v>1327</v>
      </c>
    </row>
    <row r="1219" spans="1:26" x14ac:dyDescent="0.2">
      <c r="A1219" s="152" t="s">
        <v>2381</v>
      </c>
      <c r="B1219" s="152">
        <v>6</v>
      </c>
      <c r="C1219" s="151">
        <v>43609</v>
      </c>
      <c r="D1219" s="152">
        <v>0.57808199999999998</v>
      </c>
      <c r="E1219" s="152" t="s">
        <v>1325</v>
      </c>
      <c r="F1219" s="152" t="s">
        <v>1326</v>
      </c>
      <c r="G1219" s="152"/>
      <c r="H1219" s="152"/>
      <c r="I1219" s="152">
        <v>42879</v>
      </c>
      <c r="J1219" s="152">
        <v>5.993468</v>
      </c>
      <c r="K1219" s="152" t="s">
        <v>1327</v>
      </c>
      <c r="L1219" s="152" t="s">
        <v>1327</v>
      </c>
      <c r="M1219" s="152" t="s">
        <v>1327</v>
      </c>
      <c r="N1219" s="152" t="s">
        <v>1327</v>
      </c>
      <c r="O1219" s="152">
        <v>5.8304020000000003</v>
      </c>
      <c r="P1219" s="152">
        <v>423.14765499999999</v>
      </c>
      <c r="Q1219" s="152">
        <v>5.8304020000000003</v>
      </c>
      <c r="R1219" s="152" t="s">
        <v>1327</v>
      </c>
      <c r="S1219" s="152">
        <v>100.081667</v>
      </c>
      <c r="T1219" s="152">
        <v>1.0191779999999999</v>
      </c>
      <c r="U1219" s="152">
        <v>0.56296400000000002</v>
      </c>
      <c r="V1219" s="152">
        <v>0.46</v>
      </c>
      <c r="W1219" s="152">
        <v>1000</v>
      </c>
      <c r="X1219" s="152" t="s">
        <v>23</v>
      </c>
      <c r="Y1219" s="152" t="s">
        <v>1328</v>
      </c>
      <c r="Z1219" s="152" t="s">
        <v>1327</v>
      </c>
    </row>
    <row r="1220" spans="1:26" x14ac:dyDescent="0.2">
      <c r="A1220" s="152" t="s">
        <v>2382</v>
      </c>
      <c r="B1220" s="152">
        <v>5</v>
      </c>
      <c r="C1220" s="151">
        <v>43661</v>
      </c>
      <c r="D1220" s="152">
        <v>0.72054799999999997</v>
      </c>
      <c r="E1220" s="152" t="s">
        <v>1325</v>
      </c>
      <c r="F1220" s="152" t="s">
        <v>1326</v>
      </c>
      <c r="G1220" s="152"/>
      <c r="H1220" s="152"/>
      <c r="I1220" s="152">
        <v>42942</v>
      </c>
      <c r="J1220" s="152">
        <v>4.9689480000000001</v>
      </c>
      <c r="K1220" s="152" t="s">
        <v>1327</v>
      </c>
      <c r="L1220" s="152" t="s">
        <v>1327</v>
      </c>
      <c r="M1220" s="152" t="s">
        <v>1327</v>
      </c>
      <c r="N1220" s="152" t="s">
        <v>1327</v>
      </c>
      <c r="O1220" s="152">
        <v>5.3596430000000002</v>
      </c>
      <c r="P1220" s="152">
        <v>370.47287299999999</v>
      </c>
      <c r="Q1220" s="152">
        <v>5.3596430000000002</v>
      </c>
      <c r="R1220" s="152" t="s">
        <v>1327</v>
      </c>
      <c r="S1220" s="152">
        <v>99.735012999999995</v>
      </c>
      <c r="T1220" s="152">
        <v>0.136986</v>
      </c>
      <c r="U1220" s="152">
        <v>0.70596400000000004</v>
      </c>
      <c r="V1220" s="152">
        <v>0.67621200000000004</v>
      </c>
      <c r="W1220" s="152">
        <v>1000</v>
      </c>
      <c r="X1220" s="152" t="s">
        <v>23</v>
      </c>
      <c r="Y1220" s="152" t="s">
        <v>1328</v>
      </c>
      <c r="Z1220" s="152" t="s">
        <v>1327</v>
      </c>
    </row>
    <row r="1221" spans="1:26" x14ac:dyDescent="0.2">
      <c r="A1221" s="152" t="s">
        <v>2383</v>
      </c>
      <c r="B1221" s="152">
        <v>5</v>
      </c>
      <c r="C1221" s="151">
        <v>43688</v>
      </c>
      <c r="D1221" s="152">
        <v>0.79452100000000003</v>
      </c>
      <c r="E1221" s="152" t="s">
        <v>1325</v>
      </c>
      <c r="F1221" s="152" t="s">
        <v>1326</v>
      </c>
      <c r="G1221" s="152"/>
      <c r="H1221" s="152"/>
      <c r="I1221" s="152" t="s">
        <v>1327</v>
      </c>
      <c r="J1221" s="152" t="s">
        <v>1327</v>
      </c>
      <c r="K1221" s="152" t="s">
        <v>1327</v>
      </c>
      <c r="L1221" s="152" t="s">
        <v>1327</v>
      </c>
      <c r="M1221" s="152" t="s">
        <v>1327</v>
      </c>
      <c r="N1221" s="152" t="s">
        <v>1327</v>
      </c>
      <c r="O1221" s="152">
        <v>5.380871</v>
      </c>
      <c r="P1221" s="152">
        <v>370.40974199999999</v>
      </c>
      <c r="Q1221" s="152">
        <v>5.380871</v>
      </c>
      <c r="R1221" s="152" t="s">
        <v>1327</v>
      </c>
      <c r="S1221" s="152">
        <v>99.693414000000004</v>
      </c>
      <c r="T1221" s="152">
        <v>1.0273969999999999</v>
      </c>
      <c r="U1221" s="152">
        <v>0.76783999999999997</v>
      </c>
      <c r="V1221" s="152">
        <v>0.78914799999999996</v>
      </c>
      <c r="W1221" s="152">
        <v>1000</v>
      </c>
      <c r="X1221" s="152" t="s">
        <v>23</v>
      </c>
      <c r="Y1221" s="152" t="s">
        <v>1328</v>
      </c>
      <c r="Z1221" s="152" t="s">
        <v>1327</v>
      </c>
    </row>
    <row r="1222" spans="1:26" x14ac:dyDescent="0.2">
      <c r="A1222" s="152" t="s">
        <v>2384</v>
      </c>
      <c r="B1222" s="152">
        <v>4.9000000000000004</v>
      </c>
      <c r="C1222" s="151">
        <v>43815</v>
      </c>
      <c r="D1222" s="152">
        <v>1.142466</v>
      </c>
      <c r="E1222" s="152" t="s">
        <v>1325</v>
      </c>
      <c r="F1222" s="152" t="s">
        <v>1326</v>
      </c>
      <c r="G1222" s="152"/>
      <c r="H1222" s="152"/>
      <c r="I1222" s="151" t="s">
        <v>1327</v>
      </c>
      <c r="J1222" s="152" t="s">
        <v>1327</v>
      </c>
      <c r="K1222" s="152" t="s">
        <v>1327</v>
      </c>
      <c r="L1222" s="152" t="s">
        <v>1327</v>
      </c>
      <c r="M1222" s="152" t="s">
        <v>1327</v>
      </c>
      <c r="N1222" s="152" t="s">
        <v>1327</v>
      </c>
      <c r="O1222" s="152">
        <v>5.4450240000000001</v>
      </c>
      <c r="P1222" s="152">
        <v>372.24728499999998</v>
      </c>
      <c r="Q1222" s="152">
        <v>5.4450240000000001</v>
      </c>
      <c r="R1222" s="152" t="s">
        <v>1327</v>
      </c>
      <c r="S1222" s="152">
        <v>99.401574999999994</v>
      </c>
      <c r="T1222" s="152">
        <v>0.52356199999999997</v>
      </c>
      <c r="U1222" s="152">
        <v>1.0975189999999999</v>
      </c>
      <c r="V1222" s="152">
        <v>1.4963690000000001</v>
      </c>
      <c r="W1222" s="152">
        <v>1000</v>
      </c>
      <c r="X1222" s="152" t="s">
        <v>23</v>
      </c>
      <c r="Y1222" s="152" t="s">
        <v>1328</v>
      </c>
      <c r="Z1222" s="152" t="s">
        <v>1327</v>
      </c>
    </row>
    <row r="1223" spans="1:26" x14ac:dyDescent="0.2">
      <c r="A1223" s="152" t="s">
        <v>2385</v>
      </c>
      <c r="B1223" s="152">
        <v>6.7</v>
      </c>
      <c r="C1223" s="151">
        <v>43917</v>
      </c>
      <c r="D1223" s="152">
        <v>1.421918</v>
      </c>
      <c r="E1223" s="152" t="s">
        <v>1325</v>
      </c>
      <c r="F1223" s="152" t="s">
        <v>1326</v>
      </c>
      <c r="G1223" s="152"/>
      <c r="H1223" s="152"/>
      <c r="I1223" s="152" t="s">
        <v>1327</v>
      </c>
      <c r="J1223" s="152" t="s">
        <v>1327</v>
      </c>
      <c r="K1223" s="152" t="s">
        <v>1327</v>
      </c>
      <c r="L1223" s="152" t="s">
        <v>1327</v>
      </c>
      <c r="M1223" s="152" t="s">
        <v>1327</v>
      </c>
      <c r="N1223" s="152" t="s">
        <v>1327</v>
      </c>
      <c r="O1223" s="152">
        <v>7.0221600000000004</v>
      </c>
      <c r="P1223" s="152">
        <v>530.581504</v>
      </c>
      <c r="Q1223" s="152">
        <v>7.0221600000000004</v>
      </c>
      <c r="R1223" s="152" t="s">
        <v>1327</v>
      </c>
      <c r="S1223" s="152">
        <v>99.569564999999997</v>
      </c>
      <c r="T1223" s="152">
        <v>0.47726000000000002</v>
      </c>
      <c r="U1223" s="152">
        <v>1.338314</v>
      </c>
      <c r="V1223" s="152">
        <v>2.169727</v>
      </c>
      <c r="W1223" s="152">
        <v>1000</v>
      </c>
      <c r="X1223" s="152" t="s">
        <v>23</v>
      </c>
      <c r="Y1223" s="152" t="s">
        <v>1328</v>
      </c>
      <c r="Z1223" s="152" t="s">
        <v>1327</v>
      </c>
    </row>
    <row r="1224" spans="1:26" x14ac:dyDescent="0.2">
      <c r="A1224" s="152" t="s">
        <v>2386</v>
      </c>
      <c r="B1224" s="152">
        <v>7</v>
      </c>
      <c r="C1224" s="151">
        <v>43931</v>
      </c>
      <c r="D1224" s="152">
        <v>1.4602740000000001</v>
      </c>
      <c r="E1224" s="152" t="s">
        <v>1325</v>
      </c>
      <c r="F1224" s="152" t="s">
        <v>1326</v>
      </c>
      <c r="G1224" s="152"/>
      <c r="H1224" s="152"/>
      <c r="I1224" s="152" t="s">
        <v>1327</v>
      </c>
      <c r="J1224" s="152" t="s">
        <v>1327</v>
      </c>
      <c r="K1224" s="152" t="s">
        <v>1327</v>
      </c>
      <c r="L1224" s="152" t="s">
        <v>1327</v>
      </c>
      <c r="M1224" s="152" t="s">
        <v>1327</v>
      </c>
      <c r="N1224" s="152" t="s">
        <v>1327</v>
      </c>
      <c r="O1224" s="152">
        <v>7.003584</v>
      </c>
      <c r="P1224" s="152">
        <v>527.96279300000003</v>
      </c>
      <c r="Q1224" s="152">
        <v>7.003584</v>
      </c>
      <c r="R1224" s="152" t="s">
        <v>1327</v>
      </c>
      <c r="S1224" s="152">
        <v>99.993414999999999</v>
      </c>
      <c r="T1224" s="152">
        <v>0.24931500000000001</v>
      </c>
      <c r="U1224" s="152">
        <v>1.3741410000000001</v>
      </c>
      <c r="V1224" s="152">
        <v>2.277962</v>
      </c>
      <c r="W1224" s="152">
        <v>1000</v>
      </c>
      <c r="X1224" s="152" t="s">
        <v>23</v>
      </c>
      <c r="Y1224" s="152" t="s">
        <v>1328</v>
      </c>
      <c r="Z1224" s="152" t="s">
        <v>1327</v>
      </c>
    </row>
    <row r="1225" spans="1:26" x14ac:dyDescent="0.2">
      <c r="A1225" s="152" t="s">
        <v>2387</v>
      </c>
      <c r="B1225" s="152">
        <v>7.5</v>
      </c>
      <c r="C1225" s="151">
        <v>44074</v>
      </c>
      <c r="D1225" s="152">
        <v>1.852055</v>
      </c>
      <c r="E1225" s="152" t="s">
        <v>1325</v>
      </c>
      <c r="F1225" s="152" t="s">
        <v>1326</v>
      </c>
      <c r="G1225" s="152"/>
      <c r="H1225" s="152"/>
      <c r="I1225" s="151" t="s">
        <v>1327</v>
      </c>
      <c r="J1225" s="152" t="s">
        <v>1327</v>
      </c>
      <c r="K1225" s="152" t="s">
        <v>1327</v>
      </c>
      <c r="L1225" s="152" t="s">
        <v>1327</v>
      </c>
      <c r="M1225" s="152" t="s">
        <v>1327</v>
      </c>
      <c r="N1225" s="152" t="s">
        <v>1327</v>
      </c>
      <c r="O1225" s="152">
        <v>7.4016479999999998</v>
      </c>
      <c r="P1225" s="152">
        <v>559.56760299999996</v>
      </c>
      <c r="Q1225" s="152">
        <v>7.4016479999999998</v>
      </c>
      <c r="R1225" s="152" t="s">
        <v>1327</v>
      </c>
      <c r="S1225" s="152">
        <v>100.169504</v>
      </c>
      <c r="T1225" s="152">
        <v>1.1301369999999999</v>
      </c>
      <c r="U1225" s="152">
        <v>1.693235</v>
      </c>
      <c r="V1225" s="152">
        <v>3.4189509999999999</v>
      </c>
      <c r="W1225" s="152">
        <v>1000</v>
      </c>
      <c r="X1225" s="152" t="s">
        <v>23</v>
      </c>
      <c r="Y1225" s="152" t="s">
        <v>1328</v>
      </c>
      <c r="Z1225" s="152" t="s">
        <v>1327</v>
      </c>
    </row>
    <row r="1226" spans="1:26" x14ac:dyDescent="0.2">
      <c r="A1226" s="152" t="s">
        <v>2388</v>
      </c>
      <c r="B1226" s="152">
        <v>4.5</v>
      </c>
      <c r="C1226" s="151">
        <v>43803</v>
      </c>
      <c r="D1226" s="152">
        <v>1.1095889999999999</v>
      </c>
      <c r="E1226" s="152" t="s">
        <v>1325</v>
      </c>
      <c r="F1226" s="152" t="s">
        <v>1326</v>
      </c>
      <c r="G1226" s="152"/>
      <c r="H1226" s="152"/>
      <c r="I1226" s="151" t="s">
        <v>1327</v>
      </c>
      <c r="J1226" s="152" t="s">
        <v>1327</v>
      </c>
      <c r="K1226" s="151" t="s">
        <v>1327</v>
      </c>
      <c r="L1226" s="152" t="s">
        <v>1327</v>
      </c>
      <c r="M1226" s="152" t="s">
        <v>1327</v>
      </c>
      <c r="N1226" s="152" t="s">
        <v>1327</v>
      </c>
      <c r="O1226" s="152">
        <v>4.16465</v>
      </c>
      <c r="P1226" s="152">
        <v>240.142698</v>
      </c>
      <c r="Q1226" s="152">
        <v>4.16465</v>
      </c>
      <c r="R1226" s="152" t="s">
        <v>1327</v>
      </c>
      <c r="S1226" s="152">
        <v>100.363445</v>
      </c>
      <c r="T1226" s="152">
        <v>0.62876699999999996</v>
      </c>
      <c r="U1226" s="152">
        <v>1.071</v>
      </c>
      <c r="V1226" s="152">
        <v>1.4315199999999999</v>
      </c>
      <c r="W1226" s="152">
        <v>1000</v>
      </c>
      <c r="X1226" s="152" t="s">
        <v>23</v>
      </c>
      <c r="Y1226" s="152" t="s">
        <v>1328</v>
      </c>
      <c r="Z1226" s="152" t="s">
        <v>1327</v>
      </c>
    </row>
    <row r="1227" spans="1:26" x14ac:dyDescent="0.2">
      <c r="A1227" s="152" t="s">
        <v>2389</v>
      </c>
      <c r="B1227" s="152">
        <v>4.3</v>
      </c>
      <c r="C1227" s="151">
        <v>44061</v>
      </c>
      <c r="D1227" s="152">
        <v>1.816438</v>
      </c>
      <c r="E1227" s="152" t="s">
        <v>1325</v>
      </c>
      <c r="F1227" s="152" t="s">
        <v>1326</v>
      </c>
      <c r="G1227" s="152"/>
      <c r="H1227" s="152"/>
      <c r="I1227" s="151" t="s">
        <v>1327</v>
      </c>
      <c r="J1227" s="152" t="s">
        <v>1327</v>
      </c>
      <c r="K1227" s="151" t="s">
        <v>1327</v>
      </c>
      <c r="L1227" s="152" t="s">
        <v>1327</v>
      </c>
      <c r="M1227" s="152" t="s">
        <v>1327</v>
      </c>
      <c r="N1227" s="152" t="s">
        <v>1327</v>
      </c>
      <c r="O1227" s="152">
        <v>4.3547859999999998</v>
      </c>
      <c r="P1227" s="152">
        <v>242.573992</v>
      </c>
      <c r="Q1227" s="152">
        <v>4.3547859999999998</v>
      </c>
      <c r="R1227" s="152" t="s">
        <v>1327</v>
      </c>
      <c r="S1227" s="152">
        <v>99.894885000000002</v>
      </c>
      <c r="T1227" s="152">
        <v>0.80109600000000003</v>
      </c>
      <c r="U1227" s="152">
        <v>1.7240500000000001</v>
      </c>
      <c r="V1227" s="152">
        <v>3.483304</v>
      </c>
      <c r="W1227" s="152">
        <v>1000</v>
      </c>
      <c r="X1227" s="152" t="s">
        <v>23</v>
      </c>
      <c r="Y1227" s="152" t="s">
        <v>1328</v>
      </c>
      <c r="Z1227" s="152" t="s">
        <v>1327</v>
      </c>
    </row>
    <row r="1228" spans="1:26" x14ac:dyDescent="0.2">
      <c r="A1228" s="152" t="s">
        <v>2390</v>
      </c>
      <c r="B1228" s="152">
        <v>4.7</v>
      </c>
      <c r="C1228" s="151">
        <v>44294</v>
      </c>
      <c r="D1228" s="152">
        <v>2.4547949999999998</v>
      </c>
      <c r="E1228" s="152" t="s">
        <v>1325</v>
      </c>
      <c r="F1228" s="152" t="s">
        <v>1326</v>
      </c>
      <c r="G1228" s="152"/>
      <c r="H1228" s="152"/>
      <c r="I1228" s="151" t="s">
        <v>1327</v>
      </c>
      <c r="J1228" s="152" t="s">
        <v>1327</v>
      </c>
      <c r="K1228" s="151" t="s">
        <v>1327</v>
      </c>
      <c r="L1228" s="152" t="s">
        <v>1327</v>
      </c>
      <c r="M1228" s="152" t="s">
        <v>1327</v>
      </c>
      <c r="N1228" s="152" t="s">
        <v>1327</v>
      </c>
      <c r="O1228" s="152">
        <v>4.4135340000000003</v>
      </c>
      <c r="P1228" s="152">
        <v>242.82322500000001</v>
      </c>
      <c r="Q1228" s="152">
        <v>4.4135340000000003</v>
      </c>
      <c r="R1228" s="152" t="s">
        <v>1327</v>
      </c>
      <c r="S1228" s="152">
        <v>100.652579</v>
      </c>
      <c r="T1228" s="152">
        <v>0.21890399999999999</v>
      </c>
      <c r="U1228" s="152">
        <v>2.3038979999999998</v>
      </c>
      <c r="V1228" s="152">
        <v>6.059126</v>
      </c>
      <c r="W1228" s="152">
        <v>1000</v>
      </c>
      <c r="X1228" s="152" t="s">
        <v>23</v>
      </c>
      <c r="Y1228" s="152" t="s">
        <v>1328</v>
      </c>
      <c r="Z1228" s="152" t="s">
        <v>1327</v>
      </c>
    </row>
    <row r="1229" spans="1:26" x14ac:dyDescent="0.2">
      <c r="A1229" s="152" t="s">
        <v>2391</v>
      </c>
      <c r="B1229" s="152">
        <v>4.0999999999999996</v>
      </c>
      <c r="C1229" s="151">
        <v>44333</v>
      </c>
      <c r="D1229" s="152">
        <v>2.5616439999999998</v>
      </c>
      <c r="E1229" s="152" t="s">
        <v>1325</v>
      </c>
      <c r="F1229" s="152" t="s">
        <v>1326</v>
      </c>
      <c r="G1229" s="152"/>
      <c r="H1229" s="152"/>
      <c r="I1229" s="151" t="s">
        <v>1327</v>
      </c>
      <c r="J1229" s="152" t="s">
        <v>1327</v>
      </c>
      <c r="K1229" s="152" t="s">
        <v>1327</v>
      </c>
      <c r="L1229" s="152" t="s">
        <v>1327</v>
      </c>
      <c r="M1229" s="152" t="s">
        <v>1327</v>
      </c>
      <c r="N1229" s="152" t="s">
        <v>1327</v>
      </c>
      <c r="O1229" s="152">
        <v>4.4044790000000003</v>
      </c>
      <c r="P1229" s="152">
        <v>241.083474</v>
      </c>
      <c r="Q1229" s="152">
        <v>4.4044790000000003</v>
      </c>
      <c r="R1229" s="152" t="s">
        <v>1327</v>
      </c>
      <c r="S1229" s="152">
        <v>99.256379999999993</v>
      </c>
      <c r="T1229" s="152">
        <v>0.77506799999999998</v>
      </c>
      <c r="U1229" s="152">
        <v>2.4005679999999998</v>
      </c>
      <c r="V1229" s="152">
        <v>6.5732679999999997</v>
      </c>
      <c r="W1229" s="152">
        <v>1000</v>
      </c>
      <c r="X1229" s="152" t="s">
        <v>23</v>
      </c>
      <c r="Y1229" s="152" t="s">
        <v>1328</v>
      </c>
      <c r="Z1229" s="152" t="s">
        <v>1327</v>
      </c>
    </row>
    <row r="1230" spans="1:26" x14ac:dyDescent="0.2">
      <c r="A1230" s="152" t="s">
        <v>2392</v>
      </c>
      <c r="B1230" s="152">
        <v>4</v>
      </c>
      <c r="C1230" s="151">
        <v>44497</v>
      </c>
      <c r="D1230" s="152">
        <v>3.0109590000000002</v>
      </c>
      <c r="E1230" s="152" t="s">
        <v>1325</v>
      </c>
      <c r="F1230" s="152" t="s">
        <v>1326</v>
      </c>
      <c r="G1230" s="152"/>
      <c r="H1230" s="152"/>
      <c r="I1230" s="152" t="s">
        <v>1327</v>
      </c>
      <c r="J1230" s="152" t="s">
        <v>1327</v>
      </c>
      <c r="K1230" s="151" t="s">
        <v>1327</v>
      </c>
      <c r="L1230" s="152" t="s">
        <v>1327</v>
      </c>
      <c r="M1230" s="152" t="s">
        <v>1327</v>
      </c>
      <c r="N1230" s="152" t="s">
        <v>1327</v>
      </c>
      <c r="O1230" s="152">
        <v>4.4125220000000001</v>
      </c>
      <c r="P1230" s="152">
        <v>235.32926599999999</v>
      </c>
      <c r="Q1230" s="152">
        <v>4.4125220000000001</v>
      </c>
      <c r="R1230" s="152" t="s">
        <v>1327</v>
      </c>
      <c r="S1230" s="152">
        <v>98.844016999999994</v>
      </c>
      <c r="T1230" s="152">
        <v>-3.2877000000000003E-2</v>
      </c>
      <c r="U1230" s="152">
        <v>2.8178899999999998</v>
      </c>
      <c r="V1230" s="152">
        <v>8.9141370000000002</v>
      </c>
      <c r="W1230" s="152">
        <v>1000</v>
      </c>
      <c r="X1230" s="152" t="s">
        <v>23</v>
      </c>
      <c r="Y1230" s="152" t="s">
        <v>1328</v>
      </c>
      <c r="Z1230" s="152" t="s">
        <v>1327</v>
      </c>
    </row>
    <row r="1231" spans="1:26" x14ac:dyDescent="0.2">
      <c r="A1231" s="152" t="s">
        <v>2393</v>
      </c>
      <c r="B1231" s="152">
        <v>5</v>
      </c>
      <c r="C1231" s="151">
        <v>44403</v>
      </c>
      <c r="D1231" s="152">
        <v>2.753425</v>
      </c>
      <c r="E1231" s="152" t="s">
        <v>1325</v>
      </c>
      <c r="F1231" s="152" t="s">
        <v>1326</v>
      </c>
      <c r="G1231" s="152"/>
      <c r="H1231" s="152"/>
      <c r="I1231" s="151">
        <v>43307</v>
      </c>
      <c r="J1231" s="152">
        <v>4.9963160000000002</v>
      </c>
      <c r="K1231" s="151" t="s">
        <v>1327</v>
      </c>
      <c r="L1231" s="152" t="s">
        <v>1327</v>
      </c>
      <c r="M1231" s="152" t="s">
        <v>1327</v>
      </c>
      <c r="N1231" s="152" t="s">
        <v>1327</v>
      </c>
      <c r="O1231" s="152">
        <v>5.1502220000000003</v>
      </c>
      <c r="P1231" s="152">
        <v>316.24921399999999</v>
      </c>
      <c r="Q1231" s="152">
        <v>5.1502220000000003</v>
      </c>
      <c r="R1231" s="152" t="s">
        <v>1327</v>
      </c>
      <c r="S1231" s="152">
        <v>99.616833999999997</v>
      </c>
      <c r="T1231" s="152">
        <v>-1.3698999999999999E-2</v>
      </c>
      <c r="U1231" s="152">
        <v>2.5558239999999999</v>
      </c>
      <c r="V1231" s="152">
        <v>7.4196530000000003</v>
      </c>
      <c r="W1231" s="152">
        <v>1000</v>
      </c>
      <c r="X1231" s="152" t="s">
        <v>23</v>
      </c>
      <c r="Y1231" s="152" t="s">
        <v>1328</v>
      </c>
      <c r="Z1231" s="152" t="s">
        <v>1327</v>
      </c>
    </row>
    <row r="1232" spans="1:26" x14ac:dyDescent="0.2">
      <c r="A1232" s="152" t="s">
        <v>683</v>
      </c>
      <c r="B1232" s="152">
        <v>3.89</v>
      </c>
      <c r="C1232" s="151">
        <v>43734</v>
      </c>
      <c r="D1232" s="152">
        <v>0.92054800000000003</v>
      </c>
      <c r="E1232" s="152" t="s">
        <v>1325</v>
      </c>
      <c r="F1232" s="152" t="s">
        <v>1326</v>
      </c>
      <c r="G1232" s="152" t="s">
        <v>51</v>
      </c>
      <c r="H1232" s="152"/>
      <c r="I1232" s="151">
        <v>43397</v>
      </c>
      <c r="J1232" s="152">
        <v>2.14</v>
      </c>
      <c r="K1232" s="152" t="s">
        <v>1327</v>
      </c>
      <c r="L1232" s="152" t="s">
        <v>1327</v>
      </c>
      <c r="M1232" s="152" t="s">
        <v>1327</v>
      </c>
      <c r="N1232" s="152" t="s">
        <v>1327</v>
      </c>
      <c r="O1232" s="152">
        <v>2.14</v>
      </c>
      <c r="P1232" s="152">
        <v>33.415391999999997</v>
      </c>
      <c r="Q1232" s="152">
        <v>2.14</v>
      </c>
      <c r="R1232" s="152" t="s">
        <v>1327</v>
      </c>
      <c r="S1232" s="152">
        <v>101.594336</v>
      </c>
      <c r="T1232" s="152">
        <v>0.30906800000000001</v>
      </c>
      <c r="U1232" s="152">
        <v>0.89737699999999998</v>
      </c>
      <c r="V1232" s="152">
        <v>1.2537670000000001</v>
      </c>
      <c r="W1232" s="152">
        <v>1000</v>
      </c>
      <c r="X1232" s="152" t="s">
        <v>23</v>
      </c>
      <c r="Y1232" s="152" t="s">
        <v>1328</v>
      </c>
      <c r="Z1232" s="152" t="s">
        <v>1327</v>
      </c>
    </row>
    <row r="1233" spans="1:26" x14ac:dyDescent="0.2">
      <c r="A1233" s="152" t="s">
        <v>2394</v>
      </c>
      <c r="B1233" s="152">
        <v>2.66</v>
      </c>
      <c r="C1233" s="151">
        <v>43719</v>
      </c>
      <c r="D1233" s="152">
        <v>0.87945200000000001</v>
      </c>
      <c r="E1233" s="152" t="s">
        <v>1325</v>
      </c>
      <c r="F1233" s="152" t="s">
        <v>1326</v>
      </c>
      <c r="G1233" s="152" t="s">
        <v>51</v>
      </c>
      <c r="H1233" s="152"/>
      <c r="I1233" s="151">
        <v>43397</v>
      </c>
      <c r="J1233" s="152">
        <v>2.14</v>
      </c>
      <c r="K1233" s="152" t="s">
        <v>1327</v>
      </c>
      <c r="L1233" s="152" t="s">
        <v>1327</v>
      </c>
      <c r="M1233" s="152" t="s">
        <v>1327</v>
      </c>
      <c r="N1233" s="152" t="s">
        <v>1327</v>
      </c>
      <c r="O1233" s="152">
        <v>2.14</v>
      </c>
      <c r="P1233" s="152">
        <v>33.554195999999997</v>
      </c>
      <c r="Q1233" s="152">
        <v>2.14</v>
      </c>
      <c r="R1233" s="152" t="s">
        <v>1327</v>
      </c>
      <c r="S1233" s="152">
        <v>100.45817599999999</v>
      </c>
      <c r="T1233" s="152">
        <v>0.320658</v>
      </c>
      <c r="U1233" s="152">
        <v>0.859599</v>
      </c>
      <c r="V1233" s="152">
        <v>1.1673210000000001</v>
      </c>
      <c r="W1233" s="152">
        <v>1000</v>
      </c>
      <c r="X1233" s="152" t="s">
        <v>23</v>
      </c>
      <c r="Y1233" s="152" t="s">
        <v>1328</v>
      </c>
      <c r="Z1233" s="152" t="s">
        <v>1327</v>
      </c>
    </row>
    <row r="1234" spans="1:26" x14ac:dyDescent="0.2">
      <c r="A1234" s="152" t="s">
        <v>684</v>
      </c>
      <c r="B1234" s="152">
        <v>4.9000000000000004</v>
      </c>
      <c r="C1234" s="151">
        <v>43769</v>
      </c>
      <c r="D1234" s="152">
        <v>1.016438</v>
      </c>
      <c r="E1234" s="152" t="s">
        <v>1325</v>
      </c>
      <c r="F1234" s="152" t="s">
        <v>1326</v>
      </c>
      <c r="G1234" s="152"/>
      <c r="H1234" s="152"/>
      <c r="I1234" s="152">
        <v>42321</v>
      </c>
      <c r="J1234" s="152">
        <v>2.63</v>
      </c>
      <c r="K1234" s="152" t="s">
        <v>1327</v>
      </c>
      <c r="L1234" s="152" t="s">
        <v>1327</v>
      </c>
      <c r="M1234" s="152" t="s">
        <v>1327</v>
      </c>
      <c r="N1234" s="152" t="s">
        <v>1327</v>
      </c>
      <c r="O1234" s="152">
        <v>2.1692840000000002</v>
      </c>
      <c r="P1234" s="152">
        <v>36.55641</v>
      </c>
      <c r="Q1234" s="152">
        <v>2.1692840000000002</v>
      </c>
      <c r="R1234" s="152" t="s">
        <v>1327</v>
      </c>
      <c r="S1234" s="152">
        <v>102.731056</v>
      </c>
      <c r="T1234" s="152">
        <v>-8.0547999999999995E-2</v>
      </c>
      <c r="U1234" s="152">
        <v>0.99385699999999999</v>
      </c>
      <c r="V1234" s="152">
        <v>1.4849870000000001</v>
      </c>
      <c r="W1234" s="152">
        <v>1000</v>
      </c>
      <c r="X1234" s="152" t="s">
        <v>23</v>
      </c>
      <c r="Y1234" s="152" t="s">
        <v>1328</v>
      </c>
      <c r="Z1234" s="152" t="s">
        <v>1327</v>
      </c>
    </row>
    <row r="1235" spans="1:26" x14ac:dyDescent="0.2">
      <c r="A1235" s="152" t="s">
        <v>685</v>
      </c>
      <c r="B1235" s="152">
        <v>2.95</v>
      </c>
      <c r="C1235" s="151">
        <v>44085</v>
      </c>
      <c r="D1235" s="152">
        <v>1.8821920000000001</v>
      </c>
      <c r="E1235" s="152" t="s">
        <v>1325</v>
      </c>
      <c r="F1235" s="152" t="s">
        <v>1326</v>
      </c>
      <c r="G1235" s="152" t="s">
        <v>51</v>
      </c>
      <c r="H1235" s="152"/>
      <c r="I1235" s="151">
        <v>43300</v>
      </c>
      <c r="J1235" s="152">
        <v>2.11</v>
      </c>
      <c r="K1235" s="152" t="s">
        <v>1327</v>
      </c>
      <c r="L1235" s="152" t="s">
        <v>1327</v>
      </c>
      <c r="M1235" s="152" t="s">
        <v>1327</v>
      </c>
      <c r="N1235" s="152" t="s">
        <v>1327</v>
      </c>
      <c r="O1235" s="152">
        <v>2.427489</v>
      </c>
      <c r="P1235" s="152">
        <v>42.201483000000003</v>
      </c>
      <c r="Q1235" s="152">
        <v>2.427489</v>
      </c>
      <c r="R1235" s="152" t="s">
        <v>1327</v>
      </c>
      <c r="S1235" s="152">
        <v>100.96274099999999</v>
      </c>
      <c r="T1235" s="152">
        <v>0.35561599999999999</v>
      </c>
      <c r="U1235" s="152">
        <v>1.810433</v>
      </c>
      <c r="V1235" s="152">
        <v>4.2192660000000002</v>
      </c>
      <c r="W1235" s="152">
        <v>1000</v>
      </c>
      <c r="X1235" s="152" t="s">
        <v>23</v>
      </c>
      <c r="Y1235" s="152" t="s">
        <v>1328</v>
      </c>
      <c r="Z1235" s="152" t="s">
        <v>1327</v>
      </c>
    </row>
    <row r="1236" spans="1:26" x14ac:dyDescent="0.2">
      <c r="A1236" s="152" t="s">
        <v>686</v>
      </c>
      <c r="B1236" s="152">
        <v>5.3</v>
      </c>
      <c r="C1236" s="151">
        <v>44135</v>
      </c>
      <c r="D1236" s="152">
        <v>2.0191780000000001</v>
      </c>
      <c r="E1236" s="152" t="s">
        <v>1325</v>
      </c>
      <c r="F1236" s="152" t="s">
        <v>1326</v>
      </c>
      <c r="G1236" s="152" t="s">
        <v>51</v>
      </c>
      <c r="H1236" s="152"/>
      <c r="I1236" s="151">
        <v>43315</v>
      </c>
      <c r="J1236" s="152">
        <v>2.29</v>
      </c>
      <c r="K1236" s="152">
        <v>41381</v>
      </c>
      <c r="L1236" s="152">
        <v>4.3378170000000003</v>
      </c>
      <c r="M1236" s="152">
        <v>5.1463330000000003</v>
      </c>
      <c r="N1236" s="152">
        <v>4.3378170000000003</v>
      </c>
      <c r="O1236" s="152">
        <v>2.48793</v>
      </c>
      <c r="P1236" s="152">
        <v>47.435302</v>
      </c>
      <c r="Q1236" s="152">
        <v>2.48793</v>
      </c>
      <c r="R1236" s="152" t="s">
        <v>1327</v>
      </c>
      <c r="S1236" s="152">
        <v>105.49776300000001</v>
      </c>
      <c r="T1236" s="152">
        <v>-8.7123000000000006E-2</v>
      </c>
      <c r="U1236" s="152">
        <v>1.9187160000000001</v>
      </c>
      <c r="V1236" s="152">
        <v>4.7080260000000003</v>
      </c>
      <c r="W1236" s="152">
        <v>1000</v>
      </c>
      <c r="X1236" s="152" t="s">
        <v>23</v>
      </c>
      <c r="Y1236" s="152" t="s">
        <v>1328</v>
      </c>
      <c r="Z1236" s="152" t="s">
        <v>1327</v>
      </c>
    </row>
    <row r="1237" spans="1:26" x14ac:dyDescent="0.2">
      <c r="A1237" s="152" t="s">
        <v>687</v>
      </c>
      <c r="B1237" s="152">
        <v>5.0199999999999996</v>
      </c>
      <c r="C1237" s="151">
        <v>44121</v>
      </c>
      <c r="D1237" s="152">
        <v>1.9808220000000001</v>
      </c>
      <c r="E1237" s="152" t="s">
        <v>1325</v>
      </c>
      <c r="F1237" s="152" t="s">
        <v>1326</v>
      </c>
      <c r="G1237" s="152" t="s">
        <v>51</v>
      </c>
      <c r="H1237" s="152"/>
      <c r="I1237" s="151">
        <v>42976</v>
      </c>
      <c r="J1237" s="152">
        <v>2.12</v>
      </c>
      <c r="K1237" s="152" t="s">
        <v>1327</v>
      </c>
      <c r="L1237" s="152" t="s">
        <v>1327</v>
      </c>
      <c r="M1237" s="152" t="s">
        <v>1327</v>
      </c>
      <c r="N1237" s="152" t="s">
        <v>1327</v>
      </c>
      <c r="O1237" s="152">
        <v>2.4907889999999999</v>
      </c>
      <c r="P1237" s="152">
        <v>47.923437999999997</v>
      </c>
      <c r="Q1237" s="152">
        <v>2.4907889999999999</v>
      </c>
      <c r="R1237" s="152" t="s">
        <v>1327</v>
      </c>
      <c r="S1237" s="152">
        <v>104.855232</v>
      </c>
      <c r="T1237" s="152">
        <v>0.110027</v>
      </c>
      <c r="U1237" s="152">
        <v>1.8829450000000001</v>
      </c>
      <c r="V1237" s="152">
        <v>4.5508170000000003</v>
      </c>
      <c r="W1237" s="152">
        <v>1000</v>
      </c>
      <c r="X1237" s="152" t="s">
        <v>23</v>
      </c>
      <c r="Y1237" s="152" t="s">
        <v>1328</v>
      </c>
      <c r="Z1237" s="152" t="s">
        <v>1327</v>
      </c>
    </row>
    <row r="1238" spans="1:26" x14ac:dyDescent="0.2">
      <c r="A1238" s="152" t="s">
        <v>2395</v>
      </c>
      <c r="B1238" s="152">
        <v>4.5199999999999996</v>
      </c>
      <c r="C1238" s="151">
        <v>44465</v>
      </c>
      <c r="D1238" s="152">
        <v>2.9232879999999999</v>
      </c>
      <c r="E1238" s="152" t="s">
        <v>1325</v>
      </c>
      <c r="F1238" s="152" t="s">
        <v>1326</v>
      </c>
      <c r="G1238" s="152" t="s">
        <v>51</v>
      </c>
      <c r="H1238" s="152"/>
      <c r="I1238" s="152">
        <v>43313</v>
      </c>
      <c r="J1238" s="152">
        <v>2.35</v>
      </c>
      <c r="K1238" s="152" t="s">
        <v>1327</v>
      </c>
      <c r="L1238" s="152" t="s">
        <v>1327</v>
      </c>
      <c r="M1238" s="152" t="s">
        <v>1327</v>
      </c>
      <c r="N1238" s="152" t="s">
        <v>1327</v>
      </c>
      <c r="O1238" s="152">
        <v>2.6104530000000001</v>
      </c>
      <c r="P1238" s="152">
        <v>50.943595000000002</v>
      </c>
      <c r="Q1238" s="152">
        <v>2.6104530000000001</v>
      </c>
      <c r="R1238" s="152" t="s">
        <v>1327</v>
      </c>
      <c r="S1238" s="152">
        <v>105.34550299999999</v>
      </c>
      <c r="T1238" s="152">
        <v>0.35912300000000003</v>
      </c>
      <c r="U1238" s="152">
        <v>2.7249409999999998</v>
      </c>
      <c r="V1238" s="152">
        <v>9.0266059999999992</v>
      </c>
      <c r="W1238" s="152">
        <v>1000</v>
      </c>
      <c r="X1238" s="152" t="s">
        <v>23</v>
      </c>
      <c r="Y1238" s="152" t="s">
        <v>1328</v>
      </c>
      <c r="Z1238" s="152" t="s">
        <v>1327</v>
      </c>
    </row>
    <row r="1239" spans="1:26" x14ac:dyDescent="0.2">
      <c r="A1239" s="152" t="s">
        <v>2396</v>
      </c>
      <c r="B1239" s="152">
        <v>4.8</v>
      </c>
      <c r="C1239" s="151">
        <v>44553</v>
      </c>
      <c r="D1239" s="152">
        <v>3.1643840000000001</v>
      </c>
      <c r="E1239" s="152" t="s">
        <v>1325</v>
      </c>
      <c r="F1239" s="152" t="s">
        <v>1326</v>
      </c>
      <c r="G1239" s="152"/>
      <c r="H1239" s="152"/>
      <c r="I1239" s="151">
        <v>42793</v>
      </c>
      <c r="J1239" s="152">
        <v>2.99</v>
      </c>
      <c r="K1239" s="152">
        <v>41305</v>
      </c>
      <c r="L1239" s="152">
        <v>4.8868559999999999</v>
      </c>
      <c r="M1239" s="152">
        <v>5.4004529999999997</v>
      </c>
      <c r="N1239" s="152">
        <v>4.7916910000000001</v>
      </c>
      <c r="O1239" s="152">
        <v>2.6802760000000001</v>
      </c>
      <c r="P1239" s="152">
        <v>53.233669999999996</v>
      </c>
      <c r="Q1239" s="152">
        <v>2.6802760000000001</v>
      </c>
      <c r="R1239" s="152" t="s">
        <v>1327</v>
      </c>
      <c r="S1239" s="152">
        <v>106.37473</v>
      </c>
      <c r="T1239" s="152">
        <v>1.6306849999999999</v>
      </c>
      <c r="U1239" s="152">
        <v>2.8955730000000002</v>
      </c>
      <c r="V1239" s="152">
        <v>10.245417</v>
      </c>
      <c r="W1239" s="152">
        <v>1000</v>
      </c>
      <c r="X1239" s="152" t="s">
        <v>23</v>
      </c>
      <c r="Y1239" s="152" t="s">
        <v>1328</v>
      </c>
      <c r="Z1239" s="152" t="s">
        <v>1327</v>
      </c>
    </row>
    <row r="1240" spans="1:26" x14ac:dyDescent="0.2">
      <c r="A1240" s="152" t="s">
        <v>2397</v>
      </c>
      <c r="B1240" s="152">
        <v>5.46</v>
      </c>
      <c r="C1240" s="151">
        <v>44500</v>
      </c>
      <c r="D1240" s="152">
        <v>3.0191780000000001</v>
      </c>
      <c r="E1240" s="152" t="s">
        <v>1325</v>
      </c>
      <c r="F1240" s="152" t="s">
        <v>1326</v>
      </c>
      <c r="G1240" s="152" t="s">
        <v>51</v>
      </c>
      <c r="H1240" s="152"/>
      <c r="I1240" s="152">
        <v>43384</v>
      </c>
      <c r="J1240" s="152">
        <v>2.65</v>
      </c>
      <c r="K1240" s="152">
        <v>41381</v>
      </c>
      <c r="L1240" s="152">
        <v>4.6026189999999998</v>
      </c>
      <c r="M1240" s="152">
        <v>4.7925259999999996</v>
      </c>
      <c r="N1240" s="152">
        <v>4.6026189999999998</v>
      </c>
      <c r="O1240" s="152">
        <v>2.6427290000000001</v>
      </c>
      <c r="P1240" s="152">
        <v>52.966864999999999</v>
      </c>
      <c r="Q1240" s="152">
        <v>2.6427290000000001</v>
      </c>
      <c r="R1240" s="152" t="s">
        <v>1327</v>
      </c>
      <c r="S1240" s="152">
        <v>108.117431</v>
      </c>
      <c r="T1240" s="152">
        <v>-8.9752999999999999E-2</v>
      </c>
      <c r="U1240" s="152">
        <v>2.7957339999999999</v>
      </c>
      <c r="V1240" s="152">
        <v>9.4928589999999993</v>
      </c>
      <c r="W1240" s="152">
        <v>1000</v>
      </c>
      <c r="X1240" s="152" t="s">
        <v>23</v>
      </c>
      <c r="Y1240" s="152" t="s">
        <v>1328</v>
      </c>
      <c r="Z1240" s="152" t="s">
        <v>1327</v>
      </c>
    </row>
    <row r="1241" spans="1:26" x14ac:dyDescent="0.2">
      <c r="A1241" s="152" t="s">
        <v>2398</v>
      </c>
      <c r="B1241" s="152">
        <v>3.59</v>
      </c>
      <c r="C1241" s="151">
        <v>44815</v>
      </c>
      <c r="D1241" s="152">
        <v>3.8821919999999999</v>
      </c>
      <c r="E1241" s="152" t="s">
        <v>1325</v>
      </c>
      <c r="F1241" s="152" t="s">
        <v>1326</v>
      </c>
      <c r="G1241" s="152" t="s">
        <v>51</v>
      </c>
      <c r="H1241" s="152"/>
      <c r="I1241" s="152">
        <v>43335</v>
      </c>
      <c r="J1241" s="152">
        <v>2.7475000000000001</v>
      </c>
      <c r="K1241" s="152" t="s">
        <v>1327</v>
      </c>
      <c r="L1241" s="152" t="s">
        <v>1327</v>
      </c>
      <c r="M1241" s="152" t="s">
        <v>1327</v>
      </c>
      <c r="N1241" s="152" t="s">
        <v>1327</v>
      </c>
      <c r="O1241" s="152">
        <v>2.8670179999999998</v>
      </c>
      <c r="P1241" s="152">
        <v>54.010187000000002</v>
      </c>
      <c r="Q1241" s="152">
        <v>2.8670179999999998</v>
      </c>
      <c r="R1241" s="152" t="s">
        <v>1327</v>
      </c>
      <c r="S1241" s="152">
        <v>102.64631900000001</v>
      </c>
      <c r="T1241" s="152">
        <v>0.43276700000000001</v>
      </c>
      <c r="U1241" s="152">
        <v>3.5893839999999999</v>
      </c>
      <c r="V1241" s="152">
        <v>15.174198000000001</v>
      </c>
      <c r="W1241" s="152">
        <v>1000</v>
      </c>
      <c r="X1241" s="152" t="s">
        <v>23</v>
      </c>
      <c r="Y1241" s="152" t="s">
        <v>1328</v>
      </c>
      <c r="Z1241" s="152" t="s">
        <v>1327</v>
      </c>
    </row>
    <row r="1242" spans="1:26" x14ac:dyDescent="0.2">
      <c r="A1242" s="152" t="s">
        <v>767</v>
      </c>
      <c r="B1242" s="152">
        <v>3.5</v>
      </c>
      <c r="C1242" s="151">
        <v>44920</v>
      </c>
      <c r="D1242" s="152">
        <v>4.1698630000000003</v>
      </c>
      <c r="E1242" s="152" t="s">
        <v>1325</v>
      </c>
      <c r="F1242" s="152" t="s">
        <v>1326</v>
      </c>
      <c r="G1242" s="152"/>
      <c r="H1242" s="152"/>
      <c r="I1242" s="151">
        <v>42556</v>
      </c>
      <c r="J1242" s="152">
        <v>2.8</v>
      </c>
      <c r="K1242" s="152" t="s">
        <v>1327</v>
      </c>
      <c r="L1242" s="152" t="s">
        <v>1327</v>
      </c>
      <c r="M1242" s="152" t="s">
        <v>1327</v>
      </c>
      <c r="N1242" s="152" t="s">
        <v>1327</v>
      </c>
      <c r="O1242" s="152">
        <v>2.8960029999999999</v>
      </c>
      <c r="P1242" s="152">
        <v>55.052066000000003</v>
      </c>
      <c r="Q1242" s="152">
        <v>2.8960029999999999</v>
      </c>
      <c r="R1242" s="152" t="s">
        <v>1327</v>
      </c>
      <c r="S1242" s="152">
        <v>102.347388</v>
      </c>
      <c r="T1242" s="152">
        <v>1.1698630000000001</v>
      </c>
      <c r="U1242" s="152">
        <v>3.8188610000000001</v>
      </c>
      <c r="V1242" s="152">
        <v>17.196911</v>
      </c>
      <c r="W1242" s="152">
        <v>1000</v>
      </c>
      <c r="X1242" s="152" t="s">
        <v>23</v>
      </c>
      <c r="Y1242" s="152" t="s">
        <v>1328</v>
      </c>
      <c r="Z1242" s="152" t="s">
        <v>1327</v>
      </c>
    </row>
    <row r="1243" spans="1:26" x14ac:dyDescent="0.2">
      <c r="A1243" s="152" t="s">
        <v>768</v>
      </c>
      <c r="B1243" s="152">
        <v>5.5</v>
      </c>
      <c r="C1243" s="151">
        <v>44865</v>
      </c>
      <c r="D1243" s="152">
        <v>4.0191780000000001</v>
      </c>
      <c r="E1243" s="152" t="s">
        <v>1325</v>
      </c>
      <c r="F1243" s="152" t="s">
        <v>1326</v>
      </c>
      <c r="G1243" s="152" t="s">
        <v>51</v>
      </c>
      <c r="H1243" s="152"/>
      <c r="I1243" s="151">
        <v>42556</v>
      </c>
      <c r="J1243" s="152">
        <v>2.75</v>
      </c>
      <c r="K1243" s="152">
        <v>41453</v>
      </c>
      <c r="L1243" s="152">
        <v>4.8761279999999996</v>
      </c>
      <c r="M1243" s="152">
        <v>5.5882949999999996</v>
      </c>
      <c r="N1243" s="152">
        <v>4.8761279999999996</v>
      </c>
      <c r="O1243" s="152">
        <v>2.8715220000000001</v>
      </c>
      <c r="P1243" s="152">
        <v>54.543914000000001</v>
      </c>
      <c r="Q1243" s="152">
        <v>2.8715220000000001</v>
      </c>
      <c r="R1243" s="152" t="s">
        <v>1327</v>
      </c>
      <c r="S1243" s="152">
        <v>109.90481699999999</v>
      </c>
      <c r="T1243" s="152">
        <v>-9.0411000000000005E-2</v>
      </c>
      <c r="U1243" s="152">
        <v>3.6284839999999998</v>
      </c>
      <c r="V1243" s="152">
        <v>15.667799</v>
      </c>
      <c r="W1243" s="152">
        <v>1000</v>
      </c>
      <c r="X1243" s="152" t="s">
        <v>23</v>
      </c>
      <c r="Y1243" s="152" t="s">
        <v>1328</v>
      </c>
      <c r="Z1243" s="152" t="s">
        <v>1327</v>
      </c>
    </row>
    <row r="1244" spans="1:26" x14ac:dyDescent="0.2">
      <c r="A1244" s="152" t="s">
        <v>769</v>
      </c>
      <c r="B1244" s="152">
        <v>4.5999999999999996</v>
      </c>
      <c r="C1244" s="151">
        <v>44998</v>
      </c>
      <c r="D1244" s="152">
        <v>4.3835620000000004</v>
      </c>
      <c r="E1244" s="152" t="s">
        <v>1325</v>
      </c>
      <c r="F1244" s="152" t="s">
        <v>1326</v>
      </c>
      <c r="G1244" s="152" t="s">
        <v>51</v>
      </c>
      <c r="H1244" s="152"/>
      <c r="I1244" s="152">
        <v>43354</v>
      </c>
      <c r="J1244" s="152">
        <v>2.76</v>
      </c>
      <c r="K1244" s="152">
        <v>41381</v>
      </c>
      <c r="L1244" s="152">
        <v>4.4178980000000001</v>
      </c>
      <c r="M1244" s="152">
        <v>4.8283230000000001</v>
      </c>
      <c r="N1244" s="152">
        <v>4.4178980000000001</v>
      </c>
      <c r="O1244" s="152">
        <v>2.9071799999999999</v>
      </c>
      <c r="P1244" s="152">
        <v>54.390084999999999</v>
      </c>
      <c r="Q1244" s="152">
        <v>2.9071799999999999</v>
      </c>
      <c r="R1244" s="152" t="s">
        <v>1327</v>
      </c>
      <c r="S1244" s="152">
        <v>106.932002</v>
      </c>
      <c r="T1244" s="152">
        <v>0.52931499999999998</v>
      </c>
      <c r="U1244" s="152">
        <v>3.954761</v>
      </c>
      <c r="V1244" s="152">
        <v>18.481753000000001</v>
      </c>
      <c r="W1244" s="152">
        <v>1000</v>
      </c>
      <c r="X1244" s="152" t="s">
        <v>23</v>
      </c>
      <c r="Y1244" s="152" t="s">
        <v>1328</v>
      </c>
      <c r="Z1244" s="152" t="s">
        <v>1327</v>
      </c>
    </row>
    <row r="1245" spans="1:26" x14ac:dyDescent="0.2">
      <c r="A1245" s="152" t="s">
        <v>770</v>
      </c>
      <c r="B1245" s="152">
        <v>2.78</v>
      </c>
      <c r="C1245" s="151">
        <v>45106</v>
      </c>
      <c r="D1245" s="152">
        <v>4.6794520000000004</v>
      </c>
      <c r="E1245" s="152" t="s">
        <v>1325</v>
      </c>
      <c r="F1245" s="152" t="s">
        <v>1326</v>
      </c>
      <c r="G1245" s="152" t="s">
        <v>51</v>
      </c>
      <c r="H1245" s="152"/>
      <c r="I1245" s="152">
        <v>43293</v>
      </c>
      <c r="J1245" s="152">
        <v>2.78</v>
      </c>
      <c r="K1245" s="152" t="s">
        <v>1327</v>
      </c>
      <c r="L1245" s="152" t="s">
        <v>1327</v>
      </c>
      <c r="M1245" s="152" t="s">
        <v>1327</v>
      </c>
      <c r="N1245" s="152" t="s">
        <v>1327</v>
      </c>
      <c r="O1245" s="152">
        <v>2.980194</v>
      </c>
      <c r="P1245" s="152">
        <v>57.650790000000001</v>
      </c>
      <c r="Q1245" s="152">
        <v>2.980194</v>
      </c>
      <c r="R1245" s="152" t="s">
        <v>1327</v>
      </c>
      <c r="S1245" s="152">
        <v>99.129741999999993</v>
      </c>
      <c r="T1245" s="152">
        <v>0.84542499999999998</v>
      </c>
      <c r="U1245" s="152">
        <v>4.3166679999999999</v>
      </c>
      <c r="V1245" s="152">
        <v>21.595483999999999</v>
      </c>
      <c r="W1245" s="152">
        <v>1000</v>
      </c>
      <c r="X1245" s="152" t="s">
        <v>23</v>
      </c>
      <c r="Y1245" s="152" t="s">
        <v>1328</v>
      </c>
      <c r="Z1245" s="152" t="s">
        <v>1327</v>
      </c>
    </row>
    <row r="1246" spans="1:26" x14ac:dyDescent="0.2">
      <c r="A1246" s="152" t="s">
        <v>2399</v>
      </c>
      <c r="B1246" s="152">
        <v>4.8</v>
      </c>
      <c r="C1246" s="151">
        <v>45561</v>
      </c>
      <c r="D1246" s="152">
        <v>5.9260270000000004</v>
      </c>
      <c r="E1246" s="152" t="s">
        <v>1325</v>
      </c>
      <c r="F1246" s="152" t="s">
        <v>1326</v>
      </c>
      <c r="G1246" s="152" t="s">
        <v>51</v>
      </c>
      <c r="H1246" s="152"/>
      <c r="I1246" s="152">
        <v>43272</v>
      </c>
      <c r="J1246" s="152">
        <v>3.03</v>
      </c>
      <c r="K1246" s="152" t="s">
        <v>1327</v>
      </c>
      <c r="L1246" s="152" t="s">
        <v>1327</v>
      </c>
      <c r="M1246" s="152" t="s">
        <v>1327</v>
      </c>
      <c r="N1246" s="152" t="s">
        <v>1327</v>
      </c>
      <c r="O1246" s="152">
        <v>3.1459359999999998</v>
      </c>
      <c r="P1246" s="152">
        <v>63.061512999999998</v>
      </c>
      <c r="Q1246" s="152">
        <v>3.1459359999999998</v>
      </c>
      <c r="R1246" s="152" t="s">
        <v>1327</v>
      </c>
      <c r="S1246" s="152">
        <v>108.883246</v>
      </c>
      <c r="T1246" s="152">
        <v>0.38136999999999999</v>
      </c>
      <c r="U1246" s="152">
        <v>5.1555369999999998</v>
      </c>
      <c r="V1246" s="152">
        <v>31.231998000000001</v>
      </c>
      <c r="W1246" s="152">
        <v>1000</v>
      </c>
      <c r="X1246" s="152" t="s">
        <v>23</v>
      </c>
      <c r="Y1246" s="152" t="s">
        <v>1328</v>
      </c>
      <c r="Z1246" s="152" t="s">
        <v>1327</v>
      </c>
    </row>
    <row r="1247" spans="1:26" x14ac:dyDescent="0.2">
      <c r="A1247" s="152" t="s">
        <v>2400</v>
      </c>
      <c r="B1247" s="152">
        <v>5</v>
      </c>
      <c r="C1247" s="151">
        <v>45836</v>
      </c>
      <c r="D1247" s="152">
        <v>6.6794520000000004</v>
      </c>
      <c r="E1247" s="152" t="s">
        <v>1325</v>
      </c>
      <c r="F1247" s="152" t="s">
        <v>1326</v>
      </c>
      <c r="G1247" s="152" t="s">
        <v>51</v>
      </c>
      <c r="H1247" s="152"/>
      <c r="I1247" s="152">
        <v>42793</v>
      </c>
      <c r="J1247" s="152">
        <v>3.75</v>
      </c>
      <c r="K1247" s="152" t="s">
        <v>1327</v>
      </c>
      <c r="L1247" s="152" t="s">
        <v>1327</v>
      </c>
      <c r="M1247" s="152" t="s">
        <v>1327</v>
      </c>
      <c r="N1247" s="152" t="s">
        <v>1327</v>
      </c>
      <c r="O1247" s="152">
        <v>3.363016</v>
      </c>
      <c r="P1247" s="152">
        <v>76.846646000000007</v>
      </c>
      <c r="Q1247" s="152">
        <v>3.363016</v>
      </c>
      <c r="R1247" s="152" t="s">
        <v>1327</v>
      </c>
      <c r="S1247" s="152">
        <v>109.703467</v>
      </c>
      <c r="T1247" s="152">
        <v>1.6301369999999999</v>
      </c>
      <c r="U1247" s="152">
        <v>5.6291729999999998</v>
      </c>
      <c r="V1247" s="152">
        <v>37.796878999999997</v>
      </c>
      <c r="W1247" s="152">
        <v>1000</v>
      </c>
      <c r="X1247" s="152" t="s">
        <v>23</v>
      </c>
      <c r="Y1247" s="152" t="s">
        <v>1328</v>
      </c>
      <c r="Z1247" s="152" t="s">
        <v>1327</v>
      </c>
    </row>
    <row r="1248" spans="1:26" x14ac:dyDescent="0.2">
      <c r="A1248" s="152" t="s">
        <v>2401</v>
      </c>
      <c r="B1248" s="152">
        <v>3.22</v>
      </c>
      <c r="C1248" s="151">
        <v>45837</v>
      </c>
      <c r="D1248" s="152">
        <v>6.6821919999999997</v>
      </c>
      <c r="E1248" s="152" t="s">
        <v>1325</v>
      </c>
      <c r="F1248" s="152" t="s">
        <v>1326</v>
      </c>
      <c r="G1248" s="152" t="s">
        <v>51</v>
      </c>
      <c r="H1248" s="152"/>
      <c r="I1248" s="152">
        <v>43290</v>
      </c>
      <c r="J1248" s="152">
        <v>3.22</v>
      </c>
      <c r="K1248" s="152" t="s">
        <v>1327</v>
      </c>
      <c r="L1248" s="152" t="s">
        <v>1327</v>
      </c>
      <c r="M1248" s="152" t="s">
        <v>1327</v>
      </c>
      <c r="N1248" s="152" t="s">
        <v>1327</v>
      </c>
      <c r="O1248" s="152">
        <v>3.3782800000000002</v>
      </c>
      <c r="P1248" s="152">
        <v>76.913767000000007</v>
      </c>
      <c r="Q1248" s="152">
        <v>3.3782800000000002</v>
      </c>
      <c r="R1248" s="152" t="s">
        <v>1327</v>
      </c>
      <c r="S1248" s="152">
        <v>99.053290000000004</v>
      </c>
      <c r="T1248" s="152">
        <v>1.040986</v>
      </c>
      <c r="U1248" s="152">
        <v>5.8971650000000002</v>
      </c>
      <c r="V1248" s="152">
        <v>40.246479999999998</v>
      </c>
      <c r="W1248" s="152">
        <v>1000</v>
      </c>
      <c r="X1248" s="152" t="s">
        <v>23</v>
      </c>
      <c r="Y1248" s="152" t="s">
        <v>1328</v>
      </c>
      <c r="Z1248" s="152" t="s">
        <v>1327</v>
      </c>
    </row>
    <row r="1249" spans="1:26" x14ac:dyDescent="0.2">
      <c r="A1249" s="152" t="s">
        <v>2402</v>
      </c>
      <c r="B1249" s="152">
        <v>3.93</v>
      </c>
      <c r="C1249" s="151">
        <v>45911</v>
      </c>
      <c r="D1249" s="152">
        <v>6.8849320000000001</v>
      </c>
      <c r="E1249" s="152" t="s">
        <v>1325</v>
      </c>
      <c r="F1249" s="152" t="s">
        <v>1326</v>
      </c>
      <c r="G1249" s="152" t="s">
        <v>51</v>
      </c>
      <c r="H1249" s="152"/>
      <c r="I1249" s="152">
        <v>43215</v>
      </c>
      <c r="J1249" s="152">
        <v>3.14</v>
      </c>
      <c r="K1249" s="152" t="s">
        <v>1327</v>
      </c>
      <c r="L1249" s="152" t="s">
        <v>1327</v>
      </c>
      <c r="M1249" s="152" t="s">
        <v>1327</v>
      </c>
      <c r="N1249" s="152" t="s">
        <v>1327</v>
      </c>
      <c r="O1249" s="152">
        <v>3.4116219999999999</v>
      </c>
      <c r="P1249" s="152">
        <v>78.451148000000003</v>
      </c>
      <c r="Q1249" s="152">
        <v>3.4116219999999999</v>
      </c>
      <c r="R1249" s="152" t="s">
        <v>1327</v>
      </c>
      <c r="S1249" s="152">
        <v>103.16613700000001</v>
      </c>
      <c r="T1249" s="152">
        <v>0.47375299999999998</v>
      </c>
      <c r="U1249" s="152">
        <v>5.9762050000000002</v>
      </c>
      <c r="V1249" s="152">
        <v>41.570849000000003</v>
      </c>
      <c r="W1249" s="152">
        <v>1000</v>
      </c>
      <c r="X1249" s="152" t="s">
        <v>23</v>
      </c>
      <c r="Y1249" s="152" t="s">
        <v>1328</v>
      </c>
      <c r="Z1249" s="152" t="s">
        <v>1327</v>
      </c>
    </row>
    <row r="1250" spans="1:26" x14ac:dyDescent="0.2">
      <c r="A1250" s="152" t="s">
        <v>2403</v>
      </c>
      <c r="B1250" s="152">
        <v>3.8</v>
      </c>
      <c r="C1250" s="151">
        <v>46016</v>
      </c>
      <c r="D1250" s="152">
        <v>7.1726029999999996</v>
      </c>
      <c r="E1250" s="152" t="s">
        <v>1325</v>
      </c>
      <c r="F1250" s="152" t="s">
        <v>1326</v>
      </c>
      <c r="G1250" s="152"/>
      <c r="H1250" s="152"/>
      <c r="I1250" s="152">
        <v>43139</v>
      </c>
      <c r="J1250" s="152">
        <v>3.17</v>
      </c>
      <c r="K1250" s="152" t="s">
        <v>1327</v>
      </c>
      <c r="L1250" s="152" t="s">
        <v>1327</v>
      </c>
      <c r="M1250" s="152" t="s">
        <v>1327</v>
      </c>
      <c r="N1250" s="152" t="s">
        <v>1327</v>
      </c>
      <c r="O1250" s="152">
        <v>3.4446439999999998</v>
      </c>
      <c r="P1250" s="152">
        <v>79.217462999999995</v>
      </c>
      <c r="Q1250" s="152">
        <v>3.4446439999999998</v>
      </c>
      <c r="R1250" s="152" t="s">
        <v>1327</v>
      </c>
      <c r="S1250" s="152">
        <v>102.231065</v>
      </c>
      <c r="T1250" s="152">
        <v>1.2701370000000001</v>
      </c>
      <c r="U1250" s="152">
        <v>6.1694599999999999</v>
      </c>
      <c r="V1250" s="152">
        <v>44.574179999999998</v>
      </c>
      <c r="W1250" s="152">
        <v>1000</v>
      </c>
      <c r="X1250" s="152" t="s">
        <v>23</v>
      </c>
      <c r="Y1250" s="152" t="s">
        <v>1328</v>
      </c>
      <c r="Z1250" s="152" t="s">
        <v>1327</v>
      </c>
    </row>
    <row r="1251" spans="1:26" x14ac:dyDescent="0.2">
      <c r="A1251" s="152" t="s">
        <v>2404</v>
      </c>
      <c r="B1251" s="152">
        <v>4.22</v>
      </c>
      <c r="C1251" s="151">
        <v>46384</v>
      </c>
      <c r="D1251" s="152">
        <v>8.1808219999999992</v>
      </c>
      <c r="E1251" s="152" t="s">
        <v>1325</v>
      </c>
      <c r="F1251" s="152" t="s">
        <v>1326</v>
      </c>
      <c r="G1251" s="152" t="s">
        <v>51</v>
      </c>
      <c r="H1251" s="152"/>
      <c r="I1251" s="152">
        <v>43283</v>
      </c>
      <c r="J1251" s="152">
        <v>3.51</v>
      </c>
      <c r="K1251" s="152" t="s">
        <v>1327</v>
      </c>
      <c r="L1251" s="152" t="s">
        <v>1327</v>
      </c>
      <c r="M1251" s="152" t="s">
        <v>1327</v>
      </c>
      <c r="N1251" s="152" t="s">
        <v>1327</v>
      </c>
      <c r="O1251" s="152">
        <v>3.5165790000000001</v>
      </c>
      <c r="P1251" s="152">
        <v>79.046481</v>
      </c>
      <c r="Q1251" s="152">
        <v>3.5165790000000001</v>
      </c>
      <c r="R1251" s="152" t="s">
        <v>1327</v>
      </c>
      <c r="S1251" s="152">
        <v>104.950397</v>
      </c>
      <c r="T1251" s="152">
        <v>1.3758360000000001</v>
      </c>
      <c r="U1251" s="152">
        <v>6.8233309999999996</v>
      </c>
      <c r="V1251" s="152">
        <v>55.141193000000001</v>
      </c>
      <c r="W1251" s="152">
        <v>1000</v>
      </c>
      <c r="X1251" s="152" t="s">
        <v>23</v>
      </c>
      <c r="Y1251" s="152" t="s">
        <v>1328</v>
      </c>
      <c r="Z1251" s="152" t="s">
        <v>1327</v>
      </c>
    </row>
    <row r="1252" spans="1:26" x14ac:dyDescent="0.2">
      <c r="A1252" s="152" t="s">
        <v>2405</v>
      </c>
      <c r="B1252" s="152">
        <v>3.68</v>
      </c>
      <c r="C1252" s="151">
        <v>46933</v>
      </c>
      <c r="D1252" s="152">
        <v>9.6849319999999999</v>
      </c>
      <c r="E1252" s="152" t="s">
        <v>1325</v>
      </c>
      <c r="F1252" s="152" t="s">
        <v>1326</v>
      </c>
      <c r="G1252" s="152" t="s">
        <v>51</v>
      </c>
      <c r="H1252" s="152"/>
      <c r="I1252" s="152" t="s">
        <v>1327</v>
      </c>
      <c r="J1252" s="152" t="s">
        <v>1327</v>
      </c>
      <c r="K1252" s="152" t="s">
        <v>1327</v>
      </c>
      <c r="L1252" s="152" t="s">
        <v>1327</v>
      </c>
      <c r="M1252" s="152" t="s">
        <v>1327</v>
      </c>
      <c r="N1252" s="152" t="s">
        <v>1327</v>
      </c>
      <c r="O1252" s="152">
        <v>3.5784899999999999</v>
      </c>
      <c r="P1252" s="152">
        <v>79.739712999999995</v>
      </c>
      <c r="Q1252" s="152">
        <v>3.5784899999999999</v>
      </c>
      <c r="R1252" s="152" t="s">
        <v>1327</v>
      </c>
      <c r="S1252" s="152">
        <v>100.81541300000001</v>
      </c>
      <c r="T1252" s="152">
        <v>1.1896990000000001</v>
      </c>
      <c r="U1252" s="152">
        <v>7.9990119999999996</v>
      </c>
      <c r="V1252" s="152">
        <v>75.541736</v>
      </c>
      <c r="W1252" s="152">
        <v>1000</v>
      </c>
      <c r="X1252" s="152" t="s">
        <v>23</v>
      </c>
      <c r="Y1252" s="152" t="s">
        <v>1328</v>
      </c>
      <c r="Z1252" s="152" t="s">
        <v>1327</v>
      </c>
    </row>
    <row r="1253" spans="1:26" x14ac:dyDescent="0.2">
      <c r="A1253" s="152" t="s">
        <v>2406</v>
      </c>
      <c r="B1253" s="152">
        <v>4.4000000000000004</v>
      </c>
      <c r="C1253" s="151">
        <v>47115</v>
      </c>
      <c r="D1253" s="152">
        <v>10.183562</v>
      </c>
      <c r="E1253" s="152" t="s">
        <v>1325</v>
      </c>
      <c r="F1253" s="152" t="s">
        <v>1326</v>
      </c>
      <c r="G1253" s="152" t="s">
        <v>51</v>
      </c>
      <c r="H1253" s="152"/>
      <c r="I1253" s="151">
        <v>42970</v>
      </c>
      <c r="J1253" s="152">
        <v>3.71</v>
      </c>
      <c r="K1253" s="152" t="s">
        <v>1327</v>
      </c>
      <c r="L1253" s="152" t="s">
        <v>1327</v>
      </c>
      <c r="M1253" s="152" t="s">
        <v>1327</v>
      </c>
      <c r="N1253" s="152" t="s">
        <v>1327</v>
      </c>
      <c r="O1253" s="152">
        <v>3.621397</v>
      </c>
      <c r="P1253" s="152">
        <v>80.116737000000001</v>
      </c>
      <c r="Q1253" s="152">
        <v>3.621397</v>
      </c>
      <c r="R1253" s="152" t="s">
        <v>1327</v>
      </c>
      <c r="S1253" s="152">
        <v>106.56715</v>
      </c>
      <c r="T1253" s="152">
        <v>1.4345209999999999</v>
      </c>
      <c r="U1253" s="152">
        <v>8.1241509999999995</v>
      </c>
      <c r="V1253" s="152">
        <v>79.419597999999993</v>
      </c>
      <c r="W1253" s="152">
        <v>1000</v>
      </c>
      <c r="X1253" s="152" t="s">
        <v>23</v>
      </c>
      <c r="Y1253" s="152" t="s">
        <v>1328</v>
      </c>
      <c r="Z1253" s="152" t="s">
        <v>1327</v>
      </c>
    </row>
    <row r="1254" spans="1:26" x14ac:dyDescent="0.2">
      <c r="A1254" s="152" t="s">
        <v>2407</v>
      </c>
      <c r="B1254" s="152">
        <v>3.99</v>
      </c>
      <c r="C1254" s="151">
        <v>47663</v>
      </c>
      <c r="D1254" s="152">
        <v>11.684932</v>
      </c>
      <c r="E1254" s="152" t="s">
        <v>1325</v>
      </c>
      <c r="F1254" s="152" t="s">
        <v>1326</v>
      </c>
      <c r="G1254" s="152" t="s">
        <v>51</v>
      </c>
      <c r="H1254" s="152"/>
      <c r="I1254" s="151">
        <v>43397</v>
      </c>
      <c r="J1254" s="152">
        <v>3.89</v>
      </c>
      <c r="K1254" s="152" t="s">
        <v>1327</v>
      </c>
      <c r="L1254" s="152" t="s">
        <v>1327</v>
      </c>
      <c r="M1254" s="152" t="s">
        <v>1327</v>
      </c>
      <c r="N1254" s="152" t="s">
        <v>1327</v>
      </c>
      <c r="O1254" s="152">
        <v>3.89</v>
      </c>
      <c r="P1254" s="152">
        <v>76.934706000000006</v>
      </c>
      <c r="Q1254" s="152">
        <v>3.89</v>
      </c>
      <c r="R1254" s="152" t="s">
        <v>1327</v>
      </c>
      <c r="S1254" s="152">
        <v>100.921533</v>
      </c>
      <c r="T1254" s="152">
        <v>1.2899179999999999</v>
      </c>
      <c r="U1254" s="152">
        <v>9.1642089999999996</v>
      </c>
      <c r="V1254" s="152">
        <v>101.473474</v>
      </c>
      <c r="W1254" s="152">
        <v>1000</v>
      </c>
      <c r="X1254" s="152" t="s">
        <v>23</v>
      </c>
      <c r="Y1254" s="152" t="s">
        <v>1328</v>
      </c>
      <c r="Z1254" s="152" t="s">
        <v>1327</v>
      </c>
    </row>
    <row r="1255" spans="1:26" x14ac:dyDescent="0.2">
      <c r="A1255" s="152" t="s">
        <v>2408</v>
      </c>
      <c r="B1255" s="152">
        <v>5.05</v>
      </c>
      <c r="C1255" s="151">
        <v>43533</v>
      </c>
      <c r="D1255" s="152">
        <v>0.369863</v>
      </c>
      <c r="E1255" s="152" t="s">
        <v>1325</v>
      </c>
      <c r="F1255" s="152" t="s">
        <v>1326</v>
      </c>
      <c r="G1255" s="152"/>
      <c r="H1255" s="152"/>
      <c r="I1255" s="151" t="s">
        <v>1327</v>
      </c>
      <c r="J1255" s="152" t="s">
        <v>1327</v>
      </c>
      <c r="K1255" s="152" t="s">
        <v>1327</v>
      </c>
      <c r="L1255" s="152" t="s">
        <v>1327</v>
      </c>
      <c r="M1255" s="152" t="s">
        <v>1327</v>
      </c>
      <c r="N1255" s="152" t="s">
        <v>1327</v>
      </c>
      <c r="O1255" s="152">
        <v>5.0609060000000001</v>
      </c>
      <c r="P1255" s="152">
        <v>353.74270899999999</v>
      </c>
      <c r="Q1255" s="152">
        <v>5.0609060000000001</v>
      </c>
      <c r="R1255" s="152" t="s">
        <v>1327</v>
      </c>
      <c r="S1255" s="152">
        <v>99.997467999999998</v>
      </c>
      <c r="T1255" s="152">
        <v>0.63643799999999995</v>
      </c>
      <c r="U1255" s="152">
        <v>0.36554599999999998</v>
      </c>
      <c r="V1255" s="152">
        <v>0.22461900000000001</v>
      </c>
      <c r="W1255" s="152">
        <v>1000</v>
      </c>
      <c r="X1255" s="152" t="s">
        <v>23</v>
      </c>
      <c r="Y1255" s="152" t="s">
        <v>1328</v>
      </c>
      <c r="Z1255" s="152" t="s">
        <v>1327</v>
      </c>
    </row>
    <row r="1256" spans="1:26" x14ac:dyDescent="0.2">
      <c r="A1256" s="152" t="s">
        <v>2409</v>
      </c>
      <c r="B1256" s="152">
        <v>7</v>
      </c>
      <c r="C1256" s="151">
        <v>43888</v>
      </c>
      <c r="D1256" s="152">
        <v>1.3424659999999999</v>
      </c>
      <c r="E1256" s="152" t="s">
        <v>1325</v>
      </c>
      <c r="F1256" s="152" t="s">
        <v>1326</v>
      </c>
      <c r="G1256" s="152"/>
      <c r="H1256" s="152"/>
      <c r="I1256" s="151" t="s">
        <v>1327</v>
      </c>
      <c r="J1256" s="152" t="s">
        <v>1327</v>
      </c>
      <c r="K1256" s="152" t="s">
        <v>1327</v>
      </c>
      <c r="L1256" s="152" t="s">
        <v>1327</v>
      </c>
      <c r="M1256" s="152" t="s">
        <v>1327</v>
      </c>
      <c r="N1256" s="152" t="s">
        <v>1327</v>
      </c>
      <c r="O1256" s="152">
        <v>7.1188900000000004</v>
      </c>
      <c r="P1256" s="152">
        <v>542.97128399999997</v>
      </c>
      <c r="Q1256" s="152">
        <v>7.1188900000000004</v>
      </c>
      <c r="R1256" s="152" t="s">
        <v>1327</v>
      </c>
      <c r="S1256" s="152">
        <v>99.850503000000003</v>
      </c>
      <c r="T1256" s="152">
        <v>1.0547949999999999</v>
      </c>
      <c r="U1256" s="152">
        <v>1.2574989999999999</v>
      </c>
      <c r="V1256" s="152">
        <v>1.9419040000000001</v>
      </c>
      <c r="W1256" s="152">
        <v>1000</v>
      </c>
      <c r="X1256" s="152" t="s">
        <v>23</v>
      </c>
      <c r="Y1256" s="152" t="s">
        <v>1328</v>
      </c>
      <c r="Z1256" s="152" t="s">
        <v>1327</v>
      </c>
    </row>
    <row r="1257" spans="1:26" x14ac:dyDescent="0.2">
      <c r="A1257" s="152" t="s">
        <v>2410</v>
      </c>
      <c r="B1257" s="152">
        <v>7.5</v>
      </c>
      <c r="C1257" s="151">
        <v>44084</v>
      </c>
      <c r="D1257" s="152">
        <v>1.8794519999999999</v>
      </c>
      <c r="E1257" s="152" t="s">
        <v>1325</v>
      </c>
      <c r="F1257" s="152" t="s">
        <v>1326</v>
      </c>
      <c r="G1257" s="152"/>
      <c r="H1257" s="152"/>
      <c r="I1257" s="151" t="s">
        <v>1327</v>
      </c>
      <c r="J1257" s="152" t="s">
        <v>1327</v>
      </c>
      <c r="K1257" s="152" t="s">
        <v>1327</v>
      </c>
      <c r="L1257" s="152" t="s">
        <v>1327</v>
      </c>
      <c r="M1257" s="152" t="s">
        <v>1327</v>
      </c>
      <c r="N1257" s="152" t="s">
        <v>1327</v>
      </c>
      <c r="O1257" s="152">
        <v>7.5963560000000001</v>
      </c>
      <c r="P1257" s="152">
        <v>580.54995699999995</v>
      </c>
      <c r="Q1257" s="152">
        <v>7.5963560000000001</v>
      </c>
      <c r="R1257" s="152" t="s">
        <v>1327</v>
      </c>
      <c r="S1257" s="152">
        <v>99.833771999999996</v>
      </c>
      <c r="T1257" s="152">
        <v>0.88356199999999996</v>
      </c>
      <c r="U1257" s="152">
        <v>1.7214750000000001</v>
      </c>
      <c r="V1257" s="152">
        <v>3.5215679999999998</v>
      </c>
      <c r="W1257" s="152">
        <v>1000</v>
      </c>
      <c r="X1257" s="152" t="s">
        <v>23</v>
      </c>
      <c r="Y1257" s="152" t="s">
        <v>1328</v>
      </c>
      <c r="Z1257" s="152" t="s">
        <v>1327</v>
      </c>
    </row>
    <row r="1258" spans="1:26" x14ac:dyDescent="0.2">
      <c r="A1258" s="152" t="s">
        <v>2411</v>
      </c>
      <c r="B1258" s="152">
        <v>7.75</v>
      </c>
      <c r="C1258" s="151">
        <v>44224</v>
      </c>
      <c r="D1258" s="152">
        <v>2.2630140000000001</v>
      </c>
      <c r="E1258" s="152" t="s">
        <v>1325</v>
      </c>
      <c r="F1258" s="152" t="s">
        <v>1326</v>
      </c>
      <c r="G1258" s="152"/>
      <c r="H1258" s="152"/>
      <c r="I1258" s="151" t="s">
        <v>1327</v>
      </c>
      <c r="J1258" s="152" t="s">
        <v>1327</v>
      </c>
      <c r="K1258" s="151" t="s">
        <v>1327</v>
      </c>
      <c r="L1258" s="152" t="s">
        <v>1327</v>
      </c>
      <c r="M1258" s="152" t="s">
        <v>1327</v>
      </c>
      <c r="N1258" s="152" t="s">
        <v>1327</v>
      </c>
      <c r="O1258" s="152">
        <v>8.2054829999999992</v>
      </c>
      <c r="P1258" s="152">
        <v>640.84975099999997</v>
      </c>
      <c r="Q1258" s="152">
        <v>8.2054829999999992</v>
      </c>
      <c r="R1258" s="152" t="s">
        <v>1327</v>
      </c>
      <c r="S1258" s="152">
        <v>99.070331999999993</v>
      </c>
      <c r="T1258" s="152">
        <v>-0.10616399999999999</v>
      </c>
      <c r="U1258" s="152">
        <v>2.0540120000000002</v>
      </c>
      <c r="V1258" s="152">
        <v>4.9222089999999996</v>
      </c>
      <c r="W1258" s="152">
        <v>1000</v>
      </c>
      <c r="X1258" s="152" t="s">
        <v>23</v>
      </c>
      <c r="Y1258" s="152" t="s">
        <v>1328</v>
      </c>
      <c r="Z1258" s="152" t="s">
        <v>1327</v>
      </c>
    </row>
    <row r="1259" spans="1:26" x14ac:dyDescent="0.2">
      <c r="A1259" s="152" t="s">
        <v>2412</v>
      </c>
      <c r="B1259" s="152">
        <v>3.85</v>
      </c>
      <c r="C1259" s="151">
        <v>44335</v>
      </c>
      <c r="D1259" s="152">
        <v>2.567123</v>
      </c>
      <c r="E1259" s="152" t="s">
        <v>1325</v>
      </c>
      <c r="F1259" s="152" t="s">
        <v>1326</v>
      </c>
      <c r="G1259" s="152"/>
      <c r="H1259" s="152"/>
      <c r="I1259" s="151" t="s">
        <v>1327</v>
      </c>
      <c r="J1259" s="152" t="s">
        <v>1327</v>
      </c>
      <c r="K1259" s="152" t="s">
        <v>1327</v>
      </c>
      <c r="L1259" s="152" t="s">
        <v>1327</v>
      </c>
      <c r="M1259" s="152" t="s">
        <v>1327</v>
      </c>
      <c r="N1259" s="152" t="s">
        <v>1327</v>
      </c>
      <c r="O1259" s="152">
        <v>3.9988380000000001</v>
      </c>
      <c r="P1259" s="152">
        <v>196.48112</v>
      </c>
      <c r="Q1259" s="152">
        <v>3.9988380000000001</v>
      </c>
      <c r="R1259" s="152" t="s">
        <v>1327</v>
      </c>
      <c r="S1259" s="152">
        <v>99.623949999999994</v>
      </c>
      <c r="T1259" s="152">
        <v>1.0336989999999999</v>
      </c>
      <c r="U1259" s="152">
        <v>2.3936820000000001</v>
      </c>
      <c r="V1259" s="152">
        <v>7.0915720000000002</v>
      </c>
      <c r="W1259" s="152">
        <v>1000</v>
      </c>
      <c r="X1259" s="152" t="s">
        <v>23</v>
      </c>
      <c r="Y1259" s="152" t="s">
        <v>1328</v>
      </c>
      <c r="Z1259" s="152" t="s">
        <v>1327</v>
      </c>
    </row>
    <row r="1260" spans="1:26" x14ac:dyDescent="0.2">
      <c r="A1260" s="152" t="s">
        <v>2413</v>
      </c>
      <c r="B1260" s="152">
        <v>4.0999999999999996</v>
      </c>
      <c r="C1260" s="151">
        <v>44761</v>
      </c>
      <c r="D1260" s="152">
        <v>3.7342469999999999</v>
      </c>
      <c r="E1260" s="152" t="s">
        <v>1325</v>
      </c>
      <c r="F1260" s="152" t="s">
        <v>1326</v>
      </c>
      <c r="G1260" s="152"/>
      <c r="H1260" s="152"/>
      <c r="I1260" s="151" t="s">
        <v>1327</v>
      </c>
      <c r="J1260" s="152" t="s">
        <v>1327</v>
      </c>
      <c r="K1260" s="152" t="s">
        <v>1327</v>
      </c>
      <c r="L1260" s="152" t="s">
        <v>1327</v>
      </c>
      <c r="M1260" s="152" t="s">
        <v>1327</v>
      </c>
      <c r="N1260" s="152" t="s">
        <v>1327</v>
      </c>
      <c r="O1260" s="152">
        <v>4.2848839999999999</v>
      </c>
      <c r="P1260" s="152">
        <v>201.063695</v>
      </c>
      <c r="Q1260" s="152">
        <v>4.2848839999999999</v>
      </c>
      <c r="R1260" s="152" t="s">
        <v>1327</v>
      </c>
      <c r="S1260" s="152">
        <v>99.345741000000004</v>
      </c>
      <c r="T1260" s="152">
        <v>1.100822</v>
      </c>
      <c r="U1260" s="152">
        <v>3.3916300000000001</v>
      </c>
      <c r="V1260" s="152">
        <v>13.751168</v>
      </c>
      <c r="W1260" s="152">
        <v>1000</v>
      </c>
      <c r="X1260" s="152" t="s">
        <v>23</v>
      </c>
      <c r="Y1260" s="152" t="s">
        <v>1328</v>
      </c>
      <c r="Z1260" s="152" t="s">
        <v>1327</v>
      </c>
    </row>
    <row r="1261" spans="1:26" x14ac:dyDescent="0.2">
      <c r="A1261" s="152" t="s">
        <v>2414</v>
      </c>
      <c r="B1261" s="152">
        <v>3.3</v>
      </c>
      <c r="C1261" s="151">
        <v>43430</v>
      </c>
      <c r="D1261" s="152">
        <v>8.7670999999999999E-2</v>
      </c>
      <c r="E1261" s="152" t="s">
        <v>1325</v>
      </c>
      <c r="F1261" s="152" t="s">
        <v>1326</v>
      </c>
      <c r="G1261" s="152"/>
      <c r="H1261" s="152"/>
      <c r="I1261" s="151" t="s">
        <v>1327</v>
      </c>
      <c r="J1261" s="152" t="s">
        <v>1327</v>
      </c>
      <c r="K1261" s="151" t="s">
        <v>1327</v>
      </c>
      <c r="L1261" s="152" t="s">
        <v>1327</v>
      </c>
      <c r="M1261" s="152" t="s">
        <v>1327</v>
      </c>
      <c r="N1261" s="152" t="s">
        <v>1327</v>
      </c>
      <c r="O1261" s="152">
        <v>2.577782</v>
      </c>
      <c r="P1261" s="152">
        <v>132.19215299999999</v>
      </c>
      <c r="Q1261" s="152">
        <v>2.577782</v>
      </c>
      <c r="R1261" s="152" t="s">
        <v>1327</v>
      </c>
      <c r="S1261" s="152">
        <v>100.04775100000001</v>
      </c>
      <c r="T1261" s="152">
        <v>1.374247</v>
      </c>
      <c r="U1261" s="152">
        <v>8.6555999999999994E-2</v>
      </c>
      <c r="V1261" s="152">
        <v>5.0219E-2</v>
      </c>
      <c r="W1261" s="152">
        <v>1000</v>
      </c>
      <c r="X1261" s="152" t="s">
        <v>23</v>
      </c>
      <c r="Y1261" s="152" t="s">
        <v>1328</v>
      </c>
      <c r="Z1261" s="152" t="s">
        <v>1327</v>
      </c>
    </row>
    <row r="1262" spans="1:26" x14ac:dyDescent="0.2">
      <c r="A1262" s="152" t="s">
        <v>2415</v>
      </c>
      <c r="B1262" s="152">
        <v>3.25</v>
      </c>
      <c r="C1262" s="151">
        <v>43517</v>
      </c>
      <c r="D1262" s="152">
        <v>0.32602700000000001</v>
      </c>
      <c r="E1262" s="152" t="s">
        <v>1325</v>
      </c>
      <c r="F1262" s="152" t="s">
        <v>1326</v>
      </c>
      <c r="G1262" s="152"/>
      <c r="H1262" s="152"/>
      <c r="I1262" s="151" t="s">
        <v>1327</v>
      </c>
      <c r="J1262" s="152" t="s">
        <v>1327</v>
      </c>
      <c r="K1262" s="151" t="s">
        <v>1327</v>
      </c>
      <c r="L1262" s="152" t="s">
        <v>1327</v>
      </c>
      <c r="M1262" s="152" t="s">
        <v>1327</v>
      </c>
      <c r="N1262" s="152" t="s">
        <v>1327</v>
      </c>
      <c r="O1262" s="152">
        <v>2.936601</v>
      </c>
      <c r="P1262" s="152">
        <v>132.64331999999999</v>
      </c>
      <c r="Q1262" s="152">
        <v>2.936601</v>
      </c>
      <c r="R1262" s="152" t="s">
        <v>1327</v>
      </c>
      <c r="S1262" s="152">
        <v>100.084912</v>
      </c>
      <c r="T1262" s="152">
        <v>0.57876700000000003</v>
      </c>
      <c r="U1262" s="152">
        <v>0.32130999999999998</v>
      </c>
      <c r="V1262" s="152">
        <v>0.26157000000000002</v>
      </c>
      <c r="W1262" s="152">
        <v>1000</v>
      </c>
      <c r="X1262" s="152" t="s">
        <v>23</v>
      </c>
      <c r="Y1262" s="152" t="s">
        <v>1328</v>
      </c>
      <c r="Z1262" s="152" t="s">
        <v>1327</v>
      </c>
    </row>
    <row r="1263" spans="1:26" x14ac:dyDescent="0.2">
      <c r="A1263" s="152" t="s">
        <v>2416</v>
      </c>
      <c r="B1263" s="152">
        <v>3.25</v>
      </c>
      <c r="C1263" s="151">
        <v>43558</v>
      </c>
      <c r="D1263" s="152">
        <v>0.43835600000000002</v>
      </c>
      <c r="E1263" s="152" t="s">
        <v>1325</v>
      </c>
      <c r="F1263" s="152" t="s">
        <v>1326</v>
      </c>
      <c r="G1263" s="152"/>
      <c r="H1263" s="152"/>
      <c r="I1263" s="151">
        <v>42461</v>
      </c>
      <c r="J1263" s="152">
        <v>3.2497880000000001</v>
      </c>
      <c r="K1263" s="152" t="s">
        <v>1327</v>
      </c>
      <c r="L1263" s="152" t="s">
        <v>1327</v>
      </c>
      <c r="M1263" s="152" t="s">
        <v>1327</v>
      </c>
      <c r="N1263" s="152" t="s">
        <v>1327</v>
      </c>
      <c r="O1263" s="152">
        <v>3.0599210000000001</v>
      </c>
      <c r="P1263" s="152">
        <v>136.66341299999999</v>
      </c>
      <c r="Q1263" s="152">
        <v>3.0599210000000001</v>
      </c>
      <c r="R1263" s="152" t="s">
        <v>1327</v>
      </c>
      <c r="S1263" s="152">
        <v>100.08526500000001</v>
      </c>
      <c r="T1263" s="152">
        <v>0.19589000000000001</v>
      </c>
      <c r="U1263" s="152">
        <v>0.431751</v>
      </c>
      <c r="V1263" s="152">
        <v>0.39903100000000002</v>
      </c>
      <c r="W1263" s="152">
        <v>1000</v>
      </c>
      <c r="X1263" s="152" t="s">
        <v>23</v>
      </c>
      <c r="Y1263" s="152" t="s">
        <v>1328</v>
      </c>
      <c r="Z1263" s="152" t="s">
        <v>1327</v>
      </c>
    </row>
    <row r="1264" spans="1:26" x14ac:dyDescent="0.2">
      <c r="A1264" s="152" t="s">
        <v>2417</v>
      </c>
      <c r="B1264" s="152">
        <v>3.13</v>
      </c>
      <c r="C1264" s="151">
        <v>43654</v>
      </c>
      <c r="D1264" s="152">
        <v>0.70137000000000005</v>
      </c>
      <c r="E1264" s="152" t="s">
        <v>1325</v>
      </c>
      <c r="F1264" s="152" t="s">
        <v>1326</v>
      </c>
      <c r="G1264" s="152"/>
      <c r="H1264" s="152"/>
      <c r="I1264" s="151" t="s">
        <v>1327</v>
      </c>
      <c r="J1264" s="152" t="s">
        <v>1327</v>
      </c>
      <c r="K1264" s="152" t="s">
        <v>1327</v>
      </c>
      <c r="L1264" s="152" t="s">
        <v>1327</v>
      </c>
      <c r="M1264" s="152" t="s">
        <v>1327</v>
      </c>
      <c r="N1264" s="152" t="s">
        <v>1327</v>
      </c>
      <c r="O1264" s="152">
        <v>3.1891560000000001</v>
      </c>
      <c r="P1264" s="152">
        <v>142.0813</v>
      </c>
      <c r="Q1264" s="152">
        <v>3.1891560000000001</v>
      </c>
      <c r="R1264" s="152" t="s">
        <v>1327</v>
      </c>
      <c r="S1264" s="152">
        <v>99.943475000000007</v>
      </c>
      <c r="T1264" s="152">
        <v>0.94328800000000002</v>
      </c>
      <c r="U1264" s="152">
        <v>0.68279699999999999</v>
      </c>
      <c r="V1264" s="152">
        <v>0.80590700000000004</v>
      </c>
      <c r="W1264" s="152">
        <v>1000</v>
      </c>
      <c r="X1264" s="152" t="s">
        <v>23</v>
      </c>
      <c r="Y1264" s="152" t="s">
        <v>1328</v>
      </c>
      <c r="Z1264" s="152" t="s">
        <v>1327</v>
      </c>
    </row>
    <row r="1265" spans="1:26" x14ac:dyDescent="0.2">
      <c r="A1265" s="152" t="s">
        <v>2418</v>
      </c>
      <c r="B1265" s="152">
        <v>3.13</v>
      </c>
      <c r="C1265" s="151">
        <v>43650</v>
      </c>
      <c r="D1265" s="152">
        <v>0.690411</v>
      </c>
      <c r="E1265" s="152" t="s">
        <v>1325</v>
      </c>
      <c r="F1265" s="152" t="s">
        <v>1326</v>
      </c>
      <c r="G1265" s="152"/>
      <c r="H1265" s="152"/>
      <c r="I1265" s="151" t="s">
        <v>1327</v>
      </c>
      <c r="J1265" s="152" t="s">
        <v>1327</v>
      </c>
      <c r="K1265" s="151" t="s">
        <v>1327</v>
      </c>
      <c r="L1265" s="152" t="s">
        <v>1327</v>
      </c>
      <c r="M1265" s="152" t="s">
        <v>1327</v>
      </c>
      <c r="N1265" s="152" t="s">
        <v>1327</v>
      </c>
      <c r="O1265" s="152">
        <v>3.1695549999999999</v>
      </c>
      <c r="P1265" s="152">
        <v>142.14395400000001</v>
      </c>
      <c r="Q1265" s="152">
        <v>3.1695549999999999</v>
      </c>
      <c r="R1265" s="152" t="s">
        <v>1327</v>
      </c>
      <c r="S1265" s="152">
        <v>99.957250000000002</v>
      </c>
      <c r="T1265" s="152">
        <v>0.96901400000000004</v>
      </c>
      <c r="U1265" s="152">
        <v>0.67610000000000003</v>
      </c>
      <c r="V1265" s="152">
        <v>0.79356400000000005</v>
      </c>
      <c r="W1265" s="152">
        <v>1000</v>
      </c>
      <c r="X1265" s="152" t="s">
        <v>23</v>
      </c>
      <c r="Y1265" s="152" t="s">
        <v>1328</v>
      </c>
      <c r="Z1265" s="152" t="s">
        <v>1327</v>
      </c>
    </row>
    <row r="1266" spans="1:26" x14ac:dyDescent="0.2">
      <c r="A1266" s="152" t="s">
        <v>2419</v>
      </c>
      <c r="B1266" s="152">
        <v>3.1</v>
      </c>
      <c r="C1266" s="151">
        <v>43654</v>
      </c>
      <c r="D1266" s="152">
        <v>0.70137000000000005</v>
      </c>
      <c r="E1266" s="152" t="s">
        <v>1325</v>
      </c>
      <c r="F1266" s="152" t="s">
        <v>1326</v>
      </c>
      <c r="G1266" s="152"/>
      <c r="H1266" s="152"/>
      <c r="I1266" s="151" t="s">
        <v>1327</v>
      </c>
      <c r="J1266" s="152" t="s">
        <v>1327</v>
      </c>
      <c r="K1266" s="151" t="s">
        <v>1327</v>
      </c>
      <c r="L1266" s="152" t="s">
        <v>1327</v>
      </c>
      <c r="M1266" s="152" t="s">
        <v>1327</v>
      </c>
      <c r="N1266" s="152" t="s">
        <v>1327</v>
      </c>
      <c r="O1266" s="152">
        <v>3.1929940000000001</v>
      </c>
      <c r="P1266" s="152">
        <v>142.46982499999999</v>
      </c>
      <c r="Q1266" s="152">
        <v>3.1929940000000001</v>
      </c>
      <c r="R1266" s="152" t="s">
        <v>1327</v>
      </c>
      <c r="S1266" s="152">
        <v>99.920338000000001</v>
      </c>
      <c r="T1266" s="152">
        <v>0.93424700000000005</v>
      </c>
      <c r="U1266" s="152">
        <v>0.68285399999999996</v>
      </c>
      <c r="V1266" s="152">
        <v>0.80597300000000005</v>
      </c>
      <c r="W1266" s="152">
        <v>1000</v>
      </c>
      <c r="X1266" s="152" t="s">
        <v>23</v>
      </c>
      <c r="Y1266" s="152" t="s">
        <v>1328</v>
      </c>
      <c r="Z1266" s="152" t="s">
        <v>1327</v>
      </c>
    </row>
    <row r="1267" spans="1:26" x14ac:dyDescent="0.2">
      <c r="A1267" s="152" t="s">
        <v>2420</v>
      </c>
      <c r="B1267" s="152">
        <v>3.1</v>
      </c>
      <c r="C1267" s="151">
        <v>43678</v>
      </c>
      <c r="D1267" s="152">
        <v>0.767123</v>
      </c>
      <c r="E1267" s="152" t="s">
        <v>1325</v>
      </c>
      <c r="F1267" s="152" t="s">
        <v>1326</v>
      </c>
      <c r="G1267" s="152"/>
      <c r="H1267" s="152"/>
      <c r="I1267" s="151" t="s">
        <v>1327</v>
      </c>
      <c r="J1267" s="152" t="s">
        <v>1327</v>
      </c>
      <c r="K1267" s="152" t="s">
        <v>1327</v>
      </c>
      <c r="L1267" s="152" t="s">
        <v>1327</v>
      </c>
      <c r="M1267" s="152" t="s">
        <v>1327</v>
      </c>
      <c r="N1267" s="152" t="s">
        <v>1327</v>
      </c>
      <c r="O1267" s="152">
        <v>3.1872029999999998</v>
      </c>
      <c r="P1267" s="152">
        <v>143.027187</v>
      </c>
      <c r="Q1267" s="152">
        <v>3.1872029999999998</v>
      </c>
      <c r="R1267" s="152" t="s">
        <v>1327</v>
      </c>
      <c r="S1267" s="152">
        <v>99.918302999999995</v>
      </c>
      <c r="T1267" s="152">
        <v>0.72191799999999995</v>
      </c>
      <c r="U1267" s="152">
        <v>0.75161999999999995</v>
      </c>
      <c r="V1267" s="152">
        <v>0.93849000000000005</v>
      </c>
      <c r="W1267" s="152">
        <v>1000</v>
      </c>
      <c r="X1267" s="152" t="s">
        <v>23</v>
      </c>
      <c r="Y1267" s="152" t="s">
        <v>1328</v>
      </c>
      <c r="Z1267" s="152" t="s">
        <v>1327</v>
      </c>
    </row>
    <row r="1268" spans="1:26" x14ac:dyDescent="0.2">
      <c r="A1268" s="152" t="s">
        <v>2421</v>
      </c>
      <c r="B1268" s="152">
        <v>3.1</v>
      </c>
      <c r="C1268" s="151">
        <v>43703</v>
      </c>
      <c r="D1268" s="152">
        <v>0.83561600000000003</v>
      </c>
      <c r="E1268" s="152" t="s">
        <v>1325</v>
      </c>
      <c r="F1268" s="152" t="s">
        <v>1326</v>
      </c>
      <c r="G1268" s="152"/>
      <c r="H1268" s="152"/>
      <c r="I1268" s="151">
        <v>42627</v>
      </c>
      <c r="J1268" s="152">
        <v>3.1</v>
      </c>
      <c r="K1268" s="152" t="s">
        <v>1327</v>
      </c>
      <c r="L1268" s="152" t="s">
        <v>1327</v>
      </c>
      <c r="M1268" s="152" t="s">
        <v>1327</v>
      </c>
      <c r="N1268" s="152" t="s">
        <v>1327</v>
      </c>
      <c r="O1268" s="152">
        <v>3.1868080000000001</v>
      </c>
      <c r="P1268" s="152">
        <v>142.96235200000001</v>
      </c>
      <c r="Q1268" s="152">
        <v>3.1868080000000001</v>
      </c>
      <c r="R1268" s="152" t="s">
        <v>1327</v>
      </c>
      <c r="S1268" s="152">
        <v>99.921456000000006</v>
      </c>
      <c r="T1268" s="152">
        <v>0.50958899999999996</v>
      </c>
      <c r="U1268" s="152">
        <v>0.81965900000000003</v>
      </c>
      <c r="V1268" s="152">
        <v>0.88161100000000003</v>
      </c>
      <c r="W1268" s="152">
        <v>1000</v>
      </c>
      <c r="X1268" s="152" t="s">
        <v>23</v>
      </c>
      <c r="Y1268" s="152" t="s">
        <v>1328</v>
      </c>
      <c r="Z1268" s="152" t="s">
        <v>1327</v>
      </c>
    </row>
    <row r="1269" spans="1:26" x14ac:dyDescent="0.2">
      <c r="A1269" s="152" t="s">
        <v>2422</v>
      </c>
      <c r="B1269" s="152">
        <v>3.1</v>
      </c>
      <c r="C1269" s="151">
        <v>43727</v>
      </c>
      <c r="D1269" s="152">
        <v>0.90137</v>
      </c>
      <c r="E1269" s="152" t="s">
        <v>1325</v>
      </c>
      <c r="F1269" s="152" t="s">
        <v>1326</v>
      </c>
      <c r="G1269" s="152"/>
      <c r="H1269" s="152"/>
      <c r="I1269" s="151" t="s">
        <v>1327</v>
      </c>
      <c r="J1269" s="152" t="s">
        <v>1327</v>
      </c>
      <c r="K1269" s="152" t="s">
        <v>1327</v>
      </c>
      <c r="L1269" s="152" t="s">
        <v>1327</v>
      </c>
      <c r="M1269" s="152" t="s">
        <v>1327</v>
      </c>
      <c r="N1269" s="152" t="s">
        <v>1327</v>
      </c>
      <c r="O1269" s="152">
        <v>3.2340499999999999</v>
      </c>
      <c r="P1269" s="152">
        <v>143.84134800000001</v>
      </c>
      <c r="Q1269" s="152">
        <v>3.2340499999999999</v>
      </c>
      <c r="R1269" s="152" t="s">
        <v>1327</v>
      </c>
      <c r="S1269" s="152">
        <v>99.893099000000007</v>
      </c>
      <c r="T1269" s="152">
        <v>0.305753</v>
      </c>
      <c r="U1269" s="152">
        <v>0.875467</v>
      </c>
      <c r="V1269" s="152">
        <v>1.200852</v>
      </c>
      <c r="W1269" s="152">
        <v>1000</v>
      </c>
      <c r="X1269" s="152" t="s">
        <v>23</v>
      </c>
      <c r="Y1269" s="152" t="s">
        <v>1328</v>
      </c>
      <c r="Z1269" s="152" t="s">
        <v>1327</v>
      </c>
    </row>
    <row r="1270" spans="1:26" x14ac:dyDescent="0.2">
      <c r="A1270" s="152" t="s">
        <v>2423</v>
      </c>
      <c r="B1270" s="152">
        <v>3.1</v>
      </c>
      <c r="C1270" s="151">
        <v>43779</v>
      </c>
      <c r="D1270" s="152">
        <v>1.043836</v>
      </c>
      <c r="E1270" s="152" t="s">
        <v>1325</v>
      </c>
      <c r="F1270" s="152" t="s">
        <v>1326</v>
      </c>
      <c r="G1270" s="152" t="s">
        <v>35</v>
      </c>
      <c r="H1270" s="152"/>
      <c r="I1270" s="151">
        <v>42691</v>
      </c>
      <c r="J1270" s="152">
        <v>3.1043090000000002</v>
      </c>
      <c r="K1270" s="152" t="s">
        <v>1327</v>
      </c>
      <c r="L1270" s="152" t="s">
        <v>1327</v>
      </c>
      <c r="M1270" s="152" t="s">
        <v>1327</v>
      </c>
      <c r="N1270" s="152" t="s">
        <v>1327</v>
      </c>
      <c r="O1270" s="152">
        <v>3.259655</v>
      </c>
      <c r="P1270" s="152">
        <v>146.73163199999999</v>
      </c>
      <c r="Q1270" s="152">
        <v>3.259655</v>
      </c>
      <c r="R1270" s="152" t="s">
        <v>1327</v>
      </c>
      <c r="S1270" s="152">
        <v>99.823705000000004</v>
      </c>
      <c r="T1270" s="152">
        <v>1.426849</v>
      </c>
      <c r="U1270" s="152">
        <v>1.0046539999999999</v>
      </c>
      <c r="V1270" s="152">
        <v>1.5215380000000001</v>
      </c>
      <c r="W1270" s="152">
        <v>1000</v>
      </c>
      <c r="X1270" s="152" t="s">
        <v>23</v>
      </c>
      <c r="Y1270" s="152" t="s">
        <v>1328</v>
      </c>
      <c r="Z1270" s="152" t="s">
        <v>1327</v>
      </c>
    </row>
    <row r="1271" spans="1:26" x14ac:dyDescent="0.2">
      <c r="A1271" s="152" t="s">
        <v>2424</v>
      </c>
      <c r="B1271" s="152">
        <v>3.75</v>
      </c>
      <c r="C1271" s="151">
        <v>43795</v>
      </c>
      <c r="D1271" s="152">
        <v>1.0876710000000001</v>
      </c>
      <c r="E1271" s="152" t="s">
        <v>1325</v>
      </c>
      <c r="F1271" s="152" t="s">
        <v>1326</v>
      </c>
      <c r="G1271" s="152"/>
      <c r="H1271" s="152"/>
      <c r="I1271" s="151" t="s">
        <v>1327</v>
      </c>
      <c r="J1271" s="152" t="s">
        <v>1327</v>
      </c>
      <c r="K1271" s="152" t="s">
        <v>1327</v>
      </c>
      <c r="L1271" s="152" t="s">
        <v>1327</v>
      </c>
      <c r="M1271" s="152" t="s">
        <v>1327</v>
      </c>
      <c r="N1271" s="152" t="s">
        <v>1327</v>
      </c>
      <c r="O1271" s="152">
        <v>3.6679430000000002</v>
      </c>
      <c r="P1271" s="152">
        <v>187.64604600000001</v>
      </c>
      <c r="Q1271" s="152">
        <v>3.6679430000000002</v>
      </c>
      <c r="R1271" s="152" t="s">
        <v>1327</v>
      </c>
      <c r="S1271" s="152">
        <v>100.068838</v>
      </c>
      <c r="T1271" s="152">
        <v>1.561644</v>
      </c>
      <c r="U1271" s="152">
        <v>1.0411570000000001</v>
      </c>
      <c r="V1271" s="152">
        <v>1.616573</v>
      </c>
      <c r="W1271" s="152">
        <v>1000</v>
      </c>
      <c r="X1271" s="152" t="s">
        <v>23</v>
      </c>
      <c r="Y1271" s="152" t="s">
        <v>1328</v>
      </c>
      <c r="Z1271" s="152" t="s">
        <v>1327</v>
      </c>
    </row>
    <row r="1272" spans="1:26" x14ac:dyDescent="0.2">
      <c r="A1272" s="152" t="s">
        <v>2425</v>
      </c>
      <c r="B1272" s="152">
        <v>3.7</v>
      </c>
      <c r="C1272" s="151">
        <v>43871</v>
      </c>
      <c r="D1272" s="152">
        <v>1.29589</v>
      </c>
      <c r="E1272" s="152" t="s">
        <v>1325</v>
      </c>
      <c r="F1272" s="152" t="s">
        <v>1326</v>
      </c>
      <c r="G1272" s="152"/>
      <c r="H1272" s="152"/>
      <c r="I1272" s="151">
        <v>43068</v>
      </c>
      <c r="J1272" s="152">
        <v>3.44</v>
      </c>
      <c r="K1272" s="152" t="s">
        <v>1327</v>
      </c>
      <c r="L1272" s="152" t="s">
        <v>1327</v>
      </c>
      <c r="M1272" s="152" t="s">
        <v>1327</v>
      </c>
      <c r="N1272" s="152" t="s">
        <v>1327</v>
      </c>
      <c r="O1272" s="152">
        <v>3.7302209999999998</v>
      </c>
      <c r="P1272" s="152">
        <v>189.35714999999999</v>
      </c>
      <c r="Q1272" s="152">
        <v>3.7302209999999998</v>
      </c>
      <c r="R1272" s="152" t="s">
        <v>1327</v>
      </c>
      <c r="S1272" s="152">
        <v>99.942779999999999</v>
      </c>
      <c r="T1272" s="152">
        <v>0.77041099999999996</v>
      </c>
      <c r="U1272" s="152">
        <v>1.2455719999999999</v>
      </c>
      <c r="V1272" s="152">
        <v>2.183932</v>
      </c>
      <c r="W1272" s="152">
        <v>1000</v>
      </c>
      <c r="X1272" s="152" t="s">
        <v>23</v>
      </c>
      <c r="Y1272" s="152" t="s">
        <v>1328</v>
      </c>
      <c r="Z1272" s="152" t="s">
        <v>1327</v>
      </c>
    </row>
    <row r="1273" spans="1:26" x14ac:dyDescent="0.2">
      <c r="A1273" s="152" t="s">
        <v>2426</v>
      </c>
      <c r="B1273" s="152">
        <v>3.6</v>
      </c>
      <c r="C1273" s="151">
        <v>44019</v>
      </c>
      <c r="D1273" s="152">
        <v>1.70137</v>
      </c>
      <c r="E1273" s="152" t="s">
        <v>1325</v>
      </c>
      <c r="F1273" s="152" t="s">
        <v>1326</v>
      </c>
      <c r="G1273" s="152"/>
      <c r="H1273" s="152"/>
      <c r="I1273" s="151" t="s">
        <v>1327</v>
      </c>
      <c r="J1273" s="152" t="s">
        <v>1327</v>
      </c>
      <c r="K1273" s="152" t="s">
        <v>1327</v>
      </c>
      <c r="L1273" s="152" t="s">
        <v>1327</v>
      </c>
      <c r="M1273" s="152" t="s">
        <v>1327</v>
      </c>
      <c r="N1273" s="152" t="s">
        <v>1327</v>
      </c>
      <c r="O1273" s="152">
        <v>3.8239139999999998</v>
      </c>
      <c r="P1273" s="152">
        <v>190.41745800000001</v>
      </c>
      <c r="Q1273" s="152">
        <v>3.8239139999999998</v>
      </c>
      <c r="R1273" s="152" t="s">
        <v>1327</v>
      </c>
      <c r="S1273" s="152">
        <v>99.624523999999994</v>
      </c>
      <c r="T1273" s="152">
        <v>0.177534</v>
      </c>
      <c r="U1273" s="152">
        <v>1.640809</v>
      </c>
      <c r="V1273" s="152">
        <v>3.1458659999999998</v>
      </c>
      <c r="W1273" s="152">
        <v>1000</v>
      </c>
      <c r="X1273" s="152" t="s">
        <v>23</v>
      </c>
      <c r="Y1273" s="152" t="s">
        <v>1328</v>
      </c>
      <c r="Z1273" s="152" t="s">
        <v>1327</v>
      </c>
    </row>
    <row r="1274" spans="1:26" x14ac:dyDescent="0.2">
      <c r="A1274" s="152" t="s">
        <v>2427</v>
      </c>
      <c r="B1274" s="152">
        <v>3.7</v>
      </c>
      <c r="C1274" s="151">
        <v>44051</v>
      </c>
      <c r="D1274" s="152">
        <v>1.7890410000000001</v>
      </c>
      <c r="E1274" s="152" t="s">
        <v>1325</v>
      </c>
      <c r="F1274" s="152" t="s">
        <v>1326</v>
      </c>
      <c r="G1274" s="152"/>
      <c r="H1274" s="152"/>
      <c r="I1274" s="152" t="s">
        <v>1327</v>
      </c>
      <c r="J1274" s="152" t="s">
        <v>1327</v>
      </c>
      <c r="K1274" s="152" t="s">
        <v>1327</v>
      </c>
      <c r="L1274" s="152" t="s">
        <v>1327</v>
      </c>
      <c r="M1274" s="152" t="s">
        <v>1327</v>
      </c>
      <c r="N1274" s="152" t="s">
        <v>1327</v>
      </c>
      <c r="O1274" s="152">
        <v>3.8830360000000002</v>
      </c>
      <c r="P1274" s="152">
        <v>192.86833999999999</v>
      </c>
      <c r="Q1274" s="152">
        <v>3.8830360000000002</v>
      </c>
      <c r="R1274" s="152" t="s">
        <v>1327</v>
      </c>
      <c r="S1274" s="152">
        <v>99.666819000000004</v>
      </c>
      <c r="T1274" s="152">
        <v>0.79068499999999997</v>
      </c>
      <c r="U1274" s="152">
        <v>1.7033959999999999</v>
      </c>
      <c r="V1274" s="152">
        <v>3.7950699999999999</v>
      </c>
      <c r="W1274" s="152">
        <v>1000</v>
      </c>
      <c r="X1274" s="152" t="s">
        <v>23</v>
      </c>
      <c r="Y1274" s="152" t="s">
        <v>1328</v>
      </c>
      <c r="Z1274" s="152" t="s">
        <v>1327</v>
      </c>
    </row>
    <row r="1275" spans="1:26" x14ac:dyDescent="0.2">
      <c r="A1275" s="152" t="s">
        <v>2428</v>
      </c>
      <c r="B1275" s="152">
        <v>3.6</v>
      </c>
      <c r="C1275" s="151">
        <v>44061</v>
      </c>
      <c r="D1275" s="152">
        <v>1.816438</v>
      </c>
      <c r="E1275" s="152" t="s">
        <v>1325</v>
      </c>
      <c r="F1275" s="152" t="s">
        <v>1326</v>
      </c>
      <c r="G1275" s="152"/>
      <c r="H1275" s="152"/>
      <c r="I1275" s="151" t="s">
        <v>1327</v>
      </c>
      <c r="J1275" s="152" t="s">
        <v>1327</v>
      </c>
      <c r="K1275" s="152" t="s">
        <v>1327</v>
      </c>
      <c r="L1275" s="152" t="s">
        <v>1327</v>
      </c>
      <c r="M1275" s="152" t="s">
        <v>1327</v>
      </c>
      <c r="N1275" s="152" t="s">
        <v>1327</v>
      </c>
      <c r="O1275" s="152">
        <v>3.8791440000000001</v>
      </c>
      <c r="P1275" s="152">
        <v>193.45486299999999</v>
      </c>
      <c r="Q1275" s="152">
        <v>3.8791440000000001</v>
      </c>
      <c r="R1275" s="152" t="s">
        <v>1327</v>
      </c>
      <c r="S1275" s="152">
        <v>99.504617999999994</v>
      </c>
      <c r="T1275" s="152">
        <v>0.67068499999999998</v>
      </c>
      <c r="U1275" s="152">
        <v>1.737365</v>
      </c>
      <c r="V1275" s="152">
        <v>3.5207809999999999</v>
      </c>
      <c r="W1275" s="152">
        <v>1000</v>
      </c>
      <c r="X1275" s="152" t="s">
        <v>23</v>
      </c>
      <c r="Y1275" s="152" t="s">
        <v>1328</v>
      </c>
      <c r="Z1275" s="152" t="s">
        <v>1327</v>
      </c>
    </row>
    <row r="1276" spans="1:26" x14ac:dyDescent="0.2">
      <c r="A1276" s="152" t="s">
        <v>2429</v>
      </c>
      <c r="B1276" s="152">
        <v>3.6</v>
      </c>
      <c r="C1276" s="151">
        <v>44074</v>
      </c>
      <c r="D1276" s="152">
        <v>1.852055</v>
      </c>
      <c r="E1276" s="152" t="s">
        <v>1325</v>
      </c>
      <c r="F1276" s="152" t="s">
        <v>1326</v>
      </c>
      <c r="G1276" s="152"/>
      <c r="H1276" s="152"/>
      <c r="I1276" s="151" t="s">
        <v>1327</v>
      </c>
      <c r="J1276" s="152" t="s">
        <v>1327</v>
      </c>
      <c r="K1276" s="152" t="s">
        <v>1327</v>
      </c>
      <c r="L1276" s="152" t="s">
        <v>1327</v>
      </c>
      <c r="M1276" s="152" t="s">
        <v>1327</v>
      </c>
      <c r="N1276" s="152" t="s">
        <v>1327</v>
      </c>
      <c r="O1276" s="152">
        <v>3.9205930000000002</v>
      </c>
      <c r="P1276" s="152">
        <v>193.844606</v>
      </c>
      <c r="Q1276" s="152">
        <v>3.9205930000000002</v>
      </c>
      <c r="R1276" s="152" t="s">
        <v>1327</v>
      </c>
      <c r="S1276" s="152">
        <v>99.445721000000006</v>
      </c>
      <c r="T1276" s="152">
        <v>0.542466</v>
      </c>
      <c r="U1276" s="152">
        <v>1.7581329999999999</v>
      </c>
      <c r="V1276" s="152">
        <v>4.0098459999999996</v>
      </c>
      <c r="W1276" s="152">
        <v>1000</v>
      </c>
      <c r="X1276" s="152" t="s">
        <v>23</v>
      </c>
      <c r="Y1276" s="152" t="s">
        <v>1328</v>
      </c>
      <c r="Z1276" s="152" t="s">
        <v>1327</v>
      </c>
    </row>
    <row r="1277" spans="1:26" x14ac:dyDescent="0.2">
      <c r="A1277" s="152" t="s">
        <v>2430</v>
      </c>
      <c r="B1277" s="152">
        <v>4.2</v>
      </c>
      <c r="C1277" s="151">
        <v>44161</v>
      </c>
      <c r="D1277" s="152">
        <v>2.090411</v>
      </c>
      <c r="E1277" s="152" t="s">
        <v>1325</v>
      </c>
      <c r="F1277" s="152" t="s">
        <v>1326</v>
      </c>
      <c r="G1277" s="152"/>
      <c r="H1277" s="152"/>
      <c r="I1277" s="152">
        <v>43385</v>
      </c>
      <c r="J1277" s="152">
        <v>3.94</v>
      </c>
      <c r="K1277" s="152" t="s">
        <v>1327</v>
      </c>
      <c r="L1277" s="152" t="s">
        <v>1327</v>
      </c>
      <c r="M1277" s="152" t="s">
        <v>1327</v>
      </c>
      <c r="N1277" s="152" t="s">
        <v>1327</v>
      </c>
      <c r="O1277" s="152">
        <v>3.940302</v>
      </c>
      <c r="P1277" s="152">
        <v>194.046919</v>
      </c>
      <c r="Q1277" s="152">
        <v>3.940302</v>
      </c>
      <c r="R1277" s="152" t="s">
        <v>1327</v>
      </c>
      <c r="S1277" s="152">
        <v>100.495378</v>
      </c>
      <c r="T1277" s="152">
        <v>1.7490410000000001</v>
      </c>
      <c r="U1277" s="152">
        <v>1.9488890000000001</v>
      </c>
      <c r="V1277" s="152">
        <v>4.8898479999999998</v>
      </c>
      <c r="W1277" s="152">
        <v>1000</v>
      </c>
      <c r="X1277" s="152" t="s">
        <v>23</v>
      </c>
      <c r="Y1277" s="152" t="s">
        <v>1328</v>
      </c>
      <c r="Z1277" s="152" t="s">
        <v>1327</v>
      </c>
    </row>
    <row r="1278" spans="1:26" x14ac:dyDescent="0.2">
      <c r="A1278" s="152" t="s">
        <v>2431</v>
      </c>
      <c r="B1278" s="152">
        <v>3.63</v>
      </c>
      <c r="C1278" s="151">
        <v>44110</v>
      </c>
      <c r="D1278" s="152">
        <v>1.950685</v>
      </c>
      <c r="E1278" s="152" t="s">
        <v>1325</v>
      </c>
      <c r="F1278" s="152" t="s">
        <v>1326</v>
      </c>
      <c r="G1278" s="152"/>
      <c r="H1278" s="152"/>
      <c r="I1278" s="152" t="s">
        <v>1327</v>
      </c>
      <c r="J1278" s="152" t="s">
        <v>1327</v>
      </c>
      <c r="K1278" s="152" t="s">
        <v>1327</v>
      </c>
      <c r="L1278" s="152" t="s">
        <v>1327</v>
      </c>
      <c r="M1278" s="152" t="s">
        <v>1327</v>
      </c>
      <c r="N1278" s="152" t="s">
        <v>1327</v>
      </c>
      <c r="O1278" s="152">
        <v>3.9244750000000002</v>
      </c>
      <c r="P1278" s="152">
        <v>193.480604</v>
      </c>
      <c r="Q1278" s="152">
        <v>3.9244750000000002</v>
      </c>
      <c r="R1278" s="152" t="s">
        <v>1327</v>
      </c>
      <c r="S1278" s="152">
        <v>99.456569000000002</v>
      </c>
      <c r="T1278" s="152">
        <v>0.18895899999999999</v>
      </c>
      <c r="U1278" s="152">
        <v>1.8571169999999999</v>
      </c>
      <c r="V1278" s="152">
        <v>4.4166369999999997</v>
      </c>
      <c r="W1278" s="152">
        <v>1000</v>
      </c>
      <c r="X1278" s="152" t="s">
        <v>23</v>
      </c>
      <c r="Y1278" s="152" t="s">
        <v>1328</v>
      </c>
      <c r="Z1278" s="152" t="s">
        <v>1327</v>
      </c>
    </row>
    <row r="1279" spans="1:26" x14ac:dyDescent="0.2">
      <c r="A1279" s="152" t="s">
        <v>2432</v>
      </c>
      <c r="B1279" s="152">
        <v>3.7</v>
      </c>
      <c r="C1279" s="151">
        <v>44255</v>
      </c>
      <c r="D1279" s="152">
        <v>2.3479450000000002</v>
      </c>
      <c r="E1279" s="152" t="s">
        <v>1325</v>
      </c>
      <c r="F1279" s="152" t="s">
        <v>1326</v>
      </c>
      <c r="G1279" s="152"/>
      <c r="H1279" s="152"/>
      <c r="I1279" s="152" t="s">
        <v>1327</v>
      </c>
      <c r="J1279" s="152" t="s">
        <v>1327</v>
      </c>
      <c r="K1279" s="152" t="s">
        <v>1327</v>
      </c>
      <c r="L1279" s="152" t="s">
        <v>1327</v>
      </c>
      <c r="M1279" s="152" t="s">
        <v>1327</v>
      </c>
      <c r="N1279" s="152" t="s">
        <v>1327</v>
      </c>
      <c r="O1279" s="152">
        <v>3.9797359999999999</v>
      </c>
      <c r="P1279" s="152">
        <v>196.05376100000001</v>
      </c>
      <c r="Q1279" s="152">
        <v>3.9797359999999999</v>
      </c>
      <c r="R1279" s="152" t="s">
        <v>1327</v>
      </c>
      <c r="S1279" s="152">
        <v>99.360420000000005</v>
      </c>
      <c r="T1279" s="152">
        <v>0.58794500000000005</v>
      </c>
      <c r="U1279" s="152">
        <v>2.2116630000000002</v>
      </c>
      <c r="V1279" s="152">
        <v>6.0979559999999999</v>
      </c>
      <c r="W1279" s="152">
        <v>1000</v>
      </c>
      <c r="X1279" s="152" t="s">
        <v>23</v>
      </c>
      <c r="Y1279" s="152" t="s">
        <v>1328</v>
      </c>
      <c r="Z1279" s="152" t="s">
        <v>1327</v>
      </c>
    </row>
    <row r="1280" spans="1:26" x14ac:dyDescent="0.2">
      <c r="A1280" s="152" t="s">
        <v>2433</v>
      </c>
      <c r="B1280" s="152">
        <v>4</v>
      </c>
      <c r="C1280" s="151">
        <v>44439</v>
      </c>
      <c r="D1280" s="152">
        <v>2.852055</v>
      </c>
      <c r="E1280" s="152" t="s">
        <v>1325</v>
      </c>
      <c r="F1280" s="152" t="s">
        <v>1326</v>
      </c>
      <c r="G1280" s="152"/>
      <c r="H1280" s="152"/>
      <c r="I1280" s="152" t="s">
        <v>1327</v>
      </c>
      <c r="J1280" s="152" t="s">
        <v>1327</v>
      </c>
      <c r="K1280" s="152" t="s">
        <v>1327</v>
      </c>
      <c r="L1280" s="152" t="s">
        <v>1327</v>
      </c>
      <c r="M1280" s="152" t="s">
        <v>1327</v>
      </c>
      <c r="N1280" s="152" t="s">
        <v>1327</v>
      </c>
      <c r="O1280" s="152">
        <v>4.180955</v>
      </c>
      <c r="P1280" s="152">
        <v>211.32126500000001</v>
      </c>
      <c r="Q1280" s="152">
        <v>4.180955</v>
      </c>
      <c r="R1280" s="152" t="s">
        <v>1327</v>
      </c>
      <c r="S1280" s="152">
        <v>99.531327000000005</v>
      </c>
      <c r="T1280" s="152">
        <v>0.60274000000000005</v>
      </c>
      <c r="U1280" s="152">
        <v>2.6461830000000002</v>
      </c>
      <c r="V1280" s="152">
        <v>8.5334520000000005</v>
      </c>
      <c r="W1280" s="152">
        <v>1000</v>
      </c>
      <c r="X1280" s="152" t="s">
        <v>23</v>
      </c>
      <c r="Y1280" s="152" t="s">
        <v>1328</v>
      </c>
      <c r="Z1280" s="152" t="s">
        <v>1327</v>
      </c>
    </row>
    <row r="1281" spans="1:26" x14ac:dyDescent="0.2">
      <c r="A1281" s="152" t="s">
        <v>2434</v>
      </c>
      <c r="B1281" s="152">
        <v>3.95</v>
      </c>
      <c r="C1281" s="151">
        <v>44620</v>
      </c>
      <c r="D1281" s="152">
        <v>3.3479450000000002</v>
      </c>
      <c r="E1281" s="152" t="s">
        <v>1325</v>
      </c>
      <c r="F1281" s="152" t="s">
        <v>1326</v>
      </c>
      <c r="G1281" s="152"/>
      <c r="H1281" s="152"/>
      <c r="I1281" s="152" t="s">
        <v>1327</v>
      </c>
      <c r="J1281" s="152" t="s">
        <v>1327</v>
      </c>
      <c r="K1281" s="152" t="s">
        <v>1327</v>
      </c>
      <c r="L1281" s="152" t="s">
        <v>1327</v>
      </c>
      <c r="M1281" s="152" t="s">
        <v>1327</v>
      </c>
      <c r="N1281" s="152" t="s">
        <v>1327</v>
      </c>
      <c r="O1281" s="152">
        <v>4.3172449999999998</v>
      </c>
      <c r="P1281" s="152">
        <v>213.91442900000001</v>
      </c>
      <c r="Q1281" s="152">
        <v>4.3172449999999998</v>
      </c>
      <c r="R1281" s="152" t="s">
        <v>1327</v>
      </c>
      <c r="S1281" s="152">
        <v>98.846669000000006</v>
      </c>
      <c r="T1281" s="152">
        <v>0.62767099999999998</v>
      </c>
      <c r="U1281" s="152">
        <v>3.0803759999999998</v>
      </c>
      <c r="V1281" s="152">
        <v>11.374891999999999</v>
      </c>
      <c r="W1281" s="152">
        <v>1000</v>
      </c>
      <c r="X1281" s="152" t="s">
        <v>23</v>
      </c>
      <c r="Y1281" s="152" t="s">
        <v>1328</v>
      </c>
      <c r="Z1281" s="152" t="s">
        <v>1327</v>
      </c>
    </row>
    <row r="1282" spans="1:26" x14ac:dyDescent="0.2">
      <c r="A1282" s="152" t="s">
        <v>2435</v>
      </c>
      <c r="B1282" s="152">
        <v>5</v>
      </c>
      <c r="C1282" s="151">
        <v>43585</v>
      </c>
      <c r="D1282" s="152">
        <v>0.51232900000000003</v>
      </c>
      <c r="E1282" s="152" t="s">
        <v>1325</v>
      </c>
      <c r="F1282" s="152" t="s">
        <v>1326</v>
      </c>
      <c r="G1282" s="152"/>
      <c r="H1282" s="152"/>
      <c r="I1282" s="152" t="s">
        <v>1327</v>
      </c>
      <c r="J1282" s="152" t="s">
        <v>1327</v>
      </c>
      <c r="K1282" s="152" t="s">
        <v>1327</v>
      </c>
      <c r="L1282" s="152" t="s">
        <v>1327</v>
      </c>
      <c r="M1282" s="152" t="s">
        <v>1327</v>
      </c>
      <c r="N1282" s="152" t="s">
        <v>1327</v>
      </c>
      <c r="O1282" s="152">
        <v>5.2938200000000002</v>
      </c>
      <c r="P1282" s="152">
        <v>366.41327699999999</v>
      </c>
      <c r="Q1282" s="152">
        <v>5.2938200000000002</v>
      </c>
      <c r="R1282" s="152" t="s">
        <v>1327</v>
      </c>
      <c r="S1282" s="152">
        <v>99.852536000000001</v>
      </c>
      <c r="T1282" s="152">
        <v>-6.8492999999999998E-2</v>
      </c>
      <c r="U1282" s="152">
        <v>0.50394099999999997</v>
      </c>
      <c r="V1282" s="152">
        <v>0.37903799999999999</v>
      </c>
      <c r="W1282" s="152">
        <v>1000</v>
      </c>
      <c r="X1282" s="152" t="s">
        <v>23</v>
      </c>
      <c r="Y1282" s="152" t="s">
        <v>1328</v>
      </c>
      <c r="Z1282" s="152" t="s">
        <v>1327</v>
      </c>
    </row>
    <row r="1283" spans="1:26" x14ac:dyDescent="0.2">
      <c r="A1283" s="152" t="s">
        <v>2436</v>
      </c>
      <c r="B1283" s="152">
        <v>7</v>
      </c>
      <c r="C1283" s="151">
        <v>44061</v>
      </c>
      <c r="D1283" s="152">
        <v>1.816438</v>
      </c>
      <c r="E1283" s="152" t="s">
        <v>1325</v>
      </c>
      <c r="F1283" s="152" t="s">
        <v>1326</v>
      </c>
      <c r="G1283" s="152"/>
      <c r="H1283" s="152"/>
      <c r="I1283" s="152" t="s">
        <v>1327</v>
      </c>
      <c r="J1283" s="152" t="s">
        <v>1327</v>
      </c>
      <c r="K1283" s="152" t="s">
        <v>1327</v>
      </c>
      <c r="L1283" s="152" t="s">
        <v>1327</v>
      </c>
      <c r="M1283" s="152" t="s">
        <v>1327</v>
      </c>
      <c r="N1283" s="152" t="s">
        <v>1327</v>
      </c>
      <c r="O1283" s="152">
        <v>7.1848109999999998</v>
      </c>
      <c r="P1283" s="152">
        <v>539.06681000000003</v>
      </c>
      <c r="Q1283" s="152">
        <v>7.1848109999999998</v>
      </c>
      <c r="R1283" s="152" t="s">
        <v>1327</v>
      </c>
      <c r="S1283" s="152">
        <v>99.670088000000007</v>
      </c>
      <c r="T1283" s="152">
        <v>1.323288</v>
      </c>
      <c r="U1283" s="152">
        <v>1.6706669999999999</v>
      </c>
      <c r="V1283" s="152">
        <v>3.3313869999999999</v>
      </c>
      <c r="W1283" s="152">
        <v>1000</v>
      </c>
      <c r="X1283" s="152" t="s">
        <v>23</v>
      </c>
      <c r="Y1283" s="152" t="s">
        <v>1328</v>
      </c>
      <c r="Z1283" s="152" t="s">
        <v>1327</v>
      </c>
    </row>
    <row r="1284" spans="1:26" x14ac:dyDescent="0.2">
      <c r="A1284" s="152" t="s">
        <v>2437</v>
      </c>
      <c r="B1284" s="152">
        <v>2.68</v>
      </c>
      <c r="C1284" s="151">
        <v>44444</v>
      </c>
      <c r="D1284" s="152">
        <v>2.8657530000000002</v>
      </c>
      <c r="E1284" s="152" t="s">
        <v>1355</v>
      </c>
      <c r="F1284" s="152" t="s">
        <v>1326</v>
      </c>
      <c r="G1284" s="152"/>
      <c r="H1284" s="152" t="s">
        <v>500</v>
      </c>
      <c r="I1284" s="152" t="s">
        <v>1327</v>
      </c>
      <c r="J1284" s="152" t="s">
        <v>1327</v>
      </c>
      <c r="K1284" s="152" t="s">
        <v>1327</v>
      </c>
      <c r="L1284" s="152" t="s">
        <v>1327</v>
      </c>
      <c r="M1284" s="152" t="s">
        <v>1327</v>
      </c>
      <c r="N1284" s="152" t="s">
        <v>1327</v>
      </c>
      <c r="O1284" s="152">
        <v>2.830476</v>
      </c>
      <c r="P1284" s="152">
        <v>81.550960000000003</v>
      </c>
      <c r="Q1284" s="152">
        <v>2.830476</v>
      </c>
      <c r="R1284" s="152" t="s">
        <v>1327</v>
      </c>
      <c r="S1284" s="152">
        <v>99.744220999999996</v>
      </c>
      <c r="T1284" s="152">
        <v>0.36712299999999998</v>
      </c>
      <c r="U1284" s="152">
        <v>1.7849390000000001</v>
      </c>
      <c r="V1284" s="152">
        <v>4.7271539999999996</v>
      </c>
      <c r="W1284" s="152">
        <v>1000</v>
      </c>
      <c r="X1284" s="152" t="s">
        <v>23</v>
      </c>
      <c r="Y1284" s="152" t="s">
        <v>1328</v>
      </c>
      <c r="Z1284" s="152" t="s">
        <v>1327</v>
      </c>
    </row>
    <row r="1285" spans="1:26" x14ac:dyDescent="0.2">
      <c r="A1285" s="152" t="s">
        <v>2438</v>
      </c>
      <c r="B1285" s="152">
        <v>3</v>
      </c>
      <c r="C1285" s="151">
        <v>45174</v>
      </c>
      <c r="D1285" s="152">
        <v>4.8657529999999998</v>
      </c>
      <c r="E1285" s="152" t="s">
        <v>1355</v>
      </c>
      <c r="F1285" s="152" t="s">
        <v>1326</v>
      </c>
      <c r="G1285" s="152"/>
      <c r="H1285" s="152" t="s">
        <v>500</v>
      </c>
      <c r="I1285" s="152" t="s">
        <v>1327</v>
      </c>
      <c r="J1285" s="152" t="s">
        <v>1327</v>
      </c>
      <c r="K1285" s="152" t="s">
        <v>1327</v>
      </c>
      <c r="L1285" s="152" t="s">
        <v>1327</v>
      </c>
      <c r="M1285" s="152" t="s">
        <v>1327</v>
      </c>
      <c r="N1285" s="152" t="s">
        <v>1327</v>
      </c>
      <c r="O1285" s="152">
        <v>3.1761110000000001</v>
      </c>
      <c r="P1285" s="152">
        <v>94.60557</v>
      </c>
      <c r="Q1285" s="152">
        <v>3.1761110000000001</v>
      </c>
      <c r="R1285" s="152" t="s">
        <v>1327</v>
      </c>
      <c r="S1285" s="152">
        <v>99.543034000000006</v>
      </c>
      <c r="T1285" s="152">
        <v>0.41095900000000002</v>
      </c>
      <c r="U1285" s="152">
        <v>2.6768540000000001</v>
      </c>
      <c r="V1285" s="152">
        <v>10.445482999999999</v>
      </c>
      <c r="W1285" s="152">
        <v>1000</v>
      </c>
      <c r="X1285" s="152" t="s">
        <v>23</v>
      </c>
      <c r="Y1285" s="152" t="s">
        <v>1328</v>
      </c>
      <c r="Z1285" s="152" t="s">
        <v>1327</v>
      </c>
    </row>
    <row r="1286" spans="1:26" x14ac:dyDescent="0.2">
      <c r="A1286" s="152" t="s">
        <v>2439</v>
      </c>
      <c r="B1286" s="152">
        <v>3.85</v>
      </c>
      <c r="C1286" s="151">
        <v>47001</v>
      </c>
      <c r="D1286" s="152">
        <v>9.8712330000000001</v>
      </c>
      <c r="E1286" s="152" t="s">
        <v>1355</v>
      </c>
      <c r="F1286" s="152" t="s">
        <v>1326</v>
      </c>
      <c r="G1286" s="152"/>
      <c r="H1286" s="152" t="s">
        <v>500</v>
      </c>
      <c r="I1286" s="151" t="s">
        <v>1327</v>
      </c>
      <c r="J1286" s="152" t="s">
        <v>1327</v>
      </c>
      <c r="K1286" s="152" t="s">
        <v>1327</v>
      </c>
      <c r="L1286" s="152" t="s">
        <v>1327</v>
      </c>
      <c r="M1286" s="152" t="s">
        <v>1327</v>
      </c>
      <c r="N1286" s="152" t="s">
        <v>1327</v>
      </c>
      <c r="O1286" s="152">
        <v>4.0092720000000002</v>
      </c>
      <c r="P1286" s="152">
        <v>138.407319</v>
      </c>
      <c r="Q1286" s="152">
        <v>4.0092720000000002</v>
      </c>
      <c r="R1286" s="152" t="s">
        <v>1327</v>
      </c>
      <c r="S1286" s="152">
        <v>99.089861999999997</v>
      </c>
      <c r="T1286" s="152">
        <v>0.527397</v>
      </c>
      <c r="U1286" s="152">
        <v>5.8750460000000002</v>
      </c>
      <c r="V1286" s="152">
        <v>43.195211</v>
      </c>
      <c r="W1286" s="152">
        <v>1000</v>
      </c>
      <c r="X1286" s="152" t="s">
        <v>23</v>
      </c>
      <c r="Y1286" s="152" t="s">
        <v>1328</v>
      </c>
      <c r="Z1286" s="152" t="s">
        <v>1327</v>
      </c>
    </row>
    <row r="1287" spans="1:26" x14ac:dyDescent="0.2">
      <c r="A1287" s="152" t="s">
        <v>2440</v>
      </c>
      <c r="B1287" s="152">
        <v>4.22</v>
      </c>
      <c r="C1287" s="151">
        <v>49192</v>
      </c>
      <c r="D1287" s="152">
        <v>15.873972999999999</v>
      </c>
      <c r="E1287" s="152" t="s">
        <v>1355</v>
      </c>
      <c r="F1287" s="152" t="s">
        <v>1326</v>
      </c>
      <c r="G1287" s="152"/>
      <c r="H1287" s="152" t="s">
        <v>500</v>
      </c>
      <c r="I1287" s="152" t="s">
        <v>1327</v>
      </c>
      <c r="J1287" s="152" t="s">
        <v>1327</v>
      </c>
      <c r="K1287" s="152" t="s">
        <v>1327</v>
      </c>
      <c r="L1287" s="152" t="s">
        <v>1327</v>
      </c>
      <c r="M1287" s="152" t="s">
        <v>1327</v>
      </c>
      <c r="N1287" s="152" t="s">
        <v>1327</v>
      </c>
      <c r="O1287" s="152">
        <v>4.3798339999999998</v>
      </c>
      <c r="P1287" s="152">
        <v>138.179553</v>
      </c>
      <c r="Q1287" s="152">
        <v>4.3798339999999998</v>
      </c>
      <c r="R1287" s="152" t="s">
        <v>1327</v>
      </c>
      <c r="S1287" s="152">
        <v>98.688145000000006</v>
      </c>
      <c r="T1287" s="152">
        <v>0.57808199999999998</v>
      </c>
      <c r="U1287" s="152">
        <v>8.4260870000000008</v>
      </c>
      <c r="V1287" s="152">
        <v>91.408851999999996</v>
      </c>
      <c r="W1287" s="152">
        <v>1000</v>
      </c>
      <c r="X1287" s="152" t="s">
        <v>23</v>
      </c>
      <c r="Y1287" s="152" t="s">
        <v>1328</v>
      </c>
      <c r="Z1287" s="152" t="s">
        <v>1327</v>
      </c>
    </row>
    <row r="1288" spans="1:26" x14ac:dyDescent="0.2">
      <c r="A1288" s="152" t="s">
        <v>2441</v>
      </c>
      <c r="B1288" s="152">
        <v>4.2</v>
      </c>
      <c r="C1288" s="151">
        <v>43646</v>
      </c>
      <c r="D1288" s="152">
        <v>0.67945199999999994</v>
      </c>
      <c r="E1288" s="152" t="s">
        <v>1325</v>
      </c>
      <c r="F1288" s="152" t="s">
        <v>1326</v>
      </c>
      <c r="G1288" s="152" t="s">
        <v>498</v>
      </c>
      <c r="H1288" s="152"/>
      <c r="I1288" s="152" t="s">
        <v>1327</v>
      </c>
      <c r="J1288" s="152" t="s">
        <v>1327</v>
      </c>
      <c r="K1288" s="152" t="s">
        <v>1327</v>
      </c>
      <c r="L1288" s="152" t="s">
        <v>1327</v>
      </c>
      <c r="M1288" s="152" t="s">
        <v>1327</v>
      </c>
      <c r="N1288" s="152" t="s">
        <v>1327</v>
      </c>
      <c r="O1288" s="152">
        <v>4.5006729999999999</v>
      </c>
      <c r="P1288" s="152">
        <v>279.580716</v>
      </c>
      <c r="Q1288" s="152">
        <v>4.5006729999999999</v>
      </c>
      <c r="R1288" s="152" t="s">
        <v>1327</v>
      </c>
      <c r="S1288" s="152">
        <v>99.801210999999995</v>
      </c>
      <c r="T1288" s="152">
        <v>0.28767100000000001</v>
      </c>
      <c r="U1288" s="152">
        <v>0.66555799999999998</v>
      </c>
      <c r="V1288" s="152">
        <v>0.61061900000000002</v>
      </c>
      <c r="W1288" s="152">
        <v>1000</v>
      </c>
      <c r="X1288" s="152" t="s">
        <v>23</v>
      </c>
      <c r="Y1288" s="152" t="s">
        <v>1328</v>
      </c>
      <c r="Z1288" s="152" t="s">
        <v>1327</v>
      </c>
    </row>
    <row r="1289" spans="1:26" x14ac:dyDescent="0.2">
      <c r="A1289" s="152" t="s">
        <v>2442</v>
      </c>
      <c r="B1289" s="152">
        <v>4.3499999999999996</v>
      </c>
      <c r="C1289" s="151">
        <v>43955</v>
      </c>
      <c r="D1289" s="152">
        <v>1.526027</v>
      </c>
      <c r="E1289" s="152" t="s">
        <v>1325</v>
      </c>
      <c r="F1289" s="152" t="s">
        <v>1326</v>
      </c>
      <c r="G1289" s="152" t="s">
        <v>498</v>
      </c>
      <c r="H1289" s="152"/>
      <c r="I1289" s="152" t="s">
        <v>1327</v>
      </c>
      <c r="J1289" s="152" t="s">
        <v>1327</v>
      </c>
      <c r="K1289" s="152" t="s">
        <v>1327</v>
      </c>
      <c r="L1289" s="152" t="s">
        <v>1327</v>
      </c>
      <c r="M1289" s="152" t="s">
        <v>1327</v>
      </c>
      <c r="N1289" s="152" t="s">
        <v>1327</v>
      </c>
      <c r="O1289" s="152">
        <v>4.6399119999999998</v>
      </c>
      <c r="P1289" s="152">
        <v>279.1071</v>
      </c>
      <c r="Q1289" s="152">
        <v>4.6399119999999998</v>
      </c>
      <c r="R1289" s="152" t="s">
        <v>1327</v>
      </c>
      <c r="S1289" s="152">
        <v>99.575650999999993</v>
      </c>
      <c r="T1289" s="152">
        <v>-0.11917800000000001</v>
      </c>
      <c r="U1289" s="152">
        <v>1.4704710000000001</v>
      </c>
      <c r="V1289" s="152">
        <v>2.5600209999999999</v>
      </c>
      <c r="W1289" s="152">
        <v>1000</v>
      </c>
      <c r="X1289" s="152" t="s">
        <v>23</v>
      </c>
      <c r="Y1289" s="152" t="s">
        <v>1328</v>
      </c>
      <c r="Z1289" s="152" t="s">
        <v>1327</v>
      </c>
    </row>
    <row r="1290" spans="1:26" x14ac:dyDescent="0.2">
      <c r="A1290" s="152" t="s">
        <v>2443</v>
      </c>
      <c r="B1290" s="152">
        <v>4.3</v>
      </c>
      <c r="C1290" s="151">
        <v>44249</v>
      </c>
      <c r="D1290" s="152">
        <v>2.3315070000000002</v>
      </c>
      <c r="E1290" s="152" t="s">
        <v>1325</v>
      </c>
      <c r="F1290" s="152" t="s">
        <v>1326</v>
      </c>
      <c r="G1290" s="152" t="s">
        <v>498</v>
      </c>
      <c r="H1290" s="152"/>
      <c r="I1290" s="152" t="s">
        <v>1327</v>
      </c>
      <c r="J1290" s="152" t="s">
        <v>1327</v>
      </c>
      <c r="K1290" s="152" t="s">
        <v>1327</v>
      </c>
      <c r="L1290" s="152" t="s">
        <v>1327</v>
      </c>
      <c r="M1290" s="152" t="s">
        <v>1327</v>
      </c>
      <c r="N1290" s="152" t="s">
        <v>1327</v>
      </c>
      <c r="O1290" s="152">
        <v>4.7346279999999998</v>
      </c>
      <c r="P1290" s="152">
        <v>275.74300099999999</v>
      </c>
      <c r="Q1290" s="152">
        <v>4.7346279999999998</v>
      </c>
      <c r="R1290" s="152" t="s">
        <v>1327</v>
      </c>
      <c r="S1290" s="152">
        <v>99.037593999999999</v>
      </c>
      <c r="T1290" s="152">
        <v>0.753973</v>
      </c>
      <c r="U1290" s="152">
        <v>2.1838009999999999</v>
      </c>
      <c r="V1290" s="152">
        <v>5.4778359999999999</v>
      </c>
      <c r="W1290" s="152">
        <v>1000</v>
      </c>
      <c r="X1290" s="152" t="s">
        <v>23</v>
      </c>
      <c r="Y1290" s="152" t="s">
        <v>1328</v>
      </c>
      <c r="Z1290" s="152" t="s">
        <v>1327</v>
      </c>
    </row>
    <row r="1291" spans="1:26" x14ac:dyDescent="0.2">
      <c r="A1291" s="152" t="s">
        <v>2444</v>
      </c>
      <c r="B1291" s="152">
        <v>5.55</v>
      </c>
      <c r="C1291" s="151">
        <v>43760</v>
      </c>
      <c r="D1291" s="152">
        <v>0.99178100000000002</v>
      </c>
      <c r="E1291" s="152" t="s">
        <v>1325</v>
      </c>
      <c r="F1291" s="152" t="s">
        <v>1326</v>
      </c>
      <c r="G1291" s="152" t="s">
        <v>498</v>
      </c>
      <c r="H1291" s="152"/>
      <c r="I1291" s="151" t="s">
        <v>1327</v>
      </c>
      <c r="J1291" s="152" t="s">
        <v>1327</v>
      </c>
      <c r="K1291" s="152" t="s">
        <v>1327</v>
      </c>
      <c r="L1291" s="152" t="s">
        <v>1327</v>
      </c>
      <c r="M1291" s="152" t="s">
        <v>1327</v>
      </c>
      <c r="N1291" s="152" t="s">
        <v>1327</v>
      </c>
      <c r="O1291" s="152">
        <v>5.5576270000000001</v>
      </c>
      <c r="P1291" s="152">
        <v>387.47321799999997</v>
      </c>
      <c r="Q1291" s="152">
        <v>5.5576270000000001</v>
      </c>
      <c r="R1291" s="152" t="s">
        <v>1327</v>
      </c>
      <c r="S1291" s="152">
        <v>99.981042000000002</v>
      </c>
      <c r="T1291" s="152">
        <v>4.5615999999999997E-2</v>
      </c>
      <c r="U1291" s="152">
        <v>0.96015300000000003</v>
      </c>
      <c r="V1291" s="152">
        <v>1.1698219999999999</v>
      </c>
      <c r="W1291" s="152">
        <v>1000</v>
      </c>
      <c r="X1291" s="152" t="s">
        <v>23</v>
      </c>
      <c r="Y1291" s="152" t="s">
        <v>1328</v>
      </c>
      <c r="Z1291" s="152" t="s">
        <v>1327</v>
      </c>
    </row>
    <row r="1292" spans="1:26" x14ac:dyDescent="0.2">
      <c r="A1292" s="152" t="s">
        <v>2445</v>
      </c>
      <c r="B1292" s="152">
        <v>4.5</v>
      </c>
      <c r="C1292" s="151">
        <v>44036</v>
      </c>
      <c r="D1292" s="152">
        <v>1.7479450000000001</v>
      </c>
      <c r="E1292" s="152" t="s">
        <v>1325</v>
      </c>
      <c r="F1292" s="152" t="s">
        <v>1326</v>
      </c>
      <c r="G1292" s="152"/>
      <c r="H1292" s="152"/>
      <c r="I1292" s="152" t="s">
        <v>1327</v>
      </c>
      <c r="J1292" s="152" t="s">
        <v>1327</v>
      </c>
      <c r="K1292" s="152" t="s">
        <v>1327</v>
      </c>
      <c r="L1292" s="152" t="s">
        <v>1327</v>
      </c>
      <c r="M1292" s="152" t="s">
        <v>1327</v>
      </c>
      <c r="N1292" s="152" t="s">
        <v>1327</v>
      </c>
      <c r="O1292" s="152">
        <v>4.7898769999999997</v>
      </c>
      <c r="P1292" s="152">
        <v>289.396997</v>
      </c>
      <c r="Q1292" s="152">
        <v>4.7898769999999997</v>
      </c>
      <c r="R1292" s="152" t="s">
        <v>1327</v>
      </c>
      <c r="S1292" s="152">
        <v>99.506988000000007</v>
      </c>
      <c r="T1292" s="152">
        <v>0.76438399999999995</v>
      </c>
      <c r="U1292" s="152">
        <v>1.659297</v>
      </c>
      <c r="V1292" s="152">
        <v>3.2404410000000001</v>
      </c>
      <c r="W1292" s="152">
        <v>1000</v>
      </c>
      <c r="X1292" s="152" t="s">
        <v>23</v>
      </c>
      <c r="Y1292" s="152" t="s">
        <v>1328</v>
      </c>
      <c r="Z1292" s="152" t="s">
        <v>1327</v>
      </c>
    </row>
    <row r="1293" spans="1:26" x14ac:dyDescent="0.2">
      <c r="A1293" s="152" t="s">
        <v>2446</v>
      </c>
      <c r="B1293" s="152">
        <v>5.2</v>
      </c>
      <c r="C1293" s="151">
        <v>44036</v>
      </c>
      <c r="D1293" s="152">
        <v>1.7479450000000001</v>
      </c>
      <c r="E1293" s="152" t="s">
        <v>1325</v>
      </c>
      <c r="F1293" s="152" t="s">
        <v>1326</v>
      </c>
      <c r="G1293" s="152"/>
      <c r="H1293" s="152"/>
      <c r="I1293" s="151" t="s">
        <v>1327</v>
      </c>
      <c r="J1293" s="152" t="s">
        <v>1327</v>
      </c>
      <c r="K1293" s="152" t="s">
        <v>1327</v>
      </c>
      <c r="L1293" s="152" t="s">
        <v>1327</v>
      </c>
      <c r="M1293" s="152" t="s">
        <v>1327</v>
      </c>
      <c r="N1293" s="152" t="s">
        <v>1327</v>
      </c>
      <c r="O1293" s="152">
        <v>5.4990509999999997</v>
      </c>
      <c r="P1293" s="152">
        <v>362.31110699999999</v>
      </c>
      <c r="Q1293" s="152">
        <v>5.4990509999999997</v>
      </c>
      <c r="R1293" s="152" t="s">
        <v>1327</v>
      </c>
      <c r="S1293" s="152">
        <v>99.505691999999996</v>
      </c>
      <c r="T1293" s="152">
        <v>-2.8493000000000001E-2</v>
      </c>
      <c r="U1293" s="152">
        <v>1.6582939999999999</v>
      </c>
      <c r="V1293" s="152">
        <v>3.2237939999999998</v>
      </c>
      <c r="W1293" s="152">
        <v>1000</v>
      </c>
      <c r="X1293" s="152" t="s">
        <v>23</v>
      </c>
      <c r="Y1293" s="152" t="s">
        <v>1328</v>
      </c>
      <c r="Z1293" s="152" t="s">
        <v>1327</v>
      </c>
    </row>
    <row r="1294" spans="1:26" x14ac:dyDescent="0.2">
      <c r="A1294" s="152" t="s">
        <v>2447</v>
      </c>
      <c r="B1294" s="152">
        <v>5.75</v>
      </c>
      <c r="C1294" s="151">
        <v>44083</v>
      </c>
      <c r="D1294" s="152">
        <v>1.8767119999999999</v>
      </c>
      <c r="E1294" s="152" t="s">
        <v>1325</v>
      </c>
      <c r="F1294" s="152" t="s">
        <v>1326</v>
      </c>
      <c r="G1294" s="152" t="s">
        <v>498</v>
      </c>
      <c r="H1294" s="152"/>
      <c r="I1294" s="152" t="s">
        <v>1327</v>
      </c>
      <c r="J1294" s="152" t="s">
        <v>1327</v>
      </c>
      <c r="K1294" s="152" t="s">
        <v>1327</v>
      </c>
      <c r="L1294" s="152" t="s">
        <v>1327</v>
      </c>
      <c r="M1294" s="152" t="s">
        <v>1327</v>
      </c>
      <c r="N1294" s="152" t="s">
        <v>1327</v>
      </c>
      <c r="O1294" s="152">
        <v>6.2313960000000002</v>
      </c>
      <c r="P1294" s="152">
        <v>436.06701600000002</v>
      </c>
      <c r="Q1294" s="152">
        <v>6.2313960000000002</v>
      </c>
      <c r="R1294" s="152" t="s">
        <v>1327</v>
      </c>
      <c r="S1294" s="152">
        <v>99.156200999999996</v>
      </c>
      <c r="T1294" s="152">
        <v>0.72465800000000002</v>
      </c>
      <c r="U1294" s="152">
        <v>1.749069</v>
      </c>
      <c r="V1294" s="152">
        <v>3.5992899999999999</v>
      </c>
      <c r="W1294" s="152">
        <v>1000</v>
      </c>
      <c r="X1294" s="152" t="s">
        <v>23</v>
      </c>
      <c r="Y1294" s="152" t="s">
        <v>1328</v>
      </c>
      <c r="Z1294" s="152" t="s">
        <v>1327</v>
      </c>
    </row>
    <row r="1295" spans="1:26" x14ac:dyDescent="0.2">
      <c r="A1295" s="152" t="s">
        <v>2448</v>
      </c>
      <c r="B1295" s="152">
        <v>4.8</v>
      </c>
      <c r="C1295" s="151">
        <v>44413</v>
      </c>
      <c r="D1295" s="152">
        <v>2.7808220000000001</v>
      </c>
      <c r="E1295" s="152" t="s">
        <v>1325</v>
      </c>
      <c r="F1295" s="152" t="s">
        <v>1326</v>
      </c>
      <c r="G1295" s="152" t="s">
        <v>498</v>
      </c>
      <c r="H1295" s="152"/>
      <c r="I1295" s="151" t="s">
        <v>1327</v>
      </c>
      <c r="J1295" s="152" t="s">
        <v>1327</v>
      </c>
      <c r="K1295" s="152" t="s">
        <v>1327</v>
      </c>
      <c r="L1295" s="152" t="s">
        <v>1327</v>
      </c>
      <c r="M1295" s="152" t="s">
        <v>1327</v>
      </c>
      <c r="N1295" s="152" t="s">
        <v>1327</v>
      </c>
      <c r="O1295" s="152">
        <v>5.2652289999999997</v>
      </c>
      <c r="P1295" s="152">
        <v>327.85847999999999</v>
      </c>
      <c r="Q1295" s="152">
        <v>5.2652289999999997</v>
      </c>
      <c r="R1295" s="152" t="s">
        <v>1327</v>
      </c>
      <c r="S1295" s="152">
        <v>98.805160000000001</v>
      </c>
      <c r="T1295" s="152">
        <v>-0.14465800000000001</v>
      </c>
      <c r="U1295" s="152">
        <v>2.587529</v>
      </c>
      <c r="V1295" s="152">
        <v>7.5825959999999997</v>
      </c>
      <c r="W1295" s="152">
        <v>1000</v>
      </c>
      <c r="X1295" s="152" t="s">
        <v>23</v>
      </c>
      <c r="Y1295" s="152" t="s">
        <v>1328</v>
      </c>
      <c r="Z1295" s="152" t="s">
        <v>1327</v>
      </c>
    </row>
    <row r="1296" spans="1:26" x14ac:dyDescent="0.2">
      <c r="A1296" s="152" t="s">
        <v>2449</v>
      </c>
      <c r="B1296" s="152">
        <v>5.15</v>
      </c>
      <c r="C1296" s="151">
        <v>44766</v>
      </c>
      <c r="D1296" s="152">
        <v>3.7479450000000001</v>
      </c>
      <c r="E1296" s="152" t="s">
        <v>1325</v>
      </c>
      <c r="F1296" s="152" t="s">
        <v>1326</v>
      </c>
      <c r="G1296" s="152"/>
      <c r="H1296" s="152"/>
      <c r="I1296" s="152">
        <v>42942</v>
      </c>
      <c r="J1296" s="152">
        <v>5.05</v>
      </c>
      <c r="K1296" s="152" t="s">
        <v>1327</v>
      </c>
      <c r="L1296" s="152" t="s">
        <v>1327</v>
      </c>
      <c r="M1296" s="152" t="s">
        <v>1327</v>
      </c>
      <c r="N1296" s="152" t="s">
        <v>1327</v>
      </c>
      <c r="O1296" s="152">
        <v>5.3841520000000003</v>
      </c>
      <c r="P1296" s="152">
        <v>317.69125000000003</v>
      </c>
      <c r="Q1296" s="152">
        <v>5.3841520000000003</v>
      </c>
      <c r="R1296" s="152" t="s">
        <v>1327</v>
      </c>
      <c r="S1296" s="152">
        <v>99.198894999999993</v>
      </c>
      <c r="T1296" s="152">
        <v>0.87479499999999999</v>
      </c>
      <c r="U1296" s="152">
        <v>3.3572000000000002</v>
      </c>
      <c r="V1296" s="152">
        <v>12.849048</v>
      </c>
      <c r="W1296" s="152">
        <v>1000</v>
      </c>
      <c r="X1296" s="152" t="s">
        <v>23</v>
      </c>
      <c r="Y1296" s="152" t="s">
        <v>1328</v>
      </c>
      <c r="Z1296" s="152" t="s">
        <v>1327</v>
      </c>
    </row>
    <row r="1297" spans="1:26" x14ac:dyDescent="0.2">
      <c r="A1297" s="152" t="s">
        <v>2450</v>
      </c>
      <c r="B1297" s="152">
        <v>5.5</v>
      </c>
      <c r="C1297" s="151">
        <v>44766</v>
      </c>
      <c r="D1297" s="152">
        <v>3.7479450000000001</v>
      </c>
      <c r="E1297" s="152" t="s">
        <v>1325</v>
      </c>
      <c r="F1297" s="152" t="s">
        <v>1326</v>
      </c>
      <c r="G1297" s="152"/>
      <c r="H1297" s="152"/>
      <c r="I1297" s="152" t="s">
        <v>1327</v>
      </c>
      <c r="J1297" s="152" t="s">
        <v>1327</v>
      </c>
      <c r="K1297" s="152" t="s">
        <v>1327</v>
      </c>
      <c r="L1297" s="152" t="s">
        <v>1327</v>
      </c>
      <c r="M1297" s="152" t="s">
        <v>1327</v>
      </c>
      <c r="N1297" s="152" t="s">
        <v>1327</v>
      </c>
      <c r="O1297" s="152">
        <v>5.7103029999999997</v>
      </c>
      <c r="P1297" s="152">
        <v>351.41477099999997</v>
      </c>
      <c r="Q1297" s="152">
        <v>5.7103029999999997</v>
      </c>
      <c r="R1297" s="152" t="s">
        <v>1327</v>
      </c>
      <c r="S1297" s="152">
        <v>99.295655999999994</v>
      </c>
      <c r="T1297" s="152">
        <v>-3.0137000000000001E-2</v>
      </c>
      <c r="U1297" s="152">
        <v>3.3627090000000002</v>
      </c>
      <c r="V1297" s="152">
        <v>12.82705</v>
      </c>
      <c r="W1297" s="152">
        <v>1000</v>
      </c>
      <c r="X1297" s="152" t="s">
        <v>23</v>
      </c>
      <c r="Y1297" s="152" t="s">
        <v>1328</v>
      </c>
      <c r="Z1297" s="152" t="s">
        <v>1327</v>
      </c>
    </row>
    <row r="1298" spans="1:26" x14ac:dyDescent="0.2">
      <c r="A1298" s="152" t="s">
        <v>2451</v>
      </c>
      <c r="B1298" s="152">
        <v>2.4500000000000002</v>
      </c>
      <c r="C1298" s="151">
        <v>43457</v>
      </c>
      <c r="D1298" s="152">
        <v>0.16164400000000001</v>
      </c>
      <c r="E1298" s="152" t="s">
        <v>1325</v>
      </c>
      <c r="F1298" s="152" t="s">
        <v>1326</v>
      </c>
      <c r="G1298" s="152" t="s">
        <v>47</v>
      </c>
      <c r="H1298" s="152"/>
      <c r="I1298" s="152">
        <v>43362</v>
      </c>
      <c r="J1298" s="152">
        <v>1.6</v>
      </c>
      <c r="K1298" s="152" t="s">
        <v>1327</v>
      </c>
      <c r="L1298" s="152" t="s">
        <v>1327</v>
      </c>
      <c r="M1298" s="152" t="s">
        <v>1327</v>
      </c>
      <c r="N1298" s="152" t="s">
        <v>1327</v>
      </c>
      <c r="O1298" s="152">
        <v>1.723652</v>
      </c>
      <c r="P1298" s="152">
        <v>32.573498000000001</v>
      </c>
      <c r="Q1298" s="152">
        <v>1.723652</v>
      </c>
      <c r="R1298" s="152" t="s">
        <v>1327</v>
      </c>
      <c r="S1298" s="152">
        <v>100.112238</v>
      </c>
      <c r="T1298" s="152">
        <v>0.83232899999999999</v>
      </c>
      <c r="U1298" s="152">
        <v>0.16026299999999999</v>
      </c>
      <c r="V1298" s="152">
        <v>0.105131</v>
      </c>
      <c r="W1298" s="152">
        <v>1000</v>
      </c>
      <c r="X1298" s="152" t="s">
        <v>23</v>
      </c>
      <c r="Y1298" s="152" t="s">
        <v>1328</v>
      </c>
      <c r="Z1298" s="152" t="s">
        <v>1327</v>
      </c>
    </row>
    <row r="1299" spans="1:26" x14ac:dyDescent="0.2">
      <c r="A1299" s="152" t="s">
        <v>2452</v>
      </c>
      <c r="B1299" s="152">
        <v>3.86</v>
      </c>
      <c r="C1299" s="151">
        <v>43402</v>
      </c>
      <c r="D1299" s="152">
        <v>1.0959E-2</v>
      </c>
      <c r="E1299" s="152" t="s">
        <v>1325</v>
      </c>
      <c r="F1299" s="152" t="s">
        <v>1326</v>
      </c>
      <c r="G1299" s="152" t="s">
        <v>47</v>
      </c>
      <c r="H1299" s="152"/>
      <c r="I1299" s="152">
        <v>43364</v>
      </c>
      <c r="J1299" s="152">
        <v>1.49</v>
      </c>
      <c r="K1299" s="152" t="s">
        <v>1327</v>
      </c>
      <c r="L1299" s="152" t="s">
        <v>1327</v>
      </c>
      <c r="M1299" s="152" t="s">
        <v>1327</v>
      </c>
      <c r="N1299" s="152" t="s">
        <v>1327</v>
      </c>
      <c r="O1299" s="152">
        <v>1.4455750000000001</v>
      </c>
      <c r="P1299" s="152">
        <v>31.798086000000001</v>
      </c>
      <c r="Q1299" s="152">
        <v>1.4455750000000001</v>
      </c>
      <c r="R1299" s="152" t="s">
        <v>1327</v>
      </c>
      <c r="S1299" s="152">
        <v>100.020926</v>
      </c>
      <c r="T1299" s="152">
        <v>1.8929860000000001</v>
      </c>
      <c r="U1299" s="152">
        <v>1.0880000000000001E-2</v>
      </c>
      <c r="V1299" s="152">
        <v>5.5189999999999996E-3</v>
      </c>
      <c r="W1299" s="152">
        <v>1000</v>
      </c>
      <c r="X1299" s="152" t="s">
        <v>23</v>
      </c>
      <c r="Y1299" s="152" t="s">
        <v>1328</v>
      </c>
      <c r="Z1299" s="152" t="s">
        <v>1327</v>
      </c>
    </row>
    <row r="1300" spans="1:26" x14ac:dyDescent="0.2">
      <c r="A1300" s="152" t="s">
        <v>2453</v>
      </c>
      <c r="B1300" s="152">
        <v>1.65</v>
      </c>
      <c r="C1300" s="151">
        <v>43495</v>
      </c>
      <c r="D1300" s="152">
        <v>0.26575300000000002</v>
      </c>
      <c r="E1300" s="152" t="s">
        <v>1325</v>
      </c>
      <c r="F1300" s="152" t="s">
        <v>1326</v>
      </c>
      <c r="G1300" s="152" t="s">
        <v>47</v>
      </c>
      <c r="H1300" s="152"/>
      <c r="I1300" s="151">
        <v>43397</v>
      </c>
      <c r="J1300" s="152">
        <v>1.83</v>
      </c>
      <c r="K1300" s="152" t="s">
        <v>1327</v>
      </c>
      <c r="L1300" s="152" t="s">
        <v>1327</v>
      </c>
      <c r="M1300" s="152" t="s">
        <v>1327</v>
      </c>
      <c r="N1300" s="152" t="s">
        <v>1327</v>
      </c>
      <c r="O1300" s="152">
        <v>1.83</v>
      </c>
      <c r="P1300" s="152">
        <v>27.424799</v>
      </c>
      <c r="Q1300" s="152">
        <v>1.83</v>
      </c>
      <c r="R1300" s="152" t="s">
        <v>1327</v>
      </c>
      <c r="S1300" s="152">
        <v>99.944779999999994</v>
      </c>
      <c r="T1300" s="152">
        <v>0.39328800000000003</v>
      </c>
      <c r="U1300" s="152">
        <v>0.26334400000000002</v>
      </c>
      <c r="V1300" s="152">
        <v>0.19982800000000001</v>
      </c>
      <c r="W1300" s="152">
        <v>1000</v>
      </c>
      <c r="X1300" s="152" t="s">
        <v>23</v>
      </c>
      <c r="Y1300" s="152" t="s">
        <v>1328</v>
      </c>
      <c r="Z1300" s="152" t="s">
        <v>1327</v>
      </c>
    </row>
    <row r="1301" spans="1:26" x14ac:dyDescent="0.2">
      <c r="A1301" s="152" t="s">
        <v>551</v>
      </c>
      <c r="B1301" s="152">
        <v>2.2000000000000002</v>
      </c>
      <c r="C1301" s="151">
        <v>43610</v>
      </c>
      <c r="D1301" s="152">
        <v>0.58082199999999995</v>
      </c>
      <c r="E1301" s="152" t="s">
        <v>1325</v>
      </c>
      <c r="F1301" s="152" t="s">
        <v>1326</v>
      </c>
      <c r="G1301" s="152" t="s">
        <v>47</v>
      </c>
      <c r="H1301" s="152"/>
      <c r="I1301" s="152">
        <v>43397</v>
      </c>
      <c r="J1301" s="152">
        <v>2.0499999999999998</v>
      </c>
      <c r="K1301" s="152" t="s">
        <v>1327</v>
      </c>
      <c r="L1301" s="152" t="s">
        <v>1327</v>
      </c>
      <c r="M1301" s="152" t="s">
        <v>1327</v>
      </c>
      <c r="N1301" s="152" t="s">
        <v>1327</v>
      </c>
      <c r="O1301" s="152">
        <v>2.0499999999999998</v>
      </c>
      <c r="P1301" s="152">
        <v>30.25994</v>
      </c>
      <c r="Q1301" s="152">
        <v>2.0499999999999998</v>
      </c>
      <c r="R1301" s="152" t="s">
        <v>1327</v>
      </c>
      <c r="S1301" s="152">
        <v>100.07694100000001</v>
      </c>
      <c r="T1301" s="152">
        <v>0.92219200000000001</v>
      </c>
      <c r="U1301" s="152">
        <v>0.57361600000000001</v>
      </c>
      <c r="V1301" s="152">
        <v>0.61556699999999998</v>
      </c>
      <c r="W1301" s="152">
        <v>1000</v>
      </c>
      <c r="X1301" s="152" t="s">
        <v>23</v>
      </c>
      <c r="Y1301" s="152" t="s">
        <v>1328</v>
      </c>
      <c r="Z1301" s="152" t="s">
        <v>1327</v>
      </c>
    </row>
    <row r="1302" spans="1:26" x14ac:dyDescent="0.2">
      <c r="A1302" s="152" t="s">
        <v>808</v>
      </c>
      <c r="B1302" s="152">
        <v>2.0699999999999998</v>
      </c>
      <c r="C1302" s="151">
        <v>43672</v>
      </c>
      <c r="D1302" s="152">
        <v>0.75068500000000005</v>
      </c>
      <c r="E1302" s="152" t="s">
        <v>1325</v>
      </c>
      <c r="F1302" s="152" t="s">
        <v>1326</v>
      </c>
      <c r="G1302" s="152" t="s">
        <v>47</v>
      </c>
      <c r="H1302" s="152"/>
      <c r="I1302" s="152">
        <v>43315</v>
      </c>
      <c r="J1302" s="152">
        <v>1.8075000000000001</v>
      </c>
      <c r="K1302" s="152" t="s">
        <v>1327</v>
      </c>
      <c r="L1302" s="152" t="s">
        <v>1327</v>
      </c>
      <c r="M1302" s="152" t="s">
        <v>1327</v>
      </c>
      <c r="N1302" s="152" t="s">
        <v>1327</v>
      </c>
      <c r="O1302" s="152">
        <v>2.0815630000000001</v>
      </c>
      <c r="P1302" s="152">
        <v>30.499794000000001</v>
      </c>
      <c r="Q1302" s="152">
        <v>2.0815630000000001</v>
      </c>
      <c r="R1302" s="152" t="s">
        <v>1327</v>
      </c>
      <c r="S1302" s="152">
        <v>99.981538999999998</v>
      </c>
      <c r="T1302" s="152">
        <v>0.51608200000000004</v>
      </c>
      <c r="U1302" s="152">
        <v>0.74195</v>
      </c>
      <c r="V1302" s="152">
        <v>0.92012700000000003</v>
      </c>
      <c r="W1302" s="152">
        <v>1000</v>
      </c>
      <c r="X1302" s="152" t="s">
        <v>23</v>
      </c>
      <c r="Y1302" s="152" t="s">
        <v>1328</v>
      </c>
      <c r="Z1302" s="152" t="s">
        <v>1327</v>
      </c>
    </row>
    <row r="1303" spans="1:26" x14ac:dyDescent="0.2">
      <c r="A1303" s="152" t="s">
        <v>2454</v>
      </c>
      <c r="B1303" s="152">
        <v>3.75</v>
      </c>
      <c r="C1303" s="151">
        <v>43825</v>
      </c>
      <c r="D1303" s="152">
        <v>1.1698630000000001</v>
      </c>
      <c r="E1303" s="152" t="s">
        <v>1325</v>
      </c>
      <c r="F1303" s="152" t="s">
        <v>1326</v>
      </c>
      <c r="G1303" s="152" t="s">
        <v>47</v>
      </c>
      <c r="H1303" s="152"/>
      <c r="I1303" s="152">
        <v>42381</v>
      </c>
      <c r="J1303" s="152">
        <v>2.8</v>
      </c>
      <c r="K1303" s="152" t="s">
        <v>1327</v>
      </c>
      <c r="L1303" s="152" t="s">
        <v>1327</v>
      </c>
      <c r="M1303" s="152" t="s">
        <v>1327</v>
      </c>
      <c r="N1303" s="152" t="s">
        <v>1327</v>
      </c>
      <c r="O1303" s="152">
        <v>2.2433350000000001</v>
      </c>
      <c r="P1303" s="152">
        <v>41.489631000000003</v>
      </c>
      <c r="Q1303" s="152">
        <v>2.2433350000000001</v>
      </c>
      <c r="R1303" s="152" t="s">
        <v>1327</v>
      </c>
      <c r="S1303" s="152">
        <v>101.722621</v>
      </c>
      <c r="T1303" s="152">
        <v>1.2431509999999999</v>
      </c>
      <c r="U1303" s="152">
        <v>1.1300760000000001</v>
      </c>
      <c r="V1303" s="152">
        <v>1.857251</v>
      </c>
      <c r="W1303" s="152">
        <v>1000</v>
      </c>
      <c r="X1303" s="152" t="s">
        <v>23</v>
      </c>
      <c r="Y1303" s="152" t="s">
        <v>1328</v>
      </c>
      <c r="Z1303" s="152" t="s">
        <v>1327</v>
      </c>
    </row>
    <row r="1304" spans="1:26" x14ac:dyDescent="0.2">
      <c r="A1304" s="152" t="s">
        <v>504</v>
      </c>
      <c r="B1304" s="152">
        <v>1.98</v>
      </c>
      <c r="C1304" s="151">
        <v>43813</v>
      </c>
      <c r="D1304" s="152">
        <v>1.1369860000000001</v>
      </c>
      <c r="E1304" s="152" t="s">
        <v>1325</v>
      </c>
      <c r="F1304" s="152" t="s">
        <v>1326</v>
      </c>
      <c r="G1304" s="152" t="s">
        <v>47</v>
      </c>
      <c r="H1304" s="152"/>
      <c r="I1304" s="152">
        <v>43336</v>
      </c>
      <c r="J1304" s="152">
        <v>2.0225</v>
      </c>
      <c r="K1304" s="152" t="s">
        <v>1327</v>
      </c>
      <c r="L1304" s="152" t="s">
        <v>1327</v>
      </c>
      <c r="M1304" s="152" t="s">
        <v>1327</v>
      </c>
      <c r="N1304" s="152" t="s">
        <v>1327</v>
      </c>
      <c r="O1304" s="152">
        <v>2.2126990000000002</v>
      </c>
      <c r="P1304" s="152">
        <v>38.993077999999997</v>
      </c>
      <c r="Q1304" s="152">
        <v>2.2126990000000002</v>
      </c>
      <c r="R1304" s="152" t="s">
        <v>1327</v>
      </c>
      <c r="S1304" s="152">
        <v>99.736345999999998</v>
      </c>
      <c r="T1304" s="152">
        <v>0.72147899999999998</v>
      </c>
      <c r="U1304" s="152">
        <v>1.1100220000000001</v>
      </c>
      <c r="V1304" s="152">
        <v>1.792862</v>
      </c>
      <c r="W1304" s="152">
        <v>1000</v>
      </c>
      <c r="X1304" s="152" t="s">
        <v>23</v>
      </c>
      <c r="Y1304" s="152" t="s">
        <v>1328</v>
      </c>
      <c r="Z1304" s="152" t="s">
        <v>1327</v>
      </c>
    </row>
    <row r="1305" spans="1:26" x14ac:dyDescent="0.2">
      <c r="A1305" s="152" t="s">
        <v>2455</v>
      </c>
      <c r="B1305" s="152">
        <v>2.94</v>
      </c>
      <c r="C1305" s="151">
        <v>43767</v>
      </c>
      <c r="D1305" s="152">
        <v>1.0109589999999999</v>
      </c>
      <c r="E1305" s="152" t="s">
        <v>1325</v>
      </c>
      <c r="F1305" s="152" t="s">
        <v>1326</v>
      </c>
      <c r="G1305" s="152" t="s">
        <v>47</v>
      </c>
      <c r="H1305" s="152"/>
      <c r="I1305" s="152">
        <v>43313</v>
      </c>
      <c r="J1305" s="152">
        <v>1.86</v>
      </c>
      <c r="K1305" s="152" t="s">
        <v>1327</v>
      </c>
      <c r="L1305" s="152" t="s">
        <v>1327</v>
      </c>
      <c r="M1305" s="152" t="s">
        <v>1327</v>
      </c>
      <c r="N1305" s="152" t="s">
        <v>1327</v>
      </c>
      <c r="O1305" s="152">
        <v>2.1556440000000001</v>
      </c>
      <c r="P1305" s="152">
        <v>35.193292999999997</v>
      </c>
      <c r="Q1305" s="152">
        <v>2.1556440000000001</v>
      </c>
      <c r="R1305" s="152" t="s">
        <v>1327</v>
      </c>
      <c r="S1305" s="152">
        <v>100.78039800000001</v>
      </c>
      <c r="T1305" s="152">
        <v>-3.2218999999999998E-2</v>
      </c>
      <c r="U1305" s="152">
        <v>0.99304000000000003</v>
      </c>
      <c r="V1305" s="152">
        <v>1.480834</v>
      </c>
      <c r="W1305" s="152">
        <v>1000</v>
      </c>
      <c r="X1305" s="152" t="s">
        <v>23</v>
      </c>
      <c r="Y1305" s="152" t="s">
        <v>1328</v>
      </c>
      <c r="Z1305" s="152" t="s">
        <v>1327</v>
      </c>
    </row>
    <row r="1306" spans="1:26" x14ac:dyDescent="0.2">
      <c r="A1306" s="152" t="s">
        <v>2456</v>
      </c>
      <c r="B1306" s="152">
        <v>2.54</v>
      </c>
      <c r="C1306" s="151">
        <v>43980</v>
      </c>
      <c r="D1306" s="152">
        <v>1.5945210000000001</v>
      </c>
      <c r="E1306" s="152" t="s">
        <v>1325</v>
      </c>
      <c r="F1306" s="152" t="s">
        <v>1326</v>
      </c>
      <c r="G1306" s="152" t="s">
        <v>47</v>
      </c>
      <c r="H1306" s="152"/>
      <c r="I1306" s="151">
        <v>43384</v>
      </c>
      <c r="J1306" s="152">
        <v>2.4300000000000002</v>
      </c>
      <c r="K1306" s="152" t="s">
        <v>1327</v>
      </c>
      <c r="L1306" s="152" t="s">
        <v>1327</v>
      </c>
      <c r="M1306" s="152" t="s">
        <v>1327</v>
      </c>
      <c r="N1306" s="152" t="s">
        <v>1327</v>
      </c>
      <c r="O1306" s="152">
        <v>2.4589949999999998</v>
      </c>
      <c r="P1306" s="152">
        <v>52.218854999999998</v>
      </c>
      <c r="Q1306" s="152">
        <v>2.4589949999999998</v>
      </c>
      <c r="R1306" s="152" t="s">
        <v>1327</v>
      </c>
      <c r="S1306" s="152">
        <v>100.11436999999999</v>
      </c>
      <c r="T1306" s="152">
        <v>1.036877</v>
      </c>
      <c r="U1306" s="152">
        <v>1.539685</v>
      </c>
      <c r="V1306" s="152">
        <v>3.1723270000000001</v>
      </c>
      <c r="W1306" s="152">
        <v>1000</v>
      </c>
      <c r="X1306" s="152" t="s">
        <v>23</v>
      </c>
      <c r="Y1306" s="152" t="s">
        <v>1328</v>
      </c>
      <c r="Z1306" s="152" t="s">
        <v>1327</v>
      </c>
    </row>
    <row r="1307" spans="1:26" x14ac:dyDescent="0.2">
      <c r="A1307" s="152" t="s">
        <v>2457</v>
      </c>
      <c r="B1307" s="152">
        <v>3.42</v>
      </c>
      <c r="C1307" s="151">
        <v>44183</v>
      </c>
      <c r="D1307" s="152">
        <v>2.1506850000000002</v>
      </c>
      <c r="E1307" s="152" t="s">
        <v>1325</v>
      </c>
      <c r="F1307" s="152" t="s">
        <v>1326</v>
      </c>
      <c r="G1307" s="152" t="s">
        <v>47</v>
      </c>
      <c r="H1307" s="152"/>
      <c r="I1307" s="152">
        <v>42550</v>
      </c>
      <c r="J1307" s="152">
        <v>2.855</v>
      </c>
      <c r="K1307" s="152" t="s">
        <v>1327</v>
      </c>
      <c r="L1307" s="152" t="s">
        <v>1327</v>
      </c>
      <c r="M1307" s="152" t="s">
        <v>1327</v>
      </c>
      <c r="N1307" s="152" t="s">
        <v>1327</v>
      </c>
      <c r="O1307" s="152">
        <v>2.5619619999999999</v>
      </c>
      <c r="P1307" s="152">
        <v>53.507415000000002</v>
      </c>
      <c r="Q1307" s="152">
        <v>2.5619619999999999</v>
      </c>
      <c r="R1307" s="152" t="s">
        <v>1327</v>
      </c>
      <c r="S1307" s="152">
        <v>101.775192</v>
      </c>
      <c r="T1307" s="152">
        <v>1.208712</v>
      </c>
      <c r="U1307" s="152">
        <v>2.0401400000000001</v>
      </c>
      <c r="V1307" s="152">
        <v>5.2827710000000003</v>
      </c>
      <c r="W1307" s="152">
        <v>1000</v>
      </c>
      <c r="X1307" s="152" t="s">
        <v>23</v>
      </c>
      <c r="Y1307" s="152" t="s">
        <v>1328</v>
      </c>
      <c r="Z1307" s="152" t="s">
        <v>1327</v>
      </c>
    </row>
    <row r="1308" spans="1:26" x14ac:dyDescent="0.2">
      <c r="A1308" s="152" t="s">
        <v>2458</v>
      </c>
      <c r="B1308" s="152">
        <v>2.74</v>
      </c>
      <c r="C1308" s="151">
        <v>44143</v>
      </c>
      <c r="D1308" s="152">
        <v>2.041096</v>
      </c>
      <c r="E1308" s="152" t="s">
        <v>1325</v>
      </c>
      <c r="F1308" s="152" t="s">
        <v>1326</v>
      </c>
      <c r="G1308" s="152" t="s">
        <v>47</v>
      </c>
      <c r="H1308" s="152"/>
      <c r="I1308" s="152">
        <v>43370</v>
      </c>
      <c r="J1308" s="152">
        <v>2.4900000000000002</v>
      </c>
      <c r="K1308" s="152" t="s">
        <v>1327</v>
      </c>
      <c r="L1308" s="152" t="s">
        <v>1327</v>
      </c>
      <c r="M1308" s="152" t="s">
        <v>1327</v>
      </c>
      <c r="N1308" s="152" t="s">
        <v>1327</v>
      </c>
      <c r="O1308" s="152">
        <v>2.5570439999999999</v>
      </c>
      <c r="P1308" s="152">
        <v>53.878171000000002</v>
      </c>
      <c r="Q1308" s="152">
        <v>2.5570439999999999</v>
      </c>
      <c r="R1308" s="152" t="s">
        <v>1327</v>
      </c>
      <c r="S1308" s="152">
        <v>100.36185</v>
      </c>
      <c r="T1308" s="152">
        <v>-0.10509599999999999</v>
      </c>
      <c r="U1308" s="152">
        <v>1.9730319999999999</v>
      </c>
      <c r="V1308" s="152">
        <v>4.9110950000000004</v>
      </c>
      <c r="W1308" s="152">
        <v>1000</v>
      </c>
      <c r="X1308" s="152" t="s">
        <v>23</v>
      </c>
      <c r="Y1308" s="152" t="s">
        <v>1328</v>
      </c>
      <c r="Z1308" s="152" t="s">
        <v>1327</v>
      </c>
    </row>
    <row r="1309" spans="1:26" x14ac:dyDescent="0.2">
      <c r="A1309" s="152" t="s">
        <v>2459</v>
      </c>
      <c r="B1309" s="152">
        <v>2.46</v>
      </c>
      <c r="C1309" s="151">
        <v>44544</v>
      </c>
      <c r="D1309" s="152">
        <v>3.139726</v>
      </c>
      <c r="E1309" s="152" t="s">
        <v>1325</v>
      </c>
      <c r="F1309" s="152" t="s">
        <v>1326</v>
      </c>
      <c r="G1309" s="152" t="s">
        <v>47</v>
      </c>
      <c r="H1309" s="152"/>
      <c r="I1309" s="152">
        <v>43286</v>
      </c>
      <c r="J1309" s="152">
        <v>2.37</v>
      </c>
      <c r="K1309" s="152" t="s">
        <v>1327</v>
      </c>
      <c r="L1309" s="152" t="s">
        <v>1327</v>
      </c>
      <c r="M1309" s="152" t="s">
        <v>1327</v>
      </c>
      <c r="N1309" s="152" t="s">
        <v>1327</v>
      </c>
      <c r="O1309" s="152">
        <v>2.6800570000000001</v>
      </c>
      <c r="P1309" s="152">
        <v>53.329799000000001</v>
      </c>
      <c r="Q1309" s="152">
        <v>2.6800570000000001</v>
      </c>
      <c r="R1309" s="152" t="s">
        <v>1327</v>
      </c>
      <c r="S1309" s="152">
        <v>99.337121999999994</v>
      </c>
      <c r="T1309" s="152">
        <v>0.89638399999999996</v>
      </c>
      <c r="U1309" s="152">
        <v>2.9715780000000001</v>
      </c>
      <c r="V1309" s="152">
        <v>10.547819</v>
      </c>
      <c r="W1309" s="152">
        <v>1000</v>
      </c>
      <c r="X1309" s="152" t="s">
        <v>23</v>
      </c>
      <c r="Y1309" s="152" t="s">
        <v>1328</v>
      </c>
      <c r="Z1309" s="152" t="s">
        <v>1327</v>
      </c>
    </row>
    <row r="1310" spans="1:26" x14ac:dyDescent="0.2">
      <c r="A1310" s="152" t="s">
        <v>2460</v>
      </c>
      <c r="B1310" s="152">
        <v>2.75</v>
      </c>
      <c r="C1310" s="151">
        <v>44909</v>
      </c>
      <c r="D1310" s="152">
        <v>4.1397259999999996</v>
      </c>
      <c r="E1310" s="152" t="s">
        <v>1325</v>
      </c>
      <c r="F1310" s="152" t="s">
        <v>1326</v>
      </c>
      <c r="G1310" s="152" t="s">
        <v>47</v>
      </c>
      <c r="H1310" s="152"/>
      <c r="I1310" s="152">
        <v>43167</v>
      </c>
      <c r="J1310" s="152">
        <v>2.58</v>
      </c>
      <c r="K1310" s="152" t="s">
        <v>1327</v>
      </c>
      <c r="L1310" s="152" t="s">
        <v>1327</v>
      </c>
      <c r="M1310" s="152" t="s">
        <v>1327</v>
      </c>
      <c r="N1310" s="152" t="s">
        <v>1327</v>
      </c>
      <c r="O1310" s="152">
        <v>3.0479080000000001</v>
      </c>
      <c r="P1310" s="152">
        <v>70.363927000000004</v>
      </c>
      <c r="Q1310" s="152">
        <v>3.0479080000000001</v>
      </c>
      <c r="R1310" s="152" t="s">
        <v>1327</v>
      </c>
      <c r="S1310" s="152">
        <v>98.844454999999996</v>
      </c>
      <c r="T1310" s="152">
        <v>1.0020549999999999</v>
      </c>
      <c r="U1310" s="152">
        <v>3.8400639999999999</v>
      </c>
      <c r="V1310" s="152">
        <v>17.244250999999998</v>
      </c>
      <c r="W1310" s="152">
        <v>1000</v>
      </c>
      <c r="X1310" s="152" t="s">
        <v>23</v>
      </c>
      <c r="Y1310" s="152" t="s">
        <v>1328</v>
      </c>
      <c r="Z1310" s="152" t="s">
        <v>1327</v>
      </c>
    </row>
    <row r="1311" spans="1:26" x14ac:dyDescent="0.2">
      <c r="A1311" s="152" t="s">
        <v>2461</v>
      </c>
      <c r="B1311" s="152">
        <v>5.8</v>
      </c>
      <c r="C1311" s="151">
        <v>43525</v>
      </c>
      <c r="D1311" s="152">
        <v>0.347945</v>
      </c>
      <c r="E1311" s="152" t="s">
        <v>1325</v>
      </c>
      <c r="F1311" s="152" t="s">
        <v>1326</v>
      </c>
      <c r="G1311" s="152"/>
      <c r="H1311" s="152"/>
      <c r="I1311" s="152">
        <v>42971</v>
      </c>
      <c r="J1311" s="152">
        <v>5.800332</v>
      </c>
      <c r="K1311" s="152" t="s">
        <v>1327</v>
      </c>
      <c r="L1311" s="152" t="s">
        <v>1327</v>
      </c>
      <c r="M1311" s="152" t="s">
        <v>1327</v>
      </c>
      <c r="N1311" s="152" t="s">
        <v>1327</v>
      </c>
      <c r="O1311" s="152">
        <v>5.9653039999999997</v>
      </c>
      <c r="P1311" s="152">
        <v>451.104602</v>
      </c>
      <c r="Q1311" s="152">
        <v>5.9653039999999997</v>
      </c>
      <c r="R1311" s="152" t="s">
        <v>1327</v>
      </c>
      <c r="S1311" s="152">
        <v>99.944326000000004</v>
      </c>
      <c r="T1311" s="152">
        <v>0.85808200000000001</v>
      </c>
      <c r="U1311" s="152">
        <v>0.34268500000000002</v>
      </c>
      <c r="V1311" s="152">
        <v>0.20269999999999999</v>
      </c>
      <c r="W1311" s="152">
        <v>1000</v>
      </c>
      <c r="X1311" s="152" t="s">
        <v>23</v>
      </c>
      <c r="Y1311" s="152" t="s">
        <v>1328</v>
      </c>
      <c r="Z1311" s="152" t="s">
        <v>1327</v>
      </c>
    </row>
    <row r="1312" spans="1:26" x14ac:dyDescent="0.2">
      <c r="A1312" s="152" t="s">
        <v>2462</v>
      </c>
      <c r="B1312" s="152">
        <v>5.6</v>
      </c>
      <c r="C1312" s="151">
        <v>43586</v>
      </c>
      <c r="D1312" s="152">
        <v>0.51506799999999997</v>
      </c>
      <c r="E1312" s="152" t="s">
        <v>1325</v>
      </c>
      <c r="F1312" s="152" t="s">
        <v>1326</v>
      </c>
      <c r="G1312" s="152"/>
      <c r="H1312" s="152"/>
      <c r="I1312" s="152" t="s">
        <v>1327</v>
      </c>
      <c r="J1312" s="152" t="s">
        <v>1327</v>
      </c>
      <c r="K1312" s="152" t="s">
        <v>1327</v>
      </c>
      <c r="L1312" s="152" t="s">
        <v>1327</v>
      </c>
      <c r="M1312" s="152" t="s">
        <v>1327</v>
      </c>
      <c r="N1312" s="152" t="s">
        <v>1327</v>
      </c>
      <c r="O1312" s="152">
        <v>6.0410110000000001</v>
      </c>
      <c r="P1312" s="152">
        <v>447.82401099999998</v>
      </c>
      <c r="Q1312" s="152">
        <v>6.0410110000000001</v>
      </c>
      <c r="R1312" s="152" t="s">
        <v>1327</v>
      </c>
      <c r="S1312" s="152">
        <v>99.777113</v>
      </c>
      <c r="T1312" s="152">
        <v>-0.10739700000000001</v>
      </c>
      <c r="U1312" s="152">
        <v>0.50805</v>
      </c>
      <c r="V1312" s="152">
        <v>0.38406400000000002</v>
      </c>
      <c r="W1312" s="152">
        <v>1000</v>
      </c>
      <c r="X1312" s="152" t="s">
        <v>23</v>
      </c>
      <c r="Y1312" s="152" t="s">
        <v>1328</v>
      </c>
      <c r="Z1312" s="152" t="s">
        <v>1327</v>
      </c>
    </row>
    <row r="1313" spans="1:26" x14ac:dyDescent="0.2">
      <c r="A1313" s="152" t="s">
        <v>2463</v>
      </c>
      <c r="B1313" s="152">
        <v>5.8</v>
      </c>
      <c r="C1313" s="151">
        <v>43692</v>
      </c>
      <c r="D1313" s="152">
        <v>0.80547899999999995</v>
      </c>
      <c r="E1313" s="152" t="s">
        <v>1325</v>
      </c>
      <c r="F1313" s="152" t="s">
        <v>1326</v>
      </c>
      <c r="G1313" s="152"/>
      <c r="H1313" s="152"/>
      <c r="I1313" s="152" t="s">
        <v>1327</v>
      </c>
      <c r="J1313" s="152" t="s">
        <v>1327</v>
      </c>
      <c r="K1313" s="152" t="s">
        <v>1327</v>
      </c>
      <c r="L1313" s="152" t="s">
        <v>1327</v>
      </c>
      <c r="M1313" s="152" t="s">
        <v>1327</v>
      </c>
      <c r="N1313" s="152" t="s">
        <v>1327</v>
      </c>
      <c r="O1313" s="152">
        <v>6.2002370000000004</v>
      </c>
      <c r="P1313" s="152">
        <v>456.13909200000001</v>
      </c>
      <c r="Q1313" s="152">
        <v>6.2002370000000004</v>
      </c>
      <c r="R1313" s="152" t="s">
        <v>1327</v>
      </c>
      <c r="S1313" s="152">
        <v>99.673214999999999</v>
      </c>
      <c r="T1313" s="152">
        <v>1.1282190000000001</v>
      </c>
      <c r="U1313" s="152">
        <v>0.77424999999999999</v>
      </c>
      <c r="V1313" s="152">
        <v>0.80171499999999996</v>
      </c>
      <c r="W1313" s="152">
        <v>1000</v>
      </c>
      <c r="X1313" s="152" t="s">
        <v>23</v>
      </c>
      <c r="Y1313" s="152" t="s">
        <v>1328</v>
      </c>
      <c r="Z1313" s="152" t="s">
        <v>1327</v>
      </c>
    </row>
    <row r="1314" spans="1:26" x14ac:dyDescent="0.2">
      <c r="A1314" s="152" t="s">
        <v>2464</v>
      </c>
      <c r="B1314" s="152">
        <v>5.8</v>
      </c>
      <c r="C1314" s="151">
        <v>43944</v>
      </c>
      <c r="D1314" s="152">
        <v>1.4958899999999999</v>
      </c>
      <c r="E1314" s="152" t="s">
        <v>1325</v>
      </c>
      <c r="F1314" s="152" t="s">
        <v>1326</v>
      </c>
      <c r="G1314" s="152"/>
      <c r="H1314" s="152"/>
      <c r="I1314" s="152" t="s">
        <v>1327</v>
      </c>
      <c r="J1314" s="152" t="s">
        <v>1327</v>
      </c>
      <c r="K1314" s="152" t="s">
        <v>1327</v>
      </c>
      <c r="L1314" s="152" t="s">
        <v>1327</v>
      </c>
      <c r="M1314" s="152" t="s">
        <v>1327</v>
      </c>
      <c r="N1314" s="152" t="s">
        <v>1327</v>
      </c>
      <c r="O1314" s="152">
        <v>6.0016990000000003</v>
      </c>
      <c r="P1314" s="152">
        <v>421.37222300000002</v>
      </c>
      <c r="Q1314" s="152">
        <v>6.0016990000000003</v>
      </c>
      <c r="R1314" s="152" t="s">
        <v>1327</v>
      </c>
      <c r="S1314" s="152">
        <v>99.699223000000003</v>
      </c>
      <c r="T1314" s="152">
        <v>0.19068499999999999</v>
      </c>
      <c r="U1314" s="152">
        <v>1.4200440000000001</v>
      </c>
      <c r="V1314" s="152">
        <v>2.413351</v>
      </c>
      <c r="W1314" s="152">
        <v>1000</v>
      </c>
      <c r="X1314" s="152" t="s">
        <v>23</v>
      </c>
      <c r="Y1314" s="152" t="s">
        <v>1328</v>
      </c>
      <c r="Z1314" s="152" t="s">
        <v>1327</v>
      </c>
    </row>
    <row r="1315" spans="1:26" x14ac:dyDescent="0.2">
      <c r="A1315" s="152" t="s">
        <v>2465</v>
      </c>
      <c r="B1315" s="152">
        <v>5.25</v>
      </c>
      <c r="C1315" s="151">
        <v>43637</v>
      </c>
      <c r="D1315" s="152">
        <v>0.65479500000000002</v>
      </c>
      <c r="E1315" s="152" t="s">
        <v>1325</v>
      </c>
      <c r="F1315" s="152" t="s">
        <v>1326</v>
      </c>
      <c r="G1315" s="152"/>
      <c r="H1315" s="152"/>
      <c r="I1315" s="152" t="s">
        <v>1327</v>
      </c>
      <c r="J1315" s="152" t="s">
        <v>1327</v>
      </c>
      <c r="K1315" s="152" t="s">
        <v>1327</v>
      </c>
      <c r="L1315" s="152" t="s">
        <v>1327</v>
      </c>
      <c r="M1315" s="152" t="s">
        <v>1327</v>
      </c>
      <c r="N1315" s="152" t="s">
        <v>1327</v>
      </c>
      <c r="O1315" s="152">
        <v>5.4591760000000003</v>
      </c>
      <c r="P1315" s="152">
        <v>379.72768300000001</v>
      </c>
      <c r="Q1315" s="152">
        <v>5.4591760000000003</v>
      </c>
      <c r="R1315" s="152" t="s">
        <v>1327</v>
      </c>
      <c r="S1315" s="152">
        <v>99.867581999999999</v>
      </c>
      <c r="T1315" s="152">
        <v>0.489041</v>
      </c>
      <c r="U1315" s="152">
        <v>0.63777799999999996</v>
      </c>
      <c r="V1315" s="152">
        <v>0.56789999999999996</v>
      </c>
      <c r="W1315" s="152">
        <v>1000</v>
      </c>
      <c r="X1315" s="152" t="s">
        <v>23</v>
      </c>
      <c r="Y1315" s="152" t="s">
        <v>1328</v>
      </c>
      <c r="Z1315" s="152" t="s">
        <v>1327</v>
      </c>
    </row>
    <row r="1316" spans="1:26" x14ac:dyDescent="0.2">
      <c r="A1316" s="152" t="s">
        <v>2466</v>
      </c>
      <c r="B1316" s="152">
        <v>5</v>
      </c>
      <c r="C1316" s="151">
        <v>44004</v>
      </c>
      <c r="D1316" s="152">
        <v>1.660274</v>
      </c>
      <c r="E1316" s="152" t="s">
        <v>1325</v>
      </c>
      <c r="F1316" s="152" t="s">
        <v>1326</v>
      </c>
      <c r="G1316" s="152"/>
      <c r="H1316" s="152"/>
      <c r="I1316" s="151" t="s">
        <v>1327</v>
      </c>
      <c r="J1316" s="152" t="s">
        <v>1327</v>
      </c>
      <c r="K1316" s="152" t="s">
        <v>1327</v>
      </c>
      <c r="L1316" s="152" t="s">
        <v>1327</v>
      </c>
      <c r="M1316" s="152" t="s">
        <v>1327</v>
      </c>
      <c r="N1316" s="152" t="s">
        <v>1327</v>
      </c>
      <c r="O1316" s="152">
        <v>5.21699</v>
      </c>
      <c r="P1316" s="152">
        <v>334.82581199999998</v>
      </c>
      <c r="Q1316" s="152">
        <v>5.21699</v>
      </c>
      <c r="R1316" s="152" t="s">
        <v>1327</v>
      </c>
      <c r="S1316" s="152">
        <v>99.658856</v>
      </c>
      <c r="T1316" s="152">
        <v>0.45205499999999998</v>
      </c>
      <c r="U1316" s="152">
        <v>1.5747279999999999</v>
      </c>
      <c r="V1316" s="152">
        <v>2.9320580000000001</v>
      </c>
      <c r="W1316" s="152">
        <v>1000</v>
      </c>
      <c r="X1316" s="152" t="s">
        <v>23</v>
      </c>
      <c r="Y1316" s="152" t="s">
        <v>1328</v>
      </c>
      <c r="Z1316" s="152" t="s">
        <v>1327</v>
      </c>
    </row>
    <row r="1317" spans="1:26" x14ac:dyDescent="0.2">
      <c r="A1317" s="152" t="s">
        <v>2467</v>
      </c>
      <c r="B1317" s="152">
        <v>4.5</v>
      </c>
      <c r="C1317" s="151">
        <v>44071</v>
      </c>
      <c r="D1317" s="152">
        <v>1.843836</v>
      </c>
      <c r="E1317" s="152" t="s">
        <v>1325</v>
      </c>
      <c r="F1317" s="152" t="s">
        <v>1326</v>
      </c>
      <c r="G1317" s="152" t="s">
        <v>498</v>
      </c>
      <c r="H1317" s="152"/>
      <c r="I1317" s="152" t="s">
        <v>1327</v>
      </c>
      <c r="J1317" s="152" t="s">
        <v>1327</v>
      </c>
      <c r="K1317" s="152" t="s">
        <v>1327</v>
      </c>
      <c r="L1317" s="152" t="s">
        <v>1327</v>
      </c>
      <c r="M1317" s="152" t="s">
        <v>1327</v>
      </c>
      <c r="N1317" s="152" t="s">
        <v>1327</v>
      </c>
      <c r="O1317" s="152">
        <v>4.90707</v>
      </c>
      <c r="P1317" s="152">
        <v>299.31256300000001</v>
      </c>
      <c r="Q1317" s="152">
        <v>4.90707</v>
      </c>
      <c r="R1317" s="152" t="s">
        <v>1327</v>
      </c>
      <c r="S1317" s="152">
        <v>99.275959</v>
      </c>
      <c r="T1317" s="152">
        <v>0.71506800000000004</v>
      </c>
      <c r="U1317" s="152">
        <v>1.7452129999999999</v>
      </c>
      <c r="V1317" s="152">
        <v>3.565102</v>
      </c>
      <c r="W1317" s="152">
        <v>1000</v>
      </c>
      <c r="X1317" s="152" t="s">
        <v>23</v>
      </c>
      <c r="Y1317" s="152" t="s">
        <v>1328</v>
      </c>
      <c r="Z1317" s="152" t="s">
        <v>1327</v>
      </c>
    </row>
    <row r="1318" spans="1:26" x14ac:dyDescent="0.2">
      <c r="A1318" s="152" t="s">
        <v>2468</v>
      </c>
      <c r="B1318" s="152">
        <v>2.5099999999999998</v>
      </c>
      <c r="C1318" s="151">
        <v>43443</v>
      </c>
      <c r="D1318" s="152">
        <v>0.12328799999999999</v>
      </c>
      <c r="E1318" s="152" t="s">
        <v>1325</v>
      </c>
      <c r="F1318" s="152" t="s">
        <v>1326</v>
      </c>
      <c r="G1318" s="152"/>
      <c r="H1318" s="152"/>
      <c r="I1318" s="151">
        <v>43376</v>
      </c>
      <c r="J1318" s="152">
        <v>1.63</v>
      </c>
      <c r="K1318" s="152" t="s">
        <v>1327</v>
      </c>
      <c r="L1318" s="152" t="s">
        <v>1327</v>
      </c>
      <c r="M1318" s="152" t="s">
        <v>1327</v>
      </c>
      <c r="N1318" s="152" t="s">
        <v>1327</v>
      </c>
      <c r="O1318" s="152">
        <v>1.683619</v>
      </c>
      <c r="P1318" s="152">
        <v>35.321635999999998</v>
      </c>
      <c r="Q1318" s="152">
        <v>1.683619</v>
      </c>
      <c r="R1318" s="152" t="s">
        <v>1327</v>
      </c>
      <c r="S1318" s="152">
        <v>100.096935</v>
      </c>
      <c r="T1318" s="152">
        <v>0.948986</v>
      </c>
      <c r="U1318" s="152">
        <v>0.12225800000000001</v>
      </c>
      <c r="V1318" s="152">
        <v>7.5565999999999994E-2</v>
      </c>
      <c r="W1318" s="152">
        <v>1000</v>
      </c>
      <c r="X1318" s="152" t="s">
        <v>23</v>
      </c>
      <c r="Y1318" s="152" t="s">
        <v>1328</v>
      </c>
      <c r="Z1318" s="152" t="s">
        <v>1327</v>
      </c>
    </row>
    <row r="1319" spans="1:26" x14ac:dyDescent="0.2">
      <c r="A1319" s="152" t="s">
        <v>2469</v>
      </c>
      <c r="B1319" s="152">
        <v>2.2000000000000002</v>
      </c>
      <c r="C1319" s="151">
        <v>43652</v>
      </c>
      <c r="D1319" s="152">
        <v>0.69589000000000001</v>
      </c>
      <c r="E1319" s="152" t="s">
        <v>1325</v>
      </c>
      <c r="F1319" s="152" t="s">
        <v>1326</v>
      </c>
      <c r="G1319" s="152"/>
      <c r="H1319" s="152"/>
      <c r="I1319" s="151">
        <v>43257</v>
      </c>
      <c r="J1319" s="152">
        <v>1.89</v>
      </c>
      <c r="K1319" s="152" t="s">
        <v>1327</v>
      </c>
      <c r="L1319" s="152" t="s">
        <v>1327</v>
      </c>
      <c r="M1319" s="152" t="s">
        <v>1327</v>
      </c>
      <c r="N1319" s="152" t="s">
        <v>1327</v>
      </c>
      <c r="O1319" s="152">
        <v>2.1779449999999998</v>
      </c>
      <c r="P1319" s="152">
        <v>40.927273</v>
      </c>
      <c r="Q1319" s="152">
        <v>2.1779449999999998</v>
      </c>
      <c r="R1319" s="152" t="s">
        <v>1327</v>
      </c>
      <c r="S1319" s="152">
        <v>100.004768</v>
      </c>
      <c r="T1319" s="152">
        <v>0.669041</v>
      </c>
      <c r="U1319" s="152">
        <v>0.68707799999999997</v>
      </c>
      <c r="V1319" s="152">
        <v>0.81454800000000005</v>
      </c>
      <c r="W1319" s="152">
        <v>1000</v>
      </c>
      <c r="X1319" s="152" t="s">
        <v>23</v>
      </c>
      <c r="Y1319" s="152" t="s">
        <v>1328</v>
      </c>
      <c r="Z1319" s="152" t="s">
        <v>1327</v>
      </c>
    </row>
    <row r="1320" spans="1:26" x14ac:dyDescent="0.2">
      <c r="A1320" s="152" t="s">
        <v>2470</v>
      </c>
      <c r="B1320" s="152">
        <v>4.5</v>
      </c>
      <c r="C1320" s="151">
        <v>43772</v>
      </c>
      <c r="D1320" s="152">
        <v>1.0246580000000001</v>
      </c>
      <c r="E1320" s="152" t="s">
        <v>1325</v>
      </c>
      <c r="F1320" s="152" t="s">
        <v>1326</v>
      </c>
      <c r="G1320" s="152"/>
      <c r="H1320" s="152"/>
      <c r="I1320" s="151">
        <v>43105</v>
      </c>
      <c r="J1320" s="152">
        <v>4.2</v>
      </c>
      <c r="K1320" s="152" t="s">
        <v>1327</v>
      </c>
      <c r="L1320" s="152" t="s">
        <v>1327</v>
      </c>
      <c r="M1320" s="152" t="s">
        <v>1327</v>
      </c>
      <c r="N1320" s="152" t="s">
        <v>1327</v>
      </c>
      <c r="O1320" s="152">
        <v>4.2832610000000004</v>
      </c>
      <c r="P1320" s="152">
        <v>253.650218</v>
      </c>
      <c r="Q1320" s="152">
        <v>4.2832610000000004</v>
      </c>
      <c r="R1320" s="152" t="s">
        <v>1327</v>
      </c>
      <c r="S1320" s="152">
        <v>100.216798</v>
      </c>
      <c r="T1320" s="152">
        <v>-0.110959</v>
      </c>
      <c r="U1320" s="152">
        <v>0.99743300000000001</v>
      </c>
      <c r="V1320" s="152">
        <v>1.2507919999999999</v>
      </c>
      <c r="W1320" s="152">
        <v>1000</v>
      </c>
      <c r="X1320" s="152" t="s">
        <v>23</v>
      </c>
      <c r="Y1320" s="152" t="s">
        <v>1328</v>
      </c>
      <c r="Z1320" s="152" t="s">
        <v>1327</v>
      </c>
    </row>
    <row r="1321" spans="1:26" x14ac:dyDescent="0.2">
      <c r="A1321" s="152" t="s">
        <v>2471</v>
      </c>
      <c r="B1321" s="152">
        <v>4.3</v>
      </c>
      <c r="C1321" s="151">
        <v>44037</v>
      </c>
      <c r="D1321" s="152">
        <v>1.750685</v>
      </c>
      <c r="E1321" s="152" t="s">
        <v>1325</v>
      </c>
      <c r="F1321" s="152" t="s">
        <v>1326</v>
      </c>
      <c r="G1321" s="152"/>
      <c r="H1321" s="152"/>
      <c r="I1321" s="151" t="s">
        <v>1327</v>
      </c>
      <c r="J1321" s="152" t="s">
        <v>1327</v>
      </c>
      <c r="K1321" s="152" t="s">
        <v>1327</v>
      </c>
      <c r="L1321" s="152" t="s">
        <v>1327</v>
      </c>
      <c r="M1321" s="152" t="s">
        <v>1327</v>
      </c>
      <c r="N1321" s="152" t="s">
        <v>1327</v>
      </c>
      <c r="O1321" s="152">
        <v>4.4509920000000003</v>
      </c>
      <c r="P1321" s="152">
        <v>254.21243699999999</v>
      </c>
      <c r="Q1321" s="152">
        <v>4.4509920000000003</v>
      </c>
      <c r="R1321" s="152" t="s">
        <v>1327</v>
      </c>
      <c r="S1321" s="152">
        <v>99.738071000000005</v>
      </c>
      <c r="T1321" s="152">
        <v>0</v>
      </c>
      <c r="U1321" s="152">
        <v>1.6784349999999999</v>
      </c>
      <c r="V1321" s="152">
        <v>3.287731</v>
      </c>
      <c r="W1321" s="152">
        <v>1000</v>
      </c>
      <c r="X1321" s="152" t="s">
        <v>23</v>
      </c>
      <c r="Y1321" s="152" t="s">
        <v>1328</v>
      </c>
      <c r="Z1321" s="152" t="s">
        <v>1327</v>
      </c>
    </row>
    <row r="1322" spans="1:26" x14ac:dyDescent="0.2">
      <c r="A1322" s="152" t="s">
        <v>2472</v>
      </c>
      <c r="B1322" s="152">
        <v>4.3499999999999996</v>
      </c>
      <c r="C1322" s="151">
        <v>44327</v>
      </c>
      <c r="D1322" s="152">
        <v>2.5452050000000002</v>
      </c>
      <c r="E1322" s="152" t="s">
        <v>1325</v>
      </c>
      <c r="F1322" s="152" t="s">
        <v>1326</v>
      </c>
      <c r="G1322" s="152"/>
      <c r="H1322" s="152"/>
      <c r="I1322" s="151" t="s">
        <v>1327</v>
      </c>
      <c r="J1322" s="152" t="s">
        <v>1327</v>
      </c>
      <c r="K1322" s="152" t="s">
        <v>1327</v>
      </c>
      <c r="L1322" s="152" t="s">
        <v>1327</v>
      </c>
      <c r="M1322" s="152" t="s">
        <v>1327</v>
      </c>
      <c r="N1322" s="152" t="s">
        <v>1327</v>
      </c>
      <c r="O1322" s="152">
        <v>4.5414589999999997</v>
      </c>
      <c r="P1322" s="152">
        <v>255.42110099999999</v>
      </c>
      <c r="Q1322" s="152">
        <v>4.5414589999999997</v>
      </c>
      <c r="R1322" s="152" t="s">
        <v>1327</v>
      </c>
      <c r="S1322" s="152">
        <v>99.532150000000001</v>
      </c>
      <c r="T1322" s="152">
        <v>0.89383599999999996</v>
      </c>
      <c r="U1322" s="152">
        <v>2.375909</v>
      </c>
      <c r="V1322" s="152">
        <v>6.4602740000000001</v>
      </c>
      <c r="W1322" s="152">
        <v>1000</v>
      </c>
      <c r="X1322" s="152" t="s">
        <v>23</v>
      </c>
      <c r="Y1322" s="152" t="s">
        <v>1328</v>
      </c>
      <c r="Z1322" s="152" t="s">
        <v>1327</v>
      </c>
    </row>
    <row r="1323" spans="1:26" x14ac:dyDescent="0.2">
      <c r="A1323" s="152" t="s">
        <v>2473</v>
      </c>
      <c r="B1323" s="152">
        <v>4.3</v>
      </c>
      <c r="C1323" s="151">
        <v>44479</v>
      </c>
      <c r="D1323" s="152">
        <v>2.9616440000000002</v>
      </c>
      <c r="E1323" s="152" t="s">
        <v>1325</v>
      </c>
      <c r="F1323" s="152" t="s">
        <v>1326</v>
      </c>
      <c r="G1323" s="152"/>
      <c r="H1323" s="152"/>
      <c r="I1323" s="151" t="s">
        <v>1327</v>
      </c>
      <c r="J1323" s="152" t="s">
        <v>1327</v>
      </c>
      <c r="K1323" s="152" t="s">
        <v>1327</v>
      </c>
      <c r="L1323" s="152" t="s">
        <v>1327</v>
      </c>
      <c r="M1323" s="152" t="s">
        <v>1327</v>
      </c>
      <c r="N1323" s="152" t="s">
        <v>1327</v>
      </c>
      <c r="O1323" s="152">
        <v>4.288259</v>
      </c>
      <c r="P1323" s="152">
        <v>223.84265500000001</v>
      </c>
      <c r="Q1323" s="152">
        <v>4.288259</v>
      </c>
      <c r="R1323" s="152" t="s">
        <v>1327</v>
      </c>
      <c r="S1323" s="152">
        <v>100.02289500000001</v>
      </c>
      <c r="T1323" s="152">
        <v>0.17671200000000001</v>
      </c>
      <c r="U1323" s="152">
        <v>2.7619699999999998</v>
      </c>
      <c r="V1323" s="152">
        <v>8.6045219999999993</v>
      </c>
      <c r="W1323" s="152">
        <v>1000</v>
      </c>
      <c r="X1323" s="152" t="s">
        <v>23</v>
      </c>
      <c r="Y1323" s="152" t="s">
        <v>1328</v>
      </c>
      <c r="Z1323" s="152" t="s">
        <v>1327</v>
      </c>
    </row>
    <row r="1324" spans="1:26" x14ac:dyDescent="0.2">
      <c r="A1324" s="152" t="s">
        <v>2474</v>
      </c>
      <c r="B1324" s="152">
        <v>6</v>
      </c>
      <c r="C1324" s="151">
        <v>43424</v>
      </c>
      <c r="D1324" s="152">
        <v>7.1233000000000005E-2</v>
      </c>
      <c r="E1324" s="152" t="s">
        <v>1325</v>
      </c>
      <c r="F1324" s="152" t="s">
        <v>1326</v>
      </c>
      <c r="G1324" s="152"/>
      <c r="H1324" s="152"/>
      <c r="I1324" s="151">
        <v>43209</v>
      </c>
      <c r="J1324" s="152">
        <v>6.3171090000000003</v>
      </c>
      <c r="K1324" s="152" t="s">
        <v>1327</v>
      </c>
      <c r="L1324" s="152" t="s">
        <v>1327</v>
      </c>
      <c r="M1324" s="152" t="s">
        <v>1327</v>
      </c>
      <c r="N1324" s="152" t="s">
        <v>1327</v>
      </c>
      <c r="O1324" s="152">
        <v>6.1802999999999999</v>
      </c>
      <c r="P1324" s="152">
        <v>508.27887700000002</v>
      </c>
      <c r="Q1324" s="152">
        <v>6.1802999999999999</v>
      </c>
      <c r="R1324" s="152" t="s">
        <v>1327</v>
      </c>
      <c r="S1324" s="152">
        <v>99.972607999999994</v>
      </c>
      <c r="T1324" s="152">
        <v>1.084932</v>
      </c>
      <c r="U1324" s="152">
        <v>7.0149000000000003E-2</v>
      </c>
      <c r="V1324" s="152">
        <v>2.2190999999999999E-2</v>
      </c>
      <c r="W1324" s="152">
        <v>1000</v>
      </c>
      <c r="X1324" s="152" t="s">
        <v>23</v>
      </c>
      <c r="Y1324" s="152" t="s">
        <v>1328</v>
      </c>
      <c r="Z1324" s="152" t="s">
        <v>1327</v>
      </c>
    </row>
    <row r="1325" spans="1:26" x14ac:dyDescent="0.2">
      <c r="A1325" s="152" t="s">
        <v>2475</v>
      </c>
      <c r="B1325" s="152">
        <v>6.5</v>
      </c>
      <c r="C1325" s="151">
        <v>43884</v>
      </c>
      <c r="D1325" s="152">
        <v>1.331507</v>
      </c>
      <c r="E1325" s="152" t="s">
        <v>1325</v>
      </c>
      <c r="F1325" s="152" t="s">
        <v>1326</v>
      </c>
      <c r="G1325" s="152"/>
      <c r="H1325" s="152"/>
      <c r="I1325" s="151">
        <v>42878</v>
      </c>
      <c r="J1325" s="152">
        <v>6.4947039999999996</v>
      </c>
      <c r="K1325" s="152" t="s">
        <v>1327</v>
      </c>
      <c r="L1325" s="152" t="s">
        <v>1327</v>
      </c>
      <c r="M1325" s="152" t="s">
        <v>1327</v>
      </c>
      <c r="N1325" s="152" t="s">
        <v>1327</v>
      </c>
      <c r="O1325" s="152">
        <v>6.9222229999999998</v>
      </c>
      <c r="P1325" s="152">
        <v>521.40940599999999</v>
      </c>
      <c r="Q1325" s="152">
        <v>6.9222229999999998</v>
      </c>
      <c r="R1325" s="152" t="s">
        <v>1327</v>
      </c>
      <c r="S1325" s="152">
        <v>99.451728000000003</v>
      </c>
      <c r="T1325" s="152">
        <v>1.121918</v>
      </c>
      <c r="U1325" s="152">
        <v>1.248928</v>
      </c>
      <c r="V1325" s="152">
        <v>1.915945</v>
      </c>
      <c r="W1325" s="152">
        <v>1000</v>
      </c>
      <c r="X1325" s="152" t="s">
        <v>23</v>
      </c>
      <c r="Y1325" s="152" t="s">
        <v>1328</v>
      </c>
      <c r="Z1325" s="152" t="s">
        <v>1327</v>
      </c>
    </row>
    <row r="1326" spans="1:26" x14ac:dyDescent="0.2">
      <c r="A1326" s="152" t="s">
        <v>2476</v>
      </c>
      <c r="B1326" s="152">
        <v>5</v>
      </c>
      <c r="C1326" s="151">
        <v>43538</v>
      </c>
      <c r="D1326" s="152">
        <v>0.38356200000000001</v>
      </c>
      <c r="E1326" s="152" t="s">
        <v>1325</v>
      </c>
      <c r="F1326" s="152" t="s">
        <v>1326</v>
      </c>
      <c r="G1326" s="152"/>
      <c r="H1326" s="152"/>
      <c r="I1326" s="151" t="s">
        <v>1327</v>
      </c>
      <c r="J1326" s="152" t="s">
        <v>1327</v>
      </c>
      <c r="K1326" s="152" t="s">
        <v>1327</v>
      </c>
      <c r="L1326" s="152" t="s">
        <v>1327</v>
      </c>
      <c r="M1326" s="152" t="s">
        <v>1327</v>
      </c>
      <c r="N1326" s="152" t="s">
        <v>1327</v>
      </c>
      <c r="O1326" s="152">
        <v>4.9796909999999999</v>
      </c>
      <c r="P1326" s="152">
        <v>344.005202</v>
      </c>
      <c r="Q1326" s="152">
        <v>4.9796909999999999</v>
      </c>
      <c r="R1326" s="152" t="s">
        <v>1327</v>
      </c>
      <c r="S1326" s="152">
        <v>100.009246</v>
      </c>
      <c r="T1326" s="152">
        <v>0.56164400000000003</v>
      </c>
      <c r="U1326" s="152">
        <v>0.37918000000000002</v>
      </c>
      <c r="V1326" s="152">
        <v>0.23815</v>
      </c>
      <c r="W1326" s="152">
        <v>1000</v>
      </c>
      <c r="X1326" s="152" t="s">
        <v>23</v>
      </c>
      <c r="Y1326" s="152" t="s">
        <v>1328</v>
      </c>
      <c r="Z1326" s="152" t="s">
        <v>1327</v>
      </c>
    </row>
    <row r="1327" spans="1:26" x14ac:dyDescent="0.2">
      <c r="A1327" s="152" t="s">
        <v>2477</v>
      </c>
      <c r="B1327" s="152">
        <v>5</v>
      </c>
      <c r="C1327" s="151">
        <v>43686</v>
      </c>
      <c r="D1327" s="152">
        <v>0.78904099999999999</v>
      </c>
      <c r="E1327" s="152" t="s">
        <v>1325</v>
      </c>
      <c r="F1327" s="152" t="s">
        <v>1326</v>
      </c>
      <c r="G1327" s="152"/>
      <c r="H1327" s="152"/>
      <c r="I1327" s="151" t="s">
        <v>1327</v>
      </c>
      <c r="J1327" s="152" t="s">
        <v>1327</v>
      </c>
      <c r="K1327" s="152" t="s">
        <v>1327</v>
      </c>
      <c r="L1327" s="152" t="s">
        <v>1327</v>
      </c>
      <c r="M1327" s="152" t="s">
        <v>1327</v>
      </c>
      <c r="N1327" s="152" t="s">
        <v>1327</v>
      </c>
      <c r="O1327" s="152">
        <v>5.0512920000000001</v>
      </c>
      <c r="P1327" s="152">
        <v>336.09087199999999</v>
      </c>
      <c r="Q1327" s="152">
        <v>5.0512920000000001</v>
      </c>
      <c r="R1327" s="152" t="s">
        <v>1327</v>
      </c>
      <c r="S1327" s="152">
        <v>99.949113999999994</v>
      </c>
      <c r="T1327" s="152">
        <v>1.0547949999999999</v>
      </c>
      <c r="U1327" s="152">
        <v>0.76308799999999999</v>
      </c>
      <c r="V1327" s="152">
        <v>0.78084900000000002</v>
      </c>
      <c r="W1327" s="152">
        <v>30000000</v>
      </c>
      <c r="X1327" s="152" t="s">
        <v>23</v>
      </c>
      <c r="Y1327" s="152" t="s">
        <v>1328</v>
      </c>
      <c r="Z1327" s="152" t="s">
        <v>1327</v>
      </c>
    </row>
    <row r="1328" spans="1:26" x14ac:dyDescent="0.2">
      <c r="A1328" s="152" t="s">
        <v>2478</v>
      </c>
      <c r="B1328" s="152">
        <v>5</v>
      </c>
      <c r="C1328" s="151">
        <v>43698</v>
      </c>
      <c r="D1328" s="152">
        <v>0.82191800000000004</v>
      </c>
      <c r="E1328" s="152" t="s">
        <v>1325</v>
      </c>
      <c r="F1328" s="152" t="s">
        <v>1326</v>
      </c>
      <c r="G1328" s="152"/>
      <c r="H1328" s="152"/>
      <c r="I1328" s="151" t="s">
        <v>1327</v>
      </c>
      <c r="J1328" s="152" t="s">
        <v>1327</v>
      </c>
      <c r="K1328" s="152" t="s">
        <v>1327</v>
      </c>
      <c r="L1328" s="152" t="s">
        <v>1327</v>
      </c>
      <c r="M1328" s="152" t="s">
        <v>1327</v>
      </c>
      <c r="N1328" s="152" t="s">
        <v>1327</v>
      </c>
      <c r="O1328" s="152">
        <v>5.045839</v>
      </c>
      <c r="P1328" s="152">
        <v>335.30510900000002</v>
      </c>
      <c r="Q1328" s="152">
        <v>5.045839</v>
      </c>
      <c r="R1328" s="152" t="s">
        <v>1327</v>
      </c>
      <c r="S1328" s="152">
        <v>99.951323000000002</v>
      </c>
      <c r="T1328" s="152">
        <v>0.89041099999999995</v>
      </c>
      <c r="U1328" s="152">
        <v>0.795566</v>
      </c>
      <c r="V1328" s="152">
        <v>0.83949200000000002</v>
      </c>
      <c r="W1328" s="152">
        <v>10000000</v>
      </c>
      <c r="X1328" s="152" t="s">
        <v>23</v>
      </c>
      <c r="Y1328" s="152" t="s">
        <v>1328</v>
      </c>
      <c r="Z1328" s="152" t="s">
        <v>1327</v>
      </c>
    </row>
    <row r="1329" spans="1:26" x14ac:dyDescent="0.2">
      <c r="A1329" s="152" t="s">
        <v>2479</v>
      </c>
      <c r="B1329" s="152">
        <v>5</v>
      </c>
      <c r="C1329" s="151">
        <v>43728</v>
      </c>
      <c r="D1329" s="152">
        <v>0.90410999999999997</v>
      </c>
      <c r="E1329" s="152" t="s">
        <v>1325</v>
      </c>
      <c r="F1329" s="152" t="s">
        <v>1326</v>
      </c>
      <c r="G1329" s="152"/>
      <c r="H1329" s="152"/>
      <c r="I1329" s="151" t="s">
        <v>1327</v>
      </c>
      <c r="J1329" s="152" t="s">
        <v>1327</v>
      </c>
      <c r="K1329" s="152" t="s">
        <v>1327</v>
      </c>
      <c r="L1329" s="152" t="s">
        <v>1327</v>
      </c>
      <c r="M1329" s="152" t="s">
        <v>1327</v>
      </c>
      <c r="N1329" s="152" t="s">
        <v>1327</v>
      </c>
      <c r="O1329" s="152">
        <v>5.0639519999999996</v>
      </c>
      <c r="P1329" s="152">
        <v>336.314278</v>
      </c>
      <c r="Q1329" s="152">
        <v>5.0639519999999996</v>
      </c>
      <c r="R1329" s="152" t="s">
        <v>1327</v>
      </c>
      <c r="S1329" s="152">
        <v>99.945351000000002</v>
      </c>
      <c r="T1329" s="152">
        <v>0.46575299999999997</v>
      </c>
      <c r="U1329" s="152">
        <v>0.87604099999999996</v>
      </c>
      <c r="V1329" s="152">
        <v>0.99384899999999998</v>
      </c>
      <c r="W1329" s="152">
        <v>20000000</v>
      </c>
      <c r="X1329" s="152" t="s">
        <v>23</v>
      </c>
      <c r="Y1329" s="152" t="s">
        <v>1328</v>
      </c>
      <c r="Z1329" s="152" t="s">
        <v>1327</v>
      </c>
    </row>
    <row r="1330" spans="1:26" x14ac:dyDescent="0.2">
      <c r="A1330" s="152" t="s">
        <v>2480</v>
      </c>
      <c r="B1330" s="152">
        <v>5.5</v>
      </c>
      <c r="C1330" s="151">
        <v>44011</v>
      </c>
      <c r="D1330" s="152">
        <v>1.6794519999999999</v>
      </c>
      <c r="E1330" s="152" t="s">
        <v>1325</v>
      </c>
      <c r="F1330" s="152" t="s">
        <v>1326</v>
      </c>
      <c r="G1330" s="152"/>
      <c r="H1330" s="152"/>
      <c r="I1330" s="151" t="s">
        <v>1327</v>
      </c>
      <c r="J1330" s="152" t="s">
        <v>1327</v>
      </c>
      <c r="K1330" s="152" t="s">
        <v>1327</v>
      </c>
      <c r="L1330" s="152" t="s">
        <v>1327</v>
      </c>
      <c r="M1330" s="152" t="s">
        <v>1327</v>
      </c>
      <c r="N1330" s="152" t="s">
        <v>1327</v>
      </c>
      <c r="O1330" s="152">
        <v>5.7572400000000004</v>
      </c>
      <c r="P1330" s="152">
        <v>390.689345</v>
      </c>
      <c r="Q1330" s="152">
        <v>5.7572400000000004</v>
      </c>
      <c r="R1330" s="152" t="s">
        <v>1327</v>
      </c>
      <c r="S1330" s="152">
        <v>99.593076999999994</v>
      </c>
      <c r="T1330" s="152">
        <v>0.39178099999999999</v>
      </c>
      <c r="U1330" s="152">
        <v>1.5854619999999999</v>
      </c>
      <c r="V1330" s="152">
        <v>2.9737170000000002</v>
      </c>
      <c r="W1330" s="152">
        <v>1000</v>
      </c>
      <c r="X1330" s="152" t="s">
        <v>23</v>
      </c>
      <c r="Y1330" s="152" t="s">
        <v>1328</v>
      </c>
      <c r="Z1330" s="152" t="s">
        <v>1327</v>
      </c>
    </row>
    <row r="1331" spans="1:26" x14ac:dyDescent="0.2">
      <c r="A1331" s="152" t="s">
        <v>2481</v>
      </c>
      <c r="B1331" s="152">
        <v>9.5</v>
      </c>
      <c r="C1331" s="151">
        <v>79376</v>
      </c>
      <c r="D1331" s="152">
        <v>98.569862999999998</v>
      </c>
      <c r="E1331" s="152" t="s">
        <v>1325</v>
      </c>
      <c r="F1331" s="152" t="s">
        <v>1326</v>
      </c>
      <c r="G1331" s="152" t="s">
        <v>2482</v>
      </c>
      <c r="H1331" s="152"/>
      <c r="I1331" s="151" t="s">
        <v>1327</v>
      </c>
      <c r="J1331" s="152" t="s">
        <v>1327</v>
      </c>
      <c r="K1331" s="152" t="s">
        <v>1327</v>
      </c>
      <c r="L1331" s="152" t="s">
        <v>1327</v>
      </c>
      <c r="M1331" s="152" t="s">
        <v>1327</v>
      </c>
      <c r="N1331" s="152" t="s">
        <v>1327</v>
      </c>
      <c r="O1331" s="152" t="s">
        <v>1327</v>
      </c>
      <c r="P1331" s="152" t="s">
        <v>1327</v>
      </c>
      <c r="Q1331" s="152" t="s">
        <v>1327</v>
      </c>
      <c r="R1331" s="152" t="s">
        <v>1327</v>
      </c>
      <c r="S1331" s="152">
        <v>99.533094000000006</v>
      </c>
      <c r="T1331" s="152" t="s">
        <v>1327</v>
      </c>
      <c r="U1331" s="152" t="s">
        <v>1327</v>
      </c>
      <c r="V1331" s="152" t="s">
        <v>1327</v>
      </c>
      <c r="W1331" s="152">
        <v>1000</v>
      </c>
      <c r="X1331" s="152" t="s">
        <v>23</v>
      </c>
      <c r="Y1331" s="152" t="s">
        <v>1328</v>
      </c>
      <c r="Z1331" s="152" t="s">
        <v>1327</v>
      </c>
    </row>
    <row r="1332" spans="1:26" x14ac:dyDescent="0.2">
      <c r="A1332" s="152" t="s">
        <v>2483</v>
      </c>
      <c r="B1332" s="152">
        <v>4.7</v>
      </c>
      <c r="C1332" s="151">
        <v>43436</v>
      </c>
      <c r="D1332" s="152">
        <v>0.10410999999999999</v>
      </c>
      <c r="E1332" s="152" t="s">
        <v>1325</v>
      </c>
      <c r="F1332" s="152" t="s">
        <v>1326</v>
      </c>
      <c r="G1332" s="152"/>
      <c r="H1332" s="152"/>
      <c r="I1332" s="151">
        <v>42606</v>
      </c>
      <c r="J1332" s="152">
        <v>4.5999999999999996</v>
      </c>
      <c r="K1332" s="152" t="s">
        <v>1327</v>
      </c>
      <c r="L1332" s="152" t="s">
        <v>1327</v>
      </c>
      <c r="M1332" s="152" t="s">
        <v>1327</v>
      </c>
      <c r="N1332" s="152" t="s">
        <v>1327</v>
      </c>
      <c r="O1332" s="152">
        <v>4.333253</v>
      </c>
      <c r="P1332" s="152">
        <v>310.15536400000002</v>
      </c>
      <c r="Q1332" s="152">
        <v>4.333253</v>
      </c>
      <c r="R1332" s="152" t="s">
        <v>1327</v>
      </c>
      <c r="S1332" s="152">
        <v>100.03957200000001</v>
      </c>
      <c r="T1332" s="152">
        <v>0.68246600000000002</v>
      </c>
      <c r="U1332" s="152">
        <v>0.102994</v>
      </c>
      <c r="V1332" s="152">
        <v>3.6080000000000001E-2</v>
      </c>
      <c r="W1332" s="152">
        <v>1000</v>
      </c>
      <c r="X1332" s="152" t="s">
        <v>23</v>
      </c>
      <c r="Y1332" s="152" t="s">
        <v>1328</v>
      </c>
      <c r="Z1332" s="152" t="s">
        <v>1327</v>
      </c>
    </row>
    <row r="1333" spans="1:26" x14ac:dyDescent="0.2">
      <c r="A1333" s="152" t="s">
        <v>2484</v>
      </c>
      <c r="B1333" s="152">
        <v>5.5</v>
      </c>
      <c r="C1333" s="151">
        <v>43590</v>
      </c>
      <c r="D1333" s="152">
        <v>0.52602700000000002</v>
      </c>
      <c r="E1333" s="152" t="s">
        <v>1325</v>
      </c>
      <c r="F1333" s="152" t="s">
        <v>1326</v>
      </c>
      <c r="G1333" s="152"/>
      <c r="H1333" s="152"/>
      <c r="I1333" s="151">
        <v>42472</v>
      </c>
      <c r="J1333" s="152">
        <v>5</v>
      </c>
      <c r="K1333" s="152" t="s">
        <v>1327</v>
      </c>
      <c r="L1333" s="152" t="s">
        <v>1327</v>
      </c>
      <c r="M1333" s="152" t="s">
        <v>1327</v>
      </c>
      <c r="N1333" s="152" t="s">
        <v>1327</v>
      </c>
      <c r="O1333" s="152">
        <v>5.0762070000000001</v>
      </c>
      <c r="P1333" s="152">
        <v>345.93174499999998</v>
      </c>
      <c r="Q1333" s="152">
        <v>5.0762070000000001</v>
      </c>
      <c r="R1333" s="152" t="s">
        <v>1327</v>
      </c>
      <c r="S1333" s="152">
        <v>100.221464</v>
      </c>
      <c r="T1333" s="152">
        <v>-0.16575300000000001</v>
      </c>
      <c r="U1333" s="152">
        <v>0.52014899999999997</v>
      </c>
      <c r="V1333" s="152">
        <v>0.39977699999999999</v>
      </c>
      <c r="W1333" s="152">
        <v>1000</v>
      </c>
      <c r="X1333" s="152" t="s">
        <v>23</v>
      </c>
      <c r="Y1333" s="152" t="s">
        <v>1328</v>
      </c>
      <c r="Z1333" s="152" t="s">
        <v>1327</v>
      </c>
    </row>
    <row r="1334" spans="1:26" x14ac:dyDescent="0.2">
      <c r="A1334" s="152" t="s">
        <v>2485</v>
      </c>
      <c r="B1334" s="152">
        <v>5</v>
      </c>
      <c r="C1334" s="151">
        <v>43653</v>
      </c>
      <c r="D1334" s="152">
        <v>0.69862999999999997</v>
      </c>
      <c r="E1334" s="152" t="s">
        <v>1325</v>
      </c>
      <c r="F1334" s="152" t="s">
        <v>1326</v>
      </c>
      <c r="G1334" s="152"/>
      <c r="H1334" s="152"/>
      <c r="I1334" s="152" t="s">
        <v>1327</v>
      </c>
      <c r="J1334" s="152" t="s">
        <v>1327</v>
      </c>
      <c r="K1334" s="152" t="s">
        <v>1327</v>
      </c>
      <c r="L1334" s="152" t="s">
        <v>1327</v>
      </c>
      <c r="M1334" s="152" t="s">
        <v>1327</v>
      </c>
      <c r="N1334" s="152" t="s">
        <v>1327</v>
      </c>
      <c r="O1334" s="152">
        <v>5.1257919999999997</v>
      </c>
      <c r="P1334" s="152">
        <v>346.348658</v>
      </c>
      <c r="Q1334" s="152">
        <v>5.1257919999999997</v>
      </c>
      <c r="R1334" s="152" t="s">
        <v>1327</v>
      </c>
      <c r="S1334" s="152">
        <v>99.902224000000004</v>
      </c>
      <c r="T1334" s="152">
        <v>0.24657499999999999</v>
      </c>
      <c r="U1334" s="152">
        <v>0.68473899999999999</v>
      </c>
      <c r="V1334" s="152">
        <v>0.64155799999999996</v>
      </c>
      <c r="W1334" s="152">
        <v>1000</v>
      </c>
      <c r="X1334" s="152" t="s">
        <v>23</v>
      </c>
      <c r="Y1334" s="152" t="s">
        <v>1328</v>
      </c>
      <c r="Z1334" s="152" t="s">
        <v>1327</v>
      </c>
    </row>
    <row r="1335" spans="1:26" x14ac:dyDescent="0.2">
      <c r="A1335" s="152" t="s">
        <v>2486</v>
      </c>
      <c r="B1335" s="152">
        <v>4.8499999999999996</v>
      </c>
      <c r="C1335" s="151">
        <v>43730</v>
      </c>
      <c r="D1335" s="152">
        <v>0.90958899999999998</v>
      </c>
      <c r="E1335" s="152" t="s">
        <v>1325</v>
      </c>
      <c r="F1335" s="152" t="s">
        <v>1326</v>
      </c>
      <c r="G1335" s="152"/>
      <c r="H1335" s="152"/>
      <c r="I1335" s="152" t="s">
        <v>1327</v>
      </c>
      <c r="J1335" s="152" t="s">
        <v>1327</v>
      </c>
      <c r="K1335" s="152" t="s">
        <v>1327</v>
      </c>
      <c r="L1335" s="152" t="s">
        <v>1327</v>
      </c>
      <c r="M1335" s="152" t="s">
        <v>1327</v>
      </c>
      <c r="N1335" s="152" t="s">
        <v>1327</v>
      </c>
      <c r="O1335" s="152">
        <v>5.1806869999999998</v>
      </c>
      <c r="P1335" s="152">
        <v>347.217961</v>
      </c>
      <c r="Q1335" s="152">
        <v>5.1806869999999998</v>
      </c>
      <c r="R1335" s="152" t="s">
        <v>1327</v>
      </c>
      <c r="S1335" s="152">
        <v>99.709761</v>
      </c>
      <c r="T1335" s="152">
        <v>0.43849300000000002</v>
      </c>
      <c r="U1335" s="152">
        <v>0.87965199999999999</v>
      </c>
      <c r="V1335" s="152">
        <v>1.000761</v>
      </c>
      <c r="W1335" s="152">
        <v>1000</v>
      </c>
      <c r="X1335" s="152" t="s">
        <v>23</v>
      </c>
      <c r="Y1335" s="152" t="s">
        <v>1328</v>
      </c>
      <c r="Z1335" s="152" t="s">
        <v>1327</v>
      </c>
    </row>
    <row r="1336" spans="1:26" x14ac:dyDescent="0.2">
      <c r="A1336" s="152" t="s">
        <v>2487</v>
      </c>
      <c r="B1336" s="152">
        <v>5.6</v>
      </c>
      <c r="C1336" s="151">
        <v>43858</v>
      </c>
      <c r="D1336" s="152">
        <v>1.2602739999999999</v>
      </c>
      <c r="E1336" s="152" t="s">
        <v>1325</v>
      </c>
      <c r="F1336" s="152" t="s">
        <v>1326</v>
      </c>
      <c r="G1336" s="152"/>
      <c r="H1336" s="152"/>
      <c r="I1336" s="152" t="s">
        <v>1327</v>
      </c>
      <c r="J1336" s="152" t="s">
        <v>1327</v>
      </c>
      <c r="K1336" s="152" t="s">
        <v>1327</v>
      </c>
      <c r="L1336" s="152" t="s">
        <v>1327</v>
      </c>
      <c r="M1336" s="152" t="s">
        <v>1327</v>
      </c>
      <c r="N1336" s="152" t="s">
        <v>1327</v>
      </c>
      <c r="O1336" s="152">
        <v>5.5004020000000002</v>
      </c>
      <c r="P1336" s="152">
        <v>374.41537499999998</v>
      </c>
      <c r="Q1336" s="152">
        <v>5.5004020000000002</v>
      </c>
      <c r="R1336" s="152" t="s">
        <v>1327</v>
      </c>
      <c r="S1336" s="152">
        <v>100.120605</v>
      </c>
      <c r="T1336" s="152">
        <v>-4.6026999999999998E-2</v>
      </c>
      <c r="U1336" s="152">
        <v>1.2075940000000001</v>
      </c>
      <c r="V1336" s="152">
        <v>1.7799</v>
      </c>
      <c r="W1336" s="152">
        <v>1000</v>
      </c>
      <c r="X1336" s="152" t="s">
        <v>23</v>
      </c>
      <c r="Y1336" s="152" t="s">
        <v>1328</v>
      </c>
      <c r="Z1336" s="152" t="s">
        <v>1327</v>
      </c>
    </row>
    <row r="1337" spans="1:26" x14ac:dyDescent="0.2">
      <c r="A1337" s="152" t="s">
        <v>2488</v>
      </c>
      <c r="B1337" s="152">
        <v>5.5</v>
      </c>
      <c r="C1337" s="151">
        <v>43984</v>
      </c>
      <c r="D1337" s="152">
        <v>1.6054790000000001</v>
      </c>
      <c r="E1337" s="152" t="s">
        <v>1325</v>
      </c>
      <c r="F1337" s="152" t="s">
        <v>1326</v>
      </c>
      <c r="G1337" s="152"/>
      <c r="H1337" s="152"/>
      <c r="I1337" s="152">
        <v>42852</v>
      </c>
      <c r="J1337" s="152">
        <v>5.3550000000000004</v>
      </c>
      <c r="K1337" s="152" t="s">
        <v>1327</v>
      </c>
      <c r="L1337" s="152" t="s">
        <v>1327</v>
      </c>
      <c r="M1337" s="152" t="s">
        <v>1327</v>
      </c>
      <c r="N1337" s="152" t="s">
        <v>1327</v>
      </c>
      <c r="O1337" s="152">
        <v>5.5976429999999997</v>
      </c>
      <c r="P1337" s="152">
        <v>375.780438</v>
      </c>
      <c r="Q1337" s="152">
        <v>5.5976429999999997</v>
      </c>
      <c r="R1337" s="152" t="s">
        <v>1327</v>
      </c>
      <c r="S1337" s="152">
        <v>99.852633999999995</v>
      </c>
      <c r="T1337" s="152">
        <v>0.79862999999999995</v>
      </c>
      <c r="U1337" s="152">
        <v>1.513244</v>
      </c>
      <c r="V1337" s="152">
        <v>2.7322220000000002</v>
      </c>
      <c r="W1337" s="152">
        <v>1000</v>
      </c>
      <c r="X1337" s="152" t="s">
        <v>23</v>
      </c>
      <c r="Y1337" s="152" t="s">
        <v>1328</v>
      </c>
      <c r="Z1337" s="152" t="s">
        <v>1327</v>
      </c>
    </row>
    <row r="1338" spans="1:26" x14ac:dyDescent="0.2">
      <c r="A1338" s="152" t="s">
        <v>2489</v>
      </c>
      <c r="B1338" s="152">
        <v>5.3</v>
      </c>
      <c r="C1338" s="151">
        <v>44096</v>
      </c>
      <c r="D1338" s="152">
        <v>1.9123289999999999</v>
      </c>
      <c r="E1338" s="152" t="s">
        <v>1325</v>
      </c>
      <c r="F1338" s="152" t="s">
        <v>1326</v>
      </c>
      <c r="G1338" s="152"/>
      <c r="H1338" s="152"/>
      <c r="I1338" s="152" t="s">
        <v>1327</v>
      </c>
      <c r="J1338" s="152" t="s">
        <v>1327</v>
      </c>
      <c r="K1338" s="152" t="s">
        <v>1327</v>
      </c>
      <c r="L1338" s="152" t="s">
        <v>1327</v>
      </c>
      <c r="M1338" s="152" t="s">
        <v>1327</v>
      </c>
      <c r="N1338" s="152" t="s">
        <v>1327</v>
      </c>
      <c r="O1338" s="152">
        <v>5.6716290000000003</v>
      </c>
      <c r="P1338" s="152">
        <v>377.11545799999999</v>
      </c>
      <c r="Q1338" s="152">
        <v>5.6716290000000003</v>
      </c>
      <c r="R1338" s="152" t="s">
        <v>1327</v>
      </c>
      <c r="S1338" s="152">
        <v>99.333592999999993</v>
      </c>
      <c r="T1338" s="152">
        <v>0.47917799999999999</v>
      </c>
      <c r="U1338" s="152">
        <v>1.793903</v>
      </c>
      <c r="V1338" s="152">
        <v>3.7622550000000001</v>
      </c>
      <c r="W1338" s="152">
        <v>1000</v>
      </c>
      <c r="X1338" s="152" t="s">
        <v>23</v>
      </c>
      <c r="Y1338" s="152" t="s">
        <v>1328</v>
      </c>
      <c r="Z1338" s="152" t="s">
        <v>1327</v>
      </c>
    </row>
    <row r="1339" spans="1:26" x14ac:dyDescent="0.2">
      <c r="A1339" s="152" t="s">
        <v>2490</v>
      </c>
      <c r="B1339" s="152">
        <v>5.7</v>
      </c>
      <c r="C1339" s="151">
        <v>44293</v>
      </c>
      <c r="D1339" s="152">
        <v>2.4520550000000001</v>
      </c>
      <c r="E1339" s="152" t="s">
        <v>1325</v>
      </c>
      <c r="F1339" s="152" t="s">
        <v>1326</v>
      </c>
      <c r="G1339" s="152"/>
      <c r="H1339" s="152"/>
      <c r="I1339" s="152" t="s">
        <v>1327</v>
      </c>
      <c r="J1339" s="152" t="s">
        <v>1327</v>
      </c>
      <c r="K1339" s="152" t="s">
        <v>1327</v>
      </c>
      <c r="L1339" s="152" t="s">
        <v>1327</v>
      </c>
      <c r="M1339" s="152" t="s">
        <v>1327</v>
      </c>
      <c r="N1339" s="152" t="s">
        <v>1327</v>
      </c>
      <c r="O1339" s="152">
        <v>5.9606300000000001</v>
      </c>
      <c r="P1339" s="152">
        <v>403.86040400000002</v>
      </c>
      <c r="Q1339" s="152">
        <v>5.9606300000000001</v>
      </c>
      <c r="R1339" s="152" t="s">
        <v>1327</v>
      </c>
      <c r="S1339" s="152">
        <v>99.396027000000004</v>
      </c>
      <c r="T1339" s="152">
        <v>0.28109600000000001</v>
      </c>
      <c r="U1339" s="152">
        <v>2.2661220000000002</v>
      </c>
      <c r="V1339" s="152">
        <v>5.9084529999999997</v>
      </c>
      <c r="W1339" s="152">
        <v>1000</v>
      </c>
      <c r="X1339" s="152" t="s">
        <v>23</v>
      </c>
      <c r="Y1339" s="152" t="s">
        <v>1328</v>
      </c>
      <c r="Z1339" s="152" t="s">
        <v>1327</v>
      </c>
    </row>
    <row r="1340" spans="1:26" x14ac:dyDescent="0.2">
      <c r="A1340" s="152" t="s">
        <v>2491</v>
      </c>
      <c r="B1340" s="152">
        <v>5.75</v>
      </c>
      <c r="C1340" s="151">
        <v>44313</v>
      </c>
      <c r="D1340" s="152">
        <v>2.5068489999999999</v>
      </c>
      <c r="E1340" s="152" t="s">
        <v>1325</v>
      </c>
      <c r="F1340" s="152" t="s">
        <v>1326</v>
      </c>
      <c r="G1340" s="152"/>
      <c r="H1340" s="152"/>
      <c r="I1340" s="152" t="s">
        <v>1327</v>
      </c>
      <c r="J1340" s="152" t="s">
        <v>1327</v>
      </c>
      <c r="K1340" s="152" t="s">
        <v>1327</v>
      </c>
      <c r="L1340" s="152" t="s">
        <v>1327</v>
      </c>
      <c r="M1340" s="152" t="s">
        <v>1327</v>
      </c>
      <c r="N1340" s="152" t="s">
        <v>1327</v>
      </c>
      <c r="O1340" s="152">
        <v>6.036219</v>
      </c>
      <c r="P1340" s="152">
        <v>410.80568799999998</v>
      </c>
      <c r="Q1340" s="152">
        <v>6.036219</v>
      </c>
      <c r="R1340" s="152" t="s">
        <v>1327</v>
      </c>
      <c r="S1340" s="152">
        <v>99.339326</v>
      </c>
      <c r="T1340" s="152">
        <v>-3.1507E-2</v>
      </c>
      <c r="U1340" s="152">
        <v>2.3163469999999999</v>
      </c>
      <c r="V1340" s="152">
        <v>6.1524960000000002</v>
      </c>
      <c r="W1340" s="152">
        <v>1000</v>
      </c>
      <c r="X1340" s="152" t="s">
        <v>23</v>
      </c>
      <c r="Y1340" s="152" t="s">
        <v>1328</v>
      </c>
      <c r="Z1340" s="152" t="s">
        <v>1327</v>
      </c>
    </row>
    <row r="1341" spans="1:26" x14ac:dyDescent="0.2">
      <c r="A1341" s="152" t="s">
        <v>2492</v>
      </c>
      <c r="B1341" s="152">
        <v>5.75</v>
      </c>
      <c r="C1341" s="151">
        <v>44396</v>
      </c>
      <c r="D1341" s="152">
        <v>2.7342469999999999</v>
      </c>
      <c r="E1341" s="152" t="s">
        <v>1325</v>
      </c>
      <c r="F1341" s="152" t="s">
        <v>1326</v>
      </c>
      <c r="G1341" s="152"/>
      <c r="H1341" s="152"/>
      <c r="I1341" s="152" t="s">
        <v>1327</v>
      </c>
      <c r="J1341" s="152" t="s">
        <v>1327</v>
      </c>
      <c r="K1341" s="152" t="s">
        <v>1327</v>
      </c>
      <c r="L1341" s="152" t="s">
        <v>1327</v>
      </c>
      <c r="M1341" s="152" t="s">
        <v>1327</v>
      </c>
      <c r="N1341" s="152" t="s">
        <v>1327</v>
      </c>
      <c r="O1341" s="152">
        <v>6.0344810000000004</v>
      </c>
      <c r="P1341" s="152">
        <v>409.27141699999999</v>
      </c>
      <c r="Q1341" s="152">
        <v>6.0344810000000004</v>
      </c>
      <c r="R1341" s="152" t="s">
        <v>1327</v>
      </c>
      <c r="S1341" s="152">
        <v>99.709281000000004</v>
      </c>
      <c r="T1341" s="152">
        <v>9.4520999999999994E-2</v>
      </c>
      <c r="U1341" s="152">
        <v>2.5092919999999999</v>
      </c>
      <c r="V1341" s="152">
        <v>7.2023270000000004</v>
      </c>
      <c r="W1341" s="152">
        <v>1000</v>
      </c>
      <c r="X1341" s="152" t="s">
        <v>23</v>
      </c>
      <c r="Y1341" s="152" t="s">
        <v>1328</v>
      </c>
      <c r="Z1341" s="152" t="s">
        <v>1327</v>
      </c>
    </row>
    <row r="1342" spans="1:26" x14ac:dyDescent="0.2">
      <c r="A1342" s="152" t="s">
        <v>2493</v>
      </c>
      <c r="B1342" s="152">
        <v>5.9</v>
      </c>
      <c r="C1342" s="151">
        <v>44461</v>
      </c>
      <c r="D1342" s="152">
        <v>2.9123290000000002</v>
      </c>
      <c r="E1342" s="152" t="s">
        <v>1325</v>
      </c>
      <c r="F1342" s="152" t="s">
        <v>1326</v>
      </c>
      <c r="G1342" s="152"/>
      <c r="H1342" s="152"/>
      <c r="I1342" s="152" t="s">
        <v>1327</v>
      </c>
      <c r="J1342" s="152" t="s">
        <v>1327</v>
      </c>
      <c r="K1342" s="152" t="s">
        <v>1327</v>
      </c>
      <c r="L1342" s="152" t="s">
        <v>1327</v>
      </c>
      <c r="M1342" s="152" t="s">
        <v>1327</v>
      </c>
      <c r="N1342" s="152" t="s">
        <v>1327</v>
      </c>
      <c r="O1342" s="152">
        <v>6.3119870000000002</v>
      </c>
      <c r="P1342" s="152">
        <v>434.88989900000001</v>
      </c>
      <c r="Q1342" s="152">
        <v>6.3119870000000002</v>
      </c>
      <c r="R1342" s="152" t="s">
        <v>1327</v>
      </c>
      <c r="S1342" s="152">
        <v>98.914316999999997</v>
      </c>
      <c r="T1342" s="152">
        <v>0.53342500000000004</v>
      </c>
      <c r="U1342" s="152">
        <v>2.6371069999999999</v>
      </c>
      <c r="V1342" s="152">
        <v>7.98583</v>
      </c>
      <c r="W1342" s="152">
        <v>1000</v>
      </c>
      <c r="X1342" s="152" t="s">
        <v>23</v>
      </c>
      <c r="Y1342" s="152" t="s">
        <v>1328</v>
      </c>
      <c r="Z1342" s="152" t="s">
        <v>1327</v>
      </c>
    </row>
    <row r="1343" spans="1:26" x14ac:dyDescent="0.2">
      <c r="A1343" s="152" t="s">
        <v>2494</v>
      </c>
      <c r="B1343" s="152">
        <v>5.9</v>
      </c>
      <c r="C1343" s="151">
        <v>44530</v>
      </c>
      <c r="D1343" s="152">
        <v>3.1013700000000002</v>
      </c>
      <c r="E1343" s="152" t="s">
        <v>1325</v>
      </c>
      <c r="F1343" s="152" t="s">
        <v>1326</v>
      </c>
      <c r="G1343" s="152"/>
      <c r="H1343" s="152"/>
      <c r="I1343" s="152" t="s">
        <v>1327</v>
      </c>
      <c r="J1343" s="152" t="s">
        <v>1327</v>
      </c>
      <c r="K1343" s="152" t="s">
        <v>1327</v>
      </c>
      <c r="L1343" s="152" t="s">
        <v>1327</v>
      </c>
      <c r="M1343" s="152" t="s">
        <v>1327</v>
      </c>
      <c r="N1343" s="152" t="s">
        <v>1327</v>
      </c>
      <c r="O1343" s="152">
        <v>6.3621819999999998</v>
      </c>
      <c r="P1343" s="152">
        <v>436.634728</v>
      </c>
      <c r="Q1343" s="152">
        <v>6.3621819999999998</v>
      </c>
      <c r="R1343" s="152" t="s">
        <v>1327</v>
      </c>
      <c r="S1343" s="152">
        <v>98.694553999999997</v>
      </c>
      <c r="T1343" s="152">
        <v>0.90520500000000004</v>
      </c>
      <c r="U1343" s="152">
        <v>2.7832210000000002</v>
      </c>
      <c r="V1343" s="152">
        <v>8.9160740000000001</v>
      </c>
      <c r="W1343" s="152">
        <v>1000</v>
      </c>
      <c r="X1343" s="152" t="s">
        <v>23</v>
      </c>
      <c r="Y1343" s="152" t="s">
        <v>1328</v>
      </c>
      <c r="Z1343" s="152" t="s">
        <v>1327</v>
      </c>
    </row>
    <row r="1344" spans="1:26" x14ac:dyDescent="0.2">
      <c r="A1344" s="152" t="s">
        <v>2495</v>
      </c>
      <c r="B1344" s="152">
        <v>6</v>
      </c>
      <c r="C1344" s="151">
        <v>44614</v>
      </c>
      <c r="D1344" s="152">
        <v>3.3315070000000002</v>
      </c>
      <c r="E1344" s="152" t="s">
        <v>1325</v>
      </c>
      <c r="F1344" s="152" t="s">
        <v>1326</v>
      </c>
      <c r="G1344" s="152"/>
      <c r="H1344" s="152"/>
      <c r="I1344" s="151" t="s">
        <v>1327</v>
      </c>
      <c r="J1344" s="152" t="s">
        <v>1327</v>
      </c>
      <c r="K1344" s="152" t="s">
        <v>1327</v>
      </c>
      <c r="L1344" s="152" t="s">
        <v>1327</v>
      </c>
      <c r="M1344" s="152" t="s">
        <v>1327</v>
      </c>
      <c r="N1344" s="152" t="s">
        <v>1327</v>
      </c>
      <c r="O1344" s="152">
        <v>6.1338090000000003</v>
      </c>
      <c r="P1344" s="152">
        <v>405.84895699999998</v>
      </c>
      <c r="Q1344" s="152">
        <v>6.1338090000000003</v>
      </c>
      <c r="R1344" s="152" t="s">
        <v>1327</v>
      </c>
      <c r="S1344" s="152">
        <v>99.585333000000006</v>
      </c>
      <c r="T1344" s="152">
        <v>1.052055</v>
      </c>
      <c r="U1344" s="152">
        <v>2.96333</v>
      </c>
      <c r="V1344" s="152">
        <v>10.118404</v>
      </c>
      <c r="W1344" s="152">
        <v>1000</v>
      </c>
      <c r="X1344" s="152" t="s">
        <v>23</v>
      </c>
      <c r="Y1344" s="152" t="s">
        <v>1328</v>
      </c>
      <c r="Z1344" s="152" t="s">
        <v>1327</v>
      </c>
    </row>
    <row r="1345" spans="1:26" x14ac:dyDescent="0.2">
      <c r="A1345" s="152" t="s">
        <v>2496</v>
      </c>
      <c r="B1345" s="152">
        <v>6.5</v>
      </c>
      <c r="C1345" s="151">
        <v>44018</v>
      </c>
      <c r="D1345" s="152">
        <v>1.6986300000000001</v>
      </c>
      <c r="E1345" s="152" t="s">
        <v>1325</v>
      </c>
      <c r="F1345" s="152" t="s">
        <v>1326</v>
      </c>
      <c r="G1345" s="152"/>
      <c r="H1345" s="152"/>
      <c r="I1345" s="151" t="s">
        <v>1327</v>
      </c>
      <c r="J1345" s="152" t="s">
        <v>1327</v>
      </c>
      <c r="K1345" s="152" t="s">
        <v>1327</v>
      </c>
      <c r="L1345" s="152" t="s">
        <v>1327</v>
      </c>
      <c r="M1345" s="152" t="s">
        <v>1327</v>
      </c>
      <c r="N1345" s="152" t="s">
        <v>1327</v>
      </c>
      <c r="O1345" s="152">
        <v>6.7430199999999996</v>
      </c>
      <c r="P1345" s="152">
        <v>494.72387500000002</v>
      </c>
      <c r="Q1345" s="152">
        <v>6.7430199999999996</v>
      </c>
      <c r="R1345" s="152" t="s">
        <v>1327</v>
      </c>
      <c r="S1345" s="152">
        <v>99.597211999999999</v>
      </c>
      <c r="T1345" s="152">
        <v>0.33835599999999999</v>
      </c>
      <c r="U1345" s="152">
        <v>1.5912310000000001</v>
      </c>
      <c r="V1345" s="152">
        <v>3.0033210000000001</v>
      </c>
      <c r="W1345" s="152">
        <v>1000</v>
      </c>
      <c r="X1345" s="152" t="s">
        <v>23</v>
      </c>
      <c r="Y1345" s="152" t="s">
        <v>1328</v>
      </c>
      <c r="Z1345" s="152" t="s">
        <v>1327</v>
      </c>
    </row>
    <row r="1346" spans="1:26" x14ac:dyDescent="0.2">
      <c r="A1346" s="152" t="s">
        <v>2497</v>
      </c>
      <c r="B1346" s="152">
        <v>2.62</v>
      </c>
      <c r="C1346" s="151">
        <v>43488</v>
      </c>
      <c r="D1346" s="152">
        <v>0.24657499999999999</v>
      </c>
      <c r="E1346" s="152" t="s">
        <v>1325</v>
      </c>
      <c r="F1346" s="152" t="s">
        <v>1326</v>
      </c>
      <c r="G1346" s="152" t="s">
        <v>116</v>
      </c>
      <c r="H1346" s="152"/>
      <c r="I1346" s="151">
        <v>43397</v>
      </c>
      <c r="J1346" s="152">
        <v>1.85</v>
      </c>
      <c r="K1346" s="152" t="s">
        <v>1327</v>
      </c>
      <c r="L1346" s="152" t="s">
        <v>1327</v>
      </c>
      <c r="M1346" s="152" t="s">
        <v>1327</v>
      </c>
      <c r="N1346" s="152" t="s">
        <v>1327</v>
      </c>
      <c r="O1346" s="152">
        <v>1.85</v>
      </c>
      <c r="P1346" s="152">
        <v>31.984079999999999</v>
      </c>
      <c r="Q1346" s="152">
        <v>1.85</v>
      </c>
      <c r="R1346" s="152" t="s">
        <v>1327</v>
      </c>
      <c r="S1346" s="152">
        <v>100.176287</v>
      </c>
      <c r="T1346" s="152">
        <v>0.67474000000000001</v>
      </c>
      <c r="U1346" s="152">
        <v>0.244315</v>
      </c>
      <c r="V1346" s="152">
        <v>0.180728</v>
      </c>
      <c r="W1346" s="152">
        <v>1000</v>
      </c>
      <c r="X1346" s="152" t="s">
        <v>23</v>
      </c>
      <c r="Y1346" s="152" t="s">
        <v>1328</v>
      </c>
      <c r="Z1346" s="152" t="s">
        <v>1327</v>
      </c>
    </row>
    <row r="1347" spans="1:26" x14ac:dyDescent="0.2">
      <c r="A1347" s="152" t="s">
        <v>2498</v>
      </c>
      <c r="B1347" s="152">
        <v>2.56</v>
      </c>
      <c r="C1347" s="151">
        <v>43601</v>
      </c>
      <c r="D1347" s="152">
        <v>0.55616399999999999</v>
      </c>
      <c r="E1347" s="152" t="s">
        <v>1325</v>
      </c>
      <c r="F1347" s="152" t="s">
        <v>1326</v>
      </c>
      <c r="G1347" s="152" t="s">
        <v>116</v>
      </c>
      <c r="H1347" s="152"/>
      <c r="I1347" s="152">
        <v>43371</v>
      </c>
      <c r="J1347" s="152">
        <v>1.95</v>
      </c>
      <c r="K1347" s="152" t="s">
        <v>1327</v>
      </c>
      <c r="L1347" s="152" t="s">
        <v>1327</v>
      </c>
      <c r="M1347" s="152" t="s">
        <v>1327</v>
      </c>
      <c r="N1347" s="152" t="s">
        <v>1327</v>
      </c>
      <c r="O1347" s="152">
        <v>2.0721059999999998</v>
      </c>
      <c r="P1347" s="152">
        <v>31.745459</v>
      </c>
      <c r="Q1347" s="152">
        <v>2.0721059999999998</v>
      </c>
      <c r="R1347" s="152" t="s">
        <v>1327</v>
      </c>
      <c r="S1347" s="152">
        <v>100.257974</v>
      </c>
      <c r="T1347" s="152">
        <v>0.49095899999999998</v>
      </c>
      <c r="U1347" s="152">
        <v>0.54741499999999998</v>
      </c>
      <c r="V1347" s="152">
        <v>0.57128999999999996</v>
      </c>
      <c r="W1347" s="152">
        <v>1000</v>
      </c>
      <c r="X1347" s="152" t="s">
        <v>23</v>
      </c>
      <c r="Y1347" s="152" t="s">
        <v>1328</v>
      </c>
      <c r="Z1347" s="152" t="s">
        <v>1327</v>
      </c>
    </row>
    <row r="1348" spans="1:26" x14ac:dyDescent="0.2">
      <c r="A1348" s="152" t="s">
        <v>2499</v>
      </c>
      <c r="B1348" s="152">
        <v>2.2400000000000002</v>
      </c>
      <c r="C1348" s="151">
        <v>43694</v>
      </c>
      <c r="D1348" s="152">
        <v>0.81095899999999999</v>
      </c>
      <c r="E1348" s="152" t="s">
        <v>1325</v>
      </c>
      <c r="F1348" s="152" t="s">
        <v>1326</v>
      </c>
      <c r="G1348" s="152" t="s">
        <v>116</v>
      </c>
      <c r="H1348" s="152"/>
      <c r="I1348" s="152">
        <v>43077</v>
      </c>
      <c r="J1348" s="152">
        <v>2.08</v>
      </c>
      <c r="K1348" s="152" t="s">
        <v>1327</v>
      </c>
      <c r="L1348" s="152" t="s">
        <v>1327</v>
      </c>
      <c r="M1348" s="152" t="s">
        <v>1327</v>
      </c>
      <c r="N1348" s="152" t="s">
        <v>1327</v>
      </c>
      <c r="O1348" s="152">
        <v>2.171859</v>
      </c>
      <c r="P1348" s="152">
        <v>39.211433</v>
      </c>
      <c r="Q1348" s="152">
        <v>2.171859</v>
      </c>
      <c r="R1348" s="152" t="s">
        <v>1327</v>
      </c>
      <c r="S1348" s="152">
        <v>100.04414199999999</v>
      </c>
      <c r="T1348" s="152">
        <v>0.423452</v>
      </c>
      <c r="U1348" s="152">
        <v>0.80083599999999999</v>
      </c>
      <c r="V1348" s="152">
        <v>1.040133</v>
      </c>
      <c r="W1348" s="152">
        <v>1000</v>
      </c>
      <c r="X1348" s="152" t="s">
        <v>23</v>
      </c>
      <c r="Y1348" s="152" t="s">
        <v>1328</v>
      </c>
      <c r="Z1348" s="152" t="s">
        <v>1327</v>
      </c>
    </row>
    <row r="1349" spans="1:26" x14ac:dyDescent="0.2">
      <c r="A1349" s="152" t="s">
        <v>2500</v>
      </c>
      <c r="B1349" s="152">
        <v>2.86</v>
      </c>
      <c r="C1349" s="151">
        <v>43732</v>
      </c>
      <c r="D1349" s="152">
        <v>0.91506799999999999</v>
      </c>
      <c r="E1349" s="152" t="s">
        <v>1325</v>
      </c>
      <c r="F1349" s="152" t="s">
        <v>1326</v>
      </c>
      <c r="G1349" s="152"/>
      <c r="H1349" s="152"/>
      <c r="I1349" s="152" t="s">
        <v>1327</v>
      </c>
      <c r="J1349" s="152" t="s">
        <v>1327</v>
      </c>
      <c r="K1349" s="152" t="s">
        <v>1327</v>
      </c>
      <c r="L1349" s="152" t="s">
        <v>1327</v>
      </c>
      <c r="M1349" s="152" t="s">
        <v>1327</v>
      </c>
      <c r="N1349" s="152" t="s">
        <v>1327</v>
      </c>
      <c r="O1349" s="152">
        <v>2.1980140000000001</v>
      </c>
      <c r="P1349" s="152">
        <v>39.252904000000001</v>
      </c>
      <c r="Q1349" s="152">
        <v>2.1980140000000001</v>
      </c>
      <c r="R1349" s="152" t="s">
        <v>1327</v>
      </c>
      <c r="S1349" s="152">
        <v>100.60443100000001</v>
      </c>
      <c r="T1349" s="152">
        <v>0.24290400000000001</v>
      </c>
      <c r="U1349" s="152">
        <v>0.89410599999999996</v>
      </c>
      <c r="V1349" s="152">
        <v>1.2450079999999999</v>
      </c>
      <c r="W1349" s="152">
        <v>1000</v>
      </c>
      <c r="X1349" s="152" t="s">
        <v>23</v>
      </c>
      <c r="Y1349" s="152" t="s">
        <v>1328</v>
      </c>
      <c r="Z1349" s="152" t="s">
        <v>1327</v>
      </c>
    </row>
    <row r="1350" spans="1:26" x14ac:dyDescent="0.2">
      <c r="A1350" s="152" t="s">
        <v>2501</v>
      </c>
      <c r="B1350" s="152">
        <v>2.4900000000000002</v>
      </c>
      <c r="C1350" s="151">
        <v>43855</v>
      </c>
      <c r="D1350" s="152">
        <v>1.2520549999999999</v>
      </c>
      <c r="E1350" s="152" t="s">
        <v>1325</v>
      </c>
      <c r="F1350" s="152" t="s">
        <v>1326</v>
      </c>
      <c r="G1350" s="152"/>
      <c r="H1350" s="152"/>
      <c r="I1350" s="151">
        <v>43152</v>
      </c>
      <c r="J1350" s="152">
        <v>1.88</v>
      </c>
      <c r="K1350" s="152" t="s">
        <v>1327</v>
      </c>
      <c r="L1350" s="152" t="s">
        <v>1327</v>
      </c>
      <c r="M1350" s="152" t="s">
        <v>1327</v>
      </c>
      <c r="N1350" s="152" t="s">
        <v>1327</v>
      </c>
      <c r="O1350" s="152">
        <v>2.2744840000000002</v>
      </c>
      <c r="P1350" s="152">
        <v>42.656258999999999</v>
      </c>
      <c r="Q1350" s="152">
        <v>2.2744840000000002</v>
      </c>
      <c r="R1350" s="152" t="s">
        <v>1327</v>
      </c>
      <c r="S1350" s="152">
        <v>100.25256</v>
      </c>
      <c r="T1350" s="152">
        <v>0.62761599999999995</v>
      </c>
      <c r="U1350" s="152">
        <v>1.2198439999999999</v>
      </c>
      <c r="V1350" s="152">
        <v>2.105718</v>
      </c>
      <c r="W1350" s="152">
        <v>1000</v>
      </c>
      <c r="X1350" s="152" t="s">
        <v>23</v>
      </c>
      <c r="Y1350" s="152" t="s">
        <v>1328</v>
      </c>
      <c r="Z1350" s="152" t="s">
        <v>1327</v>
      </c>
    </row>
    <row r="1351" spans="1:26" x14ac:dyDescent="0.2">
      <c r="A1351" s="152" t="s">
        <v>2502</v>
      </c>
      <c r="B1351" s="152">
        <v>2.6</v>
      </c>
      <c r="C1351" s="151">
        <v>44102</v>
      </c>
      <c r="D1351" s="152">
        <v>1.9287669999999999</v>
      </c>
      <c r="E1351" s="152" t="s">
        <v>1325</v>
      </c>
      <c r="F1351" s="152" t="s">
        <v>1326</v>
      </c>
      <c r="G1351" s="152" t="s">
        <v>116</v>
      </c>
      <c r="H1351" s="152"/>
      <c r="I1351" s="151">
        <v>42921</v>
      </c>
      <c r="J1351" s="152">
        <v>2.44</v>
      </c>
      <c r="K1351" s="152" t="s">
        <v>1327</v>
      </c>
      <c r="L1351" s="152" t="s">
        <v>1327</v>
      </c>
      <c r="M1351" s="152" t="s">
        <v>1327</v>
      </c>
      <c r="N1351" s="152" t="s">
        <v>1327</v>
      </c>
      <c r="O1351" s="152">
        <v>2.4908860000000002</v>
      </c>
      <c r="P1351" s="152">
        <v>47.924776999999999</v>
      </c>
      <c r="Q1351" s="152">
        <v>2.4908860000000002</v>
      </c>
      <c r="R1351" s="152" t="s">
        <v>1327</v>
      </c>
      <c r="S1351" s="152">
        <v>100.213159</v>
      </c>
      <c r="T1351" s="152">
        <v>0.192329</v>
      </c>
      <c r="U1351" s="152">
        <v>1.8606199999999999</v>
      </c>
      <c r="V1351" s="152">
        <v>4.4228740000000002</v>
      </c>
      <c r="W1351" s="152">
        <v>1000</v>
      </c>
      <c r="X1351" s="152" t="s">
        <v>23</v>
      </c>
      <c r="Y1351" s="152" t="s">
        <v>1328</v>
      </c>
      <c r="Z1351" s="152" t="s">
        <v>1327</v>
      </c>
    </row>
    <row r="1352" spans="1:26" x14ac:dyDescent="0.2">
      <c r="A1352" s="152" t="s">
        <v>2503</v>
      </c>
      <c r="B1352" s="152">
        <v>2.4300000000000002</v>
      </c>
      <c r="C1352" s="151">
        <v>44110</v>
      </c>
      <c r="D1352" s="152">
        <v>1.950685</v>
      </c>
      <c r="E1352" s="152" t="s">
        <v>1325</v>
      </c>
      <c r="F1352" s="152" t="s">
        <v>1326</v>
      </c>
      <c r="G1352" s="152"/>
      <c r="H1352" s="152"/>
      <c r="I1352" s="152" t="s">
        <v>1327</v>
      </c>
      <c r="J1352" s="152" t="s">
        <v>1327</v>
      </c>
      <c r="K1352" s="152" t="s">
        <v>1327</v>
      </c>
      <c r="L1352" s="152" t="s">
        <v>1327</v>
      </c>
      <c r="M1352" s="152" t="s">
        <v>1327</v>
      </c>
      <c r="N1352" s="152" t="s">
        <v>1327</v>
      </c>
      <c r="O1352" s="152">
        <v>2.4945400000000002</v>
      </c>
      <c r="P1352" s="152">
        <v>48.352924000000002</v>
      </c>
      <c r="Q1352" s="152">
        <v>2.4945400000000002</v>
      </c>
      <c r="R1352" s="152" t="s">
        <v>1327</v>
      </c>
      <c r="S1352" s="152">
        <v>99.880720999999994</v>
      </c>
      <c r="T1352" s="152">
        <v>0.12649299999999999</v>
      </c>
      <c r="U1352" s="152">
        <v>1.8872850000000001</v>
      </c>
      <c r="V1352" s="152">
        <v>4.533423</v>
      </c>
      <c r="W1352" s="152">
        <v>1000</v>
      </c>
      <c r="X1352" s="152" t="s">
        <v>23</v>
      </c>
      <c r="Y1352" s="152" t="s">
        <v>1328</v>
      </c>
      <c r="Z1352" s="152" t="s">
        <v>1327</v>
      </c>
    </row>
    <row r="1353" spans="1:26" x14ac:dyDescent="0.2">
      <c r="A1353" s="152" t="s">
        <v>2504</v>
      </c>
      <c r="B1353" s="152">
        <v>2.63</v>
      </c>
      <c r="C1353" s="151">
        <v>44251</v>
      </c>
      <c r="D1353" s="152">
        <v>2.336986</v>
      </c>
      <c r="E1353" s="152" t="s">
        <v>1325</v>
      </c>
      <c r="F1353" s="152" t="s">
        <v>1326</v>
      </c>
      <c r="G1353" s="152" t="s">
        <v>116</v>
      </c>
      <c r="H1353" s="152"/>
      <c r="I1353" s="152">
        <v>43298</v>
      </c>
      <c r="J1353" s="152">
        <v>2.27</v>
      </c>
      <c r="K1353" s="152" t="s">
        <v>1327</v>
      </c>
      <c r="L1353" s="152" t="s">
        <v>1327</v>
      </c>
      <c r="M1353" s="152" t="s">
        <v>1327</v>
      </c>
      <c r="N1353" s="152" t="s">
        <v>1327</v>
      </c>
      <c r="O1353" s="152">
        <v>2.5407069999999998</v>
      </c>
      <c r="P1353" s="152">
        <v>49.881490999999997</v>
      </c>
      <c r="Q1353" s="152">
        <v>2.5407069999999998</v>
      </c>
      <c r="R1353" s="152" t="s">
        <v>1327</v>
      </c>
      <c r="S1353" s="152">
        <v>100.18848800000001</v>
      </c>
      <c r="T1353" s="152">
        <v>0.44674000000000003</v>
      </c>
      <c r="U1353" s="152">
        <v>2.2417899999999999</v>
      </c>
      <c r="V1353" s="152">
        <v>6.2224310000000003</v>
      </c>
      <c r="W1353" s="152">
        <v>1000</v>
      </c>
      <c r="X1353" s="152" t="s">
        <v>23</v>
      </c>
      <c r="Y1353" s="152" t="s">
        <v>1328</v>
      </c>
      <c r="Z1353" s="152" t="s">
        <v>1327</v>
      </c>
    </row>
    <row r="1354" spans="1:26" x14ac:dyDescent="0.2">
      <c r="A1354" s="152" t="s">
        <v>2505</v>
      </c>
      <c r="B1354" s="152">
        <v>2.76</v>
      </c>
      <c r="C1354" s="151">
        <v>44411</v>
      </c>
      <c r="D1354" s="152">
        <v>2.7753420000000002</v>
      </c>
      <c r="E1354" s="152" t="s">
        <v>1325</v>
      </c>
      <c r="F1354" s="152" t="s">
        <v>1326</v>
      </c>
      <c r="G1354" s="152"/>
      <c r="H1354" s="152"/>
      <c r="I1354" s="152">
        <v>43347</v>
      </c>
      <c r="J1354" s="152">
        <v>2.58</v>
      </c>
      <c r="K1354" s="152" t="s">
        <v>1327</v>
      </c>
      <c r="L1354" s="152" t="s">
        <v>1327</v>
      </c>
      <c r="M1354" s="152" t="s">
        <v>1327</v>
      </c>
      <c r="N1354" s="152" t="s">
        <v>1327</v>
      </c>
      <c r="O1354" s="152">
        <v>2.7239209999999998</v>
      </c>
      <c r="P1354" s="152">
        <v>65.098663999999999</v>
      </c>
      <c r="Q1354" s="152">
        <v>2.7239209999999998</v>
      </c>
      <c r="R1354" s="152" t="s">
        <v>1327</v>
      </c>
      <c r="S1354" s="152">
        <v>100.082211</v>
      </c>
      <c r="T1354" s="152">
        <v>0.62761599999999995</v>
      </c>
      <c r="U1354" s="152">
        <v>2.6405539999999998</v>
      </c>
      <c r="V1354" s="152">
        <v>8.4451009999999993</v>
      </c>
      <c r="W1354" s="152">
        <v>1000</v>
      </c>
      <c r="X1354" s="152" t="s">
        <v>23</v>
      </c>
      <c r="Y1354" s="152" t="s">
        <v>1328</v>
      </c>
      <c r="Z1354" s="152" t="s">
        <v>1327</v>
      </c>
    </row>
    <row r="1355" spans="1:26" x14ac:dyDescent="0.2">
      <c r="A1355" s="152" t="s">
        <v>2506</v>
      </c>
      <c r="B1355" s="152">
        <v>2.7</v>
      </c>
      <c r="C1355" s="151">
        <v>44509</v>
      </c>
      <c r="D1355" s="152">
        <v>3.0438360000000002</v>
      </c>
      <c r="E1355" s="152" t="s">
        <v>1325</v>
      </c>
      <c r="F1355" s="152" t="s">
        <v>1326</v>
      </c>
      <c r="G1355" s="152" t="s">
        <v>116</v>
      </c>
      <c r="H1355" s="152"/>
      <c r="I1355" s="152" t="s">
        <v>1327</v>
      </c>
      <c r="J1355" s="152" t="s">
        <v>1327</v>
      </c>
      <c r="K1355" s="152" t="s">
        <v>1327</v>
      </c>
      <c r="L1355" s="152" t="s">
        <v>1327</v>
      </c>
      <c r="M1355" s="152" t="s">
        <v>1327</v>
      </c>
      <c r="N1355" s="152" t="s">
        <v>1327</v>
      </c>
      <c r="O1355" s="152">
        <v>2.867451</v>
      </c>
      <c r="P1355" s="152">
        <v>75.107969999999995</v>
      </c>
      <c r="Q1355" s="152">
        <v>2.867451</v>
      </c>
      <c r="R1355" s="152" t="s">
        <v>1327</v>
      </c>
      <c r="S1355" s="152">
        <v>99.503803000000005</v>
      </c>
      <c r="T1355" s="152">
        <v>0.56958900000000001</v>
      </c>
      <c r="U1355" s="152">
        <v>2.8858359999999998</v>
      </c>
      <c r="V1355" s="152">
        <v>9.9665750000000006</v>
      </c>
      <c r="W1355" s="152">
        <v>1000</v>
      </c>
      <c r="X1355" s="152" t="s">
        <v>23</v>
      </c>
      <c r="Y1355" s="152" t="s">
        <v>1328</v>
      </c>
      <c r="Z1355" s="152" t="s">
        <v>1327</v>
      </c>
    </row>
    <row r="1356" spans="1:26" x14ac:dyDescent="0.2">
      <c r="A1356" s="152" t="s">
        <v>2507</v>
      </c>
      <c r="B1356" s="152">
        <v>2.4300000000000002</v>
      </c>
      <c r="C1356" s="151">
        <v>44615</v>
      </c>
      <c r="D1356" s="152">
        <v>3.334247</v>
      </c>
      <c r="E1356" s="152" t="s">
        <v>1325</v>
      </c>
      <c r="F1356" s="152" t="s">
        <v>1326</v>
      </c>
      <c r="G1356" s="152"/>
      <c r="H1356" s="152"/>
      <c r="I1356" s="152">
        <v>43161</v>
      </c>
      <c r="J1356" s="152">
        <v>2.4249999999999998</v>
      </c>
      <c r="K1356" s="152" t="s">
        <v>1327</v>
      </c>
      <c r="L1356" s="152" t="s">
        <v>1327</v>
      </c>
      <c r="M1356" s="152" t="s">
        <v>1327</v>
      </c>
      <c r="N1356" s="152" t="s">
        <v>1327</v>
      </c>
      <c r="O1356" s="152">
        <v>2.9138999999999999</v>
      </c>
      <c r="P1356" s="152">
        <v>71.096131</v>
      </c>
      <c r="Q1356" s="152">
        <v>2.9138999999999999</v>
      </c>
      <c r="R1356" s="152" t="s">
        <v>1327</v>
      </c>
      <c r="S1356" s="152">
        <v>98.462271999999999</v>
      </c>
      <c r="T1356" s="152">
        <v>0.41942499999999999</v>
      </c>
      <c r="U1356" s="152">
        <v>3.1606860000000001</v>
      </c>
      <c r="V1356" s="152">
        <v>11.797024</v>
      </c>
      <c r="W1356" s="152">
        <v>1000</v>
      </c>
      <c r="X1356" s="152" t="s">
        <v>23</v>
      </c>
      <c r="Y1356" s="152" t="s">
        <v>1328</v>
      </c>
      <c r="Z1356" s="152" t="s">
        <v>1327</v>
      </c>
    </row>
    <row r="1357" spans="1:26" x14ac:dyDescent="0.2">
      <c r="A1357" s="152" t="s">
        <v>2508</v>
      </c>
      <c r="B1357" s="152">
        <v>2.52</v>
      </c>
      <c r="C1357" s="151">
        <v>44705</v>
      </c>
      <c r="D1357" s="152">
        <v>3.5808219999999999</v>
      </c>
      <c r="E1357" s="152" t="s">
        <v>1325</v>
      </c>
      <c r="F1357" s="152" t="s">
        <v>1326</v>
      </c>
      <c r="G1357" s="152"/>
      <c r="H1357" s="152"/>
      <c r="I1357" s="152" t="s">
        <v>1327</v>
      </c>
      <c r="J1357" s="152" t="s">
        <v>1327</v>
      </c>
      <c r="K1357" s="152" t="s">
        <v>1327</v>
      </c>
      <c r="L1357" s="152" t="s">
        <v>1327</v>
      </c>
      <c r="M1357" s="152" t="s">
        <v>1327</v>
      </c>
      <c r="N1357" s="152" t="s">
        <v>1327</v>
      </c>
      <c r="O1357" s="152">
        <v>3.0032450000000002</v>
      </c>
      <c r="P1357" s="152">
        <v>72.984166999999999</v>
      </c>
      <c r="Q1357" s="152">
        <v>3.0032450000000002</v>
      </c>
      <c r="R1357" s="152" t="s">
        <v>1327</v>
      </c>
      <c r="S1357" s="152">
        <v>98.358700999999996</v>
      </c>
      <c r="T1357" s="152">
        <v>1.0632330000000001</v>
      </c>
      <c r="U1357" s="152">
        <v>3.3598889999999999</v>
      </c>
      <c r="V1357" s="152">
        <v>13.335986999999999</v>
      </c>
      <c r="W1357" s="152">
        <v>1000</v>
      </c>
      <c r="X1357" s="152" t="s">
        <v>23</v>
      </c>
      <c r="Y1357" s="152" t="s">
        <v>1328</v>
      </c>
      <c r="Z1357" s="152" t="s">
        <v>1327</v>
      </c>
    </row>
    <row r="1358" spans="1:26" x14ac:dyDescent="0.2">
      <c r="A1358" s="152" t="s">
        <v>2509</v>
      </c>
      <c r="B1358" s="152">
        <v>3.05</v>
      </c>
      <c r="C1358" s="151">
        <v>44981</v>
      </c>
      <c r="D1358" s="152">
        <v>4.3369859999999996</v>
      </c>
      <c r="E1358" s="152" t="s">
        <v>1325</v>
      </c>
      <c r="F1358" s="152" t="s">
        <v>1326</v>
      </c>
      <c r="G1358" s="152" t="s">
        <v>116</v>
      </c>
      <c r="H1358" s="152"/>
      <c r="I1358" s="152" t="s">
        <v>1327</v>
      </c>
      <c r="J1358" s="152" t="s">
        <v>1327</v>
      </c>
      <c r="K1358" s="152" t="s">
        <v>1327</v>
      </c>
      <c r="L1358" s="152" t="s">
        <v>1327</v>
      </c>
      <c r="M1358" s="152" t="s">
        <v>1327</v>
      </c>
      <c r="N1358" s="152" t="s">
        <v>1327</v>
      </c>
      <c r="O1358" s="152">
        <v>3.3684240000000001</v>
      </c>
      <c r="P1358" s="152">
        <v>101.09150099999999</v>
      </c>
      <c r="Q1358" s="152">
        <v>3.3684240000000001</v>
      </c>
      <c r="R1358" s="152" t="s">
        <v>1327</v>
      </c>
      <c r="S1358" s="152">
        <v>98.710474000000005</v>
      </c>
      <c r="T1358" s="152">
        <v>0.51808200000000004</v>
      </c>
      <c r="U1358" s="152">
        <v>4.0035689999999997</v>
      </c>
      <c r="V1358" s="152">
        <v>18.659731000000001</v>
      </c>
      <c r="W1358" s="152">
        <v>1000</v>
      </c>
      <c r="X1358" s="152" t="s">
        <v>23</v>
      </c>
      <c r="Y1358" s="152" t="s">
        <v>1328</v>
      </c>
      <c r="Z1358" s="152" t="s">
        <v>1327</v>
      </c>
    </row>
    <row r="1359" spans="1:26" x14ac:dyDescent="0.2">
      <c r="A1359" s="152" t="s">
        <v>2510</v>
      </c>
      <c r="B1359" s="152">
        <v>6.25</v>
      </c>
      <c r="C1359" s="151">
        <v>43590</v>
      </c>
      <c r="D1359" s="152">
        <v>0.52602700000000002</v>
      </c>
      <c r="E1359" s="152" t="s">
        <v>1325</v>
      </c>
      <c r="F1359" s="152" t="s">
        <v>1326</v>
      </c>
      <c r="G1359" s="152"/>
      <c r="H1359" s="152"/>
      <c r="I1359" s="151" t="s">
        <v>1327</v>
      </c>
      <c r="J1359" s="152" t="s">
        <v>1327</v>
      </c>
      <c r="K1359" s="152" t="s">
        <v>1327</v>
      </c>
      <c r="L1359" s="152" t="s">
        <v>1327</v>
      </c>
      <c r="M1359" s="152" t="s">
        <v>1327</v>
      </c>
      <c r="N1359" s="152" t="s">
        <v>1327</v>
      </c>
      <c r="O1359" s="152">
        <v>6.4560529999999998</v>
      </c>
      <c r="P1359" s="152">
        <v>491.150823</v>
      </c>
      <c r="Q1359" s="152">
        <v>6.4560529999999998</v>
      </c>
      <c r="R1359" s="152" t="s">
        <v>1327</v>
      </c>
      <c r="S1359" s="152">
        <v>99.895139</v>
      </c>
      <c r="T1359" s="152">
        <v>-0.188356</v>
      </c>
      <c r="U1359" s="152">
        <v>0.51792899999999997</v>
      </c>
      <c r="V1359" s="152">
        <v>0.396594</v>
      </c>
      <c r="W1359" s="152">
        <v>1000</v>
      </c>
      <c r="X1359" s="152" t="s">
        <v>23</v>
      </c>
      <c r="Y1359" s="152" t="s">
        <v>1328</v>
      </c>
      <c r="Z1359" s="152" t="s">
        <v>1327</v>
      </c>
    </row>
    <row r="1360" spans="1:26" x14ac:dyDescent="0.2">
      <c r="A1360" s="152" t="s">
        <v>2511</v>
      </c>
      <c r="B1360" s="152">
        <v>6.5</v>
      </c>
      <c r="C1360" s="151">
        <v>43624</v>
      </c>
      <c r="D1360" s="152">
        <v>0.61917800000000001</v>
      </c>
      <c r="E1360" s="152" t="s">
        <v>1325</v>
      </c>
      <c r="F1360" s="152" t="s">
        <v>1326</v>
      </c>
      <c r="G1360" s="152"/>
      <c r="H1360" s="152"/>
      <c r="I1360" s="151" t="s">
        <v>1327</v>
      </c>
      <c r="J1360" s="152" t="s">
        <v>1327</v>
      </c>
      <c r="K1360" s="152" t="s">
        <v>1327</v>
      </c>
      <c r="L1360" s="152" t="s">
        <v>1327</v>
      </c>
      <c r="M1360" s="152" t="s">
        <v>1327</v>
      </c>
      <c r="N1360" s="152" t="s">
        <v>1327</v>
      </c>
      <c r="O1360" s="152">
        <v>6.8296919999999997</v>
      </c>
      <c r="P1360" s="152">
        <v>524.32112099999995</v>
      </c>
      <c r="Q1360" s="152">
        <v>6.8296919999999997</v>
      </c>
      <c r="R1360" s="152" t="s">
        <v>1327</v>
      </c>
      <c r="S1360" s="152">
        <v>99.802357999999998</v>
      </c>
      <c r="T1360" s="152">
        <v>0.83698600000000001</v>
      </c>
      <c r="U1360" s="152">
        <v>0.598387</v>
      </c>
      <c r="V1360" s="152">
        <v>0.50983599999999996</v>
      </c>
      <c r="W1360" s="152">
        <v>1000</v>
      </c>
      <c r="X1360" s="152" t="s">
        <v>23</v>
      </c>
      <c r="Y1360" s="152" t="s">
        <v>1328</v>
      </c>
      <c r="Z1360" s="152" t="s">
        <v>1327</v>
      </c>
    </row>
    <row r="1361" spans="1:26" x14ac:dyDescent="0.2">
      <c r="A1361" s="152" t="s">
        <v>2512</v>
      </c>
      <c r="B1361" s="152">
        <v>5.25</v>
      </c>
      <c r="C1361" s="151">
        <v>43500</v>
      </c>
      <c r="D1361" s="152">
        <v>0.27945199999999998</v>
      </c>
      <c r="E1361" s="152" t="s">
        <v>1325</v>
      </c>
      <c r="F1361" s="152" t="s">
        <v>1326</v>
      </c>
      <c r="G1361" s="152"/>
      <c r="H1361" s="152"/>
      <c r="I1361" s="152">
        <v>42872</v>
      </c>
      <c r="J1361" s="152">
        <v>5.2171539999999998</v>
      </c>
      <c r="K1361" s="152" t="s">
        <v>1327</v>
      </c>
      <c r="L1361" s="152" t="s">
        <v>1327</v>
      </c>
      <c r="M1361" s="152" t="s">
        <v>1327</v>
      </c>
      <c r="N1361" s="152" t="s">
        <v>1327</v>
      </c>
      <c r="O1361" s="152">
        <v>5.1903199999999998</v>
      </c>
      <c r="P1361" s="152">
        <v>367.12273199999998</v>
      </c>
      <c r="Q1361" s="152">
        <v>5.1903199999999998</v>
      </c>
      <c r="R1361" s="152" t="s">
        <v>1327</v>
      </c>
      <c r="S1361" s="152">
        <v>100.017358</v>
      </c>
      <c r="T1361" s="152">
        <v>-0.14383599999999999</v>
      </c>
      <c r="U1361" s="152">
        <v>0.27384399999999998</v>
      </c>
      <c r="V1361" s="152">
        <v>0.14257500000000001</v>
      </c>
      <c r="W1361" s="152">
        <v>1000</v>
      </c>
      <c r="X1361" s="152" t="s">
        <v>23</v>
      </c>
      <c r="Y1361" s="152" t="s">
        <v>1328</v>
      </c>
      <c r="Z1361" s="152" t="s">
        <v>1327</v>
      </c>
    </row>
    <row r="1362" spans="1:26" x14ac:dyDescent="0.2">
      <c r="A1362" s="152" t="s">
        <v>2513</v>
      </c>
      <c r="B1362" s="152">
        <v>5.15</v>
      </c>
      <c r="C1362" s="151">
        <v>43661</v>
      </c>
      <c r="D1362" s="152">
        <v>0.72054799999999997</v>
      </c>
      <c r="E1362" s="152" t="s">
        <v>1325</v>
      </c>
      <c r="F1362" s="152" t="s">
        <v>1326</v>
      </c>
      <c r="G1362" s="152"/>
      <c r="H1362" s="152"/>
      <c r="I1362" s="152" t="s">
        <v>1327</v>
      </c>
      <c r="J1362" s="152" t="s">
        <v>1327</v>
      </c>
      <c r="K1362" s="152" t="s">
        <v>1327</v>
      </c>
      <c r="L1362" s="152" t="s">
        <v>1327</v>
      </c>
      <c r="M1362" s="152" t="s">
        <v>1327</v>
      </c>
      <c r="N1362" s="152" t="s">
        <v>1327</v>
      </c>
      <c r="O1362" s="152">
        <v>5.3967999999999998</v>
      </c>
      <c r="P1362" s="152">
        <v>374.36837500000001</v>
      </c>
      <c r="Q1362" s="152">
        <v>5.3967999999999998</v>
      </c>
      <c r="R1362" s="152" t="s">
        <v>1327</v>
      </c>
      <c r="S1362" s="152">
        <v>99.814390000000003</v>
      </c>
      <c r="T1362" s="152">
        <v>0.141096</v>
      </c>
      <c r="U1362" s="152">
        <v>0.70563500000000001</v>
      </c>
      <c r="V1362" s="152">
        <v>0.67575399999999997</v>
      </c>
      <c r="W1362" s="152">
        <v>1000</v>
      </c>
      <c r="X1362" s="152" t="s">
        <v>23</v>
      </c>
      <c r="Y1362" s="152" t="s">
        <v>1328</v>
      </c>
      <c r="Z1362" s="152" t="s">
        <v>1327</v>
      </c>
    </row>
    <row r="1363" spans="1:26" x14ac:dyDescent="0.2">
      <c r="A1363" s="152" t="s">
        <v>2514</v>
      </c>
      <c r="B1363" s="152">
        <v>5.15</v>
      </c>
      <c r="C1363" s="151">
        <v>43869</v>
      </c>
      <c r="D1363" s="152">
        <v>1.290411</v>
      </c>
      <c r="E1363" s="152" t="s">
        <v>1325</v>
      </c>
      <c r="F1363" s="152" t="s">
        <v>1326</v>
      </c>
      <c r="G1363" s="152"/>
      <c r="H1363" s="152"/>
      <c r="I1363" s="152" t="s">
        <v>1327</v>
      </c>
      <c r="J1363" s="152" t="s">
        <v>1327</v>
      </c>
      <c r="K1363" s="152" t="s">
        <v>1327</v>
      </c>
      <c r="L1363" s="152" t="s">
        <v>1327</v>
      </c>
      <c r="M1363" s="152" t="s">
        <v>1327</v>
      </c>
      <c r="N1363" s="152" t="s">
        <v>1327</v>
      </c>
      <c r="O1363" s="152">
        <v>5.4694570000000002</v>
      </c>
      <c r="P1363" s="152">
        <v>370.43497400000001</v>
      </c>
      <c r="Q1363" s="152">
        <v>5.4694570000000002</v>
      </c>
      <c r="R1363" s="152" t="s">
        <v>1327</v>
      </c>
      <c r="S1363" s="152">
        <v>99.606734000000003</v>
      </c>
      <c r="T1363" s="152">
        <v>-0.19753399999999999</v>
      </c>
      <c r="U1363" s="152">
        <v>1.2399530000000001</v>
      </c>
      <c r="V1363" s="152">
        <v>1.865386</v>
      </c>
      <c r="W1363" s="152">
        <v>1000</v>
      </c>
      <c r="X1363" s="152" t="s">
        <v>23</v>
      </c>
      <c r="Y1363" s="152" t="s">
        <v>1328</v>
      </c>
      <c r="Z1363" s="152" t="s">
        <v>1327</v>
      </c>
    </row>
    <row r="1364" spans="1:26" x14ac:dyDescent="0.2">
      <c r="A1364" s="152" t="s">
        <v>2515</v>
      </c>
      <c r="B1364" s="152">
        <v>6</v>
      </c>
      <c r="C1364" s="151">
        <v>44031</v>
      </c>
      <c r="D1364" s="152">
        <v>1.7342470000000001</v>
      </c>
      <c r="E1364" s="152" t="s">
        <v>1325</v>
      </c>
      <c r="F1364" s="152" t="s">
        <v>1326</v>
      </c>
      <c r="G1364" s="152"/>
      <c r="H1364" s="152"/>
      <c r="I1364" s="151" t="s">
        <v>1327</v>
      </c>
      <c r="J1364" s="152" t="s">
        <v>1327</v>
      </c>
      <c r="K1364" s="152" t="s">
        <v>1327</v>
      </c>
      <c r="L1364" s="152" t="s">
        <v>1327</v>
      </c>
      <c r="M1364" s="152" t="s">
        <v>1327</v>
      </c>
      <c r="N1364" s="152" t="s">
        <v>1327</v>
      </c>
      <c r="O1364" s="152">
        <v>6.4029150000000001</v>
      </c>
      <c r="P1364" s="152">
        <v>458.16984200000002</v>
      </c>
      <c r="Q1364" s="152">
        <v>6.4029150000000001</v>
      </c>
      <c r="R1364" s="152" t="s">
        <v>1327</v>
      </c>
      <c r="S1364" s="152">
        <v>99.330135999999996</v>
      </c>
      <c r="T1364" s="152">
        <v>9.8629999999999995E-2</v>
      </c>
      <c r="U1364" s="152">
        <v>1.6334599999999999</v>
      </c>
      <c r="V1364" s="152">
        <v>3.1449410000000002</v>
      </c>
      <c r="W1364" s="152">
        <v>1000</v>
      </c>
      <c r="X1364" s="152" t="s">
        <v>23</v>
      </c>
      <c r="Y1364" s="152" t="s">
        <v>1328</v>
      </c>
      <c r="Z1364" s="152" t="s">
        <v>1327</v>
      </c>
    </row>
    <row r="1365" spans="1:26" x14ac:dyDescent="0.2">
      <c r="A1365" s="152" t="s">
        <v>215</v>
      </c>
      <c r="B1365" s="152">
        <v>2.68</v>
      </c>
      <c r="C1365" s="151">
        <v>43417</v>
      </c>
      <c r="D1365" s="152">
        <v>5.2054999999999997E-2</v>
      </c>
      <c r="E1365" s="152" t="s">
        <v>1325</v>
      </c>
      <c r="F1365" s="152" t="s">
        <v>1326</v>
      </c>
      <c r="G1365" s="152" t="s">
        <v>47</v>
      </c>
      <c r="H1365" s="152"/>
      <c r="I1365" s="152">
        <v>43391</v>
      </c>
      <c r="J1365" s="152">
        <v>1.44</v>
      </c>
      <c r="K1365" s="152">
        <v>42368</v>
      </c>
      <c r="L1365" s="152">
        <v>2.395</v>
      </c>
      <c r="M1365" s="152">
        <v>3.206588</v>
      </c>
      <c r="N1365" s="152">
        <v>2.39</v>
      </c>
      <c r="O1365" s="152">
        <v>1.4263129999999999</v>
      </c>
      <c r="P1365" s="152">
        <v>22.694835000000001</v>
      </c>
      <c r="Q1365" s="152">
        <v>1.4263129999999999</v>
      </c>
      <c r="R1365" s="152" t="s">
        <v>1327</v>
      </c>
      <c r="S1365" s="152">
        <v>100.059417</v>
      </c>
      <c r="T1365" s="152">
        <v>0.53600000000000003</v>
      </c>
      <c r="U1365" s="152">
        <v>5.1869999999999999E-2</v>
      </c>
      <c r="V1365" s="152">
        <v>1.5611999999999999E-2</v>
      </c>
      <c r="W1365" s="152">
        <v>1000</v>
      </c>
      <c r="X1365" s="152" t="s">
        <v>23</v>
      </c>
      <c r="Y1365" s="152" t="s">
        <v>1328</v>
      </c>
      <c r="Z1365" s="152" t="s">
        <v>1327</v>
      </c>
    </row>
    <row r="1366" spans="1:26" x14ac:dyDescent="0.2">
      <c r="A1366" s="152" t="s">
        <v>552</v>
      </c>
      <c r="B1366" s="152">
        <v>2.0499999999999998</v>
      </c>
      <c r="C1366" s="151">
        <v>43545</v>
      </c>
      <c r="D1366" s="152">
        <v>0.40273999999999999</v>
      </c>
      <c r="E1366" s="152" t="s">
        <v>1325</v>
      </c>
      <c r="F1366" s="152" t="s">
        <v>1326</v>
      </c>
      <c r="G1366" s="152" t="s">
        <v>47</v>
      </c>
      <c r="H1366" s="152"/>
      <c r="I1366" s="152">
        <v>43375</v>
      </c>
      <c r="J1366" s="152">
        <v>1.86</v>
      </c>
      <c r="K1366" s="152" t="s">
        <v>1327</v>
      </c>
      <c r="L1366" s="152" t="s">
        <v>1327</v>
      </c>
      <c r="M1366" s="152" t="s">
        <v>1327</v>
      </c>
      <c r="N1366" s="152" t="s">
        <v>1327</v>
      </c>
      <c r="O1366" s="152">
        <v>2.0038320000000001</v>
      </c>
      <c r="P1366" s="152">
        <v>32.486167000000002</v>
      </c>
      <c r="Q1366" s="152">
        <v>2.0038320000000001</v>
      </c>
      <c r="R1366" s="152" t="s">
        <v>1327</v>
      </c>
      <c r="S1366" s="152">
        <v>100.019525</v>
      </c>
      <c r="T1366" s="152">
        <v>0.213425</v>
      </c>
      <c r="U1366" s="152">
        <v>0.399426</v>
      </c>
      <c r="V1366" s="152">
        <v>0.25923299999999999</v>
      </c>
      <c r="W1366" s="152">
        <v>1000</v>
      </c>
      <c r="X1366" s="152" t="s">
        <v>23</v>
      </c>
      <c r="Y1366" s="152" t="s">
        <v>1328</v>
      </c>
      <c r="Z1366" s="152" t="s">
        <v>1327</v>
      </c>
    </row>
    <row r="1367" spans="1:26" x14ac:dyDescent="0.2">
      <c r="A1367" s="152" t="s">
        <v>2516</v>
      </c>
      <c r="B1367" s="152">
        <v>0</v>
      </c>
      <c r="C1367" s="151">
        <v>43542</v>
      </c>
      <c r="D1367" s="152">
        <v>0.39452100000000001</v>
      </c>
      <c r="E1367" s="152" t="s">
        <v>1325</v>
      </c>
      <c r="F1367" s="152" t="s">
        <v>1326</v>
      </c>
      <c r="G1367" s="152"/>
      <c r="H1367" s="152"/>
      <c r="I1367" s="152" t="s">
        <v>1327</v>
      </c>
      <c r="J1367" s="152" t="s">
        <v>1327</v>
      </c>
      <c r="K1367" s="152" t="s">
        <v>1327</v>
      </c>
      <c r="L1367" s="152" t="s">
        <v>1327</v>
      </c>
      <c r="M1367" s="152" t="s">
        <v>1327</v>
      </c>
      <c r="N1367" s="152" t="s">
        <v>1327</v>
      </c>
      <c r="O1367" s="152">
        <v>1.998364</v>
      </c>
      <c r="P1367" s="152">
        <v>32.147877000000001</v>
      </c>
      <c r="Q1367" s="152">
        <v>1.998364</v>
      </c>
      <c r="R1367" s="152" t="s">
        <v>1327</v>
      </c>
      <c r="S1367" s="152">
        <v>99.217770999999999</v>
      </c>
      <c r="T1367" s="152">
        <v>0</v>
      </c>
      <c r="U1367" s="152">
        <v>0.391434</v>
      </c>
      <c r="V1367" s="152">
        <v>0.30644199999999999</v>
      </c>
      <c r="W1367" s="152">
        <v>941404</v>
      </c>
      <c r="X1367" s="152" t="s">
        <v>23</v>
      </c>
      <c r="Y1367" s="152" t="s">
        <v>1921</v>
      </c>
      <c r="Z1367" s="152" t="s">
        <v>1327</v>
      </c>
    </row>
    <row r="1368" spans="1:26" x14ac:dyDescent="0.2">
      <c r="A1368" s="152" t="s">
        <v>2517</v>
      </c>
      <c r="B1368" s="152">
        <v>0</v>
      </c>
      <c r="C1368" s="151">
        <v>43542</v>
      </c>
      <c r="D1368" s="152">
        <v>0.39452100000000001</v>
      </c>
      <c r="E1368" s="152" t="s">
        <v>1325</v>
      </c>
      <c r="F1368" s="152" t="s">
        <v>1326</v>
      </c>
      <c r="G1368" s="152"/>
      <c r="H1368" s="152"/>
      <c r="I1368" s="152" t="s">
        <v>1327</v>
      </c>
      <c r="J1368" s="152" t="s">
        <v>1327</v>
      </c>
      <c r="K1368" s="152" t="s">
        <v>1327</v>
      </c>
      <c r="L1368" s="152" t="s">
        <v>1327</v>
      </c>
      <c r="M1368" s="152" t="s">
        <v>1327</v>
      </c>
      <c r="N1368" s="152" t="s">
        <v>1327</v>
      </c>
      <c r="O1368" s="152">
        <v>1.998364</v>
      </c>
      <c r="P1368" s="152">
        <v>32.147880999999998</v>
      </c>
      <c r="Q1368" s="152">
        <v>1.998364</v>
      </c>
      <c r="R1368" s="152" t="s">
        <v>1327</v>
      </c>
      <c r="S1368" s="152">
        <v>99.217770999999999</v>
      </c>
      <c r="T1368" s="152">
        <v>0</v>
      </c>
      <c r="U1368" s="152">
        <v>0.391434</v>
      </c>
      <c r="V1368" s="152">
        <v>0.30644199999999999</v>
      </c>
      <c r="W1368" s="152">
        <v>3376152</v>
      </c>
      <c r="X1368" s="152" t="s">
        <v>23</v>
      </c>
      <c r="Y1368" s="152" t="s">
        <v>1921</v>
      </c>
      <c r="Z1368" s="152" t="s">
        <v>1327</v>
      </c>
    </row>
    <row r="1369" spans="1:26" x14ac:dyDescent="0.2">
      <c r="A1369" s="152" t="s">
        <v>2518</v>
      </c>
      <c r="B1369" s="152">
        <v>2.08</v>
      </c>
      <c r="C1369" s="151">
        <v>43727</v>
      </c>
      <c r="D1369" s="152">
        <v>0.90137</v>
      </c>
      <c r="E1369" s="152" t="s">
        <v>1325</v>
      </c>
      <c r="F1369" s="152" t="s">
        <v>1326</v>
      </c>
      <c r="G1369" s="152" t="s">
        <v>47</v>
      </c>
      <c r="H1369" s="152"/>
      <c r="I1369" s="152">
        <v>43362</v>
      </c>
      <c r="J1369" s="152">
        <v>2.0499999999999998</v>
      </c>
      <c r="K1369" s="152" t="s">
        <v>1327</v>
      </c>
      <c r="L1369" s="152" t="s">
        <v>1327</v>
      </c>
      <c r="M1369" s="152" t="s">
        <v>1327</v>
      </c>
      <c r="N1369" s="152" t="s">
        <v>1327</v>
      </c>
      <c r="O1369" s="152">
        <v>2.2312110000000001</v>
      </c>
      <c r="P1369" s="152">
        <v>44.658082999999998</v>
      </c>
      <c r="Q1369" s="152">
        <v>2.2312110000000001</v>
      </c>
      <c r="R1369" s="152" t="s">
        <v>1327</v>
      </c>
      <c r="S1369" s="152">
        <v>99.866262000000006</v>
      </c>
      <c r="T1369" s="152">
        <v>0.21654799999999999</v>
      </c>
      <c r="U1369" s="152">
        <v>0.88992000000000004</v>
      </c>
      <c r="V1369" s="152">
        <v>1.0177290000000001</v>
      </c>
      <c r="W1369" s="152">
        <v>1000</v>
      </c>
      <c r="X1369" s="152" t="s">
        <v>23</v>
      </c>
      <c r="Y1369" s="152" t="s">
        <v>1328</v>
      </c>
      <c r="Z1369" s="152" t="s">
        <v>1327</v>
      </c>
    </row>
    <row r="1370" spans="1:26" x14ac:dyDescent="0.2">
      <c r="A1370" s="152" t="s">
        <v>553</v>
      </c>
      <c r="B1370" s="152">
        <v>2.63</v>
      </c>
      <c r="C1370" s="151">
        <v>43798</v>
      </c>
      <c r="D1370" s="152">
        <v>1.09589</v>
      </c>
      <c r="E1370" s="152" t="s">
        <v>1325</v>
      </c>
      <c r="F1370" s="152" t="s">
        <v>1326</v>
      </c>
      <c r="G1370" s="152" t="s">
        <v>47</v>
      </c>
      <c r="H1370" s="152"/>
      <c r="I1370" s="152">
        <v>43390</v>
      </c>
      <c r="J1370" s="152">
        <v>2.3025000000000002</v>
      </c>
      <c r="K1370" s="152" t="s">
        <v>1327</v>
      </c>
      <c r="L1370" s="152" t="s">
        <v>1327</v>
      </c>
      <c r="M1370" s="152" t="s">
        <v>1327</v>
      </c>
      <c r="N1370" s="152" t="s">
        <v>1327</v>
      </c>
      <c r="O1370" s="152">
        <v>2.3145549999999999</v>
      </c>
      <c r="P1370" s="152">
        <v>51.177112000000001</v>
      </c>
      <c r="Q1370" s="152">
        <v>2.3145549999999999</v>
      </c>
      <c r="R1370" s="152" t="s">
        <v>1327</v>
      </c>
      <c r="S1370" s="152">
        <v>100.340507</v>
      </c>
      <c r="T1370" s="152">
        <v>-6.4849000000000004E-2</v>
      </c>
      <c r="U1370" s="152">
        <v>1.080533</v>
      </c>
      <c r="V1370" s="152">
        <v>1.4431430000000001</v>
      </c>
      <c r="W1370" s="152">
        <v>1000</v>
      </c>
      <c r="X1370" s="152" t="s">
        <v>23</v>
      </c>
      <c r="Y1370" s="152" t="s">
        <v>1328</v>
      </c>
      <c r="Z1370" s="152" t="s">
        <v>1327</v>
      </c>
    </row>
    <row r="1371" spans="1:26" x14ac:dyDescent="0.2">
      <c r="A1371" s="152" t="s">
        <v>2519</v>
      </c>
      <c r="B1371" s="152">
        <v>3.23</v>
      </c>
      <c r="C1371" s="151">
        <v>43964</v>
      </c>
      <c r="D1371" s="152">
        <v>1.5506850000000001</v>
      </c>
      <c r="E1371" s="152" t="s">
        <v>1325</v>
      </c>
      <c r="F1371" s="152" t="s">
        <v>1326</v>
      </c>
      <c r="G1371" s="152" t="s">
        <v>47</v>
      </c>
      <c r="H1371" s="152"/>
      <c r="I1371" s="152">
        <v>43339</v>
      </c>
      <c r="J1371" s="152">
        <v>2.105</v>
      </c>
      <c r="K1371" s="152">
        <v>42307</v>
      </c>
      <c r="L1371" s="152">
        <v>2.85</v>
      </c>
      <c r="M1371" s="152">
        <v>3.6788370000000001</v>
      </c>
      <c r="N1371" s="152">
        <v>2.85</v>
      </c>
      <c r="O1371" s="152">
        <v>2.501995</v>
      </c>
      <c r="P1371" s="152">
        <v>58.586129999999997</v>
      </c>
      <c r="Q1371" s="152">
        <v>2.501995</v>
      </c>
      <c r="R1371" s="152" t="s">
        <v>1327</v>
      </c>
      <c r="S1371" s="152">
        <v>101.097809</v>
      </c>
      <c r="T1371" s="152">
        <v>0.64600000000000002</v>
      </c>
      <c r="U1371" s="152">
        <v>1.5014780000000001</v>
      </c>
      <c r="V1371" s="152">
        <v>2.6700029999999999</v>
      </c>
      <c r="W1371" s="152">
        <v>1000</v>
      </c>
      <c r="X1371" s="152" t="s">
        <v>23</v>
      </c>
      <c r="Y1371" s="152" t="s">
        <v>1328</v>
      </c>
      <c r="Z1371" s="152" t="s">
        <v>1327</v>
      </c>
    </row>
    <row r="1372" spans="1:26" x14ac:dyDescent="0.2">
      <c r="A1372" s="152" t="s">
        <v>603</v>
      </c>
      <c r="B1372" s="152">
        <v>2.85</v>
      </c>
      <c r="C1372" s="151">
        <v>44043</v>
      </c>
      <c r="D1372" s="152">
        <v>1.767123</v>
      </c>
      <c r="E1372" s="152" t="s">
        <v>1325</v>
      </c>
      <c r="F1372" s="152" t="s">
        <v>1326</v>
      </c>
      <c r="G1372" s="152" t="s">
        <v>47</v>
      </c>
      <c r="H1372" s="152"/>
      <c r="I1372" s="151">
        <v>43369</v>
      </c>
      <c r="J1372" s="152">
        <v>2.52</v>
      </c>
      <c r="K1372" s="152" t="s">
        <v>1327</v>
      </c>
      <c r="L1372" s="152" t="s">
        <v>1327</v>
      </c>
      <c r="M1372" s="152" t="s">
        <v>1327</v>
      </c>
      <c r="N1372" s="152" t="s">
        <v>1327</v>
      </c>
      <c r="O1372" s="152">
        <v>2.6274510000000002</v>
      </c>
      <c r="P1372" s="152">
        <v>66.318721999999994</v>
      </c>
      <c r="Q1372" s="152">
        <v>2.6274510000000002</v>
      </c>
      <c r="R1372" s="152" t="s">
        <v>1327</v>
      </c>
      <c r="S1372" s="152">
        <v>100.38365</v>
      </c>
      <c r="T1372" s="152">
        <v>-7.0274000000000003E-2</v>
      </c>
      <c r="U1372" s="152">
        <v>1.7208239999999999</v>
      </c>
      <c r="V1372" s="152">
        <v>3.4261740000000001</v>
      </c>
      <c r="W1372" s="152">
        <v>1000</v>
      </c>
      <c r="X1372" s="152" t="s">
        <v>23</v>
      </c>
      <c r="Y1372" s="152" t="s">
        <v>1328</v>
      </c>
      <c r="Z1372" s="152" t="s">
        <v>1327</v>
      </c>
    </row>
    <row r="1373" spans="1:26" x14ac:dyDescent="0.2">
      <c r="A1373" s="152" t="s">
        <v>506</v>
      </c>
      <c r="B1373" s="152">
        <v>2.64</v>
      </c>
      <c r="C1373" s="151">
        <v>44155</v>
      </c>
      <c r="D1373" s="152">
        <v>2.0739730000000001</v>
      </c>
      <c r="E1373" s="152" t="s">
        <v>1325</v>
      </c>
      <c r="F1373" s="152" t="s">
        <v>1326</v>
      </c>
      <c r="G1373" s="152" t="s">
        <v>47</v>
      </c>
      <c r="H1373" s="152"/>
      <c r="I1373" s="151">
        <v>43397</v>
      </c>
      <c r="J1373" s="152">
        <v>2.78</v>
      </c>
      <c r="K1373" s="152" t="s">
        <v>1327</v>
      </c>
      <c r="L1373" s="152" t="s">
        <v>1327</v>
      </c>
      <c r="M1373" s="152" t="s">
        <v>1327</v>
      </c>
      <c r="N1373" s="152" t="s">
        <v>1327</v>
      </c>
      <c r="O1373" s="152">
        <v>2.78</v>
      </c>
      <c r="P1373" s="152">
        <v>76.327619999999996</v>
      </c>
      <c r="Q1373" s="152">
        <v>2.78</v>
      </c>
      <c r="R1373" s="152" t="s">
        <v>1327</v>
      </c>
      <c r="S1373" s="152">
        <v>99.715472000000005</v>
      </c>
      <c r="T1373" s="152">
        <v>0.95474000000000003</v>
      </c>
      <c r="U1373" s="152">
        <v>1.9840409999999999</v>
      </c>
      <c r="V1373" s="152">
        <v>4.9974619999999996</v>
      </c>
      <c r="W1373" s="152">
        <v>1000</v>
      </c>
      <c r="X1373" s="152" t="s">
        <v>23</v>
      </c>
      <c r="Y1373" s="152" t="s">
        <v>1328</v>
      </c>
      <c r="Z1373" s="152" t="s">
        <v>1327</v>
      </c>
    </row>
    <row r="1374" spans="1:26" x14ac:dyDescent="0.2">
      <c r="A1374" s="152" t="s">
        <v>688</v>
      </c>
      <c r="B1374" s="152">
        <v>2.27</v>
      </c>
      <c r="C1374" s="151">
        <v>44274</v>
      </c>
      <c r="D1374" s="152">
        <v>2.4</v>
      </c>
      <c r="E1374" s="152" t="s">
        <v>1325</v>
      </c>
      <c r="F1374" s="152" t="s">
        <v>1326</v>
      </c>
      <c r="G1374" s="152" t="s">
        <v>47</v>
      </c>
      <c r="H1374" s="152"/>
      <c r="I1374" s="151">
        <v>43355</v>
      </c>
      <c r="J1374" s="152">
        <v>2.4300000000000002</v>
      </c>
      <c r="K1374" s="152" t="s">
        <v>1327</v>
      </c>
      <c r="L1374" s="152" t="s">
        <v>1327</v>
      </c>
      <c r="M1374" s="152" t="s">
        <v>1327</v>
      </c>
      <c r="N1374" s="152" t="s">
        <v>1327</v>
      </c>
      <c r="O1374" s="152">
        <v>2.7690959999999998</v>
      </c>
      <c r="P1374" s="152">
        <v>72.485894000000002</v>
      </c>
      <c r="Q1374" s="152">
        <v>2.7690959999999998</v>
      </c>
      <c r="R1374" s="152" t="s">
        <v>1327</v>
      </c>
      <c r="S1374" s="152">
        <v>98.858123000000006</v>
      </c>
      <c r="T1374" s="152">
        <v>0.22389000000000001</v>
      </c>
      <c r="U1374" s="152">
        <v>2.3094000000000001</v>
      </c>
      <c r="V1374" s="152">
        <v>6.5511489999999997</v>
      </c>
      <c r="W1374" s="152">
        <v>1000</v>
      </c>
      <c r="X1374" s="152" t="s">
        <v>23</v>
      </c>
      <c r="Y1374" s="152" t="s">
        <v>1328</v>
      </c>
      <c r="Z1374" s="152" t="s">
        <v>1327</v>
      </c>
    </row>
    <row r="1375" spans="1:26" x14ac:dyDescent="0.2">
      <c r="A1375" s="152" t="s">
        <v>689</v>
      </c>
      <c r="B1375" s="152">
        <v>2.37</v>
      </c>
      <c r="C1375" s="151">
        <v>44347</v>
      </c>
      <c r="D1375" s="152">
        <v>2.6</v>
      </c>
      <c r="E1375" s="152" t="s">
        <v>1325</v>
      </c>
      <c r="F1375" s="152" t="s">
        <v>1326</v>
      </c>
      <c r="G1375" s="152" t="s">
        <v>47</v>
      </c>
      <c r="H1375" s="152"/>
      <c r="I1375" s="151">
        <v>43314</v>
      </c>
      <c r="J1375" s="152">
        <v>2.4700000000000002</v>
      </c>
      <c r="K1375" s="152" t="s">
        <v>1327</v>
      </c>
      <c r="L1375" s="152" t="s">
        <v>1327</v>
      </c>
      <c r="M1375" s="152" t="s">
        <v>1327</v>
      </c>
      <c r="N1375" s="152" t="s">
        <v>1327</v>
      </c>
      <c r="O1375" s="152">
        <v>2.6569759999999998</v>
      </c>
      <c r="P1375" s="152">
        <v>59.809359999999998</v>
      </c>
      <c r="Q1375" s="152">
        <v>2.6569759999999998</v>
      </c>
      <c r="R1375" s="152" t="s">
        <v>1327</v>
      </c>
      <c r="S1375" s="152">
        <v>99.279515000000004</v>
      </c>
      <c r="T1375" s="152">
        <v>0.95449300000000004</v>
      </c>
      <c r="U1375" s="152">
        <v>2.4787940000000002</v>
      </c>
      <c r="V1375" s="152">
        <v>7.5162509999999996</v>
      </c>
      <c r="W1375" s="152">
        <v>1000</v>
      </c>
      <c r="X1375" s="152" t="s">
        <v>23</v>
      </c>
      <c r="Y1375" s="152" t="s">
        <v>1328</v>
      </c>
      <c r="Z1375" s="152" t="s">
        <v>1327</v>
      </c>
    </row>
    <row r="1376" spans="1:26" x14ac:dyDescent="0.2">
      <c r="A1376" s="152" t="s">
        <v>2520</v>
      </c>
      <c r="B1376" s="152">
        <v>2.84</v>
      </c>
      <c r="C1376" s="151">
        <v>45077</v>
      </c>
      <c r="D1376" s="152">
        <v>4.5999999999999996</v>
      </c>
      <c r="E1376" s="152" t="s">
        <v>1325</v>
      </c>
      <c r="F1376" s="152" t="s">
        <v>1326</v>
      </c>
      <c r="G1376" s="152" t="s">
        <v>47</v>
      </c>
      <c r="H1376" s="152"/>
      <c r="I1376" s="152">
        <v>43263</v>
      </c>
      <c r="J1376" s="152">
        <v>2.82</v>
      </c>
      <c r="K1376" s="152" t="s">
        <v>1327</v>
      </c>
      <c r="L1376" s="152" t="s">
        <v>1327</v>
      </c>
      <c r="M1376" s="152" t="s">
        <v>1327</v>
      </c>
      <c r="N1376" s="152" t="s">
        <v>1327</v>
      </c>
      <c r="O1376" s="152">
        <v>3.184053</v>
      </c>
      <c r="P1376" s="152">
        <v>79.229613000000001</v>
      </c>
      <c r="Q1376" s="152">
        <v>3.184053</v>
      </c>
      <c r="R1376" s="152" t="s">
        <v>1327</v>
      </c>
      <c r="S1376" s="152">
        <v>98.53331</v>
      </c>
      <c r="T1376" s="152">
        <v>1.1437809999999999</v>
      </c>
      <c r="U1376" s="152">
        <v>4.2248260000000002</v>
      </c>
      <c r="V1376" s="152">
        <v>20.789303</v>
      </c>
      <c r="W1376" s="152">
        <v>1000</v>
      </c>
      <c r="X1376" s="152" t="s">
        <v>23</v>
      </c>
      <c r="Y1376" s="152" t="s">
        <v>1328</v>
      </c>
      <c r="Z1376" s="152" t="s">
        <v>1327</v>
      </c>
    </row>
    <row r="1377" spans="1:26" x14ac:dyDescent="0.2">
      <c r="A1377" s="152" t="s">
        <v>2521</v>
      </c>
      <c r="B1377" s="152">
        <v>5</v>
      </c>
      <c r="C1377" s="151">
        <v>43991</v>
      </c>
      <c r="D1377" s="152">
        <v>1.6246579999999999</v>
      </c>
      <c r="E1377" s="152" t="s">
        <v>1325</v>
      </c>
      <c r="F1377" s="152" t="s">
        <v>1326</v>
      </c>
      <c r="G1377" s="152"/>
      <c r="H1377" s="152"/>
      <c r="I1377" s="151" t="s">
        <v>1327</v>
      </c>
      <c r="J1377" s="152" t="s">
        <v>1327</v>
      </c>
      <c r="K1377" s="152" t="s">
        <v>1327</v>
      </c>
      <c r="L1377" s="152" t="s">
        <v>1327</v>
      </c>
      <c r="M1377" s="152" t="s">
        <v>1327</v>
      </c>
      <c r="N1377" s="152" t="s">
        <v>1327</v>
      </c>
      <c r="O1377" s="152">
        <v>5.0997760000000003</v>
      </c>
      <c r="P1377" s="152">
        <v>323.49045899999999</v>
      </c>
      <c r="Q1377" s="152">
        <v>5.0997760000000003</v>
      </c>
      <c r="R1377" s="152" t="s">
        <v>1327</v>
      </c>
      <c r="S1377" s="152">
        <v>99.846946000000003</v>
      </c>
      <c r="T1377" s="152">
        <v>0.63013699999999995</v>
      </c>
      <c r="U1377" s="152">
        <v>1.5400910000000001</v>
      </c>
      <c r="V1377" s="152">
        <v>2.8156850000000002</v>
      </c>
      <c r="W1377" s="152">
        <v>1000</v>
      </c>
      <c r="X1377" s="152" t="s">
        <v>23</v>
      </c>
      <c r="Y1377" s="152" t="s">
        <v>1328</v>
      </c>
      <c r="Z1377" s="152" t="s">
        <v>1327</v>
      </c>
    </row>
    <row r="1378" spans="1:26" x14ac:dyDescent="0.2">
      <c r="A1378" s="152" t="s">
        <v>2522</v>
      </c>
      <c r="B1378" s="152">
        <v>5.25</v>
      </c>
      <c r="C1378" s="151">
        <v>44218</v>
      </c>
      <c r="D1378" s="152">
        <v>2.246575</v>
      </c>
      <c r="E1378" s="152" t="s">
        <v>1325</v>
      </c>
      <c r="F1378" s="152" t="s">
        <v>1326</v>
      </c>
      <c r="G1378" s="152" t="s">
        <v>1279</v>
      </c>
      <c r="H1378" s="152"/>
      <c r="I1378" s="151" t="s">
        <v>1327</v>
      </c>
      <c r="J1378" s="152" t="s">
        <v>1327</v>
      </c>
      <c r="K1378" s="152" t="s">
        <v>1327</v>
      </c>
      <c r="L1378" s="152" t="s">
        <v>1327</v>
      </c>
      <c r="M1378" s="152" t="s">
        <v>1327</v>
      </c>
      <c r="N1378" s="152" t="s">
        <v>1327</v>
      </c>
      <c r="O1378" s="152">
        <v>5.3634399999999998</v>
      </c>
      <c r="P1378" s="152">
        <v>342.11115999999998</v>
      </c>
      <c r="Q1378" s="152">
        <v>5.3634399999999998</v>
      </c>
      <c r="R1378" s="152" t="s">
        <v>1327</v>
      </c>
      <c r="S1378" s="152">
        <v>99.750681999999998</v>
      </c>
      <c r="T1378" s="152">
        <v>4.3151000000000002E-2</v>
      </c>
      <c r="U1378" s="152">
        <v>2.102341</v>
      </c>
      <c r="V1378" s="152">
        <v>5.0836839999999999</v>
      </c>
      <c r="W1378" s="152">
        <v>1000</v>
      </c>
      <c r="X1378" s="152" t="s">
        <v>23</v>
      </c>
      <c r="Y1378" s="152" t="s">
        <v>1328</v>
      </c>
      <c r="Z1378" s="152" t="s">
        <v>1327</v>
      </c>
    </row>
    <row r="1379" spans="1:26" x14ac:dyDescent="0.2">
      <c r="A1379" s="152" t="s">
        <v>2523</v>
      </c>
      <c r="B1379" s="152">
        <v>5.4</v>
      </c>
      <c r="C1379" s="151">
        <v>43852</v>
      </c>
      <c r="D1379" s="152">
        <v>1.2438359999999999</v>
      </c>
      <c r="E1379" s="152" t="s">
        <v>1325</v>
      </c>
      <c r="F1379" s="152" t="s">
        <v>1326</v>
      </c>
      <c r="G1379" s="152"/>
      <c r="H1379" s="152"/>
      <c r="I1379" s="152" t="s">
        <v>1327</v>
      </c>
      <c r="J1379" s="152" t="s">
        <v>1327</v>
      </c>
      <c r="K1379" s="152" t="s">
        <v>1327</v>
      </c>
      <c r="L1379" s="152" t="s">
        <v>1327</v>
      </c>
      <c r="M1379" s="152" t="s">
        <v>1327</v>
      </c>
      <c r="N1379" s="152" t="s">
        <v>1327</v>
      </c>
      <c r="O1379" s="152">
        <v>5.5648369999999998</v>
      </c>
      <c r="P1379" s="152">
        <v>383.439953</v>
      </c>
      <c r="Q1379" s="152">
        <v>5.5648369999999998</v>
      </c>
      <c r="R1379" s="152" t="s">
        <v>1327</v>
      </c>
      <c r="S1379" s="152">
        <v>99.790936000000002</v>
      </c>
      <c r="T1379" s="152">
        <v>8.8766999999999999E-2</v>
      </c>
      <c r="U1379" s="152">
        <v>1.195818</v>
      </c>
      <c r="V1379" s="152">
        <v>1.7485200000000001</v>
      </c>
      <c r="W1379" s="152">
        <v>1000</v>
      </c>
      <c r="X1379" s="152" t="s">
        <v>23</v>
      </c>
      <c r="Y1379" s="152" t="s">
        <v>1328</v>
      </c>
      <c r="Z1379" s="152" t="s">
        <v>1327</v>
      </c>
    </row>
    <row r="1380" spans="1:26" x14ac:dyDescent="0.2">
      <c r="A1380" s="152" t="s">
        <v>2524</v>
      </c>
      <c r="B1380" s="152">
        <v>4.25</v>
      </c>
      <c r="C1380" s="151">
        <v>43515</v>
      </c>
      <c r="D1380" s="152">
        <v>0.320548</v>
      </c>
      <c r="E1380" s="152" t="s">
        <v>1325</v>
      </c>
      <c r="F1380" s="152" t="s">
        <v>1326</v>
      </c>
      <c r="G1380" s="152"/>
      <c r="H1380" s="152"/>
      <c r="I1380" s="151">
        <v>42759</v>
      </c>
      <c r="J1380" s="152">
        <v>4.2759929999999997</v>
      </c>
      <c r="K1380" s="152" t="s">
        <v>1327</v>
      </c>
      <c r="L1380" s="152" t="s">
        <v>1327</v>
      </c>
      <c r="M1380" s="152" t="s">
        <v>1327</v>
      </c>
      <c r="N1380" s="152" t="s">
        <v>1327</v>
      </c>
      <c r="O1380" s="152">
        <v>3.438021</v>
      </c>
      <c r="P1380" s="152">
        <v>183.45289700000001</v>
      </c>
      <c r="Q1380" s="152">
        <v>3.438021</v>
      </c>
      <c r="R1380" s="152" t="s">
        <v>1327</v>
      </c>
      <c r="S1380" s="152">
        <v>100.24646799999999</v>
      </c>
      <c r="T1380" s="152">
        <v>0.78013699999999997</v>
      </c>
      <c r="U1380" s="152">
        <v>0.31317800000000001</v>
      </c>
      <c r="V1380" s="152">
        <v>0.176346</v>
      </c>
      <c r="W1380" s="152">
        <v>1000</v>
      </c>
      <c r="X1380" s="152" t="s">
        <v>23</v>
      </c>
      <c r="Y1380" s="152" t="s">
        <v>1328</v>
      </c>
      <c r="Z1380" s="152" t="s">
        <v>1327</v>
      </c>
    </row>
    <row r="1381" spans="1:26" x14ac:dyDescent="0.2">
      <c r="A1381" s="152" t="s">
        <v>2525</v>
      </c>
      <c r="B1381" s="152">
        <v>3.8</v>
      </c>
      <c r="C1381" s="151">
        <v>43654</v>
      </c>
      <c r="D1381" s="152">
        <v>0.70137000000000005</v>
      </c>
      <c r="E1381" s="152" t="s">
        <v>1325</v>
      </c>
      <c r="F1381" s="152" t="s">
        <v>1326</v>
      </c>
      <c r="G1381" s="152"/>
      <c r="H1381" s="152"/>
      <c r="I1381" s="151" t="s">
        <v>1327</v>
      </c>
      <c r="J1381" s="152" t="s">
        <v>1327</v>
      </c>
      <c r="K1381" s="152" t="s">
        <v>1327</v>
      </c>
      <c r="L1381" s="152" t="s">
        <v>1327</v>
      </c>
      <c r="M1381" s="152" t="s">
        <v>1327</v>
      </c>
      <c r="N1381" s="152" t="s">
        <v>1327</v>
      </c>
      <c r="O1381" s="152">
        <v>3.5694859999999999</v>
      </c>
      <c r="P1381" s="152">
        <v>184.52007399999999</v>
      </c>
      <c r="Q1381" s="152">
        <v>3.5694859999999999</v>
      </c>
      <c r="R1381" s="152" t="s">
        <v>1327</v>
      </c>
      <c r="S1381" s="152">
        <v>100.151464</v>
      </c>
      <c r="T1381" s="152">
        <v>0.176986</v>
      </c>
      <c r="U1381" s="152">
        <v>0.69227300000000003</v>
      </c>
      <c r="V1381" s="152">
        <v>0.65361100000000005</v>
      </c>
      <c r="W1381" s="152">
        <v>1000</v>
      </c>
      <c r="X1381" s="152" t="s">
        <v>23</v>
      </c>
      <c r="Y1381" s="152" t="s">
        <v>1328</v>
      </c>
      <c r="Z1381" s="152" t="s">
        <v>1327</v>
      </c>
    </row>
    <row r="1382" spans="1:26" x14ac:dyDescent="0.2">
      <c r="A1382" s="152" t="s">
        <v>2526</v>
      </c>
      <c r="B1382" s="152">
        <v>3.8</v>
      </c>
      <c r="C1382" s="151">
        <v>43678</v>
      </c>
      <c r="D1382" s="152">
        <v>0.767123</v>
      </c>
      <c r="E1382" s="152" t="s">
        <v>1325</v>
      </c>
      <c r="F1382" s="152" t="s">
        <v>1326</v>
      </c>
      <c r="G1382" s="152"/>
      <c r="H1382" s="152"/>
      <c r="I1382" s="151" t="s">
        <v>1327</v>
      </c>
      <c r="J1382" s="152" t="s">
        <v>1327</v>
      </c>
      <c r="K1382" s="152" t="s">
        <v>1327</v>
      </c>
      <c r="L1382" s="152" t="s">
        <v>1327</v>
      </c>
      <c r="M1382" s="152" t="s">
        <v>1327</v>
      </c>
      <c r="N1382" s="152" t="s">
        <v>1327</v>
      </c>
      <c r="O1382" s="152">
        <v>3.5882390000000002</v>
      </c>
      <c r="P1382" s="152">
        <v>184.68320600000001</v>
      </c>
      <c r="Q1382" s="152">
        <v>3.5882390000000002</v>
      </c>
      <c r="R1382" s="152" t="s">
        <v>1327</v>
      </c>
      <c r="S1382" s="152">
        <v>100.160298</v>
      </c>
      <c r="T1382" s="152">
        <v>-7.2876999999999997E-2</v>
      </c>
      <c r="U1382" s="152">
        <v>0.75537200000000004</v>
      </c>
      <c r="V1382" s="152">
        <v>0.76058300000000001</v>
      </c>
      <c r="W1382" s="152">
        <v>1000</v>
      </c>
      <c r="X1382" s="152" t="s">
        <v>23</v>
      </c>
      <c r="Y1382" s="152" t="s">
        <v>1328</v>
      </c>
      <c r="Z1382" s="152" t="s">
        <v>1327</v>
      </c>
    </row>
    <row r="1383" spans="1:26" x14ac:dyDescent="0.2">
      <c r="A1383" s="152" t="s">
        <v>2527</v>
      </c>
      <c r="B1383" s="152">
        <v>3.38</v>
      </c>
      <c r="C1383" s="151">
        <v>44102</v>
      </c>
      <c r="D1383" s="152">
        <v>1.9287669999999999</v>
      </c>
      <c r="E1383" s="152" t="s">
        <v>1325</v>
      </c>
      <c r="F1383" s="152" t="s">
        <v>1326</v>
      </c>
      <c r="G1383" s="152"/>
      <c r="H1383" s="152"/>
      <c r="I1383" s="152" t="s">
        <v>1327</v>
      </c>
      <c r="J1383" s="152" t="s">
        <v>1327</v>
      </c>
      <c r="K1383" s="152" t="s">
        <v>1327</v>
      </c>
      <c r="L1383" s="152" t="s">
        <v>1327</v>
      </c>
      <c r="M1383" s="152" t="s">
        <v>1327</v>
      </c>
      <c r="N1383" s="152" t="s">
        <v>1327</v>
      </c>
      <c r="O1383" s="152">
        <v>3.8032159999999999</v>
      </c>
      <c r="P1383" s="152">
        <v>183.414334</v>
      </c>
      <c r="Q1383" s="152">
        <v>3.8032159999999999</v>
      </c>
      <c r="R1383" s="152" t="s">
        <v>1327</v>
      </c>
      <c r="S1383" s="152">
        <v>99.219339000000005</v>
      </c>
      <c r="T1383" s="152">
        <v>0.250027</v>
      </c>
      <c r="U1383" s="152">
        <v>1.849782</v>
      </c>
      <c r="V1383" s="152">
        <v>3.9479950000000001</v>
      </c>
      <c r="W1383" s="152">
        <v>1000</v>
      </c>
      <c r="X1383" s="152" t="s">
        <v>23</v>
      </c>
      <c r="Y1383" s="152" t="s">
        <v>1328</v>
      </c>
      <c r="Z1383" s="152" t="s">
        <v>1327</v>
      </c>
    </row>
    <row r="1384" spans="1:26" x14ac:dyDescent="0.2">
      <c r="A1384" s="152" t="s">
        <v>2528</v>
      </c>
      <c r="B1384" s="152">
        <v>3.75</v>
      </c>
      <c r="C1384" s="151">
        <v>44910</v>
      </c>
      <c r="D1384" s="152">
        <v>4.1424659999999998</v>
      </c>
      <c r="E1384" s="152" t="s">
        <v>1325</v>
      </c>
      <c r="F1384" s="152" t="s">
        <v>1326</v>
      </c>
      <c r="G1384" s="152"/>
      <c r="H1384" s="152"/>
      <c r="I1384" s="152" t="s">
        <v>1327</v>
      </c>
      <c r="J1384" s="152" t="s">
        <v>1327</v>
      </c>
      <c r="K1384" s="152" t="s">
        <v>1327</v>
      </c>
      <c r="L1384" s="152" t="s">
        <v>1327</v>
      </c>
      <c r="M1384" s="152" t="s">
        <v>1327</v>
      </c>
      <c r="N1384" s="152" t="s">
        <v>1327</v>
      </c>
      <c r="O1384" s="152">
        <v>4.1711130000000001</v>
      </c>
      <c r="P1384" s="152">
        <v>187.34927500000001</v>
      </c>
      <c r="Q1384" s="152">
        <v>4.1711130000000001</v>
      </c>
      <c r="R1384" s="152" t="s">
        <v>1327</v>
      </c>
      <c r="S1384" s="152">
        <v>98.407883999999996</v>
      </c>
      <c r="T1384" s="152">
        <v>0.41095900000000002</v>
      </c>
      <c r="U1384" s="152">
        <v>3.7954189999999999</v>
      </c>
      <c r="V1384" s="152">
        <v>16.08559</v>
      </c>
      <c r="W1384" s="152">
        <v>1000</v>
      </c>
      <c r="X1384" s="152" t="s">
        <v>23</v>
      </c>
      <c r="Y1384" s="152" t="s">
        <v>1328</v>
      </c>
      <c r="Z1384" s="152" t="s">
        <v>1327</v>
      </c>
    </row>
    <row r="1385" spans="1:26" x14ac:dyDescent="0.2">
      <c r="A1385" s="152" t="s">
        <v>2529</v>
      </c>
      <c r="B1385" s="152">
        <v>5.9</v>
      </c>
      <c r="C1385" s="151">
        <v>77038</v>
      </c>
      <c r="D1385" s="152">
        <v>92.164383999999998</v>
      </c>
      <c r="E1385" s="152" t="s">
        <v>1325</v>
      </c>
      <c r="F1385" s="152" t="s">
        <v>1326</v>
      </c>
      <c r="G1385" s="152"/>
      <c r="H1385" s="152" t="s">
        <v>58</v>
      </c>
      <c r="I1385" s="152">
        <v>40526</v>
      </c>
      <c r="J1385" s="152" t="s">
        <v>1327</v>
      </c>
      <c r="K1385" s="152" t="s">
        <v>1327</v>
      </c>
      <c r="L1385" s="152" t="s">
        <v>1327</v>
      </c>
      <c r="M1385" s="152" t="s">
        <v>1327</v>
      </c>
      <c r="N1385" s="152" t="s">
        <v>1327</v>
      </c>
      <c r="O1385" s="152">
        <v>5.327045</v>
      </c>
      <c r="P1385" s="152">
        <v>160.98718199999999</v>
      </c>
      <c r="Q1385" s="152">
        <v>5.327045</v>
      </c>
      <c r="R1385" s="152" t="s">
        <v>1327</v>
      </c>
      <c r="S1385" s="152">
        <v>110.656237</v>
      </c>
      <c r="T1385" s="152">
        <v>2.343836</v>
      </c>
      <c r="U1385" s="152">
        <v>18.18779</v>
      </c>
      <c r="V1385" s="152">
        <v>653.21449199999995</v>
      </c>
      <c r="W1385" s="152">
        <v>1000</v>
      </c>
      <c r="X1385" s="152" t="s">
        <v>23</v>
      </c>
      <c r="Y1385" s="152" t="s">
        <v>1328</v>
      </c>
      <c r="Z1385" s="152" t="s">
        <v>1327</v>
      </c>
    </row>
    <row r="1386" spans="1:26" x14ac:dyDescent="0.2">
      <c r="A1386" s="152" t="s">
        <v>2530</v>
      </c>
      <c r="B1386" s="152">
        <v>5.91</v>
      </c>
      <c r="C1386" s="151">
        <v>43448</v>
      </c>
      <c r="D1386" s="152">
        <v>0.136986</v>
      </c>
      <c r="E1386" s="152" t="s">
        <v>1325</v>
      </c>
      <c r="F1386" s="152" t="s">
        <v>1326</v>
      </c>
      <c r="G1386" s="152"/>
      <c r="H1386" s="152" t="s">
        <v>58</v>
      </c>
      <c r="I1386" s="152">
        <v>43227</v>
      </c>
      <c r="J1386" s="152">
        <v>1.48</v>
      </c>
      <c r="K1386" s="152">
        <v>42247</v>
      </c>
      <c r="L1386" s="152">
        <v>2.4</v>
      </c>
      <c r="M1386" s="152">
        <v>3.1415899999999999</v>
      </c>
      <c r="N1386" s="152">
        <v>2.25</v>
      </c>
      <c r="O1386" s="152">
        <v>1.45485</v>
      </c>
      <c r="P1386" s="152">
        <v>9.8072239999999997</v>
      </c>
      <c r="Q1386" s="152">
        <v>1.45485</v>
      </c>
      <c r="R1386" s="152" t="s">
        <v>1327</v>
      </c>
      <c r="S1386" s="152">
        <v>100.597255</v>
      </c>
      <c r="T1386" s="152">
        <v>2.1535069999999998</v>
      </c>
      <c r="U1386" s="152">
        <v>0.13599700000000001</v>
      </c>
      <c r="V1386" s="152">
        <v>8.6002999999999996E-2</v>
      </c>
      <c r="W1386" s="152">
        <v>1000</v>
      </c>
      <c r="X1386" s="152" t="s">
        <v>23</v>
      </c>
      <c r="Y1386" s="152" t="s">
        <v>1328</v>
      </c>
      <c r="Z1386" s="152" t="s">
        <v>1327</v>
      </c>
    </row>
    <row r="1387" spans="1:26" x14ac:dyDescent="0.2">
      <c r="A1387" s="152" t="s">
        <v>2531</v>
      </c>
      <c r="B1387" s="152">
        <v>5.5</v>
      </c>
      <c r="C1387" s="151">
        <v>43419</v>
      </c>
      <c r="D1387" s="152">
        <v>5.7534000000000002E-2</v>
      </c>
      <c r="E1387" s="152" t="s">
        <v>1325</v>
      </c>
      <c r="F1387" s="152" t="s">
        <v>1326</v>
      </c>
      <c r="G1387" s="152"/>
      <c r="H1387" s="152" t="s">
        <v>58</v>
      </c>
      <c r="I1387" s="151">
        <v>43336</v>
      </c>
      <c r="J1387" s="152">
        <v>1.365</v>
      </c>
      <c r="K1387" s="152">
        <v>42307</v>
      </c>
      <c r="L1387" s="152">
        <v>2.0252430000000001</v>
      </c>
      <c r="M1387" s="152">
        <v>3.0563729999999998</v>
      </c>
      <c r="N1387" s="152">
        <v>2.0252430000000001</v>
      </c>
      <c r="O1387" s="152">
        <v>1.2928360000000001</v>
      </c>
      <c r="P1387" s="152">
        <v>7.996105</v>
      </c>
      <c r="Q1387" s="152">
        <v>1.2928360000000001</v>
      </c>
      <c r="R1387" s="152" t="s">
        <v>1327</v>
      </c>
      <c r="S1387" s="152">
        <v>100.24129499999999</v>
      </c>
      <c r="T1387" s="152">
        <v>1.069863</v>
      </c>
      <c r="U1387" s="152">
        <v>5.7165000000000001E-2</v>
      </c>
      <c r="V1387" s="152">
        <v>3.1667000000000001E-2</v>
      </c>
      <c r="W1387" s="152">
        <v>1000</v>
      </c>
      <c r="X1387" s="152" t="s">
        <v>23</v>
      </c>
      <c r="Y1387" s="152" t="s">
        <v>1328</v>
      </c>
      <c r="Z1387" s="152" t="s">
        <v>1327</v>
      </c>
    </row>
    <row r="1388" spans="1:26" x14ac:dyDescent="0.2">
      <c r="A1388" s="152" t="s">
        <v>691</v>
      </c>
      <c r="B1388" s="152">
        <v>5.9</v>
      </c>
      <c r="C1388" s="151">
        <v>43605</v>
      </c>
      <c r="D1388" s="152">
        <v>0.56712300000000004</v>
      </c>
      <c r="E1388" s="152" t="s">
        <v>1325</v>
      </c>
      <c r="F1388" s="152" t="s">
        <v>1326</v>
      </c>
      <c r="G1388" s="152"/>
      <c r="H1388" s="152" t="s">
        <v>58</v>
      </c>
      <c r="I1388" s="151">
        <v>42670</v>
      </c>
      <c r="J1388" s="152">
        <v>1.8549</v>
      </c>
      <c r="K1388" s="152">
        <v>42110</v>
      </c>
      <c r="L1388" s="152">
        <v>2.8809119999999999</v>
      </c>
      <c r="M1388" s="152">
        <v>3.4257209999999998</v>
      </c>
      <c r="N1388" s="152">
        <v>2.8618229999999998</v>
      </c>
      <c r="O1388" s="152">
        <v>1.8524700000000001</v>
      </c>
      <c r="P1388" s="152">
        <v>10.685228</v>
      </c>
      <c r="Q1388" s="152">
        <v>1.8524700000000001</v>
      </c>
      <c r="R1388" s="152" t="s">
        <v>1327</v>
      </c>
      <c r="S1388" s="152">
        <v>102.263452</v>
      </c>
      <c r="T1388" s="152">
        <v>2.553973</v>
      </c>
      <c r="U1388" s="152">
        <v>0.55206599999999995</v>
      </c>
      <c r="V1388" s="152">
        <v>0.58498099999999997</v>
      </c>
      <c r="W1388" s="152">
        <v>1000</v>
      </c>
      <c r="X1388" s="152" t="s">
        <v>23</v>
      </c>
      <c r="Y1388" s="152" t="s">
        <v>1328</v>
      </c>
      <c r="Z1388" s="152" t="s">
        <v>1327</v>
      </c>
    </row>
    <row r="1389" spans="1:26" x14ac:dyDescent="0.2">
      <c r="A1389" s="152" t="s">
        <v>554</v>
      </c>
      <c r="B1389" s="152">
        <v>5.0999999999999996</v>
      </c>
      <c r="C1389" s="151">
        <v>43600</v>
      </c>
      <c r="D1389" s="152">
        <v>0.55342499999999994</v>
      </c>
      <c r="E1389" s="152" t="s">
        <v>1325</v>
      </c>
      <c r="F1389" s="152" t="s">
        <v>1326</v>
      </c>
      <c r="G1389" s="152"/>
      <c r="H1389" s="152" t="s">
        <v>58</v>
      </c>
      <c r="I1389" s="152">
        <v>43370</v>
      </c>
      <c r="J1389" s="152">
        <v>1.7250000000000001</v>
      </c>
      <c r="K1389" s="152">
        <v>42368</v>
      </c>
      <c r="L1389" s="152">
        <v>2.12</v>
      </c>
      <c r="M1389" s="152">
        <v>3.0466289999999998</v>
      </c>
      <c r="N1389" s="152">
        <v>2.12</v>
      </c>
      <c r="O1389" s="152">
        <v>1.840889</v>
      </c>
      <c r="P1389" s="152">
        <v>9.9010040000000004</v>
      </c>
      <c r="Q1389" s="152">
        <v>1.840889</v>
      </c>
      <c r="R1389" s="152" t="s">
        <v>1327</v>
      </c>
      <c r="S1389" s="152">
        <v>101.77739699999999</v>
      </c>
      <c r="T1389" s="152">
        <v>2.2775340000000002</v>
      </c>
      <c r="U1389" s="152">
        <v>0.54032100000000005</v>
      </c>
      <c r="V1389" s="152">
        <v>0.56550500000000004</v>
      </c>
      <c r="W1389" s="152">
        <v>1000</v>
      </c>
      <c r="X1389" s="152" t="s">
        <v>23</v>
      </c>
      <c r="Y1389" s="152" t="s">
        <v>1328</v>
      </c>
      <c r="Z1389" s="152" t="s">
        <v>1327</v>
      </c>
    </row>
    <row r="1390" spans="1:26" x14ac:dyDescent="0.2">
      <c r="A1390" s="152" t="s">
        <v>2532</v>
      </c>
      <c r="B1390" s="152">
        <v>5.0999999999999996</v>
      </c>
      <c r="C1390" s="151">
        <v>43600</v>
      </c>
      <c r="D1390" s="152">
        <v>0.55342499999999994</v>
      </c>
      <c r="E1390" s="152" t="s">
        <v>1325</v>
      </c>
      <c r="F1390" s="152" t="s">
        <v>1326</v>
      </c>
      <c r="G1390" s="152"/>
      <c r="H1390" s="152" t="s">
        <v>58</v>
      </c>
      <c r="I1390" s="152">
        <v>43319</v>
      </c>
      <c r="J1390" s="152">
        <v>1.65</v>
      </c>
      <c r="K1390" s="152">
        <v>42368</v>
      </c>
      <c r="L1390" s="152">
        <v>2.14</v>
      </c>
      <c r="M1390" s="152">
        <v>3.0466289999999998</v>
      </c>
      <c r="N1390" s="152">
        <v>2.14</v>
      </c>
      <c r="O1390" s="152">
        <v>1.8382540000000001</v>
      </c>
      <c r="P1390" s="152">
        <v>9.6330779999999994</v>
      </c>
      <c r="Q1390" s="152">
        <v>1.8382540000000001</v>
      </c>
      <c r="R1390" s="152" t="s">
        <v>1327</v>
      </c>
      <c r="S1390" s="152">
        <v>101.77887800000001</v>
      </c>
      <c r="T1390" s="152">
        <v>2.2775340000000002</v>
      </c>
      <c r="U1390" s="152">
        <v>0.54032800000000003</v>
      </c>
      <c r="V1390" s="152">
        <v>0.56552000000000002</v>
      </c>
      <c r="W1390" s="152">
        <v>1000</v>
      </c>
      <c r="X1390" s="152" t="s">
        <v>23</v>
      </c>
      <c r="Y1390" s="152" t="s">
        <v>1328</v>
      </c>
      <c r="Z1390" s="152" t="s">
        <v>1327</v>
      </c>
    </row>
    <row r="1391" spans="1:26" x14ac:dyDescent="0.2">
      <c r="A1391" s="152" t="s">
        <v>2533</v>
      </c>
      <c r="B1391" s="152">
        <v>5.95</v>
      </c>
      <c r="C1391" s="151">
        <v>44068</v>
      </c>
      <c r="D1391" s="152">
        <v>1.8356159999999999</v>
      </c>
      <c r="E1391" s="152" t="s">
        <v>1325</v>
      </c>
      <c r="F1391" s="152" t="s">
        <v>1326</v>
      </c>
      <c r="G1391" s="152"/>
      <c r="H1391" s="152" t="s">
        <v>58</v>
      </c>
      <c r="I1391" s="152">
        <v>42671</v>
      </c>
      <c r="J1391" s="152">
        <v>2.0990000000000002</v>
      </c>
      <c r="K1391" s="152">
        <v>42247</v>
      </c>
      <c r="L1391" s="152">
        <v>2.7949999999999999</v>
      </c>
      <c r="M1391" s="152">
        <v>3.5152999999999999</v>
      </c>
      <c r="N1391" s="152">
        <v>2.79</v>
      </c>
      <c r="O1391" s="152">
        <v>2.2324660000000001</v>
      </c>
      <c r="P1391" s="152">
        <v>24.605653</v>
      </c>
      <c r="Q1391" s="152">
        <v>2.2324660000000001</v>
      </c>
      <c r="R1391" s="152" t="s">
        <v>1327</v>
      </c>
      <c r="S1391" s="152">
        <v>106.62652799999999</v>
      </c>
      <c r="T1391" s="152">
        <v>0.99438400000000005</v>
      </c>
      <c r="U1391" s="152">
        <v>1.7359020000000001</v>
      </c>
      <c r="V1391" s="152">
        <v>3.9586739999999998</v>
      </c>
      <c r="W1391" s="152">
        <v>1000</v>
      </c>
      <c r="X1391" s="152" t="s">
        <v>23</v>
      </c>
      <c r="Y1391" s="152" t="s">
        <v>1328</v>
      </c>
      <c r="Z1391" s="152" t="s">
        <v>1327</v>
      </c>
    </row>
    <row r="1392" spans="1:26" x14ac:dyDescent="0.2">
      <c r="A1392" s="152" t="s">
        <v>692</v>
      </c>
      <c r="B1392" s="152">
        <v>4.75</v>
      </c>
      <c r="C1392" s="151">
        <v>44150</v>
      </c>
      <c r="D1392" s="152">
        <v>2.0602740000000002</v>
      </c>
      <c r="E1392" s="152" t="s">
        <v>1325</v>
      </c>
      <c r="F1392" s="152" t="s">
        <v>1326</v>
      </c>
      <c r="G1392" s="152"/>
      <c r="H1392" s="152" t="s">
        <v>58</v>
      </c>
      <c r="I1392" s="151">
        <v>43370</v>
      </c>
      <c r="J1392" s="152">
        <v>2.37</v>
      </c>
      <c r="K1392" s="151">
        <v>42247</v>
      </c>
      <c r="L1392" s="152">
        <v>2.89</v>
      </c>
      <c r="M1392" s="152">
        <v>3.7940040000000002</v>
      </c>
      <c r="N1392" s="152">
        <v>2.85</v>
      </c>
      <c r="O1392" s="152">
        <v>2.4159809999999999</v>
      </c>
      <c r="P1392" s="152">
        <v>39.721124000000003</v>
      </c>
      <c r="Q1392" s="152">
        <v>2.4159809999999999</v>
      </c>
      <c r="R1392" s="152" t="s">
        <v>1327</v>
      </c>
      <c r="S1392" s="152">
        <v>104.63655900000001</v>
      </c>
      <c r="T1392" s="152">
        <v>2.1212330000000001</v>
      </c>
      <c r="U1392" s="152">
        <v>1.924525</v>
      </c>
      <c r="V1392" s="152">
        <v>4.8041869999999998</v>
      </c>
      <c r="W1392" s="152">
        <v>1000</v>
      </c>
      <c r="X1392" s="152" t="s">
        <v>23</v>
      </c>
      <c r="Y1392" s="152" t="s">
        <v>1328</v>
      </c>
      <c r="Z1392" s="152" t="s">
        <v>1327</v>
      </c>
    </row>
    <row r="1393" spans="1:26" x14ac:dyDescent="0.2">
      <c r="A1393" s="152" t="s">
        <v>2534</v>
      </c>
      <c r="B1393" s="152">
        <v>6.53</v>
      </c>
      <c r="C1393" s="151">
        <v>44339</v>
      </c>
      <c r="D1393" s="152">
        <v>2.5780820000000002</v>
      </c>
      <c r="E1393" s="152" t="s">
        <v>1325</v>
      </c>
      <c r="F1393" s="152" t="s">
        <v>1326</v>
      </c>
      <c r="G1393" s="152"/>
      <c r="H1393" s="152" t="s">
        <v>58</v>
      </c>
      <c r="I1393" s="151">
        <v>43346</v>
      </c>
      <c r="J1393" s="152">
        <v>2.2999999999999998</v>
      </c>
      <c r="K1393" s="152">
        <v>42247</v>
      </c>
      <c r="L1393" s="152">
        <v>3.0150000000000001</v>
      </c>
      <c r="M1393" s="152">
        <v>3.9120490000000001</v>
      </c>
      <c r="N1393" s="152">
        <v>3</v>
      </c>
      <c r="O1393" s="152">
        <v>2.425055</v>
      </c>
      <c r="P1393" s="152">
        <v>37.358351999999996</v>
      </c>
      <c r="Q1393" s="152">
        <v>2.425055</v>
      </c>
      <c r="R1393" s="152" t="s">
        <v>1327</v>
      </c>
      <c r="S1393" s="152">
        <v>110.174836</v>
      </c>
      <c r="T1393" s="152">
        <v>2.7730139999999999</v>
      </c>
      <c r="U1393" s="152">
        <v>2.3381379999999998</v>
      </c>
      <c r="V1393" s="152">
        <v>6.9607549999999998</v>
      </c>
      <c r="W1393" s="152">
        <v>1000</v>
      </c>
      <c r="X1393" s="152" t="s">
        <v>23</v>
      </c>
      <c r="Y1393" s="152" t="s">
        <v>1328</v>
      </c>
      <c r="Z1393" s="152" t="s">
        <v>1327</v>
      </c>
    </row>
    <row r="1394" spans="1:26" x14ac:dyDescent="0.2">
      <c r="A1394" s="152" t="s">
        <v>693</v>
      </c>
      <c r="B1394" s="152">
        <v>4</v>
      </c>
      <c r="C1394" s="151">
        <v>44515</v>
      </c>
      <c r="D1394" s="152">
        <v>3.0602740000000002</v>
      </c>
      <c r="E1394" s="152" t="s">
        <v>1325</v>
      </c>
      <c r="F1394" s="152" t="s">
        <v>1326</v>
      </c>
      <c r="G1394" s="152"/>
      <c r="H1394" s="152" t="s">
        <v>58</v>
      </c>
      <c r="I1394" s="152">
        <v>43304</v>
      </c>
      <c r="J1394" s="152">
        <v>2.2400000000000002</v>
      </c>
      <c r="K1394" s="152">
        <v>42307</v>
      </c>
      <c r="L1394" s="152">
        <v>2.77</v>
      </c>
      <c r="M1394" s="152">
        <v>3.9378069999999998</v>
      </c>
      <c r="N1394" s="152">
        <v>2.77</v>
      </c>
      <c r="O1394" s="152">
        <v>2.4559030000000002</v>
      </c>
      <c r="P1394" s="152">
        <v>32.930996999999998</v>
      </c>
      <c r="Q1394" s="152">
        <v>2.4559030000000002</v>
      </c>
      <c r="R1394" s="152" t="s">
        <v>1327</v>
      </c>
      <c r="S1394" s="152">
        <v>104.50386899999999</v>
      </c>
      <c r="T1394" s="152">
        <v>1.7863009999999999</v>
      </c>
      <c r="U1394" s="152">
        <v>2.8294359999999998</v>
      </c>
      <c r="V1394" s="152">
        <v>9.7781570000000002</v>
      </c>
      <c r="W1394" s="152">
        <v>1000</v>
      </c>
      <c r="X1394" s="152" t="s">
        <v>23</v>
      </c>
      <c r="Y1394" s="152" t="s">
        <v>1328</v>
      </c>
      <c r="Z1394" s="152" t="s">
        <v>1327</v>
      </c>
    </row>
    <row r="1395" spans="1:26" x14ac:dyDescent="0.2">
      <c r="A1395" s="152" t="s">
        <v>2535</v>
      </c>
      <c r="B1395" s="152">
        <v>3.5</v>
      </c>
      <c r="C1395" s="151">
        <v>44515</v>
      </c>
      <c r="D1395" s="152">
        <v>3.0602740000000002</v>
      </c>
      <c r="E1395" s="152" t="s">
        <v>1325</v>
      </c>
      <c r="F1395" s="152" t="s">
        <v>1326</v>
      </c>
      <c r="G1395" s="152"/>
      <c r="H1395" s="152" t="s">
        <v>58</v>
      </c>
      <c r="I1395" s="152">
        <v>43231</v>
      </c>
      <c r="J1395" s="152">
        <v>2.04</v>
      </c>
      <c r="K1395" s="152" t="s">
        <v>1327</v>
      </c>
      <c r="L1395" s="152" t="s">
        <v>1327</v>
      </c>
      <c r="M1395" s="152" t="s">
        <v>1327</v>
      </c>
      <c r="N1395" s="152" t="s">
        <v>1327</v>
      </c>
      <c r="O1395" s="152">
        <v>2.4562249999999999</v>
      </c>
      <c r="P1395" s="152">
        <v>32.861376999999997</v>
      </c>
      <c r="Q1395" s="152">
        <v>2.4562249999999999</v>
      </c>
      <c r="R1395" s="152" t="s">
        <v>1327</v>
      </c>
      <c r="S1395" s="152">
        <v>103.040977</v>
      </c>
      <c r="T1395" s="152">
        <v>1.5630139999999999</v>
      </c>
      <c r="U1395" s="152">
        <v>2.8506140000000002</v>
      </c>
      <c r="V1395" s="152">
        <v>9.8709279999999993</v>
      </c>
      <c r="W1395" s="152">
        <v>1000</v>
      </c>
      <c r="X1395" s="152" t="s">
        <v>23</v>
      </c>
      <c r="Y1395" s="152" t="s">
        <v>1328</v>
      </c>
      <c r="Z1395" s="152" t="s">
        <v>1327</v>
      </c>
    </row>
    <row r="1396" spans="1:26" x14ac:dyDescent="0.2">
      <c r="A1396" s="152" t="s">
        <v>2536</v>
      </c>
      <c r="B1396" s="152">
        <v>4.5</v>
      </c>
      <c r="C1396" s="151">
        <v>44617</v>
      </c>
      <c r="D1396" s="152">
        <v>3.3397260000000002</v>
      </c>
      <c r="E1396" s="152" t="s">
        <v>1325</v>
      </c>
      <c r="F1396" s="152" t="s">
        <v>1326</v>
      </c>
      <c r="G1396" s="152"/>
      <c r="H1396" s="152"/>
      <c r="I1396" s="151">
        <v>42149</v>
      </c>
      <c r="J1396" s="152">
        <v>3.3</v>
      </c>
      <c r="K1396" s="152">
        <v>41362</v>
      </c>
      <c r="L1396" s="152">
        <v>4.4133659999999999</v>
      </c>
      <c r="M1396" s="152">
        <v>4.4149330000000004</v>
      </c>
      <c r="N1396" s="152">
        <v>4.25</v>
      </c>
      <c r="O1396" s="152">
        <v>2.6440809999999999</v>
      </c>
      <c r="P1396" s="152">
        <v>44.210901999999997</v>
      </c>
      <c r="Q1396" s="152">
        <v>2.6440809999999999</v>
      </c>
      <c r="R1396" s="152" t="s">
        <v>1327</v>
      </c>
      <c r="S1396" s="152">
        <v>105.868916</v>
      </c>
      <c r="T1396" s="152">
        <v>0.75205500000000003</v>
      </c>
      <c r="U1396" s="152">
        <v>3.081337</v>
      </c>
      <c r="V1396" s="152">
        <v>11.426826</v>
      </c>
      <c r="W1396" s="152">
        <v>1000</v>
      </c>
      <c r="X1396" s="152" t="s">
        <v>23</v>
      </c>
      <c r="Y1396" s="152" t="s">
        <v>1328</v>
      </c>
      <c r="Z1396" s="152" t="s">
        <v>1327</v>
      </c>
    </row>
    <row r="1397" spans="1:26" x14ac:dyDescent="0.2">
      <c r="A1397" s="152" t="s">
        <v>2537</v>
      </c>
      <c r="B1397" s="152">
        <v>6.58</v>
      </c>
      <c r="C1397" s="151">
        <v>45182</v>
      </c>
      <c r="D1397" s="152">
        <v>4.8876710000000001</v>
      </c>
      <c r="E1397" s="152" t="s">
        <v>1325</v>
      </c>
      <c r="F1397" s="152" t="s">
        <v>1326</v>
      </c>
      <c r="G1397" s="152"/>
      <c r="H1397" s="152" t="s">
        <v>58</v>
      </c>
      <c r="I1397" s="151">
        <v>43081</v>
      </c>
      <c r="J1397" s="152" t="s">
        <v>1327</v>
      </c>
      <c r="K1397" s="152" t="s">
        <v>1327</v>
      </c>
      <c r="L1397" s="152" t="s">
        <v>1327</v>
      </c>
      <c r="M1397" s="152" t="s">
        <v>1327</v>
      </c>
      <c r="N1397" s="152" t="s">
        <v>1327</v>
      </c>
      <c r="O1397" s="152" t="s">
        <v>1327</v>
      </c>
      <c r="P1397" s="152" t="s">
        <v>1327</v>
      </c>
      <c r="Q1397" s="152" t="s">
        <v>1327</v>
      </c>
      <c r="R1397" s="152" t="s">
        <v>1327</v>
      </c>
      <c r="S1397" s="152">
        <v>140.721565</v>
      </c>
      <c r="T1397" s="152" t="s">
        <v>1327</v>
      </c>
      <c r="U1397" s="152" t="s">
        <v>1327</v>
      </c>
      <c r="V1397" s="152" t="s">
        <v>1327</v>
      </c>
      <c r="W1397" s="152">
        <v>1000</v>
      </c>
      <c r="X1397" s="152" t="s">
        <v>23</v>
      </c>
      <c r="Y1397" s="152" t="s">
        <v>1328</v>
      </c>
      <c r="Z1397" s="152" t="s">
        <v>1327</v>
      </c>
    </row>
    <row r="1398" spans="1:26" x14ac:dyDescent="0.2">
      <c r="A1398" s="152" t="s">
        <v>2538</v>
      </c>
      <c r="B1398" s="152">
        <v>6.8</v>
      </c>
      <c r="C1398" s="151">
        <v>45357</v>
      </c>
      <c r="D1398" s="152">
        <v>5.3671230000000003</v>
      </c>
      <c r="E1398" s="152" t="s">
        <v>1325</v>
      </c>
      <c r="F1398" s="152" t="s">
        <v>1326</v>
      </c>
      <c r="G1398" s="152"/>
      <c r="H1398" s="152" t="s">
        <v>58</v>
      </c>
      <c r="I1398" s="151">
        <v>43376</v>
      </c>
      <c r="J1398" s="152">
        <v>3.2</v>
      </c>
      <c r="K1398" s="151" t="s">
        <v>1327</v>
      </c>
      <c r="L1398" s="152" t="s">
        <v>1327</v>
      </c>
      <c r="M1398" s="152" t="s">
        <v>1327</v>
      </c>
      <c r="N1398" s="152" t="s">
        <v>1327</v>
      </c>
      <c r="O1398" s="152">
        <v>3.305104</v>
      </c>
      <c r="P1398" s="152">
        <v>86.524322999999995</v>
      </c>
      <c r="Q1398" s="152">
        <v>3.305104</v>
      </c>
      <c r="R1398" s="152" t="s">
        <v>1327</v>
      </c>
      <c r="S1398" s="152">
        <v>117.06597600000001</v>
      </c>
      <c r="T1398" s="152">
        <v>0.91287700000000005</v>
      </c>
      <c r="U1398" s="152">
        <v>4.5404179999999998</v>
      </c>
      <c r="V1398" s="152">
        <v>24.872395000000001</v>
      </c>
      <c r="W1398" s="152">
        <v>1000</v>
      </c>
      <c r="X1398" s="152" t="s">
        <v>23</v>
      </c>
      <c r="Y1398" s="152" t="s">
        <v>1328</v>
      </c>
      <c r="Z1398" s="152" t="s">
        <v>1327</v>
      </c>
    </row>
    <row r="1399" spans="1:26" x14ac:dyDescent="0.2">
      <c r="A1399" s="152" t="s">
        <v>2539</v>
      </c>
      <c r="B1399" s="152">
        <v>5.5</v>
      </c>
      <c r="C1399" s="151">
        <v>45504</v>
      </c>
      <c r="D1399" s="152">
        <v>5.769863</v>
      </c>
      <c r="E1399" s="152" t="s">
        <v>1325</v>
      </c>
      <c r="F1399" s="152" t="s">
        <v>1326</v>
      </c>
      <c r="G1399" s="152"/>
      <c r="H1399" s="152" t="s">
        <v>58</v>
      </c>
      <c r="I1399" s="151">
        <v>43252</v>
      </c>
      <c r="J1399" s="152">
        <v>2.81</v>
      </c>
      <c r="K1399" s="152" t="s">
        <v>1327</v>
      </c>
      <c r="L1399" s="152" t="s">
        <v>1327</v>
      </c>
      <c r="M1399" s="152" t="s">
        <v>1327</v>
      </c>
      <c r="N1399" s="152" t="s">
        <v>1327</v>
      </c>
      <c r="O1399" s="152">
        <v>3.060349</v>
      </c>
      <c r="P1399" s="152">
        <v>57.174142000000003</v>
      </c>
      <c r="Q1399" s="152">
        <v>3.060349</v>
      </c>
      <c r="R1399" s="152" t="s">
        <v>1327</v>
      </c>
      <c r="S1399" s="152">
        <v>113.908078</v>
      </c>
      <c r="T1399" s="152">
        <v>1.29589</v>
      </c>
      <c r="U1399" s="152">
        <v>4.9271450000000003</v>
      </c>
      <c r="V1399" s="152">
        <v>29.007676</v>
      </c>
      <c r="W1399" s="152">
        <v>1000</v>
      </c>
      <c r="X1399" s="152" t="s">
        <v>23</v>
      </c>
      <c r="Y1399" s="152" t="s">
        <v>1328</v>
      </c>
      <c r="Z1399" s="152" t="s">
        <v>1327</v>
      </c>
    </row>
    <row r="1400" spans="1:26" x14ac:dyDescent="0.2">
      <c r="A1400" s="152" t="s">
        <v>2540</v>
      </c>
      <c r="B1400" s="152">
        <v>4.8</v>
      </c>
      <c r="C1400" s="151">
        <v>43614</v>
      </c>
      <c r="D1400" s="152">
        <v>0.591781</v>
      </c>
      <c r="E1400" s="152" t="s">
        <v>1325</v>
      </c>
      <c r="F1400" s="152" t="s">
        <v>1326</v>
      </c>
      <c r="G1400" s="152" t="s">
        <v>302</v>
      </c>
      <c r="H1400" s="152"/>
      <c r="I1400" s="151">
        <v>43362</v>
      </c>
      <c r="J1400" s="152">
        <v>1.7350000000000001</v>
      </c>
      <c r="K1400" s="152">
        <v>42368</v>
      </c>
      <c r="L1400" s="152">
        <v>2.21</v>
      </c>
      <c r="M1400" s="152">
        <v>3.0466289999999998</v>
      </c>
      <c r="N1400" s="152">
        <v>2.21</v>
      </c>
      <c r="O1400" s="152">
        <v>1.8623700000000001</v>
      </c>
      <c r="P1400" s="152">
        <v>10.976246</v>
      </c>
      <c r="Q1400" s="152">
        <v>1.8623700000000001</v>
      </c>
      <c r="R1400" s="152" t="s">
        <v>1327</v>
      </c>
      <c r="S1400" s="152">
        <v>101.711366</v>
      </c>
      <c r="T1400" s="152">
        <v>1.959452</v>
      </c>
      <c r="U1400" s="152">
        <v>0.57894500000000004</v>
      </c>
      <c r="V1400" s="152">
        <v>0.62751900000000005</v>
      </c>
      <c r="W1400" s="152">
        <v>1000</v>
      </c>
      <c r="X1400" s="152" t="s">
        <v>23</v>
      </c>
      <c r="Y1400" s="152" t="s">
        <v>1328</v>
      </c>
      <c r="Z1400" s="152" t="s">
        <v>1327</v>
      </c>
    </row>
    <row r="1401" spans="1:26" x14ac:dyDescent="0.2">
      <c r="A1401" s="152" t="s">
        <v>2541</v>
      </c>
      <c r="B1401" s="152">
        <v>3.91</v>
      </c>
      <c r="C1401" s="151">
        <v>43622</v>
      </c>
      <c r="D1401" s="152">
        <v>0.61369899999999999</v>
      </c>
      <c r="E1401" s="152" t="s">
        <v>1325</v>
      </c>
      <c r="F1401" s="152" t="s">
        <v>1326</v>
      </c>
      <c r="G1401" s="152" t="s">
        <v>302</v>
      </c>
      <c r="H1401" s="152"/>
      <c r="I1401" s="151">
        <v>43391</v>
      </c>
      <c r="J1401" s="152">
        <v>1.96</v>
      </c>
      <c r="K1401" s="152">
        <v>42368</v>
      </c>
      <c r="L1401" s="152">
        <v>2.2000000000000002</v>
      </c>
      <c r="M1401" s="152">
        <v>3.050306</v>
      </c>
      <c r="N1401" s="152">
        <v>2.2000000000000002</v>
      </c>
      <c r="O1401" s="152">
        <v>1.9745600000000001</v>
      </c>
      <c r="P1401" s="152">
        <v>20.918510999999999</v>
      </c>
      <c r="Q1401" s="152">
        <v>1.9745600000000001</v>
      </c>
      <c r="R1401" s="152" t="s">
        <v>1327</v>
      </c>
      <c r="S1401" s="152">
        <v>101.170402</v>
      </c>
      <c r="T1401" s="152">
        <v>1.5104379999999999</v>
      </c>
      <c r="U1401" s="152">
        <v>0.59965000000000002</v>
      </c>
      <c r="V1401" s="152">
        <v>0.66104200000000002</v>
      </c>
      <c r="W1401" s="152">
        <v>1000</v>
      </c>
      <c r="X1401" s="152" t="s">
        <v>23</v>
      </c>
      <c r="Y1401" s="152" t="s">
        <v>1328</v>
      </c>
      <c r="Z1401" s="152" t="s">
        <v>1327</v>
      </c>
    </row>
    <row r="1402" spans="1:26" x14ac:dyDescent="0.2">
      <c r="A1402" s="152" t="s">
        <v>2542</v>
      </c>
      <c r="B1402" s="152">
        <v>4.82</v>
      </c>
      <c r="C1402" s="151">
        <v>47275</v>
      </c>
      <c r="D1402" s="152">
        <v>10.621918000000001</v>
      </c>
      <c r="E1402" s="152" t="s">
        <v>1325</v>
      </c>
      <c r="F1402" s="152" t="s">
        <v>1326</v>
      </c>
      <c r="G1402" s="152" t="s">
        <v>302</v>
      </c>
      <c r="H1402" s="152"/>
      <c r="I1402" s="151">
        <v>42788</v>
      </c>
      <c r="J1402" s="152">
        <v>3.94</v>
      </c>
      <c r="K1402" s="152" t="s">
        <v>1327</v>
      </c>
      <c r="L1402" s="152" t="s">
        <v>1327</v>
      </c>
      <c r="M1402" s="152" t="s">
        <v>1327</v>
      </c>
      <c r="N1402" s="152" t="s">
        <v>1327</v>
      </c>
      <c r="O1402" s="152">
        <v>3.7378529999999999</v>
      </c>
      <c r="P1402" s="152">
        <v>78.786709999999999</v>
      </c>
      <c r="Q1402" s="152">
        <v>3.7378529999999999</v>
      </c>
      <c r="R1402" s="152" t="s">
        <v>1327</v>
      </c>
      <c r="S1402" s="152">
        <v>109.399908</v>
      </c>
      <c r="T1402" s="152">
        <v>1.8619730000000001</v>
      </c>
      <c r="U1402" s="152">
        <v>8.2495349999999998</v>
      </c>
      <c r="V1402" s="152">
        <v>83.153887999999995</v>
      </c>
      <c r="W1402" s="152">
        <v>1000</v>
      </c>
      <c r="X1402" s="152" t="s">
        <v>23</v>
      </c>
      <c r="Y1402" s="152" t="s">
        <v>1328</v>
      </c>
      <c r="Z1402" s="152" t="s">
        <v>1327</v>
      </c>
    </row>
    <row r="1403" spans="1:26" x14ac:dyDescent="0.2">
      <c r="A1403" s="152" t="s">
        <v>2543</v>
      </c>
      <c r="B1403" s="152">
        <v>5.5</v>
      </c>
      <c r="C1403" s="151">
        <v>43635</v>
      </c>
      <c r="D1403" s="152">
        <v>0.64931499999999998</v>
      </c>
      <c r="E1403" s="152" t="s">
        <v>1325</v>
      </c>
      <c r="F1403" s="152" t="s">
        <v>1326</v>
      </c>
      <c r="G1403" s="152"/>
      <c r="H1403" s="152" t="s">
        <v>1278</v>
      </c>
      <c r="I1403" s="151" t="s">
        <v>1327</v>
      </c>
      <c r="J1403" s="152" t="s">
        <v>1327</v>
      </c>
      <c r="K1403" s="152">
        <v>41362</v>
      </c>
      <c r="L1403" s="152">
        <v>4.6766519999999998</v>
      </c>
      <c r="M1403" s="152">
        <v>4.8898000000000001</v>
      </c>
      <c r="N1403" s="152">
        <v>4.6667920000000001</v>
      </c>
      <c r="O1403" s="152">
        <v>2.1877430000000002</v>
      </c>
      <c r="P1403" s="152">
        <v>41.887970000000003</v>
      </c>
      <c r="Q1403" s="152">
        <v>2.1877430000000002</v>
      </c>
      <c r="R1403" s="152" t="s">
        <v>1327</v>
      </c>
      <c r="S1403" s="152">
        <v>102.117745</v>
      </c>
      <c r="T1403" s="152">
        <v>1.9287669999999999</v>
      </c>
      <c r="U1403" s="152">
        <v>0.63061500000000004</v>
      </c>
      <c r="V1403" s="152">
        <v>0.71584499999999995</v>
      </c>
      <c r="W1403" s="152">
        <v>1000</v>
      </c>
      <c r="X1403" s="152" t="s">
        <v>23</v>
      </c>
      <c r="Y1403" s="152" t="s">
        <v>1328</v>
      </c>
      <c r="Z1403" s="152" t="s">
        <v>1327</v>
      </c>
    </row>
    <row r="1404" spans="1:26" x14ac:dyDescent="0.2">
      <c r="A1404" s="152" t="s">
        <v>2544</v>
      </c>
      <c r="B1404" s="152">
        <v>4.5</v>
      </c>
      <c r="C1404" s="151">
        <v>44416</v>
      </c>
      <c r="D1404" s="152">
        <v>2.7890410000000001</v>
      </c>
      <c r="E1404" s="152" t="s">
        <v>1325</v>
      </c>
      <c r="F1404" s="152" t="s">
        <v>1326</v>
      </c>
      <c r="G1404" s="152"/>
      <c r="H1404" s="152" t="s">
        <v>1278</v>
      </c>
      <c r="I1404" s="152">
        <v>43335</v>
      </c>
      <c r="J1404" s="152">
        <v>2.3199999999999998</v>
      </c>
      <c r="K1404" s="152" t="s">
        <v>1327</v>
      </c>
      <c r="L1404" s="152" t="s">
        <v>1327</v>
      </c>
      <c r="M1404" s="152" t="s">
        <v>1327</v>
      </c>
      <c r="N1404" s="152" t="s">
        <v>1327</v>
      </c>
      <c r="O1404" s="152">
        <v>2.4991629999999998</v>
      </c>
      <c r="P1404" s="152">
        <v>42.414994</v>
      </c>
      <c r="Q1404" s="152">
        <v>2.4991629999999998</v>
      </c>
      <c r="R1404" s="152" t="s">
        <v>1327</v>
      </c>
      <c r="S1404" s="152">
        <v>105.338764</v>
      </c>
      <c r="T1404" s="152">
        <v>0.96164400000000005</v>
      </c>
      <c r="U1404" s="152">
        <v>2.602849</v>
      </c>
      <c r="V1404" s="152">
        <v>8.3154529999999998</v>
      </c>
      <c r="W1404" s="152">
        <v>1000</v>
      </c>
      <c r="X1404" s="152" t="s">
        <v>23</v>
      </c>
      <c r="Y1404" s="152" t="s">
        <v>1328</v>
      </c>
      <c r="Z1404" s="152" t="s">
        <v>1327</v>
      </c>
    </row>
    <row r="1405" spans="1:26" x14ac:dyDescent="0.2">
      <c r="A1405" s="152" t="s">
        <v>2545</v>
      </c>
      <c r="B1405" s="152">
        <v>3.05</v>
      </c>
      <c r="C1405" s="151">
        <v>44439</v>
      </c>
      <c r="D1405" s="152">
        <v>2.852055</v>
      </c>
      <c r="E1405" s="152" t="s">
        <v>1325</v>
      </c>
      <c r="F1405" s="152" t="s">
        <v>1326</v>
      </c>
      <c r="G1405" s="152"/>
      <c r="H1405" s="152" t="s">
        <v>1278</v>
      </c>
      <c r="I1405" s="152">
        <v>43391</v>
      </c>
      <c r="J1405" s="152">
        <v>3</v>
      </c>
      <c r="K1405" s="152" t="s">
        <v>1327</v>
      </c>
      <c r="L1405" s="152" t="s">
        <v>1327</v>
      </c>
      <c r="M1405" s="152" t="s">
        <v>1327</v>
      </c>
      <c r="N1405" s="152" t="s">
        <v>1327</v>
      </c>
      <c r="O1405" s="152">
        <v>2.9992299999999998</v>
      </c>
      <c r="P1405" s="152">
        <v>91.153986000000003</v>
      </c>
      <c r="Q1405" s="152">
        <v>2.9992299999999998</v>
      </c>
      <c r="R1405" s="152" t="s">
        <v>1327</v>
      </c>
      <c r="S1405" s="152">
        <v>100.14758500000001</v>
      </c>
      <c r="T1405" s="152">
        <v>0.45958900000000003</v>
      </c>
      <c r="U1405" s="152">
        <v>2.6944689999999998</v>
      </c>
      <c r="V1405" s="152">
        <v>8.7732469999999996</v>
      </c>
      <c r="W1405" s="152">
        <v>1000</v>
      </c>
      <c r="X1405" s="152" t="s">
        <v>23</v>
      </c>
      <c r="Y1405" s="152" t="s">
        <v>1328</v>
      </c>
      <c r="Z1405" s="152" t="s">
        <v>1327</v>
      </c>
    </row>
    <row r="1406" spans="1:26" x14ac:dyDescent="0.2">
      <c r="A1406" s="152" t="s">
        <v>556</v>
      </c>
      <c r="B1406" s="152">
        <v>1.96</v>
      </c>
      <c r="C1406" s="151">
        <v>43580</v>
      </c>
      <c r="D1406" s="152">
        <v>0.49863000000000002</v>
      </c>
      <c r="E1406" s="152" t="s">
        <v>1325</v>
      </c>
      <c r="F1406" s="152" t="s">
        <v>1326</v>
      </c>
      <c r="G1406" s="152" t="s">
        <v>116</v>
      </c>
      <c r="H1406" s="152"/>
      <c r="I1406" s="152">
        <v>43395</v>
      </c>
      <c r="J1406" s="152">
        <v>2</v>
      </c>
      <c r="K1406" s="152" t="s">
        <v>1327</v>
      </c>
      <c r="L1406" s="152" t="s">
        <v>1327</v>
      </c>
      <c r="M1406" s="152" t="s">
        <v>1327</v>
      </c>
      <c r="N1406" s="152" t="s">
        <v>1327</v>
      </c>
      <c r="O1406" s="152">
        <v>2.0066670000000002</v>
      </c>
      <c r="P1406" s="152">
        <v>27.083919000000002</v>
      </c>
      <c r="Q1406" s="152">
        <v>2.0066670000000002</v>
      </c>
      <c r="R1406" s="152" t="s">
        <v>1327</v>
      </c>
      <c r="S1406" s="152">
        <v>99.979633000000007</v>
      </c>
      <c r="T1406" s="152">
        <v>0</v>
      </c>
      <c r="U1406" s="152">
        <v>0.49367699999999998</v>
      </c>
      <c r="V1406" s="152">
        <v>0.48810300000000001</v>
      </c>
      <c r="W1406" s="152">
        <v>1000</v>
      </c>
      <c r="X1406" s="152" t="s">
        <v>23</v>
      </c>
      <c r="Y1406" s="152" t="s">
        <v>1328</v>
      </c>
      <c r="Z1406" s="152" t="s">
        <v>1327</v>
      </c>
    </row>
    <row r="1407" spans="1:26" x14ac:dyDescent="0.2">
      <c r="A1407" s="152" t="s">
        <v>694</v>
      </c>
      <c r="B1407" s="152">
        <v>3.07</v>
      </c>
      <c r="C1407" s="151">
        <v>43642</v>
      </c>
      <c r="D1407" s="152">
        <v>0.668493</v>
      </c>
      <c r="E1407" s="152" t="s">
        <v>1325</v>
      </c>
      <c r="F1407" s="152" t="s">
        <v>1326</v>
      </c>
      <c r="G1407" s="152" t="s">
        <v>116</v>
      </c>
      <c r="H1407" s="152"/>
      <c r="I1407" s="151">
        <v>43313</v>
      </c>
      <c r="J1407" s="152">
        <v>1.75</v>
      </c>
      <c r="K1407" s="152" t="s">
        <v>1327</v>
      </c>
      <c r="L1407" s="152" t="s">
        <v>1327</v>
      </c>
      <c r="M1407" s="152" t="s">
        <v>1327</v>
      </c>
      <c r="N1407" s="152" t="s">
        <v>1327</v>
      </c>
      <c r="O1407" s="152">
        <v>2.1206390000000002</v>
      </c>
      <c r="P1407" s="152">
        <v>34.672331999999997</v>
      </c>
      <c r="Q1407" s="152">
        <v>2.1206390000000002</v>
      </c>
      <c r="R1407" s="152" t="s">
        <v>1327</v>
      </c>
      <c r="S1407" s="152">
        <v>100.622123</v>
      </c>
      <c r="T1407" s="152">
        <v>1.0177259999999999</v>
      </c>
      <c r="U1407" s="152">
        <v>0.65539000000000003</v>
      </c>
      <c r="V1407" s="152">
        <v>0.75741999999999998</v>
      </c>
      <c r="W1407" s="152">
        <v>1000</v>
      </c>
      <c r="X1407" s="152" t="s">
        <v>23</v>
      </c>
      <c r="Y1407" s="152" t="s">
        <v>1328</v>
      </c>
      <c r="Z1407" s="152" t="s">
        <v>1327</v>
      </c>
    </row>
    <row r="1408" spans="1:26" x14ac:dyDescent="0.2">
      <c r="A1408" s="152" t="s">
        <v>557</v>
      </c>
      <c r="B1408" s="152">
        <v>4.38</v>
      </c>
      <c r="C1408" s="151">
        <v>43685</v>
      </c>
      <c r="D1408" s="152">
        <v>0.78630100000000003</v>
      </c>
      <c r="E1408" s="152" t="s">
        <v>1325</v>
      </c>
      <c r="F1408" s="152" t="s">
        <v>1326</v>
      </c>
      <c r="G1408" s="152" t="s">
        <v>116</v>
      </c>
      <c r="H1408" s="152"/>
      <c r="I1408" s="152">
        <v>43265</v>
      </c>
      <c r="J1408" s="152">
        <v>1.78</v>
      </c>
      <c r="K1408" s="152">
        <v>42307</v>
      </c>
      <c r="L1408" s="152">
        <v>2.7162500000000001</v>
      </c>
      <c r="M1408" s="152">
        <v>3.6809400000000001</v>
      </c>
      <c r="N1408" s="152">
        <v>2.7</v>
      </c>
      <c r="O1408" s="152">
        <v>2.1765409999999998</v>
      </c>
      <c r="P1408" s="152">
        <v>39.935307000000002</v>
      </c>
      <c r="Q1408" s="152">
        <v>2.1765409999999998</v>
      </c>
      <c r="R1408" s="152" t="s">
        <v>1327</v>
      </c>
      <c r="S1408" s="152">
        <v>101.696609</v>
      </c>
      <c r="T1408" s="152">
        <v>0.93600000000000005</v>
      </c>
      <c r="U1408" s="152">
        <v>0.77141400000000004</v>
      </c>
      <c r="V1408" s="152">
        <v>0.981711</v>
      </c>
      <c r="W1408" s="152">
        <v>1000</v>
      </c>
      <c r="X1408" s="152" t="s">
        <v>23</v>
      </c>
      <c r="Y1408" s="152" t="s">
        <v>1328</v>
      </c>
      <c r="Z1408" s="152" t="s">
        <v>1327</v>
      </c>
    </row>
    <row r="1409" spans="1:26" x14ac:dyDescent="0.2">
      <c r="A1409" s="152" t="s">
        <v>2546</v>
      </c>
      <c r="B1409" s="152">
        <v>2.58</v>
      </c>
      <c r="C1409" s="151">
        <v>43798</v>
      </c>
      <c r="D1409" s="152">
        <v>1.09589</v>
      </c>
      <c r="E1409" s="152" t="s">
        <v>1325</v>
      </c>
      <c r="F1409" s="152" t="s">
        <v>1326</v>
      </c>
      <c r="G1409" s="152" t="s">
        <v>116</v>
      </c>
      <c r="H1409" s="152"/>
      <c r="I1409" s="152">
        <v>43395</v>
      </c>
      <c r="J1409" s="152">
        <v>2.35</v>
      </c>
      <c r="K1409" s="152" t="s">
        <v>1327</v>
      </c>
      <c r="L1409" s="152" t="s">
        <v>1327</v>
      </c>
      <c r="M1409" s="152" t="s">
        <v>1327</v>
      </c>
      <c r="N1409" s="152" t="s">
        <v>1327</v>
      </c>
      <c r="O1409" s="152">
        <v>2.350921</v>
      </c>
      <c r="P1409" s="152">
        <v>53.765954000000001</v>
      </c>
      <c r="Q1409" s="152">
        <v>2.350921</v>
      </c>
      <c r="R1409" s="152" t="s">
        <v>1327</v>
      </c>
      <c r="S1409" s="152">
        <v>100.23464</v>
      </c>
      <c r="T1409" s="152">
        <v>1.0532049999999999</v>
      </c>
      <c r="U1409" s="152">
        <v>1.064392</v>
      </c>
      <c r="V1409" s="152">
        <v>1.6740710000000001</v>
      </c>
      <c r="W1409" s="152">
        <v>1000</v>
      </c>
      <c r="X1409" s="152" t="s">
        <v>23</v>
      </c>
      <c r="Y1409" s="152" t="s">
        <v>1328</v>
      </c>
      <c r="Z1409" s="152" t="s">
        <v>1327</v>
      </c>
    </row>
    <row r="1410" spans="1:26" x14ac:dyDescent="0.2">
      <c r="A1410" s="152" t="s">
        <v>604</v>
      </c>
      <c r="B1410" s="152">
        <v>2.69</v>
      </c>
      <c r="C1410" s="151">
        <v>43962</v>
      </c>
      <c r="D1410" s="152">
        <v>1.5452049999999999</v>
      </c>
      <c r="E1410" s="152" t="s">
        <v>1325</v>
      </c>
      <c r="F1410" s="152" t="s">
        <v>1326</v>
      </c>
      <c r="G1410" s="152" t="s">
        <v>116</v>
      </c>
      <c r="H1410" s="152"/>
      <c r="I1410" s="152">
        <v>43374</v>
      </c>
      <c r="J1410" s="152">
        <v>2.63</v>
      </c>
      <c r="K1410" s="152" t="s">
        <v>1327</v>
      </c>
      <c r="L1410" s="152" t="s">
        <v>1327</v>
      </c>
      <c r="M1410" s="152" t="s">
        <v>1327</v>
      </c>
      <c r="N1410" s="152" t="s">
        <v>1327</v>
      </c>
      <c r="O1410" s="152">
        <v>2.6679059999999999</v>
      </c>
      <c r="P1410" s="152">
        <v>74.703059999999994</v>
      </c>
      <c r="Q1410" s="152">
        <v>2.6679059999999999</v>
      </c>
      <c r="R1410" s="152" t="s">
        <v>1327</v>
      </c>
      <c r="S1410" s="152">
        <v>100.021449</v>
      </c>
      <c r="T1410" s="152">
        <v>1.2307669999999999</v>
      </c>
      <c r="U1410" s="152">
        <v>1.487282</v>
      </c>
      <c r="V1410" s="152">
        <v>2.9893100000000001</v>
      </c>
      <c r="W1410" s="152">
        <v>1000</v>
      </c>
      <c r="X1410" s="152" t="s">
        <v>23</v>
      </c>
      <c r="Y1410" s="152" t="s">
        <v>1328</v>
      </c>
      <c r="Z1410" s="152" t="s">
        <v>1327</v>
      </c>
    </row>
    <row r="1411" spans="1:26" x14ac:dyDescent="0.2">
      <c r="A1411" s="152" t="s">
        <v>507</v>
      </c>
      <c r="B1411" s="152">
        <v>2.2000000000000002</v>
      </c>
      <c r="C1411" s="151">
        <v>44156</v>
      </c>
      <c r="D1411" s="152">
        <v>2.0767120000000001</v>
      </c>
      <c r="E1411" s="152" t="s">
        <v>1325</v>
      </c>
      <c r="F1411" s="152" t="s">
        <v>1326</v>
      </c>
      <c r="G1411" s="152" t="s">
        <v>116</v>
      </c>
      <c r="H1411" s="152"/>
      <c r="I1411" s="152">
        <v>43391</v>
      </c>
      <c r="J1411" s="152">
        <v>2.82</v>
      </c>
      <c r="K1411" s="152" t="s">
        <v>1327</v>
      </c>
      <c r="L1411" s="152" t="s">
        <v>1327</v>
      </c>
      <c r="M1411" s="152" t="s">
        <v>1327</v>
      </c>
      <c r="N1411" s="152" t="s">
        <v>1327</v>
      </c>
      <c r="O1411" s="152">
        <v>2.8230770000000001</v>
      </c>
      <c r="P1411" s="152">
        <v>80.414051000000001</v>
      </c>
      <c r="Q1411" s="152">
        <v>2.8230770000000001</v>
      </c>
      <c r="R1411" s="152" t="s">
        <v>1327</v>
      </c>
      <c r="S1411" s="152">
        <v>98.743367000000006</v>
      </c>
      <c r="T1411" s="152">
        <v>0.94630099999999995</v>
      </c>
      <c r="U1411" s="152">
        <v>1.991565</v>
      </c>
      <c r="V1411" s="152">
        <v>5.0249480000000002</v>
      </c>
      <c r="W1411" s="152">
        <v>1000</v>
      </c>
      <c r="X1411" s="152" t="s">
        <v>23</v>
      </c>
      <c r="Y1411" s="152" t="s">
        <v>1328</v>
      </c>
      <c r="Z1411" s="152" t="s">
        <v>1327</v>
      </c>
    </row>
    <row r="1412" spans="1:26" x14ac:dyDescent="0.2">
      <c r="A1412" s="152" t="s">
        <v>217</v>
      </c>
      <c r="B1412" s="152">
        <v>2.16</v>
      </c>
      <c r="C1412" s="151">
        <v>44260</v>
      </c>
      <c r="D1412" s="152">
        <v>2.3616440000000001</v>
      </c>
      <c r="E1412" s="152" t="s">
        <v>1325</v>
      </c>
      <c r="F1412" s="152" t="s">
        <v>1326</v>
      </c>
      <c r="G1412" s="152" t="s">
        <v>116</v>
      </c>
      <c r="H1412" s="152"/>
      <c r="I1412" s="151">
        <v>43391</v>
      </c>
      <c r="J1412" s="152">
        <v>2.79</v>
      </c>
      <c r="K1412" s="152" t="s">
        <v>1327</v>
      </c>
      <c r="L1412" s="152" t="s">
        <v>1327</v>
      </c>
      <c r="M1412" s="152" t="s">
        <v>1327</v>
      </c>
      <c r="N1412" s="152" t="s">
        <v>1327</v>
      </c>
      <c r="O1412" s="152">
        <v>2.7918449999999999</v>
      </c>
      <c r="P1412" s="152">
        <v>75.038523999999995</v>
      </c>
      <c r="Q1412" s="152">
        <v>2.7918449999999999</v>
      </c>
      <c r="R1412" s="152" t="s">
        <v>1327</v>
      </c>
      <c r="S1412" s="152">
        <v>98.574572000000003</v>
      </c>
      <c r="T1412" s="152">
        <v>0.29588999999999999</v>
      </c>
      <c r="U1412" s="152">
        <v>2.2738260000000001</v>
      </c>
      <c r="V1412" s="152">
        <v>6.3669570000000002</v>
      </c>
      <c r="W1412" s="152">
        <v>1000</v>
      </c>
      <c r="X1412" s="152" t="s">
        <v>23</v>
      </c>
      <c r="Y1412" s="152" t="s">
        <v>1328</v>
      </c>
      <c r="Z1412" s="152" t="s">
        <v>1327</v>
      </c>
    </row>
    <row r="1413" spans="1:26" x14ac:dyDescent="0.2">
      <c r="A1413" s="152" t="s">
        <v>2547</v>
      </c>
      <c r="B1413" s="152">
        <v>2.2200000000000002</v>
      </c>
      <c r="C1413" s="151">
        <v>44311</v>
      </c>
      <c r="D1413" s="152">
        <v>2.5013700000000001</v>
      </c>
      <c r="E1413" s="152" t="s">
        <v>1325</v>
      </c>
      <c r="F1413" s="152" t="s">
        <v>1326</v>
      </c>
      <c r="G1413" s="152" t="s">
        <v>116</v>
      </c>
      <c r="H1413" s="152"/>
      <c r="I1413" s="151">
        <v>43322</v>
      </c>
      <c r="J1413" s="152">
        <v>2.42</v>
      </c>
      <c r="K1413" s="151" t="s">
        <v>1327</v>
      </c>
      <c r="L1413" s="152" t="s">
        <v>1327</v>
      </c>
      <c r="M1413" s="152" t="s">
        <v>1327</v>
      </c>
      <c r="N1413" s="152" t="s">
        <v>1327</v>
      </c>
      <c r="O1413" s="152">
        <v>2.7968489999999999</v>
      </c>
      <c r="P1413" s="152">
        <v>74.570300000000003</v>
      </c>
      <c r="Q1413" s="152">
        <v>2.7968489999999999</v>
      </c>
      <c r="R1413" s="152" t="s">
        <v>1327</v>
      </c>
      <c r="S1413" s="152">
        <v>98.62021</v>
      </c>
      <c r="T1413" s="152">
        <v>0</v>
      </c>
      <c r="U1413" s="152">
        <v>2.410183</v>
      </c>
      <c r="V1413" s="152">
        <v>7.0747730000000004</v>
      </c>
      <c r="W1413" s="152">
        <v>1000</v>
      </c>
      <c r="X1413" s="152" t="s">
        <v>23</v>
      </c>
      <c r="Y1413" s="152" t="s">
        <v>1328</v>
      </c>
      <c r="Z1413" s="152" t="s">
        <v>1327</v>
      </c>
    </row>
    <row r="1414" spans="1:26" x14ac:dyDescent="0.2">
      <c r="A1414" s="152" t="s">
        <v>2548</v>
      </c>
      <c r="B1414" s="152">
        <v>2.46</v>
      </c>
      <c r="C1414" s="151">
        <v>44372</v>
      </c>
      <c r="D1414" s="152">
        <v>2.6684929999999998</v>
      </c>
      <c r="E1414" s="152" t="s">
        <v>1325</v>
      </c>
      <c r="F1414" s="152" t="s">
        <v>1326</v>
      </c>
      <c r="G1414" s="152"/>
      <c r="H1414" s="152"/>
      <c r="I1414" s="151" t="s">
        <v>1327</v>
      </c>
      <c r="J1414" s="152" t="s">
        <v>1327</v>
      </c>
      <c r="K1414" s="151" t="s">
        <v>1327</v>
      </c>
      <c r="L1414" s="152" t="s">
        <v>1327</v>
      </c>
      <c r="M1414" s="152" t="s">
        <v>1327</v>
      </c>
      <c r="N1414" s="152" t="s">
        <v>1327</v>
      </c>
      <c r="O1414" s="152">
        <v>2.802657</v>
      </c>
      <c r="P1414" s="152">
        <v>73.950733</v>
      </c>
      <c r="Q1414" s="152">
        <v>2.802657</v>
      </c>
      <c r="R1414" s="152" t="s">
        <v>1327</v>
      </c>
      <c r="S1414" s="152">
        <v>99.120025999999996</v>
      </c>
      <c r="T1414" s="152">
        <v>0.82224699999999995</v>
      </c>
      <c r="U1414" s="152">
        <v>2.541312</v>
      </c>
      <c r="V1414" s="152">
        <v>7.8652199999999999</v>
      </c>
      <c r="W1414" s="152">
        <v>1000</v>
      </c>
      <c r="X1414" s="152" t="s">
        <v>23</v>
      </c>
      <c r="Y1414" s="152" t="s">
        <v>1328</v>
      </c>
      <c r="Z1414" s="152" t="s">
        <v>1327</v>
      </c>
    </row>
    <row r="1415" spans="1:26" x14ac:dyDescent="0.2">
      <c r="A1415" s="152" t="s">
        <v>2549</v>
      </c>
      <c r="B1415" s="152">
        <v>3.5</v>
      </c>
      <c r="C1415" s="151">
        <v>44623</v>
      </c>
      <c r="D1415" s="152">
        <v>3.3561640000000001</v>
      </c>
      <c r="E1415" s="152" t="s">
        <v>1325</v>
      </c>
      <c r="F1415" s="152" t="s">
        <v>1326</v>
      </c>
      <c r="G1415" s="152"/>
      <c r="H1415" s="152"/>
      <c r="I1415" s="151">
        <v>42726</v>
      </c>
      <c r="J1415" s="152">
        <v>3.25</v>
      </c>
      <c r="K1415" s="151" t="s">
        <v>1327</v>
      </c>
      <c r="L1415" s="152" t="s">
        <v>1327</v>
      </c>
      <c r="M1415" s="152" t="s">
        <v>1327</v>
      </c>
      <c r="N1415" s="152" t="s">
        <v>1327</v>
      </c>
      <c r="O1415" s="152">
        <v>2.9656020000000001</v>
      </c>
      <c r="P1415" s="152">
        <v>75.921650999999997</v>
      </c>
      <c r="Q1415" s="152">
        <v>2.9656020000000001</v>
      </c>
      <c r="R1415" s="152" t="s">
        <v>1327</v>
      </c>
      <c r="S1415" s="152">
        <v>101.70563799999999</v>
      </c>
      <c r="T1415" s="152">
        <v>0.49863000000000002</v>
      </c>
      <c r="U1415" s="152">
        <v>3.133308</v>
      </c>
      <c r="V1415" s="152">
        <v>11.70018</v>
      </c>
      <c r="W1415" s="152">
        <v>1000</v>
      </c>
      <c r="X1415" s="152" t="s">
        <v>23</v>
      </c>
      <c r="Y1415" s="152" t="s">
        <v>1328</v>
      </c>
      <c r="Z1415" s="152" t="s">
        <v>1327</v>
      </c>
    </row>
    <row r="1416" spans="1:26" x14ac:dyDescent="0.2">
      <c r="A1416" s="152" t="s">
        <v>2550</v>
      </c>
      <c r="B1416" s="152">
        <v>5.6</v>
      </c>
      <c r="C1416" s="151">
        <v>43455</v>
      </c>
      <c r="D1416" s="152">
        <v>0.156164</v>
      </c>
      <c r="E1416" s="152" t="s">
        <v>1325</v>
      </c>
      <c r="F1416" s="152" t="s">
        <v>1326</v>
      </c>
      <c r="G1416" s="152"/>
      <c r="H1416" s="152"/>
      <c r="I1416" s="151" t="s">
        <v>1327</v>
      </c>
      <c r="J1416" s="152" t="s">
        <v>1327</v>
      </c>
      <c r="K1416" s="151" t="s">
        <v>1327</v>
      </c>
      <c r="L1416" s="152" t="s">
        <v>1327</v>
      </c>
      <c r="M1416" s="152" t="s">
        <v>1327</v>
      </c>
      <c r="N1416" s="152" t="s">
        <v>1327</v>
      </c>
      <c r="O1416" s="152">
        <v>4.9189150000000001</v>
      </c>
      <c r="P1416" s="152">
        <v>361.45414399999999</v>
      </c>
      <c r="Q1416" s="152">
        <v>4.9189150000000001</v>
      </c>
      <c r="R1416" s="152" t="s">
        <v>1327</v>
      </c>
      <c r="S1416" s="152">
        <v>100.107141</v>
      </c>
      <c r="T1416" s="152">
        <v>0.521644</v>
      </c>
      <c r="U1416" s="152">
        <v>0.15426699999999999</v>
      </c>
      <c r="V1416" s="152">
        <v>6.1897000000000001E-2</v>
      </c>
      <c r="W1416" s="152">
        <v>1000</v>
      </c>
      <c r="X1416" s="152" t="s">
        <v>23</v>
      </c>
      <c r="Y1416" s="152" t="s">
        <v>1328</v>
      </c>
      <c r="Z1416" s="152" t="s">
        <v>1327</v>
      </c>
    </row>
    <row r="1417" spans="1:26" x14ac:dyDescent="0.2">
      <c r="A1417" s="152" t="s">
        <v>2551</v>
      </c>
      <c r="B1417" s="152">
        <v>5.6</v>
      </c>
      <c r="C1417" s="151">
        <v>43525</v>
      </c>
      <c r="D1417" s="152">
        <v>0.347945</v>
      </c>
      <c r="E1417" s="152" t="s">
        <v>1325</v>
      </c>
      <c r="F1417" s="152" t="s">
        <v>1326</v>
      </c>
      <c r="G1417" s="152"/>
      <c r="H1417" s="152"/>
      <c r="I1417" s="151">
        <v>43262</v>
      </c>
      <c r="J1417" s="152">
        <v>5.5</v>
      </c>
      <c r="K1417" s="151" t="s">
        <v>1327</v>
      </c>
      <c r="L1417" s="152" t="s">
        <v>1327</v>
      </c>
      <c r="M1417" s="152" t="s">
        <v>1327</v>
      </c>
      <c r="N1417" s="152" t="s">
        <v>1327</v>
      </c>
      <c r="O1417" s="152">
        <v>5.5842869999999998</v>
      </c>
      <c r="P1417" s="152">
        <v>410.91189200000002</v>
      </c>
      <c r="Q1417" s="152">
        <v>5.5842869999999998</v>
      </c>
      <c r="R1417" s="152" t="s">
        <v>1327</v>
      </c>
      <c r="S1417" s="152">
        <v>100.006925</v>
      </c>
      <c r="T1417" s="152">
        <v>0.82849300000000003</v>
      </c>
      <c r="U1417" s="152">
        <v>0.34312799999999999</v>
      </c>
      <c r="V1417" s="152">
        <v>0.20316500000000001</v>
      </c>
      <c r="W1417" s="152">
        <v>1000</v>
      </c>
      <c r="X1417" s="152" t="s">
        <v>23</v>
      </c>
      <c r="Y1417" s="152" t="s">
        <v>1328</v>
      </c>
      <c r="Z1417" s="152" t="s">
        <v>1327</v>
      </c>
    </row>
    <row r="1418" spans="1:26" x14ac:dyDescent="0.2">
      <c r="A1418" s="152" t="s">
        <v>2552</v>
      </c>
      <c r="B1418" s="152">
        <v>6.25</v>
      </c>
      <c r="C1418" s="151">
        <v>43686</v>
      </c>
      <c r="D1418" s="152">
        <v>0.78904099999999999</v>
      </c>
      <c r="E1418" s="152" t="s">
        <v>1325</v>
      </c>
      <c r="F1418" s="152" t="s">
        <v>1326</v>
      </c>
      <c r="G1418" s="152"/>
      <c r="H1418" s="152"/>
      <c r="I1418" s="151" t="s">
        <v>1327</v>
      </c>
      <c r="J1418" s="152" t="s">
        <v>1327</v>
      </c>
      <c r="K1418" s="151" t="s">
        <v>1327</v>
      </c>
      <c r="L1418" s="152" t="s">
        <v>1327</v>
      </c>
      <c r="M1418" s="152" t="s">
        <v>1327</v>
      </c>
      <c r="N1418" s="152" t="s">
        <v>1327</v>
      </c>
      <c r="O1418" s="152">
        <v>6.0742310000000002</v>
      </c>
      <c r="P1418" s="152">
        <v>443.04670700000003</v>
      </c>
      <c r="Q1418" s="152">
        <v>6.0742310000000002</v>
      </c>
      <c r="R1418" s="152" t="s">
        <v>1327</v>
      </c>
      <c r="S1418" s="152">
        <v>100.12030300000001</v>
      </c>
      <c r="T1418" s="152">
        <v>1.3184929999999999</v>
      </c>
      <c r="U1418" s="152">
        <v>0.75678500000000004</v>
      </c>
      <c r="V1418" s="152">
        <v>0.77154599999999995</v>
      </c>
      <c r="W1418" s="152">
        <v>1000</v>
      </c>
      <c r="X1418" s="152" t="s">
        <v>23</v>
      </c>
      <c r="Y1418" s="152" t="s">
        <v>1328</v>
      </c>
      <c r="Z1418" s="152" t="s">
        <v>1327</v>
      </c>
    </row>
    <row r="1419" spans="1:26" x14ac:dyDescent="0.2">
      <c r="A1419" s="152" t="s">
        <v>2553</v>
      </c>
      <c r="B1419" s="152">
        <v>5.5</v>
      </c>
      <c r="C1419" s="151">
        <v>44161</v>
      </c>
      <c r="D1419" s="152">
        <v>2.090411</v>
      </c>
      <c r="E1419" s="152" t="s">
        <v>1325</v>
      </c>
      <c r="F1419" s="152" t="s">
        <v>1326</v>
      </c>
      <c r="G1419" s="152"/>
      <c r="H1419" s="152"/>
      <c r="I1419" s="151">
        <v>42335</v>
      </c>
      <c r="J1419" s="152">
        <v>5.47</v>
      </c>
      <c r="K1419" s="151" t="s">
        <v>1327</v>
      </c>
      <c r="L1419" s="152" t="s">
        <v>1327</v>
      </c>
      <c r="M1419" s="152" t="s">
        <v>1327</v>
      </c>
      <c r="N1419" s="152" t="s">
        <v>1327</v>
      </c>
      <c r="O1419" s="152">
        <v>6.0092629999999998</v>
      </c>
      <c r="P1419" s="152">
        <v>410.64936799999998</v>
      </c>
      <c r="Q1419" s="152">
        <v>6.0092629999999998</v>
      </c>
      <c r="R1419" s="152" t="s">
        <v>1327</v>
      </c>
      <c r="S1419" s="152">
        <v>98.994152</v>
      </c>
      <c r="T1419" s="152">
        <v>0.90410999999999997</v>
      </c>
      <c r="U1419" s="152">
        <v>1.9394670000000001</v>
      </c>
      <c r="V1419" s="152">
        <v>4.3908459999999998</v>
      </c>
      <c r="W1419" s="152">
        <v>1000</v>
      </c>
      <c r="X1419" s="152" t="s">
        <v>23</v>
      </c>
      <c r="Y1419" s="152" t="s">
        <v>1328</v>
      </c>
      <c r="Z1419" s="152" t="s">
        <v>1327</v>
      </c>
    </row>
    <row r="1420" spans="1:26" x14ac:dyDescent="0.2">
      <c r="A1420" s="152" t="s">
        <v>2554</v>
      </c>
      <c r="B1420" s="152">
        <v>4.7</v>
      </c>
      <c r="C1420" s="151">
        <v>43729</v>
      </c>
      <c r="D1420" s="152">
        <v>0.90684900000000002</v>
      </c>
      <c r="E1420" s="152" t="s">
        <v>1325</v>
      </c>
      <c r="F1420" s="152" t="s">
        <v>1326</v>
      </c>
      <c r="G1420" s="152"/>
      <c r="H1420" s="152"/>
      <c r="I1420" s="151">
        <v>43005</v>
      </c>
      <c r="J1420" s="152">
        <v>4.5</v>
      </c>
      <c r="K1420" s="151" t="s">
        <v>1327</v>
      </c>
      <c r="L1420" s="152" t="s">
        <v>1327</v>
      </c>
      <c r="M1420" s="152" t="s">
        <v>1327</v>
      </c>
      <c r="N1420" s="152" t="s">
        <v>1327</v>
      </c>
      <c r="O1420" s="152">
        <v>4.724761</v>
      </c>
      <c r="P1420" s="152">
        <v>299.95148499999999</v>
      </c>
      <c r="Q1420" s="152">
        <v>4.724761</v>
      </c>
      <c r="R1420" s="152" t="s">
        <v>1327</v>
      </c>
      <c r="S1420" s="152">
        <v>99.979765</v>
      </c>
      <c r="T1420" s="152">
        <v>0.43780799999999997</v>
      </c>
      <c r="U1420" s="152">
        <v>0.87849900000000003</v>
      </c>
      <c r="V1420" s="152">
        <v>0.99840799999999996</v>
      </c>
      <c r="W1420" s="152">
        <v>1000</v>
      </c>
      <c r="X1420" s="152" t="s">
        <v>23</v>
      </c>
      <c r="Y1420" s="152" t="s">
        <v>1328</v>
      </c>
      <c r="Z1420" s="152" t="s">
        <v>1327</v>
      </c>
    </row>
    <row r="1421" spans="1:26" x14ac:dyDescent="0.2">
      <c r="A1421" s="152" t="s">
        <v>2555</v>
      </c>
      <c r="B1421" s="152">
        <v>4.7</v>
      </c>
      <c r="C1421" s="151">
        <v>44002</v>
      </c>
      <c r="D1421" s="152">
        <v>1.654795</v>
      </c>
      <c r="E1421" s="152" t="s">
        <v>1325</v>
      </c>
      <c r="F1421" s="152" t="s">
        <v>1326</v>
      </c>
      <c r="G1421" s="152"/>
      <c r="H1421" s="152"/>
      <c r="I1421" s="151" t="s">
        <v>1327</v>
      </c>
      <c r="J1421" s="152" t="s">
        <v>1327</v>
      </c>
      <c r="K1421" s="151" t="s">
        <v>1327</v>
      </c>
      <c r="L1421" s="152" t="s">
        <v>1327</v>
      </c>
      <c r="M1421" s="152" t="s">
        <v>1327</v>
      </c>
      <c r="N1421" s="152" t="s">
        <v>1327</v>
      </c>
      <c r="O1421" s="152">
        <v>4.8499800000000004</v>
      </c>
      <c r="P1421" s="152">
        <v>296.843298</v>
      </c>
      <c r="Q1421" s="152">
        <v>4.8499800000000004</v>
      </c>
      <c r="R1421" s="152" t="s">
        <v>1327</v>
      </c>
      <c r="S1421" s="152">
        <v>99.764619999999994</v>
      </c>
      <c r="T1421" s="152">
        <v>0.450685</v>
      </c>
      <c r="U1421" s="152">
        <v>1.5744389999999999</v>
      </c>
      <c r="V1421" s="152">
        <v>2.9279809999999999</v>
      </c>
      <c r="W1421" s="152">
        <v>1000</v>
      </c>
      <c r="X1421" s="152" t="s">
        <v>23</v>
      </c>
      <c r="Y1421" s="152" t="s">
        <v>1328</v>
      </c>
      <c r="Z1421" s="152" t="s">
        <v>1327</v>
      </c>
    </row>
    <row r="1422" spans="1:26" x14ac:dyDescent="0.2">
      <c r="A1422" s="152" t="s">
        <v>2556</v>
      </c>
      <c r="B1422" s="152">
        <v>3.4</v>
      </c>
      <c r="C1422" s="151">
        <v>43604</v>
      </c>
      <c r="D1422" s="152">
        <v>0.564384</v>
      </c>
      <c r="E1422" s="152" t="s">
        <v>1325</v>
      </c>
      <c r="F1422" s="152" t="s">
        <v>1326</v>
      </c>
      <c r="G1422" s="152"/>
      <c r="H1422" s="152"/>
      <c r="I1422" s="151">
        <v>42530</v>
      </c>
      <c r="J1422" s="152">
        <v>3.3923410000000001</v>
      </c>
      <c r="K1422" s="152" t="s">
        <v>1327</v>
      </c>
      <c r="L1422" s="152" t="s">
        <v>1327</v>
      </c>
      <c r="M1422" s="152" t="s">
        <v>1327</v>
      </c>
      <c r="N1422" s="152" t="s">
        <v>1327</v>
      </c>
      <c r="O1422" s="152">
        <v>3.2804700000000002</v>
      </c>
      <c r="P1422" s="152">
        <v>157.77323200000001</v>
      </c>
      <c r="Q1422" s="152">
        <v>3.2804700000000002</v>
      </c>
      <c r="R1422" s="152" t="s">
        <v>1327</v>
      </c>
      <c r="S1422" s="152">
        <v>100.05937299999999</v>
      </c>
      <c r="T1422" s="152">
        <v>0.62411000000000005</v>
      </c>
      <c r="U1422" s="152">
        <v>0.55762</v>
      </c>
      <c r="V1422" s="152">
        <v>0.45175700000000002</v>
      </c>
      <c r="W1422" s="152">
        <v>1000</v>
      </c>
      <c r="X1422" s="152" t="s">
        <v>23</v>
      </c>
      <c r="Y1422" s="152" t="s">
        <v>1328</v>
      </c>
      <c r="Z1422" s="152" t="s">
        <v>1327</v>
      </c>
    </row>
    <row r="1423" spans="1:26" x14ac:dyDescent="0.2">
      <c r="A1423" s="152" t="s">
        <v>2557</v>
      </c>
      <c r="B1423" s="152">
        <v>4.4000000000000004</v>
      </c>
      <c r="C1423" s="151">
        <v>43980</v>
      </c>
      <c r="D1423" s="152">
        <v>1.5945210000000001</v>
      </c>
      <c r="E1423" s="152" t="s">
        <v>1325</v>
      </c>
      <c r="F1423" s="152" t="s">
        <v>1326</v>
      </c>
      <c r="G1423" s="152"/>
      <c r="H1423" s="152"/>
      <c r="I1423" s="151" t="s">
        <v>1327</v>
      </c>
      <c r="J1423" s="152" t="s">
        <v>1327</v>
      </c>
      <c r="K1423" s="151" t="s">
        <v>1327</v>
      </c>
      <c r="L1423" s="152" t="s">
        <v>1327</v>
      </c>
      <c r="M1423" s="152" t="s">
        <v>1327</v>
      </c>
      <c r="N1423" s="152" t="s">
        <v>1327</v>
      </c>
      <c r="O1423" s="152">
        <v>3.754651</v>
      </c>
      <c r="P1423" s="152">
        <v>185.90562700000001</v>
      </c>
      <c r="Q1423" s="152">
        <v>3.754651</v>
      </c>
      <c r="R1423" s="152" t="s">
        <v>1327</v>
      </c>
      <c r="S1423" s="152">
        <v>100.984876</v>
      </c>
      <c r="T1423" s="152">
        <v>0.68712300000000004</v>
      </c>
      <c r="U1423" s="152">
        <v>1.5258400000000001</v>
      </c>
      <c r="V1423" s="152">
        <v>2.7625890000000002</v>
      </c>
      <c r="W1423" s="152">
        <v>1000</v>
      </c>
      <c r="X1423" s="152" t="s">
        <v>23</v>
      </c>
      <c r="Y1423" s="152" t="s">
        <v>1328</v>
      </c>
      <c r="Z1423" s="152" t="s">
        <v>1327</v>
      </c>
    </row>
    <row r="1424" spans="1:26" x14ac:dyDescent="0.2">
      <c r="A1424" s="152" t="s">
        <v>2558</v>
      </c>
      <c r="B1424" s="152">
        <v>3.95</v>
      </c>
      <c r="C1424" s="151">
        <v>43963</v>
      </c>
      <c r="D1424" s="152">
        <v>1.5479449999999999</v>
      </c>
      <c r="E1424" s="152" t="s">
        <v>1325</v>
      </c>
      <c r="F1424" s="152" t="s">
        <v>1326</v>
      </c>
      <c r="G1424" s="152"/>
      <c r="H1424" s="152"/>
      <c r="I1424" s="151">
        <v>42963</v>
      </c>
      <c r="J1424" s="152">
        <v>3.75</v>
      </c>
      <c r="K1424" s="152" t="s">
        <v>1327</v>
      </c>
      <c r="L1424" s="152" t="s">
        <v>1327</v>
      </c>
      <c r="M1424" s="152" t="s">
        <v>1327</v>
      </c>
      <c r="N1424" s="152" t="s">
        <v>1327</v>
      </c>
      <c r="O1424" s="152">
        <v>3.7379129999999998</v>
      </c>
      <c r="P1424" s="152">
        <v>185.34689399999999</v>
      </c>
      <c r="Q1424" s="152">
        <v>3.7379129999999998</v>
      </c>
      <c r="R1424" s="152" t="s">
        <v>1327</v>
      </c>
      <c r="S1424" s="152">
        <v>100.308971</v>
      </c>
      <c r="T1424" s="152">
        <v>0.80082200000000003</v>
      </c>
      <c r="U1424" s="152">
        <v>1.485039</v>
      </c>
      <c r="V1424" s="152">
        <v>2.6245180000000001</v>
      </c>
      <c r="W1424" s="152">
        <v>1000</v>
      </c>
      <c r="X1424" s="152" t="s">
        <v>23</v>
      </c>
      <c r="Y1424" s="152" t="s">
        <v>1328</v>
      </c>
      <c r="Z1424" s="152" t="s">
        <v>1327</v>
      </c>
    </row>
    <row r="1425" spans="1:26" x14ac:dyDescent="0.2">
      <c r="A1425" s="152" t="s">
        <v>2559</v>
      </c>
      <c r="B1425" s="152">
        <v>3.4</v>
      </c>
      <c r="C1425" s="151">
        <v>44280</v>
      </c>
      <c r="D1425" s="152">
        <v>2.4164379999999999</v>
      </c>
      <c r="E1425" s="152" t="s">
        <v>1325</v>
      </c>
      <c r="F1425" s="152" t="s">
        <v>1326</v>
      </c>
      <c r="G1425" s="152"/>
      <c r="H1425" s="152"/>
      <c r="I1425" s="151" t="s">
        <v>1327</v>
      </c>
      <c r="J1425" s="152" t="s">
        <v>1327</v>
      </c>
      <c r="K1425" s="152" t="s">
        <v>1327</v>
      </c>
      <c r="L1425" s="152" t="s">
        <v>1327</v>
      </c>
      <c r="M1425" s="152" t="s">
        <v>1327</v>
      </c>
      <c r="N1425" s="152" t="s">
        <v>1327</v>
      </c>
      <c r="O1425" s="152">
        <v>3.8465500000000001</v>
      </c>
      <c r="P1425" s="152">
        <v>184.40186199999999</v>
      </c>
      <c r="Q1425" s="152">
        <v>3.8465500000000001</v>
      </c>
      <c r="R1425" s="152" t="s">
        <v>1327</v>
      </c>
      <c r="S1425" s="152">
        <v>98.975419000000002</v>
      </c>
      <c r="T1425" s="152">
        <v>0.27945199999999998</v>
      </c>
      <c r="U1425" s="152">
        <v>2.3016529999999999</v>
      </c>
      <c r="V1425" s="152">
        <v>6.0050369999999997</v>
      </c>
      <c r="W1425" s="152">
        <v>1000</v>
      </c>
      <c r="X1425" s="152" t="s">
        <v>23</v>
      </c>
      <c r="Y1425" s="152" t="s">
        <v>1328</v>
      </c>
      <c r="Z1425" s="152" t="s">
        <v>1327</v>
      </c>
    </row>
    <row r="1426" spans="1:26" x14ac:dyDescent="0.2">
      <c r="A1426" s="152" t="s">
        <v>2560</v>
      </c>
      <c r="B1426" s="152">
        <v>4.0999999999999996</v>
      </c>
      <c r="C1426" s="151">
        <v>44335</v>
      </c>
      <c r="D1426" s="152">
        <v>2.567123</v>
      </c>
      <c r="E1426" s="152" t="s">
        <v>1325</v>
      </c>
      <c r="F1426" s="152" t="s">
        <v>1326</v>
      </c>
      <c r="G1426" s="152"/>
      <c r="H1426" s="152"/>
      <c r="I1426" s="151" t="s">
        <v>1327</v>
      </c>
      <c r="J1426" s="152" t="s">
        <v>1327</v>
      </c>
      <c r="K1426" s="152" t="s">
        <v>1327</v>
      </c>
      <c r="L1426" s="152" t="s">
        <v>1327</v>
      </c>
      <c r="M1426" s="152" t="s">
        <v>1327</v>
      </c>
      <c r="N1426" s="152" t="s">
        <v>1327</v>
      </c>
      <c r="O1426" s="152">
        <v>4.0104509999999998</v>
      </c>
      <c r="P1426" s="152">
        <v>200.355107</v>
      </c>
      <c r="Q1426" s="152">
        <v>4.0104509999999998</v>
      </c>
      <c r="R1426" s="152" t="s">
        <v>1327</v>
      </c>
      <c r="S1426" s="152">
        <v>100.20808</v>
      </c>
      <c r="T1426" s="152">
        <v>0.75260300000000002</v>
      </c>
      <c r="U1426" s="152">
        <v>2.4091879999999999</v>
      </c>
      <c r="V1426" s="152">
        <v>6.6164079999999998</v>
      </c>
      <c r="W1426" s="152">
        <v>1000</v>
      </c>
      <c r="X1426" s="152" t="s">
        <v>23</v>
      </c>
      <c r="Y1426" s="152" t="s">
        <v>1328</v>
      </c>
      <c r="Z1426" s="152" t="s">
        <v>1327</v>
      </c>
    </row>
    <row r="1427" spans="1:26" x14ac:dyDescent="0.2">
      <c r="A1427" s="152" t="s">
        <v>2561</v>
      </c>
      <c r="B1427" s="152">
        <v>4.0999999999999996</v>
      </c>
      <c r="C1427" s="151">
        <v>44840</v>
      </c>
      <c r="D1427" s="152">
        <v>3.950685</v>
      </c>
      <c r="E1427" s="152" t="s">
        <v>1325</v>
      </c>
      <c r="F1427" s="152" t="s">
        <v>1326</v>
      </c>
      <c r="G1427" s="152"/>
      <c r="H1427" s="152"/>
      <c r="I1427" s="151">
        <v>43075</v>
      </c>
      <c r="J1427" s="152">
        <v>4.05</v>
      </c>
      <c r="K1427" s="151" t="s">
        <v>1327</v>
      </c>
      <c r="L1427" s="152" t="s">
        <v>1327</v>
      </c>
      <c r="M1427" s="152" t="s">
        <v>1327</v>
      </c>
      <c r="N1427" s="152" t="s">
        <v>1327</v>
      </c>
      <c r="O1427" s="152">
        <v>4.4383569999999999</v>
      </c>
      <c r="P1427" s="152">
        <v>216.72269600000001</v>
      </c>
      <c r="Q1427" s="152">
        <v>4.4383569999999999</v>
      </c>
      <c r="R1427" s="152" t="s">
        <v>1327</v>
      </c>
      <c r="S1427" s="152">
        <v>98.770939999999996</v>
      </c>
      <c r="T1427" s="152">
        <v>0.213425</v>
      </c>
      <c r="U1427" s="152">
        <v>3.6171609999999998</v>
      </c>
      <c r="V1427" s="152">
        <v>14.644385</v>
      </c>
      <c r="W1427" s="152">
        <v>1000</v>
      </c>
      <c r="X1427" s="152" t="s">
        <v>23</v>
      </c>
      <c r="Y1427" s="152" t="s">
        <v>1328</v>
      </c>
      <c r="Z1427" s="152" t="s">
        <v>1327</v>
      </c>
    </row>
    <row r="1428" spans="1:26" x14ac:dyDescent="0.2">
      <c r="A1428" s="152" t="s">
        <v>2562</v>
      </c>
      <c r="B1428" s="152">
        <v>4.8</v>
      </c>
      <c r="C1428" s="151">
        <v>43979</v>
      </c>
      <c r="D1428" s="152">
        <v>1.5917809999999999</v>
      </c>
      <c r="E1428" s="152" t="s">
        <v>1325</v>
      </c>
      <c r="F1428" s="152" t="s">
        <v>1326</v>
      </c>
      <c r="G1428" s="152"/>
      <c r="H1428" s="152"/>
      <c r="I1428" s="151" t="s">
        <v>1327</v>
      </c>
      <c r="J1428" s="152" t="s">
        <v>1327</v>
      </c>
      <c r="K1428" s="151" t="s">
        <v>1327</v>
      </c>
      <c r="L1428" s="152" t="s">
        <v>1327</v>
      </c>
      <c r="M1428" s="152" t="s">
        <v>1327</v>
      </c>
      <c r="N1428" s="152" t="s">
        <v>1327</v>
      </c>
      <c r="O1428" s="152">
        <v>4.3628239999999998</v>
      </c>
      <c r="P1428" s="152">
        <v>248.74335500000001</v>
      </c>
      <c r="Q1428" s="152">
        <v>4.3628239999999998</v>
      </c>
      <c r="R1428" s="152" t="s">
        <v>1327</v>
      </c>
      <c r="S1428" s="152">
        <v>100.657929</v>
      </c>
      <c r="T1428" s="152">
        <v>0.76273999999999997</v>
      </c>
      <c r="U1428" s="152">
        <v>1.5158510000000001</v>
      </c>
      <c r="V1428" s="152">
        <v>2.733838</v>
      </c>
      <c r="W1428" s="152">
        <v>1000</v>
      </c>
      <c r="X1428" s="152" t="s">
        <v>23</v>
      </c>
      <c r="Y1428" s="152" t="s">
        <v>1328</v>
      </c>
      <c r="Z1428" s="152" t="s">
        <v>1327</v>
      </c>
    </row>
    <row r="1429" spans="1:26" x14ac:dyDescent="0.2">
      <c r="A1429" s="152" t="s">
        <v>2563</v>
      </c>
      <c r="B1429" s="152">
        <v>2.95</v>
      </c>
      <c r="C1429" s="151">
        <v>43519</v>
      </c>
      <c r="D1429" s="152">
        <v>0.331507</v>
      </c>
      <c r="E1429" s="152" t="s">
        <v>1325</v>
      </c>
      <c r="F1429" s="152" t="s">
        <v>1326</v>
      </c>
      <c r="G1429" s="152"/>
      <c r="H1429" s="152"/>
      <c r="I1429" s="151" t="s">
        <v>1327</v>
      </c>
      <c r="J1429" s="152" t="s">
        <v>1327</v>
      </c>
      <c r="K1429" s="152" t="s">
        <v>1327</v>
      </c>
      <c r="L1429" s="152" t="s">
        <v>1327</v>
      </c>
      <c r="M1429" s="152" t="s">
        <v>1327</v>
      </c>
      <c r="N1429" s="152" t="s">
        <v>1327</v>
      </c>
      <c r="O1429" s="152">
        <v>3.1033309999999998</v>
      </c>
      <c r="P1429" s="152">
        <v>149.86123699999999</v>
      </c>
      <c r="Q1429" s="152">
        <v>3.1033309999999998</v>
      </c>
      <c r="R1429" s="152" t="s">
        <v>1327</v>
      </c>
      <c r="S1429" s="152">
        <v>99.929606000000007</v>
      </c>
      <c r="T1429" s="152">
        <v>1.9720549999999999</v>
      </c>
      <c r="U1429" s="152">
        <v>0.32813100000000001</v>
      </c>
      <c r="V1429" s="152">
        <v>0.21534</v>
      </c>
      <c r="W1429" s="152">
        <v>1000</v>
      </c>
      <c r="X1429" s="152" t="s">
        <v>23</v>
      </c>
      <c r="Y1429" s="152" t="s">
        <v>1328</v>
      </c>
      <c r="Z1429" s="152" t="s">
        <v>1327</v>
      </c>
    </row>
    <row r="1430" spans="1:26" x14ac:dyDescent="0.2">
      <c r="A1430" s="152" t="s">
        <v>2564</v>
      </c>
      <c r="B1430" s="152">
        <v>7.5</v>
      </c>
      <c r="C1430" s="151">
        <v>43791</v>
      </c>
      <c r="D1430" s="152">
        <v>1.0767119999999999</v>
      </c>
      <c r="E1430" s="152" t="s">
        <v>1325</v>
      </c>
      <c r="F1430" s="152" t="s">
        <v>1326</v>
      </c>
      <c r="G1430" s="152"/>
      <c r="H1430" s="152"/>
      <c r="I1430" s="152" t="s">
        <v>1327</v>
      </c>
      <c r="J1430" s="152" t="s">
        <v>1327</v>
      </c>
      <c r="K1430" s="151" t="s">
        <v>1327</v>
      </c>
      <c r="L1430" s="152" t="s">
        <v>1327</v>
      </c>
      <c r="M1430" s="152" t="s">
        <v>1327</v>
      </c>
      <c r="N1430" s="152" t="s">
        <v>1327</v>
      </c>
      <c r="O1430" s="152">
        <v>7.8745289999999999</v>
      </c>
      <c r="P1430" s="152">
        <v>630.40877799999998</v>
      </c>
      <c r="Q1430" s="152">
        <v>7.8745289999999999</v>
      </c>
      <c r="R1430" s="152" t="s">
        <v>1327</v>
      </c>
      <c r="S1430" s="152">
        <v>99.59693</v>
      </c>
      <c r="T1430" s="152">
        <v>1.294521</v>
      </c>
      <c r="U1430" s="152">
        <v>1.0135719999999999</v>
      </c>
      <c r="V1430" s="152">
        <v>1.306681</v>
      </c>
      <c r="W1430" s="152">
        <v>1000</v>
      </c>
      <c r="X1430" s="152" t="s">
        <v>23</v>
      </c>
      <c r="Y1430" s="152" t="s">
        <v>1328</v>
      </c>
      <c r="Z1430" s="152" t="s">
        <v>1327</v>
      </c>
    </row>
    <row r="1431" spans="1:26" x14ac:dyDescent="0.2">
      <c r="A1431" s="152" t="s">
        <v>2565</v>
      </c>
      <c r="B1431" s="152">
        <v>3.45</v>
      </c>
      <c r="C1431" s="151">
        <v>43499</v>
      </c>
      <c r="D1431" s="152">
        <v>0.27671200000000001</v>
      </c>
      <c r="E1431" s="152" t="s">
        <v>1325</v>
      </c>
      <c r="F1431" s="152" t="s">
        <v>1326</v>
      </c>
      <c r="G1431" s="152"/>
      <c r="H1431" s="152"/>
      <c r="I1431" s="151" t="s">
        <v>1327</v>
      </c>
      <c r="J1431" s="152" t="s">
        <v>1327</v>
      </c>
      <c r="K1431" s="152" t="s">
        <v>1327</v>
      </c>
      <c r="L1431" s="152" t="s">
        <v>1327</v>
      </c>
      <c r="M1431" s="152" t="s">
        <v>1327</v>
      </c>
      <c r="N1431" s="152" t="s">
        <v>1327</v>
      </c>
      <c r="O1431" s="152">
        <v>3.4482140000000001</v>
      </c>
      <c r="P1431" s="152">
        <v>188.89137099999999</v>
      </c>
      <c r="Q1431" s="152">
        <v>3.4482140000000001</v>
      </c>
      <c r="R1431" s="152" t="s">
        <v>1327</v>
      </c>
      <c r="S1431" s="152">
        <v>100.00088599999999</v>
      </c>
      <c r="T1431" s="152">
        <v>-8.5068000000000005E-2</v>
      </c>
      <c r="U1431" s="152">
        <v>0.27231</v>
      </c>
      <c r="V1431" s="152">
        <v>0.141648</v>
      </c>
      <c r="W1431" s="152">
        <v>1000</v>
      </c>
      <c r="X1431" s="152" t="s">
        <v>23</v>
      </c>
      <c r="Y1431" s="152" t="s">
        <v>1328</v>
      </c>
      <c r="Z1431" s="152" t="s">
        <v>1327</v>
      </c>
    </row>
    <row r="1432" spans="1:26" x14ac:dyDescent="0.2">
      <c r="A1432" s="152" t="s">
        <v>2566</v>
      </c>
      <c r="B1432" s="152">
        <v>3.1</v>
      </c>
      <c r="C1432" s="151">
        <v>43653</v>
      </c>
      <c r="D1432" s="152">
        <v>0.69862999999999997</v>
      </c>
      <c r="E1432" s="152" t="s">
        <v>1325</v>
      </c>
      <c r="F1432" s="152" t="s">
        <v>1326</v>
      </c>
      <c r="G1432" s="152"/>
      <c r="H1432" s="152"/>
      <c r="I1432" s="151" t="s">
        <v>1327</v>
      </c>
      <c r="J1432" s="152" t="s">
        <v>1327</v>
      </c>
      <c r="K1432" s="152" t="s">
        <v>1327</v>
      </c>
      <c r="L1432" s="152" t="s">
        <v>1327</v>
      </c>
      <c r="M1432" s="152" t="s">
        <v>1327</v>
      </c>
      <c r="N1432" s="152" t="s">
        <v>1327</v>
      </c>
      <c r="O1432" s="152">
        <v>3.3560940000000001</v>
      </c>
      <c r="P1432" s="152">
        <v>162.505572</v>
      </c>
      <c r="Q1432" s="152">
        <v>3.3560940000000001</v>
      </c>
      <c r="R1432" s="152" t="s">
        <v>1327</v>
      </c>
      <c r="S1432" s="152">
        <v>99.816005000000004</v>
      </c>
      <c r="T1432" s="152">
        <v>0.15287700000000001</v>
      </c>
      <c r="U1432" s="152">
        <v>0.69118199999999996</v>
      </c>
      <c r="V1432" s="152">
        <v>0.65141899999999997</v>
      </c>
      <c r="W1432" s="152">
        <v>1000</v>
      </c>
      <c r="X1432" s="152" t="s">
        <v>23</v>
      </c>
      <c r="Y1432" s="152" t="s">
        <v>1328</v>
      </c>
      <c r="Z1432" s="152" t="s">
        <v>1327</v>
      </c>
    </row>
    <row r="1433" spans="1:26" x14ac:dyDescent="0.2">
      <c r="A1433" s="152" t="s">
        <v>2567</v>
      </c>
      <c r="B1433" s="152">
        <v>3.1</v>
      </c>
      <c r="C1433" s="151">
        <v>43678</v>
      </c>
      <c r="D1433" s="152">
        <v>0.767123</v>
      </c>
      <c r="E1433" s="152" t="s">
        <v>1325</v>
      </c>
      <c r="F1433" s="152" t="s">
        <v>1326</v>
      </c>
      <c r="G1433" s="152"/>
      <c r="H1433" s="152"/>
      <c r="I1433" s="151" t="s">
        <v>1327</v>
      </c>
      <c r="J1433" s="152" t="s">
        <v>1327</v>
      </c>
      <c r="K1433" s="152" t="s">
        <v>1327</v>
      </c>
      <c r="L1433" s="152" t="s">
        <v>1327</v>
      </c>
      <c r="M1433" s="152" t="s">
        <v>1327</v>
      </c>
      <c r="N1433" s="152" t="s">
        <v>1327</v>
      </c>
      <c r="O1433" s="152">
        <v>3.3892869999999999</v>
      </c>
      <c r="P1433" s="152">
        <v>164.1867</v>
      </c>
      <c r="Q1433" s="152">
        <v>3.3892869999999999</v>
      </c>
      <c r="R1433" s="152" t="s">
        <v>1327</v>
      </c>
      <c r="S1433" s="152">
        <v>99.781544999999994</v>
      </c>
      <c r="T1433" s="152">
        <v>-5.9451999999999998E-2</v>
      </c>
      <c r="U1433" s="152">
        <v>0.75700400000000001</v>
      </c>
      <c r="V1433" s="152">
        <v>0.763046</v>
      </c>
      <c r="W1433" s="152">
        <v>1000</v>
      </c>
      <c r="X1433" s="152" t="s">
        <v>23</v>
      </c>
      <c r="Y1433" s="152" t="s">
        <v>1328</v>
      </c>
      <c r="Z1433" s="152" t="s">
        <v>1327</v>
      </c>
    </row>
    <row r="1434" spans="1:26" x14ac:dyDescent="0.2">
      <c r="A1434" s="152" t="s">
        <v>2568</v>
      </c>
      <c r="B1434" s="152">
        <v>3.1</v>
      </c>
      <c r="C1434" s="151">
        <v>43720</v>
      </c>
      <c r="D1434" s="152">
        <v>0.88219199999999998</v>
      </c>
      <c r="E1434" s="152" t="s">
        <v>1325</v>
      </c>
      <c r="F1434" s="152" t="s">
        <v>1326</v>
      </c>
      <c r="G1434" s="152"/>
      <c r="H1434" s="152"/>
      <c r="I1434" s="151" t="s">
        <v>1327</v>
      </c>
      <c r="J1434" s="152" t="s">
        <v>1327</v>
      </c>
      <c r="K1434" s="152" t="s">
        <v>1327</v>
      </c>
      <c r="L1434" s="152" t="s">
        <v>1327</v>
      </c>
      <c r="M1434" s="152" t="s">
        <v>1327</v>
      </c>
      <c r="N1434" s="152" t="s">
        <v>1327</v>
      </c>
      <c r="O1434" s="152">
        <v>3.4182800000000002</v>
      </c>
      <c r="P1434" s="152">
        <v>165.420188</v>
      </c>
      <c r="Q1434" s="152">
        <v>3.4182800000000002</v>
      </c>
      <c r="R1434" s="152" t="s">
        <v>1327</v>
      </c>
      <c r="S1434" s="152">
        <v>99.726077000000004</v>
      </c>
      <c r="T1434" s="152">
        <v>0.365205</v>
      </c>
      <c r="U1434" s="152">
        <v>0.86263800000000002</v>
      </c>
      <c r="V1434" s="152">
        <v>0.964453</v>
      </c>
      <c r="W1434" s="152">
        <v>1000</v>
      </c>
      <c r="X1434" s="152" t="s">
        <v>23</v>
      </c>
      <c r="Y1434" s="152" t="s">
        <v>1328</v>
      </c>
      <c r="Z1434" s="152" t="s">
        <v>1327</v>
      </c>
    </row>
    <row r="1435" spans="1:26" x14ac:dyDescent="0.2">
      <c r="A1435" s="152" t="s">
        <v>2569</v>
      </c>
      <c r="B1435" s="152">
        <v>4</v>
      </c>
      <c r="C1435" s="151">
        <v>43864</v>
      </c>
      <c r="D1435" s="152">
        <v>1.2767120000000001</v>
      </c>
      <c r="E1435" s="152" t="s">
        <v>1325</v>
      </c>
      <c r="F1435" s="152" t="s">
        <v>1326</v>
      </c>
      <c r="G1435" s="152"/>
      <c r="H1435" s="152"/>
      <c r="I1435" s="151" t="s">
        <v>1327</v>
      </c>
      <c r="J1435" s="152" t="s">
        <v>1327</v>
      </c>
      <c r="K1435" s="151" t="s">
        <v>1327</v>
      </c>
      <c r="L1435" s="152" t="s">
        <v>1327</v>
      </c>
      <c r="M1435" s="152" t="s">
        <v>1327</v>
      </c>
      <c r="N1435" s="152" t="s">
        <v>1327</v>
      </c>
      <c r="O1435" s="152">
        <v>4.0948589999999996</v>
      </c>
      <c r="P1435" s="152">
        <v>228.49734000000001</v>
      </c>
      <c r="Q1435" s="152">
        <v>4.0948589999999996</v>
      </c>
      <c r="R1435" s="152" t="s">
        <v>1327</v>
      </c>
      <c r="S1435" s="152">
        <v>99.883323000000004</v>
      </c>
      <c r="T1435" s="152">
        <v>-9.8629999999999995E-2</v>
      </c>
      <c r="U1435" s="152">
        <v>1.2374639999999999</v>
      </c>
      <c r="V1435" s="152">
        <v>1.855043</v>
      </c>
      <c r="W1435" s="152">
        <v>1000</v>
      </c>
      <c r="X1435" s="152" t="s">
        <v>23</v>
      </c>
      <c r="Y1435" s="152" t="s">
        <v>1328</v>
      </c>
      <c r="Z1435" s="152" t="s">
        <v>1327</v>
      </c>
    </row>
    <row r="1436" spans="1:26" x14ac:dyDescent="0.2">
      <c r="A1436" s="152" t="s">
        <v>2570</v>
      </c>
      <c r="B1436" s="152">
        <v>3.6</v>
      </c>
      <c r="C1436" s="151">
        <v>44093</v>
      </c>
      <c r="D1436" s="152">
        <v>1.90411</v>
      </c>
      <c r="E1436" s="152" t="s">
        <v>1325</v>
      </c>
      <c r="F1436" s="152" t="s">
        <v>1326</v>
      </c>
      <c r="G1436" s="152"/>
      <c r="H1436" s="152"/>
      <c r="I1436" s="151" t="s">
        <v>1327</v>
      </c>
      <c r="J1436" s="152" t="s">
        <v>1327</v>
      </c>
      <c r="K1436" s="152" t="s">
        <v>1327</v>
      </c>
      <c r="L1436" s="152" t="s">
        <v>1327</v>
      </c>
      <c r="M1436" s="152" t="s">
        <v>1327</v>
      </c>
      <c r="N1436" s="152" t="s">
        <v>1327</v>
      </c>
      <c r="O1436" s="152">
        <v>3.9613879999999999</v>
      </c>
      <c r="P1436" s="152">
        <v>200.02229700000001</v>
      </c>
      <c r="Q1436" s="152">
        <v>3.9613879999999999</v>
      </c>
      <c r="R1436" s="152" t="s">
        <v>1327</v>
      </c>
      <c r="S1436" s="152">
        <v>99.342877000000001</v>
      </c>
      <c r="T1436" s="152">
        <v>0.35506799999999999</v>
      </c>
      <c r="U1436" s="152">
        <v>1.821051</v>
      </c>
      <c r="V1436" s="152">
        <v>3.8392439999999999</v>
      </c>
      <c r="W1436" s="152">
        <v>1000</v>
      </c>
      <c r="X1436" s="152" t="s">
        <v>23</v>
      </c>
      <c r="Y1436" s="152" t="s">
        <v>1328</v>
      </c>
      <c r="Z1436" s="152" t="s">
        <v>1327</v>
      </c>
    </row>
    <row r="1437" spans="1:26" x14ac:dyDescent="0.2">
      <c r="A1437" s="152" t="s">
        <v>2571</v>
      </c>
      <c r="B1437" s="152">
        <v>4.4000000000000004</v>
      </c>
      <c r="C1437" s="151">
        <v>44230</v>
      </c>
      <c r="D1437" s="152">
        <v>2.279452</v>
      </c>
      <c r="E1437" s="152" t="s">
        <v>1325</v>
      </c>
      <c r="F1437" s="152" t="s">
        <v>1326</v>
      </c>
      <c r="G1437" s="152"/>
      <c r="H1437" s="152"/>
      <c r="I1437" s="151">
        <v>43153</v>
      </c>
      <c r="J1437" s="152">
        <v>4</v>
      </c>
      <c r="K1437" s="152" t="s">
        <v>1327</v>
      </c>
      <c r="L1437" s="152" t="s">
        <v>1327</v>
      </c>
      <c r="M1437" s="152" t="s">
        <v>1327</v>
      </c>
      <c r="N1437" s="152" t="s">
        <v>1327</v>
      </c>
      <c r="O1437" s="152">
        <v>4.432391</v>
      </c>
      <c r="P1437" s="152">
        <v>244.86735899999999</v>
      </c>
      <c r="Q1437" s="152">
        <v>4.432391</v>
      </c>
      <c r="R1437" s="152" t="s">
        <v>1327</v>
      </c>
      <c r="S1437" s="152">
        <v>99.930936000000003</v>
      </c>
      <c r="T1437" s="152">
        <v>-0.10849300000000001</v>
      </c>
      <c r="U1437" s="152">
        <v>2.1552570000000002</v>
      </c>
      <c r="V1437" s="152">
        <v>5.3024810000000002</v>
      </c>
      <c r="W1437" s="152">
        <v>1000</v>
      </c>
      <c r="X1437" s="152" t="s">
        <v>23</v>
      </c>
      <c r="Y1437" s="152" t="s">
        <v>1328</v>
      </c>
      <c r="Z1437" s="152" t="s">
        <v>1327</v>
      </c>
    </row>
    <row r="1438" spans="1:26" x14ac:dyDescent="0.2">
      <c r="A1438" s="152" t="s">
        <v>2572</v>
      </c>
      <c r="B1438" s="152">
        <v>3.9</v>
      </c>
      <c r="C1438" s="151">
        <v>44416</v>
      </c>
      <c r="D1438" s="152">
        <v>2.7890410000000001</v>
      </c>
      <c r="E1438" s="152" t="s">
        <v>1325</v>
      </c>
      <c r="F1438" s="152" t="s">
        <v>1326</v>
      </c>
      <c r="G1438" s="152"/>
      <c r="H1438" s="152"/>
      <c r="I1438" s="151" t="s">
        <v>1327</v>
      </c>
      <c r="J1438" s="152" t="s">
        <v>1327</v>
      </c>
      <c r="K1438" s="152" t="s">
        <v>1327</v>
      </c>
      <c r="L1438" s="152" t="s">
        <v>1327</v>
      </c>
      <c r="M1438" s="152" t="s">
        <v>1327</v>
      </c>
      <c r="N1438" s="152" t="s">
        <v>1327</v>
      </c>
      <c r="O1438" s="152">
        <v>4.0261060000000004</v>
      </c>
      <c r="P1438" s="152">
        <v>199.351664</v>
      </c>
      <c r="Q1438" s="152">
        <v>4.0261060000000004</v>
      </c>
      <c r="R1438" s="152" t="s">
        <v>1327</v>
      </c>
      <c r="S1438" s="152">
        <v>99.669824000000006</v>
      </c>
      <c r="T1438" s="152">
        <v>-0.149589</v>
      </c>
      <c r="U1438" s="152">
        <v>2.6325989999999999</v>
      </c>
      <c r="V1438" s="152">
        <v>7.7894009999999998</v>
      </c>
      <c r="W1438" s="152">
        <v>1000</v>
      </c>
      <c r="X1438" s="152" t="s">
        <v>23</v>
      </c>
      <c r="Y1438" s="152" t="s">
        <v>1328</v>
      </c>
      <c r="Z1438" s="152" t="s">
        <v>1327</v>
      </c>
    </row>
    <row r="1439" spans="1:26" x14ac:dyDescent="0.2">
      <c r="A1439" s="152" t="s">
        <v>2573</v>
      </c>
      <c r="B1439" s="152">
        <v>4.1500000000000004</v>
      </c>
      <c r="C1439" s="151">
        <v>44781</v>
      </c>
      <c r="D1439" s="152">
        <v>3.7890410000000001</v>
      </c>
      <c r="E1439" s="152" t="s">
        <v>1325</v>
      </c>
      <c r="F1439" s="152" t="s">
        <v>1326</v>
      </c>
      <c r="G1439" s="152"/>
      <c r="H1439" s="152"/>
      <c r="I1439" s="151" t="s">
        <v>1327</v>
      </c>
      <c r="J1439" s="152" t="s">
        <v>1327</v>
      </c>
      <c r="K1439" s="152" t="s">
        <v>1327</v>
      </c>
      <c r="L1439" s="152" t="s">
        <v>1327</v>
      </c>
      <c r="M1439" s="152" t="s">
        <v>1327</v>
      </c>
      <c r="N1439" s="152" t="s">
        <v>1327</v>
      </c>
      <c r="O1439" s="152">
        <v>4.294956</v>
      </c>
      <c r="P1439" s="152">
        <v>203.45177200000001</v>
      </c>
      <c r="Q1439" s="152">
        <v>4.294956</v>
      </c>
      <c r="R1439" s="152" t="s">
        <v>1327</v>
      </c>
      <c r="S1439" s="152">
        <v>99.496669999999995</v>
      </c>
      <c r="T1439" s="152">
        <v>-0.15917799999999999</v>
      </c>
      <c r="U1439" s="152">
        <v>3.4921340000000001</v>
      </c>
      <c r="V1439" s="152">
        <v>13.613009</v>
      </c>
      <c r="W1439" s="152">
        <v>1000</v>
      </c>
      <c r="X1439" s="152" t="s">
        <v>23</v>
      </c>
      <c r="Y1439" s="152" t="s">
        <v>1328</v>
      </c>
      <c r="Z1439" s="152" t="s">
        <v>1327</v>
      </c>
    </row>
    <row r="1440" spans="1:26" x14ac:dyDescent="0.2">
      <c r="A1440" s="152" t="s">
        <v>2574</v>
      </c>
      <c r="B1440" s="152">
        <v>3.1</v>
      </c>
      <c r="C1440" s="151">
        <v>43440</v>
      </c>
      <c r="D1440" s="152">
        <v>0.115068</v>
      </c>
      <c r="E1440" s="152" t="s">
        <v>1325</v>
      </c>
      <c r="F1440" s="152" t="s">
        <v>1326</v>
      </c>
      <c r="G1440" s="152"/>
      <c r="H1440" s="152"/>
      <c r="I1440" s="151">
        <v>42921</v>
      </c>
      <c r="J1440" s="152">
        <v>2.9</v>
      </c>
      <c r="K1440" s="152" t="s">
        <v>1327</v>
      </c>
      <c r="L1440" s="152" t="s">
        <v>1327</v>
      </c>
      <c r="M1440" s="152" t="s">
        <v>1327</v>
      </c>
      <c r="N1440" s="152" t="s">
        <v>1327</v>
      </c>
      <c r="O1440" s="152">
        <v>2.6061730000000001</v>
      </c>
      <c r="P1440" s="152">
        <v>130.05519799999999</v>
      </c>
      <c r="Q1440" s="152">
        <v>2.6061730000000001</v>
      </c>
      <c r="R1440" s="152" t="s">
        <v>1327</v>
      </c>
      <c r="S1440" s="152">
        <v>100.050347</v>
      </c>
      <c r="T1440" s="152">
        <v>1.1975340000000001</v>
      </c>
      <c r="U1440" s="152">
        <v>0.11358799999999999</v>
      </c>
      <c r="V1440" s="152">
        <v>6.8966E-2</v>
      </c>
      <c r="W1440" s="152">
        <v>1000</v>
      </c>
      <c r="X1440" s="152" t="s">
        <v>23</v>
      </c>
      <c r="Y1440" s="152" t="s">
        <v>1328</v>
      </c>
      <c r="Z1440" s="152" t="s">
        <v>1327</v>
      </c>
    </row>
    <row r="1441" spans="1:26" x14ac:dyDescent="0.2">
      <c r="A1441" s="152" t="s">
        <v>2575</v>
      </c>
      <c r="B1441" s="152">
        <v>4.2</v>
      </c>
      <c r="C1441" s="151">
        <v>43490</v>
      </c>
      <c r="D1441" s="152">
        <v>0.25205499999999997</v>
      </c>
      <c r="E1441" s="152" t="s">
        <v>1325</v>
      </c>
      <c r="F1441" s="152" t="s">
        <v>1326</v>
      </c>
      <c r="G1441" s="152" t="s">
        <v>29</v>
      </c>
      <c r="H1441" s="152"/>
      <c r="I1441" s="152">
        <v>42964</v>
      </c>
      <c r="J1441" s="152">
        <v>2.92</v>
      </c>
      <c r="K1441" s="152" t="s">
        <v>1327</v>
      </c>
      <c r="L1441" s="152" t="s">
        <v>1327</v>
      </c>
      <c r="M1441" s="152" t="s">
        <v>1327</v>
      </c>
      <c r="N1441" s="152" t="s">
        <v>1327</v>
      </c>
      <c r="O1441" s="152">
        <v>2.8222109999999998</v>
      </c>
      <c r="P1441" s="152">
        <v>130.69480999999999</v>
      </c>
      <c r="Q1441" s="152">
        <v>2.8222109999999998</v>
      </c>
      <c r="R1441" s="152" t="s">
        <v>1327</v>
      </c>
      <c r="S1441" s="152">
        <v>100.347717</v>
      </c>
      <c r="T1441" s="152">
        <v>0.34520499999999998</v>
      </c>
      <c r="U1441" s="152">
        <v>0.249414</v>
      </c>
      <c r="V1441" s="152">
        <v>0.124197</v>
      </c>
      <c r="W1441" s="152">
        <v>1000</v>
      </c>
      <c r="X1441" s="152" t="s">
        <v>23</v>
      </c>
      <c r="Y1441" s="152" t="s">
        <v>1328</v>
      </c>
      <c r="Z1441" s="152" t="s">
        <v>1327</v>
      </c>
    </row>
    <row r="1442" spans="1:26" x14ac:dyDescent="0.2">
      <c r="A1442" s="152" t="s">
        <v>2576</v>
      </c>
      <c r="B1442" s="152">
        <v>3.15</v>
      </c>
      <c r="C1442" s="151">
        <v>43548</v>
      </c>
      <c r="D1442" s="152">
        <v>0.41095900000000002</v>
      </c>
      <c r="E1442" s="152" t="s">
        <v>1325</v>
      </c>
      <c r="F1442" s="152" t="s">
        <v>1326</v>
      </c>
      <c r="G1442" s="152"/>
      <c r="H1442" s="152"/>
      <c r="I1442" s="151" t="s">
        <v>1327</v>
      </c>
      <c r="J1442" s="152" t="s">
        <v>1327</v>
      </c>
      <c r="K1442" s="152" t="s">
        <v>1327</v>
      </c>
      <c r="L1442" s="152" t="s">
        <v>1327</v>
      </c>
      <c r="M1442" s="152" t="s">
        <v>1327</v>
      </c>
      <c r="N1442" s="152" t="s">
        <v>1327</v>
      </c>
      <c r="O1442" s="152">
        <v>2.984702</v>
      </c>
      <c r="P1442" s="152">
        <v>130.68626</v>
      </c>
      <c r="Q1442" s="152">
        <v>2.984702</v>
      </c>
      <c r="R1442" s="152" t="s">
        <v>1327</v>
      </c>
      <c r="S1442" s="152">
        <v>100.078261</v>
      </c>
      <c r="T1442" s="152">
        <v>0.26753399999999999</v>
      </c>
      <c r="U1442" s="152">
        <v>0.404916</v>
      </c>
      <c r="V1442" s="152">
        <v>0.36343799999999998</v>
      </c>
      <c r="W1442" s="152">
        <v>1000</v>
      </c>
      <c r="X1442" s="152" t="s">
        <v>23</v>
      </c>
      <c r="Y1442" s="152" t="s">
        <v>1328</v>
      </c>
      <c r="Z1442" s="152" t="s">
        <v>1327</v>
      </c>
    </row>
    <row r="1443" spans="1:26" x14ac:dyDescent="0.2">
      <c r="A1443" s="152" t="s">
        <v>2577</v>
      </c>
      <c r="B1443" s="152">
        <v>3.2</v>
      </c>
      <c r="C1443" s="151">
        <v>43777</v>
      </c>
      <c r="D1443" s="152">
        <v>1.0383560000000001</v>
      </c>
      <c r="E1443" s="152" t="s">
        <v>1325</v>
      </c>
      <c r="F1443" s="152" t="s">
        <v>1326</v>
      </c>
      <c r="G1443" s="152"/>
      <c r="H1443" s="152"/>
      <c r="I1443" s="152" t="s">
        <v>1327</v>
      </c>
      <c r="J1443" s="152" t="s">
        <v>1327</v>
      </c>
      <c r="K1443" s="152" t="s">
        <v>1327</v>
      </c>
      <c r="L1443" s="152" t="s">
        <v>1327</v>
      </c>
      <c r="M1443" s="152" t="s">
        <v>1327</v>
      </c>
      <c r="N1443" s="152" t="s">
        <v>1327</v>
      </c>
      <c r="O1443" s="152">
        <v>3.096247</v>
      </c>
      <c r="P1443" s="152">
        <v>130.16636800000001</v>
      </c>
      <c r="Q1443" s="152">
        <v>3.096247</v>
      </c>
      <c r="R1443" s="152" t="s">
        <v>1327</v>
      </c>
      <c r="S1443" s="152">
        <v>100.10623200000001</v>
      </c>
      <c r="T1443" s="152">
        <v>-0.12274</v>
      </c>
      <c r="U1443" s="152">
        <v>1.0147759999999999</v>
      </c>
      <c r="V1443" s="152">
        <v>1.5331790000000001</v>
      </c>
      <c r="W1443" s="152">
        <v>1000</v>
      </c>
      <c r="X1443" s="152" t="s">
        <v>23</v>
      </c>
      <c r="Y1443" s="152" t="s">
        <v>1328</v>
      </c>
      <c r="Z1443" s="152" t="s">
        <v>1327</v>
      </c>
    </row>
    <row r="1444" spans="1:26" x14ac:dyDescent="0.2">
      <c r="A1444" s="152" t="s">
        <v>2578</v>
      </c>
      <c r="B1444" s="152">
        <v>3.3</v>
      </c>
      <c r="C1444" s="151">
        <v>43885</v>
      </c>
      <c r="D1444" s="152">
        <v>1.334247</v>
      </c>
      <c r="E1444" s="152" t="s">
        <v>1325</v>
      </c>
      <c r="F1444" s="152" t="s">
        <v>1326</v>
      </c>
      <c r="G1444" s="152"/>
      <c r="H1444" s="152"/>
      <c r="I1444" s="151">
        <v>43089</v>
      </c>
      <c r="J1444" s="152">
        <v>3.03</v>
      </c>
      <c r="K1444" s="152" t="s">
        <v>1327</v>
      </c>
      <c r="L1444" s="152" t="s">
        <v>1327</v>
      </c>
      <c r="M1444" s="152" t="s">
        <v>1327</v>
      </c>
      <c r="N1444" s="152" t="s">
        <v>1327</v>
      </c>
      <c r="O1444" s="152">
        <v>3.1568239999999999</v>
      </c>
      <c r="P1444" s="152">
        <v>130.75618800000001</v>
      </c>
      <c r="Q1444" s="152">
        <v>3.1568239999999999</v>
      </c>
      <c r="R1444" s="152" t="s">
        <v>1327</v>
      </c>
      <c r="S1444" s="152">
        <v>100.178568</v>
      </c>
      <c r="T1444" s="152">
        <v>0.56054800000000005</v>
      </c>
      <c r="U1444" s="152">
        <v>1.2916840000000001</v>
      </c>
      <c r="V1444" s="152">
        <v>2.0153810000000001</v>
      </c>
      <c r="W1444" s="152">
        <v>1000</v>
      </c>
      <c r="X1444" s="152" t="s">
        <v>23</v>
      </c>
      <c r="Y1444" s="152" t="s">
        <v>1328</v>
      </c>
      <c r="Z1444" s="152" t="s">
        <v>1327</v>
      </c>
    </row>
    <row r="1445" spans="1:26" x14ac:dyDescent="0.2">
      <c r="A1445" s="152" t="s">
        <v>2579</v>
      </c>
      <c r="B1445" s="152">
        <v>3.09</v>
      </c>
      <c r="C1445" s="151">
        <v>44051</v>
      </c>
      <c r="D1445" s="152">
        <v>1.7890410000000001</v>
      </c>
      <c r="E1445" s="152" t="s">
        <v>1325</v>
      </c>
      <c r="F1445" s="152" t="s">
        <v>1326</v>
      </c>
      <c r="G1445" s="152"/>
      <c r="H1445" s="152"/>
      <c r="I1445" s="151" t="s">
        <v>1327</v>
      </c>
      <c r="J1445" s="152" t="s">
        <v>1327</v>
      </c>
      <c r="K1445" s="152" t="s">
        <v>1327</v>
      </c>
      <c r="L1445" s="152" t="s">
        <v>1327</v>
      </c>
      <c r="M1445" s="152" t="s">
        <v>1327</v>
      </c>
      <c r="N1445" s="152" t="s">
        <v>1327</v>
      </c>
      <c r="O1445" s="152">
        <v>3.2206769999999998</v>
      </c>
      <c r="P1445" s="152">
        <v>125.325731</v>
      </c>
      <c r="Q1445" s="152">
        <v>3.2206769999999998</v>
      </c>
      <c r="R1445" s="152" t="s">
        <v>1327</v>
      </c>
      <c r="S1445" s="152">
        <v>99.758709999999994</v>
      </c>
      <c r="T1445" s="152">
        <v>0.66032900000000005</v>
      </c>
      <c r="U1445" s="152">
        <v>1.7175039999999999</v>
      </c>
      <c r="V1445" s="152">
        <v>3.8443049999999999</v>
      </c>
      <c r="W1445" s="152">
        <v>1000</v>
      </c>
      <c r="X1445" s="152" t="s">
        <v>23</v>
      </c>
      <c r="Y1445" s="152" t="s">
        <v>1328</v>
      </c>
      <c r="Z1445" s="152" t="s">
        <v>1327</v>
      </c>
    </row>
    <row r="1446" spans="1:26" x14ac:dyDescent="0.2">
      <c r="A1446" s="152" t="s">
        <v>2580</v>
      </c>
      <c r="B1446" s="152">
        <v>3.1</v>
      </c>
      <c r="C1446" s="151">
        <v>44065</v>
      </c>
      <c r="D1446" s="152">
        <v>1.8273969999999999</v>
      </c>
      <c r="E1446" s="152" t="s">
        <v>1325</v>
      </c>
      <c r="F1446" s="152" t="s">
        <v>1326</v>
      </c>
      <c r="G1446" s="152"/>
      <c r="H1446" s="152"/>
      <c r="I1446" s="152" t="s">
        <v>1327</v>
      </c>
      <c r="J1446" s="152" t="s">
        <v>1327</v>
      </c>
      <c r="K1446" s="152" t="s">
        <v>1327</v>
      </c>
      <c r="L1446" s="152" t="s">
        <v>1327</v>
      </c>
      <c r="M1446" s="152" t="s">
        <v>1327</v>
      </c>
      <c r="N1446" s="152" t="s">
        <v>1327</v>
      </c>
      <c r="O1446" s="152">
        <v>3.2275390000000002</v>
      </c>
      <c r="P1446" s="152">
        <v>125.359495</v>
      </c>
      <c r="Q1446" s="152">
        <v>3.2275390000000002</v>
      </c>
      <c r="R1446" s="152" t="s">
        <v>1327</v>
      </c>
      <c r="S1446" s="152">
        <v>99.759735000000006</v>
      </c>
      <c r="T1446" s="152">
        <v>0.54356199999999999</v>
      </c>
      <c r="U1446" s="152">
        <v>1.7550539999999999</v>
      </c>
      <c r="V1446" s="152">
        <v>3.993293</v>
      </c>
      <c r="W1446" s="152">
        <v>1000</v>
      </c>
      <c r="X1446" s="152" t="s">
        <v>23</v>
      </c>
      <c r="Y1446" s="152" t="s">
        <v>1328</v>
      </c>
      <c r="Z1446" s="152" t="s">
        <v>1327</v>
      </c>
    </row>
    <row r="1447" spans="1:26" x14ac:dyDescent="0.2">
      <c r="A1447" s="152" t="s">
        <v>2581</v>
      </c>
      <c r="B1447" s="152">
        <v>3.1</v>
      </c>
      <c r="C1447" s="151">
        <v>44099</v>
      </c>
      <c r="D1447" s="152">
        <v>1.9205479999999999</v>
      </c>
      <c r="E1447" s="152" t="s">
        <v>1325</v>
      </c>
      <c r="F1447" s="152" t="s">
        <v>1326</v>
      </c>
      <c r="G1447" s="152"/>
      <c r="H1447" s="152"/>
      <c r="I1447" s="151" t="s">
        <v>1327</v>
      </c>
      <c r="J1447" s="152" t="s">
        <v>1327</v>
      </c>
      <c r="K1447" s="152" t="s">
        <v>1327</v>
      </c>
      <c r="L1447" s="152" t="s">
        <v>1327</v>
      </c>
      <c r="M1447" s="152" t="s">
        <v>1327</v>
      </c>
      <c r="N1447" s="152" t="s">
        <v>1327</v>
      </c>
      <c r="O1447" s="152">
        <v>3.141343</v>
      </c>
      <c r="P1447" s="152">
        <v>114.48906100000001</v>
      </c>
      <c r="Q1447" s="152">
        <v>3.141343</v>
      </c>
      <c r="R1447" s="152" t="s">
        <v>1327</v>
      </c>
      <c r="S1447" s="152">
        <v>99.934663999999998</v>
      </c>
      <c r="T1447" s="152">
        <v>0.24630099999999999</v>
      </c>
      <c r="U1447" s="152">
        <v>1.843445</v>
      </c>
      <c r="V1447" s="152">
        <v>4.3553509999999998</v>
      </c>
      <c r="W1447" s="152">
        <v>1000</v>
      </c>
      <c r="X1447" s="152" t="s">
        <v>23</v>
      </c>
      <c r="Y1447" s="152" t="s">
        <v>1328</v>
      </c>
      <c r="Z1447" s="152" t="s">
        <v>1327</v>
      </c>
    </row>
    <row r="1448" spans="1:26" x14ac:dyDescent="0.2">
      <c r="A1448" s="152" t="s">
        <v>2582</v>
      </c>
      <c r="B1448" s="152">
        <v>3.1</v>
      </c>
      <c r="C1448" s="151">
        <v>44229</v>
      </c>
      <c r="D1448" s="152">
        <v>2.2767119999999998</v>
      </c>
      <c r="E1448" s="152" t="s">
        <v>1325</v>
      </c>
      <c r="F1448" s="152" t="s">
        <v>1326</v>
      </c>
      <c r="G1448" s="152"/>
      <c r="H1448" s="152"/>
      <c r="I1448" s="151" t="s">
        <v>1327</v>
      </c>
      <c r="J1448" s="152" t="s">
        <v>1327</v>
      </c>
      <c r="K1448" s="152" t="s">
        <v>1327</v>
      </c>
      <c r="L1448" s="152" t="s">
        <v>1327</v>
      </c>
      <c r="M1448" s="152" t="s">
        <v>1327</v>
      </c>
      <c r="N1448" s="152" t="s">
        <v>1327</v>
      </c>
      <c r="O1448" s="152">
        <v>3.2771759999999999</v>
      </c>
      <c r="P1448" s="152">
        <v>125.005905</v>
      </c>
      <c r="Q1448" s="152">
        <v>3.2771759999999999</v>
      </c>
      <c r="R1448" s="152" t="s">
        <v>1327</v>
      </c>
      <c r="S1448" s="152">
        <v>99.598924999999994</v>
      </c>
      <c r="T1448" s="152">
        <v>0.71342499999999998</v>
      </c>
      <c r="U1448" s="152">
        <v>2.1631779999999998</v>
      </c>
      <c r="V1448" s="152">
        <v>5.8479929999999998</v>
      </c>
      <c r="W1448" s="152">
        <v>1000</v>
      </c>
      <c r="X1448" s="152" t="s">
        <v>23</v>
      </c>
      <c r="Y1448" s="152" t="s">
        <v>1328</v>
      </c>
      <c r="Z1448" s="152" t="s">
        <v>1327</v>
      </c>
    </row>
    <row r="1449" spans="1:26" x14ac:dyDescent="0.2">
      <c r="A1449" s="152" t="s">
        <v>2583</v>
      </c>
      <c r="B1449" s="152">
        <v>3.1</v>
      </c>
      <c r="C1449" s="151">
        <v>44336</v>
      </c>
      <c r="D1449" s="152">
        <v>2.5698629999999998</v>
      </c>
      <c r="E1449" s="152" t="s">
        <v>1325</v>
      </c>
      <c r="F1449" s="152" t="s">
        <v>1326</v>
      </c>
      <c r="G1449" s="152"/>
      <c r="H1449" s="152"/>
      <c r="I1449" s="151">
        <v>43244</v>
      </c>
      <c r="J1449" s="152">
        <v>3.09</v>
      </c>
      <c r="K1449" s="152" t="s">
        <v>1327</v>
      </c>
      <c r="L1449" s="152" t="s">
        <v>1327</v>
      </c>
      <c r="M1449" s="152" t="s">
        <v>1327</v>
      </c>
      <c r="N1449" s="152" t="s">
        <v>1327</v>
      </c>
      <c r="O1449" s="152">
        <v>3.2906430000000002</v>
      </c>
      <c r="P1449" s="152">
        <v>124.279121</v>
      </c>
      <c r="Q1449" s="152">
        <v>3.2906430000000002</v>
      </c>
      <c r="R1449" s="152" t="s">
        <v>1327</v>
      </c>
      <c r="S1449" s="152">
        <v>99.520112999999995</v>
      </c>
      <c r="T1449" s="152">
        <v>1.3758900000000001</v>
      </c>
      <c r="U1449" s="152">
        <v>2.4143520000000001</v>
      </c>
      <c r="V1449" s="152">
        <v>7.2069270000000003</v>
      </c>
      <c r="W1449" s="152">
        <v>1000</v>
      </c>
      <c r="X1449" s="152" t="s">
        <v>23</v>
      </c>
      <c r="Y1449" s="152" t="s">
        <v>1328</v>
      </c>
      <c r="Z1449" s="152" t="s">
        <v>1327</v>
      </c>
    </row>
    <row r="1450" spans="1:26" x14ac:dyDescent="0.2">
      <c r="A1450" s="152" t="s">
        <v>2584</v>
      </c>
      <c r="B1450" s="152">
        <v>3.3</v>
      </c>
      <c r="C1450" s="151">
        <v>44430</v>
      </c>
      <c r="D1450" s="152">
        <v>2.8273969999999999</v>
      </c>
      <c r="E1450" s="152" t="s">
        <v>1325</v>
      </c>
      <c r="F1450" s="152" t="s">
        <v>1326</v>
      </c>
      <c r="G1450" s="152"/>
      <c r="H1450" s="152"/>
      <c r="I1450" s="152" t="s">
        <v>1327</v>
      </c>
      <c r="J1450" s="152" t="s">
        <v>1327</v>
      </c>
      <c r="K1450" s="152" t="s">
        <v>1327</v>
      </c>
      <c r="L1450" s="152" t="s">
        <v>1327</v>
      </c>
      <c r="M1450" s="152" t="s">
        <v>1327</v>
      </c>
      <c r="N1450" s="152" t="s">
        <v>1327</v>
      </c>
      <c r="O1450" s="152">
        <v>3.4416699999999998</v>
      </c>
      <c r="P1450" s="152">
        <v>137.41456600000001</v>
      </c>
      <c r="Q1450" s="152">
        <v>3.4416699999999998</v>
      </c>
      <c r="R1450" s="152" t="s">
        <v>1327</v>
      </c>
      <c r="S1450" s="152">
        <v>99.604504000000006</v>
      </c>
      <c r="T1450" s="152">
        <v>0.57862999999999998</v>
      </c>
      <c r="U1450" s="152">
        <v>2.6635070000000001</v>
      </c>
      <c r="V1450" s="152">
        <v>8.6028339999999996</v>
      </c>
      <c r="W1450" s="152">
        <v>1000</v>
      </c>
      <c r="X1450" s="152" t="s">
        <v>23</v>
      </c>
      <c r="Y1450" s="152" t="s">
        <v>1328</v>
      </c>
      <c r="Z1450" s="152" t="s">
        <v>1327</v>
      </c>
    </row>
    <row r="1451" spans="1:26" x14ac:dyDescent="0.2">
      <c r="A1451" s="152" t="s">
        <v>2585</v>
      </c>
      <c r="B1451" s="152">
        <v>4</v>
      </c>
      <c r="C1451" s="151">
        <v>44616</v>
      </c>
      <c r="D1451" s="152">
        <v>3.336986</v>
      </c>
      <c r="E1451" s="152" t="s">
        <v>1325</v>
      </c>
      <c r="F1451" s="152" t="s">
        <v>1326</v>
      </c>
      <c r="G1451" s="152"/>
      <c r="H1451" s="152"/>
      <c r="I1451" s="151">
        <v>43382</v>
      </c>
      <c r="J1451" s="152">
        <v>3.97</v>
      </c>
      <c r="K1451" s="152" t="s">
        <v>1327</v>
      </c>
      <c r="L1451" s="152" t="s">
        <v>1327</v>
      </c>
      <c r="M1451" s="152" t="s">
        <v>1327</v>
      </c>
      <c r="N1451" s="152" t="s">
        <v>1327</v>
      </c>
      <c r="O1451" s="152">
        <v>3.9627189999999999</v>
      </c>
      <c r="P1451" s="152">
        <v>179.88910999999999</v>
      </c>
      <c r="Q1451" s="152">
        <v>3.9627189999999999</v>
      </c>
      <c r="R1451" s="152" t="s">
        <v>1327</v>
      </c>
      <c r="S1451" s="152">
        <v>100.106532</v>
      </c>
      <c r="T1451" s="152">
        <v>0.67945199999999994</v>
      </c>
      <c r="U1451" s="152">
        <v>3.0852270000000002</v>
      </c>
      <c r="V1451" s="152">
        <v>10.719025999999999</v>
      </c>
      <c r="W1451" s="152">
        <v>1000</v>
      </c>
      <c r="X1451" s="152" t="s">
        <v>23</v>
      </c>
      <c r="Y1451" s="152" t="s">
        <v>1328</v>
      </c>
      <c r="Z1451" s="152" t="s">
        <v>1327</v>
      </c>
    </row>
    <row r="1452" spans="1:26" x14ac:dyDescent="0.2">
      <c r="A1452" s="152" t="s">
        <v>2586</v>
      </c>
      <c r="B1452" s="152">
        <v>4.6500000000000004</v>
      </c>
      <c r="C1452" s="151">
        <v>45552</v>
      </c>
      <c r="D1452" s="152">
        <v>5.90137</v>
      </c>
      <c r="E1452" s="152" t="s">
        <v>1325</v>
      </c>
      <c r="F1452" s="152" t="s">
        <v>1326</v>
      </c>
      <c r="G1452" s="152"/>
      <c r="H1452" s="152" t="s">
        <v>1278</v>
      </c>
      <c r="I1452" s="152">
        <v>43117</v>
      </c>
      <c r="J1452" s="152">
        <v>3.95</v>
      </c>
      <c r="K1452" s="152" t="s">
        <v>1327</v>
      </c>
      <c r="L1452" s="152" t="s">
        <v>1327</v>
      </c>
      <c r="M1452" s="152" t="s">
        <v>1327</v>
      </c>
      <c r="N1452" s="152" t="s">
        <v>1327</v>
      </c>
      <c r="O1452" s="152">
        <v>4.4177030000000004</v>
      </c>
      <c r="P1452" s="152">
        <v>195.56904399999999</v>
      </c>
      <c r="Q1452" s="152">
        <v>4.4177030000000004</v>
      </c>
      <c r="R1452" s="152" t="s">
        <v>1327</v>
      </c>
      <c r="S1452" s="152">
        <v>101.20147900000001</v>
      </c>
      <c r="T1452" s="152">
        <v>0.48410999999999998</v>
      </c>
      <c r="U1452" s="152">
        <v>5.1142500000000002</v>
      </c>
      <c r="V1452" s="152">
        <v>29.740976</v>
      </c>
      <c r="W1452" s="152">
        <v>1000</v>
      </c>
      <c r="X1452" s="152" t="s">
        <v>23</v>
      </c>
      <c r="Y1452" s="152" t="s">
        <v>1328</v>
      </c>
      <c r="Z1452" s="152" t="s">
        <v>1327</v>
      </c>
    </row>
    <row r="1453" spans="1:26" x14ac:dyDescent="0.2">
      <c r="A1453" s="152" t="s">
        <v>2587</v>
      </c>
      <c r="B1453" s="152">
        <v>1.9</v>
      </c>
      <c r="C1453" s="151">
        <v>43663</v>
      </c>
      <c r="D1453" s="152">
        <v>0.72602699999999998</v>
      </c>
      <c r="E1453" s="152" t="s">
        <v>1325</v>
      </c>
      <c r="F1453" s="152" t="s">
        <v>1326</v>
      </c>
      <c r="G1453" s="152"/>
      <c r="H1453" s="152" t="s">
        <v>43</v>
      </c>
      <c r="I1453" s="151" t="s">
        <v>1327</v>
      </c>
      <c r="J1453" s="152" t="s">
        <v>1327</v>
      </c>
      <c r="K1453" s="152" t="s">
        <v>1327</v>
      </c>
      <c r="L1453" s="152" t="s">
        <v>1327</v>
      </c>
      <c r="M1453" s="152" t="s">
        <v>1327</v>
      </c>
      <c r="N1453" s="152" t="s">
        <v>1327</v>
      </c>
      <c r="O1453" s="152">
        <v>2.145985</v>
      </c>
      <c r="P1453" s="152">
        <v>37.291167000000002</v>
      </c>
      <c r="Q1453" s="152">
        <v>2.145985</v>
      </c>
      <c r="R1453" s="152" t="s">
        <v>1327</v>
      </c>
      <c r="S1453" s="152">
        <v>99.813670999999999</v>
      </c>
      <c r="T1453" s="152">
        <v>0.52054800000000001</v>
      </c>
      <c r="U1453" s="152">
        <v>0.71772499999999995</v>
      </c>
      <c r="V1453" s="152">
        <v>0.87246599999999996</v>
      </c>
      <c r="W1453" s="152">
        <v>1000</v>
      </c>
      <c r="X1453" s="152" t="s">
        <v>23</v>
      </c>
      <c r="Y1453" s="152" t="s">
        <v>1328</v>
      </c>
      <c r="Z1453" s="152" t="s">
        <v>1327</v>
      </c>
    </row>
    <row r="1454" spans="1:26" x14ac:dyDescent="0.2">
      <c r="A1454" s="152" t="s">
        <v>2588</v>
      </c>
      <c r="B1454" s="152">
        <v>3.9</v>
      </c>
      <c r="C1454" s="151">
        <v>43556</v>
      </c>
      <c r="D1454" s="152">
        <v>0.43287700000000001</v>
      </c>
      <c r="E1454" s="152" t="s">
        <v>1325</v>
      </c>
      <c r="F1454" s="152" t="s">
        <v>1326</v>
      </c>
      <c r="G1454" s="152"/>
      <c r="H1454" s="152" t="s">
        <v>496</v>
      </c>
      <c r="I1454" s="152">
        <v>43339</v>
      </c>
      <c r="J1454" s="152">
        <v>1.52</v>
      </c>
      <c r="K1454" s="152" t="s">
        <v>1327</v>
      </c>
      <c r="L1454" s="152" t="s">
        <v>1327</v>
      </c>
      <c r="M1454" s="152" t="s">
        <v>1327</v>
      </c>
      <c r="N1454" s="152" t="s">
        <v>1327</v>
      </c>
      <c r="O1454" s="152">
        <v>1.8103610000000001</v>
      </c>
      <c r="P1454" s="152">
        <v>12.472826</v>
      </c>
      <c r="Q1454" s="152">
        <v>1.8103610000000001</v>
      </c>
      <c r="R1454" s="152" t="s">
        <v>1327</v>
      </c>
      <c r="S1454" s="152">
        <v>100.897649</v>
      </c>
      <c r="T1454" s="152">
        <v>0.256438</v>
      </c>
      <c r="U1454" s="152">
        <v>0.43194500000000002</v>
      </c>
      <c r="V1454" s="152">
        <v>0.29466500000000001</v>
      </c>
      <c r="W1454" s="152">
        <v>1000</v>
      </c>
      <c r="X1454" s="152" t="s">
        <v>23</v>
      </c>
      <c r="Y1454" s="152" t="s">
        <v>1328</v>
      </c>
      <c r="Z1454" s="152" t="s">
        <v>1327</v>
      </c>
    </row>
    <row r="1455" spans="1:26" x14ac:dyDescent="0.2">
      <c r="A1455" s="152" t="s">
        <v>2589</v>
      </c>
      <c r="B1455" s="152">
        <v>3.4</v>
      </c>
      <c r="C1455" s="151">
        <v>43770</v>
      </c>
      <c r="D1455" s="152">
        <v>1.0191779999999999</v>
      </c>
      <c r="E1455" s="152" t="s">
        <v>1325</v>
      </c>
      <c r="F1455" s="152" t="s">
        <v>1326</v>
      </c>
      <c r="G1455" s="152"/>
      <c r="H1455" s="152" t="s">
        <v>496</v>
      </c>
      <c r="I1455" s="152">
        <v>43342</v>
      </c>
      <c r="J1455" s="152">
        <v>1.74</v>
      </c>
      <c r="K1455" s="152" t="s">
        <v>1327</v>
      </c>
      <c r="L1455" s="152" t="s">
        <v>1327</v>
      </c>
      <c r="M1455" s="152" t="s">
        <v>1327</v>
      </c>
      <c r="N1455" s="152" t="s">
        <v>1327</v>
      </c>
      <c r="O1455" s="152">
        <v>2.0500050000000001</v>
      </c>
      <c r="P1455" s="152">
        <v>25.001003999999998</v>
      </c>
      <c r="Q1455" s="152">
        <v>2.0500050000000001</v>
      </c>
      <c r="R1455" s="152" t="s">
        <v>1327</v>
      </c>
      <c r="S1455" s="152">
        <v>101.358349</v>
      </c>
      <c r="T1455" s="152">
        <v>-6.5204999999999999E-2</v>
      </c>
      <c r="U1455" s="152">
        <v>1.0015689999999999</v>
      </c>
      <c r="V1455" s="152">
        <v>1.259315</v>
      </c>
      <c r="W1455" s="152">
        <v>1000</v>
      </c>
      <c r="X1455" s="152" t="s">
        <v>23</v>
      </c>
      <c r="Y1455" s="152" t="s">
        <v>1328</v>
      </c>
      <c r="Z1455" s="152" t="s">
        <v>1327</v>
      </c>
    </row>
    <row r="1456" spans="1:26" x14ac:dyDescent="0.2">
      <c r="A1456" s="152" t="s">
        <v>2590</v>
      </c>
      <c r="B1456" s="152">
        <v>4.4000000000000004</v>
      </c>
      <c r="C1456" s="151">
        <v>43750</v>
      </c>
      <c r="D1456" s="152">
        <v>0.96438400000000002</v>
      </c>
      <c r="E1456" s="152" t="s">
        <v>1325</v>
      </c>
      <c r="F1456" s="152" t="s">
        <v>1326</v>
      </c>
      <c r="G1456" s="152"/>
      <c r="H1456" s="152" t="s">
        <v>496</v>
      </c>
      <c r="I1456" s="151">
        <v>43392</v>
      </c>
      <c r="J1456" s="152">
        <v>2.1850000000000001</v>
      </c>
      <c r="K1456" s="152">
        <v>42307</v>
      </c>
      <c r="L1456" s="152">
        <v>2.4940910000000001</v>
      </c>
      <c r="M1456" s="152">
        <v>3.5036999999999998</v>
      </c>
      <c r="N1456" s="152">
        <v>2.488181</v>
      </c>
      <c r="O1456" s="152">
        <v>2.1921040000000001</v>
      </c>
      <c r="P1456" s="152">
        <v>39.037131000000002</v>
      </c>
      <c r="Q1456" s="152">
        <v>2.1921040000000001</v>
      </c>
      <c r="R1456" s="152" t="s">
        <v>1327</v>
      </c>
      <c r="S1456" s="152">
        <v>102.097829</v>
      </c>
      <c r="T1456" s="152">
        <v>0.15671199999999999</v>
      </c>
      <c r="U1456" s="152">
        <v>0.94203899999999996</v>
      </c>
      <c r="V1456" s="152">
        <v>1.358449</v>
      </c>
      <c r="W1456" s="152">
        <v>1000</v>
      </c>
      <c r="X1456" s="152" t="s">
        <v>23</v>
      </c>
      <c r="Y1456" s="152" t="s">
        <v>1328</v>
      </c>
      <c r="Z1456" s="152" t="s">
        <v>1327</v>
      </c>
    </row>
    <row r="1457" spans="1:26" x14ac:dyDescent="0.2">
      <c r="A1457" s="152" t="s">
        <v>2591</v>
      </c>
      <c r="B1457" s="152">
        <v>3</v>
      </c>
      <c r="C1457" s="151">
        <v>43922</v>
      </c>
      <c r="D1457" s="152">
        <v>1.435616</v>
      </c>
      <c r="E1457" s="152" t="s">
        <v>1325</v>
      </c>
      <c r="F1457" s="152" t="s">
        <v>1326</v>
      </c>
      <c r="G1457" s="152"/>
      <c r="H1457" s="152" t="s">
        <v>496</v>
      </c>
      <c r="I1457" s="152">
        <v>43392</v>
      </c>
      <c r="J1457" s="152">
        <v>1.99</v>
      </c>
      <c r="K1457" s="152" t="s">
        <v>1327</v>
      </c>
      <c r="L1457" s="152" t="s">
        <v>1327</v>
      </c>
      <c r="M1457" s="152" t="s">
        <v>1327</v>
      </c>
      <c r="N1457" s="152" t="s">
        <v>1327</v>
      </c>
      <c r="O1457" s="152">
        <v>1.990102</v>
      </c>
      <c r="P1457" s="152">
        <v>9.5675709999999992</v>
      </c>
      <c r="Q1457" s="152">
        <v>1.990102</v>
      </c>
      <c r="R1457" s="152" t="s">
        <v>1327</v>
      </c>
      <c r="S1457" s="152">
        <v>101.419971</v>
      </c>
      <c r="T1457" s="152">
        <v>0.19725999999999999</v>
      </c>
      <c r="U1457" s="152">
        <v>1.4019330000000001</v>
      </c>
      <c r="V1457" s="152">
        <v>2.3383349999999998</v>
      </c>
      <c r="W1457" s="152">
        <v>1000</v>
      </c>
      <c r="X1457" s="152" t="s">
        <v>23</v>
      </c>
      <c r="Y1457" s="152" t="s">
        <v>1328</v>
      </c>
      <c r="Z1457" s="152" t="s">
        <v>1327</v>
      </c>
    </row>
    <row r="1458" spans="1:26" x14ac:dyDescent="0.2">
      <c r="A1458" s="152" t="s">
        <v>2592</v>
      </c>
      <c r="B1458" s="152">
        <v>3</v>
      </c>
      <c r="C1458" s="151">
        <v>44136</v>
      </c>
      <c r="D1458" s="152">
        <v>2.0219179999999999</v>
      </c>
      <c r="E1458" s="152" t="s">
        <v>1325</v>
      </c>
      <c r="F1458" s="152" t="s">
        <v>1326</v>
      </c>
      <c r="G1458" s="152"/>
      <c r="H1458" s="152" t="s">
        <v>496</v>
      </c>
      <c r="I1458" s="151">
        <v>43369</v>
      </c>
      <c r="J1458" s="152">
        <v>2.0550000000000002</v>
      </c>
      <c r="K1458" s="152" t="s">
        <v>1327</v>
      </c>
      <c r="L1458" s="152" t="s">
        <v>1327</v>
      </c>
      <c r="M1458" s="152" t="s">
        <v>1327</v>
      </c>
      <c r="N1458" s="152" t="s">
        <v>1327</v>
      </c>
      <c r="O1458" s="152">
        <v>2.2069619999999999</v>
      </c>
      <c r="P1458" s="152">
        <v>19.368357</v>
      </c>
      <c r="Q1458" s="152">
        <v>2.2069619999999999</v>
      </c>
      <c r="R1458" s="152" t="s">
        <v>1327</v>
      </c>
      <c r="S1458" s="152">
        <v>101.562091</v>
      </c>
      <c r="T1458" s="152">
        <v>-5.7534000000000002E-2</v>
      </c>
      <c r="U1458" s="152">
        <v>1.957522</v>
      </c>
      <c r="V1458" s="152">
        <v>4.3791099999999998</v>
      </c>
      <c r="W1458" s="152">
        <v>1000</v>
      </c>
      <c r="X1458" s="152" t="s">
        <v>23</v>
      </c>
      <c r="Y1458" s="152" t="s">
        <v>1328</v>
      </c>
      <c r="Z1458" s="152" t="s">
        <v>1327</v>
      </c>
    </row>
    <row r="1459" spans="1:26" x14ac:dyDescent="0.2">
      <c r="A1459" s="152" t="s">
        <v>2593</v>
      </c>
      <c r="B1459" s="152">
        <v>3.25</v>
      </c>
      <c r="C1459" s="151">
        <v>44287</v>
      </c>
      <c r="D1459" s="152">
        <v>2.435616</v>
      </c>
      <c r="E1459" s="152" t="s">
        <v>1325</v>
      </c>
      <c r="F1459" s="152" t="s">
        <v>1326</v>
      </c>
      <c r="G1459" s="152"/>
      <c r="H1459" s="152" t="s">
        <v>496</v>
      </c>
      <c r="I1459" s="152">
        <v>43354</v>
      </c>
      <c r="J1459" s="152">
        <v>2.0699999999999998</v>
      </c>
      <c r="K1459" s="152" t="s">
        <v>1327</v>
      </c>
      <c r="L1459" s="152" t="s">
        <v>1327</v>
      </c>
      <c r="M1459" s="152" t="s">
        <v>1327</v>
      </c>
      <c r="N1459" s="152" t="s">
        <v>1327</v>
      </c>
      <c r="O1459" s="152">
        <v>2.234585</v>
      </c>
      <c r="P1459" s="152">
        <v>19.296167000000001</v>
      </c>
      <c r="Q1459" s="152">
        <v>2.234585</v>
      </c>
      <c r="R1459" s="152" t="s">
        <v>1327</v>
      </c>
      <c r="S1459" s="152">
        <v>102.39409499999999</v>
      </c>
      <c r="T1459" s="152">
        <v>0.213699</v>
      </c>
      <c r="U1459" s="152">
        <v>2.3358400000000001</v>
      </c>
      <c r="V1459" s="152">
        <v>6.1667630000000004</v>
      </c>
      <c r="W1459" s="152">
        <v>1000</v>
      </c>
      <c r="X1459" s="152" t="s">
        <v>23</v>
      </c>
      <c r="Y1459" s="152" t="s">
        <v>1328</v>
      </c>
      <c r="Z1459" s="152" t="s">
        <v>1327</v>
      </c>
    </row>
    <row r="1460" spans="1:26" x14ac:dyDescent="0.2">
      <c r="A1460" s="152" t="s">
        <v>2594</v>
      </c>
      <c r="B1460" s="152">
        <v>3.05</v>
      </c>
      <c r="C1460" s="151">
        <v>44470</v>
      </c>
      <c r="D1460" s="152">
        <v>2.9369860000000001</v>
      </c>
      <c r="E1460" s="152" t="s">
        <v>1325</v>
      </c>
      <c r="F1460" s="152" t="s">
        <v>1326</v>
      </c>
      <c r="G1460" s="152"/>
      <c r="H1460" s="152" t="s">
        <v>496</v>
      </c>
      <c r="I1460" s="152">
        <v>43391</v>
      </c>
      <c r="J1460" s="152">
        <v>2.31</v>
      </c>
      <c r="K1460" s="152" t="s">
        <v>1327</v>
      </c>
      <c r="L1460" s="152" t="s">
        <v>1327</v>
      </c>
      <c r="M1460" s="152" t="s">
        <v>1327</v>
      </c>
      <c r="N1460" s="152" t="s">
        <v>1327</v>
      </c>
      <c r="O1460" s="152">
        <v>2.3088000000000002</v>
      </c>
      <c r="P1460" s="152">
        <v>21.185925999999998</v>
      </c>
      <c r="Q1460" s="152">
        <v>2.3088000000000002</v>
      </c>
      <c r="R1460" s="152" t="s">
        <v>1327</v>
      </c>
      <c r="S1460" s="152">
        <v>102.091722</v>
      </c>
      <c r="T1460" s="152">
        <v>0.200548</v>
      </c>
      <c r="U1460" s="152">
        <v>2.7999860000000001</v>
      </c>
      <c r="V1460" s="152">
        <v>8.7505170000000003</v>
      </c>
      <c r="W1460" s="152">
        <v>1000</v>
      </c>
      <c r="X1460" s="152" t="s">
        <v>23</v>
      </c>
      <c r="Y1460" s="152" t="s">
        <v>1328</v>
      </c>
      <c r="Z1460" s="152" t="s">
        <v>1327</v>
      </c>
    </row>
    <row r="1461" spans="1:26" x14ac:dyDescent="0.2">
      <c r="A1461" s="152" t="s">
        <v>2595</v>
      </c>
      <c r="B1461" s="152">
        <v>3</v>
      </c>
      <c r="C1461" s="151">
        <v>44652</v>
      </c>
      <c r="D1461" s="152">
        <v>3.435616</v>
      </c>
      <c r="E1461" s="152" t="s">
        <v>1325</v>
      </c>
      <c r="F1461" s="152" t="s">
        <v>1326</v>
      </c>
      <c r="G1461" s="152"/>
      <c r="H1461" s="152" t="s">
        <v>496</v>
      </c>
      <c r="I1461" s="152">
        <v>43397</v>
      </c>
      <c r="J1461" s="152">
        <v>2.38</v>
      </c>
      <c r="K1461" s="152" t="s">
        <v>1327</v>
      </c>
      <c r="L1461" s="152" t="s">
        <v>1327</v>
      </c>
      <c r="M1461" s="152" t="s">
        <v>1327</v>
      </c>
      <c r="N1461" s="152" t="s">
        <v>1327</v>
      </c>
      <c r="O1461" s="152">
        <v>2.38</v>
      </c>
      <c r="P1461" s="152">
        <v>14.916249000000001</v>
      </c>
      <c r="Q1461" s="152">
        <v>2.38</v>
      </c>
      <c r="R1461" s="152" t="s">
        <v>1327</v>
      </c>
      <c r="S1461" s="152">
        <v>102.033309</v>
      </c>
      <c r="T1461" s="152">
        <v>0.19725999999999999</v>
      </c>
      <c r="U1461" s="152">
        <v>3.2546390000000001</v>
      </c>
      <c r="V1461" s="152">
        <v>11.738718</v>
      </c>
      <c r="W1461" s="152">
        <v>1000</v>
      </c>
      <c r="X1461" s="152" t="s">
        <v>23</v>
      </c>
      <c r="Y1461" s="152" t="s">
        <v>1328</v>
      </c>
      <c r="Z1461" s="152" t="s">
        <v>1327</v>
      </c>
    </row>
    <row r="1462" spans="1:26" x14ac:dyDescent="0.2">
      <c r="A1462" s="152" t="s">
        <v>2596</v>
      </c>
      <c r="B1462" s="152">
        <v>3.1</v>
      </c>
      <c r="C1462" s="151">
        <v>44835</v>
      </c>
      <c r="D1462" s="152">
        <v>3.9369860000000001</v>
      </c>
      <c r="E1462" s="152" t="s">
        <v>1325</v>
      </c>
      <c r="F1462" s="152" t="s">
        <v>1326</v>
      </c>
      <c r="G1462" s="152"/>
      <c r="H1462" s="152" t="s">
        <v>496</v>
      </c>
      <c r="I1462" s="151" t="s">
        <v>1327</v>
      </c>
      <c r="J1462" s="152" t="s">
        <v>1327</v>
      </c>
      <c r="K1462" s="152" t="s">
        <v>1327</v>
      </c>
      <c r="L1462" s="152" t="s">
        <v>1327</v>
      </c>
      <c r="M1462" s="152" t="s">
        <v>1327</v>
      </c>
      <c r="N1462" s="152" t="s">
        <v>1327</v>
      </c>
      <c r="O1462" s="152">
        <v>3.0531799999999998</v>
      </c>
      <c r="P1462" s="152">
        <v>73.891683</v>
      </c>
      <c r="Q1462" s="152">
        <v>3.0531799999999998</v>
      </c>
      <c r="R1462" s="152" t="s">
        <v>1327</v>
      </c>
      <c r="S1462" s="152">
        <v>100.166104</v>
      </c>
      <c r="T1462" s="152">
        <v>0.20383599999999999</v>
      </c>
      <c r="U1462" s="152">
        <v>3.6857790000000001</v>
      </c>
      <c r="V1462" s="152">
        <v>15.022019</v>
      </c>
      <c r="W1462" s="152">
        <v>1000</v>
      </c>
      <c r="X1462" s="152" t="s">
        <v>23</v>
      </c>
      <c r="Y1462" s="152" t="s">
        <v>1328</v>
      </c>
      <c r="Z1462" s="152" t="s">
        <v>1327</v>
      </c>
    </row>
    <row r="1463" spans="1:26" x14ac:dyDescent="0.2">
      <c r="A1463" s="152" t="s">
        <v>695</v>
      </c>
      <c r="B1463" s="152">
        <v>2.97</v>
      </c>
      <c r="C1463" s="151">
        <v>45534</v>
      </c>
      <c r="D1463" s="152">
        <v>5.852055</v>
      </c>
      <c r="E1463" s="152" t="s">
        <v>1325</v>
      </c>
      <c r="F1463" s="152" t="s">
        <v>1326</v>
      </c>
      <c r="G1463" s="152"/>
      <c r="H1463" s="152" t="s">
        <v>496</v>
      </c>
      <c r="I1463" s="152">
        <v>43384</v>
      </c>
      <c r="J1463" s="152">
        <v>2.76</v>
      </c>
      <c r="K1463" s="152" t="s">
        <v>1327</v>
      </c>
      <c r="L1463" s="152" t="s">
        <v>1327</v>
      </c>
      <c r="M1463" s="152" t="s">
        <v>1327</v>
      </c>
      <c r="N1463" s="152" t="s">
        <v>1327</v>
      </c>
      <c r="O1463" s="152">
        <v>2.7571669999999999</v>
      </c>
      <c r="P1463" s="152">
        <v>23.46565</v>
      </c>
      <c r="Q1463" s="152">
        <v>2.7571669999999999</v>
      </c>
      <c r="R1463" s="152" t="s">
        <v>1327</v>
      </c>
      <c r="S1463" s="152">
        <v>101.143642</v>
      </c>
      <c r="T1463" s="152">
        <v>0.45567099999999999</v>
      </c>
      <c r="U1463" s="152">
        <v>5.315143</v>
      </c>
      <c r="V1463" s="152">
        <v>32.394624</v>
      </c>
      <c r="W1463" s="152">
        <v>1000</v>
      </c>
      <c r="X1463" s="152" t="s">
        <v>23</v>
      </c>
      <c r="Y1463" s="152" t="s">
        <v>1328</v>
      </c>
      <c r="Z1463" s="152" t="s">
        <v>1327</v>
      </c>
    </row>
    <row r="1464" spans="1:26" x14ac:dyDescent="0.2">
      <c r="A1464" s="152" t="s">
        <v>558</v>
      </c>
      <c r="B1464" s="152">
        <v>2.4900000000000002</v>
      </c>
      <c r="C1464" s="151">
        <v>43960</v>
      </c>
      <c r="D1464" s="152">
        <v>1.5397259999999999</v>
      </c>
      <c r="E1464" s="152" t="s">
        <v>1325</v>
      </c>
      <c r="F1464" s="152" t="s">
        <v>1326</v>
      </c>
      <c r="G1464" s="152"/>
      <c r="H1464" s="152" t="s">
        <v>464</v>
      </c>
      <c r="I1464" s="152">
        <v>43391</v>
      </c>
      <c r="J1464" s="152">
        <v>2.5</v>
      </c>
      <c r="K1464" s="152" t="s">
        <v>1327</v>
      </c>
      <c r="L1464" s="152" t="s">
        <v>1327</v>
      </c>
      <c r="M1464" s="152" t="s">
        <v>1327</v>
      </c>
      <c r="N1464" s="152" t="s">
        <v>1327</v>
      </c>
      <c r="O1464" s="152">
        <v>2.502583</v>
      </c>
      <c r="P1464" s="152">
        <v>58.071111999999999</v>
      </c>
      <c r="Q1464" s="152">
        <v>2.502583</v>
      </c>
      <c r="R1464" s="152" t="s">
        <v>1327</v>
      </c>
      <c r="S1464" s="152">
        <v>99.970275999999998</v>
      </c>
      <c r="T1464" s="152">
        <v>1.1529039999999999</v>
      </c>
      <c r="U1464" s="152">
        <v>1.485908</v>
      </c>
      <c r="V1464" s="152">
        <v>2.9821580000000001</v>
      </c>
      <c r="W1464" s="152">
        <v>1000</v>
      </c>
      <c r="X1464" s="152" t="s">
        <v>23</v>
      </c>
      <c r="Y1464" s="152" t="s">
        <v>1328</v>
      </c>
      <c r="Z1464" s="152" t="s">
        <v>1327</v>
      </c>
    </row>
    <row r="1465" spans="1:26" x14ac:dyDescent="0.2">
      <c r="A1465" s="152" t="s">
        <v>2597</v>
      </c>
      <c r="B1465" s="152">
        <v>4.3</v>
      </c>
      <c r="C1465" s="151">
        <v>43996</v>
      </c>
      <c r="D1465" s="152">
        <v>1.6383559999999999</v>
      </c>
      <c r="E1465" s="152" t="s">
        <v>1325</v>
      </c>
      <c r="F1465" s="152" t="s">
        <v>1326</v>
      </c>
      <c r="G1465" s="152"/>
      <c r="H1465" s="152" t="s">
        <v>464</v>
      </c>
      <c r="I1465" s="152">
        <v>43333</v>
      </c>
      <c r="J1465" s="152">
        <v>2.1549999999999998</v>
      </c>
      <c r="K1465" s="152">
        <v>41635</v>
      </c>
      <c r="L1465" s="152">
        <v>4.4712339999999999</v>
      </c>
      <c r="M1465" s="152">
        <v>5.4714999999999998</v>
      </c>
      <c r="N1465" s="152">
        <v>4.4712339999999999</v>
      </c>
      <c r="O1465" s="152">
        <v>2.5289389999999998</v>
      </c>
      <c r="P1465" s="152">
        <v>57.965266</v>
      </c>
      <c r="Q1465" s="152">
        <v>2.5289389999999998</v>
      </c>
      <c r="R1465" s="152" t="s">
        <v>1327</v>
      </c>
      <c r="S1465" s="152">
        <v>102.81399</v>
      </c>
      <c r="T1465" s="152">
        <v>1.5668489999999999</v>
      </c>
      <c r="U1465" s="152">
        <v>1.5562389999999999</v>
      </c>
      <c r="V1465" s="152">
        <v>3.256332</v>
      </c>
      <c r="W1465" s="152">
        <v>1000</v>
      </c>
      <c r="X1465" s="152" t="s">
        <v>23</v>
      </c>
      <c r="Y1465" s="152" t="s">
        <v>1328</v>
      </c>
      <c r="Z1465" s="152" t="s">
        <v>1327</v>
      </c>
    </row>
    <row r="1466" spans="1:26" x14ac:dyDescent="0.2">
      <c r="A1466" s="152" t="s">
        <v>697</v>
      </c>
      <c r="B1466" s="152">
        <v>2.46</v>
      </c>
      <c r="C1466" s="151">
        <v>45411</v>
      </c>
      <c r="D1466" s="152">
        <v>5.5150680000000003</v>
      </c>
      <c r="E1466" s="152" t="s">
        <v>1325</v>
      </c>
      <c r="F1466" s="152" t="s">
        <v>1326</v>
      </c>
      <c r="G1466" s="152"/>
      <c r="H1466" s="152" t="s">
        <v>464</v>
      </c>
      <c r="I1466" s="152">
        <v>43159</v>
      </c>
      <c r="J1466" s="152">
        <v>2.5</v>
      </c>
      <c r="K1466" s="152" t="s">
        <v>1327</v>
      </c>
      <c r="L1466" s="152" t="s">
        <v>1327</v>
      </c>
      <c r="M1466" s="152" t="s">
        <v>1327</v>
      </c>
      <c r="N1466" s="152" t="s">
        <v>1327</v>
      </c>
      <c r="O1466" s="152">
        <v>3.252526</v>
      </c>
      <c r="P1466" s="152">
        <v>77.367553000000001</v>
      </c>
      <c r="Q1466" s="152">
        <v>3.252526</v>
      </c>
      <c r="R1466" s="152" t="s">
        <v>1327</v>
      </c>
      <c r="S1466" s="152">
        <v>96.031091000000004</v>
      </c>
      <c r="T1466" s="152">
        <v>-2.6959E-2</v>
      </c>
      <c r="U1466" s="152">
        <v>5.097607</v>
      </c>
      <c r="V1466" s="152">
        <v>29.523053000000001</v>
      </c>
      <c r="W1466" s="152">
        <v>1000</v>
      </c>
      <c r="X1466" s="152" t="s">
        <v>23</v>
      </c>
      <c r="Y1466" s="152" t="s">
        <v>1328</v>
      </c>
      <c r="Z1466" s="152" t="s">
        <v>1327</v>
      </c>
    </row>
    <row r="1467" spans="1:26" x14ac:dyDescent="0.2">
      <c r="A1467" s="152" t="s">
        <v>605</v>
      </c>
      <c r="B1467" s="152">
        <v>3.65</v>
      </c>
      <c r="C1467" s="151">
        <v>45421</v>
      </c>
      <c r="D1467" s="152">
        <v>5.5424660000000001</v>
      </c>
      <c r="E1467" s="152" t="s">
        <v>1325</v>
      </c>
      <c r="F1467" s="152" t="s">
        <v>1326</v>
      </c>
      <c r="G1467" s="152"/>
      <c r="H1467" s="152" t="s">
        <v>464</v>
      </c>
      <c r="I1467" s="152">
        <v>43193</v>
      </c>
      <c r="J1467" s="152">
        <v>2.5750000000000002</v>
      </c>
      <c r="K1467" s="152" t="s">
        <v>1327</v>
      </c>
      <c r="L1467" s="152" t="s">
        <v>1327</v>
      </c>
      <c r="M1467" s="152" t="s">
        <v>1327</v>
      </c>
      <c r="N1467" s="152" t="s">
        <v>1327</v>
      </c>
      <c r="O1467" s="152">
        <v>3.2100919999999999</v>
      </c>
      <c r="P1467" s="152">
        <v>73.671689999999998</v>
      </c>
      <c r="Q1467" s="152">
        <v>3.2100919999999999</v>
      </c>
      <c r="R1467" s="152" t="s">
        <v>1327</v>
      </c>
      <c r="S1467" s="152">
        <v>102.200772</v>
      </c>
      <c r="T1467" s="152">
        <v>1.69</v>
      </c>
      <c r="U1467" s="152">
        <v>4.9127349999999996</v>
      </c>
      <c r="V1467" s="152">
        <v>28.330689</v>
      </c>
      <c r="W1467" s="152">
        <v>1000</v>
      </c>
      <c r="X1467" s="152" t="s">
        <v>23</v>
      </c>
      <c r="Y1467" s="152" t="s">
        <v>1328</v>
      </c>
      <c r="Z1467" s="152" t="s">
        <v>1327</v>
      </c>
    </row>
    <row r="1468" spans="1:26" x14ac:dyDescent="0.2">
      <c r="A1468" s="152" t="s">
        <v>2598</v>
      </c>
      <c r="B1468" s="152">
        <v>2.7</v>
      </c>
      <c r="C1468" s="151">
        <v>46141</v>
      </c>
      <c r="D1468" s="152">
        <v>7.5150680000000003</v>
      </c>
      <c r="E1468" s="152" t="s">
        <v>1325</v>
      </c>
      <c r="F1468" s="152" t="s">
        <v>1326</v>
      </c>
      <c r="G1468" s="152"/>
      <c r="H1468" s="152" t="s">
        <v>464</v>
      </c>
      <c r="I1468" s="152">
        <v>43182</v>
      </c>
      <c r="J1468" s="152">
        <v>3.1</v>
      </c>
      <c r="K1468" s="152" t="s">
        <v>1327</v>
      </c>
      <c r="L1468" s="152" t="s">
        <v>1327</v>
      </c>
      <c r="M1468" s="152" t="s">
        <v>1327</v>
      </c>
      <c r="N1468" s="152" t="s">
        <v>1327</v>
      </c>
      <c r="O1468" s="152">
        <v>3.551364</v>
      </c>
      <c r="P1468" s="152">
        <v>86.355731000000006</v>
      </c>
      <c r="Q1468" s="152">
        <v>3.551364</v>
      </c>
      <c r="R1468" s="152" t="s">
        <v>1327</v>
      </c>
      <c r="S1468" s="152">
        <v>94.430544999999995</v>
      </c>
      <c r="T1468" s="152">
        <v>-2.9589000000000001E-2</v>
      </c>
      <c r="U1468" s="152">
        <v>6.707395</v>
      </c>
      <c r="V1468" s="152">
        <v>51.091881000000001</v>
      </c>
      <c r="W1468" s="152">
        <v>1000</v>
      </c>
      <c r="X1468" s="152" t="s">
        <v>23</v>
      </c>
      <c r="Y1468" s="152" t="s">
        <v>1328</v>
      </c>
      <c r="Z1468" s="152" t="s">
        <v>1327</v>
      </c>
    </row>
    <row r="1469" spans="1:26" x14ac:dyDescent="0.2">
      <c r="A1469" s="152" t="s">
        <v>2599</v>
      </c>
      <c r="B1469" s="152">
        <v>4.08</v>
      </c>
      <c r="C1469" s="151">
        <v>46516</v>
      </c>
      <c r="D1469" s="152">
        <v>8.5424659999999992</v>
      </c>
      <c r="E1469" s="152" t="s">
        <v>1325</v>
      </c>
      <c r="F1469" s="152" t="s">
        <v>1326</v>
      </c>
      <c r="G1469" s="152"/>
      <c r="H1469" s="152" t="s">
        <v>464</v>
      </c>
      <c r="I1469" s="152">
        <v>43188</v>
      </c>
      <c r="J1469" s="152">
        <v>3.27</v>
      </c>
      <c r="K1469" s="152" t="s">
        <v>1327</v>
      </c>
      <c r="L1469" s="152" t="s">
        <v>1327</v>
      </c>
      <c r="M1469" s="152" t="s">
        <v>1327</v>
      </c>
      <c r="N1469" s="152" t="s">
        <v>1327</v>
      </c>
      <c r="O1469" s="152">
        <v>3.663599</v>
      </c>
      <c r="P1469" s="152">
        <v>90.408223000000007</v>
      </c>
      <c r="Q1469" s="152">
        <v>3.663599</v>
      </c>
      <c r="R1469" s="152" t="s">
        <v>1327</v>
      </c>
      <c r="S1469" s="152">
        <v>103.01211499999999</v>
      </c>
      <c r="T1469" s="152">
        <v>1.8890960000000001</v>
      </c>
      <c r="U1469" s="152">
        <v>7.0596750000000004</v>
      </c>
      <c r="V1469" s="152">
        <v>59.343941000000001</v>
      </c>
      <c r="W1469" s="152">
        <v>1000</v>
      </c>
      <c r="X1469" s="152" t="s">
        <v>23</v>
      </c>
      <c r="Y1469" s="152" t="s">
        <v>1328</v>
      </c>
      <c r="Z1469" s="152" t="s">
        <v>1327</v>
      </c>
    </row>
    <row r="1470" spans="1:26" x14ac:dyDescent="0.2">
      <c r="A1470" s="152" t="s">
        <v>2600</v>
      </c>
      <c r="B1470" s="152">
        <v>4.26</v>
      </c>
      <c r="C1470" s="151">
        <v>47247</v>
      </c>
      <c r="D1470" s="152">
        <v>10.545204999999999</v>
      </c>
      <c r="E1470" s="152" t="s">
        <v>1325</v>
      </c>
      <c r="F1470" s="152" t="s">
        <v>1326</v>
      </c>
      <c r="G1470" s="152"/>
      <c r="H1470" s="152" t="s">
        <v>464</v>
      </c>
      <c r="I1470" s="151">
        <v>43188</v>
      </c>
      <c r="J1470" s="152">
        <v>3.625</v>
      </c>
      <c r="K1470" s="152" t="s">
        <v>1327</v>
      </c>
      <c r="L1470" s="152" t="s">
        <v>1327</v>
      </c>
      <c r="M1470" s="152" t="s">
        <v>1327</v>
      </c>
      <c r="N1470" s="152" t="s">
        <v>1327</v>
      </c>
      <c r="O1470" s="152">
        <v>3.9501909999999998</v>
      </c>
      <c r="P1470" s="152">
        <v>102.20956099999999</v>
      </c>
      <c r="Q1470" s="152">
        <v>3.9501909999999998</v>
      </c>
      <c r="R1470" s="152" t="s">
        <v>1327</v>
      </c>
      <c r="S1470" s="152">
        <v>102.63100900000001</v>
      </c>
      <c r="T1470" s="152">
        <v>1.9724379999999999</v>
      </c>
      <c r="U1470" s="152">
        <v>8.3060810000000007</v>
      </c>
      <c r="V1470" s="152">
        <v>83.695070999999999</v>
      </c>
      <c r="W1470" s="152">
        <v>1000</v>
      </c>
      <c r="X1470" s="152" t="s">
        <v>23</v>
      </c>
      <c r="Y1470" s="152" t="s">
        <v>1328</v>
      </c>
      <c r="Z1470" s="152" t="s">
        <v>1327</v>
      </c>
    </row>
    <row r="1471" spans="1:26" x14ac:dyDescent="0.2">
      <c r="A1471" s="152" t="s">
        <v>2601</v>
      </c>
      <c r="B1471" s="152">
        <v>5.9</v>
      </c>
      <c r="C1471" s="151">
        <v>43884</v>
      </c>
      <c r="D1471" s="152">
        <v>1.331507</v>
      </c>
      <c r="E1471" s="152" t="s">
        <v>1325</v>
      </c>
      <c r="F1471" s="152" t="s">
        <v>1326</v>
      </c>
      <c r="G1471" s="152"/>
      <c r="H1471" s="152"/>
      <c r="I1471" s="151">
        <v>43159</v>
      </c>
      <c r="J1471" s="152">
        <v>5.9190259999999997</v>
      </c>
      <c r="K1471" s="152" t="s">
        <v>1327</v>
      </c>
      <c r="L1471" s="152" t="s">
        <v>1327</v>
      </c>
      <c r="M1471" s="152" t="s">
        <v>1327</v>
      </c>
      <c r="N1471" s="152" t="s">
        <v>1327</v>
      </c>
      <c r="O1471" s="152">
        <v>6.4478350000000004</v>
      </c>
      <c r="P1471" s="152">
        <v>471.58640500000001</v>
      </c>
      <c r="Q1471" s="152">
        <v>6.4478350000000004</v>
      </c>
      <c r="R1471" s="152" t="s">
        <v>1327</v>
      </c>
      <c r="S1471" s="152">
        <v>99.292672999999994</v>
      </c>
      <c r="T1471" s="152">
        <v>1.018356</v>
      </c>
      <c r="U1471" s="152">
        <v>1.2554989999999999</v>
      </c>
      <c r="V1471" s="152">
        <v>1.9303889999999999</v>
      </c>
      <c r="W1471" s="152">
        <v>1000</v>
      </c>
      <c r="X1471" s="152" t="s">
        <v>23</v>
      </c>
      <c r="Y1471" s="152" t="s">
        <v>1328</v>
      </c>
      <c r="Z1471" s="152" t="s">
        <v>1327</v>
      </c>
    </row>
    <row r="1472" spans="1:26" x14ac:dyDescent="0.2">
      <c r="A1472" s="152" t="s">
        <v>2602</v>
      </c>
      <c r="B1472" s="152">
        <v>4</v>
      </c>
      <c r="C1472" s="151">
        <v>43438</v>
      </c>
      <c r="D1472" s="152">
        <v>0.10958900000000001</v>
      </c>
      <c r="E1472" s="152" t="s">
        <v>1325</v>
      </c>
      <c r="F1472" s="152" t="s">
        <v>1326</v>
      </c>
      <c r="G1472" s="152"/>
      <c r="H1472" s="152"/>
      <c r="I1472" s="152" t="s">
        <v>1327</v>
      </c>
      <c r="J1472" s="152" t="s">
        <v>1327</v>
      </c>
      <c r="K1472" s="152" t="s">
        <v>1327</v>
      </c>
      <c r="L1472" s="152" t="s">
        <v>1327</v>
      </c>
      <c r="M1472" s="152" t="s">
        <v>1327</v>
      </c>
      <c r="N1472" s="152" t="s">
        <v>1327</v>
      </c>
      <c r="O1472" s="152">
        <v>3.3989729999999998</v>
      </c>
      <c r="P1472" s="152">
        <v>212.99141499999999</v>
      </c>
      <c r="Q1472" s="152">
        <v>3.3989729999999998</v>
      </c>
      <c r="R1472" s="152" t="s">
        <v>1327</v>
      </c>
      <c r="S1472" s="152">
        <v>100.06716400000001</v>
      </c>
      <c r="T1472" s="152">
        <v>0.55890399999999996</v>
      </c>
      <c r="U1472" s="152">
        <v>0.108666</v>
      </c>
      <c r="V1472" s="152">
        <v>3.8746000000000003E-2</v>
      </c>
      <c r="W1472" s="152">
        <v>1000</v>
      </c>
      <c r="X1472" s="152" t="s">
        <v>23</v>
      </c>
      <c r="Y1472" s="152" t="s">
        <v>1328</v>
      </c>
      <c r="Z1472" s="152" t="s">
        <v>1327</v>
      </c>
    </row>
    <row r="1473" spans="1:26" x14ac:dyDescent="0.2">
      <c r="A1473" s="152" t="s">
        <v>2603</v>
      </c>
      <c r="B1473" s="152">
        <v>4</v>
      </c>
      <c r="C1473" s="151">
        <v>43743</v>
      </c>
      <c r="D1473" s="152">
        <v>0.94520499999999996</v>
      </c>
      <c r="E1473" s="152" t="s">
        <v>1325</v>
      </c>
      <c r="F1473" s="152" t="s">
        <v>1326</v>
      </c>
      <c r="G1473" s="152"/>
      <c r="H1473" s="152"/>
      <c r="I1473" s="151" t="s">
        <v>1327</v>
      </c>
      <c r="J1473" s="152" t="s">
        <v>1327</v>
      </c>
      <c r="K1473" s="152" t="s">
        <v>1327</v>
      </c>
      <c r="L1473" s="152" t="s">
        <v>1327</v>
      </c>
      <c r="M1473" s="152" t="s">
        <v>1327</v>
      </c>
      <c r="N1473" s="152" t="s">
        <v>1327</v>
      </c>
      <c r="O1473" s="152">
        <v>3.8955289999999998</v>
      </c>
      <c r="P1473" s="152">
        <v>215.294511</v>
      </c>
      <c r="Q1473" s="152">
        <v>3.8955289999999998</v>
      </c>
      <c r="R1473" s="152" t="s">
        <v>1327</v>
      </c>
      <c r="S1473" s="152">
        <v>100.087671</v>
      </c>
      <c r="T1473" s="152">
        <v>0.21917800000000001</v>
      </c>
      <c r="U1473" s="152">
        <v>0.92352100000000004</v>
      </c>
      <c r="V1473" s="152">
        <v>1.0897870000000001</v>
      </c>
      <c r="W1473" s="152">
        <v>1000</v>
      </c>
      <c r="X1473" s="152" t="s">
        <v>23</v>
      </c>
      <c r="Y1473" s="152" t="s">
        <v>1328</v>
      </c>
      <c r="Z1473" s="152" t="s">
        <v>1327</v>
      </c>
    </row>
    <row r="1474" spans="1:26" x14ac:dyDescent="0.2">
      <c r="A1474" s="152" t="s">
        <v>2604</v>
      </c>
      <c r="B1474" s="152">
        <v>4</v>
      </c>
      <c r="C1474" s="151">
        <v>43898</v>
      </c>
      <c r="D1474" s="152">
        <v>1.3698630000000001</v>
      </c>
      <c r="E1474" s="152" t="s">
        <v>1325</v>
      </c>
      <c r="F1474" s="152" t="s">
        <v>1326</v>
      </c>
      <c r="G1474" s="152"/>
      <c r="H1474" s="152"/>
      <c r="I1474" s="152" t="s">
        <v>1327</v>
      </c>
      <c r="J1474" s="152" t="s">
        <v>1327</v>
      </c>
      <c r="K1474" s="152" t="s">
        <v>1327</v>
      </c>
      <c r="L1474" s="152" t="s">
        <v>1327</v>
      </c>
      <c r="M1474" s="152" t="s">
        <v>1327</v>
      </c>
      <c r="N1474" s="152" t="s">
        <v>1327</v>
      </c>
      <c r="O1474" s="152">
        <v>3.954955</v>
      </c>
      <c r="P1474" s="152">
        <v>212.484432</v>
      </c>
      <c r="Q1474" s="152">
        <v>3.954955</v>
      </c>
      <c r="R1474" s="152" t="s">
        <v>1327</v>
      </c>
      <c r="S1474" s="152">
        <v>100.061318</v>
      </c>
      <c r="T1474" s="152">
        <v>0.51506799999999997</v>
      </c>
      <c r="U1474" s="152">
        <v>1.3208599999999999</v>
      </c>
      <c r="V1474" s="152">
        <v>2.1033970000000002</v>
      </c>
      <c r="W1474" s="152">
        <v>1000</v>
      </c>
      <c r="X1474" s="152" t="s">
        <v>23</v>
      </c>
      <c r="Y1474" s="152" t="s">
        <v>1328</v>
      </c>
      <c r="Z1474" s="152" t="s">
        <v>1327</v>
      </c>
    </row>
    <row r="1475" spans="1:26" x14ac:dyDescent="0.2">
      <c r="A1475" s="152" t="s">
        <v>2605</v>
      </c>
      <c r="B1475" s="152">
        <v>4</v>
      </c>
      <c r="C1475" s="151">
        <v>44176</v>
      </c>
      <c r="D1475" s="152">
        <v>2.131507</v>
      </c>
      <c r="E1475" s="152" t="s">
        <v>1325</v>
      </c>
      <c r="F1475" s="152" t="s">
        <v>1326</v>
      </c>
      <c r="G1475" s="152"/>
      <c r="H1475" s="152"/>
      <c r="I1475" s="152" t="s">
        <v>1327</v>
      </c>
      <c r="J1475" s="152" t="s">
        <v>1327</v>
      </c>
      <c r="K1475" s="152" t="s">
        <v>1327</v>
      </c>
      <c r="L1475" s="152" t="s">
        <v>1327</v>
      </c>
      <c r="M1475" s="152" t="s">
        <v>1327</v>
      </c>
      <c r="N1475" s="152" t="s">
        <v>1327</v>
      </c>
      <c r="O1475" s="152">
        <v>4.1636839999999999</v>
      </c>
      <c r="P1475" s="152">
        <v>218.48720700000001</v>
      </c>
      <c r="Q1475" s="152">
        <v>4.1636839999999999</v>
      </c>
      <c r="R1475" s="152" t="s">
        <v>1327</v>
      </c>
      <c r="S1475" s="152">
        <v>99.669815</v>
      </c>
      <c r="T1475" s="152">
        <v>0.47123300000000001</v>
      </c>
      <c r="U1475" s="152">
        <v>2.0200480000000001</v>
      </c>
      <c r="V1475" s="152">
        <v>4.6943580000000003</v>
      </c>
      <c r="W1475" s="152">
        <v>1000</v>
      </c>
      <c r="X1475" s="152" t="s">
        <v>23</v>
      </c>
      <c r="Y1475" s="152" t="s">
        <v>1328</v>
      </c>
      <c r="Z1475" s="152" t="s">
        <v>1327</v>
      </c>
    </row>
    <row r="1476" spans="1:26" x14ac:dyDescent="0.2">
      <c r="A1476" s="152" t="s">
        <v>2606</v>
      </c>
      <c r="B1476" s="152">
        <v>4</v>
      </c>
      <c r="C1476" s="151">
        <v>44401</v>
      </c>
      <c r="D1476" s="152">
        <v>2.7479450000000001</v>
      </c>
      <c r="E1476" s="152" t="s">
        <v>1325</v>
      </c>
      <c r="F1476" s="152" t="s">
        <v>1326</v>
      </c>
      <c r="G1476" s="152"/>
      <c r="H1476" s="152"/>
      <c r="I1476" s="151" t="s">
        <v>1327</v>
      </c>
      <c r="J1476" s="152" t="s">
        <v>1327</v>
      </c>
      <c r="K1476" s="152" t="s">
        <v>1327</v>
      </c>
      <c r="L1476" s="152" t="s">
        <v>1327</v>
      </c>
      <c r="M1476" s="152" t="s">
        <v>1327</v>
      </c>
      <c r="N1476" s="152" t="s">
        <v>1327</v>
      </c>
      <c r="O1476" s="152">
        <v>4.1313339999999998</v>
      </c>
      <c r="P1476" s="152">
        <v>211.04273900000001</v>
      </c>
      <c r="Q1476" s="152">
        <v>4.1313339999999998</v>
      </c>
      <c r="R1476" s="152" t="s">
        <v>1327</v>
      </c>
      <c r="S1476" s="152">
        <v>99.652092999999994</v>
      </c>
      <c r="T1476" s="152">
        <v>1.0959E-2</v>
      </c>
      <c r="U1476" s="152">
        <v>2.590109</v>
      </c>
      <c r="V1476" s="152">
        <v>7.5614499999999998</v>
      </c>
      <c r="W1476" s="152">
        <v>1000</v>
      </c>
      <c r="X1476" s="152" t="s">
        <v>23</v>
      </c>
      <c r="Y1476" s="152" t="s">
        <v>1328</v>
      </c>
      <c r="Z1476" s="152" t="s">
        <v>1327</v>
      </c>
    </row>
    <row r="1477" spans="1:26" x14ac:dyDescent="0.2">
      <c r="A1477" s="152" t="s">
        <v>2607</v>
      </c>
      <c r="B1477" s="152">
        <v>4</v>
      </c>
      <c r="C1477" s="151">
        <v>43686</v>
      </c>
      <c r="D1477" s="152">
        <v>0.78904099999999999</v>
      </c>
      <c r="E1477" s="152" t="s">
        <v>1325</v>
      </c>
      <c r="F1477" s="152" t="s">
        <v>1326</v>
      </c>
      <c r="G1477" s="152"/>
      <c r="H1477" s="152"/>
      <c r="I1477" s="152" t="s">
        <v>1327</v>
      </c>
      <c r="J1477" s="152" t="s">
        <v>1327</v>
      </c>
      <c r="K1477" s="152" t="s">
        <v>1327</v>
      </c>
      <c r="L1477" s="152" t="s">
        <v>1327</v>
      </c>
      <c r="M1477" s="152" t="s">
        <v>1327</v>
      </c>
      <c r="N1477" s="152" t="s">
        <v>1327</v>
      </c>
      <c r="O1477" s="152">
        <v>4.1308119999999997</v>
      </c>
      <c r="P1477" s="152">
        <v>239.469739</v>
      </c>
      <c r="Q1477" s="152">
        <v>4.1308119999999997</v>
      </c>
      <c r="R1477" s="152" t="s">
        <v>1327</v>
      </c>
      <c r="S1477" s="152">
        <v>99.877555999999998</v>
      </c>
      <c r="T1477" s="152">
        <v>0.84383600000000003</v>
      </c>
      <c r="U1477" s="152">
        <v>0.76748899999999998</v>
      </c>
      <c r="V1477" s="152">
        <v>0.969634</v>
      </c>
      <c r="W1477" s="152">
        <v>1000</v>
      </c>
      <c r="X1477" s="152" t="s">
        <v>23</v>
      </c>
      <c r="Y1477" s="152" t="s">
        <v>1328</v>
      </c>
      <c r="Z1477" s="152" t="s">
        <v>1327</v>
      </c>
    </row>
    <row r="1478" spans="1:26" x14ac:dyDescent="0.2">
      <c r="A1478" s="152" t="s">
        <v>2608</v>
      </c>
      <c r="B1478" s="152">
        <v>4.25</v>
      </c>
      <c r="C1478" s="151">
        <v>43737</v>
      </c>
      <c r="D1478" s="152">
        <v>0.92876700000000001</v>
      </c>
      <c r="E1478" s="152" t="s">
        <v>1325</v>
      </c>
      <c r="F1478" s="152" t="s">
        <v>1326</v>
      </c>
      <c r="G1478" s="152"/>
      <c r="H1478" s="152"/>
      <c r="I1478" s="152" t="s">
        <v>1327</v>
      </c>
      <c r="J1478" s="152" t="s">
        <v>1327</v>
      </c>
      <c r="K1478" s="152" t="s">
        <v>1327</v>
      </c>
      <c r="L1478" s="152" t="s">
        <v>1327</v>
      </c>
      <c r="M1478" s="152" t="s">
        <v>1327</v>
      </c>
      <c r="N1478" s="152" t="s">
        <v>1327</v>
      </c>
      <c r="O1478" s="152">
        <v>4.4073799999999999</v>
      </c>
      <c r="P1478" s="152">
        <v>267.00182999999998</v>
      </c>
      <c r="Q1478" s="152">
        <v>4.4073799999999999</v>
      </c>
      <c r="R1478" s="152" t="s">
        <v>1327</v>
      </c>
      <c r="S1478" s="152">
        <v>99.859370999999996</v>
      </c>
      <c r="T1478" s="152">
        <v>0.30274000000000001</v>
      </c>
      <c r="U1478" s="152">
        <v>0.90246499999999996</v>
      </c>
      <c r="V1478" s="152">
        <v>1.0463279999999999</v>
      </c>
      <c r="W1478" s="152">
        <v>1000</v>
      </c>
      <c r="X1478" s="152" t="s">
        <v>23</v>
      </c>
      <c r="Y1478" s="152" t="s">
        <v>1328</v>
      </c>
      <c r="Z1478" s="152" t="s">
        <v>1327</v>
      </c>
    </row>
    <row r="1479" spans="1:26" x14ac:dyDescent="0.2">
      <c r="A1479" s="152" t="s">
        <v>2609</v>
      </c>
      <c r="B1479" s="152">
        <v>4.2</v>
      </c>
      <c r="C1479" s="151">
        <v>43870</v>
      </c>
      <c r="D1479" s="152">
        <v>1.2931509999999999</v>
      </c>
      <c r="E1479" s="152" t="s">
        <v>1325</v>
      </c>
      <c r="F1479" s="152" t="s">
        <v>1326</v>
      </c>
      <c r="G1479" s="152"/>
      <c r="H1479" s="152"/>
      <c r="I1479" s="151" t="s">
        <v>1327</v>
      </c>
      <c r="J1479" s="152" t="s">
        <v>1327</v>
      </c>
      <c r="K1479" s="152" t="s">
        <v>1327</v>
      </c>
      <c r="L1479" s="152" t="s">
        <v>1327</v>
      </c>
      <c r="M1479" s="152" t="s">
        <v>1327</v>
      </c>
      <c r="N1479" s="152" t="s">
        <v>1327</v>
      </c>
      <c r="O1479" s="152">
        <v>4.4820609999999999</v>
      </c>
      <c r="P1479" s="152">
        <v>266.19201299999997</v>
      </c>
      <c r="Q1479" s="152">
        <v>4.4820609999999999</v>
      </c>
      <c r="R1479" s="152" t="s">
        <v>1327</v>
      </c>
      <c r="S1479" s="152">
        <v>99.626521999999994</v>
      </c>
      <c r="T1479" s="152">
        <v>0.88602700000000001</v>
      </c>
      <c r="U1479" s="152">
        <v>1.2347699999999999</v>
      </c>
      <c r="V1479" s="152">
        <v>2.152161</v>
      </c>
      <c r="W1479" s="152">
        <v>1000</v>
      </c>
      <c r="X1479" s="152" t="s">
        <v>23</v>
      </c>
      <c r="Y1479" s="152" t="s">
        <v>1328</v>
      </c>
      <c r="Z1479" s="152" t="s">
        <v>1327</v>
      </c>
    </row>
    <row r="1480" spans="1:26" x14ac:dyDescent="0.2">
      <c r="A1480" s="152" t="s">
        <v>2610</v>
      </c>
      <c r="B1480" s="152">
        <v>4.4000000000000004</v>
      </c>
      <c r="C1480" s="151">
        <v>44277</v>
      </c>
      <c r="D1480" s="152">
        <v>2.4082189999999999</v>
      </c>
      <c r="E1480" s="152" t="s">
        <v>1325</v>
      </c>
      <c r="F1480" s="152" t="s">
        <v>1326</v>
      </c>
      <c r="G1480" s="152"/>
      <c r="H1480" s="152"/>
      <c r="I1480" s="151" t="s">
        <v>1327</v>
      </c>
      <c r="J1480" s="152" t="s">
        <v>1327</v>
      </c>
      <c r="K1480" s="152" t="s">
        <v>1327</v>
      </c>
      <c r="L1480" s="152" t="s">
        <v>1327</v>
      </c>
      <c r="M1480" s="152" t="s">
        <v>1327</v>
      </c>
      <c r="N1480" s="152" t="s">
        <v>1327</v>
      </c>
      <c r="O1480" s="152">
        <v>4.8412040000000003</v>
      </c>
      <c r="P1480" s="152">
        <v>287.37631599999997</v>
      </c>
      <c r="Q1480" s="152">
        <v>4.8412040000000003</v>
      </c>
      <c r="R1480" s="152" t="s">
        <v>1327</v>
      </c>
      <c r="S1480" s="152">
        <v>99.003975999999994</v>
      </c>
      <c r="T1480" s="152">
        <v>0.39780799999999999</v>
      </c>
      <c r="U1480" s="152">
        <v>2.261841</v>
      </c>
      <c r="V1480" s="152">
        <v>5.8473439999999997</v>
      </c>
      <c r="W1480" s="152">
        <v>1000</v>
      </c>
      <c r="X1480" s="152" t="s">
        <v>23</v>
      </c>
      <c r="Y1480" s="152" t="s">
        <v>1328</v>
      </c>
      <c r="Z1480" s="152" t="s">
        <v>1327</v>
      </c>
    </row>
    <row r="1481" spans="1:26" x14ac:dyDescent="0.2">
      <c r="A1481" s="152" t="s">
        <v>2611</v>
      </c>
      <c r="B1481" s="152">
        <v>5</v>
      </c>
      <c r="C1481" s="151">
        <v>43857</v>
      </c>
      <c r="D1481" s="152">
        <v>1.2575339999999999</v>
      </c>
      <c r="E1481" s="152" t="s">
        <v>1325</v>
      </c>
      <c r="F1481" s="152" t="s">
        <v>1326</v>
      </c>
      <c r="G1481" s="152"/>
      <c r="H1481" s="152" t="s">
        <v>1982</v>
      </c>
      <c r="I1481" s="151" t="s">
        <v>1327</v>
      </c>
      <c r="J1481" s="152" t="s">
        <v>1327</v>
      </c>
      <c r="K1481" s="152" t="s">
        <v>1327</v>
      </c>
      <c r="L1481" s="152" t="s">
        <v>1327</v>
      </c>
      <c r="M1481" s="152" t="s">
        <v>1327</v>
      </c>
      <c r="N1481" s="152" t="s">
        <v>1327</v>
      </c>
      <c r="O1481" s="152">
        <v>4.0627360000000001</v>
      </c>
      <c r="P1481" s="152">
        <v>225.71172899999999</v>
      </c>
      <c r="Q1481" s="152">
        <v>4.0627360000000001</v>
      </c>
      <c r="R1481" s="152" t="s">
        <v>1327</v>
      </c>
      <c r="S1481" s="152">
        <v>101.14170900000001</v>
      </c>
      <c r="T1481" s="152">
        <v>-2.7397000000000001E-2</v>
      </c>
      <c r="U1481" s="152">
        <v>1.2128779999999999</v>
      </c>
      <c r="V1481" s="152">
        <v>1.792678</v>
      </c>
      <c r="W1481" s="152">
        <v>1000</v>
      </c>
      <c r="X1481" s="152" t="s">
        <v>23</v>
      </c>
      <c r="Y1481" s="152" t="s">
        <v>1328</v>
      </c>
      <c r="Z1481" s="152" t="s">
        <v>1327</v>
      </c>
    </row>
    <row r="1482" spans="1:26" x14ac:dyDescent="0.2">
      <c r="A1482" s="152" t="s">
        <v>2612</v>
      </c>
      <c r="B1482" s="152">
        <v>4.0999999999999996</v>
      </c>
      <c r="C1482" s="151">
        <v>44880</v>
      </c>
      <c r="D1482" s="152">
        <v>4.0602739999999997</v>
      </c>
      <c r="E1482" s="152" t="s">
        <v>1325</v>
      </c>
      <c r="F1482" s="152" t="s">
        <v>1326</v>
      </c>
      <c r="G1482" s="152"/>
      <c r="H1482" s="152"/>
      <c r="I1482" s="152" t="s">
        <v>1327</v>
      </c>
      <c r="J1482" s="152" t="s">
        <v>1327</v>
      </c>
      <c r="K1482" s="152" t="s">
        <v>1327</v>
      </c>
      <c r="L1482" s="152" t="s">
        <v>1327</v>
      </c>
      <c r="M1482" s="152" t="s">
        <v>1327</v>
      </c>
      <c r="N1482" s="152" t="s">
        <v>1327</v>
      </c>
      <c r="O1482" s="152">
        <v>4.5241660000000001</v>
      </c>
      <c r="P1482" s="152">
        <v>221.962233</v>
      </c>
      <c r="Q1482" s="152">
        <v>4.5241660000000001</v>
      </c>
      <c r="R1482" s="152" t="s">
        <v>1327</v>
      </c>
      <c r="S1482" s="152">
        <v>98.424447999999998</v>
      </c>
      <c r="T1482" s="152">
        <v>1.830959</v>
      </c>
      <c r="U1482" s="152">
        <v>3.6267140000000002</v>
      </c>
      <c r="V1482" s="152">
        <v>15.769273</v>
      </c>
      <c r="W1482" s="152">
        <v>1000</v>
      </c>
      <c r="X1482" s="152" t="s">
        <v>23</v>
      </c>
      <c r="Y1482" s="152" t="s">
        <v>1328</v>
      </c>
      <c r="Z1482" s="152" t="s">
        <v>1327</v>
      </c>
    </row>
    <row r="1483" spans="1:26" x14ac:dyDescent="0.2">
      <c r="A1483" s="152" t="s">
        <v>2613</v>
      </c>
      <c r="B1483" s="152">
        <v>4.0999999999999996</v>
      </c>
      <c r="C1483" s="151">
        <v>43791</v>
      </c>
      <c r="D1483" s="152">
        <v>1.0767119999999999</v>
      </c>
      <c r="E1483" s="152" t="s">
        <v>1325</v>
      </c>
      <c r="F1483" s="152" t="s">
        <v>1326</v>
      </c>
      <c r="G1483" s="152"/>
      <c r="H1483" s="152"/>
      <c r="I1483" s="151" t="s">
        <v>1327</v>
      </c>
      <c r="J1483" s="152" t="s">
        <v>1327</v>
      </c>
      <c r="K1483" s="151" t="s">
        <v>1327</v>
      </c>
      <c r="L1483" s="152" t="s">
        <v>1327</v>
      </c>
      <c r="M1483" s="152" t="s">
        <v>1327</v>
      </c>
      <c r="N1483" s="152" t="s">
        <v>1327</v>
      </c>
      <c r="O1483" s="152">
        <v>4.1660180000000002</v>
      </c>
      <c r="P1483" s="152">
        <v>240.244865</v>
      </c>
      <c r="Q1483" s="152">
        <v>4.1660180000000002</v>
      </c>
      <c r="R1483" s="152" t="s">
        <v>1327</v>
      </c>
      <c r="S1483" s="152">
        <v>99.911193999999995</v>
      </c>
      <c r="T1483" s="152">
        <v>1.741096</v>
      </c>
      <c r="U1483" s="152">
        <v>1.029379</v>
      </c>
      <c r="V1483" s="152">
        <v>1.587037</v>
      </c>
      <c r="W1483" s="152">
        <v>1000</v>
      </c>
      <c r="X1483" s="152" t="s">
        <v>23</v>
      </c>
      <c r="Y1483" s="152" t="s">
        <v>1328</v>
      </c>
      <c r="Z1483" s="152" t="s">
        <v>1327</v>
      </c>
    </row>
    <row r="1484" spans="1:26" x14ac:dyDescent="0.2">
      <c r="A1484" s="152" t="s">
        <v>2614</v>
      </c>
      <c r="B1484" s="152">
        <v>6</v>
      </c>
      <c r="C1484" s="151">
        <v>43942</v>
      </c>
      <c r="D1484" s="152">
        <v>1.4904109999999999</v>
      </c>
      <c r="E1484" s="152" t="s">
        <v>1325</v>
      </c>
      <c r="F1484" s="152" t="s">
        <v>1326</v>
      </c>
      <c r="G1484" s="152"/>
      <c r="H1484" s="152"/>
      <c r="I1484" s="151" t="s">
        <v>1327</v>
      </c>
      <c r="J1484" s="152" t="s">
        <v>1327</v>
      </c>
      <c r="K1484" s="152" t="s">
        <v>1327</v>
      </c>
      <c r="L1484" s="152" t="s">
        <v>1327</v>
      </c>
      <c r="M1484" s="152" t="s">
        <v>1327</v>
      </c>
      <c r="N1484" s="152" t="s">
        <v>1327</v>
      </c>
      <c r="O1484" s="152">
        <v>5.9910870000000003</v>
      </c>
      <c r="P1484" s="152">
        <v>420.42903100000001</v>
      </c>
      <c r="Q1484" s="152">
        <v>5.9910870000000003</v>
      </c>
      <c r="R1484" s="152" t="s">
        <v>1327</v>
      </c>
      <c r="S1484" s="152">
        <v>99.999486000000005</v>
      </c>
      <c r="T1484" s="152">
        <v>9.8629999999999995E-2</v>
      </c>
      <c r="U1484" s="152">
        <v>1.4145460000000001</v>
      </c>
      <c r="V1484" s="152">
        <v>2.395613</v>
      </c>
      <c r="W1484" s="152">
        <v>1000</v>
      </c>
      <c r="X1484" s="152" t="s">
        <v>23</v>
      </c>
      <c r="Y1484" s="152" t="s">
        <v>1328</v>
      </c>
      <c r="Z1484" s="152" t="s">
        <v>1327</v>
      </c>
    </row>
    <row r="1485" spans="1:26" x14ac:dyDescent="0.2">
      <c r="A1485" s="152" t="s">
        <v>2615</v>
      </c>
      <c r="B1485" s="152">
        <v>4.3</v>
      </c>
      <c r="C1485" s="151">
        <v>43499</v>
      </c>
      <c r="D1485" s="152">
        <v>0.27671200000000001</v>
      </c>
      <c r="E1485" s="152" t="s">
        <v>1325</v>
      </c>
      <c r="F1485" s="152" t="s">
        <v>1326</v>
      </c>
      <c r="G1485" s="152" t="s">
        <v>29</v>
      </c>
      <c r="H1485" s="152"/>
      <c r="I1485" s="151" t="s">
        <v>1327</v>
      </c>
      <c r="J1485" s="152" t="s">
        <v>1327</v>
      </c>
      <c r="K1485" s="152" t="s">
        <v>1327</v>
      </c>
      <c r="L1485" s="152" t="s">
        <v>1327</v>
      </c>
      <c r="M1485" s="152" t="s">
        <v>1327</v>
      </c>
      <c r="N1485" s="152" t="s">
        <v>1327</v>
      </c>
      <c r="O1485" s="152">
        <v>2.3709630000000002</v>
      </c>
      <c r="P1485" s="152">
        <v>79.639224999999996</v>
      </c>
      <c r="Q1485" s="152">
        <v>2.3709630000000002</v>
      </c>
      <c r="R1485" s="152" t="s">
        <v>1327</v>
      </c>
      <c r="S1485" s="152">
        <v>100.526893</v>
      </c>
      <c r="T1485" s="152">
        <v>-0.106027</v>
      </c>
      <c r="U1485" s="152">
        <v>0.27303899999999998</v>
      </c>
      <c r="V1485" s="152">
        <v>0.14240800000000001</v>
      </c>
      <c r="W1485" s="152">
        <v>1000</v>
      </c>
      <c r="X1485" s="152" t="s">
        <v>23</v>
      </c>
      <c r="Y1485" s="152" t="s">
        <v>1328</v>
      </c>
      <c r="Z1485" s="152" t="s">
        <v>1327</v>
      </c>
    </row>
    <row r="1486" spans="1:26" x14ac:dyDescent="0.2">
      <c r="A1486" s="152" t="s">
        <v>2616</v>
      </c>
      <c r="B1486" s="152">
        <v>3.95</v>
      </c>
      <c r="C1486" s="151">
        <v>43856</v>
      </c>
      <c r="D1486" s="152">
        <v>1.2547950000000001</v>
      </c>
      <c r="E1486" s="152" t="s">
        <v>1325</v>
      </c>
      <c r="F1486" s="152" t="s">
        <v>1326</v>
      </c>
      <c r="G1486" s="152" t="s">
        <v>29</v>
      </c>
      <c r="H1486" s="152"/>
      <c r="I1486" s="151">
        <v>43193</v>
      </c>
      <c r="J1486" s="152">
        <v>3.1467160000000001</v>
      </c>
      <c r="K1486" s="151" t="s">
        <v>1327</v>
      </c>
      <c r="L1486" s="152" t="s">
        <v>1327</v>
      </c>
      <c r="M1486" s="152" t="s">
        <v>1327</v>
      </c>
      <c r="N1486" s="152" t="s">
        <v>1327</v>
      </c>
      <c r="O1486" s="152">
        <v>2.6928589999999999</v>
      </c>
      <c r="P1486" s="152">
        <v>85.469654000000006</v>
      </c>
      <c r="Q1486" s="152">
        <v>2.6928589999999999</v>
      </c>
      <c r="R1486" s="152" t="s">
        <v>1327</v>
      </c>
      <c r="S1486" s="152">
        <v>101.543537</v>
      </c>
      <c r="T1486" s="152">
        <v>-1.0822E-2</v>
      </c>
      <c r="U1486" s="152">
        <v>1.2205330000000001</v>
      </c>
      <c r="V1486" s="152">
        <v>1.810019</v>
      </c>
      <c r="W1486" s="152">
        <v>1000</v>
      </c>
      <c r="X1486" s="152" t="s">
        <v>23</v>
      </c>
      <c r="Y1486" s="152" t="s">
        <v>1328</v>
      </c>
      <c r="Z1486" s="152" t="s">
        <v>1327</v>
      </c>
    </row>
    <row r="1487" spans="1:26" x14ac:dyDescent="0.2">
      <c r="A1487" s="152" t="s">
        <v>2617</v>
      </c>
      <c r="B1487" s="152">
        <v>3.03</v>
      </c>
      <c r="C1487" s="151">
        <v>44985</v>
      </c>
      <c r="D1487" s="152">
        <v>4.3479450000000002</v>
      </c>
      <c r="E1487" s="152" t="s">
        <v>1325</v>
      </c>
      <c r="F1487" s="152" t="s">
        <v>1326</v>
      </c>
      <c r="G1487" s="152" t="s">
        <v>51</v>
      </c>
      <c r="H1487" s="152"/>
      <c r="I1487" s="151">
        <v>43360</v>
      </c>
      <c r="J1487" s="152">
        <v>2.91</v>
      </c>
      <c r="K1487" s="152" t="s">
        <v>1327</v>
      </c>
      <c r="L1487" s="152" t="s">
        <v>1327</v>
      </c>
      <c r="M1487" s="152" t="s">
        <v>1327</v>
      </c>
      <c r="N1487" s="152" t="s">
        <v>1327</v>
      </c>
      <c r="O1487" s="152">
        <v>3.0270350000000001</v>
      </c>
      <c r="P1487" s="152">
        <v>67.306246000000002</v>
      </c>
      <c r="Q1487" s="152">
        <v>3.0270350000000001</v>
      </c>
      <c r="R1487" s="152" t="s">
        <v>1327</v>
      </c>
      <c r="S1487" s="152">
        <v>100.00513100000001</v>
      </c>
      <c r="T1487" s="152">
        <v>0.48147899999999999</v>
      </c>
      <c r="U1487" s="152">
        <v>4.0362739999999997</v>
      </c>
      <c r="V1487" s="152">
        <v>18.020275000000002</v>
      </c>
      <c r="W1487" s="152">
        <v>1000</v>
      </c>
      <c r="X1487" s="152" t="s">
        <v>23</v>
      </c>
      <c r="Y1487" s="152" t="s">
        <v>1328</v>
      </c>
      <c r="Z1487" s="152" t="s">
        <v>1327</v>
      </c>
    </row>
    <row r="1488" spans="1:26" x14ac:dyDescent="0.2">
      <c r="A1488" s="152" t="s">
        <v>2618</v>
      </c>
      <c r="B1488" s="152">
        <v>4</v>
      </c>
      <c r="C1488" s="151">
        <v>43584</v>
      </c>
      <c r="D1488" s="152">
        <v>0.50958899999999996</v>
      </c>
      <c r="E1488" s="152" t="s">
        <v>1325</v>
      </c>
      <c r="F1488" s="152" t="s">
        <v>1326</v>
      </c>
      <c r="G1488" s="152"/>
      <c r="H1488" s="152"/>
      <c r="I1488" s="151">
        <v>43342</v>
      </c>
      <c r="J1488" s="152">
        <v>3.65</v>
      </c>
      <c r="K1488" s="152" t="s">
        <v>1327</v>
      </c>
      <c r="L1488" s="152" t="s">
        <v>1327</v>
      </c>
      <c r="M1488" s="152" t="s">
        <v>1327</v>
      </c>
      <c r="N1488" s="152" t="s">
        <v>1327</v>
      </c>
      <c r="O1488" s="152">
        <v>3.8593929999999999</v>
      </c>
      <c r="P1488" s="152">
        <v>217.679497</v>
      </c>
      <c r="Q1488" s="152">
        <v>3.8593929999999999</v>
      </c>
      <c r="R1488" s="152" t="s">
        <v>1327</v>
      </c>
      <c r="S1488" s="152">
        <v>100.071023</v>
      </c>
      <c r="T1488" s="152">
        <v>-4.3836E-2</v>
      </c>
      <c r="U1488" s="152">
        <v>0.50362499999999999</v>
      </c>
      <c r="V1488" s="152">
        <v>0.378942</v>
      </c>
      <c r="W1488" s="152">
        <v>1000</v>
      </c>
      <c r="X1488" s="152" t="s">
        <v>23</v>
      </c>
      <c r="Y1488" s="152" t="s">
        <v>1328</v>
      </c>
      <c r="Z1488" s="152" t="s">
        <v>1327</v>
      </c>
    </row>
    <row r="1489" spans="1:26" x14ac:dyDescent="0.2">
      <c r="A1489" s="152" t="s">
        <v>2619</v>
      </c>
      <c r="B1489" s="152">
        <v>5.3</v>
      </c>
      <c r="C1489" s="151">
        <v>43758</v>
      </c>
      <c r="D1489" s="152">
        <v>0.98630099999999998</v>
      </c>
      <c r="E1489" s="152" t="s">
        <v>1325</v>
      </c>
      <c r="F1489" s="152" t="s">
        <v>1326</v>
      </c>
      <c r="G1489" s="152"/>
      <c r="H1489" s="152"/>
      <c r="I1489" s="151" t="s">
        <v>1327</v>
      </c>
      <c r="J1489" s="152" t="s">
        <v>1327</v>
      </c>
      <c r="K1489" s="152" t="s">
        <v>1327</v>
      </c>
      <c r="L1489" s="152" t="s">
        <v>1327</v>
      </c>
      <c r="M1489" s="152" t="s">
        <v>1327</v>
      </c>
      <c r="N1489" s="152" t="s">
        <v>1327</v>
      </c>
      <c r="O1489" s="152">
        <v>5.3627909999999996</v>
      </c>
      <c r="P1489" s="152">
        <v>367.18680799999998</v>
      </c>
      <c r="Q1489" s="152">
        <v>5.3627909999999996</v>
      </c>
      <c r="R1489" s="152" t="s">
        <v>1327</v>
      </c>
      <c r="S1489" s="152">
        <v>99.928666000000007</v>
      </c>
      <c r="T1489" s="152">
        <v>7.2603000000000001E-2</v>
      </c>
      <c r="U1489" s="152">
        <v>0.95608599999999999</v>
      </c>
      <c r="V1489" s="152">
        <v>1.160676</v>
      </c>
      <c r="W1489" s="152">
        <v>1000</v>
      </c>
      <c r="X1489" s="152" t="s">
        <v>23</v>
      </c>
      <c r="Y1489" s="152" t="s">
        <v>1328</v>
      </c>
      <c r="Z1489" s="152" t="s">
        <v>1327</v>
      </c>
    </row>
    <row r="1490" spans="1:26" x14ac:dyDescent="0.2">
      <c r="A1490" s="152" t="s">
        <v>2620</v>
      </c>
      <c r="B1490" s="152">
        <v>5.5</v>
      </c>
      <c r="C1490" s="151">
        <v>44124</v>
      </c>
      <c r="D1490" s="152">
        <v>1.9890410000000001</v>
      </c>
      <c r="E1490" s="152" t="s">
        <v>1325</v>
      </c>
      <c r="F1490" s="152" t="s">
        <v>1326</v>
      </c>
      <c r="G1490" s="152"/>
      <c r="H1490" s="152"/>
      <c r="I1490" s="151" t="s">
        <v>1327</v>
      </c>
      <c r="J1490" s="152" t="s">
        <v>1327</v>
      </c>
      <c r="K1490" s="152" t="s">
        <v>1327</v>
      </c>
      <c r="L1490" s="152" t="s">
        <v>1327</v>
      </c>
      <c r="M1490" s="152" t="s">
        <v>1327</v>
      </c>
      <c r="N1490" s="152" t="s">
        <v>1327</v>
      </c>
      <c r="O1490" s="152">
        <v>5.938974</v>
      </c>
      <c r="P1490" s="152">
        <v>404.94514800000002</v>
      </c>
      <c r="Q1490" s="152">
        <v>5.938974</v>
      </c>
      <c r="R1490" s="152" t="s">
        <v>1327</v>
      </c>
      <c r="S1490" s="152">
        <v>99.170682999999997</v>
      </c>
      <c r="T1490" s="152">
        <v>7.5342000000000006E-2</v>
      </c>
      <c r="U1490" s="152">
        <v>1.867745</v>
      </c>
      <c r="V1490" s="152">
        <v>4.0539160000000001</v>
      </c>
      <c r="W1490" s="152">
        <v>1000</v>
      </c>
      <c r="X1490" s="152" t="s">
        <v>23</v>
      </c>
      <c r="Y1490" s="152" t="s">
        <v>1328</v>
      </c>
      <c r="Z1490" s="152" t="s">
        <v>1327</v>
      </c>
    </row>
    <row r="1491" spans="1:26" x14ac:dyDescent="0.2">
      <c r="A1491" s="152" t="s">
        <v>2621</v>
      </c>
      <c r="B1491" s="152">
        <v>5.5</v>
      </c>
      <c r="C1491" s="151">
        <v>44285</v>
      </c>
      <c r="D1491" s="152">
        <v>2.4301370000000002</v>
      </c>
      <c r="E1491" s="152" t="s">
        <v>1325</v>
      </c>
      <c r="F1491" s="152" t="s">
        <v>1326</v>
      </c>
      <c r="G1491" s="152"/>
      <c r="H1491" s="152"/>
      <c r="I1491" s="151" t="s">
        <v>1327</v>
      </c>
      <c r="J1491" s="152" t="s">
        <v>1327</v>
      </c>
      <c r="K1491" s="152" t="s">
        <v>1327</v>
      </c>
      <c r="L1491" s="152" t="s">
        <v>1327</v>
      </c>
      <c r="M1491" s="152" t="s">
        <v>1327</v>
      </c>
      <c r="N1491" s="152" t="s">
        <v>1327</v>
      </c>
      <c r="O1491" s="152">
        <v>5.9378099999999998</v>
      </c>
      <c r="P1491" s="152">
        <v>401.56599499999999</v>
      </c>
      <c r="Q1491" s="152">
        <v>5.9378099999999998</v>
      </c>
      <c r="R1491" s="152" t="s">
        <v>1327</v>
      </c>
      <c r="S1491" s="152">
        <v>99.017516999999998</v>
      </c>
      <c r="T1491" s="152">
        <v>0.37671199999999999</v>
      </c>
      <c r="U1491" s="152">
        <v>2.2493069999999999</v>
      </c>
      <c r="V1491" s="152">
        <v>5.8224650000000002</v>
      </c>
      <c r="W1491" s="152">
        <v>1000</v>
      </c>
      <c r="X1491" s="152" t="s">
        <v>23</v>
      </c>
      <c r="Y1491" s="152" t="s">
        <v>1328</v>
      </c>
      <c r="Z1491" s="152" t="s">
        <v>1327</v>
      </c>
    </row>
    <row r="1492" spans="1:26" x14ac:dyDescent="0.2">
      <c r="A1492" s="152" t="s">
        <v>2622</v>
      </c>
      <c r="B1492" s="152">
        <v>5.2</v>
      </c>
      <c r="C1492" s="151">
        <v>43559</v>
      </c>
      <c r="D1492" s="152">
        <v>0.44109599999999999</v>
      </c>
      <c r="E1492" s="152" t="s">
        <v>1325</v>
      </c>
      <c r="F1492" s="152" t="s">
        <v>1326</v>
      </c>
      <c r="G1492" s="152" t="s">
        <v>29</v>
      </c>
      <c r="H1492" s="152"/>
      <c r="I1492" s="151" t="s">
        <v>1327</v>
      </c>
      <c r="J1492" s="152" t="s">
        <v>1327</v>
      </c>
      <c r="K1492" s="152" t="s">
        <v>1327</v>
      </c>
      <c r="L1492" s="152" t="s">
        <v>1327</v>
      </c>
      <c r="M1492" s="152" t="s">
        <v>1327</v>
      </c>
      <c r="N1492" s="152" t="s">
        <v>1327</v>
      </c>
      <c r="O1492" s="152">
        <v>2.8690850000000001</v>
      </c>
      <c r="P1492" s="152">
        <v>120.605</v>
      </c>
      <c r="Q1492" s="152">
        <v>2.8690850000000001</v>
      </c>
      <c r="R1492" s="152" t="s">
        <v>1327</v>
      </c>
      <c r="S1492" s="152">
        <v>101.014422</v>
      </c>
      <c r="T1492" s="152">
        <v>0.299178</v>
      </c>
      <c r="U1492" s="152">
        <v>0.43818699999999999</v>
      </c>
      <c r="V1492" s="152">
        <v>0.30155100000000001</v>
      </c>
      <c r="W1492" s="152">
        <v>1000</v>
      </c>
      <c r="X1492" s="152" t="s">
        <v>23</v>
      </c>
      <c r="Y1492" s="152" t="s">
        <v>1328</v>
      </c>
      <c r="Z1492" s="152" t="s">
        <v>1327</v>
      </c>
    </row>
    <row r="1493" spans="1:26" x14ac:dyDescent="0.2">
      <c r="A1493" s="152" t="s">
        <v>2623</v>
      </c>
      <c r="B1493" s="152">
        <v>3.9</v>
      </c>
      <c r="C1493" s="151">
        <v>43574</v>
      </c>
      <c r="D1493" s="152">
        <v>0.48219200000000001</v>
      </c>
      <c r="E1493" s="152" t="s">
        <v>1325</v>
      </c>
      <c r="F1493" s="152" t="s">
        <v>1326</v>
      </c>
      <c r="G1493" s="152" t="s">
        <v>29</v>
      </c>
      <c r="H1493" s="152"/>
      <c r="I1493" s="151">
        <v>43173</v>
      </c>
      <c r="J1493" s="152">
        <v>2.8</v>
      </c>
      <c r="K1493" s="152" t="s">
        <v>1327</v>
      </c>
      <c r="L1493" s="152" t="s">
        <v>1327</v>
      </c>
      <c r="M1493" s="152" t="s">
        <v>1327</v>
      </c>
      <c r="N1493" s="152" t="s">
        <v>1327</v>
      </c>
      <c r="O1493" s="152">
        <v>2.8892929999999999</v>
      </c>
      <c r="P1493" s="152">
        <v>120.391057</v>
      </c>
      <c r="Q1493" s="152">
        <v>2.8892929999999999</v>
      </c>
      <c r="R1493" s="152" t="s">
        <v>1327</v>
      </c>
      <c r="S1493" s="152">
        <v>100.477445</v>
      </c>
      <c r="T1493" s="152">
        <v>6.411E-2</v>
      </c>
      <c r="U1493" s="152">
        <v>0.47974299999999998</v>
      </c>
      <c r="V1493" s="152">
        <v>0.34981699999999999</v>
      </c>
      <c r="W1493" s="152">
        <v>1000</v>
      </c>
      <c r="X1493" s="152" t="s">
        <v>23</v>
      </c>
      <c r="Y1493" s="152" t="s">
        <v>1328</v>
      </c>
      <c r="Z1493" s="152" t="s">
        <v>1327</v>
      </c>
    </row>
    <row r="1494" spans="1:26" x14ac:dyDescent="0.2">
      <c r="A1494" s="152" t="s">
        <v>2624</v>
      </c>
      <c r="B1494" s="152">
        <v>3.5</v>
      </c>
      <c r="C1494" s="151">
        <v>43667</v>
      </c>
      <c r="D1494" s="152">
        <v>0.73698600000000003</v>
      </c>
      <c r="E1494" s="152" t="s">
        <v>1325</v>
      </c>
      <c r="F1494" s="152" t="s">
        <v>1326</v>
      </c>
      <c r="G1494" s="152" t="s">
        <v>29</v>
      </c>
      <c r="H1494" s="152"/>
      <c r="I1494" s="151" t="s">
        <v>1327</v>
      </c>
      <c r="J1494" s="152" t="s">
        <v>1327</v>
      </c>
      <c r="K1494" s="151" t="s">
        <v>1327</v>
      </c>
      <c r="L1494" s="152" t="s">
        <v>1327</v>
      </c>
      <c r="M1494" s="152" t="s">
        <v>1327</v>
      </c>
      <c r="N1494" s="152" t="s">
        <v>1327</v>
      </c>
      <c r="O1494" s="152">
        <v>2.9964979999999999</v>
      </c>
      <c r="P1494" s="152">
        <v>124.985</v>
      </c>
      <c r="Q1494" s="152">
        <v>2.9964979999999999</v>
      </c>
      <c r="R1494" s="152" t="s">
        <v>1327</v>
      </c>
      <c r="S1494" s="152">
        <v>100.360367</v>
      </c>
      <c r="T1494" s="152">
        <v>3.8356000000000001E-2</v>
      </c>
      <c r="U1494" s="152">
        <v>0.72916000000000003</v>
      </c>
      <c r="V1494" s="152">
        <v>0.71522799999999997</v>
      </c>
      <c r="W1494" s="152">
        <v>1000</v>
      </c>
      <c r="X1494" s="152" t="s">
        <v>23</v>
      </c>
      <c r="Y1494" s="152" t="s">
        <v>1328</v>
      </c>
      <c r="Z1494" s="152" t="s">
        <v>1327</v>
      </c>
    </row>
    <row r="1495" spans="1:26" x14ac:dyDescent="0.2">
      <c r="A1495" s="152" t="s">
        <v>2625</v>
      </c>
      <c r="B1495" s="152">
        <v>3.25</v>
      </c>
      <c r="C1495" s="151">
        <v>43741</v>
      </c>
      <c r="D1495" s="152">
        <v>0.93972599999999995</v>
      </c>
      <c r="E1495" s="152" t="s">
        <v>1325</v>
      </c>
      <c r="F1495" s="152" t="s">
        <v>1326</v>
      </c>
      <c r="G1495" s="152" t="s">
        <v>29</v>
      </c>
      <c r="H1495" s="152"/>
      <c r="I1495" s="151" t="s">
        <v>1327</v>
      </c>
      <c r="J1495" s="152" t="s">
        <v>1327</v>
      </c>
      <c r="K1495" s="152" t="s">
        <v>1327</v>
      </c>
      <c r="L1495" s="152" t="s">
        <v>1327</v>
      </c>
      <c r="M1495" s="152" t="s">
        <v>1327</v>
      </c>
      <c r="N1495" s="152" t="s">
        <v>1327</v>
      </c>
      <c r="O1495" s="152">
        <v>3.0173269999999999</v>
      </c>
      <c r="P1495" s="152">
        <v>124.985</v>
      </c>
      <c r="Q1495" s="152">
        <v>3.0173269999999999</v>
      </c>
      <c r="R1495" s="152" t="s">
        <v>1327</v>
      </c>
      <c r="S1495" s="152">
        <v>100.208021</v>
      </c>
      <c r="T1495" s="152">
        <v>0.19589000000000001</v>
      </c>
      <c r="U1495" s="152">
        <v>0.92281100000000005</v>
      </c>
      <c r="V1495" s="152">
        <v>1.0873269999999999</v>
      </c>
      <c r="W1495" s="152">
        <v>1000</v>
      </c>
      <c r="X1495" s="152" t="s">
        <v>23</v>
      </c>
      <c r="Y1495" s="152" t="s">
        <v>1328</v>
      </c>
      <c r="Z1495" s="152" t="s">
        <v>1327</v>
      </c>
    </row>
    <row r="1496" spans="1:26" x14ac:dyDescent="0.2">
      <c r="A1496" s="152" t="s">
        <v>698</v>
      </c>
      <c r="B1496" s="152">
        <v>3.4</v>
      </c>
      <c r="C1496" s="151">
        <v>43948</v>
      </c>
      <c r="D1496" s="152">
        <v>1.5068490000000001</v>
      </c>
      <c r="E1496" s="152" t="s">
        <v>1325</v>
      </c>
      <c r="F1496" s="152" t="s">
        <v>1326</v>
      </c>
      <c r="G1496" s="152" t="s">
        <v>29</v>
      </c>
      <c r="H1496" s="152"/>
      <c r="I1496" s="151">
        <v>43395</v>
      </c>
      <c r="J1496" s="152">
        <v>3.15</v>
      </c>
      <c r="K1496" s="152" t="s">
        <v>1327</v>
      </c>
      <c r="L1496" s="152" t="s">
        <v>1327</v>
      </c>
      <c r="M1496" s="152" t="s">
        <v>1327</v>
      </c>
      <c r="N1496" s="152" t="s">
        <v>1327</v>
      </c>
      <c r="O1496" s="152">
        <v>3.1485099999999999</v>
      </c>
      <c r="P1496" s="152">
        <v>125.298016</v>
      </c>
      <c r="Q1496" s="152">
        <v>3.1485099999999999</v>
      </c>
      <c r="R1496" s="152" t="s">
        <v>1327</v>
      </c>
      <c r="S1496" s="152">
        <v>100.368441</v>
      </c>
      <c r="T1496" s="152">
        <v>-1.8630000000000001E-2</v>
      </c>
      <c r="U1496" s="152">
        <v>1.4627810000000001</v>
      </c>
      <c r="V1496" s="152">
        <v>2.5298449999999999</v>
      </c>
      <c r="W1496" s="152">
        <v>1000</v>
      </c>
      <c r="X1496" s="152" t="s">
        <v>23</v>
      </c>
      <c r="Y1496" s="152" t="s">
        <v>1328</v>
      </c>
      <c r="Z1496" s="152" t="s">
        <v>1327</v>
      </c>
    </row>
    <row r="1497" spans="1:26" x14ac:dyDescent="0.2">
      <c r="A1497" s="152" t="s">
        <v>2626</v>
      </c>
      <c r="B1497" s="152">
        <v>3.25</v>
      </c>
      <c r="C1497" s="151">
        <v>43981</v>
      </c>
      <c r="D1497" s="152">
        <v>1.5972599999999999</v>
      </c>
      <c r="E1497" s="152" t="s">
        <v>1325</v>
      </c>
      <c r="F1497" s="152" t="s">
        <v>1326</v>
      </c>
      <c r="G1497" s="152"/>
      <c r="H1497" s="152"/>
      <c r="I1497" s="151" t="s">
        <v>1327</v>
      </c>
      <c r="J1497" s="152" t="s">
        <v>1327</v>
      </c>
      <c r="K1497" s="152" t="s">
        <v>1327</v>
      </c>
      <c r="L1497" s="152" t="s">
        <v>1327</v>
      </c>
      <c r="M1497" s="152" t="s">
        <v>1327</v>
      </c>
      <c r="N1497" s="152" t="s">
        <v>1327</v>
      </c>
      <c r="O1497" s="152">
        <v>3.2038340000000001</v>
      </c>
      <c r="P1497" s="152">
        <v>127.8266</v>
      </c>
      <c r="Q1497" s="152">
        <v>3.2038340000000001</v>
      </c>
      <c r="R1497" s="152" t="s">
        <v>1327</v>
      </c>
      <c r="S1497" s="152">
        <v>100.05598500000001</v>
      </c>
      <c r="T1497" s="152">
        <v>1.3178080000000001</v>
      </c>
      <c r="U1497" s="152">
        <v>1.5267360000000001</v>
      </c>
      <c r="V1497" s="152">
        <v>3.1338900000000001</v>
      </c>
      <c r="W1497" s="152">
        <v>1000</v>
      </c>
      <c r="X1497" s="152" t="s">
        <v>23</v>
      </c>
      <c r="Y1497" s="152" t="s">
        <v>1328</v>
      </c>
      <c r="Z1497" s="152" t="s">
        <v>1327</v>
      </c>
    </row>
    <row r="1498" spans="1:26" x14ac:dyDescent="0.2">
      <c r="A1498" s="152" t="s">
        <v>2627</v>
      </c>
      <c r="B1498" s="152">
        <v>4.75</v>
      </c>
      <c r="C1498" s="151">
        <v>43984</v>
      </c>
      <c r="D1498" s="152">
        <v>1.6054790000000001</v>
      </c>
      <c r="E1498" s="152" t="s">
        <v>1325</v>
      </c>
      <c r="F1498" s="152" t="s">
        <v>1326</v>
      </c>
      <c r="G1498" s="152" t="s">
        <v>29</v>
      </c>
      <c r="H1498" s="152"/>
      <c r="I1498" s="151">
        <v>43395</v>
      </c>
      <c r="J1498" s="152">
        <v>3.2</v>
      </c>
      <c r="K1498" s="152" t="s">
        <v>1327</v>
      </c>
      <c r="L1498" s="152" t="s">
        <v>1327</v>
      </c>
      <c r="M1498" s="152" t="s">
        <v>1327</v>
      </c>
      <c r="N1498" s="152" t="s">
        <v>1327</v>
      </c>
      <c r="O1498" s="152">
        <v>3.198499</v>
      </c>
      <c r="P1498" s="152">
        <v>127.979153</v>
      </c>
      <c r="Q1498" s="152">
        <v>3.198499</v>
      </c>
      <c r="R1498" s="152" t="s">
        <v>1327</v>
      </c>
      <c r="S1498" s="152">
        <v>102.41871</v>
      </c>
      <c r="T1498" s="152">
        <v>0.68972599999999995</v>
      </c>
      <c r="U1498" s="152">
        <v>1.5323830000000001</v>
      </c>
      <c r="V1498" s="152">
        <v>2.7884419999999999</v>
      </c>
      <c r="W1498" s="152">
        <v>1000</v>
      </c>
      <c r="X1498" s="152" t="s">
        <v>23</v>
      </c>
      <c r="Y1498" s="152" t="s">
        <v>1328</v>
      </c>
      <c r="Z1498" s="152" t="s">
        <v>1327</v>
      </c>
    </row>
    <row r="1499" spans="1:26" x14ac:dyDescent="0.2">
      <c r="A1499" s="152" t="s">
        <v>2628</v>
      </c>
      <c r="B1499" s="152">
        <v>3.2</v>
      </c>
      <c r="C1499" s="151">
        <v>44431</v>
      </c>
      <c r="D1499" s="152">
        <v>2.8301370000000001</v>
      </c>
      <c r="E1499" s="152" t="s">
        <v>1325</v>
      </c>
      <c r="F1499" s="152" t="s">
        <v>1326</v>
      </c>
      <c r="G1499" s="152" t="s">
        <v>29</v>
      </c>
      <c r="H1499" s="152"/>
      <c r="I1499" s="151" t="s">
        <v>1327</v>
      </c>
      <c r="J1499" s="152" t="s">
        <v>1327</v>
      </c>
      <c r="K1499" s="152" t="s">
        <v>1327</v>
      </c>
      <c r="L1499" s="152" t="s">
        <v>1327</v>
      </c>
      <c r="M1499" s="152" t="s">
        <v>1327</v>
      </c>
      <c r="N1499" s="152" t="s">
        <v>1327</v>
      </c>
      <c r="O1499" s="152">
        <v>3.268424</v>
      </c>
      <c r="P1499" s="152">
        <v>120.857519</v>
      </c>
      <c r="Q1499" s="152">
        <v>3.268424</v>
      </c>
      <c r="R1499" s="152" t="s">
        <v>1327</v>
      </c>
      <c r="S1499" s="152">
        <v>99.808515999999997</v>
      </c>
      <c r="T1499" s="152">
        <v>0.55232899999999996</v>
      </c>
      <c r="U1499" s="152">
        <v>2.6798489999999999</v>
      </c>
      <c r="V1499" s="152">
        <v>8.0727320000000002</v>
      </c>
      <c r="W1499" s="152">
        <v>1000</v>
      </c>
      <c r="X1499" s="152" t="s">
        <v>23</v>
      </c>
      <c r="Y1499" s="152" t="s">
        <v>1328</v>
      </c>
      <c r="Z1499" s="152" t="s">
        <v>1327</v>
      </c>
    </row>
    <row r="1500" spans="1:26" x14ac:dyDescent="0.2">
      <c r="A1500" s="152" t="s">
        <v>2629</v>
      </c>
      <c r="B1500" s="152">
        <v>3</v>
      </c>
      <c r="C1500" s="151">
        <v>44530</v>
      </c>
      <c r="D1500" s="152">
        <v>3.1013700000000002</v>
      </c>
      <c r="E1500" s="152" t="s">
        <v>1325</v>
      </c>
      <c r="F1500" s="152" t="s">
        <v>1326</v>
      </c>
      <c r="G1500" s="152" t="s">
        <v>29</v>
      </c>
      <c r="H1500" s="152"/>
      <c r="I1500" s="152" t="s">
        <v>1327</v>
      </c>
      <c r="J1500" s="152" t="s">
        <v>1327</v>
      </c>
      <c r="K1500" s="152" t="s">
        <v>1327</v>
      </c>
      <c r="L1500" s="152" t="s">
        <v>1327</v>
      </c>
      <c r="M1500" s="152" t="s">
        <v>1327</v>
      </c>
      <c r="N1500" s="152" t="s">
        <v>1327</v>
      </c>
      <c r="O1500" s="152">
        <v>3.3142529999999999</v>
      </c>
      <c r="P1500" s="152">
        <v>120.178421</v>
      </c>
      <c r="Q1500" s="152">
        <v>3.3142529999999999</v>
      </c>
      <c r="R1500" s="152" t="s">
        <v>1327</v>
      </c>
      <c r="S1500" s="152">
        <v>99.071296000000004</v>
      </c>
      <c r="T1500" s="152">
        <v>0.46027400000000002</v>
      </c>
      <c r="U1500" s="152">
        <v>2.9321980000000001</v>
      </c>
      <c r="V1500" s="152">
        <v>9.5986609999999999</v>
      </c>
      <c r="W1500" s="152">
        <v>1000</v>
      </c>
      <c r="X1500" s="152" t="s">
        <v>23</v>
      </c>
      <c r="Y1500" s="152" t="s">
        <v>1328</v>
      </c>
      <c r="Z1500" s="152" t="s">
        <v>1327</v>
      </c>
    </row>
    <row r="1501" spans="1:26" x14ac:dyDescent="0.2">
      <c r="A1501" s="152" t="s">
        <v>2630</v>
      </c>
      <c r="B1501" s="152">
        <v>3.35</v>
      </c>
      <c r="C1501" s="151">
        <v>44826</v>
      </c>
      <c r="D1501" s="152">
        <v>3.9123290000000002</v>
      </c>
      <c r="E1501" s="152" t="s">
        <v>1325</v>
      </c>
      <c r="F1501" s="152" t="s">
        <v>1326</v>
      </c>
      <c r="G1501" s="152" t="s">
        <v>29</v>
      </c>
      <c r="H1501" s="152"/>
      <c r="I1501" s="151" t="s">
        <v>1327</v>
      </c>
      <c r="J1501" s="152" t="s">
        <v>1327</v>
      </c>
      <c r="K1501" s="152" t="s">
        <v>1327</v>
      </c>
      <c r="L1501" s="152" t="s">
        <v>1327</v>
      </c>
      <c r="M1501" s="152" t="s">
        <v>1327</v>
      </c>
      <c r="N1501" s="152" t="s">
        <v>1327</v>
      </c>
      <c r="O1501" s="152">
        <v>3.8862580000000002</v>
      </c>
      <c r="P1501" s="152">
        <v>159.435722</v>
      </c>
      <c r="Q1501" s="152">
        <v>3.8862580000000002</v>
      </c>
      <c r="R1501" s="152" t="s">
        <v>1327</v>
      </c>
      <c r="S1501" s="152">
        <v>98.065320999999997</v>
      </c>
      <c r="T1501" s="152">
        <v>0.30287700000000001</v>
      </c>
      <c r="U1501" s="152">
        <v>3.6308259999999999</v>
      </c>
      <c r="V1501" s="152">
        <v>14.646806</v>
      </c>
      <c r="W1501" s="152">
        <v>1000</v>
      </c>
      <c r="X1501" s="152" t="s">
        <v>23</v>
      </c>
      <c r="Y1501" s="152" t="s">
        <v>1328</v>
      </c>
      <c r="Z1501" s="152" t="s">
        <v>1327</v>
      </c>
    </row>
    <row r="1502" spans="1:26" x14ac:dyDescent="0.2">
      <c r="A1502" s="152" t="s">
        <v>2631</v>
      </c>
      <c r="B1502" s="152">
        <v>3.35</v>
      </c>
      <c r="C1502" s="151">
        <v>44950</v>
      </c>
      <c r="D1502" s="152">
        <v>4.2520550000000004</v>
      </c>
      <c r="E1502" s="152" t="s">
        <v>1325</v>
      </c>
      <c r="F1502" s="152" t="s">
        <v>1326</v>
      </c>
      <c r="G1502" s="152" t="s">
        <v>29</v>
      </c>
      <c r="H1502" s="152"/>
      <c r="I1502" s="152" t="s">
        <v>1327</v>
      </c>
      <c r="J1502" s="152" t="s">
        <v>1327</v>
      </c>
      <c r="K1502" s="152" t="s">
        <v>1327</v>
      </c>
      <c r="L1502" s="152" t="s">
        <v>1327</v>
      </c>
      <c r="M1502" s="152" t="s">
        <v>1327</v>
      </c>
      <c r="N1502" s="152" t="s">
        <v>1327</v>
      </c>
      <c r="O1502" s="152">
        <v>3.8838080000000001</v>
      </c>
      <c r="P1502" s="152">
        <v>156.55468200000001</v>
      </c>
      <c r="Q1502" s="152">
        <v>3.8838080000000001</v>
      </c>
      <c r="R1502" s="152" t="s">
        <v>1327</v>
      </c>
      <c r="S1502" s="152">
        <v>97.911358000000007</v>
      </c>
      <c r="T1502" s="152">
        <v>9.1780000000000004E-3</v>
      </c>
      <c r="U1502" s="152">
        <v>3.9364780000000001</v>
      </c>
      <c r="V1502" s="152">
        <v>17.146941999999999</v>
      </c>
      <c r="W1502" s="152">
        <v>1000</v>
      </c>
      <c r="X1502" s="152" t="s">
        <v>23</v>
      </c>
      <c r="Y1502" s="152" t="s">
        <v>1328</v>
      </c>
      <c r="Z1502" s="152" t="s">
        <v>1327</v>
      </c>
    </row>
    <row r="1503" spans="1:26" x14ac:dyDescent="0.2">
      <c r="A1503" s="152" t="s">
        <v>2632</v>
      </c>
      <c r="B1503" s="152">
        <v>5.5</v>
      </c>
      <c r="C1503" s="151">
        <v>43454</v>
      </c>
      <c r="D1503" s="152">
        <v>0.15342500000000001</v>
      </c>
      <c r="E1503" s="152" t="s">
        <v>1325</v>
      </c>
      <c r="F1503" s="152" t="s">
        <v>1326</v>
      </c>
      <c r="G1503" s="152"/>
      <c r="H1503" s="152"/>
      <c r="I1503" s="152" t="s">
        <v>1327</v>
      </c>
      <c r="J1503" s="152" t="s">
        <v>1327</v>
      </c>
      <c r="K1503" s="152" t="s">
        <v>1327</v>
      </c>
      <c r="L1503" s="152" t="s">
        <v>1327</v>
      </c>
      <c r="M1503" s="152" t="s">
        <v>1327</v>
      </c>
      <c r="N1503" s="152" t="s">
        <v>1327</v>
      </c>
      <c r="O1503" s="152">
        <v>5.4485859999999997</v>
      </c>
      <c r="P1503" s="152">
        <v>416.98475400000001</v>
      </c>
      <c r="Q1503" s="152">
        <v>5.4485859999999997</v>
      </c>
      <c r="R1503" s="152" t="s">
        <v>1327</v>
      </c>
      <c r="S1503" s="152">
        <v>100.009366</v>
      </c>
      <c r="T1503" s="152">
        <v>0.527397</v>
      </c>
      <c r="U1503" s="152">
        <v>0.151363</v>
      </c>
      <c r="V1503" s="152">
        <v>6.0242999999999998E-2</v>
      </c>
      <c r="W1503" s="152">
        <v>1000</v>
      </c>
      <c r="X1503" s="152" t="s">
        <v>23</v>
      </c>
      <c r="Y1503" s="152" t="s">
        <v>1328</v>
      </c>
      <c r="Z1503" s="152" t="s">
        <v>1327</v>
      </c>
    </row>
    <row r="1504" spans="1:26" x14ac:dyDescent="0.2">
      <c r="A1504" s="152" t="s">
        <v>2633</v>
      </c>
      <c r="B1504" s="152">
        <v>5.5</v>
      </c>
      <c r="C1504" s="151">
        <v>43488</v>
      </c>
      <c r="D1504" s="152">
        <v>0.24657499999999999</v>
      </c>
      <c r="E1504" s="152" t="s">
        <v>1325</v>
      </c>
      <c r="F1504" s="152" t="s">
        <v>1326</v>
      </c>
      <c r="G1504" s="152"/>
      <c r="H1504" s="152"/>
      <c r="I1504" s="152" t="s">
        <v>1327</v>
      </c>
      <c r="J1504" s="152" t="s">
        <v>1327</v>
      </c>
      <c r="K1504" s="152" t="s">
        <v>1327</v>
      </c>
      <c r="L1504" s="152" t="s">
        <v>1327</v>
      </c>
      <c r="M1504" s="152" t="s">
        <v>1327</v>
      </c>
      <c r="N1504" s="152" t="s">
        <v>1327</v>
      </c>
      <c r="O1504" s="152">
        <v>5.6114819999999996</v>
      </c>
      <c r="P1504" s="152">
        <v>419.19575600000002</v>
      </c>
      <c r="Q1504" s="152">
        <v>5.6114819999999996</v>
      </c>
      <c r="R1504" s="152" t="s">
        <v>1327</v>
      </c>
      <c r="S1504" s="152">
        <v>99.961459000000005</v>
      </c>
      <c r="T1504" s="152">
        <v>3.0137000000000001E-2</v>
      </c>
      <c r="U1504" s="152">
        <v>0.24316399999999999</v>
      </c>
      <c r="V1504" s="152">
        <v>0.119079</v>
      </c>
      <c r="W1504" s="152">
        <v>1000</v>
      </c>
      <c r="X1504" s="152" t="s">
        <v>23</v>
      </c>
      <c r="Y1504" s="152" t="s">
        <v>1328</v>
      </c>
      <c r="Z1504" s="152" t="s">
        <v>1327</v>
      </c>
    </row>
    <row r="1505" spans="1:26" x14ac:dyDescent="0.2">
      <c r="A1505" s="152" t="s">
        <v>2634</v>
      </c>
      <c r="B1505" s="152">
        <v>2.09</v>
      </c>
      <c r="C1505" s="151">
        <v>43771</v>
      </c>
      <c r="D1505" s="152">
        <v>1.0219180000000001</v>
      </c>
      <c r="E1505" s="152" t="s">
        <v>1325</v>
      </c>
      <c r="F1505" s="152" t="s">
        <v>1326</v>
      </c>
      <c r="G1505" s="152"/>
      <c r="H1505" s="152" t="s">
        <v>58</v>
      </c>
      <c r="I1505" s="152">
        <v>42949</v>
      </c>
      <c r="J1505" s="152">
        <v>1.88</v>
      </c>
      <c r="K1505" s="152" t="s">
        <v>1327</v>
      </c>
      <c r="L1505" s="152" t="s">
        <v>1327</v>
      </c>
      <c r="M1505" s="152" t="s">
        <v>1327</v>
      </c>
      <c r="N1505" s="152" t="s">
        <v>1327</v>
      </c>
      <c r="O1505" s="152">
        <v>2.097531</v>
      </c>
      <c r="P1505" s="152">
        <v>29.181968000000001</v>
      </c>
      <c r="Q1505" s="152">
        <v>2.097531</v>
      </c>
      <c r="R1505" s="152" t="s">
        <v>1327</v>
      </c>
      <c r="S1505" s="152">
        <v>99.992673999999994</v>
      </c>
      <c r="T1505" s="152">
        <v>-4.5808000000000001E-2</v>
      </c>
      <c r="U1505" s="152">
        <v>1.006194</v>
      </c>
      <c r="V1505" s="152">
        <v>1.5128079999999999</v>
      </c>
      <c r="W1505" s="152">
        <v>1000</v>
      </c>
      <c r="X1505" s="152" t="s">
        <v>23</v>
      </c>
      <c r="Y1505" s="152" t="s">
        <v>1328</v>
      </c>
      <c r="Z1505" s="152" t="s">
        <v>1327</v>
      </c>
    </row>
    <row r="1506" spans="1:26" x14ac:dyDescent="0.2">
      <c r="A1506" s="152" t="s">
        <v>2635</v>
      </c>
      <c r="B1506" s="152">
        <v>2</v>
      </c>
      <c r="C1506" s="151">
        <v>44074</v>
      </c>
      <c r="D1506" s="152">
        <v>1.852055</v>
      </c>
      <c r="E1506" s="152" t="s">
        <v>1325</v>
      </c>
      <c r="F1506" s="152" t="s">
        <v>1326</v>
      </c>
      <c r="G1506" s="152"/>
      <c r="H1506" s="152" t="s">
        <v>58</v>
      </c>
      <c r="I1506" s="152">
        <v>43395</v>
      </c>
      <c r="J1506" s="152">
        <v>2.41</v>
      </c>
      <c r="K1506" s="152" t="s">
        <v>1327</v>
      </c>
      <c r="L1506" s="152" t="s">
        <v>1327</v>
      </c>
      <c r="M1506" s="152" t="s">
        <v>1327</v>
      </c>
      <c r="N1506" s="152" t="s">
        <v>1327</v>
      </c>
      <c r="O1506" s="152">
        <v>2.4086979999999998</v>
      </c>
      <c r="P1506" s="152">
        <v>40.636221999999997</v>
      </c>
      <c r="Q1506" s="152">
        <v>2.4086979999999998</v>
      </c>
      <c r="R1506" s="152" t="s">
        <v>1327</v>
      </c>
      <c r="S1506" s="152">
        <v>99.273632000000006</v>
      </c>
      <c r="T1506" s="152">
        <v>0.30137000000000003</v>
      </c>
      <c r="U1506" s="152">
        <v>1.7939560000000001</v>
      </c>
      <c r="V1506" s="152">
        <v>4.1375869999999999</v>
      </c>
      <c r="W1506" s="152">
        <v>1000</v>
      </c>
      <c r="X1506" s="152" t="s">
        <v>23</v>
      </c>
      <c r="Y1506" s="152" t="s">
        <v>1328</v>
      </c>
      <c r="Z1506" s="152" t="s">
        <v>1327</v>
      </c>
    </row>
    <row r="1507" spans="1:26" x14ac:dyDescent="0.2">
      <c r="A1507" s="152" t="s">
        <v>2636</v>
      </c>
      <c r="B1507" s="152">
        <v>6.2</v>
      </c>
      <c r="C1507" s="151">
        <v>43919</v>
      </c>
      <c r="D1507" s="152">
        <v>1.427397</v>
      </c>
      <c r="E1507" s="152" t="s">
        <v>1325</v>
      </c>
      <c r="F1507" s="152" t="s">
        <v>1326</v>
      </c>
      <c r="G1507" s="152"/>
      <c r="H1507" s="152"/>
      <c r="I1507" s="152" t="s">
        <v>1327</v>
      </c>
      <c r="J1507" s="152" t="s">
        <v>1327</v>
      </c>
      <c r="K1507" s="152" t="s">
        <v>1327</v>
      </c>
      <c r="L1507" s="152" t="s">
        <v>1327</v>
      </c>
      <c r="M1507" s="152" t="s">
        <v>1327</v>
      </c>
      <c r="N1507" s="152" t="s">
        <v>1327</v>
      </c>
      <c r="O1507" s="152">
        <v>6.714798</v>
      </c>
      <c r="P1507" s="152">
        <v>498.371441</v>
      </c>
      <c r="Q1507" s="152">
        <v>6.714798</v>
      </c>
      <c r="R1507" s="152" t="s">
        <v>1327</v>
      </c>
      <c r="S1507" s="152">
        <v>99.306127000000004</v>
      </c>
      <c r="T1507" s="152">
        <v>0.44164399999999998</v>
      </c>
      <c r="U1507" s="152">
        <v>1.349102</v>
      </c>
      <c r="V1507" s="152">
        <v>2.199011</v>
      </c>
      <c r="W1507" s="152">
        <v>1000</v>
      </c>
      <c r="X1507" s="152" t="s">
        <v>23</v>
      </c>
      <c r="Y1507" s="152" t="s">
        <v>1328</v>
      </c>
      <c r="Z1507" s="152" t="s">
        <v>1327</v>
      </c>
    </row>
    <row r="1508" spans="1:26" x14ac:dyDescent="0.2">
      <c r="A1508" s="152" t="s">
        <v>2637</v>
      </c>
      <c r="B1508" s="152">
        <v>3.6</v>
      </c>
      <c r="C1508" s="151">
        <v>43436</v>
      </c>
      <c r="D1508" s="152">
        <v>0.10410999999999999</v>
      </c>
      <c r="E1508" s="152" t="s">
        <v>1325</v>
      </c>
      <c r="F1508" s="152" t="s">
        <v>1326</v>
      </c>
      <c r="G1508" s="152"/>
      <c r="H1508" s="152"/>
      <c r="I1508" s="152">
        <v>43383</v>
      </c>
      <c r="J1508" s="152">
        <v>1.63</v>
      </c>
      <c r="K1508" s="152" t="s">
        <v>1327</v>
      </c>
      <c r="L1508" s="152" t="s">
        <v>1327</v>
      </c>
      <c r="M1508" s="152" t="s">
        <v>1327</v>
      </c>
      <c r="N1508" s="152" t="s">
        <v>1327</v>
      </c>
      <c r="O1508" s="152">
        <v>1.61646</v>
      </c>
      <c r="P1508" s="152">
        <v>32.036856</v>
      </c>
      <c r="Q1508" s="152">
        <v>1.61646</v>
      </c>
      <c r="R1508" s="152" t="s">
        <v>1327</v>
      </c>
      <c r="S1508" s="152">
        <v>100.199376</v>
      </c>
      <c r="T1508" s="152">
        <v>1.430137</v>
      </c>
      <c r="U1508" s="152">
        <v>0.10327500000000001</v>
      </c>
      <c r="V1508" s="152">
        <v>6.1889E-2</v>
      </c>
      <c r="W1508" s="152">
        <v>1000</v>
      </c>
      <c r="X1508" s="152" t="s">
        <v>23</v>
      </c>
      <c r="Y1508" s="152" t="s">
        <v>1328</v>
      </c>
      <c r="Z1508" s="152" t="s">
        <v>1327</v>
      </c>
    </row>
    <row r="1509" spans="1:26" x14ac:dyDescent="0.2">
      <c r="A1509" s="152" t="s">
        <v>2638</v>
      </c>
      <c r="B1509" s="152">
        <v>2.25</v>
      </c>
      <c r="C1509" s="151">
        <v>43494</v>
      </c>
      <c r="D1509" s="152">
        <v>0.26301400000000003</v>
      </c>
      <c r="E1509" s="152" t="s">
        <v>1325</v>
      </c>
      <c r="F1509" s="152" t="s">
        <v>1326</v>
      </c>
      <c r="G1509" s="152"/>
      <c r="H1509" s="152"/>
      <c r="I1509" s="152">
        <v>43397</v>
      </c>
      <c r="J1509" s="152">
        <v>1.85</v>
      </c>
      <c r="K1509" s="152" t="s">
        <v>1327</v>
      </c>
      <c r="L1509" s="152" t="s">
        <v>1327</v>
      </c>
      <c r="M1509" s="152" t="s">
        <v>1327</v>
      </c>
      <c r="N1509" s="152" t="s">
        <v>1327</v>
      </c>
      <c r="O1509" s="152">
        <v>1.85</v>
      </c>
      <c r="P1509" s="152">
        <v>29.793759999999999</v>
      </c>
      <c r="Q1509" s="152">
        <v>1.85</v>
      </c>
      <c r="R1509" s="152" t="s">
        <v>1327</v>
      </c>
      <c r="S1509" s="152">
        <v>100.093931</v>
      </c>
      <c r="T1509" s="152">
        <v>0.542466</v>
      </c>
      <c r="U1509" s="152">
        <v>0.26060299999999997</v>
      </c>
      <c r="V1509" s="152">
        <v>0.197021</v>
      </c>
      <c r="W1509" s="152">
        <v>1000</v>
      </c>
      <c r="X1509" s="152" t="s">
        <v>23</v>
      </c>
      <c r="Y1509" s="152" t="s">
        <v>1328</v>
      </c>
      <c r="Z1509" s="152" t="s">
        <v>1327</v>
      </c>
    </row>
    <row r="1510" spans="1:26" x14ac:dyDescent="0.2">
      <c r="A1510" s="152" t="s">
        <v>2639</v>
      </c>
      <c r="B1510" s="152">
        <v>2.2400000000000002</v>
      </c>
      <c r="C1510" s="151">
        <v>43715</v>
      </c>
      <c r="D1510" s="152">
        <v>0.86849299999999996</v>
      </c>
      <c r="E1510" s="152" t="s">
        <v>1325</v>
      </c>
      <c r="F1510" s="152" t="s">
        <v>1326</v>
      </c>
      <c r="G1510" s="152"/>
      <c r="H1510" s="152"/>
      <c r="I1510" s="152">
        <v>43389</v>
      </c>
      <c r="J1510" s="152">
        <v>2.15</v>
      </c>
      <c r="K1510" s="152" t="s">
        <v>1327</v>
      </c>
      <c r="L1510" s="152" t="s">
        <v>1327</v>
      </c>
      <c r="M1510" s="152" t="s">
        <v>1327</v>
      </c>
      <c r="N1510" s="152" t="s">
        <v>1327</v>
      </c>
      <c r="O1510" s="152">
        <v>2.1681949999999999</v>
      </c>
      <c r="P1510" s="152">
        <v>36.416702000000001</v>
      </c>
      <c r="Q1510" s="152">
        <v>2.1681949999999999</v>
      </c>
      <c r="R1510" s="152" t="s">
        <v>1327</v>
      </c>
      <c r="S1510" s="152">
        <v>100.069174</v>
      </c>
      <c r="T1510" s="152">
        <v>0.29457499999999998</v>
      </c>
      <c r="U1510" s="152">
        <v>0.84963699999999998</v>
      </c>
      <c r="V1510" s="152">
        <v>1.1448240000000001</v>
      </c>
      <c r="W1510" s="152">
        <v>1000</v>
      </c>
      <c r="X1510" s="152" t="s">
        <v>23</v>
      </c>
      <c r="Y1510" s="152" t="s">
        <v>1328</v>
      </c>
      <c r="Z1510" s="152" t="s">
        <v>1327</v>
      </c>
    </row>
    <row r="1511" spans="1:26" x14ac:dyDescent="0.2">
      <c r="A1511" s="152" t="s">
        <v>699</v>
      </c>
      <c r="B1511" s="152">
        <v>2.72</v>
      </c>
      <c r="C1511" s="151">
        <v>43819</v>
      </c>
      <c r="D1511" s="152">
        <v>1.1534249999999999</v>
      </c>
      <c r="E1511" s="152" t="s">
        <v>1325</v>
      </c>
      <c r="F1511" s="152" t="s">
        <v>1326</v>
      </c>
      <c r="G1511" s="152" t="s">
        <v>47</v>
      </c>
      <c r="H1511" s="152"/>
      <c r="I1511" s="152">
        <v>43227</v>
      </c>
      <c r="J1511" s="152">
        <v>1.69</v>
      </c>
      <c r="K1511" s="152" t="s">
        <v>1327</v>
      </c>
      <c r="L1511" s="152" t="s">
        <v>1327</v>
      </c>
      <c r="M1511" s="152" t="s">
        <v>1327</v>
      </c>
      <c r="N1511" s="152" t="s">
        <v>1327</v>
      </c>
      <c r="O1511" s="152">
        <v>2.2153489999999998</v>
      </c>
      <c r="P1511" s="152">
        <v>38.960602999999999</v>
      </c>
      <c r="Q1511" s="152">
        <v>2.2153489999999998</v>
      </c>
      <c r="R1511" s="152" t="s">
        <v>1327</v>
      </c>
      <c r="S1511" s="152">
        <v>100.56626300000001</v>
      </c>
      <c r="T1511" s="152">
        <v>0.946411</v>
      </c>
      <c r="U1511" s="152">
        <v>1.1210519999999999</v>
      </c>
      <c r="V1511" s="152">
        <v>1.8270439999999999</v>
      </c>
      <c r="W1511" s="152">
        <v>1000</v>
      </c>
      <c r="X1511" s="152" t="s">
        <v>23</v>
      </c>
      <c r="Y1511" s="152" t="s">
        <v>1328</v>
      </c>
      <c r="Z1511" s="152" t="s">
        <v>1327</v>
      </c>
    </row>
    <row r="1512" spans="1:26" x14ac:dyDescent="0.2">
      <c r="A1512" s="152" t="s">
        <v>606</v>
      </c>
      <c r="B1512" s="152">
        <v>2.6</v>
      </c>
      <c r="C1512" s="151">
        <v>43878</v>
      </c>
      <c r="D1512" s="152">
        <v>1.3150679999999999</v>
      </c>
      <c r="E1512" s="152" t="s">
        <v>1325</v>
      </c>
      <c r="F1512" s="152" t="s">
        <v>1326</v>
      </c>
      <c r="G1512" s="152" t="s">
        <v>47</v>
      </c>
      <c r="H1512" s="152"/>
      <c r="I1512" s="152">
        <v>43217</v>
      </c>
      <c r="J1512" s="152">
        <v>1.73</v>
      </c>
      <c r="K1512" s="152" t="s">
        <v>1327</v>
      </c>
      <c r="L1512" s="152" t="s">
        <v>1327</v>
      </c>
      <c r="M1512" s="152" t="s">
        <v>1327</v>
      </c>
      <c r="N1512" s="152" t="s">
        <v>1327</v>
      </c>
      <c r="O1512" s="152">
        <v>2.2660209999999998</v>
      </c>
      <c r="P1512" s="152">
        <v>40.157877999999997</v>
      </c>
      <c r="Q1512" s="152">
        <v>2.2660209999999998</v>
      </c>
      <c r="R1512" s="152" t="s">
        <v>1327</v>
      </c>
      <c r="S1512" s="152">
        <v>100.41793699999999</v>
      </c>
      <c r="T1512" s="152">
        <v>0.49150700000000003</v>
      </c>
      <c r="U1512" s="152">
        <v>1.281434</v>
      </c>
      <c r="V1512" s="152">
        <v>2.2908529999999998</v>
      </c>
      <c r="W1512" s="152">
        <v>1000</v>
      </c>
      <c r="X1512" s="152" t="s">
        <v>23</v>
      </c>
      <c r="Y1512" s="152" t="s">
        <v>1328</v>
      </c>
      <c r="Z1512" s="152" t="s">
        <v>1327</v>
      </c>
    </row>
    <row r="1513" spans="1:26" x14ac:dyDescent="0.2">
      <c r="A1513" s="152" t="s">
        <v>508</v>
      </c>
      <c r="B1513" s="152">
        <v>2.59</v>
      </c>
      <c r="C1513" s="151">
        <v>43955</v>
      </c>
      <c r="D1513" s="152">
        <v>1.526027</v>
      </c>
      <c r="E1513" s="152" t="s">
        <v>1325</v>
      </c>
      <c r="F1513" s="152" t="s">
        <v>1326</v>
      </c>
      <c r="G1513" s="152" t="s">
        <v>47</v>
      </c>
      <c r="H1513" s="152"/>
      <c r="I1513" s="152" t="s">
        <v>1327</v>
      </c>
      <c r="J1513" s="152" t="s">
        <v>1327</v>
      </c>
      <c r="K1513" s="152" t="s">
        <v>1327</v>
      </c>
      <c r="L1513" s="152" t="s">
        <v>1327</v>
      </c>
      <c r="M1513" s="152" t="s">
        <v>1327</v>
      </c>
      <c r="N1513" s="152" t="s">
        <v>1327</v>
      </c>
      <c r="O1513" s="152">
        <v>2.3433839999999999</v>
      </c>
      <c r="P1513" s="152">
        <v>42.301760999999999</v>
      </c>
      <c r="Q1513" s="152">
        <v>2.3433839999999999</v>
      </c>
      <c r="R1513" s="152" t="s">
        <v>1327</v>
      </c>
      <c r="S1513" s="152">
        <v>100.368341</v>
      </c>
      <c r="T1513" s="152">
        <v>-7.0958999999999994E-2</v>
      </c>
      <c r="U1513" s="152">
        <v>1.490872</v>
      </c>
      <c r="V1513" s="152">
        <v>2.9746860000000002</v>
      </c>
      <c r="W1513" s="152">
        <v>1000</v>
      </c>
      <c r="X1513" s="152" t="s">
        <v>23</v>
      </c>
      <c r="Y1513" s="152" t="s">
        <v>1328</v>
      </c>
      <c r="Z1513" s="152" t="s">
        <v>1327</v>
      </c>
    </row>
    <row r="1514" spans="1:26" x14ac:dyDescent="0.2">
      <c r="A1514" s="152" t="s">
        <v>2640</v>
      </c>
      <c r="B1514" s="152">
        <v>3.1</v>
      </c>
      <c r="C1514" s="151">
        <v>44078</v>
      </c>
      <c r="D1514" s="152">
        <v>1.8630139999999999</v>
      </c>
      <c r="E1514" s="152" t="s">
        <v>1325</v>
      </c>
      <c r="F1514" s="152" t="s">
        <v>1326</v>
      </c>
      <c r="G1514" s="152" t="s">
        <v>47</v>
      </c>
      <c r="H1514" s="152"/>
      <c r="I1514" s="151">
        <v>43321</v>
      </c>
      <c r="J1514" s="152">
        <v>2.15</v>
      </c>
      <c r="K1514" s="152" t="s">
        <v>1327</v>
      </c>
      <c r="L1514" s="152" t="s">
        <v>1327</v>
      </c>
      <c r="M1514" s="152" t="s">
        <v>1327</v>
      </c>
      <c r="N1514" s="152" t="s">
        <v>1327</v>
      </c>
      <c r="O1514" s="152">
        <v>2.562354</v>
      </c>
      <c r="P1514" s="152">
        <v>56.101793999999998</v>
      </c>
      <c r="Q1514" s="152">
        <v>2.562354</v>
      </c>
      <c r="R1514" s="152" t="s">
        <v>1327</v>
      </c>
      <c r="S1514" s="152">
        <v>100.97927300000001</v>
      </c>
      <c r="T1514" s="152">
        <v>0.43315100000000001</v>
      </c>
      <c r="U1514" s="152">
        <v>1.788198</v>
      </c>
      <c r="V1514" s="152">
        <v>4.129861</v>
      </c>
      <c r="W1514" s="152">
        <v>1000</v>
      </c>
      <c r="X1514" s="152" t="s">
        <v>23</v>
      </c>
      <c r="Y1514" s="152" t="s">
        <v>1328</v>
      </c>
      <c r="Z1514" s="152" t="s">
        <v>1327</v>
      </c>
    </row>
    <row r="1515" spans="1:26" x14ac:dyDescent="0.2">
      <c r="A1515" s="152" t="s">
        <v>220</v>
      </c>
      <c r="B1515" s="152">
        <v>2.09</v>
      </c>
      <c r="C1515" s="151">
        <v>44270</v>
      </c>
      <c r="D1515" s="152">
        <v>2.3890410000000002</v>
      </c>
      <c r="E1515" s="152" t="s">
        <v>1325</v>
      </c>
      <c r="F1515" s="152" t="s">
        <v>1326</v>
      </c>
      <c r="G1515" s="152" t="s">
        <v>47</v>
      </c>
      <c r="H1515" s="152"/>
      <c r="I1515" s="151">
        <v>43339</v>
      </c>
      <c r="J1515" s="152">
        <v>2.4</v>
      </c>
      <c r="K1515" s="152" t="s">
        <v>1327</v>
      </c>
      <c r="L1515" s="152" t="s">
        <v>1327</v>
      </c>
      <c r="M1515" s="152" t="s">
        <v>1327</v>
      </c>
      <c r="N1515" s="152" t="s">
        <v>1327</v>
      </c>
      <c r="O1515" s="152">
        <v>2.6354730000000002</v>
      </c>
      <c r="P1515" s="152">
        <v>59.010210999999998</v>
      </c>
      <c r="Q1515" s="152">
        <v>2.6354730000000002</v>
      </c>
      <c r="R1515" s="152" t="s">
        <v>1327</v>
      </c>
      <c r="S1515" s="152">
        <v>98.753797000000006</v>
      </c>
      <c r="T1515" s="152">
        <v>0.22904099999999999</v>
      </c>
      <c r="U1515" s="152">
        <v>2.3043559999999998</v>
      </c>
      <c r="V1515" s="152">
        <v>6.5203540000000002</v>
      </c>
      <c r="W1515" s="152">
        <v>1000</v>
      </c>
      <c r="X1515" s="152" t="s">
        <v>23</v>
      </c>
      <c r="Y1515" s="152" t="s">
        <v>1328</v>
      </c>
      <c r="Z1515" s="152" t="s">
        <v>1327</v>
      </c>
    </row>
    <row r="1516" spans="1:26" x14ac:dyDescent="0.2">
      <c r="A1516" s="152" t="s">
        <v>2641</v>
      </c>
      <c r="B1516" s="152">
        <v>2.66</v>
      </c>
      <c r="C1516" s="151">
        <v>43450</v>
      </c>
      <c r="D1516" s="152">
        <v>0.14246600000000001</v>
      </c>
      <c r="E1516" s="152" t="s">
        <v>1325</v>
      </c>
      <c r="F1516" s="152" t="s">
        <v>1326</v>
      </c>
      <c r="G1516" s="152" t="s">
        <v>47</v>
      </c>
      <c r="H1516" s="152"/>
      <c r="I1516" s="151">
        <v>43385</v>
      </c>
      <c r="J1516" s="152">
        <v>1.7</v>
      </c>
      <c r="K1516" s="152" t="s">
        <v>1327</v>
      </c>
      <c r="L1516" s="152" t="s">
        <v>1327</v>
      </c>
      <c r="M1516" s="152" t="s">
        <v>1327</v>
      </c>
      <c r="N1516" s="152" t="s">
        <v>1327</v>
      </c>
      <c r="O1516" s="152">
        <v>1.683629</v>
      </c>
      <c r="P1516" s="152">
        <v>31.891114999999999</v>
      </c>
      <c r="Q1516" s="152">
        <v>1.683629</v>
      </c>
      <c r="R1516" s="152" t="s">
        <v>1327</v>
      </c>
      <c r="S1516" s="152">
        <v>100.133572</v>
      </c>
      <c r="T1516" s="152">
        <v>0.95468500000000001</v>
      </c>
      <c r="U1516" s="152">
        <v>0.14127600000000001</v>
      </c>
      <c r="V1516" s="152">
        <v>9.0008000000000005E-2</v>
      </c>
      <c r="W1516" s="152">
        <v>1000</v>
      </c>
      <c r="X1516" s="152" t="s">
        <v>23</v>
      </c>
      <c r="Y1516" s="152" t="s">
        <v>1328</v>
      </c>
      <c r="Z1516" s="152" t="s">
        <v>1327</v>
      </c>
    </row>
    <row r="1517" spans="1:26" x14ac:dyDescent="0.2">
      <c r="A1517" s="152" t="s">
        <v>2642</v>
      </c>
      <c r="B1517" s="152">
        <v>5.55</v>
      </c>
      <c r="C1517" s="151">
        <v>43646</v>
      </c>
      <c r="D1517" s="152">
        <v>0.67945199999999994</v>
      </c>
      <c r="E1517" s="152" t="s">
        <v>1355</v>
      </c>
      <c r="F1517" s="152" t="s">
        <v>1326</v>
      </c>
      <c r="G1517" s="152" t="s">
        <v>47</v>
      </c>
      <c r="H1517" s="152"/>
      <c r="I1517" s="152">
        <v>41989</v>
      </c>
      <c r="J1517" s="152">
        <v>5</v>
      </c>
      <c r="K1517" s="152" t="s">
        <v>1327</v>
      </c>
      <c r="L1517" s="152" t="s">
        <v>1327</v>
      </c>
      <c r="M1517" s="152" t="s">
        <v>1327</v>
      </c>
      <c r="N1517" s="152" t="s">
        <v>1327</v>
      </c>
      <c r="O1517" s="152">
        <v>1.9978009999999999</v>
      </c>
      <c r="P1517" s="152">
        <v>30.599781</v>
      </c>
      <c r="Q1517" s="152">
        <v>1.9978009999999999</v>
      </c>
      <c r="R1517" s="152" t="s">
        <v>1327</v>
      </c>
      <c r="S1517" s="152">
        <v>101.515446</v>
      </c>
      <c r="T1517" s="152">
        <v>0.380137</v>
      </c>
      <c r="U1517" s="152">
        <v>0.42846499999999998</v>
      </c>
      <c r="V1517" s="152">
        <v>0.35162599999999999</v>
      </c>
      <c r="W1517" s="152">
        <v>287.5</v>
      </c>
      <c r="X1517" s="152" t="s">
        <v>23</v>
      </c>
      <c r="Y1517" s="152" t="s">
        <v>1328</v>
      </c>
      <c r="Z1517" s="152" t="s">
        <v>1327</v>
      </c>
    </row>
    <row r="1518" spans="1:26" x14ac:dyDescent="0.2">
      <c r="A1518" s="152" t="s">
        <v>2643</v>
      </c>
      <c r="B1518" s="152">
        <v>2.97</v>
      </c>
      <c r="C1518" s="151">
        <v>43815</v>
      </c>
      <c r="D1518" s="152">
        <v>1.142466</v>
      </c>
      <c r="E1518" s="152" t="s">
        <v>1325</v>
      </c>
      <c r="F1518" s="152" t="s">
        <v>1326</v>
      </c>
      <c r="G1518" s="152" t="s">
        <v>47</v>
      </c>
      <c r="H1518" s="152"/>
      <c r="I1518" s="152">
        <v>43320</v>
      </c>
      <c r="J1518" s="152">
        <v>1.85</v>
      </c>
      <c r="K1518" s="152" t="s">
        <v>1327</v>
      </c>
      <c r="L1518" s="152" t="s">
        <v>1327</v>
      </c>
      <c r="M1518" s="152" t="s">
        <v>1327</v>
      </c>
      <c r="N1518" s="152" t="s">
        <v>1327</v>
      </c>
      <c r="O1518" s="152">
        <v>2.136622</v>
      </c>
      <c r="P1518" s="152">
        <v>31.236129999999999</v>
      </c>
      <c r="Q1518" s="152">
        <v>2.136622</v>
      </c>
      <c r="R1518" s="152" t="s">
        <v>1327</v>
      </c>
      <c r="S1518" s="152">
        <v>100.929974</v>
      </c>
      <c r="T1518" s="152">
        <v>1.0659449999999999</v>
      </c>
      <c r="U1518" s="152">
        <v>1.1089230000000001</v>
      </c>
      <c r="V1518" s="152">
        <v>1.795574</v>
      </c>
      <c r="W1518" s="152">
        <v>1000</v>
      </c>
      <c r="X1518" s="152" t="s">
        <v>23</v>
      </c>
      <c r="Y1518" s="152" t="s">
        <v>1328</v>
      </c>
      <c r="Z1518" s="152" t="s">
        <v>1327</v>
      </c>
    </row>
    <row r="1519" spans="1:26" x14ac:dyDescent="0.2">
      <c r="A1519" s="152" t="s">
        <v>2644</v>
      </c>
      <c r="B1519" s="152">
        <v>3.37</v>
      </c>
      <c r="C1519" s="151">
        <v>44181</v>
      </c>
      <c r="D1519" s="152">
        <v>2.1452049999999998</v>
      </c>
      <c r="E1519" s="152" t="s">
        <v>1325</v>
      </c>
      <c r="F1519" s="152" t="s">
        <v>1326</v>
      </c>
      <c r="G1519" s="152" t="s">
        <v>47</v>
      </c>
      <c r="H1519" s="152"/>
      <c r="I1519" s="152">
        <v>43265</v>
      </c>
      <c r="J1519" s="152">
        <v>2.15</v>
      </c>
      <c r="K1519" s="152" t="s">
        <v>1327</v>
      </c>
      <c r="L1519" s="152" t="s">
        <v>1327</v>
      </c>
      <c r="M1519" s="152" t="s">
        <v>1327</v>
      </c>
      <c r="N1519" s="152" t="s">
        <v>1327</v>
      </c>
      <c r="O1519" s="152">
        <v>2.4071440000000002</v>
      </c>
      <c r="P1519" s="152">
        <v>37.890033000000003</v>
      </c>
      <c r="Q1519" s="152">
        <v>2.4071440000000002</v>
      </c>
      <c r="R1519" s="152" t="s">
        <v>1327</v>
      </c>
      <c r="S1519" s="152">
        <v>101.992225</v>
      </c>
      <c r="T1519" s="152">
        <v>1.2095070000000001</v>
      </c>
      <c r="U1519" s="152">
        <v>2.0375459999999999</v>
      </c>
      <c r="V1519" s="152">
        <v>5.2701510000000003</v>
      </c>
      <c r="W1519" s="152">
        <v>1000</v>
      </c>
      <c r="X1519" s="152" t="s">
        <v>23</v>
      </c>
      <c r="Y1519" s="152" t="s">
        <v>1328</v>
      </c>
      <c r="Z1519" s="152" t="s">
        <v>1327</v>
      </c>
    </row>
    <row r="1520" spans="1:26" x14ac:dyDescent="0.2">
      <c r="A1520" s="152" t="s">
        <v>2645</v>
      </c>
      <c r="B1520" s="152">
        <v>2.2000000000000002</v>
      </c>
      <c r="C1520" s="151">
        <v>44206</v>
      </c>
      <c r="D1520" s="152">
        <v>2.2136990000000001</v>
      </c>
      <c r="E1520" s="152" t="s">
        <v>1325</v>
      </c>
      <c r="F1520" s="152" t="s">
        <v>1326</v>
      </c>
      <c r="G1520" s="152"/>
      <c r="H1520" s="152"/>
      <c r="I1520" s="152">
        <v>43347</v>
      </c>
      <c r="J1520" s="152">
        <v>2.46</v>
      </c>
      <c r="K1520" s="151" t="s">
        <v>1327</v>
      </c>
      <c r="L1520" s="152" t="s">
        <v>1327</v>
      </c>
      <c r="M1520" s="152" t="s">
        <v>1327</v>
      </c>
      <c r="N1520" s="152" t="s">
        <v>1327</v>
      </c>
      <c r="O1520" s="152">
        <v>2.5525790000000002</v>
      </c>
      <c r="P1520" s="152">
        <v>51.89884</v>
      </c>
      <c r="Q1520" s="152">
        <v>2.5525790000000002</v>
      </c>
      <c r="R1520" s="152" t="s">
        <v>1327</v>
      </c>
      <c r="S1520" s="152">
        <v>99.235971000000006</v>
      </c>
      <c r="T1520" s="152">
        <v>0.64493199999999995</v>
      </c>
      <c r="U1520" s="152">
        <v>2.1296919999999999</v>
      </c>
      <c r="V1520" s="152">
        <v>5.6635929999999997</v>
      </c>
      <c r="W1520" s="152">
        <v>1000</v>
      </c>
      <c r="X1520" s="152" t="s">
        <v>23</v>
      </c>
      <c r="Y1520" s="152" t="s">
        <v>1328</v>
      </c>
      <c r="Z1520" s="152" t="s">
        <v>1327</v>
      </c>
    </row>
    <row r="1521" spans="1:26" x14ac:dyDescent="0.2">
      <c r="A1521" s="152" t="s">
        <v>2646</v>
      </c>
      <c r="B1521" s="152">
        <v>3.62</v>
      </c>
      <c r="C1521" s="151">
        <v>44546</v>
      </c>
      <c r="D1521" s="152">
        <v>3.1452049999999998</v>
      </c>
      <c r="E1521" s="152" t="s">
        <v>1325</v>
      </c>
      <c r="F1521" s="152" t="s">
        <v>1326</v>
      </c>
      <c r="G1521" s="152" t="s">
        <v>47</v>
      </c>
      <c r="H1521" s="152"/>
      <c r="I1521" s="152">
        <v>43397</v>
      </c>
      <c r="J1521" s="152">
        <v>2.99</v>
      </c>
      <c r="K1521" s="152" t="s">
        <v>1327</v>
      </c>
      <c r="L1521" s="152" t="s">
        <v>1327</v>
      </c>
      <c r="M1521" s="152" t="s">
        <v>1327</v>
      </c>
      <c r="N1521" s="152" t="s">
        <v>1327</v>
      </c>
      <c r="O1521" s="152">
        <v>2.99</v>
      </c>
      <c r="P1521" s="152">
        <v>84.866615999999993</v>
      </c>
      <c r="Q1521" s="152">
        <v>2.99</v>
      </c>
      <c r="R1521" s="152" t="s">
        <v>1327</v>
      </c>
      <c r="S1521" s="152">
        <v>101.868549</v>
      </c>
      <c r="T1521" s="152">
        <v>1.2992330000000001</v>
      </c>
      <c r="U1521" s="152">
        <v>2.9198149999999998</v>
      </c>
      <c r="V1521" s="152">
        <v>10.311956</v>
      </c>
      <c r="W1521" s="152">
        <v>1000</v>
      </c>
      <c r="X1521" s="152" t="s">
        <v>23</v>
      </c>
      <c r="Y1521" s="152" t="s">
        <v>1328</v>
      </c>
      <c r="Z1521" s="152" t="s">
        <v>1327</v>
      </c>
    </row>
    <row r="1522" spans="1:26" x14ac:dyDescent="0.2">
      <c r="A1522" s="152" t="s">
        <v>2647</v>
      </c>
      <c r="B1522" s="152">
        <v>3.8</v>
      </c>
      <c r="C1522" s="151">
        <v>44911</v>
      </c>
      <c r="D1522" s="152">
        <v>4.1452049999999998</v>
      </c>
      <c r="E1522" s="152" t="s">
        <v>1325</v>
      </c>
      <c r="F1522" s="152" t="s">
        <v>1326</v>
      </c>
      <c r="G1522" s="152" t="s">
        <v>47</v>
      </c>
      <c r="H1522" s="152"/>
      <c r="I1522" s="151">
        <v>43125</v>
      </c>
      <c r="J1522" s="152">
        <v>2.5499999999999998</v>
      </c>
      <c r="K1522" s="152" t="s">
        <v>1327</v>
      </c>
      <c r="L1522" s="152" t="s">
        <v>1327</v>
      </c>
      <c r="M1522" s="152" t="s">
        <v>1327</v>
      </c>
      <c r="N1522" s="152" t="s">
        <v>1327</v>
      </c>
      <c r="O1522" s="152">
        <v>3.2327080000000001</v>
      </c>
      <c r="P1522" s="152">
        <v>89.572767999999996</v>
      </c>
      <c r="Q1522" s="152">
        <v>3.2327080000000001</v>
      </c>
      <c r="R1522" s="152" t="s">
        <v>1327</v>
      </c>
      <c r="S1522" s="152">
        <v>102.174678</v>
      </c>
      <c r="T1522" s="152">
        <v>1.363836</v>
      </c>
      <c r="U1522" s="152">
        <v>3.7647249999999999</v>
      </c>
      <c r="V1522" s="152">
        <v>16.807324999999999</v>
      </c>
      <c r="W1522" s="152">
        <v>1000</v>
      </c>
      <c r="X1522" s="152" t="s">
        <v>23</v>
      </c>
      <c r="Y1522" s="152" t="s">
        <v>1328</v>
      </c>
      <c r="Z1522" s="152" t="s">
        <v>1327</v>
      </c>
    </row>
    <row r="1523" spans="1:26" x14ac:dyDescent="0.2">
      <c r="A1523" s="152" t="s">
        <v>2648</v>
      </c>
      <c r="B1523" s="152">
        <v>3.94</v>
      </c>
      <c r="C1523" s="151">
        <v>45276</v>
      </c>
      <c r="D1523" s="152">
        <v>5.1452049999999998</v>
      </c>
      <c r="E1523" s="152" t="s">
        <v>1325</v>
      </c>
      <c r="F1523" s="152" t="s">
        <v>1326</v>
      </c>
      <c r="G1523" s="152" t="s">
        <v>47</v>
      </c>
      <c r="H1523" s="152"/>
      <c r="I1523" s="152" t="s">
        <v>1327</v>
      </c>
      <c r="J1523" s="152" t="s">
        <v>1327</v>
      </c>
      <c r="K1523" s="152" t="s">
        <v>1327</v>
      </c>
      <c r="L1523" s="152" t="s">
        <v>1327</v>
      </c>
      <c r="M1523" s="152" t="s">
        <v>1327</v>
      </c>
      <c r="N1523" s="152" t="s">
        <v>1327</v>
      </c>
      <c r="O1523" s="152">
        <v>3.3809779999999998</v>
      </c>
      <c r="P1523" s="152">
        <v>94.977581999999998</v>
      </c>
      <c r="Q1523" s="152">
        <v>3.3809779999999998</v>
      </c>
      <c r="R1523" s="152" t="s">
        <v>1327</v>
      </c>
      <c r="S1523" s="152">
        <v>102.60974299999999</v>
      </c>
      <c r="T1523" s="152">
        <v>1.4140820000000001</v>
      </c>
      <c r="U1523" s="152">
        <v>4.5718750000000004</v>
      </c>
      <c r="V1523" s="152">
        <v>24.607997000000001</v>
      </c>
      <c r="W1523" s="152">
        <v>1000</v>
      </c>
      <c r="X1523" s="152" t="s">
        <v>23</v>
      </c>
      <c r="Y1523" s="152" t="s">
        <v>1328</v>
      </c>
      <c r="Z1523" s="152" t="s">
        <v>1327</v>
      </c>
    </row>
    <row r="1524" spans="1:26" x14ac:dyDescent="0.2">
      <c r="A1524" s="152" t="s">
        <v>2649</v>
      </c>
      <c r="B1524" s="152">
        <v>4</v>
      </c>
      <c r="C1524" s="151">
        <v>43434</v>
      </c>
      <c r="D1524" s="152">
        <v>9.8629999999999995E-2</v>
      </c>
      <c r="E1524" s="152" t="s">
        <v>1325</v>
      </c>
      <c r="F1524" s="152" t="s">
        <v>1326</v>
      </c>
      <c r="G1524" s="152"/>
      <c r="H1524" s="152"/>
      <c r="I1524" s="152" t="s">
        <v>1327</v>
      </c>
      <c r="J1524" s="152" t="s">
        <v>1327</v>
      </c>
      <c r="K1524" s="152" t="s">
        <v>1327</v>
      </c>
      <c r="L1524" s="152" t="s">
        <v>1327</v>
      </c>
      <c r="M1524" s="152" t="s">
        <v>1327</v>
      </c>
      <c r="N1524" s="152" t="s">
        <v>1327</v>
      </c>
      <c r="O1524" s="152">
        <v>3.864385</v>
      </c>
      <c r="P1524" s="152">
        <v>260.91259000000002</v>
      </c>
      <c r="Q1524" s="152">
        <v>3.864385</v>
      </c>
      <c r="R1524" s="152" t="s">
        <v>1327</v>
      </c>
      <c r="S1524" s="152">
        <v>99.993747999999997</v>
      </c>
      <c r="T1524" s="152">
        <v>1.621918</v>
      </c>
      <c r="U1524" s="152">
        <v>9.6761E-2</v>
      </c>
      <c r="V1524" s="152">
        <v>5.6826000000000002E-2</v>
      </c>
      <c r="W1524" s="152">
        <v>1000</v>
      </c>
      <c r="X1524" s="152" t="s">
        <v>23</v>
      </c>
      <c r="Y1524" s="152" t="s">
        <v>1328</v>
      </c>
      <c r="Z1524" s="152" t="s">
        <v>1327</v>
      </c>
    </row>
    <row r="1525" spans="1:26" x14ac:dyDescent="0.2">
      <c r="A1525" s="152" t="s">
        <v>2650</v>
      </c>
      <c r="B1525" s="152">
        <v>2.39</v>
      </c>
      <c r="C1525" s="151">
        <v>43870</v>
      </c>
      <c r="D1525" s="152">
        <v>1.2931509999999999</v>
      </c>
      <c r="E1525" s="152" t="s">
        <v>1325</v>
      </c>
      <c r="F1525" s="152" t="s">
        <v>1326</v>
      </c>
      <c r="G1525" s="152"/>
      <c r="H1525" s="152"/>
      <c r="I1525" s="151">
        <v>43153</v>
      </c>
      <c r="J1525" s="152">
        <v>1.7649999999999999</v>
      </c>
      <c r="K1525" s="152" t="s">
        <v>1327</v>
      </c>
      <c r="L1525" s="152" t="s">
        <v>1327</v>
      </c>
      <c r="M1525" s="152" t="s">
        <v>1327</v>
      </c>
      <c r="N1525" s="152" t="s">
        <v>1327</v>
      </c>
      <c r="O1525" s="152">
        <v>2.3815759999999999</v>
      </c>
      <c r="P1525" s="152">
        <v>52.422550999999999</v>
      </c>
      <c r="Q1525" s="152">
        <v>2.3815759999999999</v>
      </c>
      <c r="R1525" s="152" t="s">
        <v>1327</v>
      </c>
      <c r="S1525" s="152">
        <v>99.999127999999999</v>
      </c>
      <c r="T1525" s="152">
        <v>0.50419199999999997</v>
      </c>
      <c r="U1525" s="152">
        <v>1.2604979999999999</v>
      </c>
      <c r="V1525" s="152">
        <v>2.2257660000000001</v>
      </c>
      <c r="W1525" s="152">
        <v>1000</v>
      </c>
      <c r="X1525" s="152" t="s">
        <v>23</v>
      </c>
      <c r="Y1525" s="152" t="s">
        <v>1328</v>
      </c>
      <c r="Z1525" s="152" t="s">
        <v>1327</v>
      </c>
    </row>
    <row r="1526" spans="1:26" x14ac:dyDescent="0.2">
      <c r="A1526" s="152" t="s">
        <v>2651</v>
      </c>
      <c r="B1526" s="152">
        <v>3.44</v>
      </c>
      <c r="C1526" s="151">
        <v>45331</v>
      </c>
      <c r="D1526" s="152">
        <v>5.29589</v>
      </c>
      <c r="E1526" s="152" t="s">
        <v>1325</v>
      </c>
      <c r="F1526" s="152" t="s">
        <v>1326</v>
      </c>
      <c r="G1526" s="152"/>
      <c r="H1526" s="152"/>
      <c r="I1526" s="152">
        <v>43243</v>
      </c>
      <c r="J1526" s="152">
        <v>3.05</v>
      </c>
      <c r="K1526" s="152" t="s">
        <v>1327</v>
      </c>
      <c r="L1526" s="152" t="s">
        <v>1327</v>
      </c>
      <c r="M1526" s="152" t="s">
        <v>1327</v>
      </c>
      <c r="N1526" s="152" t="s">
        <v>1327</v>
      </c>
      <c r="O1526" s="152">
        <v>3.288904</v>
      </c>
      <c r="P1526" s="152">
        <v>84.001281000000006</v>
      </c>
      <c r="Q1526" s="152">
        <v>3.288904</v>
      </c>
      <c r="R1526" s="152" t="s">
        <v>1327</v>
      </c>
      <c r="S1526" s="152">
        <v>100.711021</v>
      </c>
      <c r="T1526" s="152">
        <v>0.72569899999999998</v>
      </c>
      <c r="U1526" s="152">
        <v>4.7744819999999999</v>
      </c>
      <c r="V1526" s="152">
        <v>26.468478999999999</v>
      </c>
      <c r="W1526" s="152">
        <v>1000</v>
      </c>
      <c r="X1526" s="152" t="s">
        <v>23</v>
      </c>
      <c r="Y1526" s="152" t="s">
        <v>1328</v>
      </c>
      <c r="Z1526" s="152" t="s">
        <v>1327</v>
      </c>
    </row>
    <row r="1527" spans="1:26" x14ac:dyDescent="0.2">
      <c r="A1527" s="152" t="s">
        <v>2652</v>
      </c>
      <c r="B1527" s="152">
        <v>0.7</v>
      </c>
      <c r="C1527" s="151">
        <v>45472</v>
      </c>
      <c r="D1527" s="152">
        <v>5.6821919999999997</v>
      </c>
      <c r="E1527" s="152" t="s">
        <v>1325</v>
      </c>
      <c r="F1527" s="152" t="s">
        <v>1326</v>
      </c>
      <c r="G1527" s="152"/>
      <c r="H1527" s="152"/>
      <c r="I1527" s="151" t="s">
        <v>1327</v>
      </c>
      <c r="J1527" s="152" t="s">
        <v>1327</v>
      </c>
      <c r="K1527" s="152">
        <v>42972</v>
      </c>
      <c r="L1527" s="152">
        <v>-3.22</v>
      </c>
      <c r="M1527" s="152">
        <v>-3.1</v>
      </c>
      <c r="N1527" s="152">
        <v>-3.34</v>
      </c>
      <c r="O1527" s="152">
        <v>-5.4768189999999999</v>
      </c>
      <c r="P1527" s="152">
        <v>-789.67494499999998</v>
      </c>
      <c r="Q1527" s="152">
        <v>-5.4768189999999999</v>
      </c>
      <c r="R1527" s="152" t="s">
        <v>1327</v>
      </c>
      <c r="S1527" s="152">
        <v>141.469795</v>
      </c>
      <c r="T1527" s="152">
        <v>4.9862999999999998E-2</v>
      </c>
      <c r="U1527" s="152">
        <v>5.6684720000000004</v>
      </c>
      <c r="V1527" s="152">
        <v>33.887951999999999</v>
      </c>
      <c r="W1527" s="152">
        <v>1000</v>
      </c>
      <c r="X1527" s="152" t="s">
        <v>23</v>
      </c>
      <c r="Y1527" s="152" t="s">
        <v>1328</v>
      </c>
      <c r="Z1527" s="152" t="s">
        <v>1327</v>
      </c>
    </row>
    <row r="1528" spans="1:26" x14ac:dyDescent="0.2">
      <c r="A1528" s="152" t="s">
        <v>2653</v>
      </c>
      <c r="B1528" s="152">
        <v>2.85</v>
      </c>
      <c r="C1528" s="151">
        <v>45077</v>
      </c>
      <c r="D1528" s="152">
        <v>4.5999999999999996</v>
      </c>
      <c r="E1528" s="152" t="s">
        <v>1325</v>
      </c>
      <c r="F1528" s="152" t="s">
        <v>1326</v>
      </c>
      <c r="G1528" s="152"/>
      <c r="H1528" s="152"/>
      <c r="I1528" s="152" t="s">
        <v>1327</v>
      </c>
      <c r="J1528" s="152" t="s">
        <v>1327</v>
      </c>
      <c r="K1528" s="152" t="s">
        <v>1327</v>
      </c>
      <c r="L1528" s="152" t="s">
        <v>1327</v>
      </c>
      <c r="M1528" s="152" t="s">
        <v>1327</v>
      </c>
      <c r="N1528" s="152" t="s">
        <v>1327</v>
      </c>
      <c r="O1528" s="152">
        <v>3.0095260000000001</v>
      </c>
      <c r="P1528" s="152">
        <v>61.511257999999998</v>
      </c>
      <c r="Q1528" s="152">
        <v>3.0095260000000001</v>
      </c>
      <c r="R1528" s="152" t="s">
        <v>1327</v>
      </c>
      <c r="S1528" s="152">
        <v>99.314069000000003</v>
      </c>
      <c r="T1528" s="152">
        <v>1.1478079999999999</v>
      </c>
      <c r="U1528" s="152">
        <v>4.2290400000000004</v>
      </c>
      <c r="V1528" s="152">
        <v>20.828177</v>
      </c>
      <c r="W1528" s="152">
        <v>1000</v>
      </c>
      <c r="X1528" s="152" t="s">
        <v>23</v>
      </c>
      <c r="Y1528" s="152" t="s">
        <v>1328</v>
      </c>
      <c r="Z1528" s="152" t="s">
        <v>1327</v>
      </c>
    </row>
    <row r="1529" spans="1:26" x14ac:dyDescent="0.2">
      <c r="A1529" s="152" t="s">
        <v>2654</v>
      </c>
      <c r="B1529" s="152">
        <v>2.85</v>
      </c>
      <c r="C1529" s="151">
        <v>45107</v>
      </c>
      <c r="D1529" s="152">
        <v>4.6821919999999997</v>
      </c>
      <c r="E1529" s="152" t="s">
        <v>1325</v>
      </c>
      <c r="F1529" s="152" t="s">
        <v>1326</v>
      </c>
      <c r="G1529" s="152"/>
      <c r="H1529" s="152"/>
      <c r="I1529" s="152">
        <v>43215</v>
      </c>
      <c r="J1529" s="152">
        <v>2.8450000000000002</v>
      </c>
      <c r="K1529" s="152" t="s">
        <v>1327</v>
      </c>
      <c r="L1529" s="152" t="s">
        <v>1327</v>
      </c>
      <c r="M1529" s="152" t="s">
        <v>1327</v>
      </c>
      <c r="N1529" s="152" t="s">
        <v>1327</v>
      </c>
      <c r="O1529" s="152">
        <v>3.2629999999999999</v>
      </c>
      <c r="P1529" s="152">
        <v>86.386471</v>
      </c>
      <c r="Q1529" s="152">
        <v>3.2629999999999999</v>
      </c>
      <c r="R1529" s="152" t="s">
        <v>1327</v>
      </c>
      <c r="S1529" s="152">
        <v>98.214045999999996</v>
      </c>
      <c r="T1529" s="152">
        <v>0.91356199999999999</v>
      </c>
      <c r="U1529" s="152">
        <v>4.302454</v>
      </c>
      <c r="V1529" s="152">
        <v>21.492341</v>
      </c>
      <c r="W1529" s="152">
        <v>1000</v>
      </c>
      <c r="X1529" s="152" t="s">
        <v>23</v>
      </c>
      <c r="Y1529" s="152" t="s">
        <v>1328</v>
      </c>
      <c r="Z1529" s="152" t="s">
        <v>1327</v>
      </c>
    </row>
    <row r="1530" spans="1:26" x14ac:dyDescent="0.2">
      <c r="A1530" s="152" t="s">
        <v>771</v>
      </c>
      <c r="B1530" s="152">
        <v>2.85</v>
      </c>
      <c r="C1530" s="151">
        <v>45139</v>
      </c>
      <c r="D1530" s="152">
        <v>4.769863</v>
      </c>
      <c r="E1530" s="152" t="s">
        <v>1325</v>
      </c>
      <c r="F1530" s="152" t="s">
        <v>1326</v>
      </c>
      <c r="G1530" s="152"/>
      <c r="H1530" s="152"/>
      <c r="I1530" s="152" t="s">
        <v>1327</v>
      </c>
      <c r="J1530" s="152" t="s">
        <v>1327</v>
      </c>
      <c r="K1530" s="152" t="s">
        <v>1327</v>
      </c>
      <c r="L1530" s="152" t="s">
        <v>1327</v>
      </c>
      <c r="M1530" s="152" t="s">
        <v>1327</v>
      </c>
      <c r="N1530" s="152" t="s">
        <v>1327</v>
      </c>
      <c r="O1530" s="152">
        <v>3.2798630000000002</v>
      </c>
      <c r="P1530" s="152">
        <v>87.455916999999999</v>
      </c>
      <c r="Q1530" s="152">
        <v>3.2798630000000002</v>
      </c>
      <c r="R1530" s="152" t="s">
        <v>1327</v>
      </c>
      <c r="S1530" s="152">
        <v>98.101095000000001</v>
      </c>
      <c r="T1530" s="152">
        <v>0.66369900000000004</v>
      </c>
      <c r="U1530" s="152">
        <v>4.3909039999999999</v>
      </c>
      <c r="V1530" s="152">
        <v>22.304887000000001</v>
      </c>
      <c r="W1530" s="152">
        <v>1000</v>
      </c>
      <c r="X1530" s="152" t="s">
        <v>23</v>
      </c>
      <c r="Y1530" s="152" t="s">
        <v>1328</v>
      </c>
      <c r="Z1530" s="152" t="s">
        <v>1327</v>
      </c>
    </row>
    <row r="1531" spans="1:26" x14ac:dyDescent="0.2">
      <c r="A1531" s="152" t="s">
        <v>2655</v>
      </c>
      <c r="B1531" s="152">
        <v>4.2750000000000004</v>
      </c>
      <c r="C1531" s="151">
        <v>46414</v>
      </c>
      <c r="D1531" s="152">
        <v>8.2630140000000001</v>
      </c>
      <c r="E1531" s="152" t="s">
        <v>1325</v>
      </c>
      <c r="F1531" s="152" t="s">
        <v>1326</v>
      </c>
      <c r="G1531" s="152"/>
      <c r="H1531" s="152"/>
      <c r="I1531" s="152" t="s">
        <v>1327</v>
      </c>
      <c r="J1531" s="152" t="s">
        <v>1327</v>
      </c>
      <c r="K1531" s="152" t="s">
        <v>1327</v>
      </c>
      <c r="L1531" s="152" t="s">
        <v>1327</v>
      </c>
      <c r="M1531" s="152" t="s">
        <v>1327</v>
      </c>
      <c r="N1531" s="152" t="s">
        <v>1327</v>
      </c>
      <c r="O1531" s="152">
        <v>3.732259</v>
      </c>
      <c r="P1531" s="152">
        <v>100.468825</v>
      </c>
      <c r="Q1531" s="152">
        <v>3.732259</v>
      </c>
      <c r="R1531" s="152" t="s">
        <v>1327</v>
      </c>
      <c r="S1531" s="152">
        <v>103.805333</v>
      </c>
      <c r="T1531" s="152">
        <v>1.077534</v>
      </c>
      <c r="U1531" s="152">
        <v>6.8757200000000003</v>
      </c>
      <c r="V1531" s="152">
        <v>55.965083999999997</v>
      </c>
      <c r="W1531" s="152">
        <v>1000</v>
      </c>
      <c r="X1531" s="152" t="s">
        <v>23</v>
      </c>
      <c r="Y1531" s="152" t="s">
        <v>1328</v>
      </c>
      <c r="Z1531" s="152" t="s">
        <v>1327</v>
      </c>
    </row>
    <row r="1532" spans="1:26" x14ac:dyDescent="0.2">
      <c r="A1532" s="152" t="s">
        <v>2656</v>
      </c>
      <c r="B1532" s="152">
        <v>3.55</v>
      </c>
      <c r="C1532" s="151">
        <v>46735</v>
      </c>
      <c r="D1532" s="152">
        <v>9.1424660000000006</v>
      </c>
      <c r="E1532" s="152" t="s">
        <v>1325</v>
      </c>
      <c r="F1532" s="152" t="s">
        <v>1326</v>
      </c>
      <c r="G1532" s="152"/>
      <c r="H1532" s="152"/>
      <c r="I1532" s="152" t="s">
        <v>1327</v>
      </c>
      <c r="J1532" s="152" t="s">
        <v>1327</v>
      </c>
      <c r="K1532" s="152" t="s">
        <v>1327</v>
      </c>
      <c r="L1532" s="152" t="s">
        <v>1327</v>
      </c>
      <c r="M1532" s="152" t="s">
        <v>1327</v>
      </c>
      <c r="N1532" s="152" t="s">
        <v>1327</v>
      </c>
      <c r="O1532" s="152">
        <v>3.7827160000000002</v>
      </c>
      <c r="P1532" s="152">
        <v>98.416066999999998</v>
      </c>
      <c r="Q1532" s="152">
        <v>3.7827160000000002</v>
      </c>
      <c r="R1532" s="152" t="s">
        <v>1327</v>
      </c>
      <c r="S1532" s="152">
        <v>98.208121000000006</v>
      </c>
      <c r="T1532" s="152">
        <v>1.2935620000000001</v>
      </c>
      <c r="U1532" s="152">
        <v>7.6237719999999998</v>
      </c>
      <c r="V1532" s="152">
        <v>68.417342000000005</v>
      </c>
      <c r="W1532" s="152">
        <v>1000</v>
      </c>
      <c r="X1532" s="152" t="s">
        <v>23</v>
      </c>
      <c r="Y1532" s="152" t="s">
        <v>1328</v>
      </c>
      <c r="Z1532" s="152" t="s">
        <v>1327</v>
      </c>
    </row>
    <row r="1533" spans="1:26" x14ac:dyDescent="0.2">
      <c r="A1533" s="152" t="s">
        <v>2657</v>
      </c>
      <c r="B1533" s="152">
        <v>3.94</v>
      </c>
      <c r="C1533" s="151">
        <v>48562</v>
      </c>
      <c r="D1533" s="152">
        <v>14.147945</v>
      </c>
      <c r="E1533" s="152" t="s">
        <v>1325</v>
      </c>
      <c r="F1533" s="152" t="s">
        <v>1326</v>
      </c>
      <c r="G1533" s="152"/>
      <c r="H1533" s="152"/>
      <c r="I1533" s="151" t="s">
        <v>1327</v>
      </c>
      <c r="J1533" s="152" t="s">
        <v>1327</v>
      </c>
      <c r="K1533" s="152" t="s">
        <v>1327</v>
      </c>
      <c r="L1533" s="152" t="s">
        <v>1327</v>
      </c>
      <c r="M1533" s="152" t="s">
        <v>1327</v>
      </c>
      <c r="N1533" s="152" t="s">
        <v>1327</v>
      </c>
      <c r="O1533" s="152">
        <v>4.3402089999999998</v>
      </c>
      <c r="P1533" s="152">
        <v>109.298587</v>
      </c>
      <c r="Q1533" s="152">
        <v>4.3402089999999998</v>
      </c>
      <c r="R1533" s="152" t="s">
        <v>1327</v>
      </c>
      <c r="S1533" s="152">
        <v>95.794639000000004</v>
      </c>
      <c r="T1533" s="152">
        <v>1.4356709999999999</v>
      </c>
      <c r="U1533" s="152">
        <v>10.504408</v>
      </c>
      <c r="V1533" s="152">
        <v>136.87188900000001</v>
      </c>
      <c r="W1533" s="152">
        <v>1000</v>
      </c>
      <c r="X1533" s="152" t="s">
        <v>23</v>
      </c>
      <c r="Y1533" s="152" t="s">
        <v>1328</v>
      </c>
      <c r="Z1533" s="152" t="s">
        <v>1327</v>
      </c>
    </row>
    <row r="1534" spans="1:26" x14ac:dyDescent="0.2">
      <c r="A1534" s="152" t="s">
        <v>2658</v>
      </c>
      <c r="B1534" s="152">
        <v>4.9000000000000004</v>
      </c>
      <c r="C1534" s="151">
        <v>44376</v>
      </c>
      <c r="D1534" s="152">
        <v>2.6794519999999999</v>
      </c>
      <c r="E1534" s="152" t="s">
        <v>1325</v>
      </c>
      <c r="F1534" s="152" t="s">
        <v>1326</v>
      </c>
      <c r="G1534" s="152"/>
      <c r="H1534" s="152"/>
      <c r="I1534" s="151" t="s">
        <v>1327</v>
      </c>
      <c r="J1534" s="152" t="s">
        <v>1327</v>
      </c>
      <c r="K1534" s="152" t="s">
        <v>1327</v>
      </c>
      <c r="L1534" s="152" t="s">
        <v>1327</v>
      </c>
      <c r="M1534" s="152" t="s">
        <v>1327</v>
      </c>
      <c r="N1534" s="152" t="s">
        <v>1327</v>
      </c>
      <c r="O1534" s="152">
        <v>5.1357249999999999</v>
      </c>
      <c r="P1534" s="152">
        <v>315.43087400000002</v>
      </c>
      <c r="Q1534" s="152">
        <v>5.1357249999999999</v>
      </c>
      <c r="R1534" s="152" t="s">
        <v>1327</v>
      </c>
      <c r="S1534" s="152">
        <v>99.415458999999998</v>
      </c>
      <c r="T1534" s="152">
        <v>0.34904099999999999</v>
      </c>
      <c r="U1534" s="152">
        <v>2.4850720000000002</v>
      </c>
      <c r="V1534" s="152">
        <v>7.0414820000000002</v>
      </c>
      <c r="W1534" s="152">
        <v>1000</v>
      </c>
      <c r="X1534" s="152" t="s">
        <v>23</v>
      </c>
      <c r="Y1534" s="152" t="s">
        <v>1328</v>
      </c>
      <c r="Z1534" s="152" t="s">
        <v>1327</v>
      </c>
    </row>
    <row r="1535" spans="1:26" x14ac:dyDescent="0.2">
      <c r="A1535" s="152" t="s">
        <v>2659</v>
      </c>
      <c r="B1535" s="152">
        <v>5</v>
      </c>
      <c r="C1535" s="151">
        <v>44095</v>
      </c>
      <c r="D1535" s="152">
        <v>1.909589</v>
      </c>
      <c r="E1535" s="152" t="s">
        <v>1325</v>
      </c>
      <c r="F1535" s="152" t="s">
        <v>1326</v>
      </c>
      <c r="G1535" s="152"/>
      <c r="H1535" s="152"/>
      <c r="I1535" s="152" t="s">
        <v>1327</v>
      </c>
      <c r="J1535" s="152" t="s">
        <v>1327</v>
      </c>
      <c r="K1535" s="152" t="s">
        <v>1327</v>
      </c>
      <c r="L1535" s="152" t="s">
        <v>1327</v>
      </c>
      <c r="M1535" s="152" t="s">
        <v>1327</v>
      </c>
      <c r="N1535" s="152" t="s">
        <v>1327</v>
      </c>
      <c r="O1535" s="152">
        <v>5.4624920000000001</v>
      </c>
      <c r="P1535" s="152">
        <v>355.34855900000002</v>
      </c>
      <c r="Q1535" s="152">
        <v>5.4624920000000001</v>
      </c>
      <c r="R1535" s="152" t="s">
        <v>1327</v>
      </c>
      <c r="S1535" s="152">
        <v>99.169574999999995</v>
      </c>
      <c r="T1535" s="152">
        <v>0.46575299999999997</v>
      </c>
      <c r="U1535" s="152">
        <v>1.796854</v>
      </c>
      <c r="V1535" s="152">
        <v>3.768815</v>
      </c>
      <c r="W1535" s="152">
        <v>1000</v>
      </c>
      <c r="X1535" s="152" t="s">
        <v>23</v>
      </c>
      <c r="Y1535" s="152" t="s">
        <v>1328</v>
      </c>
      <c r="Z1535" s="152" t="s">
        <v>1327</v>
      </c>
    </row>
    <row r="1536" spans="1:26" x14ac:dyDescent="0.2">
      <c r="A1536" s="152" t="s">
        <v>2660</v>
      </c>
      <c r="B1536" s="152">
        <v>2.5499999999999998</v>
      </c>
      <c r="C1536" s="151">
        <v>43603</v>
      </c>
      <c r="D1536" s="152">
        <v>0.56164400000000003</v>
      </c>
      <c r="E1536" s="152" t="s">
        <v>1325</v>
      </c>
      <c r="F1536" s="152" t="s">
        <v>1326</v>
      </c>
      <c r="G1536" s="152" t="s">
        <v>29</v>
      </c>
      <c r="H1536" s="152"/>
      <c r="I1536" s="151">
        <v>43245</v>
      </c>
      <c r="J1536" s="152">
        <v>2.7</v>
      </c>
      <c r="K1536" s="152" t="s">
        <v>1327</v>
      </c>
      <c r="L1536" s="152" t="s">
        <v>1327</v>
      </c>
      <c r="M1536" s="152" t="s">
        <v>1327</v>
      </c>
      <c r="N1536" s="152" t="s">
        <v>1327</v>
      </c>
      <c r="O1536" s="152">
        <v>2.904925</v>
      </c>
      <c r="P1536" s="152">
        <v>118.042855</v>
      </c>
      <c r="Q1536" s="152">
        <v>2.904925</v>
      </c>
      <c r="R1536" s="152" t="s">
        <v>1327</v>
      </c>
      <c r="S1536" s="152">
        <v>99.790730999999994</v>
      </c>
      <c r="T1536" s="152">
        <v>1.1178079999999999</v>
      </c>
      <c r="U1536" s="152">
        <v>0.55143799999999998</v>
      </c>
      <c r="V1536" s="152">
        <v>0.57888099999999998</v>
      </c>
      <c r="W1536" s="152">
        <v>1000</v>
      </c>
      <c r="X1536" s="152" t="s">
        <v>23</v>
      </c>
      <c r="Y1536" s="152" t="s">
        <v>1328</v>
      </c>
      <c r="Z1536" s="152" t="s">
        <v>1327</v>
      </c>
    </row>
    <row r="1537" spans="1:26" x14ac:dyDescent="0.2">
      <c r="A1537" s="152" t="s">
        <v>2661</v>
      </c>
      <c r="B1537" s="152">
        <v>3.1</v>
      </c>
      <c r="C1537" s="151">
        <v>44334</v>
      </c>
      <c r="D1537" s="152">
        <v>2.564384</v>
      </c>
      <c r="E1537" s="152" t="s">
        <v>1325</v>
      </c>
      <c r="F1537" s="152" t="s">
        <v>1326</v>
      </c>
      <c r="G1537" s="152" t="s">
        <v>29</v>
      </c>
      <c r="H1537" s="152"/>
      <c r="I1537" s="151">
        <v>43028</v>
      </c>
      <c r="J1537" s="152">
        <v>2.68</v>
      </c>
      <c r="K1537" s="152" t="s">
        <v>1327</v>
      </c>
      <c r="L1537" s="152" t="s">
        <v>1327</v>
      </c>
      <c r="M1537" s="152" t="s">
        <v>1327</v>
      </c>
      <c r="N1537" s="152" t="s">
        <v>1327</v>
      </c>
      <c r="O1537" s="152">
        <v>3.5842969999999998</v>
      </c>
      <c r="P1537" s="152">
        <v>154.73758900000001</v>
      </c>
      <c r="Q1537" s="152">
        <v>3.5842969999999998</v>
      </c>
      <c r="R1537" s="152" t="s">
        <v>1327</v>
      </c>
      <c r="S1537" s="152">
        <v>98.808563000000007</v>
      </c>
      <c r="T1537" s="152">
        <v>1.3589039999999999</v>
      </c>
      <c r="U1537" s="152">
        <v>2.4094699999999998</v>
      </c>
      <c r="V1537" s="152">
        <v>7.1783380000000001</v>
      </c>
      <c r="W1537" s="152">
        <v>1000</v>
      </c>
      <c r="X1537" s="152" t="s">
        <v>23</v>
      </c>
      <c r="Y1537" s="152" t="s">
        <v>1328</v>
      </c>
      <c r="Z1537" s="152" t="s">
        <v>1327</v>
      </c>
    </row>
    <row r="1538" spans="1:26" x14ac:dyDescent="0.2">
      <c r="A1538" s="152" t="s">
        <v>2662</v>
      </c>
      <c r="B1538" s="152">
        <v>5.95</v>
      </c>
      <c r="C1538" s="151">
        <v>43800</v>
      </c>
      <c r="D1538" s="152">
        <v>1.10137</v>
      </c>
      <c r="E1538" s="152" t="s">
        <v>1325</v>
      </c>
      <c r="F1538" s="152" t="s">
        <v>1326</v>
      </c>
      <c r="G1538" s="152"/>
      <c r="H1538" s="152"/>
      <c r="I1538" s="151" t="s">
        <v>1327</v>
      </c>
      <c r="J1538" s="152" t="s">
        <v>1327</v>
      </c>
      <c r="K1538" s="152" t="s">
        <v>1327</v>
      </c>
      <c r="L1538" s="152" t="s">
        <v>1327</v>
      </c>
      <c r="M1538" s="152" t="s">
        <v>1327</v>
      </c>
      <c r="N1538" s="152" t="s">
        <v>1327</v>
      </c>
      <c r="O1538" s="152">
        <v>5.5637379999999999</v>
      </c>
      <c r="P1538" s="152">
        <v>385.434031</v>
      </c>
      <c r="Q1538" s="152">
        <v>5.5637379999999999</v>
      </c>
      <c r="R1538" s="152" t="s">
        <v>1327</v>
      </c>
      <c r="S1538" s="152">
        <v>100.411485</v>
      </c>
      <c r="T1538" s="152">
        <v>0.880274</v>
      </c>
      <c r="U1538" s="152">
        <v>1.0507439999999999</v>
      </c>
      <c r="V1538" s="152">
        <v>1.3882760000000001</v>
      </c>
      <c r="W1538" s="152">
        <v>1000</v>
      </c>
      <c r="X1538" s="152" t="s">
        <v>23</v>
      </c>
      <c r="Y1538" s="152" t="s">
        <v>1328</v>
      </c>
      <c r="Z1538" s="152" t="s">
        <v>1327</v>
      </c>
    </row>
    <row r="1539" spans="1:26" x14ac:dyDescent="0.2">
      <c r="A1539" s="152" t="s">
        <v>2663</v>
      </c>
      <c r="B1539" s="152">
        <v>5.5</v>
      </c>
      <c r="C1539" s="151">
        <v>43926</v>
      </c>
      <c r="D1539" s="152">
        <v>1.4465749999999999</v>
      </c>
      <c r="E1539" s="152" t="s">
        <v>1325</v>
      </c>
      <c r="F1539" s="152" t="s">
        <v>1326</v>
      </c>
      <c r="G1539" s="152"/>
      <c r="H1539" s="152"/>
      <c r="I1539" s="151" t="s">
        <v>1327</v>
      </c>
      <c r="J1539" s="152" t="s">
        <v>1327</v>
      </c>
      <c r="K1539" s="152" t="s">
        <v>1327</v>
      </c>
      <c r="L1539" s="152" t="s">
        <v>1327</v>
      </c>
      <c r="M1539" s="152" t="s">
        <v>1327</v>
      </c>
      <c r="N1539" s="152" t="s">
        <v>1327</v>
      </c>
      <c r="O1539" s="152">
        <v>5.6465189999999996</v>
      </c>
      <c r="P1539" s="152">
        <v>385.890941</v>
      </c>
      <c r="Q1539" s="152">
        <v>5.6465189999999996</v>
      </c>
      <c r="R1539" s="152" t="s">
        <v>1327</v>
      </c>
      <c r="S1539" s="152">
        <v>99.784845000000004</v>
      </c>
      <c r="T1539" s="152">
        <v>0.30137000000000003</v>
      </c>
      <c r="U1539" s="152">
        <v>1.3777950000000001</v>
      </c>
      <c r="V1539" s="152">
        <v>2.280386</v>
      </c>
      <c r="W1539" s="152">
        <v>1000</v>
      </c>
      <c r="X1539" s="152" t="s">
        <v>23</v>
      </c>
      <c r="Y1539" s="152" t="s">
        <v>1328</v>
      </c>
      <c r="Z1539" s="152" t="s">
        <v>1327</v>
      </c>
    </row>
    <row r="1540" spans="1:26" x14ac:dyDescent="0.2">
      <c r="A1540" s="152" t="s">
        <v>2664</v>
      </c>
      <c r="B1540" s="152">
        <v>5.5</v>
      </c>
      <c r="C1540" s="151">
        <v>44052</v>
      </c>
      <c r="D1540" s="152">
        <v>1.7917810000000001</v>
      </c>
      <c r="E1540" s="152" t="s">
        <v>1325</v>
      </c>
      <c r="F1540" s="152" t="s">
        <v>1326</v>
      </c>
      <c r="G1540" s="152"/>
      <c r="H1540" s="152"/>
      <c r="I1540" s="151" t="s">
        <v>1327</v>
      </c>
      <c r="J1540" s="152" t="s">
        <v>1327</v>
      </c>
      <c r="K1540" s="152" t="s">
        <v>1327</v>
      </c>
      <c r="L1540" s="152" t="s">
        <v>1327</v>
      </c>
      <c r="M1540" s="152" t="s">
        <v>1327</v>
      </c>
      <c r="N1540" s="152" t="s">
        <v>1327</v>
      </c>
      <c r="O1540" s="152">
        <v>5.6858320000000004</v>
      </c>
      <c r="P1540" s="152">
        <v>381.27081299999998</v>
      </c>
      <c r="Q1540" s="152">
        <v>5.6858320000000004</v>
      </c>
      <c r="R1540" s="152" t="s">
        <v>1327</v>
      </c>
      <c r="S1540" s="152">
        <v>99.673024999999996</v>
      </c>
      <c r="T1540" s="152">
        <v>1.160274</v>
      </c>
      <c r="U1540" s="152">
        <v>1.6746810000000001</v>
      </c>
      <c r="V1540" s="152">
        <v>3.3225069999999999</v>
      </c>
      <c r="W1540" s="152">
        <v>1000</v>
      </c>
      <c r="X1540" s="152" t="s">
        <v>23</v>
      </c>
      <c r="Y1540" s="152" t="s">
        <v>1328</v>
      </c>
      <c r="Z1540" s="152" t="s">
        <v>1327</v>
      </c>
    </row>
    <row r="1541" spans="1:26" x14ac:dyDescent="0.2">
      <c r="A1541" s="152" t="s">
        <v>2665</v>
      </c>
      <c r="B1541" s="152">
        <v>4.25</v>
      </c>
      <c r="C1541" s="151">
        <v>43636</v>
      </c>
      <c r="D1541" s="152">
        <v>0.65205500000000005</v>
      </c>
      <c r="E1541" s="152" t="s">
        <v>1325</v>
      </c>
      <c r="F1541" s="152" t="s">
        <v>1326</v>
      </c>
      <c r="G1541" s="152"/>
      <c r="H1541" s="152"/>
      <c r="I1541" s="152" t="s">
        <v>1327</v>
      </c>
      <c r="J1541" s="152" t="s">
        <v>1327</v>
      </c>
      <c r="K1541" s="152" t="s">
        <v>1327</v>
      </c>
      <c r="L1541" s="152" t="s">
        <v>1327</v>
      </c>
      <c r="M1541" s="152" t="s">
        <v>1327</v>
      </c>
      <c r="N1541" s="152" t="s">
        <v>1327</v>
      </c>
      <c r="O1541" s="152">
        <v>4.3663949999999998</v>
      </c>
      <c r="P1541" s="152">
        <v>263.70126900000002</v>
      </c>
      <c r="Q1541" s="152">
        <v>4.3663949999999998</v>
      </c>
      <c r="R1541" s="152" t="s">
        <v>1327</v>
      </c>
      <c r="S1541" s="152">
        <v>99.915105999999994</v>
      </c>
      <c r="T1541" s="152">
        <v>1.4787669999999999</v>
      </c>
      <c r="U1541" s="152">
        <v>0.62927699999999998</v>
      </c>
      <c r="V1541" s="152">
        <v>0.70878600000000003</v>
      </c>
      <c r="W1541" s="152">
        <v>1000</v>
      </c>
      <c r="X1541" s="152" t="s">
        <v>23</v>
      </c>
      <c r="Y1541" s="152" t="s">
        <v>1328</v>
      </c>
      <c r="Z1541" s="152" t="s">
        <v>1327</v>
      </c>
    </row>
    <row r="1542" spans="1:26" x14ac:dyDescent="0.2">
      <c r="A1542" s="152" t="s">
        <v>2666</v>
      </c>
      <c r="B1542" s="152">
        <v>2.65</v>
      </c>
      <c r="C1542" s="151">
        <v>43970</v>
      </c>
      <c r="D1542" s="152">
        <v>1.567123</v>
      </c>
      <c r="E1542" s="152" t="s">
        <v>1325</v>
      </c>
      <c r="F1542" s="152" t="s">
        <v>1326</v>
      </c>
      <c r="G1542" s="152" t="s">
        <v>116</v>
      </c>
      <c r="H1542" s="152"/>
      <c r="I1542" s="151">
        <v>43255</v>
      </c>
      <c r="J1542" s="152">
        <v>2.25</v>
      </c>
      <c r="K1542" s="152" t="s">
        <v>1327</v>
      </c>
      <c r="L1542" s="152" t="s">
        <v>1327</v>
      </c>
      <c r="M1542" s="152" t="s">
        <v>1327</v>
      </c>
      <c r="N1542" s="152" t="s">
        <v>1327</v>
      </c>
      <c r="O1542" s="152">
        <v>2.484397</v>
      </c>
      <c r="P1542" s="152">
        <v>55.514133999999999</v>
      </c>
      <c r="Q1542" s="152">
        <v>2.484397</v>
      </c>
      <c r="R1542" s="152" t="s">
        <v>1327</v>
      </c>
      <c r="S1542" s="152">
        <v>100.241353</v>
      </c>
      <c r="T1542" s="152">
        <v>1.1543840000000001</v>
      </c>
      <c r="U1542" s="152">
        <v>1.510907</v>
      </c>
      <c r="V1542" s="152">
        <v>3.0718670000000001</v>
      </c>
      <c r="W1542" s="152">
        <v>1000</v>
      </c>
      <c r="X1542" s="152" t="s">
        <v>23</v>
      </c>
      <c r="Y1542" s="152" t="s">
        <v>1328</v>
      </c>
      <c r="Z1542" s="152" t="s">
        <v>1327</v>
      </c>
    </row>
    <row r="1543" spans="1:26" x14ac:dyDescent="0.2">
      <c r="A1543" s="152" t="s">
        <v>2667</v>
      </c>
      <c r="B1543" s="152">
        <v>2.56</v>
      </c>
      <c r="C1543" s="151">
        <v>44373</v>
      </c>
      <c r="D1543" s="152">
        <v>2.671233</v>
      </c>
      <c r="E1543" s="152" t="s">
        <v>1325</v>
      </c>
      <c r="F1543" s="152" t="s">
        <v>1326</v>
      </c>
      <c r="G1543" s="152" t="s">
        <v>116</v>
      </c>
      <c r="H1543" s="152"/>
      <c r="I1543" s="151">
        <v>43307</v>
      </c>
      <c r="J1543" s="152">
        <v>2.56</v>
      </c>
      <c r="K1543" s="152" t="s">
        <v>1327</v>
      </c>
      <c r="L1543" s="152" t="s">
        <v>1327</v>
      </c>
      <c r="M1543" s="152" t="s">
        <v>1327</v>
      </c>
      <c r="N1543" s="152" t="s">
        <v>1327</v>
      </c>
      <c r="O1543" s="152">
        <v>2.9019050000000002</v>
      </c>
      <c r="P1543" s="152">
        <v>84.000737000000001</v>
      </c>
      <c r="Q1543" s="152">
        <v>2.9019050000000002</v>
      </c>
      <c r="R1543" s="152" t="s">
        <v>1327</v>
      </c>
      <c r="S1543" s="152">
        <v>99.122121000000007</v>
      </c>
      <c r="T1543" s="152">
        <v>0.84865800000000002</v>
      </c>
      <c r="U1543" s="152">
        <v>2.539263</v>
      </c>
      <c r="V1543" s="152">
        <v>7.8588100000000001</v>
      </c>
      <c r="W1543" s="152">
        <v>1000</v>
      </c>
      <c r="X1543" s="152" t="s">
        <v>23</v>
      </c>
      <c r="Y1543" s="152" t="s">
        <v>1328</v>
      </c>
      <c r="Z1543" s="152" t="s">
        <v>1327</v>
      </c>
    </row>
    <row r="1544" spans="1:26" x14ac:dyDescent="0.2">
      <c r="A1544" s="152" t="s">
        <v>2668</v>
      </c>
      <c r="B1544" s="152">
        <v>3.28</v>
      </c>
      <c r="C1544" s="151">
        <v>44700</v>
      </c>
      <c r="D1544" s="152">
        <v>3.567123</v>
      </c>
      <c r="E1544" s="152" t="s">
        <v>1325</v>
      </c>
      <c r="F1544" s="152" t="s">
        <v>1326</v>
      </c>
      <c r="G1544" s="152" t="s">
        <v>116</v>
      </c>
      <c r="H1544" s="152"/>
      <c r="I1544" s="151">
        <v>43307</v>
      </c>
      <c r="J1544" s="152">
        <v>2.7530000000000001</v>
      </c>
      <c r="K1544" s="152" t="s">
        <v>1327</v>
      </c>
      <c r="L1544" s="152" t="s">
        <v>1327</v>
      </c>
      <c r="M1544" s="152" t="s">
        <v>1327</v>
      </c>
      <c r="N1544" s="152" t="s">
        <v>1327</v>
      </c>
      <c r="O1544" s="152">
        <v>3.1777389999999999</v>
      </c>
      <c r="P1544" s="152">
        <v>91.379429000000002</v>
      </c>
      <c r="Q1544" s="152">
        <v>3.1777389999999999</v>
      </c>
      <c r="R1544" s="152" t="s">
        <v>1327</v>
      </c>
      <c r="S1544" s="152">
        <v>100.327415</v>
      </c>
      <c r="T1544" s="152">
        <v>1.428822</v>
      </c>
      <c r="U1544" s="152">
        <v>3.2978510000000001</v>
      </c>
      <c r="V1544" s="152">
        <v>12.986440999999999</v>
      </c>
      <c r="W1544" s="152">
        <v>1000</v>
      </c>
      <c r="X1544" s="152" t="s">
        <v>23</v>
      </c>
      <c r="Y1544" s="152" t="s">
        <v>1328</v>
      </c>
      <c r="Z1544" s="152" t="s">
        <v>1327</v>
      </c>
    </row>
    <row r="1545" spans="1:26" x14ac:dyDescent="0.2">
      <c r="A1545" s="152" t="s">
        <v>2669</v>
      </c>
      <c r="B1545" s="152">
        <v>2.95</v>
      </c>
      <c r="C1545" s="151">
        <v>45103</v>
      </c>
      <c r="D1545" s="152">
        <v>4.671233</v>
      </c>
      <c r="E1545" s="152" t="s">
        <v>1325</v>
      </c>
      <c r="F1545" s="152" t="s">
        <v>1326</v>
      </c>
      <c r="G1545" s="152" t="s">
        <v>116</v>
      </c>
      <c r="H1545" s="152"/>
      <c r="I1545" s="151" t="s">
        <v>1327</v>
      </c>
      <c r="J1545" s="152" t="s">
        <v>1327</v>
      </c>
      <c r="K1545" s="152" t="s">
        <v>1327</v>
      </c>
      <c r="L1545" s="152" t="s">
        <v>1327</v>
      </c>
      <c r="M1545" s="152" t="s">
        <v>1327</v>
      </c>
      <c r="N1545" s="152" t="s">
        <v>1327</v>
      </c>
      <c r="O1545" s="152">
        <v>3.323655</v>
      </c>
      <c r="P1545" s="152">
        <v>92.716843999999995</v>
      </c>
      <c r="Q1545" s="152">
        <v>3.323655</v>
      </c>
      <c r="R1545" s="152" t="s">
        <v>1327</v>
      </c>
      <c r="S1545" s="152">
        <v>98.389270999999994</v>
      </c>
      <c r="T1545" s="152">
        <v>0.97794499999999995</v>
      </c>
      <c r="U1545" s="152">
        <v>4.2806730000000002</v>
      </c>
      <c r="V1545" s="152">
        <v>21.318411999999999</v>
      </c>
      <c r="W1545" s="152">
        <v>1000</v>
      </c>
      <c r="X1545" s="152" t="s">
        <v>23</v>
      </c>
      <c r="Y1545" s="152" t="s">
        <v>1328</v>
      </c>
      <c r="Z1545" s="152" t="s">
        <v>1327</v>
      </c>
    </row>
    <row r="1546" spans="1:26" x14ac:dyDescent="0.2">
      <c r="A1546" s="152" t="s">
        <v>2670</v>
      </c>
      <c r="B1546" s="152">
        <v>6</v>
      </c>
      <c r="C1546" s="151">
        <v>45645</v>
      </c>
      <c r="D1546" s="152">
        <v>6.1561640000000004</v>
      </c>
      <c r="E1546" s="152" t="s">
        <v>1325</v>
      </c>
      <c r="F1546" s="152" t="s">
        <v>1326</v>
      </c>
      <c r="G1546" s="152" t="s">
        <v>47</v>
      </c>
      <c r="H1546" s="152"/>
      <c r="I1546" s="151">
        <v>43335</v>
      </c>
      <c r="J1546" s="152">
        <v>5.5</v>
      </c>
      <c r="K1546" s="152" t="s">
        <v>1327</v>
      </c>
      <c r="L1546" s="152" t="s">
        <v>1327</v>
      </c>
      <c r="M1546" s="152" t="s">
        <v>1327</v>
      </c>
      <c r="N1546" s="152" t="s">
        <v>1327</v>
      </c>
      <c r="O1546" s="152">
        <v>5.61158</v>
      </c>
      <c r="P1546" s="152">
        <v>317.55047100000002</v>
      </c>
      <c r="Q1546" s="152">
        <v>5.61158</v>
      </c>
      <c r="R1546" s="152" t="s">
        <v>1327</v>
      </c>
      <c r="S1546" s="152">
        <v>102.010204</v>
      </c>
      <c r="T1546" s="152">
        <v>0.591781</v>
      </c>
      <c r="U1546" s="152">
        <v>5.0988899999999999</v>
      </c>
      <c r="V1546" s="152">
        <v>30.321740999999999</v>
      </c>
      <c r="W1546" s="152">
        <v>1000</v>
      </c>
      <c r="X1546" s="152" t="s">
        <v>23</v>
      </c>
      <c r="Y1546" s="152" t="s">
        <v>1328</v>
      </c>
      <c r="Z1546" s="152" t="s">
        <v>1327</v>
      </c>
    </row>
    <row r="1547" spans="1:26" x14ac:dyDescent="0.2">
      <c r="A1547" s="152" t="s">
        <v>2671</v>
      </c>
      <c r="B1547" s="152">
        <v>4.6500000000000004</v>
      </c>
      <c r="C1547" s="151">
        <v>45972</v>
      </c>
      <c r="D1547" s="152">
        <v>7.0520550000000002</v>
      </c>
      <c r="E1547" s="152" t="s">
        <v>1325</v>
      </c>
      <c r="F1547" s="152" t="s">
        <v>1326</v>
      </c>
      <c r="G1547" s="152" t="s">
        <v>47</v>
      </c>
      <c r="H1547" s="152"/>
      <c r="I1547" s="151">
        <v>43151</v>
      </c>
      <c r="J1547" s="152">
        <v>3.99</v>
      </c>
      <c r="K1547" s="152" t="s">
        <v>1327</v>
      </c>
      <c r="L1547" s="152" t="s">
        <v>1327</v>
      </c>
      <c r="M1547" s="152" t="s">
        <v>1327</v>
      </c>
      <c r="N1547" s="152" t="s">
        <v>1327</v>
      </c>
      <c r="O1547" s="152">
        <v>4.246918</v>
      </c>
      <c r="P1547" s="152">
        <v>165.20662200000001</v>
      </c>
      <c r="Q1547" s="152">
        <v>4.246918</v>
      </c>
      <c r="R1547" s="152" t="s">
        <v>1327</v>
      </c>
      <c r="S1547" s="152">
        <v>102.433153</v>
      </c>
      <c r="T1547" s="152">
        <v>0.95547899999999997</v>
      </c>
      <c r="U1547" s="152">
        <v>5.9451460000000003</v>
      </c>
      <c r="V1547" s="152">
        <v>40.707068</v>
      </c>
      <c r="W1547" s="152">
        <v>1000</v>
      </c>
      <c r="X1547" s="152" t="s">
        <v>23</v>
      </c>
      <c r="Y1547" s="152" t="s">
        <v>1328</v>
      </c>
      <c r="Z1547" s="152" t="s">
        <v>1327</v>
      </c>
    </row>
    <row r="1548" spans="1:26" x14ac:dyDescent="0.2">
      <c r="A1548" s="152" t="s">
        <v>221</v>
      </c>
      <c r="B1548" s="152">
        <v>1.79</v>
      </c>
      <c r="C1548" s="151">
        <v>43912</v>
      </c>
      <c r="D1548" s="152">
        <v>1.4082190000000001</v>
      </c>
      <c r="E1548" s="152" t="s">
        <v>1325</v>
      </c>
      <c r="F1548" s="152" t="s">
        <v>1326</v>
      </c>
      <c r="G1548" s="152" t="s">
        <v>193</v>
      </c>
      <c r="H1548" s="152"/>
      <c r="I1548" s="152">
        <v>43354</v>
      </c>
      <c r="J1548" s="152">
        <v>2.34</v>
      </c>
      <c r="K1548" s="152" t="s">
        <v>1327</v>
      </c>
      <c r="L1548" s="152" t="s">
        <v>1327</v>
      </c>
      <c r="M1548" s="152" t="s">
        <v>1327</v>
      </c>
      <c r="N1548" s="152" t="s">
        <v>1327</v>
      </c>
      <c r="O1548" s="152">
        <v>2.3689870000000002</v>
      </c>
      <c r="P1548" s="152">
        <v>47.460583999999997</v>
      </c>
      <c r="Q1548" s="152">
        <v>2.3689870000000002</v>
      </c>
      <c r="R1548" s="152" t="s">
        <v>1327</v>
      </c>
      <c r="S1548" s="152">
        <v>99.210818000000003</v>
      </c>
      <c r="T1548" s="152">
        <v>0.16183600000000001</v>
      </c>
      <c r="U1548" s="152">
        <v>1.375853</v>
      </c>
      <c r="V1548" s="152">
        <v>2.583539</v>
      </c>
      <c r="W1548" s="152">
        <v>1000</v>
      </c>
      <c r="X1548" s="152" t="s">
        <v>23</v>
      </c>
      <c r="Y1548" s="152" t="s">
        <v>1328</v>
      </c>
      <c r="Z1548" s="152" t="s">
        <v>1327</v>
      </c>
    </row>
    <row r="1549" spans="1:26" x14ac:dyDescent="0.2">
      <c r="A1549" s="152" t="s">
        <v>2672</v>
      </c>
      <c r="B1549" s="152">
        <v>2.6</v>
      </c>
      <c r="C1549" s="151">
        <v>44093</v>
      </c>
      <c r="D1549" s="152">
        <v>1.90411</v>
      </c>
      <c r="E1549" s="152" t="s">
        <v>1325</v>
      </c>
      <c r="F1549" s="152" t="s">
        <v>1326</v>
      </c>
      <c r="G1549" s="152"/>
      <c r="H1549" s="152" t="s">
        <v>1278</v>
      </c>
      <c r="I1549" s="151">
        <v>43391</v>
      </c>
      <c r="J1549" s="152">
        <v>2.6</v>
      </c>
      <c r="K1549" s="152" t="s">
        <v>1327</v>
      </c>
      <c r="L1549" s="152" t="s">
        <v>1327</v>
      </c>
      <c r="M1549" s="152" t="s">
        <v>1327</v>
      </c>
      <c r="N1549" s="152" t="s">
        <v>1327</v>
      </c>
      <c r="O1549" s="152">
        <v>2.6033940000000002</v>
      </c>
      <c r="P1549" s="152">
        <v>59.601782</v>
      </c>
      <c r="Q1549" s="152">
        <v>2.6033940000000002</v>
      </c>
      <c r="R1549" s="152" t="s">
        <v>1327</v>
      </c>
      <c r="S1549" s="152">
        <v>100.00307100000001</v>
      </c>
      <c r="T1549" s="152">
        <v>0.256438</v>
      </c>
      <c r="U1549" s="152">
        <v>1.835199</v>
      </c>
      <c r="V1549" s="152">
        <v>4.315874</v>
      </c>
      <c r="W1549" s="152">
        <v>1000</v>
      </c>
      <c r="X1549" s="152" t="s">
        <v>23</v>
      </c>
      <c r="Y1549" s="152" t="s">
        <v>1328</v>
      </c>
      <c r="Z1549" s="152" t="s">
        <v>1327</v>
      </c>
    </row>
    <row r="1550" spans="1:26" x14ac:dyDescent="0.2">
      <c r="A1550" s="152" t="s">
        <v>2673</v>
      </c>
      <c r="B1550" s="152">
        <v>2.64</v>
      </c>
      <c r="C1550" s="151">
        <v>44215</v>
      </c>
      <c r="D1550" s="152">
        <v>2.238356</v>
      </c>
      <c r="E1550" s="152" t="s">
        <v>1325</v>
      </c>
      <c r="F1550" s="152" t="s">
        <v>1326</v>
      </c>
      <c r="G1550" s="152"/>
      <c r="H1550" s="152" t="s">
        <v>1278</v>
      </c>
      <c r="I1550" s="151" t="s">
        <v>1327</v>
      </c>
      <c r="J1550" s="152" t="s">
        <v>1327</v>
      </c>
      <c r="K1550" s="152" t="s">
        <v>1327</v>
      </c>
      <c r="L1550" s="152" t="s">
        <v>1327</v>
      </c>
      <c r="M1550" s="152" t="s">
        <v>1327</v>
      </c>
      <c r="N1550" s="152" t="s">
        <v>1327</v>
      </c>
      <c r="O1550" s="152">
        <v>2.6473469999999999</v>
      </c>
      <c r="P1550" s="152">
        <v>60.845602999999997</v>
      </c>
      <c r="Q1550" s="152">
        <v>2.6473469999999999</v>
      </c>
      <c r="R1550" s="152" t="s">
        <v>1327</v>
      </c>
      <c r="S1550" s="152">
        <v>99.995429999999999</v>
      </c>
      <c r="T1550" s="152">
        <v>0.260384</v>
      </c>
      <c r="U1550" s="152">
        <v>2.1472530000000001</v>
      </c>
      <c r="V1550" s="152">
        <v>5.7422250000000004</v>
      </c>
      <c r="W1550" s="152">
        <v>1000</v>
      </c>
      <c r="X1550" s="152" t="s">
        <v>23</v>
      </c>
      <c r="Y1550" s="152" t="s">
        <v>1328</v>
      </c>
      <c r="Z1550" s="152" t="s">
        <v>1327</v>
      </c>
    </row>
    <row r="1551" spans="1:26" x14ac:dyDescent="0.2">
      <c r="A1551" s="152" t="s">
        <v>223</v>
      </c>
      <c r="B1551" s="152">
        <v>2.1</v>
      </c>
      <c r="C1551" s="151">
        <v>44277</v>
      </c>
      <c r="D1551" s="152">
        <v>2.4082189999999999</v>
      </c>
      <c r="E1551" s="152" t="s">
        <v>1325</v>
      </c>
      <c r="F1551" s="152" t="s">
        <v>1326</v>
      </c>
      <c r="G1551" s="152" t="s">
        <v>193</v>
      </c>
      <c r="H1551" s="152"/>
      <c r="I1551" s="152">
        <v>43374</v>
      </c>
      <c r="J1551" s="152">
        <v>2.6</v>
      </c>
      <c r="K1551" s="152" t="s">
        <v>1327</v>
      </c>
      <c r="L1551" s="152" t="s">
        <v>1327</v>
      </c>
      <c r="M1551" s="152" t="s">
        <v>1327</v>
      </c>
      <c r="N1551" s="152" t="s">
        <v>1327</v>
      </c>
      <c r="O1551" s="152">
        <v>2.6660020000000002</v>
      </c>
      <c r="P1551" s="152">
        <v>61.968778</v>
      </c>
      <c r="Q1551" s="152">
        <v>2.6660020000000002</v>
      </c>
      <c r="R1551" s="152" t="s">
        <v>1327</v>
      </c>
      <c r="S1551" s="152">
        <v>98.697236000000004</v>
      </c>
      <c r="T1551" s="152">
        <v>0.189863</v>
      </c>
      <c r="U1551" s="152">
        <v>2.3226810000000002</v>
      </c>
      <c r="V1551" s="152">
        <v>6.6143489999999998</v>
      </c>
      <c r="W1551" s="152">
        <v>1000</v>
      </c>
      <c r="X1551" s="152" t="s">
        <v>23</v>
      </c>
      <c r="Y1551" s="152" t="s">
        <v>1328</v>
      </c>
      <c r="Z1551" s="152" t="s">
        <v>1327</v>
      </c>
    </row>
    <row r="1552" spans="1:26" x14ac:dyDescent="0.2">
      <c r="A1552" s="152" t="s">
        <v>560</v>
      </c>
      <c r="B1552" s="152">
        <v>3.2</v>
      </c>
      <c r="C1552" s="151">
        <v>44639</v>
      </c>
      <c r="D1552" s="152">
        <v>3.4</v>
      </c>
      <c r="E1552" s="152" t="s">
        <v>1325</v>
      </c>
      <c r="F1552" s="152" t="s">
        <v>1326</v>
      </c>
      <c r="G1552" s="152"/>
      <c r="H1552" s="152" t="s">
        <v>1278</v>
      </c>
      <c r="I1552" s="152">
        <v>43395</v>
      </c>
      <c r="J1552" s="152">
        <v>3.17</v>
      </c>
      <c r="K1552" s="152" t="s">
        <v>1327</v>
      </c>
      <c r="L1552" s="152" t="s">
        <v>1327</v>
      </c>
      <c r="M1552" s="152" t="s">
        <v>1327</v>
      </c>
      <c r="N1552" s="152" t="s">
        <v>1327</v>
      </c>
      <c r="O1552" s="152">
        <v>3.1607159999999999</v>
      </c>
      <c r="P1552" s="152">
        <v>94.209766000000002</v>
      </c>
      <c r="Q1552" s="152">
        <v>3.1607159999999999</v>
      </c>
      <c r="R1552" s="152" t="s">
        <v>1327</v>
      </c>
      <c r="S1552" s="152">
        <v>100.13671100000001</v>
      </c>
      <c r="T1552" s="152">
        <v>0.31561600000000001</v>
      </c>
      <c r="U1552" s="152">
        <v>3.1859549999999999</v>
      </c>
      <c r="V1552" s="152">
        <v>12.034065</v>
      </c>
      <c r="W1552" s="152">
        <v>1000</v>
      </c>
      <c r="X1552" s="152" t="s">
        <v>23</v>
      </c>
      <c r="Y1552" s="152" t="s">
        <v>1328</v>
      </c>
      <c r="Z1552" s="152" t="s">
        <v>1327</v>
      </c>
    </row>
    <row r="1553" spans="1:26" x14ac:dyDescent="0.2">
      <c r="A1553" s="152" t="s">
        <v>607</v>
      </c>
      <c r="B1553" s="152">
        <v>2.76</v>
      </c>
      <c r="C1553" s="151">
        <v>45007</v>
      </c>
      <c r="D1553" s="152">
        <v>4.4082189999999999</v>
      </c>
      <c r="E1553" s="152" t="s">
        <v>1325</v>
      </c>
      <c r="F1553" s="152" t="s">
        <v>1326</v>
      </c>
      <c r="G1553" s="152" t="s">
        <v>193</v>
      </c>
      <c r="H1553" s="152"/>
      <c r="I1553" s="151">
        <v>43390</v>
      </c>
      <c r="J1553" s="152">
        <v>3.35</v>
      </c>
      <c r="K1553" s="152" t="s">
        <v>1327</v>
      </c>
      <c r="L1553" s="152" t="s">
        <v>1327</v>
      </c>
      <c r="M1553" s="152" t="s">
        <v>1327</v>
      </c>
      <c r="N1553" s="152" t="s">
        <v>1327</v>
      </c>
      <c r="O1553" s="152">
        <v>3.361974</v>
      </c>
      <c r="P1553" s="152">
        <v>99.409384000000003</v>
      </c>
      <c r="Q1553" s="152">
        <v>3.361974</v>
      </c>
      <c r="R1553" s="152" t="s">
        <v>1327</v>
      </c>
      <c r="S1553" s="152">
        <v>97.563665</v>
      </c>
      <c r="T1553" s="152">
        <v>0.24953400000000001</v>
      </c>
      <c r="U1553" s="152">
        <v>4.0955199999999996</v>
      </c>
      <c r="V1553" s="152">
        <v>19.399201999999999</v>
      </c>
      <c r="W1553" s="152">
        <v>1000</v>
      </c>
      <c r="X1553" s="152" t="s">
        <v>23</v>
      </c>
      <c r="Y1553" s="152" t="s">
        <v>1328</v>
      </c>
      <c r="Z1553" s="152" t="s">
        <v>1327</v>
      </c>
    </row>
    <row r="1554" spans="1:26" x14ac:dyDescent="0.2">
      <c r="A1554" s="152" t="s">
        <v>2674</v>
      </c>
      <c r="B1554" s="152">
        <v>3.35</v>
      </c>
      <c r="C1554" s="151">
        <v>45188</v>
      </c>
      <c r="D1554" s="152">
        <v>4.9041100000000002</v>
      </c>
      <c r="E1554" s="152" t="s">
        <v>1325</v>
      </c>
      <c r="F1554" s="152" t="s">
        <v>1326</v>
      </c>
      <c r="G1554" s="152"/>
      <c r="H1554" s="152" t="s">
        <v>1278</v>
      </c>
      <c r="I1554" s="151" t="s">
        <v>1327</v>
      </c>
      <c r="J1554" s="152" t="s">
        <v>1327</v>
      </c>
      <c r="K1554" s="152" t="s">
        <v>1327</v>
      </c>
      <c r="L1554" s="152" t="s">
        <v>1327</v>
      </c>
      <c r="M1554" s="152" t="s">
        <v>1327</v>
      </c>
      <c r="N1554" s="152" t="s">
        <v>1327</v>
      </c>
      <c r="O1554" s="152">
        <v>3.4176259999999998</v>
      </c>
      <c r="P1554" s="152">
        <v>100.001147</v>
      </c>
      <c r="Q1554" s="152">
        <v>3.4176259999999998</v>
      </c>
      <c r="R1554" s="152" t="s">
        <v>1327</v>
      </c>
      <c r="S1554" s="152">
        <v>99.708872</v>
      </c>
      <c r="T1554" s="152">
        <v>0.33041100000000001</v>
      </c>
      <c r="U1554" s="152">
        <v>4.4654379999999998</v>
      </c>
      <c r="V1554" s="152">
        <v>23.11553</v>
      </c>
      <c r="W1554" s="152">
        <v>1000</v>
      </c>
      <c r="X1554" s="152" t="s">
        <v>23</v>
      </c>
      <c r="Y1554" s="152" t="s">
        <v>1328</v>
      </c>
      <c r="Z1554" s="152" t="s">
        <v>1327</v>
      </c>
    </row>
    <row r="1555" spans="1:26" x14ac:dyDescent="0.2">
      <c r="A1555" s="152" t="s">
        <v>2675</v>
      </c>
      <c r="B1555" s="152">
        <v>3.15</v>
      </c>
      <c r="C1555" s="151">
        <v>45738</v>
      </c>
      <c r="D1555" s="152">
        <v>6.4109590000000001</v>
      </c>
      <c r="E1555" s="152" t="s">
        <v>1325</v>
      </c>
      <c r="F1555" s="152" t="s">
        <v>1326</v>
      </c>
      <c r="G1555" s="152" t="s">
        <v>193</v>
      </c>
      <c r="H1555" s="152"/>
      <c r="I1555" s="152">
        <v>43312</v>
      </c>
      <c r="J1555" s="152">
        <v>3.22</v>
      </c>
      <c r="K1555" s="151" t="s">
        <v>1327</v>
      </c>
      <c r="L1555" s="152" t="s">
        <v>1327</v>
      </c>
      <c r="M1555" s="152" t="s">
        <v>1327</v>
      </c>
      <c r="N1555" s="152" t="s">
        <v>1327</v>
      </c>
      <c r="O1555" s="152">
        <v>3.3580939999999999</v>
      </c>
      <c r="P1555" s="152">
        <v>77.855144999999993</v>
      </c>
      <c r="Q1555" s="152">
        <v>3.3580939999999999</v>
      </c>
      <c r="R1555" s="152" t="s">
        <v>1327</v>
      </c>
      <c r="S1555" s="152">
        <v>98.820538999999997</v>
      </c>
      <c r="T1555" s="152">
        <v>0.28479500000000002</v>
      </c>
      <c r="U1555" s="152">
        <v>5.7332729999999996</v>
      </c>
      <c r="V1555" s="152">
        <v>37.729154999999999</v>
      </c>
      <c r="W1555" s="152">
        <v>1000</v>
      </c>
      <c r="X1555" s="152" t="s">
        <v>23</v>
      </c>
      <c r="Y1555" s="152" t="s">
        <v>1328</v>
      </c>
      <c r="Z1555" s="152" t="s">
        <v>1327</v>
      </c>
    </row>
    <row r="1556" spans="1:26" x14ac:dyDescent="0.2">
      <c r="A1556" s="152" t="s">
        <v>2676</v>
      </c>
      <c r="B1556" s="152">
        <v>3.62</v>
      </c>
      <c r="C1556" s="151">
        <v>45919</v>
      </c>
      <c r="D1556" s="152">
        <v>6.9068490000000002</v>
      </c>
      <c r="E1556" s="152" t="s">
        <v>1325</v>
      </c>
      <c r="F1556" s="152" t="s">
        <v>1326</v>
      </c>
      <c r="G1556" s="152"/>
      <c r="H1556" s="152" t="s">
        <v>1278</v>
      </c>
      <c r="I1556" s="152" t="s">
        <v>1327</v>
      </c>
      <c r="J1556" s="152" t="s">
        <v>1327</v>
      </c>
      <c r="K1556" s="152" t="s">
        <v>1327</v>
      </c>
      <c r="L1556" s="152" t="s">
        <v>1327</v>
      </c>
      <c r="M1556" s="152" t="s">
        <v>1327</v>
      </c>
      <c r="N1556" s="152" t="s">
        <v>1327</v>
      </c>
      <c r="O1556" s="152">
        <v>3.7073839999999998</v>
      </c>
      <c r="P1556" s="152">
        <v>108.050066</v>
      </c>
      <c r="Q1556" s="152">
        <v>3.7073839999999998</v>
      </c>
      <c r="R1556" s="152" t="s">
        <v>1327</v>
      </c>
      <c r="S1556" s="152">
        <v>99.484626000000006</v>
      </c>
      <c r="T1556" s="152">
        <v>0.357041</v>
      </c>
      <c r="U1556" s="152">
        <v>6.028918</v>
      </c>
      <c r="V1556" s="152">
        <v>42.103352999999998</v>
      </c>
      <c r="W1556" s="152">
        <v>1000</v>
      </c>
      <c r="X1556" s="152" t="s">
        <v>23</v>
      </c>
      <c r="Y1556" s="152" t="s">
        <v>1328</v>
      </c>
      <c r="Z1556" s="152" t="s">
        <v>1327</v>
      </c>
    </row>
    <row r="1557" spans="1:26" x14ac:dyDescent="0.2">
      <c r="A1557" s="152" t="s">
        <v>773</v>
      </c>
      <c r="B1557" s="152">
        <v>3.6</v>
      </c>
      <c r="C1557" s="151">
        <v>46834</v>
      </c>
      <c r="D1557" s="152">
        <v>9.4136989999999994</v>
      </c>
      <c r="E1557" s="152" t="s">
        <v>1325</v>
      </c>
      <c r="F1557" s="152" t="s">
        <v>1326</v>
      </c>
      <c r="G1557" s="152" t="s">
        <v>193</v>
      </c>
      <c r="H1557" s="152"/>
      <c r="I1557" s="151">
        <v>43382</v>
      </c>
      <c r="J1557" s="152">
        <v>3.4950000000000001</v>
      </c>
      <c r="K1557" s="152" t="s">
        <v>1327</v>
      </c>
      <c r="L1557" s="152" t="s">
        <v>1327</v>
      </c>
      <c r="M1557" s="152" t="s">
        <v>1327</v>
      </c>
      <c r="N1557" s="152" t="s">
        <v>1327</v>
      </c>
      <c r="O1557" s="152">
        <v>3.4399229999999998</v>
      </c>
      <c r="P1557" s="152">
        <v>64.364048999999994</v>
      </c>
      <c r="Q1557" s="152">
        <v>3.4399229999999998</v>
      </c>
      <c r="R1557" s="152" t="s">
        <v>1327</v>
      </c>
      <c r="S1557" s="152">
        <v>101.289483</v>
      </c>
      <c r="T1557" s="152">
        <v>0.32547900000000002</v>
      </c>
      <c r="U1557" s="152">
        <v>7.9096149999999996</v>
      </c>
      <c r="V1557" s="152">
        <v>72.974322000000001</v>
      </c>
      <c r="W1557" s="152">
        <v>1000</v>
      </c>
      <c r="X1557" s="152" t="s">
        <v>23</v>
      </c>
      <c r="Y1557" s="152" t="s">
        <v>1328</v>
      </c>
      <c r="Z1557" s="152" t="s">
        <v>1327</v>
      </c>
    </row>
    <row r="1558" spans="1:26" x14ac:dyDescent="0.2">
      <c r="A1558" s="152" t="s">
        <v>2677</v>
      </c>
      <c r="B1558" s="152">
        <v>4.16</v>
      </c>
      <c r="C1558" s="151">
        <v>47015</v>
      </c>
      <c r="D1558" s="152">
        <v>9.9095890000000004</v>
      </c>
      <c r="E1558" s="152" t="s">
        <v>1325</v>
      </c>
      <c r="F1558" s="152" t="s">
        <v>1326</v>
      </c>
      <c r="G1558" s="152"/>
      <c r="H1558" s="152" t="s">
        <v>1278</v>
      </c>
      <c r="I1558" s="152">
        <v>43390</v>
      </c>
      <c r="J1558" s="152">
        <v>4.1735850000000001</v>
      </c>
      <c r="K1558" s="152" t="s">
        <v>1327</v>
      </c>
      <c r="L1558" s="152" t="s">
        <v>1327</v>
      </c>
      <c r="M1558" s="152" t="s">
        <v>1327</v>
      </c>
      <c r="N1558" s="152" t="s">
        <v>1327</v>
      </c>
      <c r="O1558" s="152">
        <v>4.210318</v>
      </c>
      <c r="P1558" s="152">
        <v>143.96683300000001</v>
      </c>
      <c r="Q1558" s="152">
        <v>4.210318</v>
      </c>
      <c r="R1558" s="152" t="s">
        <v>1327</v>
      </c>
      <c r="S1558" s="152">
        <v>99.609705000000005</v>
      </c>
      <c r="T1558" s="152">
        <v>0.41030100000000003</v>
      </c>
      <c r="U1558" s="152">
        <v>8.006183</v>
      </c>
      <c r="V1558" s="152">
        <v>76.264360999999994</v>
      </c>
      <c r="W1558" s="152">
        <v>1000</v>
      </c>
      <c r="X1558" s="152" t="s">
        <v>23</v>
      </c>
      <c r="Y1558" s="152" t="s">
        <v>1328</v>
      </c>
      <c r="Z1558" s="152" t="s">
        <v>1327</v>
      </c>
    </row>
    <row r="1559" spans="1:26" x14ac:dyDescent="0.2">
      <c r="A1559" s="152" t="s">
        <v>2678</v>
      </c>
      <c r="B1559" s="152">
        <v>4.16</v>
      </c>
      <c r="C1559" s="151">
        <v>47015</v>
      </c>
      <c r="D1559" s="152">
        <v>9.9095890000000004</v>
      </c>
      <c r="E1559" s="152" t="s">
        <v>1325</v>
      </c>
      <c r="F1559" s="152" t="s">
        <v>1326</v>
      </c>
      <c r="G1559" s="152"/>
      <c r="H1559" s="152" t="s">
        <v>1278</v>
      </c>
      <c r="I1559" s="152">
        <v>43371</v>
      </c>
      <c r="J1559" s="152">
        <v>4.1500000000000004</v>
      </c>
      <c r="K1559" s="152" t="s">
        <v>1327</v>
      </c>
      <c r="L1559" s="152" t="s">
        <v>1327</v>
      </c>
      <c r="M1559" s="152" t="s">
        <v>1327</v>
      </c>
      <c r="N1559" s="152" t="s">
        <v>1327</v>
      </c>
      <c r="O1559" s="152">
        <v>4.1806390000000002</v>
      </c>
      <c r="P1559" s="152">
        <v>140.93257500000001</v>
      </c>
      <c r="Q1559" s="152">
        <v>4.1806390000000002</v>
      </c>
      <c r="R1559" s="152" t="s">
        <v>1327</v>
      </c>
      <c r="S1559" s="152">
        <v>99.847703999999993</v>
      </c>
      <c r="T1559" s="152">
        <v>0.41030100000000003</v>
      </c>
      <c r="U1559" s="152">
        <v>8.0097930000000002</v>
      </c>
      <c r="V1559" s="152">
        <v>76.316699</v>
      </c>
      <c r="W1559" s="152">
        <v>1000</v>
      </c>
      <c r="X1559" s="152" t="s">
        <v>23</v>
      </c>
      <c r="Y1559" s="152" t="s">
        <v>1328</v>
      </c>
      <c r="Z1559" s="152" t="s">
        <v>1327</v>
      </c>
    </row>
    <row r="1560" spans="1:26" x14ac:dyDescent="0.2">
      <c r="A1560" s="152" t="s">
        <v>2679</v>
      </c>
      <c r="B1560" s="152">
        <v>4.7</v>
      </c>
      <c r="C1560" s="151">
        <v>43419</v>
      </c>
      <c r="D1560" s="152">
        <v>5.7534000000000002E-2</v>
      </c>
      <c r="E1560" s="152" t="s">
        <v>1325</v>
      </c>
      <c r="F1560" s="152" t="s">
        <v>1326</v>
      </c>
      <c r="G1560" s="152" t="s">
        <v>51</v>
      </c>
      <c r="H1560" s="152"/>
      <c r="I1560" s="152">
        <v>43286</v>
      </c>
      <c r="J1560" s="152">
        <v>1.5</v>
      </c>
      <c r="K1560" s="152" t="s">
        <v>1327</v>
      </c>
      <c r="L1560" s="152" t="s">
        <v>1327</v>
      </c>
      <c r="M1560" s="152" t="s">
        <v>1327</v>
      </c>
      <c r="N1560" s="152" t="s">
        <v>1327</v>
      </c>
      <c r="O1560" s="152">
        <v>1.407289</v>
      </c>
      <c r="P1560" s="152">
        <v>19.518725</v>
      </c>
      <c r="Q1560" s="152">
        <v>1.407289</v>
      </c>
      <c r="R1560" s="152" t="s">
        <v>1327</v>
      </c>
      <c r="S1560" s="152">
        <v>100.168549</v>
      </c>
      <c r="T1560" s="152">
        <v>2.0989040000000001</v>
      </c>
      <c r="U1560" s="152">
        <v>5.7132000000000002E-2</v>
      </c>
      <c r="V1560" s="152">
        <v>3.1630999999999999E-2</v>
      </c>
      <c r="W1560" s="152">
        <v>1000</v>
      </c>
      <c r="X1560" s="152" t="s">
        <v>23</v>
      </c>
      <c r="Y1560" s="152" t="s">
        <v>1328</v>
      </c>
      <c r="Z1560" s="152" t="s">
        <v>1327</v>
      </c>
    </row>
    <row r="1561" spans="1:26" x14ac:dyDescent="0.2">
      <c r="A1561" s="152" t="s">
        <v>2680</v>
      </c>
      <c r="B1561" s="152">
        <v>1.75</v>
      </c>
      <c r="C1561" s="151">
        <v>43641</v>
      </c>
      <c r="D1561" s="152">
        <v>0.66575300000000004</v>
      </c>
      <c r="E1561" s="152" t="s">
        <v>1325</v>
      </c>
      <c r="F1561" s="152" t="s">
        <v>1326</v>
      </c>
      <c r="G1561" s="152"/>
      <c r="H1561" s="152"/>
      <c r="I1561" s="152" t="s">
        <v>1327</v>
      </c>
      <c r="J1561" s="152" t="s">
        <v>1327</v>
      </c>
      <c r="K1561" s="152" t="s">
        <v>1327</v>
      </c>
      <c r="L1561" s="152" t="s">
        <v>1327</v>
      </c>
      <c r="M1561" s="152" t="s">
        <v>1327</v>
      </c>
      <c r="N1561" s="152" t="s">
        <v>1327</v>
      </c>
      <c r="O1561" s="152">
        <v>1.9944360000000001</v>
      </c>
      <c r="P1561" s="152">
        <v>21.876826000000001</v>
      </c>
      <c r="Q1561" s="152">
        <v>1.9944360000000001</v>
      </c>
      <c r="R1561" s="152" t="s">
        <v>1327</v>
      </c>
      <c r="S1561" s="152">
        <v>99.835443999999995</v>
      </c>
      <c r="T1561" s="152">
        <v>0.58493200000000001</v>
      </c>
      <c r="U1561" s="152">
        <v>0.65623699999999996</v>
      </c>
      <c r="V1561" s="152">
        <v>0.75763599999999998</v>
      </c>
      <c r="W1561" s="152">
        <v>1000</v>
      </c>
      <c r="X1561" s="152" t="s">
        <v>23</v>
      </c>
      <c r="Y1561" s="152" t="s">
        <v>1328</v>
      </c>
      <c r="Z1561" s="152" t="s">
        <v>1327</v>
      </c>
    </row>
    <row r="1562" spans="1:26" x14ac:dyDescent="0.2">
      <c r="A1562" s="152" t="s">
        <v>2681</v>
      </c>
      <c r="B1562" s="152">
        <v>1.88</v>
      </c>
      <c r="C1562" s="151">
        <v>43734</v>
      </c>
      <c r="D1562" s="152">
        <v>0.92054800000000003</v>
      </c>
      <c r="E1562" s="152" t="s">
        <v>1325</v>
      </c>
      <c r="F1562" s="152" t="s">
        <v>1326</v>
      </c>
      <c r="G1562" s="152"/>
      <c r="H1562" s="152"/>
      <c r="I1562" s="152" t="s">
        <v>1327</v>
      </c>
      <c r="J1562" s="152" t="s">
        <v>1327</v>
      </c>
      <c r="K1562" s="152" t="s">
        <v>1327</v>
      </c>
      <c r="L1562" s="152" t="s">
        <v>1327</v>
      </c>
      <c r="M1562" s="152" t="s">
        <v>1327</v>
      </c>
      <c r="N1562" s="152" t="s">
        <v>1327</v>
      </c>
      <c r="O1562" s="152">
        <v>1.9711829999999999</v>
      </c>
      <c r="P1562" s="152">
        <v>16.386254000000001</v>
      </c>
      <c r="Q1562" s="152">
        <v>1.9711829999999999</v>
      </c>
      <c r="R1562" s="152" t="s">
        <v>1327</v>
      </c>
      <c r="S1562" s="152">
        <v>99.917051999999998</v>
      </c>
      <c r="T1562" s="152">
        <v>0.14421900000000001</v>
      </c>
      <c r="U1562" s="152">
        <v>0.90294399999999997</v>
      </c>
      <c r="V1562" s="152">
        <v>1.2646059999999999</v>
      </c>
      <c r="W1562" s="152">
        <v>1000</v>
      </c>
      <c r="X1562" s="152" t="s">
        <v>23</v>
      </c>
      <c r="Y1562" s="152" t="s">
        <v>1328</v>
      </c>
      <c r="Z1562" s="152" t="s">
        <v>1327</v>
      </c>
    </row>
    <row r="1563" spans="1:26" x14ac:dyDescent="0.2">
      <c r="A1563" s="152" t="s">
        <v>2682</v>
      </c>
      <c r="B1563" s="152">
        <v>5.03</v>
      </c>
      <c r="C1563" s="151">
        <v>44150</v>
      </c>
      <c r="D1563" s="152">
        <v>2.0602740000000002</v>
      </c>
      <c r="E1563" s="152" t="s">
        <v>1325</v>
      </c>
      <c r="F1563" s="152" t="s">
        <v>1326</v>
      </c>
      <c r="G1563" s="152" t="s">
        <v>51</v>
      </c>
      <c r="H1563" s="152"/>
      <c r="I1563" s="152">
        <v>43314</v>
      </c>
      <c r="J1563" s="152">
        <v>2.13</v>
      </c>
      <c r="K1563" s="152" t="s">
        <v>1327</v>
      </c>
      <c r="L1563" s="152" t="s">
        <v>1327</v>
      </c>
      <c r="M1563" s="152" t="s">
        <v>1327</v>
      </c>
      <c r="N1563" s="152" t="s">
        <v>1327</v>
      </c>
      <c r="O1563" s="152">
        <v>2.2879969999999998</v>
      </c>
      <c r="P1563" s="152">
        <v>26.823684</v>
      </c>
      <c r="Q1563" s="152">
        <v>2.2879969999999998</v>
      </c>
      <c r="R1563" s="152" t="s">
        <v>1327</v>
      </c>
      <c r="S1563" s="152">
        <v>105.45834000000001</v>
      </c>
      <c r="T1563" s="152">
        <v>2.2462740000000001</v>
      </c>
      <c r="U1563" s="152">
        <v>1.9202760000000001</v>
      </c>
      <c r="V1563" s="152">
        <v>4.7934289999999997</v>
      </c>
      <c r="W1563" s="152">
        <v>1000</v>
      </c>
      <c r="X1563" s="152" t="s">
        <v>23</v>
      </c>
      <c r="Y1563" s="152" t="s">
        <v>1328</v>
      </c>
      <c r="Z1563" s="152" t="s">
        <v>1327</v>
      </c>
    </row>
    <row r="1564" spans="1:26" x14ac:dyDescent="0.2">
      <c r="A1564" s="152" t="s">
        <v>2683</v>
      </c>
      <c r="B1564" s="152">
        <v>4.5999999999999996</v>
      </c>
      <c r="C1564" s="151">
        <v>44886</v>
      </c>
      <c r="D1564" s="152">
        <v>4.0767119999999997</v>
      </c>
      <c r="E1564" s="152" t="s">
        <v>1325</v>
      </c>
      <c r="F1564" s="152" t="s">
        <v>1326</v>
      </c>
      <c r="G1564" s="152" t="s">
        <v>51</v>
      </c>
      <c r="H1564" s="152"/>
      <c r="I1564" s="151">
        <v>43270</v>
      </c>
      <c r="J1564" s="152">
        <v>2.7</v>
      </c>
      <c r="K1564" s="152">
        <v>41362</v>
      </c>
      <c r="L1564" s="152">
        <v>4.5553790000000003</v>
      </c>
      <c r="M1564" s="152">
        <v>5.2862999999999998</v>
      </c>
      <c r="N1564" s="152">
        <v>4.5539860000000001</v>
      </c>
      <c r="O1564" s="152">
        <v>3.0468489999999999</v>
      </c>
      <c r="P1564" s="152">
        <v>71.582431</v>
      </c>
      <c r="Q1564" s="152">
        <v>3.0468489999999999</v>
      </c>
      <c r="R1564" s="152" t="s">
        <v>1327</v>
      </c>
      <c r="S1564" s="152">
        <v>105.88727900000001</v>
      </c>
      <c r="T1564" s="152">
        <v>1.9786300000000001</v>
      </c>
      <c r="U1564" s="152">
        <v>3.6485479999999999</v>
      </c>
      <c r="V1564" s="152">
        <v>16.003226000000002</v>
      </c>
      <c r="W1564" s="152">
        <v>1000</v>
      </c>
      <c r="X1564" s="152" t="s">
        <v>23</v>
      </c>
      <c r="Y1564" s="152" t="s">
        <v>1328</v>
      </c>
      <c r="Z1564" s="152" t="s">
        <v>1327</v>
      </c>
    </row>
    <row r="1565" spans="1:26" x14ac:dyDescent="0.2">
      <c r="A1565" s="152" t="s">
        <v>2684</v>
      </c>
      <c r="B1565" s="152">
        <v>4.8499999999999996</v>
      </c>
      <c r="C1565" s="151">
        <v>45147</v>
      </c>
      <c r="D1565" s="152">
        <v>4.7917810000000003</v>
      </c>
      <c r="E1565" s="152" t="s">
        <v>1325</v>
      </c>
      <c r="F1565" s="152" t="s">
        <v>1326</v>
      </c>
      <c r="G1565" s="152" t="s">
        <v>51</v>
      </c>
      <c r="H1565" s="152"/>
      <c r="I1565" s="151">
        <v>42269</v>
      </c>
      <c r="J1565" s="152">
        <v>3.8</v>
      </c>
      <c r="K1565" s="152" t="s">
        <v>1327</v>
      </c>
      <c r="L1565" s="152" t="s">
        <v>1327</v>
      </c>
      <c r="M1565" s="152" t="s">
        <v>1327</v>
      </c>
      <c r="N1565" s="152" t="s">
        <v>1327</v>
      </c>
      <c r="O1565" s="152">
        <v>3.127875</v>
      </c>
      <c r="P1565" s="152">
        <v>72.844104000000002</v>
      </c>
      <c r="Q1565" s="152">
        <v>3.127875</v>
      </c>
      <c r="R1565" s="152" t="s">
        <v>1327</v>
      </c>
      <c r="S1565" s="152">
        <v>107.58592299999999</v>
      </c>
      <c r="T1565" s="152">
        <v>1.0231509999999999</v>
      </c>
      <c r="U1565" s="152">
        <v>4.2487789999999999</v>
      </c>
      <c r="V1565" s="152">
        <v>21.406942000000001</v>
      </c>
      <c r="W1565" s="152">
        <v>1000</v>
      </c>
      <c r="X1565" s="152" t="s">
        <v>23</v>
      </c>
      <c r="Y1565" s="152" t="s">
        <v>1328</v>
      </c>
      <c r="Z1565" s="152" t="s">
        <v>1327</v>
      </c>
    </row>
    <row r="1566" spans="1:26" x14ac:dyDescent="0.2">
      <c r="A1566" s="152" t="s">
        <v>2685</v>
      </c>
      <c r="B1566" s="152">
        <v>5</v>
      </c>
      <c r="C1566" s="151">
        <v>45221</v>
      </c>
      <c r="D1566" s="152">
        <v>4.9945209999999998</v>
      </c>
      <c r="E1566" s="152" t="s">
        <v>1325</v>
      </c>
      <c r="F1566" s="152" t="s">
        <v>1326</v>
      </c>
      <c r="G1566" s="152" t="s">
        <v>51</v>
      </c>
      <c r="H1566" s="152"/>
      <c r="I1566" s="152">
        <v>42184</v>
      </c>
      <c r="J1566" s="152">
        <v>4.0999999999999996</v>
      </c>
      <c r="K1566" s="152" t="s">
        <v>1327</v>
      </c>
      <c r="L1566" s="152" t="s">
        <v>1327</v>
      </c>
      <c r="M1566" s="152" t="s">
        <v>1327</v>
      </c>
      <c r="N1566" s="152" t="s">
        <v>1327</v>
      </c>
      <c r="O1566" s="152">
        <v>3.1535000000000002</v>
      </c>
      <c r="P1566" s="152">
        <v>73.485594000000006</v>
      </c>
      <c r="Q1566" s="152">
        <v>3.1535000000000002</v>
      </c>
      <c r="R1566" s="152" t="s">
        <v>1327</v>
      </c>
      <c r="S1566" s="152">
        <v>108.471322</v>
      </c>
      <c r="T1566" s="152">
        <v>4.1096000000000001E-2</v>
      </c>
      <c r="U1566" s="152">
        <v>4.4306380000000001</v>
      </c>
      <c r="V1566" s="152">
        <v>23.100439000000001</v>
      </c>
      <c r="W1566" s="152">
        <v>1000</v>
      </c>
      <c r="X1566" s="152" t="s">
        <v>23</v>
      </c>
      <c r="Y1566" s="152" t="s">
        <v>1328</v>
      </c>
      <c r="Z1566" s="152" t="s">
        <v>1327</v>
      </c>
    </row>
    <row r="1567" spans="1:26" x14ac:dyDescent="0.2">
      <c r="A1567" s="152" t="s">
        <v>2686</v>
      </c>
      <c r="B1567" s="152">
        <v>4.95</v>
      </c>
      <c r="C1567" s="151">
        <v>45878</v>
      </c>
      <c r="D1567" s="152">
        <v>6.7945209999999996</v>
      </c>
      <c r="E1567" s="152" t="s">
        <v>1325</v>
      </c>
      <c r="F1567" s="152" t="s">
        <v>1326</v>
      </c>
      <c r="G1567" s="152" t="s">
        <v>51</v>
      </c>
      <c r="H1567" s="152"/>
      <c r="I1567" s="152" t="s">
        <v>1327</v>
      </c>
      <c r="J1567" s="152" t="s">
        <v>1327</v>
      </c>
      <c r="K1567" s="152" t="s">
        <v>1327</v>
      </c>
      <c r="L1567" s="152" t="s">
        <v>1327</v>
      </c>
      <c r="M1567" s="152" t="s">
        <v>1327</v>
      </c>
      <c r="N1567" s="152" t="s">
        <v>1327</v>
      </c>
      <c r="O1567" s="152">
        <v>3.361075</v>
      </c>
      <c r="P1567" s="152">
        <v>75.516656999999995</v>
      </c>
      <c r="Q1567" s="152">
        <v>3.361075</v>
      </c>
      <c r="R1567" s="152" t="s">
        <v>1327</v>
      </c>
      <c r="S1567" s="152">
        <v>109.55344100000001</v>
      </c>
      <c r="T1567" s="152">
        <v>1.0442469999999999</v>
      </c>
      <c r="U1567" s="152">
        <v>5.7518989999999999</v>
      </c>
      <c r="V1567" s="152">
        <v>39.236037000000003</v>
      </c>
      <c r="W1567" s="152">
        <v>1000</v>
      </c>
      <c r="X1567" s="152" t="s">
        <v>23</v>
      </c>
      <c r="Y1567" s="152" t="s">
        <v>1328</v>
      </c>
      <c r="Z1567" s="152" t="s">
        <v>1327</v>
      </c>
    </row>
    <row r="1568" spans="1:26" x14ac:dyDescent="0.2">
      <c r="A1568" s="152" t="s">
        <v>2687</v>
      </c>
      <c r="B1568" s="152">
        <v>6</v>
      </c>
      <c r="C1568" s="151">
        <v>43519</v>
      </c>
      <c r="D1568" s="152">
        <v>0.331507</v>
      </c>
      <c r="E1568" s="152" t="s">
        <v>1325</v>
      </c>
      <c r="F1568" s="152" t="s">
        <v>1326</v>
      </c>
      <c r="G1568" s="152"/>
      <c r="H1568" s="152"/>
      <c r="I1568" s="152" t="s">
        <v>1327</v>
      </c>
      <c r="J1568" s="152" t="s">
        <v>1327</v>
      </c>
      <c r="K1568" s="152" t="s">
        <v>1327</v>
      </c>
      <c r="L1568" s="152" t="s">
        <v>1327</v>
      </c>
      <c r="M1568" s="152" t="s">
        <v>1327</v>
      </c>
      <c r="N1568" s="152" t="s">
        <v>1327</v>
      </c>
      <c r="O1568" s="152">
        <v>6.0700719999999997</v>
      </c>
      <c r="P1568" s="152">
        <v>453.44779599999998</v>
      </c>
      <c r="Q1568" s="152">
        <v>6.0700719999999997</v>
      </c>
      <c r="R1568" s="152" t="s">
        <v>1327</v>
      </c>
      <c r="S1568" s="152">
        <v>99.962534000000005</v>
      </c>
      <c r="T1568" s="152">
        <v>1.0356160000000001</v>
      </c>
      <c r="U1568" s="152">
        <v>0.32088699999999998</v>
      </c>
      <c r="V1568" s="152">
        <v>0.18287400000000001</v>
      </c>
      <c r="W1568" s="152">
        <v>1000</v>
      </c>
      <c r="X1568" s="152" t="s">
        <v>23</v>
      </c>
      <c r="Y1568" s="152" t="s">
        <v>1328</v>
      </c>
      <c r="Z1568" s="152" t="s">
        <v>1327</v>
      </c>
    </row>
    <row r="1569" spans="1:26" x14ac:dyDescent="0.2">
      <c r="A1569" s="152" t="s">
        <v>2688</v>
      </c>
      <c r="B1569" s="152">
        <v>6.5</v>
      </c>
      <c r="C1569" s="151">
        <v>43667</v>
      </c>
      <c r="D1569" s="152">
        <v>0.73698600000000003</v>
      </c>
      <c r="E1569" s="152" t="s">
        <v>1325</v>
      </c>
      <c r="F1569" s="152" t="s">
        <v>1326</v>
      </c>
      <c r="G1569" s="152"/>
      <c r="H1569" s="152"/>
      <c r="I1569" s="151" t="s">
        <v>1327</v>
      </c>
      <c r="J1569" s="152" t="s">
        <v>1327</v>
      </c>
      <c r="K1569" s="152" t="s">
        <v>1327</v>
      </c>
      <c r="L1569" s="152" t="s">
        <v>1327</v>
      </c>
      <c r="M1569" s="152" t="s">
        <v>1327</v>
      </c>
      <c r="N1569" s="152" t="s">
        <v>1327</v>
      </c>
      <c r="O1569" s="152">
        <v>6.764996</v>
      </c>
      <c r="P1569" s="152">
        <v>518.17896499999995</v>
      </c>
      <c r="Q1569" s="152">
        <v>6.764996</v>
      </c>
      <c r="R1569" s="152" t="s">
        <v>1327</v>
      </c>
      <c r="S1569" s="152">
        <v>99.796193000000002</v>
      </c>
      <c r="T1569" s="152">
        <v>7.1233000000000005E-2</v>
      </c>
      <c r="U1569" s="152">
        <v>0.717028</v>
      </c>
      <c r="V1569" s="152">
        <v>0.69508899999999996</v>
      </c>
      <c r="W1569" s="152">
        <v>580</v>
      </c>
      <c r="X1569" s="152" t="s">
        <v>23</v>
      </c>
      <c r="Y1569" s="152" t="s">
        <v>1328</v>
      </c>
      <c r="Z1569" s="152" t="s">
        <v>1327</v>
      </c>
    </row>
    <row r="1570" spans="1:26" x14ac:dyDescent="0.2">
      <c r="A1570" s="152" t="s">
        <v>2689</v>
      </c>
      <c r="B1570" s="152">
        <v>7.25</v>
      </c>
      <c r="C1570" s="151">
        <v>43857</v>
      </c>
      <c r="D1570" s="152">
        <v>1.2575339999999999</v>
      </c>
      <c r="E1570" s="152" t="s">
        <v>1325</v>
      </c>
      <c r="F1570" s="152" t="s">
        <v>1326</v>
      </c>
      <c r="G1570" s="152"/>
      <c r="H1570" s="152"/>
      <c r="I1570" s="151" t="s">
        <v>1327</v>
      </c>
      <c r="J1570" s="152" t="s">
        <v>1327</v>
      </c>
      <c r="K1570" s="152" t="s">
        <v>1327</v>
      </c>
      <c r="L1570" s="152" t="s">
        <v>1327</v>
      </c>
      <c r="M1570" s="152" t="s">
        <v>1327</v>
      </c>
      <c r="N1570" s="152" t="s">
        <v>1327</v>
      </c>
      <c r="O1570" s="152">
        <v>7.629867</v>
      </c>
      <c r="P1570" s="152">
        <v>597.80520300000001</v>
      </c>
      <c r="Q1570" s="152">
        <v>7.629867</v>
      </c>
      <c r="R1570" s="152" t="s">
        <v>1327</v>
      </c>
      <c r="S1570" s="152">
        <v>99.549679999999995</v>
      </c>
      <c r="T1570" s="152">
        <v>-3.9725999999999997E-2</v>
      </c>
      <c r="U1570" s="152">
        <v>1.1889639999999999</v>
      </c>
      <c r="V1570" s="152">
        <v>1.7353179999999999</v>
      </c>
      <c r="W1570" s="152">
        <v>1000</v>
      </c>
      <c r="X1570" s="152" t="s">
        <v>23</v>
      </c>
      <c r="Y1570" s="152" t="s">
        <v>1328</v>
      </c>
      <c r="Z1570" s="152" t="s">
        <v>1327</v>
      </c>
    </row>
    <row r="1571" spans="1:26" x14ac:dyDescent="0.2">
      <c r="A1571" s="152" t="s">
        <v>2690</v>
      </c>
      <c r="B1571" s="152">
        <v>6.5</v>
      </c>
      <c r="C1571" s="151">
        <v>43876</v>
      </c>
      <c r="D1571" s="152">
        <v>1.3095889999999999</v>
      </c>
      <c r="E1571" s="152" t="s">
        <v>1325</v>
      </c>
      <c r="F1571" s="152" t="s">
        <v>1326</v>
      </c>
      <c r="G1571" s="152"/>
      <c r="H1571" s="152"/>
      <c r="I1571" s="151" t="s">
        <v>1327</v>
      </c>
      <c r="J1571" s="152" t="s">
        <v>1327</v>
      </c>
      <c r="K1571" s="152" t="s">
        <v>1327</v>
      </c>
      <c r="L1571" s="152" t="s">
        <v>1327</v>
      </c>
      <c r="M1571" s="152" t="s">
        <v>1327</v>
      </c>
      <c r="N1571" s="152" t="s">
        <v>1327</v>
      </c>
      <c r="O1571" s="152">
        <v>7.0152239999999999</v>
      </c>
      <c r="P1571" s="152">
        <v>531.74485900000002</v>
      </c>
      <c r="Q1571" s="152">
        <v>7.0152239999999999</v>
      </c>
      <c r="R1571" s="152" t="s">
        <v>1327</v>
      </c>
      <c r="S1571" s="152">
        <v>99.345766999999995</v>
      </c>
      <c r="T1571" s="152">
        <v>1.264384</v>
      </c>
      <c r="U1571" s="152">
        <v>1.2270570000000001</v>
      </c>
      <c r="V1571" s="152">
        <v>1.8563670000000001</v>
      </c>
      <c r="W1571" s="152">
        <v>1000</v>
      </c>
      <c r="X1571" s="152" t="s">
        <v>23</v>
      </c>
      <c r="Y1571" s="152" t="s">
        <v>1328</v>
      </c>
      <c r="Z1571" s="152" t="s">
        <v>1327</v>
      </c>
    </row>
    <row r="1572" spans="1:26" x14ac:dyDescent="0.2">
      <c r="A1572" s="152" t="s">
        <v>2691</v>
      </c>
      <c r="B1572" s="152">
        <v>4.9000000000000004</v>
      </c>
      <c r="C1572" s="151">
        <v>44026</v>
      </c>
      <c r="D1572" s="152">
        <v>1.720548</v>
      </c>
      <c r="E1572" s="152" t="s">
        <v>1325</v>
      </c>
      <c r="F1572" s="152" t="s">
        <v>1326</v>
      </c>
      <c r="G1572" s="152"/>
      <c r="H1572" s="152"/>
      <c r="I1572" s="152" t="s">
        <v>1327</v>
      </c>
      <c r="J1572" s="152" t="s">
        <v>1327</v>
      </c>
      <c r="K1572" s="152" t="s">
        <v>1327</v>
      </c>
      <c r="L1572" s="152" t="s">
        <v>1327</v>
      </c>
      <c r="M1572" s="152" t="s">
        <v>1327</v>
      </c>
      <c r="N1572" s="152" t="s">
        <v>1327</v>
      </c>
      <c r="O1572" s="152">
        <v>5.260923</v>
      </c>
      <c r="P1572" s="152">
        <v>338.94618600000001</v>
      </c>
      <c r="Q1572" s="152">
        <v>5.260923</v>
      </c>
      <c r="R1572" s="152" t="s">
        <v>1327</v>
      </c>
      <c r="S1572" s="152">
        <v>99.398674999999997</v>
      </c>
      <c r="T1572" s="152">
        <v>0.147671</v>
      </c>
      <c r="U1572" s="152">
        <v>1.6378790000000001</v>
      </c>
      <c r="V1572" s="152">
        <v>3.1493950000000002</v>
      </c>
      <c r="W1572" s="152">
        <v>1000</v>
      </c>
      <c r="X1572" s="152" t="s">
        <v>23</v>
      </c>
      <c r="Y1572" s="152" t="s">
        <v>1328</v>
      </c>
      <c r="Z1572" s="152" t="s">
        <v>1327</v>
      </c>
    </row>
    <row r="1573" spans="1:26" x14ac:dyDescent="0.2">
      <c r="A1573" s="152" t="s">
        <v>2692</v>
      </c>
      <c r="B1573" s="152">
        <v>4.41</v>
      </c>
      <c r="C1573" s="151">
        <v>43512</v>
      </c>
      <c r="D1573" s="152">
        <v>0.31232900000000002</v>
      </c>
      <c r="E1573" s="152" t="s">
        <v>1325</v>
      </c>
      <c r="F1573" s="152" t="s">
        <v>1326</v>
      </c>
      <c r="G1573" s="152" t="s">
        <v>47</v>
      </c>
      <c r="H1573" s="152"/>
      <c r="I1573" s="151">
        <v>43350</v>
      </c>
      <c r="J1573" s="152">
        <v>1.65</v>
      </c>
      <c r="K1573" s="152">
        <v>41453</v>
      </c>
      <c r="L1573" s="152">
        <v>4.4394159999999996</v>
      </c>
      <c r="M1573" s="152">
        <v>5.3350140000000001</v>
      </c>
      <c r="N1573" s="152">
        <v>4.4394159999999996</v>
      </c>
      <c r="O1573" s="152">
        <v>1.809064</v>
      </c>
      <c r="P1573" s="152">
        <v>19.934723999999999</v>
      </c>
      <c r="Q1573" s="152">
        <v>1.809064</v>
      </c>
      <c r="R1573" s="152" t="s">
        <v>1327</v>
      </c>
      <c r="S1573" s="152">
        <v>100.78597499999999</v>
      </c>
      <c r="T1573" s="152">
        <v>0.84575299999999998</v>
      </c>
      <c r="U1573" s="152">
        <v>0.309529</v>
      </c>
      <c r="V1573" s="152">
        <v>0.24918499999999999</v>
      </c>
      <c r="W1573" s="152">
        <v>1000</v>
      </c>
      <c r="X1573" s="152" t="s">
        <v>23</v>
      </c>
      <c r="Y1573" s="152" t="s">
        <v>1328</v>
      </c>
      <c r="Z1573" s="152" t="s">
        <v>1327</v>
      </c>
    </row>
    <row r="1574" spans="1:26" x14ac:dyDescent="0.2">
      <c r="A1574" s="152" t="s">
        <v>2693</v>
      </c>
      <c r="B1574" s="152">
        <v>4.71</v>
      </c>
      <c r="C1574" s="151">
        <v>43503</v>
      </c>
      <c r="D1574" s="152">
        <v>0.28767100000000001</v>
      </c>
      <c r="E1574" s="152" t="s">
        <v>1325</v>
      </c>
      <c r="F1574" s="152" t="s">
        <v>1326</v>
      </c>
      <c r="G1574" s="152" t="s">
        <v>47</v>
      </c>
      <c r="H1574" s="152"/>
      <c r="I1574" s="151">
        <v>43245</v>
      </c>
      <c r="J1574" s="152">
        <v>1.7775000000000001</v>
      </c>
      <c r="K1574" s="152" t="s">
        <v>1327</v>
      </c>
      <c r="L1574" s="152" t="s">
        <v>1327</v>
      </c>
      <c r="M1574" s="152" t="s">
        <v>1327</v>
      </c>
      <c r="N1574" s="152" t="s">
        <v>1327</v>
      </c>
      <c r="O1574" s="152">
        <v>1.8075559999999999</v>
      </c>
      <c r="P1574" s="152">
        <v>22.494403999999999</v>
      </c>
      <c r="Q1574" s="152">
        <v>1.8075559999999999</v>
      </c>
      <c r="R1574" s="152" t="s">
        <v>1327</v>
      </c>
      <c r="S1574" s="152">
        <v>100.807107</v>
      </c>
      <c r="T1574" s="152">
        <v>1.019425</v>
      </c>
      <c r="U1574" s="152">
        <v>0.28509499999999999</v>
      </c>
      <c r="V1574" s="152">
        <v>0.222549</v>
      </c>
      <c r="W1574" s="152">
        <v>1000</v>
      </c>
      <c r="X1574" s="152" t="s">
        <v>23</v>
      </c>
      <c r="Y1574" s="152" t="s">
        <v>1328</v>
      </c>
      <c r="Z1574" s="152" t="s">
        <v>1327</v>
      </c>
    </row>
    <row r="1575" spans="1:26" x14ac:dyDescent="0.2">
      <c r="A1575" s="152" t="s">
        <v>2694</v>
      </c>
      <c r="B1575" s="152">
        <v>2.25</v>
      </c>
      <c r="C1575" s="151">
        <v>43693</v>
      </c>
      <c r="D1575" s="152">
        <v>0.80821900000000002</v>
      </c>
      <c r="E1575" s="152" t="s">
        <v>1325</v>
      </c>
      <c r="F1575" s="152" t="s">
        <v>1326</v>
      </c>
      <c r="G1575" s="152" t="s">
        <v>47</v>
      </c>
      <c r="H1575" s="152"/>
      <c r="I1575" s="151">
        <v>43335</v>
      </c>
      <c r="J1575" s="152">
        <v>2.1349999999999998</v>
      </c>
      <c r="K1575" s="152" t="s">
        <v>1327</v>
      </c>
      <c r="L1575" s="152" t="s">
        <v>1327</v>
      </c>
      <c r="M1575" s="152" t="s">
        <v>1327</v>
      </c>
      <c r="N1575" s="152" t="s">
        <v>1327</v>
      </c>
      <c r="O1575" s="152">
        <v>2.2347190000000001</v>
      </c>
      <c r="P1575" s="152">
        <v>45.618077999999997</v>
      </c>
      <c r="Q1575" s="152">
        <v>2.2347190000000001</v>
      </c>
      <c r="R1575" s="152" t="s">
        <v>1327</v>
      </c>
      <c r="S1575" s="152">
        <v>100.00152199999999</v>
      </c>
      <c r="T1575" s="152">
        <v>0.43150699999999997</v>
      </c>
      <c r="U1575" s="152">
        <v>0.79785200000000001</v>
      </c>
      <c r="V1575" s="152">
        <v>1.0337750000000001</v>
      </c>
      <c r="W1575" s="152">
        <v>1000</v>
      </c>
      <c r="X1575" s="152" t="s">
        <v>23</v>
      </c>
      <c r="Y1575" s="152" t="s">
        <v>1328</v>
      </c>
      <c r="Z1575" s="152" t="s">
        <v>1327</v>
      </c>
    </row>
    <row r="1576" spans="1:26" x14ac:dyDescent="0.2">
      <c r="A1576" s="152" t="s">
        <v>2695</v>
      </c>
      <c r="B1576" s="152">
        <v>4.46</v>
      </c>
      <c r="C1576" s="151">
        <v>43825</v>
      </c>
      <c r="D1576" s="152">
        <v>1.1698630000000001</v>
      </c>
      <c r="E1576" s="152" t="s">
        <v>1325</v>
      </c>
      <c r="F1576" s="152" t="s">
        <v>1326</v>
      </c>
      <c r="G1576" s="152" t="s">
        <v>47</v>
      </c>
      <c r="H1576" s="152"/>
      <c r="I1576" s="151">
        <v>43362</v>
      </c>
      <c r="J1576" s="152">
        <v>2.33</v>
      </c>
      <c r="K1576" s="152" t="s">
        <v>1327</v>
      </c>
      <c r="L1576" s="152" t="s">
        <v>1327</v>
      </c>
      <c r="M1576" s="152" t="s">
        <v>1327</v>
      </c>
      <c r="N1576" s="152" t="s">
        <v>1327</v>
      </c>
      <c r="O1576" s="152">
        <v>2.359137</v>
      </c>
      <c r="P1576" s="152">
        <v>53.235191999999998</v>
      </c>
      <c r="Q1576" s="152">
        <v>2.359137</v>
      </c>
      <c r="R1576" s="152" t="s">
        <v>1327</v>
      </c>
      <c r="S1576" s="152">
        <v>102.40107999999999</v>
      </c>
      <c r="T1576" s="152">
        <v>1.478521</v>
      </c>
      <c r="U1576" s="152">
        <v>1.124649</v>
      </c>
      <c r="V1576" s="152">
        <v>1.8456539999999999</v>
      </c>
      <c r="W1576" s="152">
        <v>1000</v>
      </c>
      <c r="X1576" s="152" t="s">
        <v>23</v>
      </c>
      <c r="Y1576" s="152" t="s">
        <v>1328</v>
      </c>
      <c r="Z1576" s="152" t="s">
        <v>1327</v>
      </c>
    </row>
    <row r="1577" spans="1:26" x14ac:dyDescent="0.2">
      <c r="A1577" s="152" t="s">
        <v>2696</v>
      </c>
      <c r="B1577" s="152">
        <v>2.97</v>
      </c>
      <c r="C1577" s="151">
        <v>43822</v>
      </c>
      <c r="D1577" s="152">
        <v>1.1616439999999999</v>
      </c>
      <c r="E1577" s="152" t="s">
        <v>1325</v>
      </c>
      <c r="F1577" s="152" t="s">
        <v>1326</v>
      </c>
      <c r="G1577" s="152" t="s">
        <v>47</v>
      </c>
      <c r="H1577" s="152"/>
      <c r="I1577" s="151">
        <v>43290</v>
      </c>
      <c r="J1577" s="152">
        <v>1.93</v>
      </c>
      <c r="K1577" s="152" t="s">
        <v>1327</v>
      </c>
      <c r="L1577" s="152" t="s">
        <v>1327</v>
      </c>
      <c r="M1577" s="152" t="s">
        <v>1327</v>
      </c>
      <c r="N1577" s="152" t="s">
        <v>1327</v>
      </c>
      <c r="O1577" s="152">
        <v>2.3534630000000001</v>
      </c>
      <c r="P1577" s="152">
        <v>52.769441999999998</v>
      </c>
      <c r="Q1577" s="152">
        <v>2.3534630000000001</v>
      </c>
      <c r="R1577" s="152" t="s">
        <v>1327</v>
      </c>
      <c r="S1577" s="152">
        <v>100.696457</v>
      </c>
      <c r="T1577" s="152">
        <v>1.0089859999999999</v>
      </c>
      <c r="U1577" s="152">
        <v>1.126652</v>
      </c>
      <c r="V1577" s="152">
        <v>1.843378</v>
      </c>
      <c r="W1577" s="152">
        <v>1000</v>
      </c>
      <c r="X1577" s="152" t="s">
        <v>23</v>
      </c>
      <c r="Y1577" s="152" t="s">
        <v>1328</v>
      </c>
      <c r="Z1577" s="152" t="s">
        <v>1327</v>
      </c>
    </row>
    <row r="1578" spans="1:26" x14ac:dyDescent="0.2">
      <c r="A1578" s="152" t="s">
        <v>2697</v>
      </c>
      <c r="B1578" s="152">
        <v>4.7</v>
      </c>
      <c r="C1578" s="151">
        <v>43749</v>
      </c>
      <c r="D1578" s="152">
        <v>0.96164400000000005</v>
      </c>
      <c r="E1578" s="152" t="s">
        <v>1325</v>
      </c>
      <c r="F1578" s="152" t="s">
        <v>1326</v>
      </c>
      <c r="G1578" s="152" t="s">
        <v>47</v>
      </c>
      <c r="H1578" s="152"/>
      <c r="I1578" s="151">
        <v>43392</v>
      </c>
      <c r="J1578" s="152">
        <v>2.16</v>
      </c>
      <c r="K1578" s="152">
        <v>41516</v>
      </c>
      <c r="L1578" s="152">
        <v>4.8590669999999996</v>
      </c>
      <c r="M1578" s="152">
        <v>5.7786350000000004</v>
      </c>
      <c r="N1578" s="152">
        <v>4.7358510000000003</v>
      </c>
      <c r="O1578" s="152">
        <v>2.1672120000000001</v>
      </c>
      <c r="P1578" s="152">
        <v>36.551254999999998</v>
      </c>
      <c r="Q1578" s="152">
        <v>2.1672120000000001</v>
      </c>
      <c r="R1578" s="152" t="s">
        <v>1327</v>
      </c>
      <c r="S1578" s="152">
        <v>102.399736</v>
      </c>
      <c r="T1578" s="152">
        <v>0.18027399999999999</v>
      </c>
      <c r="U1578" s="152">
        <v>0.93876000000000004</v>
      </c>
      <c r="V1578" s="152">
        <v>1.351043</v>
      </c>
      <c r="W1578" s="152">
        <v>1000</v>
      </c>
      <c r="X1578" s="152" t="s">
        <v>23</v>
      </c>
      <c r="Y1578" s="152" t="s">
        <v>1328</v>
      </c>
      <c r="Z1578" s="152" t="s">
        <v>1327</v>
      </c>
    </row>
    <row r="1579" spans="1:26" x14ac:dyDescent="0.2">
      <c r="A1579" s="152" t="s">
        <v>2698</v>
      </c>
      <c r="B1579" s="152">
        <v>4.32</v>
      </c>
      <c r="C1579" s="151">
        <v>43951</v>
      </c>
      <c r="D1579" s="152">
        <v>1.5150680000000001</v>
      </c>
      <c r="E1579" s="152" t="s">
        <v>1325</v>
      </c>
      <c r="F1579" s="152" t="s">
        <v>1326</v>
      </c>
      <c r="G1579" s="152" t="s">
        <v>47</v>
      </c>
      <c r="H1579" s="152"/>
      <c r="I1579" s="151">
        <v>43245</v>
      </c>
      <c r="J1579" s="152">
        <v>2.0175000000000001</v>
      </c>
      <c r="K1579" s="152" t="s">
        <v>1327</v>
      </c>
      <c r="L1579" s="152" t="s">
        <v>1327</v>
      </c>
      <c r="M1579" s="152" t="s">
        <v>1327</v>
      </c>
      <c r="N1579" s="152" t="s">
        <v>1327</v>
      </c>
      <c r="O1579" s="152">
        <v>2.4769369999999999</v>
      </c>
      <c r="P1579" s="152">
        <v>55.798994999999998</v>
      </c>
      <c r="Q1579" s="152">
        <v>2.4769369999999999</v>
      </c>
      <c r="R1579" s="152" t="s">
        <v>1327</v>
      </c>
      <c r="S1579" s="152">
        <v>102.72205700000001</v>
      </c>
      <c r="T1579" s="152">
        <v>-5.9178000000000001E-2</v>
      </c>
      <c r="U1579" s="152">
        <v>1.4645250000000001</v>
      </c>
      <c r="V1579" s="152">
        <v>2.892474</v>
      </c>
      <c r="W1579" s="152">
        <v>1000</v>
      </c>
      <c r="X1579" s="152" t="s">
        <v>23</v>
      </c>
      <c r="Y1579" s="152" t="s">
        <v>1328</v>
      </c>
      <c r="Z1579" s="152" t="s">
        <v>1327</v>
      </c>
    </row>
    <row r="1580" spans="1:26" x14ac:dyDescent="0.2">
      <c r="A1580" s="152" t="s">
        <v>2699</v>
      </c>
      <c r="B1580" s="152">
        <v>2.74</v>
      </c>
      <c r="C1580" s="151">
        <v>44005</v>
      </c>
      <c r="D1580" s="152">
        <v>1.663014</v>
      </c>
      <c r="E1580" s="152" t="s">
        <v>1325</v>
      </c>
      <c r="F1580" s="152" t="s">
        <v>1326</v>
      </c>
      <c r="G1580" s="152" t="s">
        <v>47</v>
      </c>
      <c r="H1580" s="152"/>
      <c r="I1580" s="151">
        <v>43265</v>
      </c>
      <c r="J1580" s="152">
        <v>2.2000000000000002</v>
      </c>
      <c r="K1580" s="152" t="s">
        <v>1327</v>
      </c>
      <c r="L1580" s="152" t="s">
        <v>1327</v>
      </c>
      <c r="M1580" s="152" t="s">
        <v>1327</v>
      </c>
      <c r="N1580" s="152" t="s">
        <v>1327</v>
      </c>
      <c r="O1580" s="152">
        <v>2.5082279999999999</v>
      </c>
      <c r="P1580" s="152">
        <v>55.130629999999996</v>
      </c>
      <c r="Q1580" s="152">
        <v>2.5082279999999999</v>
      </c>
      <c r="R1580" s="152" t="s">
        <v>1327</v>
      </c>
      <c r="S1580" s="152">
        <v>100.369288</v>
      </c>
      <c r="T1580" s="152">
        <v>0.93084900000000004</v>
      </c>
      <c r="U1580" s="152">
        <v>1.601483</v>
      </c>
      <c r="V1580" s="152">
        <v>3.3997440000000001</v>
      </c>
      <c r="W1580" s="152">
        <v>1000</v>
      </c>
      <c r="X1580" s="152" t="s">
        <v>23</v>
      </c>
      <c r="Y1580" s="152" t="s">
        <v>1328</v>
      </c>
      <c r="Z1580" s="152" t="s">
        <v>1327</v>
      </c>
    </row>
    <row r="1581" spans="1:26" x14ac:dyDescent="0.2">
      <c r="A1581" s="152" t="s">
        <v>2700</v>
      </c>
      <c r="B1581" s="152">
        <v>4.88</v>
      </c>
      <c r="C1581" s="151">
        <v>44073</v>
      </c>
      <c r="D1581" s="152">
        <v>1.849315</v>
      </c>
      <c r="E1581" s="152" t="s">
        <v>1325</v>
      </c>
      <c r="F1581" s="152" t="s">
        <v>1326</v>
      </c>
      <c r="G1581" s="152" t="s">
        <v>47</v>
      </c>
      <c r="H1581" s="152"/>
      <c r="I1581" s="152">
        <v>42824</v>
      </c>
      <c r="J1581" s="152">
        <v>3.17</v>
      </c>
      <c r="K1581" s="152" t="s">
        <v>1327</v>
      </c>
      <c r="L1581" s="152" t="s">
        <v>1327</v>
      </c>
      <c r="M1581" s="152" t="s">
        <v>1327</v>
      </c>
      <c r="N1581" s="152" t="s">
        <v>1327</v>
      </c>
      <c r="O1581" s="152">
        <v>2.6851259999999999</v>
      </c>
      <c r="P1581" s="152">
        <v>69.322467000000003</v>
      </c>
      <c r="Q1581" s="152">
        <v>2.6851259999999999</v>
      </c>
      <c r="R1581" s="152" t="s">
        <v>1327</v>
      </c>
      <c r="S1581" s="152">
        <v>103.928862</v>
      </c>
      <c r="T1581" s="152">
        <v>0.74871200000000004</v>
      </c>
      <c r="U1581" s="152">
        <v>1.7529920000000001</v>
      </c>
      <c r="V1581" s="152">
        <v>4.0115360000000004</v>
      </c>
      <c r="W1581" s="152">
        <v>1000</v>
      </c>
      <c r="X1581" s="152" t="s">
        <v>23</v>
      </c>
      <c r="Y1581" s="152" t="s">
        <v>1328</v>
      </c>
      <c r="Z1581" s="152" t="s">
        <v>1327</v>
      </c>
    </row>
    <row r="1582" spans="1:26" x14ac:dyDescent="0.2">
      <c r="A1582" s="152" t="s">
        <v>2701</v>
      </c>
      <c r="B1582" s="152">
        <v>2.4700000000000002</v>
      </c>
      <c r="C1582" s="151">
        <v>44059</v>
      </c>
      <c r="D1582" s="152">
        <v>1.810959</v>
      </c>
      <c r="E1582" s="152" t="s">
        <v>1325</v>
      </c>
      <c r="F1582" s="152" t="s">
        <v>1326</v>
      </c>
      <c r="G1582" s="152" t="s">
        <v>47</v>
      </c>
      <c r="H1582" s="152"/>
      <c r="I1582" s="151">
        <v>43377</v>
      </c>
      <c r="J1582" s="152">
        <v>2.63</v>
      </c>
      <c r="K1582" s="152" t="s">
        <v>1327</v>
      </c>
      <c r="L1582" s="152" t="s">
        <v>1327</v>
      </c>
      <c r="M1582" s="152" t="s">
        <v>1327</v>
      </c>
      <c r="N1582" s="152" t="s">
        <v>1327</v>
      </c>
      <c r="O1582" s="152">
        <v>2.6717080000000002</v>
      </c>
      <c r="P1582" s="152">
        <v>69.112296999999998</v>
      </c>
      <c r="Q1582" s="152">
        <v>2.6717080000000002</v>
      </c>
      <c r="R1582" s="152" t="s">
        <v>1327</v>
      </c>
      <c r="S1582" s="152">
        <v>99.633382999999995</v>
      </c>
      <c r="T1582" s="152">
        <v>0.47369899999999998</v>
      </c>
      <c r="U1582" s="152">
        <v>1.752534</v>
      </c>
      <c r="V1582" s="152">
        <v>3.9762680000000001</v>
      </c>
      <c r="W1582" s="152">
        <v>1000</v>
      </c>
      <c r="X1582" s="152" t="s">
        <v>23</v>
      </c>
      <c r="Y1582" s="152" t="s">
        <v>1328</v>
      </c>
      <c r="Z1582" s="152" t="s">
        <v>1327</v>
      </c>
    </row>
    <row r="1583" spans="1:26" x14ac:dyDescent="0.2">
      <c r="A1583" s="152" t="s">
        <v>2702</v>
      </c>
      <c r="B1583" s="152">
        <v>4.1399999999999997</v>
      </c>
      <c r="C1583" s="151">
        <v>44104</v>
      </c>
      <c r="D1583" s="152">
        <v>1.934247</v>
      </c>
      <c r="E1583" s="152" t="s">
        <v>1325</v>
      </c>
      <c r="F1583" s="152" t="s">
        <v>1326</v>
      </c>
      <c r="G1583" s="152" t="s">
        <v>47</v>
      </c>
      <c r="H1583" s="152"/>
      <c r="I1583" s="151">
        <v>43353</v>
      </c>
      <c r="J1583" s="152">
        <v>2.57</v>
      </c>
      <c r="K1583" s="151" t="s">
        <v>1327</v>
      </c>
      <c r="L1583" s="152" t="s">
        <v>1327</v>
      </c>
      <c r="M1583" s="152" t="s">
        <v>1327</v>
      </c>
      <c r="N1583" s="152" t="s">
        <v>1327</v>
      </c>
      <c r="O1583" s="152">
        <v>2.7086830000000002</v>
      </c>
      <c r="P1583" s="152">
        <v>70.027151000000003</v>
      </c>
      <c r="Q1583" s="152">
        <v>2.7086830000000002</v>
      </c>
      <c r="R1583" s="152" t="s">
        <v>1327</v>
      </c>
      <c r="S1583" s="152">
        <v>102.685654</v>
      </c>
      <c r="T1583" s="152">
        <v>0.28356199999999998</v>
      </c>
      <c r="U1583" s="152">
        <v>1.843342</v>
      </c>
      <c r="V1583" s="152">
        <v>4.3711880000000001</v>
      </c>
      <c r="W1583" s="152">
        <v>1000</v>
      </c>
      <c r="X1583" s="152" t="s">
        <v>23</v>
      </c>
      <c r="Y1583" s="152" t="s">
        <v>1328</v>
      </c>
      <c r="Z1583" s="152" t="s">
        <v>1327</v>
      </c>
    </row>
    <row r="1584" spans="1:26" x14ac:dyDescent="0.2">
      <c r="A1584" s="152" t="s">
        <v>2703</v>
      </c>
      <c r="B1584" s="152">
        <v>5.14</v>
      </c>
      <c r="C1584" s="151">
        <v>44234</v>
      </c>
      <c r="D1584" s="152">
        <v>2.2904110000000002</v>
      </c>
      <c r="E1584" s="152" t="s">
        <v>1325</v>
      </c>
      <c r="F1584" s="152" t="s">
        <v>1326</v>
      </c>
      <c r="G1584" s="152" t="s">
        <v>47</v>
      </c>
      <c r="H1584" s="152"/>
      <c r="I1584" s="151">
        <v>43354</v>
      </c>
      <c r="J1584" s="152">
        <v>2.65</v>
      </c>
      <c r="K1584" s="152" t="s">
        <v>1327</v>
      </c>
      <c r="L1584" s="152" t="s">
        <v>1327</v>
      </c>
      <c r="M1584" s="152" t="s">
        <v>1327</v>
      </c>
      <c r="N1584" s="152" t="s">
        <v>1327</v>
      </c>
      <c r="O1584" s="152">
        <v>2.7484890000000002</v>
      </c>
      <c r="P1584" s="152">
        <v>71.592145000000002</v>
      </c>
      <c r="Q1584" s="152">
        <v>2.7484890000000002</v>
      </c>
      <c r="R1584" s="152" t="s">
        <v>1327</v>
      </c>
      <c r="S1584" s="152">
        <v>105.24214600000001</v>
      </c>
      <c r="T1584" s="152">
        <v>1.112493</v>
      </c>
      <c r="U1584" s="152">
        <v>2.139999</v>
      </c>
      <c r="V1584" s="152">
        <v>5.7948820000000003</v>
      </c>
      <c r="W1584" s="152">
        <v>1000</v>
      </c>
      <c r="X1584" s="152" t="s">
        <v>23</v>
      </c>
      <c r="Y1584" s="152" t="s">
        <v>1328</v>
      </c>
      <c r="Z1584" s="152" t="s">
        <v>1327</v>
      </c>
    </row>
    <row r="1585" spans="1:26" x14ac:dyDescent="0.2">
      <c r="A1585" s="152" t="s">
        <v>2704</v>
      </c>
      <c r="B1585" s="152">
        <v>4.75</v>
      </c>
      <c r="C1585" s="151">
        <v>44329</v>
      </c>
      <c r="D1585" s="152">
        <v>2.5506850000000001</v>
      </c>
      <c r="E1585" s="152" t="s">
        <v>1325</v>
      </c>
      <c r="F1585" s="152" t="s">
        <v>1326</v>
      </c>
      <c r="G1585" s="152" t="s">
        <v>47</v>
      </c>
      <c r="H1585" s="152"/>
      <c r="I1585" s="151">
        <v>42507</v>
      </c>
      <c r="J1585" s="152">
        <v>3.77</v>
      </c>
      <c r="K1585" s="152">
        <v>41516</v>
      </c>
      <c r="L1585" s="152">
        <v>5.0574729999999999</v>
      </c>
      <c r="M1585" s="152">
        <v>5.9498490000000004</v>
      </c>
      <c r="N1585" s="152">
        <v>5.01</v>
      </c>
      <c r="O1585" s="152">
        <v>2.7539729999999998</v>
      </c>
      <c r="P1585" s="152">
        <v>70.728971000000001</v>
      </c>
      <c r="Q1585" s="152">
        <v>2.7539729999999998</v>
      </c>
      <c r="R1585" s="152" t="s">
        <v>1327</v>
      </c>
      <c r="S1585" s="152">
        <v>106.008062</v>
      </c>
      <c r="T1585" s="152">
        <v>2.1472600000000002</v>
      </c>
      <c r="U1585" s="152">
        <v>2.3501699999999999</v>
      </c>
      <c r="V1585" s="152">
        <v>6.9533620000000003</v>
      </c>
      <c r="W1585" s="152">
        <v>1000</v>
      </c>
      <c r="X1585" s="152" t="s">
        <v>23</v>
      </c>
      <c r="Y1585" s="152" t="s">
        <v>1328</v>
      </c>
      <c r="Z1585" s="152" t="s">
        <v>1327</v>
      </c>
    </row>
    <row r="1586" spans="1:26" x14ac:dyDescent="0.2">
      <c r="A1586" s="152" t="s">
        <v>2705</v>
      </c>
      <c r="B1586" s="152">
        <v>4.62</v>
      </c>
      <c r="C1586" s="151">
        <v>44329</v>
      </c>
      <c r="D1586" s="152">
        <v>2.5506850000000001</v>
      </c>
      <c r="E1586" s="152" t="s">
        <v>1325</v>
      </c>
      <c r="F1586" s="152" t="s">
        <v>1326</v>
      </c>
      <c r="G1586" s="152" t="s">
        <v>47</v>
      </c>
      <c r="H1586" s="152"/>
      <c r="I1586" s="152">
        <v>42989</v>
      </c>
      <c r="J1586" s="152">
        <v>2.9049999999999998</v>
      </c>
      <c r="K1586" s="152">
        <v>41698</v>
      </c>
      <c r="L1586" s="152">
        <v>4.8329199999999997</v>
      </c>
      <c r="M1586" s="152">
        <v>5.3853140000000002</v>
      </c>
      <c r="N1586" s="152">
        <v>4.8329199999999997</v>
      </c>
      <c r="O1586" s="152">
        <v>2.7583310000000001</v>
      </c>
      <c r="P1586" s="152">
        <v>71.098740000000006</v>
      </c>
      <c r="Q1586" s="152">
        <v>2.7583310000000001</v>
      </c>
      <c r="R1586" s="152" t="s">
        <v>1327</v>
      </c>
      <c r="S1586" s="152">
        <v>104.536984</v>
      </c>
      <c r="T1586" s="152">
        <v>2.0884930000000002</v>
      </c>
      <c r="U1586" s="152">
        <v>2.3601640000000002</v>
      </c>
      <c r="V1586" s="152">
        <v>6.9955730000000003</v>
      </c>
      <c r="W1586" s="152">
        <v>1000</v>
      </c>
      <c r="X1586" s="152" t="s">
        <v>23</v>
      </c>
      <c r="Y1586" s="152" t="s">
        <v>1328</v>
      </c>
      <c r="Z1586" s="152" t="s">
        <v>1327</v>
      </c>
    </row>
    <row r="1587" spans="1:26" x14ac:dyDescent="0.2">
      <c r="A1587" s="152" t="s">
        <v>2706</v>
      </c>
      <c r="B1587" s="152">
        <v>2.7</v>
      </c>
      <c r="C1587" s="151">
        <v>44424</v>
      </c>
      <c r="D1587" s="152">
        <v>2.810959</v>
      </c>
      <c r="E1587" s="152" t="s">
        <v>1325</v>
      </c>
      <c r="F1587" s="152" t="s">
        <v>1326</v>
      </c>
      <c r="G1587" s="152" t="s">
        <v>47</v>
      </c>
      <c r="H1587" s="152"/>
      <c r="I1587" s="152" t="s">
        <v>1327</v>
      </c>
      <c r="J1587" s="152" t="s">
        <v>1327</v>
      </c>
      <c r="K1587" s="152" t="s">
        <v>1327</v>
      </c>
      <c r="L1587" s="152" t="s">
        <v>1327</v>
      </c>
      <c r="M1587" s="152" t="s">
        <v>1327</v>
      </c>
      <c r="N1587" s="152" t="s">
        <v>1327</v>
      </c>
      <c r="O1587" s="152">
        <v>2.8617979999999998</v>
      </c>
      <c r="P1587" s="152">
        <v>78.608838000000006</v>
      </c>
      <c r="Q1587" s="152">
        <v>2.8617979999999998</v>
      </c>
      <c r="R1587" s="152" t="s">
        <v>1327</v>
      </c>
      <c r="S1587" s="152">
        <v>99.552434000000005</v>
      </c>
      <c r="T1587" s="152">
        <v>0.51780800000000005</v>
      </c>
      <c r="U1587" s="152">
        <v>2.6756250000000001</v>
      </c>
      <c r="V1587" s="152">
        <v>8.6449230000000004</v>
      </c>
      <c r="W1587" s="152">
        <v>1000</v>
      </c>
      <c r="X1587" s="152" t="s">
        <v>23</v>
      </c>
      <c r="Y1587" s="152" t="s">
        <v>1328</v>
      </c>
      <c r="Z1587" s="152" t="s">
        <v>1327</v>
      </c>
    </row>
    <row r="1588" spans="1:26" x14ac:dyDescent="0.2">
      <c r="A1588" s="152" t="s">
        <v>2707</v>
      </c>
      <c r="B1588" s="152">
        <v>4.76</v>
      </c>
      <c r="C1588" s="151">
        <v>44556</v>
      </c>
      <c r="D1588" s="152">
        <v>3.1726030000000001</v>
      </c>
      <c r="E1588" s="152" t="s">
        <v>1325</v>
      </c>
      <c r="F1588" s="152" t="s">
        <v>1326</v>
      </c>
      <c r="G1588" s="152" t="s">
        <v>47</v>
      </c>
      <c r="H1588" s="152"/>
      <c r="I1588" s="152">
        <v>42963</v>
      </c>
      <c r="J1588" s="152">
        <v>2.9897999999999998</v>
      </c>
      <c r="K1588" s="152" t="s">
        <v>1327</v>
      </c>
      <c r="L1588" s="152" t="s">
        <v>1327</v>
      </c>
      <c r="M1588" s="152" t="s">
        <v>1327</v>
      </c>
      <c r="N1588" s="152" t="s">
        <v>1327</v>
      </c>
      <c r="O1588" s="152">
        <v>2.8509060000000002</v>
      </c>
      <c r="P1588" s="152">
        <v>70.286935</v>
      </c>
      <c r="Q1588" s="152">
        <v>2.8509060000000002</v>
      </c>
      <c r="R1588" s="152" t="s">
        <v>1327</v>
      </c>
      <c r="S1588" s="152">
        <v>105.736833</v>
      </c>
      <c r="T1588" s="152">
        <v>1.5779730000000001</v>
      </c>
      <c r="U1588" s="152">
        <v>2.9020980000000001</v>
      </c>
      <c r="V1588" s="152">
        <v>10.283281000000001</v>
      </c>
      <c r="W1588" s="152">
        <v>1000</v>
      </c>
      <c r="X1588" s="152" t="s">
        <v>23</v>
      </c>
      <c r="Y1588" s="152" t="s">
        <v>1328</v>
      </c>
      <c r="Z1588" s="152" t="s">
        <v>1327</v>
      </c>
    </row>
    <row r="1589" spans="1:26" x14ac:dyDescent="0.2">
      <c r="A1589" s="152" t="s">
        <v>2708</v>
      </c>
      <c r="B1589" s="152">
        <v>3.45</v>
      </c>
      <c r="C1589" s="151">
        <v>44553</v>
      </c>
      <c r="D1589" s="152">
        <v>3.1643840000000001</v>
      </c>
      <c r="E1589" s="152" t="s">
        <v>1325</v>
      </c>
      <c r="F1589" s="152" t="s">
        <v>1326</v>
      </c>
      <c r="G1589" s="152" t="s">
        <v>47</v>
      </c>
      <c r="H1589" s="152"/>
      <c r="I1589" s="152" t="s">
        <v>1327</v>
      </c>
      <c r="J1589" s="152" t="s">
        <v>1327</v>
      </c>
      <c r="K1589" s="152" t="s">
        <v>1327</v>
      </c>
      <c r="L1589" s="152" t="s">
        <v>1327</v>
      </c>
      <c r="M1589" s="152" t="s">
        <v>1327</v>
      </c>
      <c r="N1589" s="152" t="s">
        <v>1327</v>
      </c>
      <c r="O1589" s="152">
        <v>2.8510749999999998</v>
      </c>
      <c r="P1589" s="152">
        <v>70.222549999999998</v>
      </c>
      <c r="Q1589" s="152">
        <v>2.8510749999999998</v>
      </c>
      <c r="R1589" s="152" t="s">
        <v>1327</v>
      </c>
      <c r="S1589" s="152">
        <v>101.79113</v>
      </c>
      <c r="T1589" s="152">
        <v>1.1720550000000001</v>
      </c>
      <c r="U1589" s="152">
        <v>2.948547</v>
      </c>
      <c r="V1589" s="152">
        <v>10.481927000000001</v>
      </c>
      <c r="W1589" s="152">
        <v>1000</v>
      </c>
      <c r="X1589" s="152" t="s">
        <v>23</v>
      </c>
      <c r="Y1589" s="152" t="s">
        <v>1328</v>
      </c>
      <c r="Z1589" s="152" t="s">
        <v>1327</v>
      </c>
    </row>
    <row r="1590" spans="1:26" x14ac:dyDescent="0.2">
      <c r="A1590" s="152" t="s">
        <v>2709</v>
      </c>
      <c r="B1590" s="152">
        <v>4.75</v>
      </c>
      <c r="C1590" s="151">
        <v>44608</v>
      </c>
      <c r="D1590" s="152">
        <v>3.3150680000000001</v>
      </c>
      <c r="E1590" s="152" t="s">
        <v>1325</v>
      </c>
      <c r="F1590" s="152" t="s">
        <v>1326</v>
      </c>
      <c r="G1590" s="152" t="s">
        <v>47</v>
      </c>
      <c r="H1590" s="152"/>
      <c r="I1590" s="152">
        <v>43245</v>
      </c>
      <c r="J1590" s="152">
        <v>2.5975000000000001</v>
      </c>
      <c r="K1590" s="152">
        <v>41362</v>
      </c>
      <c r="L1590" s="152">
        <v>4.4885020000000004</v>
      </c>
      <c r="M1590" s="152">
        <v>5.2553210000000004</v>
      </c>
      <c r="N1590" s="152">
        <v>4.4835419999999999</v>
      </c>
      <c r="O1590" s="152">
        <v>2.8756499999999998</v>
      </c>
      <c r="P1590" s="152">
        <v>68.530527000000006</v>
      </c>
      <c r="Q1590" s="152">
        <v>2.8756499999999998</v>
      </c>
      <c r="R1590" s="152" t="s">
        <v>1327</v>
      </c>
      <c r="S1590" s="152">
        <v>105.858251</v>
      </c>
      <c r="T1590" s="152">
        <v>0.91095899999999996</v>
      </c>
      <c r="U1590" s="152">
        <v>3.042484</v>
      </c>
      <c r="V1590" s="152">
        <v>11.186263</v>
      </c>
      <c r="W1590" s="152">
        <v>1000</v>
      </c>
      <c r="X1590" s="152" t="s">
        <v>23</v>
      </c>
      <c r="Y1590" s="152" t="s">
        <v>1328</v>
      </c>
      <c r="Z1590" s="152" t="s">
        <v>1327</v>
      </c>
    </row>
    <row r="1591" spans="1:26" x14ac:dyDescent="0.2">
      <c r="A1591" s="152" t="s">
        <v>2710</v>
      </c>
      <c r="B1591" s="152">
        <v>4.62</v>
      </c>
      <c r="C1591" s="151">
        <v>44681</v>
      </c>
      <c r="D1591" s="152">
        <v>3.5150679999999999</v>
      </c>
      <c r="E1591" s="152" t="s">
        <v>1325</v>
      </c>
      <c r="F1591" s="152" t="s">
        <v>1326</v>
      </c>
      <c r="G1591" s="152" t="s">
        <v>47</v>
      </c>
      <c r="H1591" s="152"/>
      <c r="I1591" s="152">
        <v>43214</v>
      </c>
      <c r="J1591" s="152">
        <v>2.58</v>
      </c>
      <c r="K1591" s="152" t="s">
        <v>1327</v>
      </c>
      <c r="L1591" s="152" t="s">
        <v>1327</v>
      </c>
      <c r="M1591" s="152" t="s">
        <v>1327</v>
      </c>
      <c r="N1591" s="152" t="s">
        <v>1327</v>
      </c>
      <c r="O1591" s="152">
        <v>2.9562599999999999</v>
      </c>
      <c r="P1591" s="152">
        <v>70.552363</v>
      </c>
      <c r="Q1591" s="152">
        <v>2.9562599999999999</v>
      </c>
      <c r="R1591" s="152" t="s">
        <v>1327</v>
      </c>
      <c r="S1591" s="152">
        <v>105.51440700000001</v>
      </c>
      <c r="T1591" s="152">
        <v>-6.3287999999999997E-2</v>
      </c>
      <c r="U1591" s="152">
        <v>3.2445900000000001</v>
      </c>
      <c r="V1591" s="152">
        <v>12.547314999999999</v>
      </c>
      <c r="W1591" s="152">
        <v>1000</v>
      </c>
      <c r="X1591" s="152" t="s">
        <v>23</v>
      </c>
      <c r="Y1591" s="152" t="s">
        <v>1328</v>
      </c>
      <c r="Z1591" s="152" t="s">
        <v>1327</v>
      </c>
    </row>
    <row r="1592" spans="1:26" x14ac:dyDescent="0.2">
      <c r="A1592" s="152" t="s">
        <v>2711</v>
      </c>
      <c r="B1592" s="152">
        <v>3.06</v>
      </c>
      <c r="C1592" s="151">
        <v>44735</v>
      </c>
      <c r="D1592" s="152">
        <v>3.663014</v>
      </c>
      <c r="E1592" s="152" t="s">
        <v>1325</v>
      </c>
      <c r="F1592" s="152" t="s">
        <v>1326</v>
      </c>
      <c r="G1592" s="152" t="s">
        <v>47</v>
      </c>
      <c r="H1592" s="152"/>
      <c r="I1592" s="152">
        <v>43307</v>
      </c>
      <c r="J1592" s="152">
        <v>2.79</v>
      </c>
      <c r="K1592" s="152" t="s">
        <v>1327</v>
      </c>
      <c r="L1592" s="152" t="s">
        <v>1327</v>
      </c>
      <c r="M1592" s="152" t="s">
        <v>1327</v>
      </c>
      <c r="N1592" s="152" t="s">
        <v>1327</v>
      </c>
      <c r="O1592" s="152">
        <v>3.0201500000000001</v>
      </c>
      <c r="P1592" s="152">
        <v>72.785981000000007</v>
      </c>
      <c r="Q1592" s="152">
        <v>3.0201500000000001</v>
      </c>
      <c r="R1592" s="152" t="s">
        <v>1327</v>
      </c>
      <c r="S1592" s="152">
        <v>100.130458</v>
      </c>
      <c r="T1592" s="152">
        <v>1.0395620000000001</v>
      </c>
      <c r="U1592" s="152">
        <v>3.4056700000000002</v>
      </c>
      <c r="V1592" s="152">
        <v>13.736179</v>
      </c>
      <c r="W1592" s="152">
        <v>1000</v>
      </c>
      <c r="X1592" s="152" t="s">
        <v>23</v>
      </c>
      <c r="Y1592" s="152" t="s">
        <v>1328</v>
      </c>
      <c r="Z1592" s="152" t="s">
        <v>1327</v>
      </c>
    </row>
    <row r="1593" spans="1:26" x14ac:dyDescent="0.2">
      <c r="A1593" s="152" t="s">
        <v>2712</v>
      </c>
      <c r="B1593" s="152">
        <v>4.4400000000000004</v>
      </c>
      <c r="C1593" s="151">
        <v>44834</v>
      </c>
      <c r="D1593" s="152">
        <v>3.934247</v>
      </c>
      <c r="E1593" s="152" t="s">
        <v>1325</v>
      </c>
      <c r="F1593" s="152" t="s">
        <v>1326</v>
      </c>
      <c r="G1593" s="152" t="s">
        <v>47</v>
      </c>
      <c r="H1593" s="152"/>
      <c r="I1593" s="151">
        <v>43348</v>
      </c>
      <c r="J1593" s="152">
        <v>2.88</v>
      </c>
      <c r="K1593" s="152" t="s">
        <v>1327</v>
      </c>
      <c r="L1593" s="152" t="s">
        <v>1327</v>
      </c>
      <c r="M1593" s="152" t="s">
        <v>1327</v>
      </c>
      <c r="N1593" s="152" t="s">
        <v>1327</v>
      </c>
      <c r="O1593" s="152">
        <v>3.0304410000000002</v>
      </c>
      <c r="P1593" s="152">
        <v>70.502202999999994</v>
      </c>
      <c r="Q1593" s="152">
        <v>3.0304410000000002</v>
      </c>
      <c r="R1593" s="152" t="s">
        <v>1327</v>
      </c>
      <c r="S1593" s="152">
        <v>105.198452</v>
      </c>
      <c r="T1593" s="152">
        <v>0.30410999999999999</v>
      </c>
      <c r="U1593" s="152">
        <v>3.5906850000000001</v>
      </c>
      <c r="V1593" s="152">
        <v>15.275213000000001</v>
      </c>
      <c r="W1593" s="152">
        <v>1000</v>
      </c>
      <c r="X1593" s="152" t="s">
        <v>23</v>
      </c>
      <c r="Y1593" s="152" t="s">
        <v>1328</v>
      </c>
      <c r="Z1593" s="152" t="s">
        <v>1327</v>
      </c>
    </row>
    <row r="1594" spans="1:26" x14ac:dyDescent="0.2">
      <c r="A1594" s="152" t="s">
        <v>2713</v>
      </c>
      <c r="B1594" s="152">
        <v>4.9000000000000004</v>
      </c>
      <c r="C1594" s="151">
        <v>44845</v>
      </c>
      <c r="D1594" s="152">
        <v>3.9643839999999999</v>
      </c>
      <c r="E1594" s="152" t="s">
        <v>1325</v>
      </c>
      <c r="F1594" s="152" t="s">
        <v>1326</v>
      </c>
      <c r="G1594" s="152" t="s">
        <v>47</v>
      </c>
      <c r="H1594" s="152"/>
      <c r="I1594" s="151">
        <v>43245</v>
      </c>
      <c r="J1594" s="152">
        <v>2.72</v>
      </c>
      <c r="K1594" s="152">
        <v>41362</v>
      </c>
      <c r="L1594" s="152">
        <v>4.4919149999999997</v>
      </c>
      <c r="M1594" s="152">
        <v>5.2828580000000001</v>
      </c>
      <c r="N1594" s="152">
        <v>4.4849040000000002</v>
      </c>
      <c r="O1594" s="152">
        <v>2.9974409999999998</v>
      </c>
      <c r="P1594" s="152">
        <v>67.331945000000005</v>
      </c>
      <c r="Q1594" s="152">
        <v>2.9974409999999998</v>
      </c>
      <c r="R1594" s="152" t="s">
        <v>1327</v>
      </c>
      <c r="S1594" s="152">
        <v>107.060344</v>
      </c>
      <c r="T1594" s="152">
        <v>0.187945</v>
      </c>
      <c r="U1594" s="152">
        <v>3.5999979999999998</v>
      </c>
      <c r="V1594" s="152">
        <v>15.392263</v>
      </c>
      <c r="W1594" s="152">
        <v>1000</v>
      </c>
      <c r="X1594" s="152" t="s">
        <v>23</v>
      </c>
      <c r="Y1594" s="152" t="s">
        <v>1328</v>
      </c>
      <c r="Z1594" s="152" t="s">
        <v>1327</v>
      </c>
    </row>
    <row r="1595" spans="1:26" x14ac:dyDescent="0.2">
      <c r="A1595" s="152" t="s">
        <v>2714</v>
      </c>
      <c r="B1595" s="152">
        <v>2.74</v>
      </c>
      <c r="C1595" s="151">
        <v>44985</v>
      </c>
      <c r="D1595" s="152">
        <v>4.3479450000000002</v>
      </c>
      <c r="E1595" s="152" t="s">
        <v>1325</v>
      </c>
      <c r="F1595" s="152" t="s">
        <v>1326</v>
      </c>
      <c r="G1595" s="152" t="s">
        <v>47</v>
      </c>
      <c r="H1595" s="152"/>
      <c r="I1595" s="151" t="s">
        <v>1327</v>
      </c>
      <c r="J1595" s="152" t="s">
        <v>1327</v>
      </c>
      <c r="K1595" s="151" t="s">
        <v>1327</v>
      </c>
      <c r="L1595" s="152" t="s">
        <v>1327</v>
      </c>
      <c r="M1595" s="152" t="s">
        <v>1327</v>
      </c>
      <c r="N1595" s="152" t="s">
        <v>1327</v>
      </c>
      <c r="O1595" s="152">
        <v>3.2452770000000002</v>
      </c>
      <c r="P1595" s="152">
        <v>88.295828</v>
      </c>
      <c r="Q1595" s="152">
        <v>3.2452770000000002</v>
      </c>
      <c r="R1595" s="152" t="s">
        <v>1327</v>
      </c>
      <c r="S1595" s="152">
        <v>97.953940000000003</v>
      </c>
      <c r="T1595" s="152">
        <v>0.43539699999999998</v>
      </c>
      <c r="U1595" s="152">
        <v>4.040788</v>
      </c>
      <c r="V1595" s="152">
        <v>18.923335000000002</v>
      </c>
      <c r="W1595" s="152">
        <v>1000</v>
      </c>
      <c r="X1595" s="152" t="s">
        <v>23</v>
      </c>
      <c r="Y1595" s="152" t="s">
        <v>1328</v>
      </c>
      <c r="Z1595" s="152" t="s">
        <v>1327</v>
      </c>
    </row>
    <row r="1596" spans="1:26" x14ac:dyDescent="0.2">
      <c r="A1596" s="152" t="s">
        <v>2715</v>
      </c>
      <c r="B1596" s="152">
        <v>5.16</v>
      </c>
      <c r="C1596" s="151">
        <v>45168</v>
      </c>
      <c r="D1596" s="152">
        <v>4.8493149999999998</v>
      </c>
      <c r="E1596" s="152" t="s">
        <v>1325</v>
      </c>
      <c r="F1596" s="152" t="s">
        <v>1326</v>
      </c>
      <c r="G1596" s="152" t="s">
        <v>47</v>
      </c>
      <c r="H1596" s="152"/>
      <c r="I1596" s="151">
        <v>43073</v>
      </c>
      <c r="J1596" s="152">
        <v>3.34</v>
      </c>
      <c r="K1596" s="152" t="s">
        <v>1327</v>
      </c>
      <c r="L1596" s="152" t="s">
        <v>1327</v>
      </c>
      <c r="M1596" s="152" t="s">
        <v>1327</v>
      </c>
      <c r="N1596" s="152" t="s">
        <v>1327</v>
      </c>
      <c r="O1596" s="152">
        <v>3.3076949999999998</v>
      </c>
      <c r="P1596" s="152">
        <v>90.409975000000003</v>
      </c>
      <c r="Q1596" s="152">
        <v>3.3076949999999998</v>
      </c>
      <c r="R1596" s="152" t="s">
        <v>1327</v>
      </c>
      <c r="S1596" s="152">
        <v>108.232528</v>
      </c>
      <c r="T1596" s="152">
        <v>0.79167100000000001</v>
      </c>
      <c r="U1596" s="152">
        <v>4.2703290000000003</v>
      </c>
      <c r="V1596" s="152">
        <v>21.654693000000002</v>
      </c>
      <c r="W1596" s="152">
        <v>1000</v>
      </c>
      <c r="X1596" s="152" t="s">
        <v>23</v>
      </c>
      <c r="Y1596" s="152" t="s">
        <v>1328</v>
      </c>
      <c r="Z1596" s="152" t="s">
        <v>1327</v>
      </c>
    </row>
    <row r="1597" spans="1:26" x14ac:dyDescent="0.2">
      <c r="A1597" s="152" t="s">
        <v>2716</v>
      </c>
      <c r="B1597" s="152">
        <v>3.23</v>
      </c>
      <c r="C1597" s="151">
        <v>45154</v>
      </c>
      <c r="D1597" s="152">
        <v>4.8109590000000004</v>
      </c>
      <c r="E1597" s="152" t="s">
        <v>1325</v>
      </c>
      <c r="F1597" s="152" t="s">
        <v>1326</v>
      </c>
      <c r="G1597" s="152" t="s">
        <v>47</v>
      </c>
      <c r="H1597" s="152"/>
      <c r="I1597" s="151" t="s">
        <v>1327</v>
      </c>
      <c r="J1597" s="152" t="s">
        <v>1327</v>
      </c>
      <c r="K1597" s="152" t="s">
        <v>1327</v>
      </c>
      <c r="L1597" s="152" t="s">
        <v>1327</v>
      </c>
      <c r="M1597" s="152" t="s">
        <v>1327</v>
      </c>
      <c r="N1597" s="152" t="s">
        <v>1327</v>
      </c>
      <c r="O1597" s="152">
        <v>3.2875269999999999</v>
      </c>
      <c r="P1597" s="152">
        <v>88.074220999999994</v>
      </c>
      <c r="Q1597" s="152">
        <v>3.2875269999999999</v>
      </c>
      <c r="R1597" s="152" t="s">
        <v>1327</v>
      </c>
      <c r="S1597" s="152">
        <v>99.729512999999997</v>
      </c>
      <c r="T1597" s="152">
        <v>0.619452</v>
      </c>
      <c r="U1597" s="152">
        <v>4.3966450000000004</v>
      </c>
      <c r="V1597" s="152">
        <v>22.444804000000001</v>
      </c>
      <c r="W1597" s="152">
        <v>1000</v>
      </c>
      <c r="X1597" s="152" t="s">
        <v>23</v>
      </c>
      <c r="Y1597" s="152" t="s">
        <v>1328</v>
      </c>
      <c r="Z1597" s="152" t="s">
        <v>1327</v>
      </c>
    </row>
    <row r="1598" spans="1:26" x14ac:dyDescent="0.2">
      <c r="A1598" s="152" t="s">
        <v>2717</v>
      </c>
      <c r="B1598" s="152">
        <v>3.66</v>
      </c>
      <c r="C1598" s="151">
        <v>45283</v>
      </c>
      <c r="D1598" s="152">
        <v>5.1643840000000001</v>
      </c>
      <c r="E1598" s="152" t="s">
        <v>1325</v>
      </c>
      <c r="F1598" s="152" t="s">
        <v>1326</v>
      </c>
      <c r="G1598" s="152" t="s">
        <v>47</v>
      </c>
      <c r="H1598" s="152"/>
      <c r="I1598" s="151">
        <v>43397</v>
      </c>
      <c r="J1598" s="152">
        <v>3.3</v>
      </c>
      <c r="K1598" s="152" t="s">
        <v>1327</v>
      </c>
      <c r="L1598" s="152" t="s">
        <v>1327</v>
      </c>
      <c r="M1598" s="152" t="s">
        <v>1327</v>
      </c>
      <c r="N1598" s="152" t="s">
        <v>1327</v>
      </c>
      <c r="O1598" s="152">
        <v>3.3</v>
      </c>
      <c r="P1598" s="152">
        <v>86.428353000000001</v>
      </c>
      <c r="Q1598" s="152">
        <v>3.3</v>
      </c>
      <c r="R1598" s="152" t="s">
        <v>1327</v>
      </c>
      <c r="S1598" s="152">
        <v>101.68746</v>
      </c>
      <c r="T1598" s="152">
        <v>1.2433970000000001</v>
      </c>
      <c r="U1598" s="152">
        <v>4.6219720000000004</v>
      </c>
      <c r="V1598" s="152">
        <v>25.019735000000001</v>
      </c>
      <c r="W1598" s="152">
        <v>1000</v>
      </c>
      <c r="X1598" s="152" t="s">
        <v>23</v>
      </c>
      <c r="Y1598" s="152" t="s">
        <v>1328</v>
      </c>
      <c r="Z1598" s="152" t="s">
        <v>1327</v>
      </c>
    </row>
    <row r="1599" spans="1:26" x14ac:dyDescent="0.2">
      <c r="A1599" s="152" t="s">
        <v>2718</v>
      </c>
      <c r="B1599" s="152">
        <v>5.58</v>
      </c>
      <c r="C1599" s="151">
        <v>45329</v>
      </c>
      <c r="D1599" s="152">
        <v>5.2904109999999998</v>
      </c>
      <c r="E1599" s="152" t="s">
        <v>1325</v>
      </c>
      <c r="F1599" s="152" t="s">
        <v>1326</v>
      </c>
      <c r="G1599" s="152" t="s">
        <v>47</v>
      </c>
      <c r="H1599" s="152"/>
      <c r="I1599" s="151">
        <v>42377</v>
      </c>
      <c r="J1599" s="152">
        <v>4.45</v>
      </c>
      <c r="K1599" s="151" t="s">
        <v>1327</v>
      </c>
      <c r="L1599" s="152" t="s">
        <v>1327</v>
      </c>
      <c r="M1599" s="152" t="s">
        <v>1327</v>
      </c>
      <c r="N1599" s="152" t="s">
        <v>1327</v>
      </c>
      <c r="O1599" s="152">
        <v>3.490437</v>
      </c>
      <c r="P1599" s="152">
        <v>105.726985</v>
      </c>
      <c r="Q1599" s="152">
        <v>3.490437</v>
      </c>
      <c r="R1599" s="152" t="s">
        <v>1327</v>
      </c>
      <c r="S1599" s="152">
        <v>109.981115</v>
      </c>
      <c r="T1599" s="152">
        <v>1.2077260000000001</v>
      </c>
      <c r="U1599" s="152">
        <v>4.5588810000000004</v>
      </c>
      <c r="V1599" s="152">
        <v>24.843738999999999</v>
      </c>
      <c r="W1599" s="152">
        <v>1000</v>
      </c>
      <c r="X1599" s="152" t="s">
        <v>23</v>
      </c>
      <c r="Y1599" s="152" t="s">
        <v>1328</v>
      </c>
      <c r="Z1599" s="152" t="s">
        <v>1327</v>
      </c>
    </row>
    <row r="1600" spans="1:26" x14ac:dyDescent="0.2">
      <c r="A1600" s="152" t="s">
        <v>2719</v>
      </c>
      <c r="B1600" s="152">
        <v>4.9800000000000004</v>
      </c>
      <c r="C1600" s="151">
        <v>45374</v>
      </c>
      <c r="D1600" s="152">
        <v>5.4136990000000003</v>
      </c>
      <c r="E1600" s="152" t="s">
        <v>1325</v>
      </c>
      <c r="F1600" s="152" t="s">
        <v>1326</v>
      </c>
      <c r="G1600" s="152" t="s">
        <v>47</v>
      </c>
      <c r="H1600" s="152"/>
      <c r="I1600" s="151">
        <v>43222</v>
      </c>
      <c r="J1600" s="152">
        <v>3.35</v>
      </c>
      <c r="K1600" s="152" t="s">
        <v>1327</v>
      </c>
      <c r="L1600" s="152" t="s">
        <v>1327</v>
      </c>
      <c r="M1600" s="152" t="s">
        <v>1327</v>
      </c>
      <c r="N1600" s="152" t="s">
        <v>1327</v>
      </c>
      <c r="O1600" s="152">
        <v>3.505125</v>
      </c>
      <c r="P1600" s="152">
        <v>105.474818</v>
      </c>
      <c r="Q1600" s="152">
        <v>3.505125</v>
      </c>
      <c r="R1600" s="152" t="s">
        <v>1327</v>
      </c>
      <c r="S1600" s="152">
        <v>107.226035</v>
      </c>
      <c r="T1600" s="152">
        <v>0.43660300000000002</v>
      </c>
      <c r="U1600" s="152">
        <v>4.7295850000000002</v>
      </c>
      <c r="V1600" s="152">
        <v>26.393764000000001</v>
      </c>
      <c r="W1600" s="152">
        <v>1000</v>
      </c>
      <c r="X1600" s="152" t="s">
        <v>23</v>
      </c>
      <c r="Y1600" s="152" t="s">
        <v>1328</v>
      </c>
      <c r="Z1600" s="152" t="s">
        <v>1327</v>
      </c>
    </row>
    <row r="1601" spans="1:26" x14ac:dyDescent="0.2">
      <c r="A1601" s="152" t="s">
        <v>2720</v>
      </c>
      <c r="B1601" s="152">
        <v>3.57</v>
      </c>
      <c r="C1601" s="151">
        <v>45466</v>
      </c>
      <c r="D1601" s="152">
        <v>5.6657529999999996</v>
      </c>
      <c r="E1601" s="152" t="s">
        <v>1325</v>
      </c>
      <c r="F1601" s="152" t="s">
        <v>1326</v>
      </c>
      <c r="G1601" s="152" t="s">
        <v>47</v>
      </c>
      <c r="H1601" s="152"/>
      <c r="I1601" s="151">
        <v>43346</v>
      </c>
      <c r="J1601" s="152">
        <v>3.3650000000000002</v>
      </c>
      <c r="K1601" s="152" t="s">
        <v>1327</v>
      </c>
      <c r="L1601" s="152" t="s">
        <v>1327</v>
      </c>
      <c r="M1601" s="152" t="s">
        <v>1327</v>
      </c>
      <c r="N1601" s="152" t="s">
        <v>1327</v>
      </c>
      <c r="O1601" s="152">
        <v>3.5175190000000001</v>
      </c>
      <c r="P1601" s="152">
        <v>103.37986100000001</v>
      </c>
      <c r="Q1601" s="152">
        <v>3.5175190000000001</v>
      </c>
      <c r="R1601" s="152" t="s">
        <v>1327</v>
      </c>
      <c r="S1601" s="152">
        <v>100.258996</v>
      </c>
      <c r="T1601" s="152">
        <v>1.2128220000000001</v>
      </c>
      <c r="U1601" s="152">
        <v>5.0279689999999997</v>
      </c>
      <c r="V1601" s="152">
        <v>29.515080999999999</v>
      </c>
      <c r="W1601" s="152">
        <v>1000</v>
      </c>
      <c r="X1601" s="152" t="s">
        <v>23</v>
      </c>
      <c r="Y1601" s="152" t="s">
        <v>1328</v>
      </c>
      <c r="Z1601" s="152" t="s">
        <v>1327</v>
      </c>
    </row>
    <row r="1602" spans="1:26" x14ac:dyDescent="0.2">
      <c r="A1602" s="152" t="s">
        <v>2721</v>
      </c>
      <c r="B1602" s="152">
        <v>4.9800000000000004</v>
      </c>
      <c r="C1602" s="151">
        <v>45652</v>
      </c>
      <c r="D1602" s="152">
        <v>6.1753419999999997</v>
      </c>
      <c r="E1602" s="152" t="s">
        <v>1325</v>
      </c>
      <c r="F1602" s="152" t="s">
        <v>1326</v>
      </c>
      <c r="G1602" s="152" t="s">
        <v>47</v>
      </c>
      <c r="H1602" s="152"/>
      <c r="I1602" s="151">
        <v>43182</v>
      </c>
      <c r="J1602" s="152">
        <v>3.35</v>
      </c>
      <c r="K1602" s="152" t="s">
        <v>1327</v>
      </c>
      <c r="L1602" s="152" t="s">
        <v>1327</v>
      </c>
      <c r="M1602" s="152" t="s">
        <v>1327</v>
      </c>
      <c r="N1602" s="152" t="s">
        <v>1327</v>
      </c>
      <c r="O1602" s="152">
        <v>3.5749949999999999</v>
      </c>
      <c r="P1602" s="152">
        <v>104.134952</v>
      </c>
      <c r="Q1602" s="152">
        <v>3.5749949999999999</v>
      </c>
      <c r="R1602" s="152" t="s">
        <v>1327</v>
      </c>
      <c r="S1602" s="152">
        <v>107.705989</v>
      </c>
      <c r="T1602" s="152">
        <v>1.6509039999999999</v>
      </c>
      <c r="U1602" s="152">
        <v>5.2477960000000001</v>
      </c>
      <c r="V1602" s="152">
        <v>32.845672999999998</v>
      </c>
      <c r="W1602" s="152">
        <v>1000</v>
      </c>
      <c r="X1602" s="152" t="s">
        <v>23</v>
      </c>
      <c r="Y1602" s="152" t="s">
        <v>1328</v>
      </c>
      <c r="Z1602" s="152" t="s">
        <v>1327</v>
      </c>
    </row>
    <row r="1603" spans="1:26" x14ac:dyDescent="0.2">
      <c r="A1603" s="152" t="s">
        <v>2722</v>
      </c>
      <c r="B1603" s="152">
        <v>3.19</v>
      </c>
      <c r="C1603" s="151">
        <v>45716</v>
      </c>
      <c r="D1603" s="152">
        <v>6.3506850000000004</v>
      </c>
      <c r="E1603" s="152" t="s">
        <v>1325</v>
      </c>
      <c r="F1603" s="152" t="s">
        <v>1326</v>
      </c>
      <c r="G1603" s="152" t="s">
        <v>47</v>
      </c>
      <c r="H1603" s="152"/>
      <c r="I1603" s="151" t="s">
        <v>1327</v>
      </c>
      <c r="J1603" s="152" t="s">
        <v>1327</v>
      </c>
      <c r="K1603" s="152" t="s">
        <v>1327</v>
      </c>
      <c r="L1603" s="152" t="s">
        <v>1327</v>
      </c>
      <c r="M1603" s="152" t="s">
        <v>1327</v>
      </c>
      <c r="N1603" s="152" t="s">
        <v>1327</v>
      </c>
      <c r="O1603" s="152">
        <v>3.6126860000000001</v>
      </c>
      <c r="P1603" s="152">
        <v>104.56819400000001</v>
      </c>
      <c r="Q1603" s="152">
        <v>3.6126860000000001</v>
      </c>
      <c r="R1603" s="152" t="s">
        <v>1327</v>
      </c>
      <c r="S1603" s="152">
        <v>97.606065999999998</v>
      </c>
      <c r="T1603" s="152">
        <v>0.50690400000000002</v>
      </c>
      <c r="U1603" s="152">
        <v>5.6558060000000001</v>
      </c>
      <c r="V1603" s="152">
        <v>36.836644</v>
      </c>
      <c r="W1603" s="152">
        <v>1000</v>
      </c>
      <c r="X1603" s="152" t="s">
        <v>23</v>
      </c>
      <c r="Y1603" s="152" t="s">
        <v>1328</v>
      </c>
      <c r="Z1603" s="152" t="s">
        <v>1327</v>
      </c>
    </row>
    <row r="1604" spans="1:26" x14ac:dyDescent="0.2">
      <c r="A1604" s="152" t="s">
        <v>2723</v>
      </c>
      <c r="B1604" s="152">
        <v>4.92</v>
      </c>
      <c r="C1604" s="151">
        <v>45777</v>
      </c>
      <c r="D1604" s="152">
        <v>6.5178079999999996</v>
      </c>
      <c r="E1604" s="152" t="s">
        <v>1325</v>
      </c>
      <c r="F1604" s="152" t="s">
        <v>1326</v>
      </c>
      <c r="G1604" s="152" t="s">
        <v>47</v>
      </c>
      <c r="H1604" s="152"/>
      <c r="I1604" s="151">
        <v>42835</v>
      </c>
      <c r="J1604" s="152">
        <v>3.98</v>
      </c>
      <c r="K1604" s="152" t="s">
        <v>1327</v>
      </c>
      <c r="L1604" s="152" t="s">
        <v>1327</v>
      </c>
      <c r="M1604" s="152" t="s">
        <v>1327</v>
      </c>
      <c r="N1604" s="152" t="s">
        <v>1327</v>
      </c>
      <c r="O1604" s="152">
        <v>3.625372</v>
      </c>
      <c r="P1604" s="152">
        <v>105.260682</v>
      </c>
      <c r="Q1604" s="152">
        <v>3.625372</v>
      </c>
      <c r="R1604" s="152" t="s">
        <v>1327</v>
      </c>
      <c r="S1604" s="152">
        <v>107.45201</v>
      </c>
      <c r="T1604" s="152">
        <v>-6.7396999999999999E-2</v>
      </c>
      <c r="U1604" s="152">
        <v>5.590071</v>
      </c>
      <c r="V1604" s="152">
        <v>36.707214999999998</v>
      </c>
      <c r="W1604" s="152">
        <v>1000</v>
      </c>
      <c r="X1604" s="152" t="s">
        <v>23</v>
      </c>
      <c r="Y1604" s="152" t="s">
        <v>1328</v>
      </c>
      <c r="Z1604" s="152" t="s">
        <v>1327</v>
      </c>
    </row>
    <row r="1605" spans="1:26" x14ac:dyDescent="0.2">
      <c r="A1605" s="152" t="s">
        <v>2724</v>
      </c>
      <c r="B1605" s="152">
        <v>4.74</v>
      </c>
      <c r="C1605" s="151">
        <v>45930</v>
      </c>
      <c r="D1605" s="152">
        <v>6.9369860000000001</v>
      </c>
      <c r="E1605" s="152" t="s">
        <v>1325</v>
      </c>
      <c r="F1605" s="152" t="s">
        <v>1326</v>
      </c>
      <c r="G1605" s="152" t="s">
        <v>47</v>
      </c>
      <c r="H1605" s="152"/>
      <c r="I1605" s="151">
        <v>43235</v>
      </c>
      <c r="J1605" s="152">
        <v>3.63</v>
      </c>
      <c r="K1605" s="151" t="s">
        <v>1327</v>
      </c>
      <c r="L1605" s="152" t="s">
        <v>1327</v>
      </c>
      <c r="M1605" s="152" t="s">
        <v>1327</v>
      </c>
      <c r="N1605" s="152" t="s">
        <v>1327</v>
      </c>
      <c r="O1605" s="152">
        <v>3.6777030000000002</v>
      </c>
      <c r="P1605" s="152">
        <v>105.690973</v>
      </c>
      <c r="Q1605" s="152">
        <v>3.6777030000000002</v>
      </c>
      <c r="R1605" s="152" t="s">
        <v>1327</v>
      </c>
      <c r="S1605" s="152">
        <v>106.461258</v>
      </c>
      <c r="T1605" s="152">
        <v>0.324658</v>
      </c>
      <c r="U1605" s="152">
        <v>5.8931810000000002</v>
      </c>
      <c r="V1605" s="152">
        <v>40.893642</v>
      </c>
      <c r="W1605" s="152">
        <v>1000</v>
      </c>
      <c r="X1605" s="152" t="s">
        <v>23</v>
      </c>
      <c r="Y1605" s="152" t="s">
        <v>1328</v>
      </c>
      <c r="Z1605" s="152" t="s">
        <v>1327</v>
      </c>
    </row>
    <row r="1606" spans="1:26" x14ac:dyDescent="0.2">
      <c r="A1606" s="152" t="s">
        <v>2725</v>
      </c>
      <c r="B1606" s="152">
        <v>4.3499999999999996</v>
      </c>
      <c r="C1606" s="151">
        <v>46379</v>
      </c>
      <c r="D1606" s="152">
        <v>8.1671230000000001</v>
      </c>
      <c r="E1606" s="152" t="s">
        <v>1325</v>
      </c>
      <c r="F1606" s="152" t="s">
        <v>1326</v>
      </c>
      <c r="G1606" s="152" t="s">
        <v>47</v>
      </c>
      <c r="H1606" s="152"/>
      <c r="I1606" s="151">
        <v>43256</v>
      </c>
      <c r="J1606" s="152">
        <v>3.75</v>
      </c>
      <c r="K1606" s="151" t="s">
        <v>1327</v>
      </c>
      <c r="L1606" s="152" t="s">
        <v>1327</v>
      </c>
      <c r="M1606" s="152" t="s">
        <v>1327</v>
      </c>
      <c r="N1606" s="152" t="s">
        <v>1327</v>
      </c>
      <c r="O1606" s="152">
        <v>3.7169180000000002</v>
      </c>
      <c r="P1606" s="152">
        <v>99.732645000000005</v>
      </c>
      <c r="Q1606" s="152">
        <v>3.7169180000000002</v>
      </c>
      <c r="R1606" s="152" t="s">
        <v>1327</v>
      </c>
      <c r="S1606" s="152">
        <v>104.411435</v>
      </c>
      <c r="T1606" s="152">
        <v>1.477808</v>
      </c>
      <c r="U1606" s="152">
        <v>6.7663869999999999</v>
      </c>
      <c r="V1606" s="152">
        <v>54.447391000000003</v>
      </c>
      <c r="W1606" s="152">
        <v>1000</v>
      </c>
      <c r="X1606" s="152" t="s">
        <v>23</v>
      </c>
      <c r="Y1606" s="152" t="s">
        <v>1328</v>
      </c>
      <c r="Z1606" s="152" t="s">
        <v>1327</v>
      </c>
    </row>
    <row r="1607" spans="1:26" x14ac:dyDescent="0.2">
      <c r="A1607" s="152" t="s">
        <v>2726</v>
      </c>
      <c r="B1607" s="152">
        <v>4.04</v>
      </c>
      <c r="C1607" s="151">
        <v>46561</v>
      </c>
      <c r="D1607" s="152">
        <v>8.6657530000000005</v>
      </c>
      <c r="E1607" s="152" t="s">
        <v>1325</v>
      </c>
      <c r="F1607" s="152" t="s">
        <v>1326</v>
      </c>
      <c r="G1607" s="152" t="s">
        <v>47</v>
      </c>
      <c r="H1607" s="152"/>
      <c r="I1607" s="151">
        <v>43314</v>
      </c>
      <c r="J1607" s="152">
        <v>3.7</v>
      </c>
      <c r="K1607" s="152" t="s">
        <v>1327</v>
      </c>
      <c r="L1607" s="152" t="s">
        <v>1327</v>
      </c>
      <c r="M1607" s="152" t="s">
        <v>1327</v>
      </c>
      <c r="N1607" s="152" t="s">
        <v>1327</v>
      </c>
      <c r="O1607" s="152">
        <v>3.717536</v>
      </c>
      <c r="P1607" s="152">
        <v>94.624084999999994</v>
      </c>
      <c r="Q1607" s="152">
        <v>3.717536</v>
      </c>
      <c r="R1607" s="152" t="s">
        <v>1327</v>
      </c>
      <c r="S1607" s="152">
        <v>102.359785</v>
      </c>
      <c r="T1607" s="152">
        <v>1.372493</v>
      </c>
      <c r="U1607" s="152">
        <v>7.1820360000000001</v>
      </c>
      <c r="V1607" s="152">
        <v>61.126320999999997</v>
      </c>
      <c r="W1607" s="152">
        <v>1000</v>
      </c>
      <c r="X1607" s="152" t="s">
        <v>23</v>
      </c>
      <c r="Y1607" s="152" t="s">
        <v>1328</v>
      </c>
      <c r="Z1607" s="152" t="s">
        <v>1327</v>
      </c>
    </row>
    <row r="1608" spans="1:26" x14ac:dyDescent="0.2">
      <c r="A1608" s="152" t="s">
        <v>2727</v>
      </c>
      <c r="B1608" s="152">
        <v>3.76</v>
      </c>
      <c r="C1608" s="151">
        <v>46811</v>
      </c>
      <c r="D1608" s="152">
        <v>9.3506850000000004</v>
      </c>
      <c r="E1608" s="152" t="s">
        <v>1325</v>
      </c>
      <c r="F1608" s="152" t="s">
        <v>1326</v>
      </c>
      <c r="G1608" s="152" t="s">
        <v>47</v>
      </c>
      <c r="H1608" s="152"/>
      <c r="I1608" s="152">
        <v>43382</v>
      </c>
      <c r="J1608" s="152">
        <v>3.68</v>
      </c>
      <c r="K1608" s="152" t="s">
        <v>1327</v>
      </c>
      <c r="L1608" s="152" t="s">
        <v>1327</v>
      </c>
      <c r="M1608" s="152" t="s">
        <v>1327</v>
      </c>
      <c r="N1608" s="152" t="s">
        <v>1327</v>
      </c>
      <c r="O1608" s="152">
        <v>3.6247790000000002</v>
      </c>
      <c r="P1608" s="152">
        <v>83.225157999999993</v>
      </c>
      <c r="Q1608" s="152">
        <v>3.6247790000000002</v>
      </c>
      <c r="R1608" s="152" t="s">
        <v>1327</v>
      </c>
      <c r="S1608" s="152">
        <v>101.044758</v>
      </c>
      <c r="T1608" s="152">
        <v>0.59747899999999998</v>
      </c>
      <c r="U1608" s="152">
        <v>7.7890139999999999</v>
      </c>
      <c r="V1608" s="152">
        <v>71.206665999999998</v>
      </c>
      <c r="W1608" s="152">
        <v>1000</v>
      </c>
      <c r="X1608" s="152" t="s">
        <v>23</v>
      </c>
      <c r="Y1608" s="152" t="s">
        <v>1328</v>
      </c>
      <c r="Z1608" s="152" t="s">
        <v>1327</v>
      </c>
    </row>
    <row r="1609" spans="1:26" x14ac:dyDescent="0.2">
      <c r="A1609" s="152" t="s">
        <v>2728</v>
      </c>
      <c r="B1609" s="152">
        <v>4.04</v>
      </c>
      <c r="C1609" s="151">
        <v>46981</v>
      </c>
      <c r="D1609" s="152">
        <v>9.8164379999999998</v>
      </c>
      <c r="E1609" s="152" t="s">
        <v>1325</v>
      </c>
      <c r="F1609" s="152" t="s">
        <v>1326</v>
      </c>
      <c r="G1609" s="152" t="s">
        <v>47</v>
      </c>
      <c r="H1609" s="152"/>
      <c r="I1609" s="151">
        <v>43343</v>
      </c>
      <c r="J1609" s="152">
        <v>3.98</v>
      </c>
      <c r="K1609" s="151" t="s">
        <v>1327</v>
      </c>
      <c r="L1609" s="152" t="s">
        <v>1327</v>
      </c>
      <c r="M1609" s="152" t="s">
        <v>1327</v>
      </c>
      <c r="N1609" s="152" t="s">
        <v>1327</v>
      </c>
      <c r="O1609" s="152">
        <v>3.9498479999999998</v>
      </c>
      <c r="P1609" s="152">
        <v>118.047495</v>
      </c>
      <c r="Q1609" s="152">
        <v>3.9498479999999998</v>
      </c>
      <c r="R1609" s="152" t="s">
        <v>1327</v>
      </c>
      <c r="S1609" s="152">
        <v>100.70624100000001</v>
      </c>
      <c r="T1609" s="152">
        <v>0.77479500000000001</v>
      </c>
      <c r="U1609" s="152">
        <v>7.9868180000000004</v>
      </c>
      <c r="V1609" s="152">
        <v>75.775980000000004</v>
      </c>
      <c r="W1609" s="152">
        <v>1000</v>
      </c>
      <c r="X1609" s="152" t="s">
        <v>23</v>
      </c>
      <c r="Y1609" s="152" t="s">
        <v>1328</v>
      </c>
      <c r="Z1609" s="152" t="s">
        <v>1327</v>
      </c>
    </row>
    <row r="1610" spans="1:26" x14ac:dyDescent="0.2">
      <c r="A1610" s="152" t="s">
        <v>2729</v>
      </c>
      <c r="B1610" s="152">
        <v>4.66</v>
      </c>
      <c r="C1610" s="151">
        <v>47110</v>
      </c>
      <c r="D1610" s="152">
        <v>10.169862999999999</v>
      </c>
      <c r="E1610" s="152" t="s">
        <v>1325</v>
      </c>
      <c r="F1610" s="152" t="s">
        <v>1326</v>
      </c>
      <c r="G1610" s="152" t="s">
        <v>47</v>
      </c>
      <c r="H1610" s="152"/>
      <c r="I1610" s="151">
        <v>43090</v>
      </c>
      <c r="J1610" s="152">
        <v>3.8</v>
      </c>
      <c r="K1610" s="152" t="s">
        <v>1327</v>
      </c>
      <c r="L1610" s="152" t="s">
        <v>1327</v>
      </c>
      <c r="M1610" s="152" t="s">
        <v>1327</v>
      </c>
      <c r="N1610" s="152" t="s">
        <v>1327</v>
      </c>
      <c r="O1610" s="152">
        <v>3.9819439999999999</v>
      </c>
      <c r="P1610" s="152">
        <v>117.554277</v>
      </c>
      <c r="Q1610" s="152">
        <v>3.9819439999999999</v>
      </c>
      <c r="R1610" s="152" t="s">
        <v>1327</v>
      </c>
      <c r="S1610" s="152">
        <v>105.609945</v>
      </c>
      <c r="T1610" s="152">
        <v>1.5831230000000001</v>
      </c>
      <c r="U1610" s="152">
        <v>7.9919979999999997</v>
      </c>
      <c r="V1610" s="152">
        <v>77.541666000000006</v>
      </c>
      <c r="W1610" s="152">
        <v>1000</v>
      </c>
      <c r="X1610" s="152" t="s">
        <v>23</v>
      </c>
      <c r="Y1610" s="152" t="s">
        <v>1328</v>
      </c>
      <c r="Z1610" s="152" t="s">
        <v>1327</v>
      </c>
    </row>
    <row r="1611" spans="1:26" x14ac:dyDescent="0.2">
      <c r="A1611" s="152" t="s">
        <v>2730</v>
      </c>
      <c r="B1611" s="152">
        <v>4.42</v>
      </c>
      <c r="C1611" s="151">
        <v>47711</v>
      </c>
      <c r="D1611" s="152">
        <v>11.816438</v>
      </c>
      <c r="E1611" s="152" t="s">
        <v>1325</v>
      </c>
      <c r="F1611" s="152" t="s">
        <v>1326</v>
      </c>
      <c r="G1611" s="152" t="s">
        <v>47</v>
      </c>
      <c r="H1611" s="152"/>
      <c r="I1611" s="151">
        <v>43340</v>
      </c>
      <c r="J1611" s="152">
        <v>4.37</v>
      </c>
      <c r="K1611" s="152" t="s">
        <v>1327</v>
      </c>
      <c r="L1611" s="152" t="s">
        <v>1327</v>
      </c>
      <c r="M1611" s="152" t="s">
        <v>1327</v>
      </c>
      <c r="N1611" s="152" t="s">
        <v>1327</v>
      </c>
      <c r="O1611" s="152">
        <v>4.5534650000000001</v>
      </c>
      <c r="P1611" s="152">
        <v>145.88440600000001</v>
      </c>
      <c r="Q1611" s="152">
        <v>4.5534650000000001</v>
      </c>
      <c r="R1611" s="152" t="s">
        <v>1327</v>
      </c>
      <c r="S1611" s="152">
        <v>98.767014000000003</v>
      </c>
      <c r="T1611" s="152">
        <v>0.84767099999999995</v>
      </c>
      <c r="U1611" s="152">
        <v>9.0279419999999995</v>
      </c>
      <c r="V1611" s="152">
        <v>99.688010000000006</v>
      </c>
      <c r="W1611" s="152">
        <v>1000</v>
      </c>
      <c r="X1611" s="152" t="s">
        <v>23</v>
      </c>
      <c r="Y1611" s="152" t="s">
        <v>1328</v>
      </c>
      <c r="Z1611" s="152" t="s">
        <v>1327</v>
      </c>
    </row>
    <row r="1612" spans="1:26" x14ac:dyDescent="0.2">
      <c r="A1612" s="152" t="s">
        <v>2731</v>
      </c>
      <c r="B1612" s="152">
        <v>4.68</v>
      </c>
      <c r="C1612" s="151">
        <v>48388</v>
      </c>
      <c r="D1612" s="152">
        <v>13.671233000000001</v>
      </c>
      <c r="E1612" s="152" t="s">
        <v>1325</v>
      </c>
      <c r="F1612" s="152" t="s">
        <v>1326</v>
      </c>
      <c r="G1612" s="152" t="s">
        <v>47</v>
      </c>
      <c r="H1612" s="152"/>
      <c r="I1612" s="151">
        <v>43287</v>
      </c>
      <c r="J1612" s="152">
        <v>4.1500000000000004</v>
      </c>
      <c r="K1612" s="152" t="s">
        <v>1327</v>
      </c>
      <c r="L1612" s="152" t="s">
        <v>1327</v>
      </c>
      <c r="M1612" s="152" t="s">
        <v>1327</v>
      </c>
      <c r="N1612" s="152" t="s">
        <v>1327</v>
      </c>
      <c r="O1612" s="152">
        <v>4.3207570000000004</v>
      </c>
      <c r="P1612" s="152">
        <v>112.734807</v>
      </c>
      <c r="Q1612" s="152">
        <v>4.3207570000000004</v>
      </c>
      <c r="R1612" s="152" t="s">
        <v>1327</v>
      </c>
      <c r="S1612" s="152">
        <v>103.665858</v>
      </c>
      <c r="T1612" s="152">
        <v>1.5899179999999999</v>
      </c>
      <c r="U1612" s="152">
        <v>9.9470890000000001</v>
      </c>
      <c r="V1612" s="152">
        <v>124.255408</v>
      </c>
      <c r="W1612" s="152">
        <v>1000</v>
      </c>
      <c r="X1612" s="152" t="s">
        <v>23</v>
      </c>
      <c r="Y1612" s="152" t="s">
        <v>1328</v>
      </c>
      <c r="Z1612" s="152" t="s">
        <v>1327</v>
      </c>
    </row>
    <row r="1613" spans="1:26" x14ac:dyDescent="0.2">
      <c r="A1613" s="152" t="s">
        <v>2732</v>
      </c>
      <c r="B1613" s="152">
        <v>4.18</v>
      </c>
      <c r="C1613" s="151">
        <v>48638</v>
      </c>
      <c r="D1613" s="152">
        <v>14.356164</v>
      </c>
      <c r="E1613" s="152" t="s">
        <v>1325</v>
      </c>
      <c r="F1613" s="152" t="s">
        <v>1326</v>
      </c>
      <c r="G1613" s="152" t="s">
        <v>47</v>
      </c>
      <c r="H1613" s="152"/>
      <c r="I1613" s="151">
        <v>43287</v>
      </c>
      <c r="J1613" s="152">
        <v>4.17</v>
      </c>
      <c r="K1613" s="151" t="s">
        <v>1327</v>
      </c>
      <c r="L1613" s="152" t="s">
        <v>1327</v>
      </c>
      <c r="M1613" s="152" t="s">
        <v>1327</v>
      </c>
      <c r="N1613" s="152" t="s">
        <v>1327</v>
      </c>
      <c r="O1613" s="152">
        <v>4.3609080000000002</v>
      </c>
      <c r="P1613" s="152">
        <v>110.951577</v>
      </c>
      <c r="Q1613" s="152">
        <v>4.3609080000000002</v>
      </c>
      <c r="R1613" s="152" t="s">
        <v>1327</v>
      </c>
      <c r="S1613" s="152">
        <v>98.063766999999999</v>
      </c>
      <c r="T1613" s="152">
        <v>0.664219</v>
      </c>
      <c r="U1613" s="152">
        <v>10.591829000000001</v>
      </c>
      <c r="V1613" s="152">
        <v>139.10356999999999</v>
      </c>
      <c r="W1613" s="152">
        <v>1000</v>
      </c>
      <c r="X1613" s="152" t="s">
        <v>23</v>
      </c>
      <c r="Y1613" s="152" t="s">
        <v>1328</v>
      </c>
      <c r="Z1613" s="152" t="s">
        <v>1327</v>
      </c>
    </row>
    <row r="1614" spans="1:26" x14ac:dyDescent="0.2">
      <c r="A1614" s="152" t="s">
        <v>2733</v>
      </c>
      <c r="B1614" s="152">
        <v>4.62</v>
      </c>
      <c r="C1614" s="151">
        <v>48807</v>
      </c>
      <c r="D1614" s="152">
        <v>14.819178000000001</v>
      </c>
      <c r="E1614" s="152" t="s">
        <v>1325</v>
      </c>
      <c r="F1614" s="152" t="s">
        <v>1326</v>
      </c>
      <c r="G1614" s="152" t="s">
        <v>47</v>
      </c>
      <c r="H1614" s="152"/>
      <c r="I1614" s="152">
        <v>43346</v>
      </c>
      <c r="J1614" s="152">
        <v>4.54</v>
      </c>
      <c r="K1614" s="152" t="s">
        <v>1327</v>
      </c>
      <c r="L1614" s="152" t="s">
        <v>1327</v>
      </c>
      <c r="M1614" s="152" t="s">
        <v>1327</v>
      </c>
      <c r="N1614" s="152" t="s">
        <v>1327</v>
      </c>
      <c r="O1614" s="152">
        <v>4.6653399999999996</v>
      </c>
      <c r="P1614" s="152">
        <v>141.83097900000001</v>
      </c>
      <c r="Q1614" s="152">
        <v>4.6653399999999996</v>
      </c>
      <c r="R1614" s="152" t="s">
        <v>1327</v>
      </c>
      <c r="S1614" s="152">
        <v>99.493753999999996</v>
      </c>
      <c r="T1614" s="152">
        <v>0.88602700000000001</v>
      </c>
      <c r="U1614" s="152">
        <v>10.538444</v>
      </c>
      <c r="V1614" s="152">
        <v>140.57490100000001</v>
      </c>
      <c r="W1614" s="152">
        <v>1000</v>
      </c>
      <c r="X1614" s="152" t="s">
        <v>23</v>
      </c>
      <c r="Y1614" s="152" t="s">
        <v>1328</v>
      </c>
      <c r="Z1614" s="152" t="s">
        <v>1327</v>
      </c>
    </row>
    <row r="1615" spans="1:26" x14ac:dyDescent="0.2">
      <c r="A1615" s="152" t="s">
        <v>2734</v>
      </c>
      <c r="B1615" s="152">
        <v>2.88</v>
      </c>
      <c r="C1615" s="151">
        <v>43517</v>
      </c>
      <c r="D1615" s="152">
        <v>0.32602700000000001</v>
      </c>
      <c r="E1615" s="152" t="s">
        <v>1325</v>
      </c>
      <c r="F1615" s="152" t="s">
        <v>1326</v>
      </c>
      <c r="G1615" s="152"/>
      <c r="H1615" s="152"/>
      <c r="I1615" s="151" t="s">
        <v>1327</v>
      </c>
      <c r="J1615" s="152" t="s">
        <v>1327</v>
      </c>
      <c r="K1615" s="152" t="s">
        <v>1327</v>
      </c>
      <c r="L1615" s="152" t="s">
        <v>1327</v>
      </c>
      <c r="M1615" s="152" t="s">
        <v>1327</v>
      </c>
      <c r="N1615" s="152" t="s">
        <v>1327</v>
      </c>
      <c r="O1615" s="152">
        <v>2.1126200000000002</v>
      </c>
      <c r="P1615" s="152">
        <v>49.205080000000002</v>
      </c>
      <c r="Q1615" s="152">
        <v>2.1126200000000002</v>
      </c>
      <c r="R1615" s="152" t="s">
        <v>1327</v>
      </c>
      <c r="S1615" s="152">
        <v>100.23447299999999</v>
      </c>
      <c r="T1615" s="152">
        <v>0.51287700000000003</v>
      </c>
      <c r="U1615" s="152">
        <v>0.32262000000000002</v>
      </c>
      <c r="V1615" s="152">
        <v>0.26370700000000002</v>
      </c>
      <c r="W1615" s="152">
        <v>1000</v>
      </c>
      <c r="X1615" s="152" t="s">
        <v>23</v>
      </c>
      <c r="Y1615" s="152" t="s">
        <v>1328</v>
      </c>
      <c r="Z1615" s="152" t="s">
        <v>1327</v>
      </c>
    </row>
    <row r="1616" spans="1:26" x14ac:dyDescent="0.2">
      <c r="A1616" s="152" t="s">
        <v>2735</v>
      </c>
      <c r="B1616" s="152">
        <v>2.52</v>
      </c>
      <c r="C1616" s="151">
        <v>43534</v>
      </c>
      <c r="D1616" s="152">
        <v>0.37260300000000002</v>
      </c>
      <c r="E1616" s="152" t="s">
        <v>1325</v>
      </c>
      <c r="F1616" s="152" t="s">
        <v>1326</v>
      </c>
      <c r="G1616" s="152" t="s">
        <v>116</v>
      </c>
      <c r="H1616" s="152"/>
      <c r="I1616" s="151">
        <v>42970</v>
      </c>
      <c r="J1616" s="152">
        <v>2.1</v>
      </c>
      <c r="K1616" s="152" t="s">
        <v>1327</v>
      </c>
      <c r="L1616" s="152" t="s">
        <v>1327</v>
      </c>
      <c r="M1616" s="152" t="s">
        <v>1327</v>
      </c>
      <c r="N1616" s="152" t="s">
        <v>1327</v>
      </c>
      <c r="O1616" s="152">
        <v>2.1808000000000001</v>
      </c>
      <c r="P1616" s="152">
        <v>52.001249999999999</v>
      </c>
      <c r="Q1616" s="152">
        <v>2.1808000000000001</v>
      </c>
      <c r="R1616" s="152" t="s">
        <v>1327</v>
      </c>
      <c r="S1616" s="152">
        <v>100.13425599999999</v>
      </c>
      <c r="T1616" s="152">
        <v>0.31068499999999999</v>
      </c>
      <c r="U1616" s="152">
        <v>0.36858400000000002</v>
      </c>
      <c r="V1616" s="152">
        <v>0.318158</v>
      </c>
      <c r="W1616" s="152">
        <v>1000</v>
      </c>
      <c r="X1616" s="152" t="s">
        <v>23</v>
      </c>
      <c r="Y1616" s="152" t="s">
        <v>1328</v>
      </c>
      <c r="Z1616" s="152" t="s">
        <v>1327</v>
      </c>
    </row>
    <row r="1617" spans="1:26" x14ac:dyDescent="0.2">
      <c r="A1617" s="152" t="s">
        <v>2736</v>
      </c>
      <c r="B1617" s="152">
        <v>2.88</v>
      </c>
      <c r="C1617" s="151">
        <v>43558</v>
      </c>
      <c r="D1617" s="152">
        <v>0.43835600000000002</v>
      </c>
      <c r="E1617" s="152" t="s">
        <v>1325</v>
      </c>
      <c r="F1617" s="152" t="s">
        <v>1326</v>
      </c>
      <c r="G1617" s="152"/>
      <c r="H1617" s="152"/>
      <c r="I1617" s="151" t="s">
        <v>1327</v>
      </c>
      <c r="J1617" s="152" t="s">
        <v>1327</v>
      </c>
      <c r="K1617" s="152" t="s">
        <v>1327</v>
      </c>
      <c r="L1617" s="152" t="s">
        <v>1327</v>
      </c>
      <c r="M1617" s="152" t="s">
        <v>1327</v>
      </c>
      <c r="N1617" s="152" t="s">
        <v>1327</v>
      </c>
      <c r="O1617" s="152">
        <v>2.2305869999999999</v>
      </c>
      <c r="P1617" s="152">
        <v>52.633085000000001</v>
      </c>
      <c r="Q1617" s="152">
        <v>2.2305869999999999</v>
      </c>
      <c r="R1617" s="152" t="s">
        <v>1327</v>
      </c>
      <c r="S1617" s="152">
        <v>100.28480999999999</v>
      </c>
      <c r="T1617" s="152">
        <v>0.17358899999999999</v>
      </c>
      <c r="U1617" s="152">
        <v>0.43352099999999999</v>
      </c>
      <c r="V1617" s="152">
        <v>0.40231</v>
      </c>
      <c r="W1617" s="152">
        <v>1000</v>
      </c>
      <c r="X1617" s="152" t="s">
        <v>23</v>
      </c>
      <c r="Y1617" s="152" t="s">
        <v>1328</v>
      </c>
      <c r="Z1617" s="152" t="s">
        <v>1327</v>
      </c>
    </row>
    <row r="1618" spans="1:26" x14ac:dyDescent="0.2">
      <c r="A1618" s="152" t="s">
        <v>2737</v>
      </c>
      <c r="B1618" s="152">
        <v>2.7</v>
      </c>
      <c r="C1618" s="151">
        <v>43580</v>
      </c>
      <c r="D1618" s="152">
        <v>0.49863000000000002</v>
      </c>
      <c r="E1618" s="152" t="s">
        <v>1325</v>
      </c>
      <c r="F1618" s="152" t="s">
        <v>1326</v>
      </c>
      <c r="G1618" s="152"/>
      <c r="H1618" s="152"/>
      <c r="I1618" s="151" t="s">
        <v>1327</v>
      </c>
      <c r="J1618" s="152" t="s">
        <v>1327</v>
      </c>
      <c r="K1618" s="152" t="s">
        <v>1327</v>
      </c>
      <c r="L1618" s="152" t="s">
        <v>1327</v>
      </c>
      <c r="M1618" s="152" t="s">
        <v>1327</v>
      </c>
      <c r="N1618" s="152" t="s">
        <v>1327</v>
      </c>
      <c r="O1618" s="152">
        <v>2.254178</v>
      </c>
      <c r="P1618" s="152">
        <v>52.098706999999997</v>
      </c>
      <c r="Q1618" s="152">
        <v>2.254178</v>
      </c>
      <c r="R1618" s="152" t="s">
        <v>1327</v>
      </c>
      <c r="S1618" s="152">
        <v>100.22350400000001</v>
      </c>
      <c r="T1618" s="152">
        <v>0</v>
      </c>
      <c r="U1618" s="152">
        <v>0.49307299999999998</v>
      </c>
      <c r="V1618" s="152">
        <v>0.48690899999999998</v>
      </c>
      <c r="W1618" s="152">
        <v>1000</v>
      </c>
      <c r="X1618" s="152" t="s">
        <v>23</v>
      </c>
      <c r="Y1618" s="152" t="s">
        <v>1328</v>
      </c>
      <c r="Z1618" s="152" t="s">
        <v>1327</v>
      </c>
    </row>
    <row r="1619" spans="1:26" x14ac:dyDescent="0.2">
      <c r="A1619" s="152" t="s">
        <v>2738</v>
      </c>
      <c r="B1619" s="152">
        <v>3</v>
      </c>
      <c r="C1619" s="151">
        <v>43627</v>
      </c>
      <c r="D1619" s="152">
        <v>0.62739699999999998</v>
      </c>
      <c r="E1619" s="152" t="s">
        <v>1325</v>
      </c>
      <c r="F1619" s="152" t="s">
        <v>1326</v>
      </c>
      <c r="G1619" s="152"/>
      <c r="H1619" s="152"/>
      <c r="I1619" s="151" t="s">
        <v>1327</v>
      </c>
      <c r="J1619" s="152" t="s">
        <v>1327</v>
      </c>
      <c r="K1619" s="152" t="s">
        <v>1327</v>
      </c>
      <c r="L1619" s="152" t="s">
        <v>1327</v>
      </c>
      <c r="M1619" s="152" t="s">
        <v>1327</v>
      </c>
      <c r="N1619" s="152" t="s">
        <v>1327</v>
      </c>
      <c r="O1619" s="152">
        <v>2.2743479999999998</v>
      </c>
      <c r="P1619" s="152">
        <v>52.362104000000002</v>
      </c>
      <c r="Q1619" s="152">
        <v>2.2743479999999998</v>
      </c>
      <c r="R1619" s="152" t="s">
        <v>1327</v>
      </c>
      <c r="S1619" s="152">
        <v>100.45466999999999</v>
      </c>
      <c r="T1619" s="152">
        <v>0.37808199999999997</v>
      </c>
      <c r="U1619" s="152">
        <v>0.62162399999999995</v>
      </c>
      <c r="V1619" s="152">
        <v>0.54328399999999999</v>
      </c>
      <c r="W1619" s="152">
        <v>1000</v>
      </c>
      <c r="X1619" s="152" t="s">
        <v>23</v>
      </c>
      <c r="Y1619" s="152" t="s">
        <v>1328</v>
      </c>
      <c r="Z1619" s="152" t="s">
        <v>1327</v>
      </c>
    </row>
    <row r="1620" spans="1:26" x14ac:dyDescent="0.2">
      <c r="A1620" s="152" t="s">
        <v>2739</v>
      </c>
      <c r="B1620" s="152">
        <v>3</v>
      </c>
      <c r="C1620" s="151">
        <v>43654</v>
      </c>
      <c r="D1620" s="152">
        <v>0.70137000000000005</v>
      </c>
      <c r="E1620" s="152" t="s">
        <v>1325</v>
      </c>
      <c r="F1620" s="152" t="s">
        <v>1326</v>
      </c>
      <c r="G1620" s="152"/>
      <c r="H1620" s="152"/>
      <c r="I1620" s="151" t="s">
        <v>1327</v>
      </c>
      <c r="J1620" s="152" t="s">
        <v>1327</v>
      </c>
      <c r="K1620" s="152" t="s">
        <v>1327</v>
      </c>
      <c r="L1620" s="152" t="s">
        <v>1327</v>
      </c>
      <c r="M1620" s="152" t="s">
        <v>1327</v>
      </c>
      <c r="N1620" s="152" t="s">
        <v>1327</v>
      </c>
      <c r="O1620" s="152">
        <v>2.2544379999999999</v>
      </c>
      <c r="P1620" s="152">
        <v>49.062272</v>
      </c>
      <c r="Q1620" s="152">
        <v>2.2544379999999999</v>
      </c>
      <c r="R1620" s="152" t="s">
        <v>1327</v>
      </c>
      <c r="S1620" s="152">
        <v>100.51335899999999</v>
      </c>
      <c r="T1620" s="152">
        <v>0.14794499999999999</v>
      </c>
      <c r="U1620" s="152">
        <v>0.69529300000000005</v>
      </c>
      <c r="V1620" s="152">
        <v>0.65856300000000001</v>
      </c>
      <c r="W1620" s="152">
        <v>1000</v>
      </c>
      <c r="X1620" s="152" t="s">
        <v>23</v>
      </c>
      <c r="Y1620" s="152" t="s">
        <v>1328</v>
      </c>
      <c r="Z1620" s="152" t="s">
        <v>1327</v>
      </c>
    </row>
    <row r="1621" spans="1:26" x14ac:dyDescent="0.2">
      <c r="A1621" s="152" t="s">
        <v>2740</v>
      </c>
      <c r="B1621" s="152">
        <v>3</v>
      </c>
      <c r="C1621" s="151">
        <v>43667</v>
      </c>
      <c r="D1621" s="152">
        <v>0.73698600000000003</v>
      </c>
      <c r="E1621" s="152" t="s">
        <v>1325</v>
      </c>
      <c r="F1621" s="152" t="s">
        <v>1326</v>
      </c>
      <c r="G1621" s="152"/>
      <c r="H1621" s="152"/>
      <c r="I1621" s="152" t="s">
        <v>1327</v>
      </c>
      <c r="J1621" s="152" t="s">
        <v>1327</v>
      </c>
      <c r="K1621" s="152" t="s">
        <v>1327</v>
      </c>
      <c r="L1621" s="152" t="s">
        <v>1327</v>
      </c>
      <c r="M1621" s="152" t="s">
        <v>1327</v>
      </c>
      <c r="N1621" s="152" t="s">
        <v>1327</v>
      </c>
      <c r="O1621" s="152">
        <v>2.261469</v>
      </c>
      <c r="P1621" s="152">
        <v>48.960985000000001</v>
      </c>
      <c r="Q1621" s="152">
        <v>2.261469</v>
      </c>
      <c r="R1621" s="152" t="s">
        <v>1327</v>
      </c>
      <c r="S1621" s="152">
        <v>100.525307</v>
      </c>
      <c r="T1621" s="152">
        <v>0.78904099999999999</v>
      </c>
      <c r="U1621" s="152">
        <v>0.72552899999999998</v>
      </c>
      <c r="V1621" s="152">
        <v>0.88864799999999999</v>
      </c>
      <c r="W1621" s="152">
        <v>1000</v>
      </c>
      <c r="X1621" s="152" t="s">
        <v>23</v>
      </c>
      <c r="Y1621" s="152" t="s">
        <v>1328</v>
      </c>
      <c r="Z1621" s="152" t="s">
        <v>1327</v>
      </c>
    </row>
    <row r="1622" spans="1:26" x14ac:dyDescent="0.2">
      <c r="A1622" s="152" t="s">
        <v>2741</v>
      </c>
      <c r="B1622" s="152">
        <v>3</v>
      </c>
      <c r="C1622" s="151">
        <v>43672</v>
      </c>
      <c r="D1622" s="152">
        <v>0.75068500000000005</v>
      </c>
      <c r="E1622" s="152" t="s">
        <v>1325</v>
      </c>
      <c r="F1622" s="152" t="s">
        <v>1326</v>
      </c>
      <c r="G1622" s="152"/>
      <c r="H1622" s="152"/>
      <c r="I1622" s="151">
        <v>42949</v>
      </c>
      <c r="J1622" s="152">
        <v>2.2450000000000001</v>
      </c>
      <c r="K1622" s="152" t="s">
        <v>1327</v>
      </c>
      <c r="L1622" s="152" t="s">
        <v>1327</v>
      </c>
      <c r="M1622" s="152" t="s">
        <v>1327</v>
      </c>
      <c r="N1622" s="152" t="s">
        <v>1327</v>
      </c>
      <c r="O1622" s="152">
        <v>2.2564669999999998</v>
      </c>
      <c r="P1622" s="152">
        <v>48.921661999999998</v>
      </c>
      <c r="Q1622" s="152">
        <v>2.2564669999999998</v>
      </c>
      <c r="R1622" s="152" t="s">
        <v>1327</v>
      </c>
      <c r="S1622" s="152">
        <v>100.55529300000001</v>
      </c>
      <c r="T1622" s="152">
        <v>-7.3972999999999997E-2</v>
      </c>
      <c r="U1622" s="152">
        <v>0.74533099999999997</v>
      </c>
      <c r="V1622" s="152">
        <v>0.74285500000000004</v>
      </c>
      <c r="W1622" s="152">
        <v>1000</v>
      </c>
      <c r="X1622" s="152" t="s">
        <v>23</v>
      </c>
      <c r="Y1622" s="152" t="s">
        <v>1328</v>
      </c>
      <c r="Z1622" s="152" t="s">
        <v>1327</v>
      </c>
    </row>
    <row r="1623" spans="1:26" x14ac:dyDescent="0.2">
      <c r="A1623" s="152" t="s">
        <v>2742</v>
      </c>
      <c r="B1623" s="152">
        <v>3</v>
      </c>
      <c r="C1623" s="151">
        <v>43678</v>
      </c>
      <c r="D1623" s="152">
        <v>0.767123</v>
      </c>
      <c r="E1623" s="152" t="s">
        <v>1325</v>
      </c>
      <c r="F1623" s="152" t="s">
        <v>1326</v>
      </c>
      <c r="G1623" s="152"/>
      <c r="H1623" s="152"/>
      <c r="I1623" s="151" t="s">
        <v>1327</v>
      </c>
      <c r="J1623" s="152" t="s">
        <v>1327</v>
      </c>
      <c r="K1623" s="152" t="s">
        <v>1327</v>
      </c>
      <c r="L1623" s="152" t="s">
        <v>1327</v>
      </c>
      <c r="M1623" s="152" t="s">
        <v>1327</v>
      </c>
      <c r="N1623" s="152" t="s">
        <v>1327</v>
      </c>
      <c r="O1623" s="152">
        <v>2.268634</v>
      </c>
      <c r="P1623" s="152">
        <v>49.408307999999998</v>
      </c>
      <c r="Q1623" s="152">
        <v>2.268634</v>
      </c>
      <c r="R1623" s="152" t="s">
        <v>1327</v>
      </c>
      <c r="S1623" s="152">
        <v>100.55628400000001</v>
      </c>
      <c r="T1623" s="152">
        <v>-5.7534000000000002E-2</v>
      </c>
      <c r="U1623" s="152">
        <v>0.75931899999999997</v>
      </c>
      <c r="V1623" s="152">
        <v>0.76758300000000002</v>
      </c>
      <c r="W1623" s="152">
        <v>1000</v>
      </c>
      <c r="X1623" s="152" t="s">
        <v>23</v>
      </c>
      <c r="Y1623" s="152" t="s">
        <v>1328</v>
      </c>
      <c r="Z1623" s="152" t="s">
        <v>1327</v>
      </c>
    </row>
    <row r="1624" spans="1:26" x14ac:dyDescent="0.2">
      <c r="A1624" s="152" t="s">
        <v>2743</v>
      </c>
      <c r="B1624" s="152">
        <v>2.95</v>
      </c>
      <c r="C1624" s="151">
        <v>43703</v>
      </c>
      <c r="D1624" s="152">
        <v>0.83561600000000003</v>
      </c>
      <c r="E1624" s="152" t="s">
        <v>1325</v>
      </c>
      <c r="F1624" s="152" t="s">
        <v>1326</v>
      </c>
      <c r="G1624" s="152"/>
      <c r="H1624" s="152"/>
      <c r="I1624" s="151" t="s">
        <v>1327</v>
      </c>
      <c r="J1624" s="152" t="s">
        <v>1327</v>
      </c>
      <c r="K1624" s="152" t="s">
        <v>1327</v>
      </c>
      <c r="L1624" s="152" t="s">
        <v>1327</v>
      </c>
      <c r="M1624" s="152" t="s">
        <v>1327</v>
      </c>
      <c r="N1624" s="152" t="s">
        <v>1327</v>
      </c>
      <c r="O1624" s="152">
        <v>2.277841</v>
      </c>
      <c r="P1624" s="152">
        <v>49.950446999999997</v>
      </c>
      <c r="Q1624" s="152">
        <v>2.277841</v>
      </c>
      <c r="R1624" s="152" t="s">
        <v>1327</v>
      </c>
      <c r="S1624" s="152">
        <v>100.549605</v>
      </c>
      <c r="T1624" s="152">
        <v>0.48493199999999997</v>
      </c>
      <c r="U1624" s="152">
        <v>0.82210300000000003</v>
      </c>
      <c r="V1624" s="152">
        <v>0.88638600000000001</v>
      </c>
      <c r="W1624" s="152">
        <v>1000</v>
      </c>
      <c r="X1624" s="152" t="s">
        <v>23</v>
      </c>
      <c r="Y1624" s="152" t="s">
        <v>1328</v>
      </c>
      <c r="Z1624" s="152" t="s">
        <v>1327</v>
      </c>
    </row>
    <row r="1625" spans="1:26" x14ac:dyDescent="0.2">
      <c r="A1625" s="152" t="s">
        <v>2744</v>
      </c>
      <c r="B1625" s="152">
        <v>2.95</v>
      </c>
      <c r="C1625" s="151">
        <v>43717</v>
      </c>
      <c r="D1625" s="152">
        <v>0.873973</v>
      </c>
      <c r="E1625" s="152" t="s">
        <v>1325</v>
      </c>
      <c r="F1625" s="152" t="s">
        <v>1326</v>
      </c>
      <c r="G1625" s="152"/>
      <c r="H1625" s="152"/>
      <c r="I1625" s="151">
        <v>43132</v>
      </c>
      <c r="J1625" s="152">
        <v>1.92</v>
      </c>
      <c r="K1625" s="152" t="s">
        <v>1327</v>
      </c>
      <c r="L1625" s="152" t="s">
        <v>1327</v>
      </c>
      <c r="M1625" s="152" t="s">
        <v>1327</v>
      </c>
      <c r="N1625" s="152" t="s">
        <v>1327</v>
      </c>
      <c r="O1625" s="152">
        <v>2.2730190000000001</v>
      </c>
      <c r="P1625" s="152">
        <v>48.549250000000001</v>
      </c>
      <c r="Q1625" s="152">
        <v>2.2730190000000001</v>
      </c>
      <c r="R1625" s="152" t="s">
        <v>1327</v>
      </c>
      <c r="S1625" s="152">
        <v>100.585228</v>
      </c>
      <c r="T1625" s="152">
        <v>0.37178099999999997</v>
      </c>
      <c r="U1625" s="152">
        <v>0.85752899999999999</v>
      </c>
      <c r="V1625" s="152">
        <v>0.95469599999999999</v>
      </c>
      <c r="W1625" s="152">
        <v>1000</v>
      </c>
      <c r="X1625" s="152" t="s">
        <v>23</v>
      </c>
      <c r="Y1625" s="152" t="s">
        <v>1328</v>
      </c>
      <c r="Z1625" s="152" t="s">
        <v>1327</v>
      </c>
    </row>
    <row r="1626" spans="1:26" x14ac:dyDescent="0.2">
      <c r="A1626" s="152" t="s">
        <v>2745</v>
      </c>
      <c r="B1626" s="152">
        <v>2.88</v>
      </c>
      <c r="C1626" s="151">
        <v>43841</v>
      </c>
      <c r="D1626" s="152">
        <v>1.2136990000000001</v>
      </c>
      <c r="E1626" s="152" t="s">
        <v>1325</v>
      </c>
      <c r="F1626" s="152" t="s">
        <v>1326</v>
      </c>
      <c r="G1626" s="152" t="s">
        <v>116</v>
      </c>
      <c r="H1626" s="152"/>
      <c r="I1626" s="151">
        <v>43307</v>
      </c>
      <c r="J1626" s="152">
        <v>2.0299999999999998</v>
      </c>
      <c r="K1626" s="152" t="s">
        <v>1327</v>
      </c>
      <c r="L1626" s="152" t="s">
        <v>1327</v>
      </c>
      <c r="M1626" s="152" t="s">
        <v>1327</v>
      </c>
      <c r="N1626" s="152" t="s">
        <v>1327</v>
      </c>
      <c r="O1626" s="152">
        <v>2.3868990000000001</v>
      </c>
      <c r="P1626" s="152">
        <v>54.988021000000003</v>
      </c>
      <c r="Q1626" s="152">
        <v>2.3868990000000001</v>
      </c>
      <c r="R1626" s="152" t="s">
        <v>1327</v>
      </c>
      <c r="S1626" s="152">
        <v>100.57252099999999</v>
      </c>
      <c r="T1626" s="152">
        <v>0.83638400000000002</v>
      </c>
      <c r="U1626" s="152">
        <v>1.178525</v>
      </c>
      <c r="V1626" s="152">
        <v>1.988003</v>
      </c>
      <c r="W1626" s="152">
        <v>1000</v>
      </c>
      <c r="X1626" s="152" t="s">
        <v>23</v>
      </c>
      <c r="Y1626" s="152" t="s">
        <v>1328</v>
      </c>
      <c r="Z1626" s="152" t="s">
        <v>1327</v>
      </c>
    </row>
    <row r="1627" spans="1:26" x14ac:dyDescent="0.2">
      <c r="A1627" s="152" t="s">
        <v>2746</v>
      </c>
      <c r="B1627" s="152">
        <v>2.86</v>
      </c>
      <c r="C1627" s="151">
        <v>43900</v>
      </c>
      <c r="D1627" s="152">
        <v>1.3753420000000001</v>
      </c>
      <c r="E1627" s="152" t="s">
        <v>1325</v>
      </c>
      <c r="F1627" s="152" t="s">
        <v>1326</v>
      </c>
      <c r="G1627" s="152" t="s">
        <v>116</v>
      </c>
      <c r="H1627" s="152"/>
      <c r="I1627" s="151">
        <v>43355</v>
      </c>
      <c r="J1627" s="152">
        <v>2.2400000000000002</v>
      </c>
      <c r="K1627" s="152" t="s">
        <v>1327</v>
      </c>
      <c r="L1627" s="152" t="s">
        <v>1327</v>
      </c>
      <c r="M1627" s="152" t="s">
        <v>1327</v>
      </c>
      <c r="N1627" s="152" t="s">
        <v>1327</v>
      </c>
      <c r="O1627" s="152">
        <v>2.4665810000000001</v>
      </c>
      <c r="P1627" s="152">
        <v>58.292744999999996</v>
      </c>
      <c r="Q1627" s="152">
        <v>2.4665810000000001</v>
      </c>
      <c r="R1627" s="152" t="s">
        <v>1327</v>
      </c>
      <c r="S1627" s="152">
        <v>100.53786700000001</v>
      </c>
      <c r="T1627" s="152">
        <v>0.352603</v>
      </c>
      <c r="U1627" s="152">
        <v>1.3351550000000001</v>
      </c>
      <c r="V1627" s="152">
        <v>2.458742</v>
      </c>
      <c r="W1627" s="152">
        <v>1000</v>
      </c>
      <c r="X1627" s="152" t="s">
        <v>23</v>
      </c>
      <c r="Y1627" s="152" t="s">
        <v>1328</v>
      </c>
      <c r="Z1627" s="152" t="s">
        <v>1327</v>
      </c>
    </row>
    <row r="1628" spans="1:26" x14ac:dyDescent="0.2">
      <c r="A1628" s="152" t="s">
        <v>2747</v>
      </c>
      <c r="B1628" s="152">
        <v>2.77</v>
      </c>
      <c r="C1628" s="151">
        <v>43963</v>
      </c>
      <c r="D1628" s="152">
        <v>1.5479449999999999</v>
      </c>
      <c r="E1628" s="152" t="s">
        <v>1325</v>
      </c>
      <c r="F1628" s="152" t="s">
        <v>1326</v>
      </c>
      <c r="G1628" s="152" t="s">
        <v>116</v>
      </c>
      <c r="H1628" s="152"/>
      <c r="I1628" s="151">
        <v>43383</v>
      </c>
      <c r="J1628" s="152">
        <v>2.54</v>
      </c>
      <c r="K1628" s="152" t="s">
        <v>1327</v>
      </c>
      <c r="L1628" s="152" t="s">
        <v>1327</v>
      </c>
      <c r="M1628" s="152" t="s">
        <v>1327</v>
      </c>
      <c r="N1628" s="152" t="s">
        <v>1327</v>
      </c>
      <c r="O1628" s="152">
        <v>2.545153</v>
      </c>
      <c r="P1628" s="152">
        <v>62.189681</v>
      </c>
      <c r="Q1628" s="152">
        <v>2.545153</v>
      </c>
      <c r="R1628" s="152" t="s">
        <v>1327</v>
      </c>
      <c r="S1628" s="152">
        <v>100.327303</v>
      </c>
      <c r="T1628" s="152">
        <v>1.259781</v>
      </c>
      <c r="U1628" s="152">
        <v>1.4898469999999999</v>
      </c>
      <c r="V1628" s="152">
        <v>2.999825</v>
      </c>
      <c r="W1628" s="152">
        <v>1000</v>
      </c>
      <c r="X1628" s="152" t="s">
        <v>23</v>
      </c>
      <c r="Y1628" s="152" t="s">
        <v>1328</v>
      </c>
      <c r="Z1628" s="152" t="s">
        <v>1327</v>
      </c>
    </row>
    <row r="1629" spans="1:26" x14ac:dyDescent="0.2">
      <c r="A1629" s="152" t="s">
        <v>2748</v>
      </c>
      <c r="B1629" s="152">
        <v>2.64</v>
      </c>
      <c r="C1629" s="151">
        <v>44010</v>
      </c>
      <c r="D1629" s="152">
        <v>1.676712</v>
      </c>
      <c r="E1629" s="152" t="s">
        <v>1325</v>
      </c>
      <c r="F1629" s="152" t="s">
        <v>1326</v>
      </c>
      <c r="G1629" s="152" t="s">
        <v>116</v>
      </c>
      <c r="H1629" s="152"/>
      <c r="I1629" s="151">
        <v>43397</v>
      </c>
      <c r="J1629" s="152">
        <v>2.68</v>
      </c>
      <c r="K1629" s="152" t="s">
        <v>1327</v>
      </c>
      <c r="L1629" s="152" t="s">
        <v>1327</v>
      </c>
      <c r="M1629" s="152" t="s">
        <v>1327</v>
      </c>
      <c r="N1629" s="152" t="s">
        <v>1327</v>
      </c>
      <c r="O1629" s="152">
        <v>2.68</v>
      </c>
      <c r="P1629" s="152">
        <v>72.195228999999998</v>
      </c>
      <c r="Q1629" s="152">
        <v>2.68</v>
      </c>
      <c r="R1629" s="152" t="s">
        <v>1327</v>
      </c>
      <c r="S1629" s="152">
        <v>99.929276000000002</v>
      </c>
      <c r="T1629" s="152">
        <v>0.86071200000000003</v>
      </c>
      <c r="U1629" s="152">
        <v>1.6149389999999999</v>
      </c>
      <c r="V1629" s="152">
        <v>3.447533</v>
      </c>
      <c r="W1629" s="152">
        <v>1000</v>
      </c>
      <c r="X1629" s="152" t="s">
        <v>23</v>
      </c>
      <c r="Y1629" s="152" t="s">
        <v>1328</v>
      </c>
      <c r="Z1629" s="152" t="s">
        <v>1327</v>
      </c>
    </row>
    <row r="1630" spans="1:26" x14ac:dyDescent="0.2">
      <c r="A1630" s="152" t="s">
        <v>2749</v>
      </c>
      <c r="B1630" s="152">
        <v>2.58</v>
      </c>
      <c r="C1630" s="151">
        <v>44047</v>
      </c>
      <c r="D1630" s="152">
        <v>1.7780819999999999</v>
      </c>
      <c r="E1630" s="152" t="s">
        <v>1325</v>
      </c>
      <c r="F1630" s="152" t="s">
        <v>1326</v>
      </c>
      <c r="G1630" s="152" t="s">
        <v>116</v>
      </c>
      <c r="H1630" s="152"/>
      <c r="I1630" s="152">
        <v>43264</v>
      </c>
      <c r="J1630" s="152">
        <v>2.38</v>
      </c>
      <c r="K1630" s="152" t="s">
        <v>1327</v>
      </c>
      <c r="L1630" s="152" t="s">
        <v>1327</v>
      </c>
      <c r="M1630" s="152" t="s">
        <v>1327</v>
      </c>
      <c r="N1630" s="152" t="s">
        <v>1327</v>
      </c>
      <c r="O1630" s="152">
        <v>2.6821160000000002</v>
      </c>
      <c r="P1630" s="152">
        <v>70.768113999999997</v>
      </c>
      <c r="Q1630" s="152">
        <v>2.6821160000000002</v>
      </c>
      <c r="R1630" s="152" t="s">
        <v>1327</v>
      </c>
      <c r="S1630" s="152">
        <v>99.810989000000006</v>
      </c>
      <c r="T1630" s="152">
        <v>0.57961600000000002</v>
      </c>
      <c r="U1630" s="152">
        <v>1.7184790000000001</v>
      </c>
      <c r="V1630" s="152">
        <v>3.8428599999999999</v>
      </c>
      <c r="W1630" s="152">
        <v>1000</v>
      </c>
      <c r="X1630" s="152" t="s">
        <v>23</v>
      </c>
      <c r="Y1630" s="152" t="s">
        <v>1328</v>
      </c>
      <c r="Z1630" s="152" t="s">
        <v>1327</v>
      </c>
    </row>
    <row r="1631" spans="1:26" x14ac:dyDescent="0.2">
      <c r="A1631" s="152" t="s">
        <v>2750</v>
      </c>
      <c r="B1631" s="152">
        <v>2.58</v>
      </c>
      <c r="C1631" s="151">
        <v>44061</v>
      </c>
      <c r="D1631" s="152">
        <v>1.816438</v>
      </c>
      <c r="E1631" s="152" t="s">
        <v>1325</v>
      </c>
      <c r="F1631" s="152" t="s">
        <v>1326</v>
      </c>
      <c r="G1631" s="152"/>
      <c r="H1631" s="152"/>
      <c r="I1631" s="152" t="s">
        <v>1327</v>
      </c>
      <c r="J1631" s="152" t="s">
        <v>1327</v>
      </c>
      <c r="K1631" s="152" t="s">
        <v>1327</v>
      </c>
      <c r="L1631" s="152" t="s">
        <v>1327</v>
      </c>
      <c r="M1631" s="152" t="s">
        <v>1327</v>
      </c>
      <c r="N1631" s="152" t="s">
        <v>1327</v>
      </c>
      <c r="O1631" s="152">
        <v>2.685816</v>
      </c>
      <c r="P1631" s="152">
        <v>71.073325999999994</v>
      </c>
      <c r="Q1631" s="152">
        <v>2.685816</v>
      </c>
      <c r="R1631" s="152" t="s">
        <v>1327</v>
      </c>
      <c r="S1631" s="152">
        <v>99.807365000000004</v>
      </c>
      <c r="T1631" s="152">
        <v>0.48065799999999997</v>
      </c>
      <c r="U1631" s="152">
        <v>1.759592</v>
      </c>
      <c r="V1631" s="152">
        <v>3.5861019999999999</v>
      </c>
      <c r="W1631" s="152">
        <v>1000</v>
      </c>
      <c r="X1631" s="152" t="s">
        <v>23</v>
      </c>
      <c r="Y1631" s="152" t="s">
        <v>1328</v>
      </c>
      <c r="Z1631" s="152" t="s">
        <v>1327</v>
      </c>
    </row>
    <row r="1632" spans="1:26" x14ac:dyDescent="0.2">
      <c r="A1632" s="152" t="s">
        <v>2751</v>
      </c>
      <c r="B1632" s="152">
        <v>2.57</v>
      </c>
      <c r="C1632" s="151">
        <v>44089</v>
      </c>
      <c r="D1632" s="152">
        <v>1.893151</v>
      </c>
      <c r="E1632" s="152" t="s">
        <v>1325</v>
      </c>
      <c r="F1632" s="152" t="s">
        <v>1326</v>
      </c>
      <c r="G1632" s="152"/>
      <c r="H1632" s="152"/>
      <c r="I1632" s="152" t="s">
        <v>1327</v>
      </c>
      <c r="J1632" s="152" t="s">
        <v>1327</v>
      </c>
      <c r="K1632" s="152" t="s">
        <v>1327</v>
      </c>
      <c r="L1632" s="152" t="s">
        <v>1327</v>
      </c>
      <c r="M1632" s="152" t="s">
        <v>1327</v>
      </c>
      <c r="N1632" s="152" t="s">
        <v>1327</v>
      </c>
      <c r="O1632" s="152">
        <v>2.7214719999999999</v>
      </c>
      <c r="P1632" s="152">
        <v>71.668841999999998</v>
      </c>
      <c r="Q1632" s="152">
        <v>2.7214719999999999</v>
      </c>
      <c r="R1632" s="152" t="s">
        <v>1327</v>
      </c>
      <c r="S1632" s="152">
        <v>99.732355999999996</v>
      </c>
      <c r="T1632" s="152">
        <v>0.28164400000000001</v>
      </c>
      <c r="U1632" s="152">
        <v>1.823682</v>
      </c>
      <c r="V1632" s="152">
        <v>4.2670909999999997</v>
      </c>
      <c r="W1632" s="152">
        <v>1000</v>
      </c>
      <c r="X1632" s="152" t="s">
        <v>23</v>
      </c>
      <c r="Y1632" s="152" t="s">
        <v>1328</v>
      </c>
      <c r="Z1632" s="152" t="s">
        <v>1327</v>
      </c>
    </row>
    <row r="1633" spans="1:26" x14ac:dyDescent="0.2">
      <c r="A1633" s="152" t="s">
        <v>2752</v>
      </c>
      <c r="B1633" s="152">
        <v>2.7</v>
      </c>
      <c r="C1633" s="151">
        <v>44091</v>
      </c>
      <c r="D1633" s="152">
        <v>1.89863</v>
      </c>
      <c r="E1633" s="152" t="s">
        <v>1325</v>
      </c>
      <c r="F1633" s="152" t="s">
        <v>1326</v>
      </c>
      <c r="G1633" s="152" t="s">
        <v>116</v>
      </c>
      <c r="H1633" s="152"/>
      <c r="I1633" s="151" t="s">
        <v>1327</v>
      </c>
      <c r="J1633" s="152" t="s">
        <v>1327</v>
      </c>
      <c r="K1633" s="152" t="s">
        <v>1327</v>
      </c>
      <c r="L1633" s="152" t="s">
        <v>1327</v>
      </c>
      <c r="M1633" s="152" t="s">
        <v>1327</v>
      </c>
      <c r="N1633" s="152" t="s">
        <v>1327</v>
      </c>
      <c r="O1633" s="152">
        <v>2.779687</v>
      </c>
      <c r="P1633" s="152">
        <v>77.489814999999993</v>
      </c>
      <c r="Q1633" s="152">
        <v>2.779687</v>
      </c>
      <c r="R1633" s="152" t="s">
        <v>1327</v>
      </c>
      <c r="S1633" s="152">
        <v>99.863647999999998</v>
      </c>
      <c r="T1633" s="152">
        <v>0.28109600000000001</v>
      </c>
      <c r="U1633" s="152">
        <v>1.8267500000000001</v>
      </c>
      <c r="V1633" s="152">
        <v>4.2814779999999999</v>
      </c>
      <c r="W1633" s="152">
        <v>1000</v>
      </c>
      <c r="X1633" s="152" t="s">
        <v>23</v>
      </c>
      <c r="Y1633" s="152" t="s">
        <v>1328</v>
      </c>
      <c r="Z1633" s="152" t="s">
        <v>1327</v>
      </c>
    </row>
    <row r="1634" spans="1:26" x14ac:dyDescent="0.2">
      <c r="A1634" s="152" t="s">
        <v>2753</v>
      </c>
      <c r="B1634" s="152">
        <v>2.39</v>
      </c>
      <c r="C1634" s="151">
        <v>44166</v>
      </c>
      <c r="D1634" s="152">
        <v>2.1041099999999999</v>
      </c>
      <c r="E1634" s="152" t="s">
        <v>1325</v>
      </c>
      <c r="F1634" s="152" t="s">
        <v>1326</v>
      </c>
      <c r="G1634" s="152" t="s">
        <v>116</v>
      </c>
      <c r="H1634" s="152"/>
      <c r="I1634" s="152">
        <v>43314</v>
      </c>
      <c r="J1634" s="152">
        <v>2.5299999999999998</v>
      </c>
      <c r="K1634" s="152" t="s">
        <v>1327</v>
      </c>
      <c r="L1634" s="152" t="s">
        <v>1327</v>
      </c>
      <c r="M1634" s="152" t="s">
        <v>1327</v>
      </c>
      <c r="N1634" s="152" t="s">
        <v>1327</v>
      </c>
      <c r="O1634" s="152">
        <v>2.7489499999999998</v>
      </c>
      <c r="P1634" s="152">
        <v>72.679051000000001</v>
      </c>
      <c r="Q1634" s="152">
        <v>2.7489499999999998</v>
      </c>
      <c r="R1634" s="152" t="s">
        <v>1327</v>
      </c>
      <c r="S1634" s="152">
        <v>99.267341000000002</v>
      </c>
      <c r="T1634" s="152">
        <v>0.95599999999999996</v>
      </c>
      <c r="U1634" s="152">
        <v>2.0150220000000001</v>
      </c>
      <c r="V1634" s="152">
        <v>5.1368150000000004</v>
      </c>
      <c r="W1634" s="152">
        <v>1000</v>
      </c>
      <c r="X1634" s="152" t="s">
        <v>23</v>
      </c>
      <c r="Y1634" s="152" t="s">
        <v>1328</v>
      </c>
      <c r="Z1634" s="152" t="s">
        <v>1327</v>
      </c>
    </row>
    <row r="1635" spans="1:26" x14ac:dyDescent="0.2">
      <c r="A1635" s="152" t="s">
        <v>2754</v>
      </c>
      <c r="B1635" s="152">
        <v>2.2799999999999998</v>
      </c>
      <c r="C1635" s="151">
        <v>44179</v>
      </c>
      <c r="D1635" s="152">
        <v>2.139726</v>
      </c>
      <c r="E1635" s="152" t="s">
        <v>1325</v>
      </c>
      <c r="F1635" s="152" t="s">
        <v>1326</v>
      </c>
      <c r="G1635" s="152" t="s">
        <v>116</v>
      </c>
      <c r="H1635" s="152"/>
      <c r="I1635" s="152" t="s">
        <v>1327</v>
      </c>
      <c r="J1635" s="152" t="s">
        <v>1327</v>
      </c>
      <c r="K1635" s="152" t="s">
        <v>1327</v>
      </c>
      <c r="L1635" s="152" t="s">
        <v>1327</v>
      </c>
      <c r="M1635" s="152" t="s">
        <v>1327</v>
      </c>
      <c r="N1635" s="152" t="s">
        <v>1327</v>
      </c>
      <c r="O1635" s="152">
        <v>2.7549779999999999</v>
      </c>
      <c r="P1635" s="152">
        <v>73.506961000000004</v>
      </c>
      <c r="Q1635" s="152">
        <v>2.7549779999999999</v>
      </c>
      <c r="R1635" s="152" t="s">
        <v>1327</v>
      </c>
      <c r="S1635" s="152">
        <v>99.009397000000007</v>
      </c>
      <c r="T1635" s="152">
        <v>0.44975300000000001</v>
      </c>
      <c r="U1635" s="152">
        <v>2.0639850000000002</v>
      </c>
      <c r="V1635" s="152">
        <v>5.3410010000000003</v>
      </c>
      <c r="W1635" s="152">
        <v>1000</v>
      </c>
      <c r="X1635" s="152" t="s">
        <v>23</v>
      </c>
      <c r="Y1635" s="152" t="s">
        <v>1328</v>
      </c>
      <c r="Z1635" s="152" t="s">
        <v>1327</v>
      </c>
    </row>
    <row r="1636" spans="1:26" x14ac:dyDescent="0.2">
      <c r="A1636" s="152" t="s">
        <v>2755</v>
      </c>
      <c r="B1636" s="152">
        <v>2.48</v>
      </c>
      <c r="C1636" s="151">
        <v>44176</v>
      </c>
      <c r="D1636" s="152">
        <v>2.131507</v>
      </c>
      <c r="E1636" s="152" t="s">
        <v>1325</v>
      </c>
      <c r="F1636" s="152" t="s">
        <v>1326</v>
      </c>
      <c r="G1636" s="152" t="s">
        <v>116</v>
      </c>
      <c r="H1636" s="152"/>
      <c r="I1636" s="151">
        <v>43314</v>
      </c>
      <c r="J1636" s="152">
        <v>2.5350000000000001</v>
      </c>
      <c r="K1636" s="152" t="s">
        <v>1327</v>
      </c>
      <c r="L1636" s="152" t="s">
        <v>1327</v>
      </c>
      <c r="M1636" s="152" t="s">
        <v>1327</v>
      </c>
      <c r="N1636" s="152" t="s">
        <v>1327</v>
      </c>
      <c r="O1636" s="152">
        <v>2.750356</v>
      </c>
      <c r="P1636" s="152">
        <v>72.599091999999999</v>
      </c>
      <c r="Q1636" s="152">
        <v>2.750356</v>
      </c>
      <c r="R1636" s="152" t="s">
        <v>1327</v>
      </c>
      <c r="S1636" s="152">
        <v>99.439679999999996</v>
      </c>
      <c r="T1636" s="152">
        <v>0.92405499999999996</v>
      </c>
      <c r="U1636" s="152">
        <v>2.0399850000000002</v>
      </c>
      <c r="V1636" s="152">
        <v>5.2531460000000001</v>
      </c>
      <c r="W1636" s="152">
        <v>1000</v>
      </c>
      <c r="X1636" s="152" t="s">
        <v>23</v>
      </c>
      <c r="Y1636" s="152" t="s">
        <v>1328</v>
      </c>
      <c r="Z1636" s="152" t="s">
        <v>1327</v>
      </c>
    </row>
    <row r="1637" spans="1:26" x14ac:dyDescent="0.2">
      <c r="A1637" s="152" t="s">
        <v>2756</v>
      </c>
      <c r="B1637" s="152">
        <v>2.4</v>
      </c>
      <c r="C1637" s="151">
        <v>44138</v>
      </c>
      <c r="D1637" s="152">
        <v>2.0273970000000001</v>
      </c>
      <c r="E1637" s="152" t="s">
        <v>1325</v>
      </c>
      <c r="F1637" s="152" t="s">
        <v>1326</v>
      </c>
      <c r="G1637" s="152"/>
      <c r="H1637" s="152"/>
      <c r="I1637" s="152">
        <v>43129</v>
      </c>
      <c r="J1637" s="152">
        <v>2.4</v>
      </c>
      <c r="K1637" s="152" t="s">
        <v>1327</v>
      </c>
      <c r="L1637" s="152" t="s">
        <v>1327</v>
      </c>
      <c r="M1637" s="152" t="s">
        <v>1327</v>
      </c>
      <c r="N1637" s="152" t="s">
        <v>1327</v>
      </c>
      <c r="O1637" s="152">
        <v>2.7409189999999999</v>
      </c>
      <c r="P1637" s="152">
        <v>72.584963000000002</v>
      </c>
      <c r="Q1637" s="152">
        <v>2.7409189999999999</v>
      </c>
      <c r="R1637" s="152" t="s">
        <v>1327</v>
      </c>
      <c r="S1637" s="152">
        <v>99.333415000000002</v>
      </c>
      <c r="T1637" s="152">
        <v>-5.9178000000000001E-2</v>
      </c>
      <c r="U1637" s="152">
        <v>1.962337</v>
      </c>
      <c r="V1637" s="152">
        <v>4.8578000000000001</v>
      </c>
      <c r="W1637" s="152">
        <v>1000</v>
      </c>
      <c r="X1637" s="152" t="s">
        <v>23</v>
      </c>
      <c r="Y1637" s="152" t="s">
        <v>1328</v>
      </c>
      <c r="Z1637" s="152" t="s">
        <v>1327</v>
      </c>
    </row>
    <row r="1638" spans="1:26" x14ac:dyDescent="0.2">
      <c r="A1638" s="152" t="s">
        <v>2757</v>
      </c>
      <c r="B1638" s="152">
        <v>2.5099999999999998</v>
      </c>
      <c r="C1638" s="151">
        <v>44110</v>
      </c>
      <c r="D1638" s="152">
        <v>1.950685</v>
      </c>
      <c r="E1638" s="152" t="s">
        <v>1325</v>
      </c>
      <c r="F1638" s="152" t="s">
        <v>1326</v>
      </c>
      <c r="G1638" s="152"/>
      <c r="H1638" s="152"/>
      <c r="I1638" s="152" t="s">
        <v>1327</v>
      </c>
      <c r="J1638" s="152" t="s">
        <v>1327</v>
      </c>
      <c r="K1638" s="152" t="s">
        <v>1327</v>
      </c>
      <c r="L1638" s="152" t="s">
        <v>1327</v>
      </c>
      <c r="M1638" s="152" t="s">
        <v>1327</v>
      </c>
      <c r="N1638" s="152" t="s">
        <v>1327</v>
      </c>
      <c r="O1638" s="152">
        <v>2.7332070000000002</v>
      </c>
      <c r="P1638" s="152">
        <v>72.490227000000004</v>
      </c>
      <c r="Q1638" s="152">
        <v>2.7332070000000002</v>
      </c>
      <c r="R1638" s="152" t="s">
        <v>1327</v>
      </c>
      <c r="S1638" s="152">
        <v>99.582283000000004</v>
      </c>
      <c r="T1638" s="152">
        <v>0.130658</v>
      </c>
      <c r="U1638" s="152">
        <v>1.883861</v>
      </c>
      <c r="V1638" s="152">
        <v>4.5189450000000004</v>
      </c>
      <c r="W1638" s="152">
        <v>1000</v>
      </c>
      <c r="X1638" s="152" t="s">
        <v>23</v>
      </c>
      <c r="Y1638" s="152" t="s">
        <v>1328</v>
      </c>
      <c r="Z1638" s="152" t="s">
        <v>1327</v>
      </c>
    </row>
    <row r="1639" spans="1:26" x14ac:dyDescent="0.2">
      <c r="A1639" s="152" t="s">
        <v>2758</v>
      </c>
      <c r="B1639" s="152">
        <v>2.31</v>
      </c>
      <c r="C1639" s="151">
        <v>44241</v>
      </c>
      <c r="D1639" s="152">
        <v>2.3095889999999999</v>
      </c>
      <c r="E1639" s="152" t="s">
        <v>1325</v>
      </c>
      <c r="F1639" s="152" t="s">
        <v>1326</v>
      </c>
      <c r="G1639" s="152" t="s">
        <v>116</v>
      </c>
      <c r="H1639" s="152"/>
      <c r="I1639" s="152">
        <v>43172</v>
      </c>
      <c r="J1639" s="152">
        <v>2.25</v>
      </c>
      <c r="K1639" s="152" t="s">
        <v>1327</v>
      </c>
      <c r="L1639" s="152" t="s">
        <v>1327</v>
      </c>
      <c r="M1639" s="152" t="s">
        <v>1327</v>
      </c>
      <c r="N1639" s="152" t="s">
        <v>1327</v>
      </c>
      <c r="O1639" s="152">
        <v>2.7283789999999999</v>
      </c>
      <c r="P1639" s="152">
        <v>69.017511999999996</v>
      </c>
      <c r="Q1639" s="152">
        <v>2.7283789999999999</v>
      </c>
      <c r="R1639" s="152" t="s">
        <v>1327</v>
      </c>
      <c r="S1639" s="152">
        <v>99.059387999999998</v>
      </c>
      <c r="T1639" s="152">
        <v>0.45567099999999999</v>
      </c>
      <c r="U1639" s="152">
        <v>2.219786</v>
      </c>
      <c r="V1639" s="152">
        <v>6.1025340000000003</v>
      </c>
      <c r="W1639" s="152">
        <v>1000</v>
      </c>
      <c r="X1639" s="152" t="s">
        <v>23</v>
      </c>
      <c r="Y1639" s="152" t="s">
        <v>1328</v>
      </c>
      <c r="Z1639" s="152" t="s">
        <v>1327</v>
      </c>
    </row>
    <row r="1640" spans="1:26" x14ac:dyDescent="0.2">
      <c r="A1640" s="152" t="s">
        <v>2759</v>
      </c>
      <c r="B1640" s="152">
        <v>2.2999999999999998</v>
      </c>
      <c r="C1640" s="151">
        <v>44280</v>
      </c>
      <c r="D1640" s="152">
        <v>2.4164379999999999</v>
      </c>
      <c r="E1640" s="152" t="s">
        <v>1325</v>
      </c>
      <c r="F1640" s="152" t="s">
        <v>1326</v>
      </c>
      <c r="G1640" s="152"/>
      <c r="H1640" s="152"/>
      <c r="I1640" s="152" t="s">
        <v>1327</v>
      </c>
      <c r="J1640" s="152" t="s">
        <v>1327</v>
      </c>
      <c r="K1640" s="152" t="s">
        <v>1327</v>
      </c>
      <c r="L1640" s="152" t="s">
        <v>1327</v>
      </c>
      <c r="M1640" s="152" t="s">
        <v>1327</v>
      </c>
      <c r="N1640" s="152" t="s">
        <v>1327</v>
      </c>
      <c r="O1640" s="152">
        <v>2.7555130000000001</v>
      </c>
      <c r="P1640" s="152">
        <v>72.381305999999995</v>
      </c>
      <c r="Q1640" s="152">
        <v>2.7555130000000001</v>
      </c>
      <c r="R1640" s="152" t="s">
        <v>1327</v>
      </c>
      <c r="S1640" s="152">
        <v>98.939504999999997</v>
      </c>
      <c r="T1640" s="152">
        <v>0.18904099999999999</v>
      </c>
      <c r="U1640" s="152">
        <v>2.3372359999999999</v>
      </c>
      <c r="V1640" s="152">
        <v>6.1391150000000003</v>
      </c>
      <c r="W1640" s="152">
        <v>1000</v>
      </c>
      <c r="X1640" s="152" t="s">
        <v>23</v>
      </c>
      <c r="Y1640" s="152" t="s">
        <v>1328</v>
      </c>
      <c r="Z1640" s="152" t="s">
        <v>1327</v>
      </c>
    </row>
    <row r="1641" spans="1:26" x14ac:dyDescent="0.2">
      <c r="A1641" s="152" t="s">
        <v>2760</v>
      </c>
      <c r="B1641" s="152">
        <v>2.5</v>
      </c>
      <c r="C1641" s="151">
        <v>44389</v>
      </c>
      <c r="D1641" s="152">
        <v>2.715068</v>
      </c>
      <c r="E1641" s="152" t="s">
        <v>1325</v>
      </c>
      <c r="F1641" s="152" t="s">
        <v>1326</v>
      </c>
      <c r="G1641" s="152"/>
      <c r="H1641" s="152"/>
      <c r="I1641" s="152" t="s">
        <v>1327</v>
      </c>
      <c r="J1641" s="152" t="s">
        <v>1327</v>
      </c>
      <c r="K1641" s="152" t="s">
        <v>1327</v>
      </c>
      <c r="L1641" s="152" t="s">
        <v>1327</v>
      </c>
      <c r="M1641" s="152" t="s">
        <v>1327</v>
      </c>
      <c r="N1641" s="152" t="s">
        <v>1327</v>
      </c>
      <c r="O1641" s="152">
        <v>2.7555670000000001</v>
      </c>
      <c r="P1641" s="152">
        <v>69.661587999999995</v>
      </c>
      <c r="Q1641" s="152">
        <v>2.7555670000000001</v>
      </c>
      <c r="R1641" s="152" t="s">
        <v>1327</v>
      </c>
      <c r="S1641" s="152">
        <v>99.335544999999996</v>
      </c>
      <c r="T1641" s="152">
        <v>0.24657499999999999</v>
      </c>
      <c r="U1641" s="152">
        <v>2.607348</v>
      </c>
      <c r="V1641" s="152">
        <v>7.5948560000000001</v>
      </c>
      <c r="W1641" s="152">
        <v>1000</v>
      </c>
      <c r="X1641" s="152" t="s">
        <v>23</v>
      </c>
      <c r="Y1641" s="152" t="s">
        <v>1328</v>
      </c>
      <c r="Z1641" s="152" t="s">
        <v>1327</v>
      </c>
    </row>
    <row r="1642" spans="1:26" x14ac:dyDescent="0.2">
      <c r="A1642" s="152" t="s">
        <v>2761</v>
      </c>
      <c r="B1642" s="152">
        <v>2.5</v>
      </c>
      <c r="C1642" s="151">
        <v>44390</v>
      </c>
      <c r="D1642" s="152">
        <v>2.7178079999999998</v>
      </c>
      <c r="E1642" s="152" t="s">
        <v>1325</v>
      </c>
      <c r="F1642" s="152" t="s">
        <v>1326</v>
      </c>
      <c r="G1642" s="152"/>
      <c r="H1642" s="152"/>
      <c r="I1642" s="151" t="s">
        <v>1327</v>
      </c>
      <c r="J1642" s="152" t="s">
        <v>1327</v>
      </c>
      <c r="K1642" s="152" t="s">
        <v>1327</v>
      </c>
      <c r="L1642" s="152" t="s">
        <v>1327</v>
      </c>
      <c r="M1642" s="152" t="s">
        <v>1327</v>
      </c>
      <c r="N1642" s="152" t="s">
        <v>1327</v>
      </c>
      <c r="O1642" s="152">
        <v>2.771649</v>
      </c>
      <c r="P1642" s="152">
        <v>71.553984</v>
      </c>
      <c r="Q1642" s="152">
        <v>2.771649</v>
      </c>
      <c r="R1642" s="152" t="s">
        <v>1327</v>
      </c>
      <c r="S1642" s="152">
        <v>99.285509000000005</v>
      </c>
      <c r="T1642" s="152">
        <v>0.130137</v>
      </c>
      <c r="U1642" s="152">
        <v>2.615564</v>
      </c>
      <c r="V1642" s="152">
        <v>7.6327809999999996</v>
      </c>
      <c r="W1642" s="152">
        <v>1000</v>
      </c>
      <c r="X1642" s="152" t="s">
        <v>23</v>
      </c>
      <c r="Y1642" s="152" t="s">
        <v>1328</v>
      </c>
      <c r="Z1642" s="152" t="s">
        <v>1327</v>
      </c>
    </row>
    <row r="1643" spans="1:26" x14ac:dyDescent="0.2">
      <c r="A1643" s="152" t="s">
        <v>2762</v>
      </c>
      <c r="B1643" s="152">
        <v>2.7</v>
      </c>
      <c r="C1643" s="151">
        <v>44425</v>
      </c>
      <c r="D1643" s="152">
        <v>2.8136990000000002</v>
      </c>
      <c r="E1643" s="152" t="s">
        <v>1325</v>
      </c>
      <c r="F1643" s="152" t="s">
        <v>1326</v>
      </c>
      <c r="G1643" s="152"/>
      <c r="H1643" s="152"/>
      <c r="I1643" s="152" t="s">
        <v>1327</v>
      </c>
      <c r="J1643" s="152" t="s">
        <v>1327</v>
      </c>
      <c r="K1643" s="152" t="s">
        <v>1327</v>
      </c>
      <c r="L1643" s="152" t="s">
        <v>1327</v>
      </c>
      <c r="M1643" s="152" t="s">
        <v>1327</v>
      </c>
      <c r="N1643" s="152" t="s">
        <v>1327</v>
      </c>
      <c r="O1643" s="152">
        <v>2.8303739999999999</v>
      </c>
      <c r="P1643" s="152">
        <v>74.945487</v>
      </c>
      <c r="Q1643" s="152">
        <v>2.8303739999999999</v>
      </c>
      <c r="R1643" s="152" t="s">
        <v>1327</v>
      </c>
      <c r="S1643" s="152">
        <v>99.660034999999993</v>
      </c>
      <c r="T1643" s="152">
        <v>0.369863</v>
      </c>
      <c r="U1643" s="152">
        <v>2.6778189999999999</v>
      </c>
      <c r="V1643" s="152">
        <v>8.6494599999999995</v>
      </c>
      <c r="W1643" s="152">
        <v>1000</v>
      </c>
      <c r="X1643" s="152" t="s">
        <v>23</v>
      </c>
      <c r="Y1643" s="152" t="s">
        <v>1328</v>
      </c>
      <c r="Z1643" s="152" t="s">
        <v>1327</v>
      </c>
    </row>
    <row r="1644" spans="1:26" x14ac:dyDescent="0.2">
      <c r="A1644" s="152" t="s">
        <v>2763</v>
      </c>
      <c r="B1644" s="152">
        <v>4.28</v>
      </c>
      <c r="C1644" s="151">
        <v>43740</v>
      </c>
      <c r="D1644" s="152">
        <v>0.93698599999999999</v>
      </c>
      <c r="E1644" s="152" t="s">
        <v>1325</v>
      </c>
      <c r="F1644" s="152" t="s">
        <v>1326</v>
      </c>
      <c r="G1644" s="152" t="s">
        <v>116</v>
      </c>
      <c r="H1644" s="152"/>
      <c r="I1644" s="152">
        <v>42205</v>
      </c>
      <c r="J1644" s="152">
        <v>3</v>
      </c>
      <c r="K1644" s="152" t="s">
        <v>1327</v>
      </c>
      <c r="L1644" s="152" t="s">
        <v>1327</v>
      </c>
      <c r="M1644" s="152" t="s">
        <v>1327</v>
      </c>
      <c r="N1644" s="152" t="s">
        <v>1327</v>
      </c>
      <c r="O1644" s="152">
        <v>2.1217239999999999</v>
      </c>
      <c r="P1644" s="152">
        <v>32.122881999999997</v>
      </c>
      <c r="Q1644" s="152">
        <v>2.1217239999999999</v>
      </c>
      <c r="R1644" s="152" t="s">
        <v>1327</v>
      </c>
      <c r="S1644" s="152">
        <v>101.993578</v>
      </c>
      <c r="T1644" s="152">
        <v>0.26969900000000002</v>
      </c>
      <c r="U1644" s="152">
        <v>0.91553600000000002</v>
      </c>
      <c r="V1644" s="152">
        <v>1.2961400000000001</v>
      </c>
      <c r="W1644" s="152">
        <v>1000</v>
      </c>
      <c r="X1644" s="152" t="s">
        <v>23</v>
      </c>
      <c r="Y1644" s="152" t="s">
        <v>1328</v>
      </c>
      <c r="Z1644" s="152" t="s">
        <v>1327</v>
      </c>
    </row>
    <row r="1645" spans="1:26" x14ac:dyDescent="0.2">
      <c r="A1645" s="152" t="s">
        <v>224</v>
      </c>
      <c r="B1645" s="152">
        <v>4.28</v>
      </c>
      <c r="C1645" s="151">
        <v>43740</v>
      </c>
      <c r="D1645" s="152">
        <v>0.93698599999999999</v>
      </c>
      <c r="E1645" s="152" t="s">
        <v>1325</v>
      </c>
      <c r="F1645" s="152" t="s">
        <v>1326</v>
      </c>
      <c r="G1645" s="152" t="s">
        <v>116</v>
      </c>
      <c r="H1645" s="152"/>
      <c r="I1645" s="151">
        <v>43256</v>
      </c>
      <c r="J1645" s="152">
        <v>1.89</v>
      </c>
      <c r="K1645" s="152" t="s">
        <v>1327</v>
      </c>
      <c r="L1645" s="152" t="s">
        <v>1327</v>
      </c>
      <c r="M1645" s="152" t="s">
        <v>1327</v>
      </c>
      <c r="N1645" s="152" t="s">
        <v>1327</v>
      </c>
      <c r="O1645" s="152">
        <v>2.1443850000000002</v>
      </c>
      <c r="P1645" s="152">
        <v>34.409737</v>
      </c>
      <c r="Q1645" s="152">
        <v>2.1443850000000002</v>
      </c>
      <c r="R1645" s="152" t="s">
        <v>1327</v>
      </c>
      <c r="S1645" s="152">
        <v>101.972365</v>
      </c>
      <c r="T1645" s="152">
        <v>0.26969900000000002</v>
      </c>
      <c r="U1645" s="152">
        <v>0.91543300000000005</v>
      </c>
      <c r="V1645" s="152">
        <v>1.295847</v>
      </c>
      <c r="W1645" s="152">
        <v>1000</v>
      </c>
      <c r="X1645" s="152" t="s">
        <v>23</v>
      </c>
      <c r="Y1645" s="152" t="s">
        <v>1328</v>
      </c>
      <c r="Z1645" s="152" t="s">
        <v>1327</v>
      </c>
    </row>
    <row r="1646" spans="1:26" x14ac:dyDescent="0.2">
      <c r="A1646" s="152" t="s">
        <v>2764</v>
      </c>
      <c r="B1646" s="152">
        <v>4.68</v>
      </c>
      <c r="C1646" s="151">
        <v>44471</v>
      </c>
      <c r="D1646" s="152">
        <v>2.9397259999999998</v>
      </c>
      <c r="E1646" s="152" t="s">
        <v>1325</v>
      </c>
      <c r="F1646" s="152" t="s">
        <v>1326</v>
      </c>
      <c r="G1646" s="152" t="s">
        <v>116</v>
      </c>
      <c r="H1646" s="152"/>
      <c r="I1646" s="151">
        <v>43195</v>
      </c>
      <c r="J1646" s="152">
        <v>2.38</v>
      </c>
      <c r="K1646" s="152" t="s">
        <v>1327</v>
      </c>
      <c r="L1646" s="152" t="s">
        <v>1327</v>
      </c>
      <c r="M1646" s="152" t="s">
        <v>1327</v>
      </c>
      <c r="N1646" s="152" t="s">
        <v>1327</v>
      </c>
      <c r="O1646" s="152">
        <v>2.9508169999999998</v>
      </c>
      <c r="P1646" s="152">
        <v>85.397178999999994</v>
      </c>
      <c r="Q1646" s="152">
        <v>2.9508169999999998</v>
      </c>
      <c r="R1646" s="152" t="s">
        <v>1327</v>
      </c>
      <c r="S1646" s="152">
        <v>104.833044</v>
      </c>
      <c r="T1646" s="152">
        <v>0.294904</v>
      </c>
      <c r="U1646" s="152">
        <v>2.733622</v>
      </c>
      <c r="V1646" s="152">
        <v>9.0838520000000003</v>
      </c>
      <c r="W1646" s="152">
        <v>1000</v>
      </c>
      <c r="X1646" s="152" t="s">
        <v>23</v>
      </c>
      <c r="Y1646" s="152" t="s">
        <v>1328</v>
      </c>
      <c r="Z1646" s="152" t="s">
        <v>1327</v>
      </c>
    </row>
    <row r="1647" spans="1:26" x14ac:dyDescent="0.2">
      <c r="A1647" s="152" t="s">
        <v>509</v>
      </c>
      <c r="B1647" s="152">
        <v>4.68</v>
      </c>
      <c r="C1647" s="151">
        <v>44471</v>
      </c>
      <c r="D1647" s="152">
        <v>2.9397259999999998</v>
      </c>
      <c r="E1647" s="152" t="s">
        <v>1325</v>
      </c>
      <c r="F1647" s="152" t="s">
        <v>1326</v>
      </c>
      <c r="G1647" s="152" t="s">
        <v>116</v>
      </c>
      <c r="H1647" s="152"/>
      <c r="I1647" s="151">
        <v>43081</v>
      </c>
      <c r="J1647" s="152">
        <v>2.64</v>
      </c>
      <c r="K1647" s="152" t="s">
        <v>1327</v>
      </c>
      <c r="L1647" s="152" t="s">
        <v>1327</v>
      </c>
      <c r="M1647" s="152" t="s">
        <v>1327</v>
      </c>
      <c r="N1647" s="152" t="s">
        <v>1327</v>
      </c>
      <c r="O1647" s="152">
        <v>2.951355</v>
      </c>
      <c r="P1647" s="152">
        <v>85.451732000000007</v>
      </c>
      <c r="Q1647" s="152">
        <v>2.951355</v>
      </c>
      <c r="R1647" s="152" t="s">
        <v>1327</v>
      </c>
      <c r="S1647" s="152">
        <v>104.831498</v>
      </c>
      <c r="T1647" s="152">
        <v>0.294904</v>
      </c>
      <c r="U1647" s="152">
        <v>2.7336140000000002</v>
      </c>
      <c r="V1647" s="152">
        <v>9.0837979999999998</v>
      </c>
      <c r="W1647" s="152">
        <v>1000</v>
      </c>
      <c r="X1647" s="152" t="s">
        <v>23</v>
      </c>
      <c r="Y1647" s="152" t="s">
        <v>1328</v>
      </c>
      <c r="Z1647" s="152" t="s">
        <v>1327</v>
      </c>
    </row>
    <row r="1648" spans="1:26" x14ac:dyDescent="0.2">
      <c r="A1648" s="152" t="s">
        <v>2765</v>
      </c>
      <c r="B1648" s="152">
        <v>4.71</v>
      </c>
      <c r="C1648" s="151">
        <v>43482</v>
      </c>
      <c r="D1648" s="152">
        <v>0.23013700000000001</v>
      </c>
      <c r="E1648" s="152" t="s">
        <v>1325</v>
      </c>
      <c r="F1648" s="152" t="s">
        <v>1326</v>
      </c>
      <c r="G1648" s="152" t="s">
        <v>47</v>
      </c>
      <c r="H1648" s="152"/>
      <c r="I1648" s="151">
        <v>43304</v>
      </c>
      <c r="J1648" s="152">
        <v>1.75</v>
      </c>
      <c r="K1648" s="152" t="s">
        <v>1327</v>
      </c>
      <c r="L1648" s="152" t="s">
        <v>1327</v>
      </c>
      <c r="M1648" s="152" t="s">
        <v>1327</v>
      </c>
      <c r="N1648" s="152" t="s">
        <v>1327</v>
      </c>
      <c r="O1648" s="152">
        <v>1.8243419999999999</v>
      </c>
      <c r="P1648" s="152">
        <v>31.730284000000001</v>
      </c>
      <c r="Q1648" s="152">
        <v>1.8243419999999999</v>
      </c>
      <c r="R1648" s="152" t="s">
        <v>1327</v>
      </c>
      <c r="S1648" s="152">
        <v>100.637694</v>
      </c>
      <c r="T1648" s="152">
        <v>1.290411</v>
      </c>
      <c r="U1648" s="152">
        <v>0.22805700000000001</v>
      </c>
      <c r="V1648" s="152">
        <v>0.16500699999999999</v>
      </c>
      <c r="W1648" s="152">
        <v>1000</v>
      </c>
      <c r="X1648" s="152" t="s">
        <v>23</v>
      </c>
      <c r="Y1648" s="152" t="s">
        <v>1328</v>
      </c>
      <c r="Z1648" s="152" t="s">
        <v>1327</v>
      </c>
    </row>
    <row r="1649" spans="1:26" x14ac:dyDescent="0.2">
      <c r="A1649" s="152" t="s">
        <v>2766</v>
      </c>
      <c r="B1649" s="152">
        <v>2.91</v>
      </c>
      <c r="C1649" s="151">
        <v>43600</v>
      </c>
      <c r="D1649" s="152">
        <v>0.55342499999999994</v>
      </c>
      <c r="E1649" s="152" t="s">
        <v>1325</v>
      </c>
      <c r="F1649" s="152" t="s">
        <v>1326</v>
      </c>
      <c r="G1649" s="152" t="s">
        <v>47</v>
      </c>
      <c r="H1649" s="152"/>
      <c r="I1649" s="151">
        <v>43327</v>
      </c>
      <c r="J1649" s="152">
        <v>1.7450000000000001</v>
      </c>
      <c r="K1649" s="152" t="s">
        <v>1327</v>
      </c>
      <c r="L1649" s="152" t="s">
        <v>1327</v>
      </c>
      <c r="M1649" s="152" t="s">
        <v>1327</v>
      </c>
      <c r="N1649" s="152" t="s">
        <v>1327</v>
      </c>
      <c r="O1649" s="152">
        <v>1.971846</v>
      </c>
      <c r="P1649" s="152">
        <v>23.162579999999998</v>
      </c>
      <c r="Q1649" s="152">
        <v>1.971846</v>
      </c>
      <c r="R1649" s="152" t="s">
        <v>1327</v>
      </c>
      <c r="S1649" s="152">
        <v>100.50496800000001</v>
      </c>
      <c r="T1649" s="152">
        <v>1.299534</v>
      </c>
      <c r="U1649" s="152">
        <v>0.54502300000000004</v>
      </c>
      <c r="V1649" s="152">
        <v>0.57035000000000002</v>
      </c>
      <c r="W1649" s="152">
        <v>1000</v>
      </c>
      <c r="X1649" s="152" t="s">
        <v>23</v>
      </c>
      <c r="Y1649" s="152" t="s">
        <v>1328</v>
      </c>
      <c r="Z1649" s="152" t="s">
        <v>1327</v>
      </c>
    </row>
    <row r="1650" spans="1:26" x14ac:dyDescent="0.2">
      <c r="A1650" s="152" t="s">
        <v>2767</v>
      </c>
      <c r="B1650" s="152">
        <v>4.8499999999999996</v>
      </c>
      <c r="C1650" s="151">
        <v>43756</v>
      </c>
      <c r="D1650" s="152">
        <v>0.98082199999999997</v>
      </c>
      <c r="E1650" s="152" t="s">
        <v>1325</v>
      </c>
      <c r="F1650" s="152" t="s">
        <v>1326</v>
      </c>
      <c r="G1650" s="152" t="s">
        <v>47</v>
      </c>
      <c r="H1650" s="152"/>
      <c r="I1650" s="151">
        <v>42913</v>
      </c>
      <c r="J1650" s="152">
        <v>2.39</v>
      </c>
      <c r="K1650" s="152" t="s">
        <v>1327</v>
      </c>
      <c r="L1650" s="152" t="s">
        <v>1327</v>
      </c>
      <c r="M1650" s="152" t="s">
        <v>1327</v>
      </c>
      <c r="N1650" s="152" t="s">
        <v>1327</v>
      </c>
      <c r="O1650" s="152">
        <v>2.1115469999999998</v>
      </c>
      <c r="P1650" s="152">
        <v>30.777849</v>
      </c>
      <c r="Q1650" s="152">
        <v>2.1115469999999998</v>
      </c>
      <c r="R1650" s="152" t="s">
        <v>1327</v>
      </c>
      <c r="S1650" s="152">
        <v>102.647007</v>
      </c>
      <c r="T1650" s="152">
        <v>9.3013999999999999E-2</v>
      </c>
      <c r="U1650" s="152">
        <v>0.95765800000000001</v>
      </c>
      <c r="V1650" s="152">
        <v>1.396522</v>
      </c>
      <c r="W1650" s="152">
        <v>1000</v>
      </c>
      <c r="X1650" s="152" t="s">
        <v>23</v>
      </c>
      <c r="Y1650" s="152" t="s">
        <v>1328</v>
      </c>
      <c r="Z1650" s="152" t="s">
        <v>1327</v>
      </c>
    </row>
    <row r="1651" spans="1:26" x14ac:dyDescent="0.2">
      <c r="A1651" s="152" t="s">
        <v>2768</v>
      </c>
      <c r="B1651" s="152">
        <v>4.3</v>
      </c>
      <c r="C1651" s="151">
        <v>43966</v>
      </c>
      <c r="D1651" s="152">
        <v>1.5561640000000001</v>
      </c>
      <c r="E1651" s="152" t="s">
        <v>1325</v>
      </c>
      <c r="F1651" s="152" t="s">
        <v>1326</v>
      </c>
      <c r="G1651" s="152" t="s">
        <v>47</v>
      </c>
      <c r="H1651" s="152"/>
      <c r="I1651" s="152">
        <v>43105</v>
      </c>
      <c r="J1651" s="152">
        <v>2.16</v>
      </c>
      <c r="K1651" s="152" t="s">
        <v>1327</v>
      </c>
      <c r="L1651" s="152" t="s">
        <v>1327</v>
      </c>
      <c r="M1651" s="152" t="s">
        <v>1327</v>
      </c>
      <c r="N1651" s="152" t="s">
        <v>1327</v>
      </c>
      <c r="O1651" s="152">
        <v>2.3020230000000002</v>
      </c>
      <c r="P1651" s="152">
        <v>37.471272999999997</v>
      </c>
      <c r="Q1651" s="152">
        <v>2.3020230000000002</v>
      </c>
      <c r="R1651" s="152" t="s">
        <v>1327</v>
      </c>
      <c r="S1651" s="152">
        <v>103.020715</v>
      </c>
      <c r="T1651" s="152">
        <v>1.920274</v>
      </c>
      <c r="U1651" s="152">
        <v>1.4795860000000001</v>
      </c>
      <c r="V1651" s="152">
        <v>2.9865740000000001</v>
      </c>
      <c r="W1651" s="152">
        <v>1000</v>
      </c>
      <c r="X1651" s="152" t="s">
        <v>23</v>
      </c>
      <c r="Y1651" s="152" t="s">
        <v>1328</v>
      </c>
      <c r="Z1651" s="152" t="s">
        <v>1327</v>
      </c>
    </row>
    <row r="1652" spans="1:26" x14ac:dyDescent="0.2">
      <c r="A1652" s="152" t="s">
        <v>2769</v>
      </c>
      <c r="B1652" s="152">
        <v>2.29</v>
      </c>
      <c r="C1652" s="151">
        <v>43969</v>
      </c>
      <c r="D1652" s="152">
        <v>1.564384</v>
      </c>
      <c r="E1652" s="152" t="s">
        <v>1325</v>
      </c>
      <c r="F1652" s="152" t="s">
        <v>1326</v>
      </c>
      <c r="G1652" s="152" t="s">
        <v>47</v>
      </c>
      <c r="H1652" s="152"/>
      <c r="I1652" s="152">
        <v>42824</v>
      </c>
      <c r="J1652" s="152">
        <v>2.9</v>
      </c>
      <c r="K1652" s="152" t="s">
        <v>1327</v>
      </c>
      <c r="L1652" s="152" t="s">
        <v>1327</v>
      </c>
      <c r="M1652" s="152" t="s">
        <v>1327</v>
      </c>
      <c r="N1652" s="152" t="s">
        <v>1327</v>
      </c>
      <c r="O1652" s="152">
        <v>2.3068740000000001</v>
      </c>
      <c r="P1652" s="152">
        <v>37.572158000000002</v>
      </c>
      <c r="Q1652" s="152">
        <v>2.3068740000000001</v>
      </c>
      <c r="R1652" s="152" t="s">
        <v>1327</v>
      </c>
      <c r="S1652" s="152">
        <v>99.964034999999996</v>
      </c>
      <c r="T1652" s="152">
        <v>1.003836</v>
      </c>
      <c r="U1652" s="152">
        <v>1.514572</v>
      </c>
      <c r="V1652" s="152">
        <v>3.0800109999999998</v>
      </c>
      <c r="W1652" s="152">
        <v>1000</v>
      </c>
      <c r="X1652" s="152" t="s">
        <v>23</v>
      </c>
      <c r="Y1652" s="152" t="s">
        <v>1328</v>
      </c>
      <c r="Z1652" s="152" t="s">
        <v>1327</v>
      </c>
    </row>
    <row r="1653" spans="1:26" x14ac:dyDescent="0.2">
      <c r="A1653" s="152" t="s">
        <v>510</v>
      </c>
      <c r="B1653" s="152">
        <v>3.22</v>
      </c>
      <c r="C1653" s="151">
        <v>44057</v>
      </c>
      <c r="D1653" s="152">
        <v>1.8054790000000001</v>
      </c>
      <c r="E1653" s="152" t="s">
        <v>1325</v>
      </c>
      <c r="F1653" s="152" t="s">
        <v>1326</v>
      </c>
      <c r="G1653" s="152" t="s">
        <v>47</v>
      </c>
      <c r="H1653" s="152"/>
      <c r="I1653" s="151">
        <v>43042</v>
      </c>
      <c r="J1653" s="152">
        <v>2.41</v>
      </c>
      <c r="K1653" s="152" t="s">
        <v>1327</v>
      </c>
      <c r="L1653" s="152" t="s">
        <v>1327</v>
      </c>
      <c r="M1653" s="152" t="s">
        <v>1327</v>
      </c>
      <c r="N1653" s="152" t="s">
        <v>1327</v>
      </c>
      <c r="O1653" s="152">
        <v>2.3886440000000002</v>
      </c>
      <c r="P1653" s="152">
        <v>40.608927999999999</v>
      </c>
      <c r="Q1653" s="152">
        <v>2.3886440000000002</v>
      </c>
      <c r="R1653" s="152" t="s">
        <v>1327</v>
      </c>
      <c r="S1653" s="152">
        <v>101.44615899999999</v>
      </c>
      <c r="T1653" s="152">
        <v>0.63517800000000002</v>
      </c>
      <c r="U1653" s="152">
        <v>1.739471</v>
      </c>
      <c r="V1653" s="152">
        <v>3.9363540000000001</v>
      </c>
      <c r="W1653" s="152">
        <v>1000</v>
      </c>
      <c r="X1653" s="152" t="s">
        <v>23</v>
      </c>
      <c r="Y1653" s="152" t="s">
        <v>1328</v>
      </c>
      <c r="Z1653" s="152" t="s">
        <v>1327</v>
      </c>
    </row>
    <row r="1654" spans="1:26" x14ac:dyDescent="0.2">
      <c r="A1654" s="152" t="s">
        <v>512</v>
      </c>
      <c r="B1654" s="152">
        <v>2.2000000000000002</v>
      </c>
      <c r="C1654" s="151">
        <v>44269</v>
      </c>
      <c r="D1654" s="152">
        <v>2.386301</v>
      </c>
      <c r="E1654" s="152" t="s">
        <v>1325</v>
      </c>
      <c r="F1654" s="152" t="s">
        <v>1326</v>
      </c>
      <c r="G1654" s="152" t="s">
        <v>47</v>
      </c>
      <c r="H1654" s="152"/>
      <c r="I1654" s="152">
        <v>43270</v>
      </c>
      <c r="J1654" s="152">
        <v>2.2799999999999998</v>
      </c>
      <c r="K1654" s="152" t="s">
        <v>1327</v>
      </c>
      <c r="L1654" s="152" t="s">
        <v>1327</v>
      </c>
      <c r="M1654" s="152" t="s">
        <v>1327</v>
      </c>
      <c r="N1654" s="152" t="s">
        <v>1327</v>
      </c>
      <c r="O1654" s="152">
        <v>2.560956</v>
      </c>
      <c r="P1654" s="152">
        <v>51.504449000000001</v>
      </c>
      <c r="Q1654" s="152">
        <v>2.560956</v>
      </c>
      <c r="R1654" s="152" t="s">
        <v>1327</v>
      </c>
      <c r="S1654" s="152">
        <v>99.178303999999997</v>
      </c>
      <c r="T1654" s="152">
        <v>0.24712300000000001</v>
      </c>
      <c r="U1654" s="152">
        <v>2.3000180000000001</v>
      </c>
      <c r="V1654" s="152">
        <v>6.5021339999999999</v>
      </c>
      <c r="W1654" s="152">
        <v>1000</v>
      </c>
      <c r="X1654" s="152" t="s">
        <v>23</v>
      </c>
      <c r="Y1654" s="152" t="s">
        <v>1328</v>
      </c>
      <c r="Z1654" s="152" t="s">
        <v>1327</v>
      </c>
    </row>
    <row r="1655" spans="1:26" x14ac:dyDescent="0.2">
      <c r="A1655" s="152" t="s">
        <v>2770</v>
      </c>
      <c r="B1655" s="152">
        <v>4.8</v>
      </c>
      <c r="C1655" s="151">
        <v>44395</v>
      </c>
      <c r="D1655" s="152">
        <v>2.7315070000000001</v>
      </c>
      <c r="E1655" s="152" t="s">
        <v>1325</v>
      </c>
      <c r="F1655" s="152" t="s">
        <v>1326</v>
      </c>
      <c r="G1655" s="152" t="s">
        <v>47</v>
      </c>
      <c r="H1655" s="152"/>
      <c r="I1655" s="151">
        <v>43245</v>
      </c>
      <c r="J1655" s="152">
        <v>2.3875000000000002</v>
      </c>
      <c r="K1655" s="152" t="s">
        <v>1327</v>
      </c>
      <c r="L1655" s="152" t="s">
        <v>1327</v>
      </c>
      <c r="M1655" s="152" t="s">
        <v>1327</v>
      </c>
      <c r="N1655" s="152" t="s">
        <v>1327</v>
      </c>
      <c r="O1655" s="152">
        <v>2.6397370000000002</v>
      </c>
      <c r="P1655" s="152">
        <v>57.403885000000002</v>
      </c>
      <c r="Q1655" s="152">
        <v>2.6397370000000002</v>
      </c>
      <c r="R1655" s="152" t="s">
        <v>1327</v>
      </c>
      <c r="S1655" s="152">
        <v>105.636229</v>
      </c>
      <c r="T1655" s="152">
        <v>1.3019179999999999</v>
      </c>
      <c r="U1655" s="152">
        <v>2.534999</v>
      </c>
      <c r="V1655" s="152">
        <v>7.9461320000000004</v>
      </c>
      <c r="W1655" s="152">
        <v>1000</v>
      </c>
      <c r="X1655" s="152" t="s">
        <v>23</v>
      </c>
      <c r="Y1655" s="152" t="s">
        <v>1328</v>
      </c>
      <c r="Z1655" s="152" t="s">
        <v>1327</v>
      </c>
    </row>
    <row r="1656" spans="1:26" x14ac:dyDescent="0.2">
      <c r="A1656" s="152" t="s">
        <v>2771</v>
      </c>
      <c r="B1656" s="152">
        <v>3.69</v>
      </c>
      <c r="C1656" s="151">
        <v>44696</v>
      </c>
      <c r="D1656" s="152">
        <v>3.5561639999999999</v>
      </c>
      <c r="E1656" s="152" t="s">
        <v>1325</v>
      </c>
      <c r="F1656" s="152" t="s">
        <v>1326</v>
      </c>
      <c r="G1656" s="152" t="s">
        <v>47</v>
      </c>
      <c r="H1656" s="152"/>
      <c r="I1656" s="151">
        <v>43090</v>
      </c>
      <c r="J1656" s="152">
        <v>2.85</v>
      </c>
      <c r="K1656" s="152" t="s">
        <v>1327</v>
      </c>
      <c r="L1656" s="152" t="s">
        <v>1327</v>
      </c>
      <c r="M1656" s="152" t="s">
        <v>1327</v>
      </c>
      <c r="N1656" s="152" t="s">
        <v>1327</v>
      </c>
      <c r="O1656" s="152">
        <v>2.9470519999999998</v>
      </c>
      <c r="P1656" s="152">
        <v>68.394028000000006</v>
      </c>
      <c r="Q1656" s="152">
        <v>2.9470519999999998</v>
      </c>
      <c r="R1656" s="152" t="s">
        <v>1327</v>
      </c>
      <c r="S1656" s="152">
        <v>102.47531600000001</v>
      </c>
      <c r="T1656" s="152">
        <v>1.6478630000000001</v>
      </c>
      <c r="U1656" s="152">
        <v>3.268777</v>
      </c>
      <c r="V1656" s="152">
        <v>12.828568000000001</v>
      </c>
      <c r="W1656" s="152">
        <v>1000</v>
      </c>
      <c r="X1656" s="152" t="s">
        <v>23</v>
      </c>
      <c r="Y1656" s="152" t="s">
        <v>1328</v>
      </c>
      <c r="Z1656" s="152" t="s">
        <v>1327</v>
      </c>
    </row>
    <row r="1657" spans="1:26" x14ac:dyDescent="0.2">
      <c r="A1657" s="152" t="s">
        <v>2772</v>
      </c>
      <c r="B1657" s="152">
        <v>4.9000000000000004</v>
      </c>
      <c r="C1657" s="151">
        <v>44830</v>
      </c>
      <c r="D1657" s="152">
        <v>3.9232879999999999</v>
      </c>
      <c r="E1657" s="152" t="s">
        <v>1325</v>
      </c>
      <c r="F1657" s="152" t="s">
        <v>1326</v>
      </c>
      <c r="G1657" s="152" t="s">
        <v>47</v>
      </c>
      <c r="H1657" s="152"/>
      <c r="I1657" s="152">
        <v>43322</v>
      </c>
      <c r="J1657" s="152">
        <v>2.835</v>
      </c>
      <c r="K1657" s="152">
        <v>41698</v>
      </c>
      <c r="L1657" s="152">
        <v>4.98665</v>
      </c>
      <c r="M1657" s="152">
        <v>5.3795109999999999</v>
      </c>
      <c r="N1657" s="152">
        <v>4.6825840000000003</v>
      </c>
      <c r="O1657" s="152">
        <v>3.049461</v>
      </c>
      <c r="P1657" s="152">
        <v>72.715311999999997</v>
      </c>
      <c r="Q1657" s="152">
        <v>3.049461</v>
      </c>
      <c r="R1657" s="152" t="s">
        <v>1327</v>
      </c>
      <c r="S1657" s="152">
        <v>106.800462</v>
      </c>
      <c r="T1657" s="152">
        <v>0.38931500000000002</v>
      </c>
      <c r="U1657" s="152">
        <v>3.555555</v>
      </c>
      <c r="V1657" s="152">
        <v>15.052331000000001</v>
      </c>
      <c r="W1657" s="152">
        <v>1000</v>
      </c>
      <c r="X1657" s="152" t="s">
        <v>23</v>
      </c>
      <c r="Y1657" s="152" t="s">
        <v>1328</v>
      </c>
      <c r="Z1657" s="152" t="s">
        <v>1327</v>
      </c>
    </row>
    <row r="1658" spans="1:26" x14ac:dyDescent="0.2">
      <c r="A1658" s="152" t="s">
        <v>2773</v>
      </c>
      <c r="B1658" s="152">
        <v>2.75</v>
      </c>
      <c r="C1658" s="151">
        <v>44999</v>
      </c>
      <c r="D1658" s="152">
        <v>4.3863009999999996</v>
      </c>
      <c r="E1658" s="152" t="s">
        <v>1325</v>
      </c>
      <c r="F1658" s="152" t="s">
        <v>1326</v>
      </c>
      <c r="G1658" s="152" t="s">
        <v>47</v>
      </c>
      <c r="H1658" s="152"/>
      <c r="I1658" s="151">
        <v>43286</v>
      </c>
      <c r="J1658" s="152">
        <v>2.94</v>
      </c>
      <c r="K1658" s="152" t="s">
        <v>1327</v>
      </c>
      <c r="L1658" s="152" t="s">
        <v>1327</v>
      </c>
      <c r="M1658" s="152" t="s">
        <v>1327</v>
      </c>
      <c r="N1658" s="152" t="s">
        <v>1327</v>
      </c>
      <c r="O1658" s="152">
        <v>3.241933</v>
      </c>
      <c r="P1658" s="152">
        <v>87.470427999999998</v>
      </c>
      <c r="Q1658" s="152">
        <v>3.241933</v>
      </c>
      <c r="R1658" s="152" t="s">
        <v>1327</v>
      </c>
      <c r="S1658" s="152">
        <v>98.014138000000003</v>
      </c>
      <c r="T1658" s="152">
        <v>0.30890400000000001</v>
      </c>
      <c r="U1658" s="152">
        <v>4.0778619999999997</v>
      </c>
      <c r="V1658" s="152">
        <v>19.244340000000001</v>
      </c>
      <c r="W1658" s="152">
        <v>1000</v>
      </c>
      <c r="X1658" s="152" t="s">
        <v>23</v>
      </c>
      <c r="Y1658" s="152" t="s">
        <v>1328</v>
      </c>
      <c r="Z1658" s="152" t="s">
        <v>1327</v>
      </c>
    </row>
    <row r="1659" spans="1:26" x14ac:dyDescent="0.2">
      <c r="A1659" s="152" t="s">
        <v>2774</v>
      </c>
      <c r="B1659" s="152">
        <v>3.35</v>
      </c>
      <c r="C1659" s="151">
        <v>45064</v>
      </c>
      <c r="D1659" s="152">
        <v>4.5643840000000004</v>
      </c>
      <c r="E1659" s="152" t="s">
        <v>1325</v>
      </c>
      <c r="F1659" s="152" t="s">
        <v>1326</v>
      </c>
      <c r="G1659" s="152" t="s">
        <v>47</v>
      </c>
      <c r="H1659" s="152"/>
      <c r="I1659" s="152">
        <v>43333</v>
      </c>
      <c r="J1659" s="152">
        <v>3.125</v>
      </c>
      <c r="K1659" s="152" t="s">
        <v>1327</v>
      </c>
      <c r="L1659" s="152" t="s">
        <v>1327</v>
      </c>
      <c r="M1659" s="152" t="s">
        <v>1327</v>
      </c>
      <c r="N1659" s="152" t="s">
        <v>1327</v>
      </c>
      <c r="O1659" s="152">
        <v>3.3385769999999999</v>
      </c>
      <c r="P1659" s="152">
        <v>95.803780000000003</v>
      </c>
      <c r="Q1659" s="152">
        <v>3.3385769999999999</v>
      </c>
      <c r="R1659" s="152" t="s">
        <v>1327</v>
      </c>
      <c r="S1659" s="152">
        <v>100.03265</v>
      </c>
      <c r="T1659" s="152">
        <v>1.468493</v>
      </c>
      <c r="U1659" s="152">
        <v>4.1418840000000001</v>
      </c>
      <c r="V1659" s="152">
        <v>20.170874999999999</v>
      </c>
      <c r="W1659" s="152">
        <v>1000</v>
      </c>
      <c r="X1659" s="152" t="s">
        <v>23</v>
      </c>
      <c r="Y1659" s="152" t="s">
        <v>1328</v>
      </c>
      <c r="Z1659" s="152" t="s">
        <v>1327</v>
      </c>
    </row>
    <row r="1660" spans="1:26" x14ac:dyDescent="0.2">
      <c r="A1660" s="152" t="s">
        <v>2775</v>
      </c>
      <c r="B1660" s="152">
        <v>4.03</v>
      </c>
      <c r="C1660" s="151">
        <v>45152</v>
      </c>
      <c r="D1660" s="152">
        <v>4.8054790000000001</v>
      </c>
      <c r="E1660" s="152" t="s">
        <v>1325</v>
      </c>
      <c r="F1660" s="152" t="s">
        <v>1326</v>
      </c>
      <c r="G1660" s="152" t="s">
        <v>47</v>
      </c>
      <c r="H1660" s="152"/>
      <c r="I1660" s="152">
        <v>43333</v>
      </c>
      <c r="J1660" s="152">
        <v>3.145</v>
      </c>
      <c r="K1660" s="152" t="s">
        <v>1327</v>
      </c>
      <c r="L1660" s="152" t="s">
        <v>1327</v>
      </c>
      <c r="M1660" s="152" t="s">
        <v>1327</v>
      </c>
      <c r="N1660" s="152" t="s">
        <v>1327</v>
      </c>
      <c r="O1660" s="152">
        <v>3.360617</v>
      </c>
      <c r="P1660" s="152">
        <v>95.980953</v>
      </c>
      <c r="Q1660" s="152">
        <v>3.360617</v>
      </c>
      <c r="R1660" s="152" t="s">
        <v>1327</v>
      </c>
      <c r="S1660" s="152">
        <v>102.927882</v>
      </c>
      <c r="T1660" s="152">
        <v>0.79495899999999997</v>
      </c>
      <c r="U1660" s="152">
        <v>4.3201280000000004</v>
      </c>
      <c r="V1660" s="152">
        <v>21.906561</v>
      </c>
      <c r="W1660" s="152">
        <v>1000</v>
      </c>
      <c r="X1660" s="152" t="s">
        <v>23</v>
      </c>
      <c r="Y1660" s="152" t="s">
        <v>1328</v>
      </c>
      <c r="Z1660" s="152" t="s">
        <v>1327</v>
      </c>
    </row>
    <row r="1661" spans="1:26" x14ac:dyDescent="0.2">
      <c r="A1661" s="152" t="s">
        <v>2776</v>
      </c>
      <c r="B1661" s="152">
        <v>3.58</v>
      </c>
      <c r="C1661" s="151">
        <v>46826</v>
      </c>
      <c r="D1661" s="152">
        <v>9.3917809999999999</v>
      </c>
      <c r="E1661" s="152" t="s">
        <v>1325</v>
      </c>
      <c r="F1661" s="152" t="s">
        <v>1326</v>
      </c>
      <c r="G1661" s="152" t="s">
        <v>47</v>
      </c>
      <c r="H1661" s="152"/>
      <c r="I1661" s="152">
        <v>43216</v>
      </c>
      <c r="J1661" s="152">
        <v>3.58</v>
      </c>
      <c r="K1661" s="152" t="s">
        <v>1327</v>
      </c>
      <c r="L1661" s="152" t="s">
        <v>1327</v>
      </c>
      <c r="M1661" s="152" t="s">
        <v>1327</v>
      </c>
      <c r="N1661" s="152" t="s">
        <v>1327</v>
      </c>
      <c r="O1661" s="152">
        <v>3.8222369999999999</v>
      </c>
      <c r="P1661" s="152">
        <v>103.208091</v>
      </c>
      <c r="Q1661" s="152">
        <v>3.8222369999999999</v>
      </c>
      <c r="R1661" s="152" t="s">
        <v>1327</v>
      </c>
      <c r="S1661" s="152">
        <v>98.116622000000007</v>
      </c>
      <c r="T1661" s="152">
        <v>0.40213700000000002</v>
      </c>
      <c r="U1661" s="152">
        <v>7.8535599999999999</v>
      </c>
      <c r="V1661" s="152">
        <v>72.123284999999996</v>
      </c>
      <c r="W1661" s="152">
        <v>1000</v>
      </c>
      <c r="X1661" s="152" t="s">
        <v>23</v>
      </c>
      <c r="Y1661" s="152" t="s">
        <v>1328</v>
      </c>
      <c r="Z1661" s="152" t="s">
        <v>1327</v>
      </c>
    </row>
    <row r="1662" spans="1:26" x14ac:dyDescent="0.2">
      <c r="A1662" s="152" t="s">
        <v>226</v>
      </c>
      <c r="B1662" s="152">
        <v>1.85</v>
      </c>
      <c r="C1662" s="151">
        <v>43433</v>
      </c>
      <c r="D1662" s="152">
        <v>9.5890000000000003E-2</v>
      </c>
      <c r="E1662" s="152" t="s">
        <v>1325</v>
      </c>
      <c r="F1662" s="152" t="s">
        <v>1326</v>
      </c>
      <c r="G1662" s="152" t="s">
        <v>47</v>
      </c>
      <c r="H1662" s="152"/>
      <c r="I1662" s="151">
        <v>43392</v>
      </c>
      <c r="J1662" s="152">
        <v>1.46</v>
      </c>
      <c r="K1662" s="152" t="s">
        <v>1327</v>
      </c>
      <c r="L1662" s="152" t="s">
        <v>1327</v>
      </c>
      <c r="M1662" s="152" t="s">
        <v>1327</v>
      </c>
      <c r="N1662" s="152" t="s">
        <v>1327</v>
      </c>
      <c r="O1662" s="152">
        <v>1.4448749999999999</v>
      </c>
      <c r="P1662" s="152">
        <v>16.252459999999999</v>
      </c>
      <c r="Q1662" s="152">
        <v>1.4448749999999999</v>
      </c>
      <c r="R1662" s="152" t="s">
        <v>1327</v>
      </c>
      <c r="S1662" s="152">
        <v>100.030563</v>
      </c>
      <c r="T1662" s="152">
        <v>0.75520500000000002</v>
      </c>
      <c r="U1662" s="152">
        <v>9.5202999999999996E-2</v>
      </c>
      <c r="V1662" s="152">
        <v>5.6322999999999998E-2</v>
      </c>
      <c r="W1662" s="152">
        <v>1000</v>
      </c>
      <c r="X1662" s="152" t="s">
        <v>23</v>
      </c>
      <c r="Y1662" s="152" t="s">
        <v>1328</v>
      </c>
      <c r="Z1662" s="152" t="s">
        <v>1327</v>
      </c>
    </row>
    <row r="1663" spans="1:26" x14ac:dyDescent="0.2">
      <c r="A1663" s="152" t="s">
        <v>2777</v>
      </c>
      <c r="B1663" s="152">
        <v>1.85</v>
      </c>
      <c r="C1663" s="151">
        <v>43486</v>
      </c>
      <c r="D1663" s="152">
        <v>0.241096</v>
      </c>
      <c r="E1663" s="152" t="s">
        <v>1325</v>
      </c>
      <c r="F1663" s="152" t="s">
        <v>1326</v>
      </c>
      <c r="G1663" s="152" t="s">
        <v>47</v>
      </c>
      <c r="H1663" s="152"/>
      <c r="I1663" s="151">
        <v>43392</v>
      </c>
      <c r="J1663" s="152">
        <v>1.82</v>
      </c>
      <c r="K1663" s="152" t="s">
        <v>1327</v>
      </c>
      <c r="L1663" s="152" t="s">
        <v>1327</v>
      </c>
      <c r="M1663" s="152" t="s">
        <v>1327</v>
      </c>
      <c r="N1663" s="152" t="s">
        <v>1327</v>
      </c>
      <c r="O1663" s="152">
        <v>1.800443</v>
      </c>
      <c r="P1663" s="152">
        <v>27.745968000000001</v>
      </c>
      <c r="Q1663" s="152">
        <v>1.800443</v>
      </c>
      <c r="R1663" s="152" t="s">
        <v>1327</v>
      </c>
      <c r="S1663" s="152">
        <v>100.003232</v>
      </c>
      <c r="T1663" s="152">
        <v>0.48657499999999998</v>
      </c>
      <c r="U1663" s="152">
        <v>0.23894499999999999</v>
      </c>
      <c r="V1663" s="152">
        <v>0.17550099999999999</v>
      </c>
      <c r="W1663" s="152">
        <v>1000</v>
      </c>
      <c r="X1663" s="152" t="s">
        <v>23</v>
      </c>
      <c r="Y1663" s="152" t="s">
        <v>1328</v>
      </c>
      <c r="Z1663" s="152" t="s">
        <v>1327</v>
      </c>
    </row>
    <row r="1664" spans="1:26" x14ac:dyDescent="0.2">
      <c r="A1664" s="152" t="s">
        <v>2778</v>
      </c>
      <c r="B1664" s="152">
        <v>1.95</v>
      </c>
      <c r="C1664" s="151">
        <v>43547</v>
      </c>
      <c r="D1664" s="152">
        <v>0.408219</v>
      </c>
      <c r="E1664" s="152" t="s">
        <v>1325</v>
      </c>
      <c r="F1664" s="152" t="s">
        <v>1326</v>
      </c>
      <c r="G1664" s="152" t="s">
        <v>47</v>
      </c>
      <c r="H1664" s="152"/>
      <c r="I1664" s="151">
        <v>43378</v>
      </c>
      <c r="J1664" s="152">
        <v>1.845</v>
      </c>
      <c r="K1664" s="152" t="s">
        <v>1327</v>
      </c>
      <c r="L1664" s="152" t="s">
        <v>1327</v>
      </c>
      <c r="M1664" s="152" t="s">
        <v>1327</v>
      </c>
      <c r="N1664" s="152" t="s">
        <v>1327</v>
      </c>
      <c r="O1664" s="152">
        <v>1.9751190000000001</v>
      </c>
      <c r="P1664" s="152">
        <v>28.655083999999999</v>
      </c>
      <c r="Q1664" s="152">
        <v>1.9751190000000001</v>
      </c>
      <c r="R1664" s="152" t="s">
        <v>1327</v>
      </c>
      <c r="S1664" s="152">
        <v>99.997133000000005</v>
      </c>
      <c r="T1664" s="152">
        <v>0.170959</v>
      </c>
      <c r="U1664" s="152">
        <v>0.404227</v>
      </c>
      <c r="V1664" s="152">
        <v>0.363537</v>
      </c>
      <c r="W1664" s="152">
        <v>1000</v>
      </c>
      <c r="X1664" s="152" t="s">
        <v>23</v>
      </c>
      <c r="Y1664" s="152" t="s">
        <v>1328</v>
      </c>
      <c r="Z1664" s="152" t="s">
        <v>1327</v>
      </c>
    </row>
    <row r="1665" spans="1:26" x14ac:dyDescent="0.2">
      <c r="A1665" s="152" t="s">
        <v>2779</v>
      </c>
      <c r="B1665" s="152">
        <v>1.85</v>
      </c>
      <c r="C1665" s="151">
        <v>43582</v>
      </c>
      <c r="D1665" s="152">
        <v>0.50410999999999995</v>
      </c>
      <c r="E1665" s="152" t="s">
        <v>1325</v>
      </c>
      <c r="F1665" s="152" t="s">
        <v>1326</v>
      </c>
      <c r="G1665" s="152" t="s">
        <v>47</v>
      </c>
      <c r="H1665" s="152"/>
      <c r="I1665" s="151">
        <v>43271</v>
      </c>
      <c r="J1665" s="152">
        <v>1.7</v>
      </c>
      <c r="K1665" s="152" t="s">
        <v>1327</v>
      </c>
      <c r="L1665" s="152" t="s">
        <v>1327</v>
      </c>
      <c r="M1665" s="152" t="s">
        <v>1327</v>
      </c>
      <c r="N1665" s="152" t="s">
        <v>1327</v>
      </c>
      <c r="O1665" s="152">
        <v>1.984478</v>
      </c>
      <c r="P1665" s="152">
        <v>25.166671999999998</v>
      </c>
      <c r="Q1665" s="152">
        <v>1.984478</v>
      </c>
      <c r="R1665" s="152" t="s">
        <v>1327</v>
      </c>
      <c r="S1665" s="152">
        <v>99.932745999999995</v>
      </c>
      <c r="T1665" s="152">
        <v>-1.0137E-2</v>
      </c>
      <c r="U1665" s="152">
        <v>0.50051299999999999</v>
      </c>
      <c r="V1665" s="152">
        <v>0.498311</v>
      </c>
      <c r="W1665" s="152">
        <v>1000</v>
      </c>
      <c r="X1665" s="152" t="s">
        <v>23</v>
      </c>
      <c r="Y1665" s="152" t="s">
        <v>1328</v>
      </c>
      <c r="Z1665" s="152" t="s">
        <v>1327</v>
      </c>
    </row>
    <row r="1666" spans="1:26" x14ac:dyDescent="0.2">
      <c r="A1666" s="152" t="s">
        <v>513</v>
      </c>
      <c r="B1666" s="152">
        <v>1.75</v>
      </c>
      <c r="C1666" s="151">
        <v>43594</v>
      </c>
      <c r="D1666" s="152">
        <v>0.53698599999999996</v>
      </c>
      <c r="E1666" s="152" t="s">
        <v>1325</v>
      </c>
      <c r="F1666" s="152" t="s">
        <v>1326</v>
      </c>
      <c r="G1666" s="152" t="s">
        <v>47</v>
      </c>
      <c r="H1666" s="152"/>
      <c r="I1666" s="151">
        <v>43256</v>
      </c>
      <c r="J1666" s="152">
        <v>1.77</v>
      </c>
      <c r="K1666" s="152" t="s">
        <v>1327</v>
      </c>
      <c r="L1666" s="152" t="s">
        <v>1327</v>
      </c>
      <c r="M1666" s="152" t="s">
        <v>1327</v>
      </c>
      <c r="N1666" s="152" t="s">
        <v>1327</v>
      </c>
      <c r="O1666" s="152">
        <v>1.988683</v>
      </c>
      <c r="P1666" s="152">
        <v>25.410374000000001</v>
      </c>
      <c r="Q1666" s="152">
        <v>1.988683</v>
      </c>
      <c r="R1666" s="152" t="s">
        <v>1327</v>
      </c>
      <c r="S1666" s="152">
        <v>99.864654000000002</v>
      </c>
      <c r="T1666" s="152">
        <v>0.81027400000000005</v>
      </c>
      <c r="U1666" s="152">
        <v>0.53146899999999997</v>
      </c>
      <c r="V1666" s="152">
        <v>0.54768799999999995</v>
      </c>
      <c r="W1666" s="152">
        <v>1000</v>
      </c>
      <c r="X1666" s="152" t="s">
        <v>23</v>
      </c>
      <c r="Y1666" s="152" t="s">
        <v>1328</v>
      </c>
      <c r="Z1666" s="152" t="s">
        <v>1327</v>
      </c>
    </row>
    <row r="1667" spans="1:26" x14ac:dyDescent="0.2">
      <c r="A1667" s="152" t="s">
        <v>2780</v>
      </c>
      <c r="B1667" s="152">
        <v>1.75</v>
      </c>
      <c r="C1667" s="151">
        <v>43651</v>
      </c>
      <c r="D1667" s="152">
        <v>0.69315099999999996</v>
      </c>
      <c r="E1667" s="152" t="s">
        <v>1325</v>
      </c>
      <c r="F1667" s="152" t="s">
        <v>1326</v>
      </c>
      <c r="G1667" s="152" t="s">
        <v>47</v>
      </c>
      <c r="H1667" s="152"/>
      <c r="I1667" s="151">
        <v>43264</v>
      </c>
      <c r="J1667" s="152">
        <v>1.7250000000000001</v>
      </c>
      <c r="K1667" s="152" t="s">
        <v>1327</v>
      </c>
      <c r="L1667" s="152" t="s">
        <v>1327</v>
      </c>
      <c r="M1667" s="152" t="s">
        <v>1327</v>
      </c>
      <c r="N1667" s="152" t="s">
        <v>1327</v>
      </c>
      <c r="O1667" s="152">
        <v>2.025388</v>
      </c>
      <c r="P1667" s="152">
        <v>25.436145</v>
      </c>
      <c r="Q1667" s="152">
        <v>2.025388</v>
      </c>
      <c r="R1667" s="152" t="s">
        <v>1327</v>
      </c>
      <c r="S1667" s="152">
        <v>99.802040000000005</v>
      </c>
      <c r="T1667" s="152">
        <v>0.53698599999999996</v>
      </c>
      <c r="U1667" s="152">
        <v>0.685971</v>
      </c>
      <c r="V1667" s="152">
        <v>0.81221200000000005</v>
      </c>
      <c r="W1667" s="152">
        <v>1000</v>
      </c>
      <c r="X1667" s="152" t="s">
        <v>23</v>
      </c>
      <c r="Y1667" s="152" t="s">
        <v>1328</v>
      </c>
      <c r="Z1667" s="152" t="s">
        <v>1327</v>
      </c>
    </row>
    <row r="1668" spans="1:26" x14ac:dyDescent="0.2">
      <c r="A1668" s="152" t="s">
        <v>227</v>
      </c>
      <c r="B1668" s="152">
        <v>1.68</v>
      </c>
      <c r="C1668" s="151">
        <v>43686</v>
      </c>
      <c r="D1668" s="152">
        <v>0.78904099999999999</v>
      </c>
      <c r="E1668" s="152" t="s">
        <v>1325</v>
      </c>
      <c r="F1668" s="152" t="s">
        <v>1326</v>
      </c>
      <c r="G1668" s="152" t="s">
        <v>47</v>
      </c>
      <c r="H1668" s="152"/>
      <c r="I1668" s="151">
        <v>43312</v>
      </c>
      <c r="J1668" s="152">
        <v>1.82</v>
      </c>
      <c r="K1668" s="152" t="s">
        <v>1327</v>
      </c>
      <c r="L1668" s="152" t="s">
        <v>1327</v>
      </c>
      <c r="M1668" s="152" t="s">
        <v>1327</v>
      </c>
      <c r="N1668" s="152" t="s">
        <v>1327</v>
      </c>
      <c r="O1668" s="152">
        <v>2.0796990000000002</v>
      </c>
      <c r="P1668" s="152">
        <v>29.980701</v>
      </c>
      <c r="Q1668" s="152">
        <v>2.0796990000000002</v>
      </c>
      <c r="R1668" s="152" t="s">
        <v>1327</v>
      </c>
      <c r="S1668" s="152">
        <v>99.679231000000001</v>
      </c>
      <c r="T1668" s="152">
        <v>0.35441099999999998</v>
      </c>
      <c r="U1668" s="152">
        <v>0.78085800000000005</v>
      </c>
      <c r="V1668" s="152">
        <v>0.99817599999999995</v>
      </c>
      <c r="W1668" s="152">
        <v>1000</v>
      </c>
      <c r="X1668" s="152" t="s">
        <v>23</v>
      </c>
      <c r="Y1668" s="152" t="s">
        <v>1328</v>
      </c>
      <c r="Z1668" s="152" t="s">
        <v>1327</v>
      </c>
    </row>
    <row r="1669" spans="1:26" x14ac:dyDescent="0.2">
      <c r="A1669" s="152" t="s">
        <v>2781</v>
      </c>
      <c r="B1669" s="152">
        <v>1.65</v>
      </c>
      <c r="C1669" s="151">
        <v>43930</v>
      </c>
      <c r="D1669" s="152">
        <v>1.4575340000000001</v>
      </c>
      <c r="E1669" s="152" t="s">
        <v>1325</v>
      </c>
      <c r="F1669" s="152" t="s">
        <v>1326</v>
      </c>
      <c r="G1669" s="152" t="s">
        <v>47</v>
      </c>
      <c r="H1669" s="152"/>
      <c r="I1669" s="151" t="s">
        <v>1327</v>
      </c>
      <c r="J1669" s="152" t="s">
        <v>1327</v>
      </c>
      <c r="K1669" s="152" t="s">
        <v>1327</v>
      </c>
      <c r="L1669" s="152" t="s">
        <v>1327</v>
      </c>
      <c r="M1669" s="152" t="s">
        <v>1327</v>
      </c>
      <c r="N1669" s="152" t="s">
        <v>1327</v>
      </c>
      <c r="O1669" s="152">
        <v>2.1137950000000001</v>
      </c>
      <c r="P1669" s="152">
        <v>20.317983000000002</v>
      </c>
      <c r="Q1669" s="152">
        <v>2.1137950000000001</v>
      </c>
      <c r="R1669" s="152" t="s">
        <v>1327</v>
      </c>
      <c r="S1669" s="152">
        <v>99.340879999999999</v>
      </c>
      <c r="T1669" s="152">
        <v>7.2329000000000004E-2</v>
      </c>
      <c r="U1669" s="152">
        <v>1.427422</v>
      </c>
      <c r="V1669" s="152">
        <v>2.7536710000000002</v>
      </c>
      <c r="W1669" s="152">
        <v>1000</v>
      </c>
      <c r="X1669" s="152" t="s">
        <v>23</v>
      </c>
      <c r="Y1669" s="152" t="s">
        <v>1328</v>
      </c>
      <c r="Z1669" s="152" t="s">
        <v>1327</v>
      </c>
    </row>
    <row r="1670" spans="1:26" x14ac:dyDescent="0.2">
      <c r="A1670" s="152" t="s">
        <v>228</v>
      </c>
      <c r="B1670" s="152">
        <v>1.75</v>
      </c>
      <c r="C1670" s="151">
        <v>43972</v>
      </c>
      <c r="D1670" s="152">
        <v>1.572603</v>
      </c>
      <c r="E1670" s="152" t="s">
        <v>1325</v>
      </c>
      <c r="F1670" s="152" t="s">
        <v>1326</v>
      </c>
      <c r="G1670" s="152" t="s">
        <v>47</v>
      </c>
      <c r="H1670" s="152"/>
      <c r="I1670" s="151" t="s">
        <v>1327</v>
      </c>
      <c r="J1670" s="152" t="s">
        <v>1327</v>
      </c>
      <c r="K1670" s="152" t="s">
        <v>1327</v>
      </c>
      <c r="L1670" s="152" t="s">
        <v>1327</v>
      </c>
      <c r="M1670" s="152" t="s">
        <v>1327</v>
      </c>
      <c r="N1670" s="152" t="s">
        <v>1327</v>
      </c>
      <c r="O1670" s="152">
        <v>2.105928</v>
      </c>
      <c r="P1670" s="152">
        <v>16.970977000000001</v>
      </c>
      <c r="Q1670" s="152">
        <v>2.105928</v>
      </c>
      <c r="R1670" s="152" t="s">
        <v>1327</v>
      </c>
      <c r="S1670" s="152">
        <v>99.444024999999996</v>
      </c>
      <c r="T1670" s="152">
        <v>0.75273999999999996</v>
      </c>
      <c r="U1670" s="152">
        <v>1.5318659999999999</v>
      </c>
      <c r="V1670" s="152">
        <v>3.1336560000000002</v>
      </c>
      <c r="W1670" s="152">
        <v>1000</v>
      </c>
      <c r="X1670" s="152" t="s">
        <v>23</v>
      </c>
      <c r="Y1670" s="152" t="s">
        <v>1328</v>
      </c>
      <c r="Z1670" s="152" t="s">
        <v>1327</v>
      </c>
    </row>
    <row r="1671" spans="1:26" x14ac:dyDescent="0.2">
      <c r="A1671" s="152" t="s">
        <v>2782</v>
      </c>
      <c r="B1671" s="152">
        <v>2.0499999999999998</v>
      </c>
      <c r="C1671" s="151">
        <v>44053</v>
      </c>
      <c r="D1671" s="152">
        <v>1.794521</v>
      </c>
      <c r="E1671" s="152" t="s">
        <v>1325</v>
      </c>
      <c r="F1671" s="152" t="s">
        <v>1326</v>
      </c>
      <c r="G1671" s="152" t="s">
        <v>47</v>
      </c>
      <c r="H1671" s="152"/>
      <c r="I1671" s="151" t="s">
        <v>1327</v>
      </c>
      <c r="J1671" s="152" t="s">
        <v>1327</v>
      </c>
      <c r="K1671" s="152" t="s">
        <v>1327</v>
      </c>
      <c r="L1671" s="152" t="s">
        <v>1327</v>
      </c>
      <c r="M1671" s="152" t="s">
        <v>1327</v>
      </c>
      <c r="N1671" s="152" t="s">
        <v>1327</v>
      </c>
      <c r="O1671" s="152">
        <v>2.2594509999999999</v>
      </c>
      <c r="P1671" s="152">
        <v>27.581672999999999</v>
      </c>
      <c r="Q1671" s="152">
        <v>2.2594509999999999</v>
      </c>
      <c r="R1671" s="152" t="s">
        <v>1327</v>
      </c>
      <c r="S1671" s="152">
        <v>99.623588999999996</v>
      </c>
      <c r="T1671" s="152">
        <v>0.42684899999999998</v>
      </c>
      <c r="U1671" s="152">
        <v>1.7458629999999999</v>
      </c>
      <c r="V1671" s="152">
        <v>3.9449809999999998</v>
      </c>
      <c r="W1671" s="152">
        <v>1000</v>
      </c>
      <c r="X1671" s="152" t="s">
        <v>23</v>
      </c>
      <c r="Y1671" s="152" t="s">
        <v>1328</v>
      </c>
      <c r="Z1671" s="152" t="s">
        <v>1327</v>
      </c>
    </row>
    <row r="1672" spans="1:26" x14ac:dyDescent="0.2">
      <c r="A1672" s="152" t="s">
        <v>2783</v>
      </c>
      <c r="B1672" s="152">
        <v>6</v>
      </c>
      <c r="C1672" s="151">
        <v>45320</v>
      </c>
      <c r="D1672" s="152">
        <v>5.2657530000000001</v>
      </c>
      <c r="E1672" s="152" t="s">
        <v>1325</v>
      </c>
      <c r="F1672" s="152" t="s">
        <v>1326</v>
      </c>
      <c r="G1672" s="152"/>
      <c r="H1672" s="152"/>
      <c r="I1672" s="151" t="s">
        <v>1327</v>
      </c>
      <c r="J1672" s="152" t="s">
        <v>1327</v>
      </c>
      <c r="K1672" s="152" t="s">
        <v>1327</v>
      </c>
      <c r="L1672" s="152" t="s">
        <v>1327</v>
      </c>
      <c r="M1672" s="152" t="s">
        <v>1327</v>
      </c>
      <c r="N1672" s="152" t="s">
        <v>1327</v>
      </c>
      <c r="O1672" s="152">
        <v>5.7229669999999997</v>
      </c>
      <c r="P1672" s="152">
        <v>338.627792</v>
      </c>
      <c r="Q1672" s="152">
        <v>5.7229669999999997</v>
      </c>
      <c r="R1672" s="152" t="s">
        <v>1327</v>
      </c>
      <c r="S1672" s="152">
        <v>101.251344</v>
      </c>
      <c r="T1672" s="152">
        <v>-6.5753000000000006E-2</v>
      </c>
      <c r="U1672" s="152">
        <v>4.4941979999999999</v>
      </c>
      <c r="V1672" s="152">
        <v>23.213923999999999</v>
      </c>
      <c r="W1672" s="152">
        <v>1000</v>
      </c>
      <c r="X1672" s="152" t="s">
        <v>23</v>
      </c>
      <c r="Y1672" s="152" t="s">
        <v>1328</v>
      </c>
      <c r="Z1672" s="152" t="s">
        <v>1327</v>
      </c>
    </row>
    <row r="1673" spans="1:26" x14ac:dyDescent="0.2">
      <c r="A1673" s="152" t="s">
        <v>2784</v>
      </c>
      <c r="B1673" s="152">
        <v>6</v>
      </c>
      <c r="C1673" s="151">
        <v>45341</v>
      </c>
      <c r="D1673" s="152">
        <v>5.3232879999999998</v>
      </c>
      <c r="E1673" s="152" t="s">
        <v>1325</v>
      </c>
      <c r="F1673" s="152" t="s">
        <v>1326</v>
      </c>
      <c r="G1673" s="152"/>
      <c r="H1673" s="152"/>
      <c r="I1673" s="151" t="s">
        <v>1327</v>
      </c>
      <c r="J1673" s="152" t="s">
        <v>1327</v>
      </c>
      <c r="K1673" s="152" t="s">
        <v>1327</v>
      </c>
      <c r="L1673" s="152" t="s">
        <v>1327</v>
      </c>
      <c r="M1673" s="152" t="s">
        <v>1327</v>
      </c>
      <c r="N1673" s="152" t="s">
        <v>1327</v>
      </c>
      <c r="O1673" s="152">
        <v>5.7762149999999997</v>
      </c>
      <c r="P1673" s="152">
        <v>343.70557000000002</v>
      </c>
      <c r="Q1673" s="152">
        <v>5.7762149999999997</v>
      </c>
      <c r="R1673" s="152" t="s">
        <v>1327</v>
      </c>
      <c r="S1673" s="152">
        <v>101.00400999999999</v>
      </c>
      <c r="T1673" s="152">
        <v>1.10137</v>
      </c>
      <c r="U1673" s="152">
        <v>4.4837239999999996</v>
      </c>
      <c r="V1673" s="152">
        <v>23.380929999999999</v>
      </c>
      <c r="W1673" s="152">
        <v>1000</v>
      </c>
      <c r="X1673" s="152" t="s">
        <v>23</v>
      </c>
      <c r="Y1673" s="152" t="s">
        <v>1328</v>
      </c>
      <c r="Z1673" s="152" t="s">
        <v>1327</v>
      </c>
    </row>
    <row r="1674" spans="1:26" x14ac:dyDescent="0.2">
      <c r="A1674" s="152" t="s">
        <v>2785</v>
      </c>
      <c r="B1674" s="152">
        <v>4.5</v>
      </c>
      <c r="C1674" s="151">
        <v>45813</v>
      </c>
      <c r="D1674" s="152">
        <v>6.6164379999999996</v>
      </c>
      <c r="E1674" s="152" t="s">
        <v>1325</v>
      </c>
      <c r="F1674" s="152" t="s">
        <v>1326</v>
      </c>
      <c r="G1674" s="152"/>
      <c r="H1674" s="152"/>
      <c r="I1674" s="151" t="s">
        <v>1327</v>
      </c>
      <c r="J1674" s="152" t="s">
        <v>1327</v>
      </c>
      <c r="K1674" s="152" t="s">
        <v>1327</v>
      </c>
      <c r="L1674" s="152" t="s">
        <v>1327</v>
      </c>
      <c r="M1674" s="152" t="s">
        <v>1327</v>
      </c>
      <c r="N1674" s="152" t="s">
        <v>1327</v>
      </c>
      <c r="O1674" s="152">
        <v>4.1005690000000001</v>
      </c>
      <c r="P1674" s="152">
        <v>154.50647900000001</v>
      </c>
      <c r="Q1674" s="152">
        <v>4.1005690000000001</v>
      </c>
      <c r="R1674" s="152" t="s">
        <v>1327</v>
      </c>
      <c r="S1674" s="152">
        <v>102.304787</v>
      </c>
      <c r="T1674" s="152">
        <v>0.61643800000000004</v>
      </c>
      <c r="U1674" s="152">
        <v>5.6754090000000001</v>
      </c>
      <c r="V1674" s="152">
        <v>36.744663000000003</v>
      </c>
      <c r="W1674" s="152">
        <v>1000</v>
      </c>
      <c r="X1674" s="152" t="s">
        <v>23</v>
      </c>
      <c r="Y1674" s="152" t="s">
        <v>1328</v>
      </c>
      <c r="Z1674" s="152" t="s">
        <v>1327</v>
      </c>
    </row>
    <row r="1675" spans="1:26" x14ac:dyDescent="0.2">
      <c r="A1675" s="152" t="s">
        <v>2786</v>
      </c>
      <c r="B1675" s="152">
        <v>4.25</v>
      </c>
      <c r="C1675" s="151">
        <v>46008</v>
      </c>
      <c r="D1675" s="152">
        <v>7.1506850000000002</v>
      </c>
      <c r="E1675" s="152" t="s">
        <v>1325</v>
      </c>
      <c r="F1675" s="152" t="s">
        <v>1326</v>
      </c>
      <c r="G1675" s="152"/>
      <c r="H1675" s="152"/>
      <c r="I1675" s="151" t="s">
        <v>1327</v>
      </c>
      <c r="J1675" s="152" t="s">
        <v>1327</v>
      </c>
      <c r="K1675" s="152" t="s">
        <v>1327</v>
      </c>
      <c r="L1675" s="152" t="s">
        <v>1327</v>
      </c>
      <c r="M1675" s="152" t="s">
        <v>1327</v>
      </c>
      <c r="N1675" s="152" t="s">
        <v>1327</v>
      </c>
      <c r="O1675" s="152">
        <v>3.8751950000000002</v>
      </c>
      <c r="P1675" s="152">
        <v>125.62706</v>
      </c>
      <c r="Q1675" s="152">
        <v>3.8751950000000002</v>
      </c>
      <c r="R1675" s="152" t="s">
        <v>1327</v>
      </c>
      <c r="S1675" s="152">
        <v>102.331157</v>
      </c>
      <c r="T1675" s="152">
        <v>0.44246600000000003</v>
      </c>
      <c r="U1675" s="152">
        <v>6.127122</v>
      </c>
      <c r="V1675" s="152">
        <v>42.724170000000001</v>
      </c>
      <c r="W1675" s="152">
        <v>1000</v>
      </c>
      <c r="X1675" s="152" t="s">
        <v>23</v>
      </c>
      <c r="Y1675" s="152" t="s">
        <v>1328</v>
      </c>
      <c r="Z1675" s="152" t="s">
        <v>1327</v>
      </c>
    </row>
    <row r="1676" spans="1:26" x14ac:dyDescent="0.2">
      <c r="A1676" s="152" t="s">
        <v>2787</v>
      </c>
      <c r="B1676" s="152">
        <v>3.875</v>
      </c>
      <c r="C1676" s="151">
        <v>46244</v>
      </c>
      <c r="D1676" s="152">
        <v>7.7972599999999996</v>
      </c>
      <c r="E1676" s="152" t="s">
        <v>1325</v>
      </c>
      <c r="F1676" s="152" t="s">
        <v>1326</v>
      </c>
      <c r="G1676" s="152"/>
      <c r="H1676" s="152"/>
      <c r="I1676" s="151" t="s">
        <v>1327</v>
      </c>
      <c r="J1676" s="152" t="s">
        <v>1327</v>
      </c>
      <c r="K1676" s="152" t="s">
        <v>1327</v>
      </c>
      <c r="L1676" s="152" t="s">
        <v>1327</v>
      </c>
      <c r="M1676" s="152" t="s">
        <v>1327</v>
      </c>
      <c r="N1676" s="152" t="s">
        <v>1327</v>
      </c>
      <c r="O1676" s="152">
        <v>3.683084</v>
      </c>
      <c r="P1676" s="152">
        <v>100.70859299999999</v>
      </c>
      <c r="Q1676" s="152">
        <v>3.683084</v>
      </c>
      <c r="R1676" s="152" t="s">
        <v>1327</v>
      </c>
      <c r="S1676" s="152">
        <v>101.286484</v>
      </c>
      <c r="T1676" s="152">
        <v>0.80684900000000004</v>
      </c>
      <c r="U1676" s="152">
        <v>6.6582359999999996</v>
      </c>
      <c r="V1676" s="152">
        <v>50.516238000000001</v>
      </c>
      <c r="W1676" s="152">
        <v>1000</v>
      </c>
      <c r="X1676" s="152" t="s">
        <v>23</v>
      </c>
      <c r="Y1676" s="152" t="s">
        <v>1328</v>
      </c>
      <c r="Z1676" s="152" t="s">
        <v>1327</v>
      </c>
    </row>
    <row r="1677" spans="1:26" x14ac:dyDescent="0.2">
      <c r="A1677" s="152" t="s">
        <v>2788</v>
      </c>
      <c r="B1677" s="152">
        <v>4</v>
      </c>
      <c r="C1677" s="151">
        <v>46441</v>
      </c>
      <c r="D1677" s="152">
        <v>8.3369859999999996</v>
      </c>
      <c r="E1677" s="152" t="s">
        <v>1325</v>
      </c>
      <c r="F1677" s="152" t="s">
        <v>1326</v>
      </c>
      <c r="G1677" s="152"/>
      <c r="H1677" s="152"/>
      <c r="I1677" s="151" t="s">
        <v>1327</v>
      </c>
      <c r="J1677" s="152" t="s">
        <v>1327</v>
      </c>
      <c r="K1677" s="151" t="s">
        <v>1327</v>
      </c>
      <c r="L1677" s="152" t="s">
        <v>1327</v>
      </c>
      <c r="M1677" s="152" t="s">
        <v>1327</v>
      </c>
      <c r="N1677" s="152" t="s">
        <v>1327</v>
      </c>
      <c r="O1677" s="152">
        <v>3.7649900000000001</v>
      </c>
      <c r="P1677" s="152">
        <v>104.334765</v>
      </c>
      <c r="Q1677" s="152">
        <v>3.7649900000000001</v>
      </c>
      <c r="R1677" s="152" t="s">
        <v>1327</v>
      </c>
      <c r="S1677" s="152">
        <v>101.664354</v>
      </c>
      <c r="T1677" s="152">
        <v>0.690411</v>
      </c>
      <c r="U1677" s="152">
        <v>7.0237689999999997</v>
      </c>
      <c r="V1677" s="152">
        <v>56.530852000000003</v>
      </c>
      <c r="W1677" s="152">
        <v>1000</v>
      </c>
      <c r="X1677" s="152" t="s">
        <v>23</v>
      </c>
      <c r="Y1677" s="152" t="s">
        <v>1328</v>
      </c>
      <c r="Z1677" s="152" t="s">
        <v>1327</v>
      </c>
    </row>
    <row r="1678" spans="1:26" x14ac:dyDescent="0.2">
      <c r="A1678" s="152" t="s">
        <v>2789</v>
      </c>
      <c r="B1678" s="152">
        <v>3.7</v>
      </c>
      <c r="C1678" s="151">
        <v>46706</v>
      </c>
      <c r="D1678" s="152">
        <v>9.0630140000000008</v>
      </c>
      <c r="E1678" s="152" t="s">
        <v>1325</v>
      </c>
      <c r="F1678" s="152" t="s">
        <v>1326</v>
      </c>
      <c r="G1678" s="152"/>
      <c r="H1678" s="152"/>
      <c r="I1678" s="151" t="s">
        <v>1327</v>
      </c>
      <c r="J1678" s="152" t="s">
        <v>1327</v>
      </c>
      <c r="K1678" s="152" t="s">
        <v>1327</v>
      </c>
      <c r="L1678" s="152" t="s">
        <v>1327</v>
      </c>
      <c r="M1678" s="152" t="s">
        <v>1327</v>
      </c>
      <c r="N1678" s="152" t="s">
        <v>1327</v>
      </c>
      <c r="O1678" s="152">
        <v>3.7736679999999998</v>
      </c>
      <c r="P1678" s="152">
        <v>99.541375000000002</v>
      </c>
      <c r="Q1678" s="152">
        <v>3.7736679999999998</v>
      </c>
      <c r="R1678" s="152" t="s">
        <v>1327</v>
      </c>
      <c r="S1678" s="152">
        <v>99.428680999999997</v>
      </c>
      <c r="T1678" s="152">
        <v>0.71972599999999998</v>
      </c>
      <c r="U1678" s="152">
        <v>7.6060619999999997</v>
      </c>
      <c r="V1678" s="152">
        <v>66.334198000000001</v>
      </c>
      <c r="W1678" s="152">
        <v>1000</v>
      </c>
      <c r="X1678" s="152" t="s">
        <v>23</v>
      </c>
      <c r="Y1678" s="152" t="s">
        <v>1328</v>
      </c>
      <c r="Z1678" s="152" t="s">
        <v>1327</v>
      </c>
    </row>
    <row r="1679" spans="1:26" x14ac:dyDescent="0.2">
      <c r="A1679" s="152" t="s">
        <v>2790</v>
      </c>
      <c r="B1679" s="152">
        <v>2.15</v>
      </c>
      <c r="C1679" s="151">
        <v>43601</v>
      </c>
      <c r="D1679" s="152">
        <v>0.55616399999999999</v>
      </c>
      <c r="E1679" s="152" t="s">
        <v>1325</v>
      </c>
      <c r="F1679" s="152" t="s">
        <v>1326</v>
      </c>
      <c r="G1679" s="152"/>
      <c r="H1679" s="152"/>
      <c r="I1679" s="151">
        <v>43371</v>
      </c>
      <c r="J1679" s="152">
        <v>2.1</v>
      </c>
      <c r="K1679" s="152" t="s">
        <v>1327</v>
      </c>
      <c r="L1679" s="152" t="s">
        <v>1327</v>
      </c>
      <c r="M1679" s="152" t="s">
        <v>1327</v>
      </c>
      <c r="N1679" s="152" t="s">
        <v>1327</v>
      </c>
      <c r="O1679" s="152">
        <v>2.219144</v>
      </c>
      <c r="P1679" s="152">
        <v>48.229833999999997</v>
      </c>
      <c r="Q1679" s="152">
        <v>2.219144</v>
      </c>
      <c r="R1679" s="152" t="s">
        <v>1327</v>
      </c>
      <c r="S1679" s="152">
        <v>99.952245000000005</v>
      </c>
      <c r="T1679" s="152">
        <v>0.95424699999999996</v>
      </c>
      <c r="U1679" s="152">
        <v>0.54886400000000002</v>
      </c>
      <c r="V1679" s="152">
        <v>0.57524699999999995</v>
      </c>
      <c r="W1679" s="152">
        <v>1000</v>
      </c>
      <c r="X1679" s="152" t="s">
        <v>23</v>
      </c>
      <c r="Y1679" s="152" t="s">
        <v>1328</v>
      </c>
      <c r="Z1679" s="152" t="s">
        <v>1327</v>
      </c>
    </row>
    <row r="1680" spans="1:26" x14ac:dyDescent="0.2">
      <c r="A1680" s="152" t="s">
        <v>2791</v>
      </c>
      <c r="B1680" s="152">
        <v>2.36</v>
      </c>
      <c r="C1680" s="151">
        <v>43666</v>
      </c>
      <c r="D1680" s="152">
        <v>0.73424699999999998</v>
      </c>
      <c r="E1680" s="152" t="s">
        <v>1325</v>
      </c>
      <c r="F1680" s="152" t="s">
        <v>1326</v>
      </c>
      <c r="G1680" s="152"/>
      <c r="H1680" s="152"/>
      <c r="I1680" s="151" t="s">
        <v>1327</v>
      </c>
      <c r="J1680" s="152" t="s">
        <v>1327</v>
      </c>
      <c r="K1680" s="152" t="s">
        <v>1327</v>
      </c>
      <c r="L1680" s="152" t="s">
        <v>1327</v>
      </c>
      <c r="M1680" s="152" t="s">
        <v>1327</v>
      </c>
      <c r="N1680" s="152" t="s">
        <v>1327</v>
      </c>
      <c r="O1680" s="152">
        <v>2.2299039999999999</v>
      </c>
      <c r="P1680" s="152">
        <v>45.753554000000001</v>
      </c>
      <c r="Q1680" s="152">
        <v>2.2299039999999999</v>
      </c>
      <c r="R1680" s="152" t="s">
        <v>1327</v>
      </c>
      <c r="S1680" s="152">
        <v>100.083417</v>
      </c>
      <c r="T1680" s="152">
        <v>0.62717800000000001</v>
      </c>
      <c r="U1680" s="152">
        <v>0.72445099999999996</v>
      </c>
      <c r="V1680" s="152">
        <v>0.88587800000000005</v>
      </c>
      <c r="W1680" s="152">
        <v>1000</v>
      </c>
      <c r="X1680" s="152" t="s">
        <v>23</v>
      </c>
      <c r="Y1680" s="152" t="s">
        <v>1328</v>
      </c>
      <c r="Z1680" s="152" t="s">
        <v>1327</v>
      </c>
    </row>
    <row r="1681" spans="1:26" x14ac:dyDescent="0.2">
      <c r="A1681" s="152" t="s">
        <v>2792</v>
      </c>
      <c r="B1681" s="152">
        <v>2.41</v>
      </c>
      <c r="C1681" s="151">
        <v>43709</v>
      </c>
      <c r="D1681" s="152">
        <v>0.85205500000000001</v>
      </c>
      <c r="E1681" s="152" t="s">
        <v>1325</v>
      </c>
      <c r="F1681" s="152" t="s">
        <v>1326</v>
      </c>
      <c r="G1681" s="152"/>
      <c r="H1681" s="152"/>
      <c r="I1681" s="151" t="s">
        <v>1327</v>
      </c>
      <c r="J1681" s="152" t="s">
        <v>1327</v>
      </c>
      <c r="K1681" s="152" t="s">
        <v>1327</v>
      </c>
      <c r="L1681" s="152" t="s">
        <v>1327</v>
      </c>
      <c r="M1681" s="152" t="s">
        <v>1327</v>
      </c>
      <c r="N1681" s="152" t="s">
        <v>1327</v>
      </c>
      <c r="O1681" s="152">
        <v>2.2685070000000001</v>
      </c>
      <c r="P1681" s="152">
        <v>46.570766999999996</v>
      </c>
      <c r="Q1681" s="152">
        <v>2.2685070000000001</v>
      </c>
      <c r="R1681" s="152" t="s">
        <v>1327</v>
      </c>
      <c r="S1681" s="152">
        <v>100.126636</v>
      </c>
      <c r="T1681" s="152">
        <v>0.35654799999999998</v>
      </c>
      <c r="U1681" s="152">
        <v>0.83255299999999999</v>
      </c>
      <c r="V1681" s="152">
        <v>1.107626</v>
      </c>
      <c r="W1681" s="152">
        <v>1000</v>
      </c>
      <c r="X1681" s="152" t="s">
        <v>23</v>
      </c>
      <c r="Y1681" s="152" t="s">
        <v>1328</v>
      </c>
      <c r="Z1681" s="152" t="s">
        <v>1327</v>
      </c>
    </row>
    <row r="1682" spans="1:26" x14ac:dyDescent="0.2">
      <c r="A1682" s="152" t="s">
        <v>2793</v>
      </c>
      <c r="B1682" s="152">
        <v>2</v>
      </c>
      <c r="C1682" s="151">
        <v>43729</v>
      </c>
      <c r="D1682" s="152">
        <v>0.90684900000000002</v>
      </c>
      <c r="E1682" s="152" t="s">
        <v>1325</v>
      </c>
      <c r="F1682" s="152" t="s">
        <v>1326</v>
      </c>
      <c r="G1682" s="152"/>
      <c r="H1682" s="152"/>
      <c r="I1682" s="151" t="s">
        <v>1327</v>
      </c>
      <c r="J1682" s="152" t="s">
        <v>1327</v>
      </c>
      <c r="K1682" s="152" t="s">
        <v>1327</v>
      </c>
      <c r="L1682" s="152" t="s">
        <v>1327</v>
      </c>
      <c r="M1682" s="152" t="s">
        <v>1327</v>
      </c>
      <c r="N1682" s="152" t="s">
        <v>1327</v>
      </c>
      <c r="O1682" s="152">
        <v>2.1205449999999999</v>
      </c>
      <c r="P1682" s="152">
        <v>31.471603999999999</v>
      </c>
      <c r="Q1682" s="152">
        <v>2.1205449999999999</v>
      </c>
      <c r="R1682" s="152" t="s">
        <v>1327</v>
      </c>
      <c r="S1682" s="152">
        <v>99.900170000000003</v>
      </c>
      <c r="T1682" s="152">
        <v>0.18630099999999999</v>
      </c>
      <c r="U1682" s="152">
        <v>0.88836700000000002</v>
      </c>
      <c r="V1682" s="152">
        <v>1.2311209999999999</v>
      </c>
      <c r="W1682" s="152">
        <v>1000</v>
      </c>
      <c r="X1682" s="152" t="s">
        <v>23</v>
      </c>
      <c r="Y1682" s="152" t="s">
        <v>1328</v>
      </c>
      <c r="Z1682" s="152" t="s">
        <v>1327</v>
      </c>
    </row>
    <row r="1683" spans="1:26" x14ac:dyDescent="0.2">
      <c r="A1683" s="152" t="s">
        <v>2794</v>
      </c>
      <c r="B1683" s="152">
        <v>2.48</v>
      </c>
      <c r="C1683" s="151">
        <v>43776</v>
      </c>
      <c r="D1683" s="152">
        <v>1.0356160000000001</v>
      </c>
      <c r="E1683" s="152" t="s">
        <v>1325</v>
      </c>
      <c r="F1683" s="152" t="s">
        <v>1326</v>
      </c>
      <c r="G1683" s="152"/>
      <c r="H1683" s="152"/>
      <c r="I1683" s="151" t="s">
        <v>1327</v>
      </c>
      <c r="J1683" s="152" t="s">
        <v>1327</v>
      </c>
      <c r="K1683" s="152" t="s">
        <v>1327</v>
      </c>
      <c r="L1683" s="152" t="s">
        <v>1327</v>
      </c>
      <c r="M1683" s="152" t="s">
        <v>1327</v>
      </c>
      <c r="N1683" s="152" t="s">
        <v>1327</v>
      </c>
      <c r="O1683" s="152">
        <v>2.3025630000000001</v>
      </c>
      <c r="P1683" s="152">
        <v>49.744101000000001</v>
      </c>
      <c r="Q1683" s="152">
        <v>2.3025630000000001</v>
      </c>
      <c r="R1683" s="152" t="s">
        <v>1327</v>
      </c>
      <c r="S1683" s="152">
        <v>100.181099</v>
      </c>
      <c r="T1683" s="152">
        <v>-8.8329000000000005E-2</v>
      </c>
      <c r="U1683" s="152">
        <v>1.0177799999999999</v>
      </c>
      <c r="V1683" s="152">
        <v>1.541928</v>
      </c>
      <c r="W1683" s="152">
        <v>1000</v>
      </c>
      <c r="X1683" s="152" t="s">
        <v>23</v>
      </c>
      <c r="Y1683" s="152" t="s">
        <v>1328</v>
      </c>
      <c r="Z1683" s="152" t="s">
        <v>1327</v>
      </c>
    </row>
    <row r="1684" spans="1:26" x14ac:dyDescent="0.2">
      <c r="A1684" s="152" t="s">
        <v>2795</v>
      </c>
      <c r="B1684" s="152">
        <v>2.83</v>
      </c>
      <c r="C1684" s="151">
        <v>43889</v>
      </c>
      <c r="D1684" s="152">
        <v>1.345205</v>
      </c>
      <c r="E1684" s="152" t="s">
        <v>1325</v>
      </c>
      <c r="F1684" s="152" t="s">
        <v>1326</v>
      </c>
      <c r="G1684" s="152"/>
      <c r="H1684" s="152"/>
      <c r="I1684" s="151">
        <v>43347</v>
      </c>
      <c r="J1684" s="152">
        <v>2.23</v>
      </c>
      <c r="K1684" s="152" t="s">
        <v>1327</v>
      </c>
      <c r="L1684" s="152" t="s">
        <v>1327</v>
      </c>
      <c r="M1684" s="152" t="s">
        <v>1327</v>
      </c>
      <c r="N1684" s="152" t="s">
        <v>1327</v>
      </c>
      <c r="O1684" s="152">
        <v>2.3626900000000002</v>
      </c>
      <c r="P1684" s="152">
        <v>49.127800000000001</v>
      </c>
      <c r="Q1684" s="152">
        <v>2.3626900000000002</v>
      </c>
      <c r="R1684" s="152" t="s">
        <v>1327</v>
      </c>
      <c r="S1684" s="152">
        <v>100.601769</v>
      </c>
      <c r="T1684" s="152">
        <v>0.44969900000000002</v>
      </c>
      <c r="U1684" s="152">
        <v>1.308988</v>
      </c>
      <c r="V1684" s="152">
        <v>2.3768020000000001</v>
      </c>
      <c r="W1684" s="152">
        <v>1000</v>
      </c>
      <c r="X1684" s="152" t="s">
        <v>23</v>
      </c>
      <c r="Y1684" s="152" t="s">
        <v>1328</v>
      </c>
      <c r="Z1684" s="152" t="s">
        <v>1327</v>
      </c>
    </row>
    <row r="1685" spans="1:26" x14ac:dyDescent="0.2">
      <c r="A1685" s="152" t="s">
        <v>2796</v>
      </c>
      <c r="B1685" s="152">
        <v>2.56</v>
      </c>
      <c r="C1685" s="151">
        <v>44061</v>
      </c>
      <c r="D1685" s="152">
        <v>1.816438</v>
      </c>
      <c r="E1685" s="152" t="s">
        <v>1325</v>
      </c>
      <c r="F1685" s="152" t="s">
        <v>1326</v>
      </c>
      <c r="G1685" s="152"/>
      <c r="H1685" s="152"/>
      <c r="I1685" s="151">
        <v>43117</v>
      </c>
      <c r="J1685" s="152">
        <v>2.17</v>
      </c>
      <c r="K1685" s="152" t="s">
        <v>1327</v>
      </c>
      <c r="L1685" s="152" t="s">
        <v>1327</v>
      </c>
      <c r="M1685" s="152" t="s">
        <v>1327</v>
      </c>
      <c r="N1685" s="152" t="s">
        <v>1327</v>
      </c>
      <c r="O1685" s="152">
        <v>2.6510950000000002</v>
      </c>
      <c r="P1685" s="152">
        <v>66.938839000000002</v>
      </c>
      <c r="Q1685" s="152">
        <v>2.6510950000000002</v>
      </c>
      <c r="R1685" s="152" t="s">
        <v>1327</v>
      </c>
      <c r="S1685" s="152">
        <v>99.826898999999997</v>
      </c>
      <c r="T1685" s="152">
        <v>0.47693200000000002</v>
      </c>
      <c r="U1685" s="152">
        <v>1.756885</v>
      </c>
      <c r="V1685" s="152">
        <v>3.995117</v>
      </c>
      <c r="W1685" s="152">
        <v>1000</v>
      </c>
      <c r="X1685" s="152" t="s">
        <v>23</v>
      </c>
      <c r="Y1685" s="152" t="s">
        <v>1328</v>
      </c>
      <c r="Z1685" s="152" t="s">
        <v>1327</v>
      </c>
    </row>
    <row r="1686" spans="1:26" x14ac:dyDescent="0.2">
      <c r="A1686" s="152" t="s">
        <v>2797</v>
      </c>
      <c r="B1686" s="152">
        <v>2.27</v>
      </c>
      <c r="C1686" s="151">
        <v>44250</v>
      </c>
      <c r="D1686" s="152">
        <v>2.334247</v>
      </c>
      <c r="E1686" s="152" t="s">
        <v>1325</v>
      </c>
      <c r="F1686" s="152" t="s">
        <v>1326</v>
      </c>
      <c r="G1686" s="152"/>
      <c r="H1686" s="152"/>
      <c r="I1686" s="151" t="s">
        <v>1327</v>
      </c>
      <c r="J1686" s="152" t="s">
        <v>1327</v>
      </c>
      <c r="K1686" s="152" t="s">
        <v>1327</v>
      </c>
      <c r="L1686" s="152" t="s">
        <v>1327</v>
      </c>
      <c r="M1686" s="152" t="s">
        <v>1327</v>
      </c>
      <c r="N1686" s="152" t="s">
        <v>1327</v>
      </c>
      <c r="O1686" s="152">
        <v>2.7401040000000001</v>
      </c>
      <c r="P1686" s="152">
        <v>70.028384000000003</v>
      </c>
      <c r="Q1686" s="152">
        <v>2.7401040000000001</v>
      </c>
      <c r="R1686" s="152" t="s">
        <v>1327</v>
      </c>
      <c r="S1686" s="152">
        <v>98.934155000000004</v>
      </c>
      <c r="T1686" s="152">
        <v>0.39180799999999999</v>
      </c>
      <c r="U1686" s="152">
        <v>2.2448890000000001</v>
      </c>
      <c r="V1686" s="152">
        <v>6.2256749999999998</v>
      </c>
      <c r="W1686" s="152">
        <v>1000</v>
      </c>
      <c r="X1686" s="152" t="s">
        <v>23</v>
      </c>
      <c r="Y1686" s="152" t="s">
        <v>1328</v>
      </c>
      <c r="Z1686" s="152" t="s">
        <v>1327</v>
      </c>
    </row>
    <row r="1687" spans="1:26" x14ac:dyDescent="0.2">
      <c r="A1687" s="152" t="s">
        <v>2798</v>
      </c>
      <c r="B1687" s="152">
        <v>2.64</v>
      </c>
      <c r="C1687" s="151">
        <v>44425</v>
      </c>
      <c r="D1687" s="152">
        <v>2.8136990000000002</v>
      </c>
      <c r="E1687" s="152" t="s">
        <v>1325</v>
      </c>
      <c r="F1687" s="152" t="s">
        <v>1326</v>
      </c>
      <c r="G1687" s="152"/>
      <c r="H1687" s="152"/>
      <c r="I1687" s="151" t="s">
        <v>1327</v>
      </c>
      <c r="J1687" s="152" t="s">
        <v>1327</v>
      </c>
      <c r="K1687" s="152" t="s">
        <v>1327</v>
      </c>
      <c r="L1687" s="152" t="s">
        <v>1327</v>
      </c>
      <c r="M1687" s="152" t="s">
        <v>1327</v>
      </c>
      <c r="N1687" s="152" t="s">
        <v>1327</v>
      </c>
      <c r="O1687" s="152">
        <v>2.7653840000000001</v>
      </c>
      <c r="P1687" s="152">
        <v>69.544207999999998</v>
      </c>
      <c r="Q1687" s="152">
        <v>2.7653840000000001</v>
      </c>
      <c r="R1687" s="152" t="s">
        <v>1327</v>
      </c>
      <c r="S1687" s="152">
        <v>99.661586</v>
      </c>
      <c r="T1687" s="152">
        <v>0.36164400000000002</v>
      </c>
      <c r="U1687" s="152">
        <v>2.6917909999999998</v>
      </c>
      <c r="V1687" s="152">
        <v>8.0959819999999993</v>
      </c>
      <c r="W1687" s="152">
        <v>1000</v>
      </c>
      <c r="X1687" s="152" t="s">
        <v>23</v>
      </c>
      <c r="Y1687" s="152" t="s">
        <v>1328</v>
      </c>
      <c r="Z1687" s="152" t="s">
        <v>1327</v>
      </c>
    </row>
    <row r="1688" spans="1:26" x14ac:dyDescent="0.2">
      <c r="A1688" s="152" t="s">
        <v>2799</v>
      </c>
      <c r="B1688" s="152">
        <v>1.93</v>
      </c>
      <c r="C1688" s="151">
        <v>43524</v>
      </c>
      <c r="D1688" s="152">
        <v>0.34520499999999998</v>
      </c>
      <c r="E1688" s="152" t="s">
        <v>1325</v>
      </c>
      <c r="F1688" s="152" t="s">
        <v>1326</v>
      </c>
      <c r="G1688" s="152" t="s">
        <v>302</v>
      </c>
      <c r="H1688" s="152"/>
      <c r="I1688" s="151">
        <v>43395</v>
      </c>
      <c r="J1688" s="152">
        <v>1.7949999999999999</v>
      </c>
      <c r="K1688" s="152" t="s">
        <v>1327</v>
      </c>
      <c r="L1688" s="152" t="s">
        <v>1327</v>
      </c>
      <c r="M1688" s="152" t="s">
        <v>1327</v>
      </c>
      <c r="N1688" s="152" t="s">
        <v>1327</v>
      </c>
      <c r="O1688" s="152">
        <v>1.78884</v>
      </c>
      <c r="P1688" s="152">
        <v>14.782524</v>
      </c>
      <c r="Q1688" s="152">
        <v>1.78884</v>
      </c>
      <c r="R1688" s="152" t="s">
        <v>1327</v>
      </c>
      <c r="S1688" s="152">
        <v>100.03996100000001</v>
      </c>
      <c r="T1688" s="152">
        <v>0.47060299999999999</v>
      </c>
      <c r="U1688" s="152">
        <v>0.34134100000000001</v>
      </c>
      <c r="V1688" s="152">
        <v>0.28573799999999999</v>
      </c>
      <c r="W1688" s="152">
        <v>1000</v>
      </c>
      <c r="X1688" s="152" t="s">
        <v>23</v>
      </c>
      <c r="Y1688" s="152" t="s">
        <v>1328</v>
      </c>
      <c r="Z1688" s="152" t="s">
        <v>1327</v>
      </c>
    </row>
    <row r="1689" spans="1:26" x14ac:dyDescent="0.2">
      <c r="A1689" s="152" t="s">
        <v>2800</v>
      </c>
      <c r="B1689" s="152">
        <v>1.96</v>
      </c>
      <c r="C1689" s="151">
        <v>43585</v>
      </c>
      <c r="D1689" s="152">
        <v>0.51232900000000003</v>
      </c>
      <c r="E1689" s="152" t="s">
        <v>1325</v>
      </c>
      <c r="F1689" s="152" t="s">
        <v>1326</v>
      </c>
      <c r="G1689" s="152" t="s">
        <v>302</v>
      </c>
      <c r="H1689" s="152"/>
      <c r="I1689" s="152">
        <v>43385</v>
      </c>
      <c r="J1689" s="152">
        <v>1.97</v>
      </c>
      <c r="K1689" s="152" t="s">
        <v>1327</v>
      </c>
      <c r="L1689" s="152" t="s">
        <v>1327</v>
      </c>
      <c r="M1689" s="152" t="s">
        <v>1327</v>
      </c>
      <c r="N1689" s="152" t="s">
        <v>1327</v>
      </c>
      <c r="O1689" s="152">
        <v>1.9483490000000001</v>
      </c>
      <c r="P1689" s="152">
        <v>20.713815</v>
      </c>
      <c r="Q1689" s="152">
        <v>1.9483490000000001</v>
      </c>
      <c r="R1689" s="152" t="s">
        <v>1327</v>
      </c>
      <c r="S1689" s="152">
        <v>100.008627</v>
      </c>
      <c r="T1689" s="152">
        <v>0.30071199999999998</v>
      </c>
      <c r="U1689" s="152">
        <v>0.50578000000000001</v>
      </c>
      <c r="V1689" s="152">
        <v>0.50652600000000003</v>
      </c>
      <c r="W1689" s="152">
        <v>1000</v>
      </c>
      <c r="X1689" s="152" t="s">
        <v>23</v>
      </c>
      <c r="Y1689" s="152" t="s">
        <v>1328</v>
      </c>
      <c r="Z1689" s="152" t="s">
        <v>1327</v>
      </c>
    </row>
    <row r="1690" spans="1:26" x14ac:dyDescent="0.2">
      <c r="A1690" s="152" t="s">
        <v>805</v>
      </c>
      <c r="B1690" s="152">
        <v>3.85</v>
      </c>
      <c r="C1690" s="151">
        <v>43699</v>
      </c>
      <c r="D1690" s="152">
        <v>0.824658</v>
      </c>
      <c r="E1690" s="152" t="s">
        <v>1325</v>
      </c>
      <c r="F1690" s="152" t="s">
        <v>1326</v>
      </c>
      <c r="G1690" s="152" t="s">
        <v>302</v>
      </c>
      <c r="H1690" s="152"/>
      <c r="I1690" s="152">
        <v>43341</v>
      </c>
      <c r="J1690" s="152">
        <v>1.738</v>
      </c>
      <c r="K1690" s="152">
        <v>42307</v>
      </c>
      <c r="L1690" s="152">
        <v>2.29</v>
      </c>
      <c r="M1690" s="152">
        <v>3.1809400000000001</v>
      </c>
      <c r="N1690" s="152">
        <v>2.2799999999999998</v>
      </c>
      <c r="O1690" s="152">
        <v>2.0784099999999999</v>
      </c>
      <c r="P1690" s="152">
        <v>29.681176000000001</v>
      </c>
      <c r="Q1690" s="152">
        <v>2.0784099999999999</v>
      </c>
      <c r="R1690" s="152" t="s">
        <v>1327</v>
      </c>
      <c r="S1690" s="152">
        <v>101.430154</v>
      </c>
      <c r="T1690" s="152">
        <v>0.675068</v>
      </c>
      <c r="U1690" s="152">
        <v>0.81097699999999995</v>
      </c>
      <c r="V1690" s="152">
        <v>1.063501</v>
      </c>
      <c r="W1690" s="152">
        <v>1000</v>
      </c>
      <c r="X1690" s="152" t="s">
        <v>23</v>
      </c>
      <c r="Y1690" s="152" t="s">
        <v>1328</v>
      </c>
      <c r="Z1690" s="152" t="s">
        <v>1327</v>
      </c>
    </row>
    <row r="1691" spans="1:26" x14ac:dyDescent="0.2">
      <c r="A1691" s="152" t="s">
        <v>2801</v>
      </c>
      <c r="B1691" s="152">
        <v>1.88</v>
      </c>
      <c r="C1691" s="151">
        <v>43796</v>
      </c>
      <c r="D1691" s="152">
        <v>1.090411</v>
      </c>
      <c r="E1691" s="152" t="s">
        <v>1325</v>
      </c>
      <c r="F1691" s="152" t="s">
        <v>1326</v>
      </c>
      <c r="G1691" s="152" t="s">
        <v>302</v>
      </c>
      <c r="H1691" s="152"/>
      <c r="I1691" s="152">
        <v>43375</v>
      </c>
      <c r="J1691" s="152">
        <v>2.11</v>
      </c>
      <c r="K1691" s="152" t="s">
        <v>1327</v>
      </c>
      <c r="L1691" s="152" t="s">
        <v>1327</v>
      </c>
      <c r="M1691" s="152" t="s">
        <v>1327</v>
      </c>
      <c r="N1691" s="152" t="s">
        <v>1327</v>
      </c>
      <c r="O1691" s="152">
        <v>2.119542</v>
      </c>
      <c r="P1691" s="152">
        <v>30.432858</v>
      </c>
      <c r="Q1691" s="152">
        <v>2.119542</v>
      </c>
      <c r="R1691" s="152" t="s">
        <v>1327</v>
      </c>
      <c r="S1691" s="152">
        <v>99.734679</v>
      </c>
      <c r="T1691" s="152">
        <v>0.77775300000000003</v>
      </c>
      <c r="U1691" s="152">
        <v>1.06517</v>
      </c>
      <c r="V1691" s="152">
        <v>1.6727970000000001</v>
      </c>
      <c r="W1691" s="152">
        <v>1000</v>
      </c>
      <c r="X1691" s="152" t="s">
        <v>23</v>
      </c>
      <c r="Y1691" s="152" t="s">
        <v>1328</v>
      </c>
      <c r="Z1691" s="152" t="s">
        <v>1327</v>
      </c>
    </row>
    <row r="1692" spans="1:26" x14ac:dyDescent="0.2">
      <c r="A1692" s="152" t="s">
        <v>2802</v>
      </c>
      <c r="B1692" s="152">
        <v>2.12</v>
      </c>
      <c r="C1692" s="151">
        <v>43788</v>
      </c>
      <c r="D1692" s="152">
        <v>1.0684929999999999</v>
      </c>
      <c r="E1692" s="152" t="s">
        <v>1325</v>
      </c>
      <c r="F1692" s="152" t="s">
        <v>1326</v>
      </c>
      <c r="G1692" s="152" t="s">
        <v>302</v>
      </c>
      <c r="H1692" s="152"/>
      <c r="I1692" s="152" t="s">
        <v>1327</v>
      </c>
      <c r="J1692" s="152" t="s">
        <v>1327</v>
      </c>
      <c r="K1692" s="152" t="s">
        <v>1327</v>
      </c>
      <c r="L1692" s="152" t="s">
        <v>1327</v>
      </c>
      <c r="M1692" s="152" t="s">
        <v>1327</v>
      </c>
      <c r="N1692" s="152" t="s">
        <v>1327</v>
      </c>
      <c r="O1692" s="152">
        <v>2.1245500000000002</v>
      </c>
      <c r="P1692" s="152">
        <v>31.261510000000001</v>
      </c>
      <c r="Q1692" s="152">
        <v>2.1245500000000002</v>
      </c>
      <c r="R1692" s="152" t="s">
        <v>1327</v>
      </c>
      <c r="S1692" s="152">
        <v>99.99682</v>
      </c>
      <c r="T1692" s="152">
        <v>3.4848999999999998E-2</v>
      </c>
      <c r="U1692" s="152">
        <v>1.051177</v>
      </c>
      <c r="V1692" s="152">
        <v>1.62853</v>
      </c>
      <c r="W1692" s="152">
        <v>1000</v>
      </c>
      <c r="X1692" s="152" t="s">
        <v>23</v>
      </c>
      <c r="Y1692" s="152" t="s">
        <v>1328</v>
      </c>
      <c r="Z1692" s="152" t="s">
        <v>1327</v>
      </c>
    </row>
    <row r="1693" spans="1:26" x14ac:dyDescent="0.2">
      <c r="A1693" s="152" t="s">
        <v>564</v>
      </c>
      <c r="B1693" s="152">
        <v>1.85</v>
      </c>
      <c r="C1693" s="151">
        <v>43848</v>
      </c>
      <c r="D1693" s="152">
        <v>1.232877</v>
      </c>
      <c r="E1693" s="152" t="s">
        <v>1325</v>
      </c>
      <c r="F1693" s="152" t="s">
        <v>1326</v>
      </c>
      <c r="G1693" s="152" t="s">
        <v>302</v>
      </c>
      <c r="H1693" s="152"/>
      <c r="I1693" s="152">
        <v>43395</v>
      </c>
      <c r="J1693" s="152">
        <v>2.145</v>
      </c>
      <c r="K1693" s="152" t="s">
        <v>1327</v>
      </c>
      <c r="L1693" s="152" t="s">
        <v>1327</v>
      </c>
      <c r="M1693" s="152" t="s">
        <v>1327</v>
      </c>
      <c r="N1693" s="152" t="s">
        <v>1327</v>
      </c>
      <c r="O1693" s="152">
        <v>2.144536</v>
      </c>
      <c r="P1693" s="152">
        <v>30.677554000000001</v>
      </c>
      <c r="Q1693" s="152">
        <v>2.144536</v>
      </c>
      <c r="R1693" s="152" t="s">
        <v>1327</v>
      </c>
      <c r="S1693" s="152">
        <v>99.634248999999997</v>
      </c>
      <c r="T1693" s="152">
        <v>0.34465800000000002</v>
      </c>
      <c r="U1693" s="152">
        <v>1.211735</v>
      </c>
      <c r="V1693" s="152">
        <v>2.0767600000000002</v>
      </c>
      <c r="W1693" s="152">
        <v>1000</v>
      </c>
      <c r="X1693" s="152" t="s">
        <v>23</v>
      </c>
      <c r="Y1693" s="152" t="s">
        <v>1328</v>
      </c>
      <c r="Z1693" s="152" t="s">
        <v>1327</v>
      </c>
    </row>
    <row r="1694" spans="1:26" x14ac:dyDescent="0.2">
      <c r="A1694" s="152" t="s">
        <v>634</v>
      </c>
      <c r="B1694" s="152">
        <v>2.14</v>
      </c>
      <c r="C1694" s="151">
        <v>43889</v>
      </c>
      <c r="D1694" s="152">
        <v>1.345205</v>
      </c>
      <c r="E1694" s="152" t="s">
        <v>1325</v>
      </c>
      <c r="F1694" s="152" t="s">
        <v>1326</v>
      </c>
      <c r="G1694" s="152" t="s">
        <v>302</v>
      </c>
      <c r="H1694" s="152"/>
      <c r="I1694" s="152">
        <v>43397</v>
      </c>
      <c r="J1694" s="152">
        <v>2.2000000000000002</v>
      </c>
      <c r="K1694" s="152" t="s">
        <v>1327</v>
      </c>
      <c r="L1694" s="152" t="s">
        <v>1327</v>
      </c>
      <c r="M1694" s="152" t="s">
        <v>1327</v>
      </c>
      <c r="N1694" s="152" t="s">
        <v>1327</v>
      </c>
      <c r="O1694" s="152">
        <v>2.2000000000000002</v>
      </c>
      <c r="P1694" s="152">
        <v>32.655462</v>
      </c>
      <c r="Q1694" s="152">
        <v>2.2000000000000002</v>
      </c>
      <c r="R1694" s="152" t="s">
        <v>1327</v>
      </c>
      <c r="S1694" s="152">
        <v>99.911444000000003</v>
      </c>
      <c r="T1694" s="152">
        <v>0.52180800000000005</v>
      </c>
      <c r="U1694" s="152">
        <v>1.312268</v>
      </c>
      <c r="V1694" s="152">
        <v>2.3864879999999999</v>
      </c>
      <c r="W1694" s="152">
        <v>1000</v>
      </c>
      <c r="X1694" s="152" t="s">
        <v>23</v>
      </c>
      <c r="Y1694" s="152" t="s">
        <v>1328</v>
      </c>
      <c r="Z1694" s="152" t="s">
        <v>1327</v>
      </c>
    </row>
    <row r="1695" spans="1:26" x14ac:dyDescent="0.2">
      <c r="A1695" s="152" t="s">
        <v>2803</v>
      </c>
      <c r="B1695" s="152">
        <v>2.1800000000000002</v>
      </c>
      <c r="C1695" s="151">
        <v>43951</v>
      </c>
      <c r="D1695" s="152">
        <v>1.5150680000000001</v>
      </c>
      <c r="E1695" s="152" t="s">
        <v>1325</v>
      </c>
      <c r="F1695" s="152" t="s">
        <v>1326</v>
      </c>
      <c r="G1695" s="152" t="s">
        <v>302</v>
      </c>
      <c r="H1695" s="152"/>
      <c r="I1695" s="152">
        <v>43346</v>
      </c>
      <c r="J1695" s="152">
        <v>2.0499999999999998</v>
      </c>
      <c r="K1695" s="152" t="s">
        <v>1327</v>
      </c>
      <c r="L1695" s="152" t="s">
        <v>1327</v>
      </c>
      <c r="M1695" s="152" t="s">
        <v>1327</v>
      </c>
      <c r="N1695" s="152" t="s">
        <v>1327</v>
      </c>
      <c r="O1695" s="152">
        <v>2.3211900000000001</v>
      </c>
      <c r="P1695" s="152">
        <v>40.161102</v>
      </c>
      <c r="Q1695" s="152">
        <v>2.3211900000000001</v>
      </c>
      <c r="R1695" s="152" t="s">
        <v>1327</v>
      </c>
      <c r="S1695" s="152">
        <v>99.781885000000003</v>
      </c>
      <c r="T1695" s="152">
        <v>0.88394499999999998</v>
      </c>
      <c r="U1695" s="152">
        <v>1.468539</v>
      </c>
      <c r="V1695" s="152">
        <v>2.9133369999999998</v>
      </c>
      <c r="W1695" s="152">
        <v>1000</v>
      </c>
      <c r="X1695" s="152" t="s">
        <v>23</v>
      </c>
      <c r="Y1695" s="152" t="s">
        <v>1328</v>
      </c>
      <c r="Z1695" s="152" t="s">
        <v>1327</v>
      </c>
    </row>
    <row r="1696" spans="1:26" x14ac:dyDescent="0.2">
      <c r="A1696" s="152" t="s">
        <v>2804</v>
      </c>
      <c r="B1696" s="152">
        <v>2.29</v>
      </c>
      <c r="C1696" s="151">
        <v>43979</v>
      </c>
      <c r="D1696" s="152">
        <v>1.5917809999999999</v>
      </c>
      <c r="E1696" s="152" t="s">
        <v>1325</v>
      </c>
      <c r="F1696" s="152" t="s">
        <v>1326</v>
      </c>
      <c r="G1696" s="152" t="s">
        <v>302</v>
      </c>
      <c r="H1696" s="152"/>
      <c r="I1696" s="152">
        <v>43375</v>
      </c>
      <c r="J1696" s="152">
        <v>2.3199999999999998</v>
      </c>
      <c r="K1696" s="152" t="s">
        <v>1327</v>
      </c>
      <c r="L1696" s="152" t="s">
        <v>1327</v>
      </c>
      <c r="M1696" s="152" t="s">
        <v>1327</v>
      </c>
      <c r="N1696" s="152" t="s">
        <v>1327</v>
      </c>
      <c r="O1696" s="152">
        <v>2.3729260000000001</v>
      </c>
      <c r="P1696" s="152">
        <v>43.351939000000002</v>
      </c>
      <c r="Q1696" s="152">
        <v>2.3729260000000001</v>
      </c>
      <c r="R1696" s="152" t="s">
        <v>1327</v>
      </c>
      <c r="S1696" s="152">
        <v>99.861982999999995</v>
      </c>
      <c r="T1696" s="152">
        <v>0.36388999999999999</v>
      </c>
      <c r="U1696" s="152">
        <v>1.548197</v>
      </c>
      <c r="V1696" s="152">
        <v>3.1852659999999999</v>
      </c>
      <c r="W1696" s="152">
        <v>1000</v>
      </c>
      <c r="X1696" s="152" t="s">
        <v>23</v>
      </c>
      <c r="Y1696" s="152" t="s">
        <v>1328</v>
      </c>
      <c r="Z1696" s="152" t="s">
        <v>1327</v>
      </c>
    </row>
    <row r="1697" spans="1:26" x14ac:dyDescent="0.2">
      <c r="A1697" s="152" t="s">
        <v>2805</v>
      </c>
      <c r="B1697" s="152">
        <v>1.93</v>
      </c>
      <c r="C1697" s="151">
        <v>44061</v>
      </c>
      <c r="D1697" s="152">
        <v>1.816438</v>
      </c>
      <c r="E1697" s="152" t="s">
        <v>1325</v>
      </c>
      <c r="F1697" s="152" t="s">
        <v>1326</v>
      </c>
      <c r="G1697" s="152" t="s">
        <v>302</v>
      </c>
      <c r="H1697" s="152"/>
      <c r="I1697" s="152">
        <v>43383</v>
      </c>
      <c r="J1697" s="152">
        <v>2.4449999999999998</v>
      </c>
      <c r="K1697" s="152" t="s">
        <v>1327</v>
      </c>
      <c r="L1697" s="152" t="s">
        <v>1327</v>
      </c>
      <c r="M1697" s="152" t="s">
        <v>1327</v>
      </c>
      <c r="N1697" s="152" t="s">
        <v>1327</v>
      </c>
      <c r="O1697" s="152">
        <v>2.444124</v>
      </c>
      <c r="P1697" s="152">
        <v>45.884180999999998</v>
      </c>
      <c r="Q1697" s="152">
        <v>2.444124</v>
      </c>
      <c r="R1697" s="152" t="s">
        <v>1327</v>
      </c>
      <c r="S1697" s="152">
        <v>99.082008999999999</v>
      </c>
      <c r="T1697" s="152">
        <v>0.35956199999999999</v>
      </c>
      <c r="U1697" s="152">
        <v>1.7675510000000001</v>
      </c>
      <c r="V1697" s="152">
        <v>4.0292649999999997</v>
      </c>
      <c r="W1697" s="152">
        <v>1000</v>
      </c>
      <c r="X1697" s="152" t="s">
        <v>23</v>
      </c>
      <c r="Y1697" s="152" t="s">
        <v>1328</v>
      </c>
      <c r="Z1697" s="152" t="s">
        <v>1327</v>
      </c>
    </row>
    <row r="1698" spans="1:26" x14ac:dyDescent="0.2">
      <c r="A1698" s="152" t="s">
        <v>2806</v>
      </c>
      <c r="B1698" s="152">
        <v>2.0699999999999998</v>
      </c>
      <c r="C1698" s="151">
        <v>44084</v>
      </c>
      <c r="D1698" s="152">
        <v>1.8794519999999999</v>
      </c>
      <c r="E1698" s="152" t="s">
        <v>1325</v>
      </c>
      <c r="F1698" s="152" t="s">
        <v>1326</v>
      </c>
      <c r="G1698" s="152" t="s">
        <v>302</v>
      </c>
      <c r="H1698" s="152"/>
      <c r="I1698" s="152">
        <v>43333</v>
      </c>
      <c r="J1698" s="152">
        <v>2.085</v>
      </c>
      <c r="K1698" s="152" t="s">
        <v>1327</v>
      </c>
      <c r="L1698" s="152" t="s">
        <v>1327</v>
      </c>
      <c r="M1698" s="152" t="s">
        <v>1327</v>
      </c>
      <c r="N1698" s="152" t="s">
        <v>1327</v>
      </c>
      <c r="O1698" s="152">
        <v>2.4426830000000002</v>
      </c>
      <c r="P1698" s="152">
        <v>44.765188000000002</v>
      </c>
      <c r="Q1698" s="152">
        <v>2.4426830000000002</v>
      </c>
      <c r="R1698" s="152" t="s">
        <v>1327</v>
      </c>
      <c r="S1698" s="152">
        <v>99.309783999999993</v>
      </c>
      <c r="T1698" s="152">
        <v>0.43101400000000001</v>
      </c>
      <c r="U1698" s="152">
        <v>1.8244419999999999</v>
      </c>
      <c r="V1698" s="152">
        <v>4.2690489999999999</v>
      </c>
      <c r="W1698" s="152">
        <v>1000</v>
      </c>
      <c r="X1698" s="152" t="s">
        <v>23</v>
      </c>
      <c r="Y1698" s="152" t="s">
        <v>1328</v>
      </c>
      <c r="Z1698" s="152" t="s">
        <v>1327</v>
      </c>
    </row>
    <row r="1699" spans="1:26" x14ac:dyDescent="0.2">
      <c r="A1699" s="152" t="s">
        <v>635</v>
      </c>
      <c r="B1699" s="152">
        <v>2</v>
      </c>
      <c r="C1699" s="151">
        <v>44162</v>
      </c>
      <c r="D1699" s="152">
        <v>2.0931510000000002</v>
      </c>
      <c r="E1699" s="152" t="s">
        <v>1325</v>
      </c>
      <c r="F1699" s="152" t="s">
        <v>1326</v>
      </c>
      <c r="G1699" s="152" t="s">
        <v>302</v>
      </c>
      <c r="H1699" s="152"/>
      <c r="I1699" s="151">
        <v>43384</v>
      </c>
      <c r="J1699" s="152">
        <v>2.35</v>
      </c>
      <c r="K1699" s="152" t="s">
        <v>1327</v>
      </c>
      <c r="L1699" s="152" t="s">
        <v>1327</v>
      </c>
      <c r="M1699" s="152" t="s">
        <v>1327</v>
      </c>
      <c r="N1699" s="152" t="s">
        <v>1327</v>
      </c>
      <c r="O1699" s="152">
        <v>2.3449360000000001</v>
      </c>
      <c r="P1699" s="152">
        <v>31.864816999999999</v>
      </c>
      <c r="Q1699" s="152">
        <v>2.3449360000000001</v>
      </c>
      <c r="R1699" s="152" t="s">
        <v>1327</v>
      </c>
      <c r="S1699" s="152">
        <v>99.291240000000002</v>
      </c>
      <c r="T1699" s="152">
        <v>0.82739700000000005</v>
      </c>
      <c r="U1699" s="152">
        <v>2.0174949999999998</v>
      </c>
      <c r="V1699" s="152">
        <v>5.1374420000000001</v>
      </c>
      <c r="W1699" s="152">
        <v>1000</v>
      </c>
      <c r="X1699" s="152" t="s">
        <v>23</v>
      </c>
      <c r="Y1699" s="152" t="s">
        <v>1328</v>
      </c>
      <c r="Z1699" s="152" t="s">
        <v>1327</v>
      </c>
    </row>
    <row r="1700" spans="1:26" x14ac:dyDescent="0.2">
      <c r="A1700" s="152" t="s">
        <v>2807</v>
      </c>
      <c r="B1700" s="152">
        <v>2.44</v>
      </c>
      <c r="C1700" s="151">
        <v>44123</v>
      </c>
      <c r="D1700" s="152">
        <v>1.9863010000000001</v>
      </c>
      <c r="E1700" s="152" t="s">
        <v>1325</v>
      </c>
      <c r="F1700" s="152" t="s">
        <v>1326</v>
      </c>
      <c r="G1700" s="152" t="s">
        <v>302</v>
      </c>
      <c r="H1700" s="152"/>
      <c r="I1700" s="152" t="s">
        <v>1327</v>
      </c>
      <c r="J1700" s="152" t="s">
        <v>1327</v>
      </c>
      <c r="K1700" s="152" t="s">
        <v>1327</v>
      </c>
      <c r="L1700" s="152" t="s">
        <v>1327</v>
      </c>
      <c r="M1700" s="152" t="s">
        <v>1327</v>
      </c>
      <c r="N1700" s="152" t="s">
        <v>1327</v>
      </c>
      <c r="O1700" s="152">
        <v>2.4445950000000001</v>
      </c>
      <c r="P1700" s="152">
        <v>42.884103000000003</v>
      </c>
      <c r="Q1700" s="152">
        <v>2.4445950000000001</v>
      </c>
      <c r="R1700" s="152" t="s">
        <v>1327</v>
      </c>
      <c r="S1700" s="152">
        <v>99.994249999999994</v>
      </c>
      <c r="T1700" s="152">
        <v>4.011E-2</v>
      </c>
      <c r="U1700" s="152">
        <v>1.9228179999999999</v>
      </c>
      <c r="V1700" s="152">
        <v>4.6867359999999998</v>
      </c>
      <c r="W1700" s="152">
        <v>1000</v>
      </c>
      <c r="X1700" s="152" t="s">
        <v>23</v>
      </c>
      <c r="Y1700" s="152" t="s">
        <v>1328</v>
      </c>
      <c r="Z1700" s="152" t="s">
        <v>1327</v>
      </c>
    </row>
    <row r="1701" spans="1:26" x14ac:dyDescent="0.2">
      <c r="A1701" s="152" t="s">
        <v>2808</v>
      </c>
      <c r="B1701" s="152">
        <v>1.96</v>
      </c>
      <c r="C1701" s="151">
        <v>44204</v>
      </c>
      <c r="D1701" s="152">
        <v>2.2082190000000002</v>
      </c>
      <c r="E1701" s="152" t="s">
        <v>1325</v>
      </c>
      <c r="F1701" s="152" t="s">
        <v>1326</v>
      </c>
      <c r="G1701" s="152" t="s">
        <v>302</v>
      </c>
      <c r="H1701" s="152"/>
      <c r="I1701" s="152">
        <v>43208</v>
      </c>
      <c r="J1701" s="152">
        <v>1.75</v>
      </c>
      <c r="K1701" s="152" t="s">
        <v>1327</v>
      </c>
      <c r="L1701" s="152" t="s">
        <v>1327</v>
      </c>
      <c r="M1701" s="152" t="s">
        <v>1327</v>
      </c>
      <c r="N1701" s="152" t="s">
        <v>1327</v>
      </c>
      <c r="O1701" s="152">
        <v>2.4686590000000002</v>
      </c>
      <c r="P1701" s="152">
        <v>43.410421999999997</v>
      </c>
      <c r="Q1701" s="152">
        <v>2.4686590000000002</v>
      </c>
      <c r="R1701" s="152" t="s">
        <v>1327</v>
      </c>
      <c r="S1701" s="152">
        <v>98.911676</v>
      </c>
      <c r="T1701" s="152">
        <v>0.74641100000000005</v>
      </c>
      <c r="U1701" s="152">
        <v>2.1267360000000002</v>
      </c>
      <c r="V1701" s="152">
        <v>5.6502569999999999</v>
      </c>
      <c r="W1701" s="152">
        <v>1000</v>
      </c>
      <c r="X1701" s="152" t="s">
        <v>23</v>
      </c>
      <c r="Y1701" s="152" t="s">
        <v>1328</v>
      </c>
      <c r="Z1701" s="152" t="s">
        <v>1327</v>
      </c>
    </row>
    <row r="1702" spans="1:26" x14ac:dyDescent="0.2">
      <c r="A1702" s="152" t="s">
        <v>2809</v>
      </c>
      <c r="B1702" s="152">
        <v>2.48</v>
      </c>
      <c r="C1702" s="151">
        <v>44255</v>
      </c>
      <c r="D1702" s="152">
        <v>2.3479450000000002</v>
      </c>
      <c r="E1702" s="152" t="s">
        <v>1325</v>
      </c>
      <c r="F1702" s="152" t="s">
        <v>1326</v>
      </c>
      <c r="G1702" s="152" t="s">
        <v>302</v>
      </c>
      <c r="H1702" s="152"/>
      <c r="I1702" s="152">
        <v>43166</v>
      </c>
      <c r="J1702" s="152">
        <v>1.79</v>
      </c>
      <c r="K1702" s="152" t="s">
        <v>1327</v>
      </c>
      <c r="L1702" s="152" t="s">
        <v>1327</v>
      </c>
      <c r="M1702" s="152" t="s">
        <v>1327</v>
      </c>
      <c r="N1702" s="152" t="s">
        <v>1327</v>
      </c>
      <c r="O1702" s="152">
        <v>2.4890949999999998</v>
      </c>
      <c r="P1702" s="152">
        <v>44.563782000000003</v>
      </c>
      <c r="Q1702" s="152">
        <v>2.4890949999999998</v>
      </c>
      <c r="R1702" s="152" t="s">
        <v>1327</v>
      </c>
      <c r="S1702" s="152">
        <v>99.967575999999994</v>
      </c>
      <c r="T1702" s="152">
        <v>0.39408199999999999</v>
      </c>
      <c r="U1702" s="152">
        <v>2.256618</v>
      </c>
      <c r="V1702" s="152">
        <v>6.2920930000000004</v>
      </c>
      <c r="W1702" s="152">
        <v>1000</v>
      </c>
      <c r="X1702" s="152" t="s">
        <v>23</v>
      </c>
      <c r="Y1702" s="152" t="s">
        <v>1328</v>
      </c>
      <c r="Z1702" s="152" t="s">
        <v>1327</v>
      </c>
    </row>
    <row r="1703" spans="1:26" x14ac:dyDescent="0.2">
      <c r="A1703" s="152" t="s">
        <v>2810</v>
      </c>
      <c r="B1703" s="152">
        <v>1.9</v>
      </c>
      <c r="C1703" s="151">
        <v>44356</v>
      </c>
      <c r="D1703" s="152">
        <v>2.6246580000000002</v>
      </c>
      <c r="E1703" s="152" t="s">
        <v>1325</v>
      </c>
      <c r="F1703" s="152" t="s">
        <v>1326</v>
      </c>
      <c r="G1703" s="152" t="s">
        <v>302</v>
      </c>
      <c r="H1703" s="152"/>
      <c r="I1703" s="151">
        <v>43378</v>
      </c>
      <c r="J1703" s="152">
        <v>2.5</v>
      </c>
      <c r="K1703" s="152" t="s">
        <v>1327</v>
      </c>
      <c r="L1703" s="152" t="s">
        <v>1327</v>
      </c>
      <c r="M1703" s="152" t="s">
        <v>1327</v>
      </c>
      <c r="N1703" s="152" t="s">
        <v>1327</v>
      </c>
      <c r="O1703" s="152">
        <v>2.5168309999999998</v>
      </c>
      <c r="P1703" s="152">
        <v>45.190958000000002</v>
      </c>
      <c r="Q1703" s="152">
        <v>2.5168309999999998</v>
      </c>
      <c r="R1703" s="152" t="s">
        <v>1327</v>
      </c>
      <c r="S1703" s="152">
        <v>98.435070999999994</v>
      </c>
      <c r="T1703" s="152">
        <v>0.87972600000000001</v>
      </c>
      <c r="U1703" s="152">
        <v>2.5159980000000002</v>
      </c>
      <c r="V1703" s="152">
        <v>7.7053500000000001</v>
      </c>
      <c r="W1703" s="152">
        <v>1000</v>
      </c>
      <c r="X1703" s="152" t="s">
        <v>23</v>
      </c>
      <c r="Y1703" s="152" t="s">
        <v>1328</v>
      </c>
      <c r="Z1703" s="152" t="s">
        <v>1327</v>
      </c>
    </row>
    <row r="1704" spans="1:26" x14ac:dyDescent="0.2">
      <c r="A1704" s="152" t="s">
        <v>2811</v>
      </c>
      <c r="B1704" s="152">
        <v>2.2799999999999998</v>
      </c>
      <c r="C1704" s="151">
        <v>44418</v>
      </c>
      <c r="D1704" s="152">
        <v>2.794521</v>
      </c>
      <c r="E1704" s="152" t="s">
        <v>1325</v>
      </c>
      <c r="F1704" s="152" t="s">
        <v>1326</v>
      </c>
      <c r="G1704" s="152" t="s">
        <v>302</v>
      </c>
      <c r="H1704" s="152"/>
      <c r="I1704" s="151">
        <v>43355</v>
      </c>
      <c r="J1704" s="152">
        <v>2.4300000000000002</v>
      </c>
      <c r="K1704" s="152" t="s">
        <v>1327</v>
      </c>
      <c r="L1704" s="152" t="s">
        <v>1327</v>
      </c>
      <c r="M1704" s="152" t="s">
        <v>1327</v>
      </c>
      <c r="N1704" s="152" t="s">
        <v>1327</v>
      </c>
      <c r="O1704" s="152">
        <v>2.5736119999999998</v>
      </c>
      <c r="P1704" s="152">
        <v>49.533707999999997</v>
      </c>
      <c r="Q1704" s="152">
        <v>2.5736119999999998</v>
      </c>
      <c r="R1704" s="152" t="s">
        <v>1327</v>
      </c>
      <c r="S1704" s="152">
        <v>99.201676000000006</v>
      </c>
      <c r="T1704" s="152">
        <v>0.47474</v>
      </c>
      <c r="U1704" s="152">
        <v>2.6777310000000001</v>
      </c>
      <c r="V1704" s="152">
        <v>8.6356560000000009</v>
      </c>
      <c r="W1704" s="152">
        <v>1000</v>
      </c>
      <c r="X1704" s="152" t="s">
        <v>23</v>
      </c>
      <c r="Y1704" s="152" t="s">
        <v>1328</v>
      </c>
      <c r="Z1704" s="152" t="s">
        <v>1327</v>
      </c>
    </row>
    <row r="1705" spans="1:26" x14ac:dyDescent="0.2">
      <c r="A1705" s="152" t="s">
        <v>2812</v>
      </c>
      <c r="B1705" s="152">
        <v>2.02</v>
      </c>
      <c r="C1705" s="151">
        <v>44530</v>
      </c>
      <c r="D1705" s="152">
        <v>3.1013700000000002</v>
      </c>
      <c r="E1705" s="152" t="s">
        <v>1325</v>
      </c>
      <c r="F1705" s="152" t="s">
        <v>1326</v>
      </c>
      <c r="G1705" s="152" t="s">
        <v>302</v>
      </c>
      <c r="H1705" s="152"/>
      <c r="I1705" s="152">
        <v>43378</v>
      </c>
      <c r="J1705" s="152">
        <v>2.65</v>
      </c>
      <c r="K1705" s="152" t="s">
        <v>1327</v>
      </c>
      <c r="L1705" s="152" t="s">
        <v>1327</v>
      </c>
      <c r="M1705" s="152" t="s">
        <v>1327</v>
      </c>
      <c r="N1705" s="152" t="s">
        <v>1327</v>
      </c>
      <c r="O1705" s="152">
        <v>2.6636289999999998</v>
      </c>
      <c r="P1705" s="152">
        <v>52.548454999999997</v>
      </c>
      <c r="Q1705" s="152">
        <v>2.6636289999999998</v>
      </c>
      <c r="R1705" s="152" t="s">
        <v>1327</v>
      </c>
      <c r="S1705" s="152">
        <v>98.098911000000001</v>
      </c>
      <c r="T1705" s="152">
        <v>-3.3204999999999998E-2</v>
      </c>
      <c r="U1705" s="152">
        <v>2.9792299999999998</v>
      </c>
      <c r="V1705" s="152">
        <v>10.486466</v>
      </c>
      <c r="W1705" s="152">
        <v>1000</v>
      </c>
      <c r="X1705" s="152" t="s">
        <v>23</v>
      </c>
      <c r="Y1705" s="152" t="s">
        <v>1328</v>
      </c>
      <c r="Z1705" s="152" t="s">
        <v>1327</v>
      </c>
    </row>
    <row r="1706" spans="1:26" x14ac:dyDescent="0.2">
      <c r="A1706" s="152" t="s">
        <v>2813</v>
      </c>
      <c r="B1706" s="152">
        <v>2.64</v>
      </c>
      <c r="C1706" s="151">
        <v>44488</v>
      </c>
      <c r="D1706" s="152">
        <v>2.9863010000000001</v>
      </c>
      <c r="E1706" s="152" t="s">
        <v>1325</v>
      </c>
      <c r="F1706" s="152" t="s">
        <v>1326</v>
      </c>
      <c r="G1706" s="152" t="s">
        <v>302</v>
      </c>
      <c r="H1706" s="152"/>
      <c r="I1706" s="151" t="s">
        <v>1327</v>
      </c>
      <c r="J1706" s="152" t="s">
        <v>1327</v>
      </c>
      <c r="K1706" s="151" t="s">
        <v>1327</v>
      </c>
      <c r="L1706" s="152" t="s">
        <v>1327</v>
      </c>
      <c r="M1706" s="152" t="s">
        <v>1327</v>
      </c>
      <c r="N1706" s="152" t="s">
        <v>1327</v>
      </c>
      <c r="O1706" s="152">
        <v>2.6387459999999998</v>
      </c>
      <c r="P1706" s="152">
        <v>52.568682000000003</v>
      </c>
      <c r="Q1706" s="152">
        <v>2.6387459999999998</v>
      </c>
      <c r="R1706" s="152" t="s">
        <v>1327</v>
      </c>
      <c r="S1706" s="152">
        <v>100.006894</v>
      </c>
      <c r="T1706" s="152">
        <v>4.3396999999999998E-2</v>
      </c>
      <c r="U1706" s="152">
        <v>2.8485809999999998</v>
      </c>
      <c r="V1706" s="152">
        <v>9.6836190000000002</v>
      </c>
      <c r="W1706" s="152">
        <v>1000</v>
      </c>
      <c r="X1706" s="152" t="s">
        <v>23</v>
      </c>
      <c r="Y1706" s="152" t="s">
        <v>1328</v>
      </c>
      <c r="Z1706" s="152" t="s">
        <v>1327</v>
      </c>
    </row>
    <row r="1707" spans="1:26" x14ac:dyDescent="0.2">
      <c r="A1707" s="152" t="s">
        <v>2814</v>
      </c>
      <c r="B1707" s="152">
        <v>2.37</v>
      </c>
      <c r="C1707" s="151">
        <v>44903</v>
      </c>
      <c r="D1707" s="152">
        <v>4.1232879999999996</v>
      </c>
      <c r="E1707" s="152" t="s">
        <v>1325</v>
      </c>
      <c r="F1707" s="152" t="s">
        <v>1326</v>
      </c>
      <c r="G1707" s="152" t="s">
        <v>302</v>
      </c>
      <c r="H1707" s="152"/>
      <c r="I1707" s="151">
        <v>43395</v>
      </c>
      <c r="J1707" s="152">
        <v>2.95</v>
      </c>
      <c r="K1707" s="152" t="s">
        <v>1327</v>
      </c>
      <c r="L1707" s="152" t="s">
        <v>1327</v>
      </c>
      <c r="M1707" s="152" t="s">
        <v>1327</v>
      </c>
      <c r="N1707" s="152" t="s">
        <v>1327</v>
      </c>
      <c r="O1707" s="152">
        <v>2.9389660000000002</v>
      </c>
      <c r="P1707" s="152">
        <v>59.258459000000002</v>
      </c>
      <c r="Q1707" s="152">
        <v>2.9389660000000002</v>
      </c>
      <c r="R1707" s="152" t="s">
        <v>1327</v>
      </c>
      <c r="S1707" s="152">
        <v>97.802234999999996</v>
      </c>
      <c r="T1707" s="152">
        <v>0.90254800000000002</v>
      </c>
      <c r="U1707" s="152">
        <v>3.8556699999999999</v>
      </c>
      <c r="V1707" s="152">
        <v>17.302679000000001</v>
      </c>
      <c r="W1707" s="152">
        <v>1000</v>
      </c>
      <c r="X1707" s="152" t="s">
        <v>23</v>
      </c>
      <c r="Y1707" s="152" t="s">
        <v>1328</v>
      </c>
      <c r="Z1707" s="152" t="s">
        <v>1327</v>
      </c>
    </row>
    <row r="1708" spans="1:26" x14ac:dyDescent="0.2">
      <c r="A1708" s="152" t="s">
        <v>2815</v>
      </c>
      <c r="B1708" s="152">
        <v>2.2000000000000002</v>
      </c>
      <c r="C1708" s="151">
        <v>44865</v>
      </c>
      <c r="D1708" s="152">
        <v>4.0191780000000001</v>
      </c>
      <c r="E1708" s="152" t="s">
        <v>1325</v>
      </c>
      <c r="F1708" s="152" t="s">
        <v>1326</v>
      </c>
      <c r="G1708" s="152" t="s">
        <v>302</v>
      </c>
      <c r="H1708" s="152"/>
      <c r="I1708" s="151">
        <v>43354</v>
      </c>
      <c r="J1708" s="152">
        <v>2.61</v>
      </c>
      <c r="K1708" s="152" t="s">
        <v>1327</v>
      </c>
      <c r="L1708" s="152" t="s">
        <v>1327</v>
      </c>
      <c r="M1708" s="152" t="s">
        <v>1327</v>
      </c>
      <c r="N1708" s="152" t="s">
        <v>1327</v>
      </c>
      <c r="O1708" s="152">
        <v>2.9150160000000001</v>
      </c>
      <c r="P1708" s="152">
        <v>57.484580999999999</v>
      </c>
      <c r="Q1708" s="152">
        <v>2.9150160000000001</v>
      </c>
      <c r="R1708" s="152" t="s">
        <v>1327</v>
      </c>
      <c r="S1708" s="152">
        <v>97.308638999999999</v>
      </c>
      <c r="T1708" s="152">
        <v>-3.6164000000000002E-2</v>
      </c>
      <c r="U1708" s="152">
        <v>3.8093490000000001</v>
      </c>
      <c r="V1708" s="152">
        <v>16.737417000000001</v>
      </c>
      <c r="W1708" s="152">
        <v>1000</v>
      </c>
      <c r="X1708" s="152" t="s">
        <v>23</v>
      </c>
      <c r="Y1708" s="152" t="s">
        <v>1328</v>
      </c>
      <c r="Z1708" s="152" t="s">
        <v>1327</v>
      </c>
    </row>
    <row r="1709" spans="1:26" x14ac:dyDescent="0.2">
      <c r="A1709" s="152" t="s">
        <v>2816</v>
      </c>
      <c r="B1709" s="152">
        <v>2.29</v>
      </c>
      <c r="C1709" s="151">
        <v>45055</v>
      </c>
      <c r="D1709" s="152">
        <v>4.5397259999999999</v>
      </c>
      <c r="E1709" s="152" t="s">
        <v>1325</v>
      </c>
      <c r="F1709" s="152" t="s">
        <v>1326</v>
      </c>
      <c r="G1709" s="152" t="s">
        <v>302</v>
      </c>
      <c r="H1709" s="152"/>
      <c r="I1709" s="151">
        <v>43335</v>
      </c>
      <c r="J1709" s="152">
        <v>2.7</v>
      </c>
      <c r="K1709" s="151" t="s">
        <v>1327</v>
      </c>
      <c r="L1709" s="152" t="s">
        <v>1327</v>
      </c>
      <c r="M1709" s="152" t="s">
        <v>1327</v>
      </c>
      <c r="N1709" s="152" t="s">
        <v>1327</v>
      </c>
      <c r="O1709" s="152">
        <v>3.0147119999999998</v>
      </c>
      <c r="P1709" s="152">
        <v>62.618161000000001</v>
      </c>
      <c r="Q1709" s="152">
        <v>3.0147119999999998</v>
      </c>
      <c r="R1709" s="152" t="s">
        <v>1327</v>
      </c>
      <c r="S1709" s="152">
        <v>96.935713000000007</v>
      </c>
      <c r="T1709" s="152">
        <v>1.0603009999999999</v>
      </c>
      <c r="U1709" s="152">
        <v>4.2249720000000002</v>
      </c>
      <c r="V1709" s="152">
        <v>20.654357999999998</v>
      </c>
      <c r="W1709" s="152">
        <v>1000</v>
      </c>
      <c r="X1709" s="152" t="s">
        <v>23</v>
      </c>
      <c r="Y1709" s="152" t="s">
        <v>1328</v>
      </c>
      <c r="Z1709" s="152" t="s">
        <v>1327</v>
      </c>
    </row>
    <row r="1710" spans="1:26" x14ac:dyDescent="0.2">
      <c r="A1710" s="152" t="s">
        <v>2817</v>
      </c>
      <c r="B1710" s="152">
        <v>2.61</v>
      </c>
      <c r="C1710" s="151">
        <v>45596</v>
      </c>
      <c r="D1710" s="152">
        <v>6.0219180000000003</v>
      </c>
      <c r="E1710" s="152" t="s">
        <v>1325</v>
      </c>
      <c r="F1710" s="152" t="s">
        <v>1326</v>
      </c>
      <c r="G1710" s="152" t="s">
        <v>302</v>
      </c>
      <c r="H1710" s="152"/>
      <c r="I1710" s="151">
        <v>43346</v>
      </c>
      <c r="J1710" s="152">
        <v>2.98</v>
      </c>
      <c r="K1710" s="152" t="s">
        <v>1327</v>
      </c>
      <c r="L1710" s="152" t="s">
        <v>1327</v>
      </c>
      <c r="M1710" s="152" t="s">
        <v>1327</v>
      </c>
      <c r="N1710" s="152" t="s">
        <v>1327</v>
      </c>
      <c r="O1710" s="152">
        <v>3.1885140000000001</v>
      </c>
      <c r="P1710" s="152">
        <v>64.982237999999995</v>
      </c>
      <c r="Q1710" s="152">
        <v>3.1885140000000001</v>
      </c>
      <c r="R1710" s="152" t="s">
        <v>1327</v>
      </c>
      <c r="S1710" s="152">
        <v>96.855920999999995</v>
      </c>
      <c r="T1710" s="152">
        <v>-4.2903999999999998E-2</v>
      </c>
      <c r="U1710" s="152">
        <v>5.5130309999999998</v>
      </c>
      <c r="V1710" s="152">
        <v>34.505412</v>
      </c>
      <c r="W1710" s="152">
        <v>1000</v>
      </c>
      <c r="X1710" s="152" t="s">
        <v>23</v>
      </c>
      <c r="Y1710" s="152" t="s">
        <v>1328</v>
      </c>
      <c r="Z1710" s="152" t="s">
        <v>1327</v>
      </c>
    </row>
    <row r="1711" spans="1:26" x14ac:dyDescent="0.2">
      <c r="A1711" s="152" t="s">
        <v>2818</v>
      </c>
      <c r="B1711" s="152">
        <v>2.72</v>
      </c>
      <c r="C1711" s="151">
        <v>45786</v>
      </c>
      <c r="D1711" s="152">
        <v>6.5424660000000001</v>
      </c>
      <c r="E1711" s="152" t="s">
        <v>1325</v>
      </c>
      <c r="F1711" s="152" t="s">
        <v>1326</v>
      </c>
      <c r="G1711" s="152" t="s">
        <v>302</v>
      </c>
      <c r="H1711" s="152"/>
      <c r="I1711" s="151" t="s">
        <v>1327</v>
      </c>
      <c r="J1711" s="152" t="s">
        <v>1327</v>
      </c>
      <c r="K1711" s="152" t="s">
        <v>1327</v>
      </c>
      <c r="L1711" s="152" t="s">
        <v>1327</v>
      </c>
      <c r="M1711" s="152" t="s">
        <v>1327</v>
      </c>
      <c r="N1711" s="152" t="s">
        <v>1327</v>
      </c>
      <c r="O1711" s="152">
        <v>3.2440250000000002</v>
      </c>
      <c r="P1711" s="152">
        <v>64.567305000000005</v>
      </c>
      <c r="Q1711" s="152">
        <v>3.2440250000000002</v>
      </c>
      <c r="R1711" s="152" t="s">
        <v>1327</v>
      </c>
      <c r="S1711" s="152">
        <v>96.921814999999995</v>
      </c>
      <c r="T1711" s="152">
        <v>1.2593970000000001</v>
      </c>
      <c r="U1711" s="152">
        <v>5.8551710000000003</v>
      </c>
      <c r="V1711" s="152">
        <v>39.446154</v>
      </c>
      <c r="W1711" s="152">
        <v>1000</v>
      </c>
      <c r="X1711" s="152" t="s">
        <v>23</v>
      </c>
      <c r="Y1711" s="152" t="s">
        <v>1328</v>
      </c>
      <c r="Z1711" s="152" t="s">
        <v>1327</v>
      </c>
    </row>
    <row r="1712" spans="1:26" x14ac:dyDescent="0.2">
      <c r="A1712" s="152" t="s">
        <v>2819</v>
      </c>
      <c r="B1712" s="152">
        <v>6.25</v>
      </c>
      <c r="C1712" s="151">
        <v>43673</v>
      </c>
      <c r="D1712" s="152">
        <v>0.75342500000000001</v>
      </c>
      <c r="E1712" s="152" t="s">
        <v>1325</v>
      </c>
      <c r="F1712" s="152" t="s">
        <v>1326</v>
      </c>
      <c r="G1712" s="152"/>
      <c r="H1712" s="152"/>
      <c r="I1712" s="151" t="s">
        <v>1327</v>
      </c>
      <c r="J1712" s="152" t="s">
        <v>1327</v>
      </c>
      <c r="K1712" s="152" t="s">
        <v>1327</v>
      </c>
      <c r="L1712" s="152" t="s">
        <v>1327</v>
      </c>
      <c r="M1712" s="152" t="s">
        <v>1327</v>
      </c>
      <c r="N1712" s="152" t="s">
        <v>1327</v>
      </c>
      <c r="O1712" s="152">
        <v>6.6016250000000003</v>
      </c>
      <c r="P1712" s="152">
        <v>498.73700300000002</v>
      </c>
      <c r="Q1712" s="152">
        <v>6.6016250000000003</v>
      </c>
      <c r="R1712" s="152" t="s">
        <v>1327</v>
      </c>
      <c r="S1712" s="152">
        <v>99.743218999999996</v>
      </c>
      <c r="T1712" s="152">
        <v>-3.4247E-2</v>
      </c>
      <c r="U1712" s="152">
        <v>0.73190500000000003</v>
      </c>
      <c r="V1712" s="152">
        <v>0.72020700000000004</v>
      </c>
      <c r="W1712" s="152">
        <v>1000</v>
      </c>
      <c r="X1712" s="152" t="s">
        <v>23</v>
      </c>
      <c r="Y1712" s="152" t="s">
        <v>1328</v>
      </c>
      <c r="Z1712" s="152" t="s">
        <v>1327</v>
      </c>
    </row>
    <row r="1713" spans="1:26" x14ac:dyDescent="0.2">
      <c r="A1713" s="152" t="s">
        <v>2820</v>
      </c>
      <c r="B1713" s="152">
        <v>7.25</v>
      </c>
      <c r="C1713" s="151">
        <v>43679</v>
      </c>
      <c r="D1713" s="152">
        <v>0.76986299999999996</v>
      </c>
      <c r="E1713" s="152" t="s">
        <v>1325</v>
      </c>
      <c r="F1713" s="152" t="s">
        <v>1326</v>
      </c>
      <c r="G1713" s="152"/>
      <c r="H1713" s="152"/>
      <c r="I1713" s="151" t="s">
        <v>1327</v>
      </c>
      <c r="J1713" s="152" t="s">
        <v>1327</v>
      </c>
      <c r="K1713" s="152" t="s">
        <v>1327</v>
      </c>
      <c r="L1713" s="152" t="s">
        <v>1327</v>
      </c>
      <c r="M1713" s="152" t="s">
        <v>1327</v>
      </c>
      <c r="N1713" s="152" t="s">
        <v>1327</v>
      </c>
      <c r="O1713" s="152">
        <v>7.4634790000000004</v>
      </c>
      <c r="P1713" s="152">
        <v>589.70952399999999</v>
      </c>
      <c r="Q1713" s="152">
        <v>7.4634790000000004</v>
      </c>
      <c r="R1713" s="152" t="s">
        <v>1327</v>
      </c>
      <c r="S1713" s="152">
        <v>99.842894000000001</v>
      </c>
      <c r="T1713" s="152">
        <v>-0.15890399999999999</v>
      </c>
      <c r="U1713" s="152">
        <v>0.74473800000000001</v>
      </c>
      <c r="V1713" s="152">
        <v>0.74258599999999997</v>
      </c>
      <c r="W1713" s="152">
        <v>1000</v>
      </c>
      <c r="X1713" s="152" t="s">
        <v>23</v>
      </c>
      <c r="Y1713" s="152" t="s">
        <v>1328</v>
      </c>
      <c r="Z1713" s="152" t="s">
        <v>1327</v>
      </c>
    </row>
    <row r="1714" spans="1:26" x14ac:dyDescent="0.2">
      <c r="A1714" s="152" t="s">
        <v>2821</v>
      </c>
      <c r="B1714" s="152">
        <v>7.25</v>
      </c>
      <c r="C1714" s="151">
        <v>43711</v>
      </c>
      <c r="D1714" s="152">
        <v>0.85753400000000002</v>
      </c>
      <c r="E1714" s="152" t="s">
        <v>1325</v>
      </c>
      <c r="F1714" s="152" t="s">
        <v>1326</v>
      </c>
      <c r="G1714" s="152"/>
      <c r="H1714" s="152"/>
      <c r="I1714" s="151" t="s">
        <v>1327</v>
      </c>
      <c r="J1714" s="152" t="s">
        <v>1327</v>
      </c>
      <c r="K1714" s="152" t="s">
        <v>1327</v>
      </c>
      <c r="L1714" s="152" t="s">
        <v>1327</v>
      </c>
      <c r="M1714" s="152" t="s">
        <v>1327</v>
      </c>
      <c r="N1714" s="152" t="s">
        <v>1327</v>
      </c>
      <c r="O1714" s="152">
        <v>7.539263</v>
      </c>
      <c r="P1714" s="152">
        <v>594.66300200000001</v>
      </c>
      <c r="Q1714" s="152">
        <v>7.539263</v>
      </c>
      <c r="R1714" s="152" t="s">
        <v>1327</v>
      </c>
      <c r="S1714" s="152">
        <v>99.762967000000003</v>
      </c>
      <c r="T1714" s="152">
        <v>1.032877</v>
      </c>
      <c r="U1714" s="152">
        <v>0.81505700000000003</v>
      </c>
      <c r="V1714" s="152">
        <v>0.87855799999999995</v>
      </c>
      <c r="W1714" s="152">
        <v>1000</v>
      </c>
      <c r="X1714" s="152" t="s">
        <v>23</v>
      </c>
      <c r="Y1714" s="152" t="s">
        <v>1328</v>
      </c>
      <c r="Z1714" s="152" t="s">
        <v>1327</v>
      </c>
    </row>
    <row r="1715" spans="1:26" x14ac:dyDescent="0.2">
      <c r="A1715" s="152" t="s">
        <v>2822</v>
      </c>
      <c r="B1715" s="152">
        <v>7</v>
      </c>
      <c r="C1715" s="151">
        <v>43959</v>
      </c>
      <c r="D1715" s="152">
        <v>1.536986</v>
      </c>
      <c r="E1715" s="152" t="s">
        <v>1325</v>
      </c>
      <c r="F1715" s="152" t="s">
        <v>1326</v>
      </c>
      <c r="G1715" s="152"/>
      <c r="H1715" s="152"/>
      <c r="I1715" s="151" t="s">
        <v>1327</v>
      </c>
      <c r="J1715" s="152" t="s">
        <v>1327</v>
      </c>
      <c r="K1715" s="152" t="s">
        <v>1327</v>
      </c>
      <c r="L1715" s="152" t="s">
        <v>1327</v>
      </c>
      <c r="M1715" s="152" t="s">
        <v>1327</v>
      </c>
      <c r="N1715" s="152" t="s">
        <v>1327</v>
      </c>
      <c r="O1715" s="152">
        <v>7.297091</v>
      </c>
      <c r="P1715" s="152">
        <v>557.07710799999995</v>
      </c>
      <c r="Q1715" s="152">
        <v>7.297091</v>
      </c>
      <c r="R1715" s="152" t="s">
        <v>1327</v>
      </c>
      <c r="S1715" s="152">
        <v>99.574157999999997</v>
      </c>
      <c r="T1715" s="152">
        <v>-0.26849299999999998</v>
      </c>
      <c r="U1715" s="152">
        <v>1.448733</v>
      </c>
      <c r="V1715" s="152">
        <v>2.5069659999999998</v>
      </c>
      <c r="W1715" s="152">
        <v>1000</v>
      </c>
      <c r="X1715" s="152" t="s">
        <v>23</v>
      </c>
      <c r="Y1715" s="152" t="s">
        <v>1328</v>
      </c>
      <c r="Z1715" s="152" t="s">
        <v>1327</v>
      </c>
    </row>
    <row r="1716" spans="1:26" x14ac:dyDescent="0.2">
      <c r="A1716" s="152" t="s">
        <v>2823</v>
      </c>
      <c r="B1716" s="152">
        <v>5.5</v>
      </c>
      <c r="C1716" s="151">
        <v>45533</v>
      </c>
      <c r="D1716" s="152">
        <v>5.8493149999999998</v>
      </c>
      <c r="E1716" s="152" t="s">
        <v>1325</v>
      </c>
      <c r="F1716" s="152" t="s">
        <v>1326</v>
      </c>
      <c r="G1716" s="152"/>
      <c r="H1716" s="152" t="s">
        <v>496</v>
      </c>
      <c r="I1716" s="151">
        <v>43147</v>
      </c>
      <c r="J1716" s="152">
        <v>4.75</v>
      </c>
      <c r="K1716" s="152" t="s">
        <v>1327</v>
      </c>
      <c r="L1716" s="152" t="s">
        <v>1327</v>
      </c>
      <c r="M1716" s="152" t="s">
        <v>1327</v>
      </c>
      <c r="N1716" s="152" t="s">
        <v>1327</v>
      </c>
      <c r="O1716" s="152">
        <v>5.0149609999999996</v>
      </c>
      <c r="P1716" s="152">
        <v>258.80690399999997</v>
      </c>
      <c r="Q1716" s="152">
        <v>5.0149609999999996</v>
      </c>
      <c r="R1716" s="152" t="s">
        <v>1327</v>
      </c>
      <c r="S1716" s="152">
        <v>102.43116499999999</v>
      </c>
      <c r="T1716" s="152">
        <v>0.858904</v>
      </c>
      <c r="U1716" s="152">
        <v>4.947578</v>
      </c>
      <c r="V1716" s="152">
        <v>28.288867</v>
      </c>
      <c r="W1716" s="152">
        <v>1000</v>
      </c>
      <c r="X1716" s="152" t="s">
        <v>23</v>
      </c>
      <c r="Y1716" s="152" t="s">
        <v>1328</v>
      </c>
      <c r="Z1716" s="152" t="s">
        <v>1327</v>
      </c>
    </row>
    <row r="1717" spans="1:26" x14ac:dyDescent="0.2">
      <c r="A1717" s="152" t="s">
        <v>2824</v>
      </c>
      <c r="B1717" s="152">
        <v>3.5</v>
      </c>
      <c r="C1717" s="151">
        <v>46720</v>
      </c>
      <c r="D1717" s="152">
        <v>9.1013699999999993</v>
      </c>
      <c r="E1717" s="152" t="s">
        <v>1325</v>
      </c>
      <c r="F1717" s="152" t="s">
        <v>1326</v>
      </c>
      <c r="G1717" s="152"/>
      <c r="H1717" s="152" t="s">
        <v>496</v>
      </c>
      <c r="I1717" s="151">
        <v>43089</v>
      </c>
      <c r="J1717" s="152">
        <v>3.6</v>
      </c>
      <c r="K1717" s="152" t="s">
        <v>1327</v>
      </c>
      <c r="L1717" s="152" t="s">
        <v>1327</v>
      </c>
      <c r="M1717" s="152" t="s">
        <v>1327</v>
      </c>
      <c r="N1717" s="152" t="s">
        <v>1327</v>
      </c>
      <c r="O1717" s="152">
        <v>3.7371050000000001</v>
      </c>
      <c r="P1717" s="152">
        <v>95.493097000000006</v>
      </c>
      <c r="Q1717" s="152">
        <v>3.7371050000000001</v>
      </c>
      <c r="R1717" s="152" t="s">
        <v>1327</v>
      </c>
      <c r="S1717" s="152">
        <v>98.17062</v>
      </c>
      <c r="T1717" s="152">
        <v>0.54657500000000003</v>
      </c>
      <c r="U1717" s="152">
        <v>7.7004330000000003</v>
      </c>
      <c r="V1717" s="152">
        <v>67.605537999999996</v>
      </c>
      <c r="W1717" s="152">
        <v>1000</v>
      </c>
      <c r="X1717" s="152" t="s">
        <v>23</v>
      </c>
      <c r="Y1717" s="152" t="s">
        <v>1328</v>
      </c>
      <c r="Z1717" s="152" t="s">
        <v>1327</v>
      </c>
    </row>
    <row r="1718" spans="1:26" x14ac:dyDescent="0.2">
      <c r="A1718" s="152" t="s">
        <v>2825</v>
      </c>
      <c r="B1718" s="152">
        <v>3.75</v>
      </c>
      <c r="C1718" s="151">
        <v>44291</v>
      </c>
      <c r="D1718" s="152">
        <v>2.4465750000000002</v>
      </c>
      <c r="E1718" s="152" t="s">
        <v>1325</v>
      </c>
      <c r="F1718" s="152" t="s">
        <v>1326</v>
      </c>
      <c r="G1718" s="152"/>
      <c r="H1718" s="152"/>
      <c r="I1718" s="151">
        <v>43370</v>
      </c>
      <c r="J1718" s="152">
        <v>4.0999999999999996</v>
      </c>
      <c r="K1718" s="152" t="s">
        <v>1327</v>
      </c>
      <c r="L1718" s="152" t="s">
        <v>1327</v>
      </c>
      <c r="M1718" s="152" t="s">
        <v>1327</v>
      </c>
      <c r="N1718" s="152" t="s">
        <v>1327</v>
      </c>
      <c r="O1718" s="152">
        <v>4.1305430000000003</v>
      </c>
      <c r="P1718" s="152">
        <v>210.70439099999999</v>
      </c>
      <c r="Q1718" s="152">
        <v>4.1305430000000003</v>
      </c>
      <c r="R1718" s="152" t="s">
        <v>1327</v>
      </c>
      <c r="S1718" s="152">
        <v>99.127212999999998</v>
      </c>
      <c r="T1718" s="152">
        <v>0.20547899999999999</v>
      </c>
      <c r="U1718" s="152">
        <v>2.3053970000000001</v>
      </c>
      <c r="V1718" s="152">
        <v>6.5679759999999998</v>
      </c>
      <c r="W1718" s="152">
        <v>1000</v>
      </c>
      <c r="X1718" s="152" t="s">
        <v>23</v>
      </c>
      <c r="Y1718" s="152" t="s">
        <v>1328</v>
      </c>
      <c r="Z1718" s="152" t="s">
        <v>1327</v>
      </c>
    </row>
    <row r="1719" spans="1:26" x14ac:dyDescent="0.2">
      <c r="A1719" s="152" t="s">
        <v>2826</v>
      </c>
      <c r="B1719" s="152">
        <v>3.25</v>
      </c>
      <c r="C1719" s="151">
        <v>43490</v>
      </c>
      <c r="D1719" s="152">
        <v>0.25205499999999997</v>
      </c>
      <c r="E1719" s="152" t="s">
        <v>1325</v>
      </c>
      <c r="F1719" s="152" t="s">
        <v>1326</v>
      </c>
      <c r="G1719" s="152"/>
      <c r="H1719" s="152"/>
      <c r="I1719" s="151" t="s">
        <v>1327</v>
      </c>
      <c r="J1719" s="152" t="s">
        <v>1327</v>
      </c>
      <c r="K1719" s="152" t="s">
        <v>1327</v>
      </c>
      <c r="L1719" s="152" t="s">
        <v>1327</v>
      </c>
      <c r="M1719" s="152" t="s">
        <v>1327</v>
      </c>
      <c r="N1719" s="152" t="s">
        <v>1327</v>
      </c>
      <c r="O1719" s="152">
        <v>3.3909029999999998</v>
      </c>
      <c r="P1719" s="152">
        <v>187.34680299999999</v>
      </c>
      <c r="Q1719" s="152">
        <v>3.3909029999999998</v>
      </c>
      <c r="R1719" s="152" t="s">
        <v>1327</v>
      </c>
      <c r="S1719" s="152">
        <v>99.948160000000001</v>
      </c>
      <c r="T1719" s="152">
        <v>0.81917799999999996</v>
      </c>
      <c r="U1719" s="152">
        <v>0.24785299999999999</v>
      </c>
      <c r="V1719" s="152">
        <v>0.18329100000000001</v>
      </c>
      <c r="W1719" s="152">
        <v>1000</v>
      </c>
      <c r="X1719" s="152" t="s">
        <v>23</v>
      </c>
      <c r="Y1719" s="152" t="s">
        <v>1328</v>
      </c>
      <c r="Z1719" s="152" t="s">
        <v>1327</v>
      </c>
    </row>
    <row r="1720" spans="1:26" x14ac:dyDescent="0.2">
      <c r="A1720" s="152" t="s">
        <v>2827</v>
      </c>
      <c r="B1720" s="152">
        <v>2.14</v>
      </c>
      <c r="C1720" s="151">
        <v>43772</v>
      </c>
      <c r="D1720" s="152">
        <v>1.0246580000000001</v>
      </c>
      <c r="E1720" s="152" t="s">
        <v>1325</v>
      </c>
      <c r="F1720" s="152" t="s">
        <v>1326</v>
      </c>
      <c r="G1720" s="152"/>
      <c r="H1720" s="152" t="s">
        <v>58</v>
      </c>
      <c r="I1720" s="151">
        <v>43362</v>
      </c>
      <c r="J1720" s="152">
        <v>1.895</v>
      </c>
      <c r="K1720" s="152" t="s">
        <v>1327</v>
      </c>
      <c r="L1720" s="152" t="s">
        <v>1327</v>
      </c>
      <c r="M1720" s="152" t="s">
        <v>1327</v>
      </c>
      <c r="N1720" s="152" t="s">
        <v>1327</v>
      </c>
      <c r="O1720" s="152">
        <v>1.948159</v>
      </c>
      <c r="P1720" s="152">
        <v>14.060095</v>
      </c>
      <c r="Q1720" s="152">
        <v>1.948159</v>
      </c>
      <c r="R1720" s="152" t="s">
        <v>1327</v>
      </c>
      <c r="S1720" s="152">
        <v>100.19395799999999</v>
      </c>
      <c r="T1720" s="152">
        <v>-5.2767000000000001E-2</v>
      </c>
      <c r="U1720" s="152">
        <v>1.0095350000000001</v>
      </c>
      <c r="V1720" s="152">
        <v>1.5216259999999999</v>
      </c>
      <c r="W1720" s="152">
        <v>1000</v>
      </c>
      <c r="X1720" s="152" t="s">
        <v>23</v>
      </c>
      <c r="Y1720" s="152" t="s">
        <v>1328</v>
      </c>
      <c r="Z1720" s="152" t="s">
        <v>1327</v>
      </c>
    </row>
    <row r="1721" spans="1:26" x14ac:dyDescent="0.2">
      <c r="A1721" s="152" t="s">
        <v>2828</v>
      </c>
      <c r="B1721" s="152">
        <v>3.25</v>
      </c>
      <c r="C1721" s="151">
        <v>43924</v>
      </c>
      <c r="D1721" s="152">
        <v>1.4410959999999999</v>
      </c>
      <c r="E1721" s="152" t="s">
        <v>1325</v>
      </c>
      <c r="F1721" s="152" t="s">
        <v>1326</v>
      </c>
      <c r="G1721" s="152"/>
      <c r="H1721" s="152" t="s">
        <v>58</v>
      </c>
      <c r="I1721" s="151">
        <v>43312</v>
      </c>
      <c r="J1721" s="152">
        <v>1.93</v>
      </c>
      <c r="K1721" s="152" t="s">
        <v>1327</v>
      </c>
      <c r="L1721" s="152" t="s">
        <v>1327</v>
      </c>
      <c r="M1721" s="152" t="s">
        <v>1327</v>
      </c>
      <c r="N1721" s="152" t="s">
        <v>1327</v>
      </c>
      <c r="O1721" s="152">
        <v>2.209187</v>
      </c>
      <c r="P1721" s="152">
        <v>30.503941999999999</v>
      </c>
      <c r="Q1721" s="152">
        <v>2.209187</v>
      </c>
      <c r="R1721" s="152" t="s">
        <v>1327</v>
      </c>
      <c r="S1721" s="152">
        <v>101.46906199999999</v>
      </c>
      <c r="T1721" s="152">
        <v>0.19589000000000001</v>
      </c>
      <c r="U1721" s="152">
        <v>1.399241</v>
      </c>
      <c r="V1721" s="152">
        <v>2.6686200000000002</v>
      </c>
      <c r="W1721" s="152">
        <v>1000</v>
      </c>
      <c r="X1721" s="152" t="s">
        <v>23</v>
      </c>
      <c r="Y1721" s="152" t="s">
        <v>1328</v>
      </c>
      <c r="Z1721" s="152" t="s">
        <v>1327</v>
      </c>
    </row>
    <row r="1722" spans="1:26" x14ac:dyDescent="0.2">
      <c r="A1722" s="152" t="s">
        <v>2829</v>
      </c>
      <c r="B1722" s="152">
        <v>2.5099999999999998</v>
      </c>
      <c r="C1722" s="151">
        <v>44503</v>
      </c>
      <c r="D1722" s="152">
        <v>3.0273970000000001</v>
      </c>
      <c r="E1722" s="152" t="s">
        <v>1325</v>
      </c>
      <c r="F1722" s="152" t="s">
        <v>1326</v>
      </c>
      <c r="G1722" s="152"/>
      <c r="H1722" s="152" t="s">
        <v>58</v>
      </c>
      <c r="I1722" s="151">
        <v>42943</v>
      </c>
      <c r="J1722" s="152">
        <v>2.41</v>
      </c>
      <c r="K1722" s="152" t="s">
        <v>1327</v>
      </c>
      <c r="L1722" s="152" t="s">
        <v>1327</v>
      </c>
      <c r="M1722" s="152" t="s">
        <v>1327</v>
      </c>
      <c r="N1722" s="152" t="s">
        <v>1327</v>
      </c>
      <c r="O1722" s="152">
        <v>2.4961799999999998</v>
      </c>
      <c r="P1722" s="152">
        <v>37.404977000000002</v>
      </c>
      <c r="Q1722" s="152">
        <v>2.4961799999999998</v>
      </c>
      <c r="R1722" s="152" t="s">
        <v>1327</v>
      </c>
      <c r="S1722" s="152">
        <v>100.040423</v>
      </c>
      <c r="T1722" s="152">
        <v>-6.1890000000000001E-2</v>
      </c>
      <c r="U1722" s="152">
        <v>2.8970850000000001</v>
      </c>
      <c r="V1722" s="152">
        <v>9.9799779999999991</v>
      </c>
      <c r="W1722" s="152">
        <v>1000</v>
      </c>
      <c r="X1722" s="152" t="s">
        <v>23</v>
      </c>
      <c r="Y1722" s="152" t="s">
        <v>1328</v>
      </c>
      <c r="Z1722" s="152" t="s">
        <v>1327</v>
      </c>
    </row>
    <row r="1723" spans="1:26" x14ac:dyDescent="0.2">
      <c r="A1723" s="152" t="s">
        <v>2830</v>
      </c>
      <c r="B1723" s="152">
        <v>2.11</v>
      </c>
      <c r="C1723" s="151">
        <v>44524</v>
      </c>
      <c r="D1723" s="152">
        <v>3.0849319999999998</v>
      </c>
      <c r="E1723" s="152" t="s">
        <v>1325</v>
      </c>
      <c r="F1723" s="152" t="s">
        <v>1326</v>
      </c>
      <c r="G1723" s="152"/>
      <c r="H1723" s="152" t="s">
        <v>58</v>
      </c>
      <c r="I1723" s="152">
        <v>43306</v>
      </c>
      <c r="J1723" s="152">
        <v>2.29</v>
      </c>
      <c r="K1723" s="152" t="s">
        <v>1327</v>
      </c>
      <c r="L1723" s="152" t="s">
        <v>1327</v>
      </c>
      <c r="M1723" s="152" t="s">
        <v>1327</v>
      </c>
      <c r="N1723" s="152" t="s">
        <v>1327</v>
      </c>
      <c r="O1723" s="152">
        <v>2.5244170000000001</v>
      </c>
      <c r="P1723" s="152">
        <v>38.889533999999998</v>
      </c>
      <c r="Q1723" s="152">
        <v>2.5244170000000001</v>
      </c>
      <c r="R1723" s="152" t="s">
        <v>1327</v>
      </c>
      <c r="S1723" s="152">
        <v>98.768930999999995</v>
      </c>
      <c r="T1723" s="152">
        <v>0.89024700000000001</v>
      </c>
      <c r="U1723" s="152">
        <v>2.9364780000000001</v>
      </c>
      <c r="V1723" s="152">
        <v>10.292373</v>
      </c>
      <c r="W1723" s="152">
        <v>1000</v>
      </c>
      <c r="X1723" s="152" t="s">
        <v>23</v>
      </c>
      <c r="Y1723" s="152" t="s">
        <v>1328</v>
      </c>
      <c r="Z1723" s="152" t="s">
        <v>1327</v>
      </c>
    </row>
    <row r="1724" spans="1:26" x14ac:dyDescent="0.2">
      <c r="A1724" s="152" t="s">
        <v>2831</v>
      </c>
      <c r="B1724" s="152">
        <v>2.4300000000000002</v>
      </c>
      <c r="C1724" s="151">
        <v>44889</v>
      </c>
      <c r="D1724" s="152">
        <v>4.0849320000000002</v>
      </c>
      <c r="E1724" s="152" t="s">
        <v>1325</v>
      </c>
      <c r="F1724" s="152" t="s">
        <v>1326</v>
      </c>
      <c r="G1724" s="152"/>
      <c r="H1724" s="152" t="s">
        <v>58</v>
      </c>
      <c r="I1724" s="151">
        <v>43391</v>
      </c>
      <c r="J1724" s="152">
        <v>2.7974999999999999</v>
      </c>
      <c r="K1724" s="152" t="s">
        <v>1327</v>
      </c>
      <c r="L1724" s="152" t="s">
        <v>1327</v>
      </c>
      <c r="M1724" s="152" t="s">
        <v>1327</v>
      </c>
      <c r="N1724" s="152" t="s">
        <v>1327</v>
      </c>
      <c r="O1724" s="152">
        <v>2.8091849999999998</v>
      </c>
      <c r="P1724" s="152">
        <v>46.421227999999999</v>
      </c>
      <c r="Q1724" s="152">
        <v>2.8091849999999998</v>
      </c>
      <c r="R1724" s="152" t="s">
        <v>1327</v>
      </c>
      <c r="S1724" s="152">
        <v>98.536006</v>
      </c>
      <c r="T1724" s="152">
        <v>1.0252600000000001</v>
      </c>
      <c r="U1724" s="152">
        <v>3.8163649999999998</v>
      </c>
      <c r="V1724" s="152">
        <v>16.992901</v>
      </c>
      <c r="W1724" s="152">
        <v>1000</v>
      </c>
      <c r="X1724" s="152" t="s">
        <v>23</v>
      </c>
      <c r="Y1724" s="152" t="s">
        <v>1328</v>
      </c>
      <c r="Z1724" s="152" t="s">
        <v>1327</v>
      </c>
    </row>
    <row r="1725" spans="1:26" x14ac:dyDescent="0.2">
      <c r="A1725" s="152" t="s">
        <v>807</v>
      </c>
      <c r="B1725" s="152">
        <v>4.13</v>
      </c>
      <c r="C1725" s="151">
        <v>43536</v>
      </c>
      <c r="D1725" s="152">
        <v>0.37808199999999997</v>
      </c>
      <c r="E1725" s="152" t="s">
        <v>1325</v>
      </c>
      <c r="F1725" s="152" t="s">
        <v>1326</v>
      </c>
      <c r="G1725" s="152"/>
      <c r="H1725" s="152" t="s">
        <v>43</v>
      </c>
      <c r="I1725" s="152">
        <v>43377</v>
      </c>
      <c r="J1725" s="152">
        <v>1.85</v>
      </c>
      <c r="K1725" s="152">
        <v>41897</v>
      </c>
      <c r="L1725" s="152">
        <v>3.95</v>
      </c>
      <c r="M1725" s="152">
        <v>4.4541959999999996</v>
      </c>
      <c r="N1725" s="152">
        <v>3.95</v>
      </c>
      <c r="O1725" s="152">
        <v>1.98108</v>
      </c>
      <c r="P1725" s="152">
        <v>31.396929</v>
      </c>
      <c r="Q1725" s="152">
        <v>1.98108</v>
      </c>
      <c r="R1725" s="152" t="s">
        <v>1327</v>
      </c>
      <c r="S1725" s="152">
        <v>100.82056300000001</v>
      </c>
      <c r="T1725" s="152">
        <v>0.48654799999999998</v>
      </c>
      <c r="U1725" s="152">
        <v>0.37437399999999998</v>
      </c>
      <c r="V1725" s="152">
        <v>0.32550699999999999</v>
      </c>
      <c r="W1725" s="152">
        <v>1000</v>
      </c>
      <c r="X1725" s="152" t="s">
        <v>23</v>
      </c>
      <c r="Y1725" s="152" t="s">
        <v>1328</v>
      </c>
      <c r="Z1725" s="152" t="s">
        <v>1327</v>
      </c>
    </row>
    <row r="1726" spans="1:26" x14ac:dyDescent="0.2">
      <c r="A1726" s="152" t="s">
        <v>2832</v>
      </c>
      <c r="B1726" s="152">
        <v>4.6100000000000003</v>
      </c>
      <c r="C1726" s="151">
        <v>44267</v>
      </c>
      <c r="D1726" s="152">
        <v>2.3808220000000002</v>
      </c>
      <c r="E1726" s="152" t="s">
        <v>1325</v>
      </c>
      <c r="F1726" s="152" t="s">
        <v>1326</v>
      </c>
      <c r="G1726" s="152"/>
      <c r="H1726" s="152" t="s">
        <v>43</v>
      </c>
      <c r="I1726" s="152">
        <v>43245</v>
      </c>
      <c r="J1726" s="152">
        <v>2.0474999999999999</v>
      </c>
      <c r="K1726" s="152">
        <v>41897</v>
      </c>
      <c r="L1726" s="152">
        <v>4.2</v>
      </c>
      <c r="M1726" s="152">
        <v>4.901656</v>
      </c>
      <c r="N1726" s="152">
        <v>4.2</v>
      </c>
      <c r="O1726" s="152">
        <v>2.3839640000000002</v>
      </c>
      <c r="P1726" s="152">
        <v>33.961466000000001</v>
      </c>
      <c r="Q1726" s="152">
        <v>2.3839640000000002</v>
      </c>
      <c r="R1726" s="152" t="s">
        <v>1327</v>
      </c>
      <c r="S1726" s="152">
        <v>105.133284</v>
      </c>
      <c r="T1726" s="152">
        <v>0.54309600000000002</v>
      </c>
      <c r="U1726" s="152">
        <v>2.244507</v>
      </c>
      <c r="V1726" s="152">
        <v>6.2927980000000003</v>
      </c>
      <c r="W1726" s="152">
        <v>1000</v>
      </c>
      <c r="X1726" s="152" t="s">
        <v>23</v>
      </c>
      <c r="Y1726" s="152" t="s">
        <v>1328</v>
      </c>
      <c r="Z1726" s="152" t="s">
        <v>1327</v>
      </c>
    </row>
    <row r="1727" spans="1:26" x14ac:dyDescent="0.2">
      <c r="A1727" s="152" t="s">
        <v>2833</v>
      </c>
      <c r="B1727" s="152">
        <v>4.8</v>
      </c>
      <c r="C1727" s="151">
        <v>44681</v>
      </c>
      <c r="D1727" s="152">
        <v>3.5150679999999999</v>
      </c>
      <c r="E1727" s="152" t="s">
        <v>1325</v>
      </c>
      <c r="F1727" s="152" t="s">
        <v>1326</v>
      </c>
      <c r="G1727" s="152"/>
      <c r="H1727" s="152" t="s">
        <v>43</v>
      </c>
      <c r="I1727" s="152" t="s">
        <v>1327</v>
      </c>
      <c r="J1727" s="152" t="s">
        <v>1327</v>
      </c>
      <c r="K1727" s="152">
        <v>41912</v>
      </c>
      <c r="L1727" s="152">
        <v>4.1270170000000004</v>
      </c>
      <c r="M1727" s="152">
        <v>4.9220470000000001</v>
      </c>
      <c r="N1727" s="152">
        <v>4.1270170000000004</v>
      </c>
      <c r="O1727" s="152">
        <v>2.7079029999999999</v>
      </c>
      <c r="P1727" s="152">
        <v>45.431283999999998</v>
      </c>
      <c r="Q1727" s="152">
        <v>2.7079029999999999</v>
      </c>
      <c r="R1727" s="152" t="s">
        <v>1327</v>
      </c>
      <c r="S1727" s="152">
        <v>106.96771099999999</v>
      </c>
      <c r="T1727" s="152">
        <v>-6.5753000000000006E-2</v>
      </c>
      <c r="U1727" s="152">
        <v>3.24241</v>
      </c>
      <c r="V1727" s="152">
        <v>12.545327</v>
      </c>
      <c r="W1727" s="152">
        <v>1000</v>
      </c>
      <c r="X1727" s="152" t="s">
        <v>23</v>
      </c>
      <c r="Y1727" s="152" t="s">
        <v>1328</v>
      </c>
      <c r="Z1727" s="152" t="s">
        <v>1327</v>
      </c>
    </row>
    <row r="1728" spans="1:26" x14ac:dyDescent="0.2">
      <c r="A1728" s="152" t="s">
        <v>2834</v>
      </c>
      <c r="B1728" s="152">
        <v>4.84</v>
      </c>
      <c r="C1728" s="151">
        <v>45363</v>
      </c>
      <c r="D1728" s="152">
        <v>5.3835620000000004</v>
      </c>
      <c r="E1728" s="152" t="s">
        <v>1325</v>
      </c>
      <c r="F1728" s="152" t="s">
        <v>1326</v>
      </c>
      <c r="G1728" s="152"/>
      <c r="H1728" s="152" t="s">
        <v>43</v>
      </c>
      <c r="I1728" s="152">
        <v>43304</v>
      </c>
      <c r="J1728" s="152">
        <v>3</v>
      </c>
      <c r="K1728" s="152">
        <v>41897</v>
      </c>
      <c r="L1728" s="152">
        <v>4.4000000000000004</v>
      </c>
      <c r="M1728" s="152">
        <v>5.087364</v>
      </c>
      <c r="N1728" s="152">
        <v>4.4000000000000004</v>
      </c>
      <c r="O1728" s="152">
        <v>3.2428910000000002</v>
      </c>
      <c r="P1728" s="152">
        <v>79.043432999999993</v>
      </c>
      <c r="Q1728" s="152">
        <v>3.2428910000000002</v>
      </c>
      <c r="R1728" s="152" t="s">
        <v>1327</v>
      </c>
      <c r="S1728" s="152">
        <v>107.840476</v>
      </c>
      <c r="T1728" s="152">
        <v>0.57019200000000003</v>
      </c>
      <c r="U1728" s="152">
        <v>4.7231730000000001</v>
      </c>
      <c r="V1728" s="152">
        <v>26.295172000000001</v>
      </c>
      <c r="W1728" s="152">
        <v>1000</v>
      </c>
      <c r="X1728" s="152" t="s">
        <v>23</v>
      </c>
      <c r="Y1728" s="152" t="s">
        <v>1328</v>
      </c>
      <c r="Z1728" s="152" t="s">
        <v>1327</v>
      </c>
    </row>
    <row r="1729" spans="1:26" x14ac:dyDescent="0.2">
      <c r="A1729" s="152" t="s">
        <v>2835</v>
      </c>
      <c r="B1729" s="152">
        <v>5.05</v>
      </c>
      <c r="C1729" s="151">
        <v>46469</v>
      </c>
      <c r="D1729" s="152">
        <v>8.4136989999999994</v>
      </c>
      <c r="E1729" s="152" t="s">
        <v>1325</v>
      </c>
      <c r="F1729" s="152" t="s">
        <v>1326</v>
      </c>
      <c r="G1729" s="152"/>
      <c r="H1729" s="152" t="s">
        <v>43</v>
      </c>
      <c r="I1729" s="152">
        <v>43277</v>
      </c>
      <c r="J1729" s="152">
        <v>3.4</v>
      </c>
      <c r="K1729" s="152">
        <v>41333</v>
      </c>
      <c r="L1729" s="152">
        <v>4.5137309999999999</v>
      </c>
      <c r="M1729" s="152">
        <v>4.8499999999999996</v>
      </c>
      <c r="N1729" s="152">
        <v>4.5137309999999999</v>
      </c>
      <c r="O1729" s="152">
        <v>3.5928629999999999</v>
      </c>
      <c r="P1729" s="152">
        <v>85.286197999999999</v>
      </c>
      <c r="Q1729" s="152">
        <v>3.5928629999999999</v>
      </c>
      <c r="R1729" s="152" t="s">
        <v>1327</v>
      </c>
      <c r="S1729" s="152">
        <v>110.511279</v>
      </c>
      <c r="T1729" s="152">
        <v>0.44274000000000002</v>
      </c>
      <c r="U1729" s="152">
        <v>6.8859919999999999</v>
      </c>
      <c r="V1729" s="152">
        <v>56.511085000000001</v>
      </c>
      <c r="W1729" s="152">
        <v>1000</v>
      </c>
      <c r="X1729" s="152" t="s">
        <v>23</v>
      </c>
      <c r="Y1729" s="152" t="s">
        <v>1328</v>
      </c>
      <c r="Z1729" s="152" t="s">
        <v>1327</v>
      </c>
    </row>
    <row r="1730" spans="1:26" x14ac:dyDescent="0.2">
      <c r="A1730" s="152" t="s">
        <v>2836</v>
      </c>
      <c r="B1730" s="152">
        <v>4.8499999999999996</v>
      </c>
      <c r="C1730" s="151">
        <v>43487</v>
      </c>
      <c r="D1730" s="152">
        <v>0.243836</v>
      </c>
      <c r="E1730" s="152" t="s">
        <v>1325</v>
      </c>
      <c r="F1730" s="152" t="s">
        <v>1326</v>
      </c>
      <c r="G1730" s="152" t="s">
        <v>29</v>
      </c>
      <c r="H1730" s="152"/>
      <c r="I1730" s="151">
        <v>43348</v>
      </c>
      <c r="J1730" s="152">
        <v>2.85</v>
      </c>
      <c r="K1730" s="152" t="s">
        <v>1327</v>
      </c>
      <c r="L1730" s="152" t="s">
        <v>1327</v>
      </c>
      <c r="M1730" s="152" t="s">
        <v>1327</v>
      </c>
      <c r="N1730" s="152" t="s">
        <v>1327</v>
      </c>
      <c r="O1730" s="152">
        <v>2.9778030000000002</v>
      </c>
      <c r="P1730" s="152">
        <v>147.62998200000001</v>
      </c>
      <c r="Q1730" s="152">
        <v>2.9778030000000002</v>
      </c>
      <c r="R1730" s="152" t="s">
        <v>1327</v>
      </c>
      <c r="S1730" s="152">
        <v>100.453858</v>
      </c>
      <c r="T1730" s="152">
        <v>-7.9726000000000005E-2</v>
      </c>
      <c r="U1730" s="152">
        <v>0.242034</v>
      </c>
      <c r="V1730" s="152">
        <v>0.118642</v>
      </c>
      <c r="W1730" s="152">
        <v>1000</v>
      </c>
      <c r="X1730" s="152" t="s">
        <v>23</v>
      </c>
      <c r="Y1730" s="152" t="s">
        <v>1328</v>
      </c>
      <c r="Z1730" s="152" t="s">
        <v>1327</v>
      </c>
    </row>
    <row r="1731" spans="1:26" x14ac:dyDescent="0.2">
      <c r="A1731" s="152" t="s">
        <v>2837</v>
      </c>
      <c r="B1731" s="152">
        <v>3.2</v>
      </c>
      <c r="C1731" s="151">
        <v>43653</v>
      </c>
      <c r="D1731" s="152">
        <v>0.69862999999999997</v>
      </c>
      <c r="E1731" s="152" t="s">
        <v>1325</v>
      </c>
      <c r="F1731" s="152" t="s">
        <v>1326</v>
      </c>
      <c r="G1731" s="152" t="s">
        <v>29</v>
      </c>
      <c r="H1731" s="152"/>
      <c r="I1731" s="151">
        <v>43383</v>
      </c>
      <c r="J1731" s="152">
        <v>3.38</v>
      </c>
      <c r="K1731" s="152" t="s">
        <v>1327</v>
      </c>
      <c r="L1731" s="152" t="s">
        <v>1327</v>
      </c>
      <c r="M1731" s="152" t="s">
        <v>1327</v>
      </c>
      <c r="N1731" s="152" t="s">
        <v>1327</v>
      </c>
      <c r="O1731" s="152">
        <v>3.4129390000000002</v>
      </c>
      <c r="P1731" s="152">
        <v>168.349335</v>
      </c>
      <c r="Q1731" s="152">
        <v>3.4129390000000002</v>
      </c>
      <c r="R1731" s="152" t="s">
        <v>1327</v>
      </c>
      <c r="S1731" s="152">
        <v>99.853628</v>
      </c>
      <c r="T1731" s="152">
        <v>-5.2602999999999997E-2</v>
      </c>
      <c r="U1731" s="152">
        <v>0.69190300000000005</v>
      </c>
      <c r="V1731" s="152">
        <v>0.65197400000000005</v>
      </c>
      <c r="W1731" s="152">
        <v>1000</v>
      </c>
      <c r="X1731" s="152" t="s">
        <v>23</v>
      </c>
      <c r="Y1731" s="152" t="s">
        <v>1328</v>
      </c>
      <c r="Z1731" s="152" t="s">
        <v>1327</v>
      </c>
    </row>
    <row r="1732" spans="1:26" x14ac:dyDescent="0.2">
      <c r="A1732" s="152" t="s">
        <v>2838</v>
      </c>
      <c r="B1732" s="152">
        <v>4.4000000000000004</v>
      </c>
      <c r="C1732" s="151">
        <v>43682</v>
      </c>
      <c r="D1732" s="152">
        <v>0.77808200000000005</v>
      </c>
      <c r="E1732" s="152" t="s">
        <v>1325</v>
      </c>
      <c r="F1732" s="152" t="s">
        <v>1326</v>
      </c>
      <c r="G1732" s="152" t="s">
        <v>29</v>
      </c>
      <c r="H1732" s="152"/>
      <c r="I1732" s="152">
        <v>43151</v>
      </c>
      <c r="J1732" s="152">
        <v>3.12</v>
      </c>
      <c r="K1732" s="152" t="s">
        <v>1327</v>
      </c>
      <c r="L1732" s="152" t="s">
        <v>1327</v>
      </c>
      <c r="M1732" s="152" t="s">
        <v>1327</v>
      </c>
      <c r="N1732" s="152" t="s">
        <v>1327</v>
      </c>
      <c r="O1732" s="152">
        <v>3.4048940000000001</v>
      </c>
      <c r="P1732" s="152">
        <v>165.49164999999999</v>
      </c>
      <c r="Q1732" s="152">
        <v>3.4048940000000001</v>
      </c>
      <c r="R1732" s="152" t="s">
        <v>1327</v>
      </c>
      <c r="S1732" s="152">
        <v>100.765047</v>
      </c>
      <c r="T1732" s="152">
        <v>0.66301399999999999</v>
      </c>
      <c r="U1732" s="152">
        <v>0.75909199999999999</v>
      </c>
      <c r="V1732" s="152">
        <v>0.77142599999999995</v>
      </c>
      <c r="W1732" s="152">
        <v>1000</v>
      </c>
      <c r="X1732" s="152" t="s">
        <v>23</v>
      </c>
      <c r="Y1732" s="152" t="s">
        <v>1328</v>
      </c>
      <c r="Z1732" s="152" t="s">
        <v>1327</v>
      </c>
    </row>
    <row r="1733" spans="1:26" x14ac:dyDescent="0.2">
      <c r="A1733" s="152" t="s">
        <v>2839</v>
      </c>
      <c r="B1733" s="152">
        <v>5.2</v>
      </c>
      <c r="C1733" s="151">
        <v>43852</v>
      </c>
      <c r="D1733" s="152">
        <v>1.2438359999999999</v>
      </c>
      <c r="E1733" s="152" t="s">
        <v>1325</v>
      </c>
      <c r="F1733" s="152" t="s">
        <v>1326</v>
      </c>
      <c r="G1733" s="152" t="s">
        <v>29</v>
      </c>
      <c r="H1733" s="152"/>
      <c r="I1733" s="151">
        <v>42208</v>
      </c>
      <c r="J1733" s="152">
        <v>4.9723620000000004</v>
      </c>
      <c r="K1733" s="152" t="s">
        <v>1327</v>
      </c>
      <c r="L1733" s="152" t="s">
        <v>1327</v>
      </c>
      <c r="M1733" s="152" t="s">
        <v>1327</v>
      </c>
      <c r="N1733" s="152" t="s">
        <v>1327</v>
      </c>
      <c r="O1733" s="152">
        <v>3.511622</v>
      </c>
      <c r="P1733" s="152">
        <v>170.04635999999999</v>
      </c>
      <c r="Q1733" s="152">
        <v>3.511622</v>
      </c>
      <c r="R1733" s="152" t="s">
        <v>1327</v>
      </c>
      <c r="S1733" s="152">
        <v>102.046932</v>
      </c>
      <c r="T1733" s="152">
        <v>-8.5478999999999999E-2</v>
      </c>
      <c r="U1733" s="152">
        <v>1.203095</v>
      </c>
      <c r="V1733" s="152">
        <v>1.766473</v>
      </c>
      <c r="W1733" s="152">
        <v>1000</v>
      </c>
      <c r="X1733" s="152" t="s">
        <v>23</v>
      </c>
      <c r="Y1733" s="152" t="s">
        <v>1328</v>
      </c>
      <c r="Z1733" s="152" t="s">
        <v>1327</v>
      </c>
    </row>
    <row r="1734" spans="1:26" x14ac:dyDescent="0.2">
      <c r="A1734" s="152" t="s">
        <v>2840</v>
      </c>
      <c r="B1734" s="152">
        <v>3.5</v>
      </c>
      <c r="C1734" s="151">
        <v>44019</v>
      </c>
      <c r="D1734" s="152">
        <v>1.70137</v>
      </c>
      <c r="E1734" s="152" t="s">
        <v>1325</v>
      </c>
      <c r="F1734" s="152" t="s">
        <v>1326</v>
      </c>
      <c r="G1734" s="152" t="s">
        <v>29</v>
      </c>
      <c r="H1734" s="152"/>
      <c r="I1734" s="152">
        <v>42963</v>
      </c>
      <c r="J1734" s="152">
        <v>3.4750000000000001</v>
      </c>
      <c r="K1734" s="152" t="s">
        <v>1327</v>
      </c>
      <c r="L1734" s="152" t="s">
        <v>1327</v>
      </c>
      <c r="M1734" s="152" t="s">
        <v>1327</v>
      </c>
      <c r="N1734" s="152" t="s">
        <v>1327</v>
      </c>
      <c r="O1734" s="152">
        <v>3.6980909999999998</v>
      </c>
      <c r="P1734" s="152">
        <v>177.43335500000001</v>
      </c>
      <c r="Q1734" s="152">
        <v>3.6980909999999998</v>
      </c>
      <c r="R1734" s="152" t="s">
        <v>1327</v>
      </c>
      <c r="S1734" s="152">
        <v>99.675557999999995</v>
      </c>
      <c r="T1734" s="152">
        <v>-5.7534000000000002E-2</v>
      </c>
      <c r="U1734" s="152">
        <v>1.6457999999999999</v>
      </c>
      <c r="V1734" s="152">
        <v>3.1572650000000002</v>
      </c>
      <c r="W1734" s="152">
        <v>1000</v>
      </c>
      <c r="X1734" s="152" t="s">
        <v>23</v>
      </c>
      <c r="Y1734" s="152" t="s">
        <v>1328</v>
      </c>
      <c r="Z1734" s="152" t="s">
        <v>1327</v>
      </c>
    </row>
    <row r="1735" spans="1:26" x14ac:dyDescent="0.2">
      <c r="A1735" s="152" t="s">
        <v>2841</v>
      </c>
      <c r="B1735" s="152">
        <v>4.6500000000000004</v>
      </c>
      <c r="C1735" s="151">
        <v>44048</v>
      </c>
      <c r="D1735" s="152">
        <v>1.7808219999999999</v>
      </c>
      <c r="E1735" s="152" t="s">
        <v>1325</v>
      </c>
      <c r="F1735" s="152" t="s">
        <v>1326</v>
      </c>
      <c r="G1735" s="152" t="s">
        <v>29</v>
      </c>
      <c r="H1735" s="152"/>
      <c r="I1735" s="152">
        <v>42774</v>
      </c>
      <c r="J1735" s="152">
        <v>4.4000000000000004</v>
      </c>
      <c r="K1735" s="152" t="s">
        <v>1327</v>
      </c>
      <c r="L1735" s="152" t="s">
        <v>1327</v>
      </c>
      <c r="M1735" s="152" t="s">
        <v>1327</v>
      </c>
      <c r="N1735" s="152" t="s">
        <v>1327</v>
      </c>
      <c r="O1735" s="152">
        <v>3.6749809999999998</v>
      </c>
      <c r="P1735" s="152">
        <v>173.07129699999999</v>
      </c>
      <c r="Q1735" s="152">
        <v>3.6749809999999998</v>
      </c>
      <c r="R1735" s="152" t="s">
        <v>1327</v>
      </c>
      <c r="S1735" s="152">
        <v>101.674977</v>
      </c>
      <c r="T1735" s="152">
        <v>0.700685</v>
      </c>
      <c r="U1735" s="152">
        <v>1.6914689999999999</v>
      </c>
      <c r="V1735" s="152">
        <v>3.3607049999999998</v>
      </c>
      <c r="W1735" s="152">
        <v>1000</v>
      </c>
      <c r="X1735" s="152" t="s">
        <v>23</v>
      </c>
      <c r="Y1735" s="152" t="s">
        <v>1328</v>
      </c>
      <c r="Z1735" s="152" t="s">
        <v>1327</v>
      </c>
    </row>
    <row r="1736" spans="1:26" x14ac:dyDescent="0.2">
      <c r="A1736" s="152" t="s">
        <v>2842</v>
      </c>
      <c r="B1736" s="152">
        <v>4.3499999999999996</v>
      </c>
      <c r="C1736" s="151">
        <v>44287</v>
      </c>
      <c r="D1736" s="152">
        <v>2.435616</v>
      </c>
      <c r="E1736" s="152" t="s">
        <v>1325</v>
      </c>
      <c r="F1736" s="152" t="s">
        <v>1326</v>
      </c>
      <c r="G1736" s="152" t="s">
        <v>29</v>
      </c>
      <c r="H1736" s="152"/>
      <c r="I1736" s="151" t="s">
        <v>1327</v>
      </c>
      <c r="J1736" s="152" t="s">
        <v>1327</v>
      </c>
      <c r="K1736" s="152" t="s">
        <v>1327</v>
      </c>
      <c r="L1736" s="152" t="s">
        <v>1327</v>
      </c>
      <c r="M1736" s="152" t="s">
        <v>1327</v>
      </c>
      <c r="N1736" s="152" t="s">
        <v>1327</v>
      </c>
      <c r="O1736" s="152">
        <v>3.7048899999999998</v>
      </c>
      <c r="P1736" s="152">
        <v>168.98828399999999</v>
      </c>
      <c r="Q1736" s="152">
        <v>3.7048899999999998</v>
      </c>
      <c r="R1736" s="152" t="s">
        <v>1327</v>
      </c>
      <c r="S1736" s="152">
        <v>101.494393</v>
      </c>
      <c r="T1736" s="152">
        <v>-7.1507000000000001E-2</v>
      </c>
      <c r="U1736" s="152">
        <v>2.300827</v>
      </c>
      <c r="V1736" s="152">
        <v>6.0156859999999996</v>
      </c>
      <c r="W1736" s="152">
        <v>1000</v>
      </c>
      <c r="X1736" s="152" t="s">
        <v>23</v>
      </c>
      <c r="Y1736" s="152" t="s">
        <v>1328</v>
      </c>
      <c r="Z1736" s="152" t="s">
        <v>1327</v>
      </c>
    </row>
    <row r="1737" spans="1:26" x14ac:dyDescent="0.2">
      <c r="A1737" s="152" t="s">
        <v>2843</v>
      </c>
      <c r="B1737" s="152">
        <v>3.3</v>
      </c>
      <c r="C1737" s="151">
        <v>44312</v>
      </c>
      <c r="D1737" s="152">
        <v>2.5041099999999998</v>
      </c>
      <c r="E1737" s="152" t="s">
        <v>1325</v>
      </c>
      <c r="F1737" s="152" t="s">
        <v>1326</v>
      </c>
      <c r="G1737" s="152" t="s">
        <v>29</v>
      </c>
      <c r="H1737" s="152"/>
      <c r="I1737" s="151">
        <v>43276</v>
      </c>
      <c r="J1737" s="152">
        <v>3.179052</v>
      </c>
      <c r="K1737" s="152" t="s">
        <v>1327</v>
      </c>
      <c r="L1737" s="152" t="s">
        <v>1327</v>
      </c>
      <c r="M1737" s="152" t="s">
        <v>1327</v>
      </c>
      <c r="N1737" s="152" t="s">
        <v>1327</v>
      </c>
      <c r="O1737" s="152">
        <v>3.5974219999999999</v>
      </c>
      <c r="P1737" s="152">
        <v>157.33346700000001</v>
      </c>
      <c r="Q1737" s="152">
        <v>3.5974219999999999</v>
      </c>
      <c r="R1737" s="152" t="s">
        <v>1327</v>
      </c>
      <c r="S1737" s="152">
        <v>99.292598999999996</v>
      </c>
      <c r="T1737" s="152">
        <v>-5.4246999999999997E-2</v>
      </c>
      <c r="U1737" s="152">
        <v>2.3885890000000001</v>
      </c>
      <c r="V1737" s="152">
        <v>6.4280039999999996</v>
      </c>
      <c r="W1737" s="152">
        <v>1000</v>
      </c>
      <c r="X1737" s="152" t="s">
        <v>23</v>
      </c>
      <c r="Y1737" s="152" t="s">
        <v>1328</v>
      </c>
      <c r="Z1737" s="152" t="s">
        <v>1327</v>
      </c>
    </row>
    <row r="1738" spans="1:26" x14ac:dyDescent="0.2">
      <c r="A1738" s="152" t="s">
        <v>2844</v>
      </c>
      <c r="B1738" s="152">
        <v>4.9000000000000004</v>
      </c>
      <c r="C1738" s="151">
        <v>44413</v>
      </c>
      <c r="D1738" s="152">
        <v>2.7808220000000001</v>
      </c>
      <c r="E1738" s="152" t="s">
        <v>1325</v>
      </c>
      <c r="F1738" s="152" t="s">
        <v>1326</v>
      </c>
      <c r="G1738" s="152" t="s">
        <v>29</v>
      </c>
      <c r="H1738" s="152"/>
      <c r="I1738" s="151">
        <v>42711</v>
      </c>
      <c r="J1738" s="152">
        <v>4.53</v>
      </c>
      <c r="K1738" s="152" t="s">
        <v>1327</v>
      </c>
      <c r="L1738" s="152" t="s">
        <v>1327</v>
      </c>
      <c r="M1738" s="152" t="s">
        <v>1327</v>
      </c>
      <c r="N1738" s="152" t="s">
        <v>1327</v>
      </c>
      <c r="O1738" s="152">
        <v>4.5055810000000003</v>
      </c>
      <c r="P1738" s="152">
        <v>249.01891000000001</v>
      </c>
      <c r="Q1738" s="152">
        <v>4.5055810000000003</v>
      </c>
      <c r="R1738" s="152" t="s">
        <v>1327</v>
      </c>
      <c r="S1738" s="152">
        <v>101.027925</v>
      </c>
      <c r="T1738" s="152">
        <v>0.73835600000000001</v>
      </c>
      <c r="U1738" s="152">
        <v>2.568568</v>
      </c>
      <c r="V1738" s="152">
        <v>7.5358809999999998</v>
      </c>
      <c r="W1738" s="152">
        <v>1000</v>
      </c>
      <c r="X1738" s="152" t="s">
        <v>23</v>
      </c>
      <c r="Y1738" s="152" t="s">
        <v>1328</v>
      </c>
      <c r="Z1738" s="152" t="s">
        <v>1327</v>
      </c>
    </row>
    <row r="1739" spans="1:26" x14ac:dyDescent="0.2">
      <c r="A1739" s="152" t="s">
        <v>2845</v>
      </c>
      <c r="B1739" s="152">
        <v>4.5999999999999996</v>
      </c>
      <c r="C1739" s="151">
        <v>44652</v>
      </c>
      <c r="D1739" s="152">
        <v>3.435616</v>
      </c>
      <c r="E1739" s="152" t="s">
        <v>1325</v>
      </c>
      <c r="F1739" s="152" t="s">
        <v>1326</v>
      </c>
      <c r="G1739" s="152" t="s">
        <v>29</v>
      </c>
      <c r="H1739" s="152"/>
      <c r="I1739" s="151">
        <v>43214</v>
      </c>
      <c r="J1739" s="152">
        <v>4.42</v>
      </c>
      <c r="K1739" s="152" t="s">
        <v>1327</v>
      </c>
      <c r="L1739" s="152" t="s">
        <v>1327</v>
      </c>
      <c r="M1739" s="152" t="s">
        <v>1327</v>
      </c>
      <c r="N1739" s="152" t="s">
        <v>1327</v>
      </c>
      <c r="O1739" s="152">
        <v>4.7943199999999999</v>
      </c>
      <c r="P1739" s="152">
        <v>262.80038999999999</v>
      </c>
      <c r="Q1739" s="152">
        <v>4.7943199999999999</v>
      </c>
      <c r="R1739" s="152" t="s">
        <v>1327</v>
      </c>
      <c r="S1739" s="152">
        <v>99.390418999999994</v>
      </c>
      <c r="T1739" s="152">
        <v>-7.5616000000000003E-2</v>
      </c>
      <c r="U1739" s="152">
        <v>3.1566700000000001</v>
      </c>
      <c r="V1739" s="152">
        <v>11.201739999999999</v>
      </c>
      <c r="W1739" s="152">
        <v>1000</v>
      </c>
      <c r="X1739" s="152" t="s">
        <v>23</v>
      </c>
      <c r="Y1739" s="152" t="s">
        <v>1328</v>
      </c>
      <c r="Z1739" s="152" t="s">
        <v>1327</v>
      </c>
    </row>
    <row r="1740" spans="1:26" x14ac:dyDescent="0.2">
      <c r="A1740" s="152" t="s">
        <v>2846</v>
      </c>
      <c r="B1740" s="152">
        <v>5.2</v>
      </c>
      <c r="C1740" s="151">
        <v>44778</v>
      </c>
      <c r="D1740" s="152">
        <v>3.7808220000000001</v>
      </c>
      <c r="E1740" s="152" t="s">
        <v>1325</v>
      </c>
      <c r="F1740" s="152" t="s">
        <v>1326</v>
      </c>
      <c r="G1740" s="152" t="s">
        <v>29</v>
      </c>
      <c r="H1740" s="152"/>
      <c r="I1740" s="151">
        <v>42401</v>
      </c>
      <c r="J1740" s="152">
        <v>4.75</v>
      </c>
      <c r="K1740" s="152" t="s">
        <v>1327</v>
      </c>
      <c r="L1740" s="152" t="s">
        <v>1327</v>
      </c>
      <c r="M1740" s="152" t="s">
        <v>1327</v>
      </c>
      <c r="N1740" s="152" t="s">
        <v>1327</v>
      </c>
      <c r="O1740" s="152">
        <v>5.007962</v>
      </c>
      <c r="P1740" s="152">
        <v>277.78510499999999</v>
      </c>
      <c r="Q1740" s="152">
        <v>5.007962</v>
      </c>
      <c r="R1740" s="152" t="s">
        <v>1327</v>
      </c>
      <c r="S1740" s="152">
        <v>100.660487</v>
      </c>
      <c r="T1740" s="152">
        <v>0.78356199999999998</v>
      </c>
      <c r="U1740" s="152">
        <v>3.3878309999999998</v>
      </c>
      <c r="V1740" s="152">
        <v>13.071849</v>
      </c>
      <c r="W1740" s="152">
        <v>1000</v>
      </c>
      <c r="X1740" s="152" t="s">
        <v>23</v>
      </c>
      <c r="Y1740" s="152" t="s">
        <v>1328</v>
      </c>
      <c r="Z1740" s="152" t="s">
        <v>1327</v>
      </c>
    </row>
    <row r="1741" spans="1:26" x14ac:dyDescent="0.2">
      <c r="A1741" s="152" t="s">
        <v>2847</v>
      </c>
      <c r="B1741" s="152">
        <v>4.8</v>
      </c>
      <c r="C1741" s="151">
        <v>45017</v>
      </c>
      <c r="D1741" s="152">
        <v>4.4356159999999996</v>
      </c>
      <c r="E1741" s="152" t="s">
        <v>1325</v>
      </c>
      <c r="F1741" s="152" t="s">
        <v>1326</v>
      </c>
      <c r="G1741" s="152" t="s">
        <v>29</v>
      </c>
      <c r="H1741" s="152"/>
      <c r="I1741" s="151">
        <v>43214</v>
      </c>
      <c r="J1741" s="152">
        <v>4.7699999999999996</v>
      </c>
      <c r="K1741" s="151" t="s">
        <v>1327</v>
      </c>
      <c r="L1741" s="152" t="s">
        <v>1327</v>
      </c>
      <c r="M1741" s="152" t="s">
        <v>1327</v>
      </c>
      <c r="N1741" s="152" t="s">
        <v>1327</v>
      </c>
      <c r="O1741" s="152">
        <v>5.1230589999999996</v>
      </c>
      <c r="P1741" s="152">
        <v>283.08290799999997</v>
      </c>
      <c r="Q1741" s="152">
        <v>5.1230589999999996</v>
      </c>
      <c r="R1741" s="152" t="s">
        <v>1327</v>
      </c>
      <c r="S1741" s="152">
        <v>98.728573999999995</v>
      </c>
      <c r="T1741" s="152">
        <v>-7.8904000000000002E-2</v>
      </c>
      <c r="U1741" s="152">
        <v>3.9663539999999999</v>
      </c>
      <c r="V1741" s="152">
        <v>17.717130000000001</v>
      </c>
      <c r="W1741" s="152">
        <v>1000</v>
      </c>
      <c r="X1741" s="152" t="s">
        <v>23</v>
      </c>
      <c r="Y1741" s="152" t="s">
        <v>1328</v>
      </c>
      <c r="Z1741" s="152" t="s">
        <v>1327</v>
      </c>
    </row>
    <row r="1742" spans="1:26" x14ac:dyDescent="0.2">
      <c r="A1742" s="152" t="s">
        <v>2848</v>
      </c>
      <c r="B1742" s="152">
        <v>2.98</v>
      </c>
      <c r="C1742" s="151">
        <v>43926</v>
      </c>
      <c r="D1742" s="152">
        <v>1.4465749999999999</v>
      </c>
      <c r="E1742" s="152" t="s">
        <v>1325</v>
      </c>
      <c r="F1742" s="152" t="s">
        <v>1326</v>
      </c>
      <c r="G1742" s="152" t="s">
        <v>47</v>
      </c>
      <c r="H1742" s="152" t="s">
        <v>464</v>
      </c>
      <c r="I1742" s="151">
        <v>42878</v>
      </c>
      <c r="J1742" s="152">
        <v>2.94</v>
      </c>
      <c r="K1742" s="151" t="s">
        <v>1327</v>
      </c>
      <c r="L1742" s="152" t="s">
        <v>1327</v>
      </c>
      <c r="M1742" s="152" t="s">
        <v>1327</v>
      </c>
      <c r="N1742" s="152" t="s">
        <v>1327</v>
      </c>
      <c r="O1742" s="152">
        <v>2.5045190000000002</v>
      </c>
      <c r="P1742" s="152">
        <v>60.15813</v>
      </c>
      <c r="Q1742" s="152">
        <v>2.5045190000000002</v>
      </c>
      <c r="R1742" s="152" t="s">
        <v>1327</v>
      </c>
      <c r="S1742" s="152">
        <v>100.673299</v>
      </c>
      <c r="T1742" s="152">
        <v>0.16328799999999999</v>
      </c>
      <c r="U1742" s="152">
        <v>1.4044179999999999</v>
      </c>
      <c r="V1742" s="152">
        <v>2.6832240000000001</v>
      </c>
      <c r="W1742" s="152">
        <v>1000</v>
      </c>
      <c r="X1742" s="152" t="s">
        <v>23</v>
      </c>
      <c r="Y1742" s="152" t="s">
        <v>1328</v>
      </c>
      <c r="Z1742" s="152" t="s">
        <v>1327</v>
      </c>
    </row>
    <row r="1743" spans="1:26" x14ac:dyDescent="0.2">
      <c r="A1743" s="152" t="s">
        <v>642</v>
      </c>
      <c r="B1743" s="152">
        <v>2.5</v>
      </c>
      <c r="C1743" s="151">
        <v>44375</v>
      </c>
      <c r="D1743" s="152">
        <v>2.6767120000000002</v>
      </c>
      <c r="E1743" s="152" t="s">
        <v>1325</v>
      </c>
      <c r="F1743" s="152" t="s">
        <v>1326</v>
      </c>
      <c r="G1743" s="152" t="s">
        <v>47</v>
      </c>
      <c r="H1743" s="152"/>
      <c r="I1743" s="152">
        <v>43347</v>
      </c>
      <c r="J1743" s="152">
        <v>2.4950000000000001</v>
      </c>
      <c r="K1743" s="151" t="s">
        <v>1327</v>
      </c>
      <c r="L1743" s="152" t="s">
        <v>1327</v>
      </c>
      <c r="M1743" s="152" t="s">
        <v>1327</v>
      </c>
      <c r="N1743" s="152" t="s">
        <v>1327</v>
      </c>
      <c r="O1743" s="152">
        <v>2.637734</v>
      </c>
      <c r="P1743" s="152">
        <v>57.165770000000002</v>
      </c>
      <c r="Q1743" s="152">
        <v>2.637734</v>
      </c>
      <c r="R1743" s="152" t="s">
        <v>1327</v>
      </c>
      <c r="S1743" s="152">
        <v>99.641171</v>
      </c>
      <c r="T1743" s="152">
        <v>0.81506800000000001</v>
      </c>
      <c r="U1743" s="152">
        <v>2.5504060000000002</v>
      </c>
      <c r="V1743" s="152">
        <v>7.9190110000000002</v>
      </c>
      <c r="W1743" s="152">
        <v>1000</v>
      </c>
      <c r="X1743" s="152" t="s">
        <v>23</v>
      </c>
      <c r="Y1743" s="152" t="s">
        <v>1328</v>
      </c>
      <c r="Z1743" s="152" t="s">
        <v>1327</v>
      </c>
    </row>
    <row r="1744" spans="1:26" x14ac:dyDescent="0.2">
      <c r="A1744" s="152" t="s">
        <v>2849</v>
      </c>
      <c r="B1744" s="152">
        <v>2.97</v>
      </c>
      <c r="C1744" s="151">
        <v>44740</v>
      </c>
      <c r="D1744" s="152">
        <v>3.6767120000000002</v>
      </c>
      <c r="E1744" s="152" t="s">
        <v>1325</v>
      </c>
      <c r="F1744" s="152" t="s">
        <v>1326</v>
      </c>
      <c r="G1744" s="152" t="s">
        <v>47</v>
      </c>
      <c r="H1744" s="152"/>
      <c r="I1744" s="151">
        <v>43304</v>
      </c>
      <c r="J1744" s="152">
        <v>3.08</v>
      </c>
      <c r="K1744" s="151" t="s">
        <v>1327</v>
      </c>
      <c r="L1744" s="152" t="s">
        <v>1327</v>
      </c>
      <c r="M1744" s="152" t="s">
        <v>1327</v>
      </c>
      <c r="N1744" s="152" t="s">
        <v>1327</v>
      </c>
      <c r="O1744" s="152">
        <v>3.3190900000000001</v>
      </c>
      <c r="P1744" s="152">
        <v>102.838455</v>
      </c>
      <c r="Q1744" s="152">
        <v>3.3190900000000001</v>
      </c>
      <c r="R1744" s="152" t="s">
        <v>1327</v>
      </c>
      <c r="S1744" s="152">
        <v>98.794616000000005</v>
      </c>
      <c r="T1744" s="152">
        <v>0.96830099999999997</v>
      </c>
      <c r="U1744" s="152">
        <v>3.4180519999999999</v>
      </c>
      <c r="V1744" s="152">
        <v>13.815213</v>
      </c>
      <c r="W1744" s="152">
        <v>1000</v>
      </c>
      <c r="X1744" s="152" t="s">
        <v>23</v>
      </c>
      <c r="Y1744" s="152" t="s">
        <v>1328</v>
      </c>
      <c r="Z1744" s="152" t="s">
        <v>1327</v>
      </c>
    </row>
    <row r="1745" spans="1:26" x14ac:dyDescent="0.2">
      <c r="A1745" s="152" t="s">
        <v>2850</v>
      </c>
      <c r="B1745" s="152">
        <v>4.18</v>
      </c>
      <c r="C1745" s="151">
        <v>45387</v>
      </c>
      <c r="D1745" s="152">
        <v>5.4493150000000004</v>
      </c>
      <c r="E1745" s="152" t="s">
        <v>1325</v>
      </c>
      <c r="F1745" s="152" t="s">
        <v>1326</v>
      </c>
      <c r="G1745" s="152" t="s">
        <v>47</v>
      </c>
      <c r="H1745" s="152" t="s">
        <v>464</v>
      </c>
      <c r="I1745" s="151">
        <v>43179</v>
      </c>
      <c r="J1745" s="152">
        <v>3.35</v>
      </c>
      <c r="K1745" s="151" t="s">
        <v>1327</v>
      </c>
      <c r="L1745" s="152" t="s">
        <v>1327</v>
      </c>
      <c r="M1745" s="152" t="s">
        <v>1327</v>
      </c>
      <c r="N1745" s="152" t="s">
        <v>1327</v>
      </c>
      <c r="O1745" s="152">
        <v>3.7557429999999998</v>
      </c>
      <c r="P1745" s="152">
        <v>130.19583900000001</v>
      </c>
      <c r="Q1745" s="152">
        <v>3.7557429999999998</v>
      </c>
      <c r="R1745" s="152" t="s">
        <v>1327</v>
      </c>
      <c r="S1745" s="152">
        <v>102.07510000000001</v>
      </c>
      <c r="T1745" s="152">
        <v>0.22904099999999999</v>
      </c>
      <c r="U1745" s="152">
        <v>4.8299909999999997</v>
      </c>
      <c r="V1745" s="152">
        <v>27.227495000000001</v>
      </c>
      <c r="W1745" s="152">
        <v>1000</v>
      </c>
      <c r="X1745" s="152" t="s">
        <v>23</v>
      </c>
      <c r="Y1745" s="152" t="s">
        <v>1328</v>
      </c>
      <c r="Z1745" s="152" t="s">
        <v>1327</v>
      </c>
    </row>
    <row r="1746" spans="1:26" x14ac:dyDescent="0.2">
      <c r="A1746" s="152" t="s">
        <v>2851</v>
      </c>
      <c r="B1746" s="152">
        <v>3.65</v>
      </c>
      <c r="C1746" s="151">
        <v>45836</v>
      </c>
      <c r="D1746" s="152">
        <v>6.6794520000000004</v>
      </c>
      <c r="E1746" s="152" t="s">
        <v>1325</v>
      </c>
      <c r="F1746" s="152" t="s">
        <v>1326</v>
      </c>
      <c r="G1746" s="152" t="s">
        <v>47</v>
      </c>
      <c r="H1746" s="152"/>
      <c r="I1746" s="151" t="s">
        <v>1327</v>
      </c>
      <c r="J1746" s="152" t="s">
        <v>1327</v>
      </c>
      <c r="K1746" s="152" t="s">
        <v>1327</v>
      </c>
      <c r="L1746" s="152" t="s">
        <v>1327</v>
      </c>
      <c r="M1746" s="152" t="s">
        <v>1327</v>
      </c>
      <c r="N1746" s="152" t="s">
        <v>1327</v>
      </c>
      <c r="O1746" s="152">
        <v>3.9029530000000001</v>
      </c>
      <c r="P1746" s="152">
        <v>130.760504</v>
      </c>
      <c r="Q1746" s="152">
        <v>3.9029530000000001</v>
      </c>
      <c r="R1746" s="152" t="s">
        <v>1327</v>
      </c>
      <c r="S1746" s="152">
        <v>98.517025000000004</v>
      </c>
      <c r="T1746" s="152">
        <v>1.19</v>
      </c>
      <c r="U1746" s="152">
        <v>5.795185</v>
      </c>
      <c r="V1746" s="152">
        <v>39.251185</v>
      </c>
      <c r="W1746" s="152">
        <v>1000</v>
      </c>
      <c r="X1746" s="152" t="s">
        <v>23</v>
      </c>
      <c r="Y1746" s="152" t="s">
        <v>1328</v>
      </c>
      <c r="Z1746" s="152" t="s">
        <v>1327</v>
      </c>
    </row>
    <row r="1747" spans="1:26" x14ac:dyDescent="0.2">
      <c r="A1747" s="152" t="s">
        <v>2852</v>
      </c>
      <c r="B1747" s="152">
        <v>4.0599999999999996</v>
      </c>
      <c r="C1747" s="151">
        <v>46932</v>
      </c>
      <c r="D1747" s="152">
        <v>9.6821920000000006</v>
      </c>
      <c r="E1747" s="152" t="s">
        <v>1325</v>
      </c>
      <c r="F1747" s="152" t="s">
        <v>1326</v>
      </c>
      <c r="G1747" s="152" t="s">
        <v>47</v>
      </c>
      <c r="H1747" s="152"/>
      <c r="I1747" s="151">
        <v>43314</v>
      </c>
      <c r="J1747" s="152">
        <v>4</v>
      </c>
      <c r="K1747" s="152" t="s">
        <v>1327</v>
      </c>
      <c r="L1747" s="152" t="s">
        <v>1327</v>
      </c>
      <c r="M1747" s="152" t="s">
        <v>1327</v>
      </c>
      <c r="N1747" s="152" t="s">
        <v>1327</v>
      </c>
      <c r="O1747" s="152">
        <v>4.1639809999999997</v>
      </c>
      <c r="P1747" s="152">
        <v>139.915447</v>
      </c>
      <c r="Q1747" s="152">
        <v>4.1639809999999997</v>
      </c>
      <c r="R1747" s="152" t="s">
        <v>1327</v>
      </c>
      <c r="S1747" s="152">
        <v>99.168515999999997</v>
      </c>
      <c r="T1747" s="152">
        <v>1.323671</v>
      </c>
      <c r="U1747" s="152">
        <v>7.8214560000000004</v>
      </c>
      <c r="V1747" s="152">
        <v>73.151377999999994</v>
      </c>
      <c r="W1747" s="152">
        <v>1000</v>
      </c>
      <c r="X1747" s="152" t="s">
        <v>23</v>
      </c>
      <c r="Y1747" s="152" t="s">
        <v>1328</v>
      </c>
      <c r="Z1747" s="152" t="s">
        <v>1327</v>
      </c>
    </row>
    <row r="1748" spans="1:26" x14ac:dyDescent="0.2">
      <c r="A1748" s="152" t="s">
        <v>2853</v>
      </c>
      <c r="B1748" s="152">
        <v>4.95</v>
      </c>
      <c r="C1748" s="151">
        <v>43639</v>
      </c>
      <c r="D1748" s="152">
        <v>0.66027400000000003</v>
      </c>
      <c r="E1748" s="152" t="s">
        <v>1325</v>
      </c>
      <c r="F1748" s="152" t="s">
        <v>1326</v>
      </c>
      <c r="G1748" s="152"/>
      <c r="H1748" s="152"/>
      <c r="I1748" s="152" t="s">
        <v>1327</v>
      </c>
      <c r="J1748" s="152" t="s">
        <v>1327</v>
      </c>
      <c r="K1748" s="152" t="s">
        <v>1327</v>
      </c>
      <c r="L1748" s="152" t="s">
        <v>1327</v>
      </c>
      <c r="M1748" s="152" t="s">
        <v>1327</v>
      </c>
      <c r="N1748" s="152" t="s">
        <v>1327</v>
      </c>
      <c r="O1748" s="152">
        <v>5.2726620000000004</v>
      </c>
      <c r="P1748" s="152">
        <v>360.16160300000001</v>
      </c>
      <c r="Q1748" s="152">
        <v>5.2726620000000004</v>
      </c>
      <c r="R1748" s="152" t="s">
        <v>1327</v>
      </c>
      <c r="S1748" s="152">
        <v>99.793080000000003</v>
      </c>
      <c r="T1748" s="152">
        <v>0.433973</v>
      </c>
      <c r="U1748" s="152">
        <v>0.64401200000000003</v>
      </c>
      <c r="V1748" s="152">
        <v>0.57729600000000003</v>
      </c>
      <c r="W1748" s="152">
        <v>1000</v>
      </c>
      <c r="X1748" s="152" t="s">
        <v>23</v>
      </c>
      <c r="Y1748" s="152" t="s">
        <v>1328</v>
      </c>
      <c r="Z1748" s="152" t="s">
        <v>1327</v>
      </c>
    </row>
    <row r="1749" spans="1:26" x14ac:dyDescent="0.2">
      <c r="A1749" s="152" t="s">
        <v>2854</v>
      </c>
      <c r="B1749" s="152">
        <v>5.25</v>
      </c>
      <c r="C1749" s="151">
        <v>43636</v>
      </c>
      <c r="D1749" s="152">
        <v>0.65205500000000005</v>
      </c>
      <c r="E1749" s="152" t="s">
        <v>1325</v>
      </c>
      <c r="F1749" s="152" t="s">
        <v>1326</v>
      </c>
      <c r="G1749" s="152"/>
      <c r="H1749" s="152"/>
      <c r="I1749" s="151" t="s">
        <v>1327</v>
      </c>
      <c r="J1749" s="152" t="s">
        <v>1327</v>
      </c>
      <c r="K1749" s="152" t="s">
        <v>1327</v>
      </c>
      <c r="L1749" s="152" t="s">
        <v>1327</v>
      </c>
      <c r="M1749" s="152" t="s">
        <v>1327</v>
      </c>
      <c r="N1749" s="152" t="s">
        <v>1327</v>
      </c>
      <c r="O1749" s="152">
        <v>5.3655239999999997</v>
      </c>
      <c r="P1749" s="152">
        <v>370.00533200000001</v>
      </c>
      <c r="Q1749" s="152">
        <v>5.3655239999999997</v>
      </c>
      <c r="R1749" s="152" t="s">
        <v>1327</v>
      </c>
      <c r="S1749" s="152">
        <v>99.92783</v>
      </c>
      <c r="T1749" s="152">
        <v>0.50342500000000001</v>
      </c>
      <c r="U1749" s="152">
        <v>0.63522500000000004</v>
      </c>
      <c r="V1749" s="152">
        <v>0.56405799999999995</v>
      </c>
      <c r="W1749" s="152">
        <v>1000</v>
      </c>
      <c r="X1749" s="152" t="s">
        <v>23</v>
      </c>
      <c r="Y1749" s="152" t="s">
        <v>1328</v>
      </c>
      <c r="Z1749" s="152" t="s">
        <v>1327</v>
      </c>
    </row>
    <row r="1750" spans="1:26" x14ac:dyDescent="0.2">
      <c r="A1750" s="152" t="s">
        <v>2855</v>
      </c>
      <c r="B1750" s="152">
        <v>3.8</v>
      </c>
      <c r="C1750" s="151">
        <v>43682</v>
      </c>
      <c r="D1750" s="152">
        <v>0.77808200000000005</v>
      </c>
      <c r="E1750" s="152" t="s">
        <v>1325</v>
      </c>
      <c r="F1750" s="152" t="s">
        <v>1326</v>
      </c>
      <c r="G1750" s="152"/>
      <c r="H1750" s="152"/>
      <c r="I1750" s="151" t="s">
        <v>1327</v>
      </c>
      <c r="J1750" s="152" t="s">
        <v>1327</v>
      </c>
      <c r="K1750" s="152" t="s">
        <v>1327</v>
      </c>
      <c r="L1750" s="152" t="s">
        <v>1327</v>
      </c>
      <c r="M1750" s="152" t="s">
        <v>1327</v>
      </c>
      <c r="N1750" s="152" t="s">
        <v>1327</v>
      </c>
      <c r="O1750" s="152">
        <v>5.286683</v>
      </c>
      <c r="P1750" s="152">
        <v>360.64031899999998</v>
      </c>
      <c r="Q1750" s="152">
        <v>5.286683</v>
      </c>
      <c r="R1750" s="152" t="s">
        <v>1327</v>
      </c>
      <c r="S1750" s="152">
        <v>98.871908000000005</v>
      </c>
      <c r="T1750" s="152">
        <v>-0.114521</v>
      </c>
      <c r="U1750" s="152">
        <v>0.76297499999999996</v>
      </c>
      <c r="V1750" s="152">
        <v>0.77321499999999999</v>
      </c>
      <c r="W1750" s="152">
        <v>1000</v>
      </c>
      <c r="X1750" s="152" t="s">
        <v>23</v>
      </c>
      <c r="Y1750" s="152" t="s">
        <v>1328</v>
      </c>
      <c r="Z1750" s="152" t="s">
        <v>1327</v>
      </c>
    </row>
    <row r="1751" spans="1:26" x14ac:dyDescent="0.2">
      <c r="A1751" s="152" t="s">
        <v>2856</v>
      </c>
      <c r="B1751" s="152">
        <v>3.8</v>
      </c>
      <c r="C1751" s="151">
        <v>43722</v>
      </c>
      <c r="D1751" s="152">
        <v>0.88767099999999999</v>
      </c>
      <c r="E1751" s="152" t="s">
        <v>1325</v>
      </c>
      <c r="F1751" s="152" t="s">
        <v>1326</v>
      </c>
      <c r="G1751" s="152"/>
      <c r="H1751" s="152"/>
      <c r="I1751" s="151" t="s">
        <v>1327</v>
      </c>
      <c r="J1751" s="152" t="s">
        <v>1327</v>
      </c>
      <c r="K1751" s="152" t="s">
        <v>1327</v>
      </c>
      <c r="L1751" s="152" t="s">
        <v>1327</v>
      </c>
      <c r="M1751" s="152" t="s">
        <v>1327</v>
      </c>
      <c r="N1751" s="152" t="s">
        <v>1327</v>
      </c>
      <c r="O1751" s="152">
        <v>5.31168</v>
      </c>
      <c r="P1751" s="152">
        <v>360.88762100000002</v>
      </c>
      <c r="Q1751" s="152">
        <v>5.31168</v>
      </c>
      <c r="R1751" s="152" t="s">
        <v>1327</v>
      </c>
      <c r="S1751" s="152">
        <v>98.699726999999996</v>
      </c>
      <c r="T1751" s="152">
        <v>0.42684899999999998</v>
      </c>
      <c r="U1751" s="152">
        <v>0.86140000000000005</v>
      </c>
      <c r="V1751" s="152">
        <v>0.96240599999999998</v>
      </c>
      <c r="W1751" s="152">
        <v>1000</v>
      </c>
      <c r="X1751" s="152" t="s">
        <v>23</v>
      </c>
      <c r="Y1751" s="152" t="s">
        <v>1328</v>
      </c>
      <c r="Z1751" s="152" t="s">
        <v>1327</v>
      </c>
    </row>
    <row r="1752" spans="1:26" x14ac:dyDescent="0.2">
      <c r="A1752" s="152" t="s">
        <v>2857</v>
      </c>
      <c r="B1752" s="152">
        <v>5.0999999999999996</v>
      </c>
      <c r="C1752" s="151">
        <v>44005</v>
      </c>
      <c r="D1752" s="152">
        <v>1.663014</v>
      </c>
      <c r="E1752" s="152" t="s">
        <v>1325</v>
      </c>
      <c r="F1752" s="152" t="s">
        <v>1326</v>
      </c>
      <c r="G1752" s="152"/>
      <c r="H1752" s="152"/>
      <c r="I1752" s="151" t="s">
        <v>1327</v>
      </c>
      <c r="J1752" s="152" t="s">
        <v>1327</v>
      </c>
      <c r="K1752" s="152" t="s">
        <v>1327</v>
      </c>
      <c r="L1752" s="152" t="s">
        <v>1327</v>
      </c>
      <c r="M1752" s="152" t="s">
        <v>1327</v>
      </c>
      <c r="N1752" s="152" t="s">
        <v>1327</v>
      </c>
      <c r="O1752" s="152">
        <v>5.5591390000000001</v>
      </c>
      <c r="P1752" s="152">
        <v>370.36399699999998</v>
      </c>
      <c r="Q1752" s="152">
        <v>5.5591390000000001</v>
      </c>
      <c r="R1752" s="152" t="s">
        <v>1327</v>
      </c>
      <c r="S1752" s="152">
        <v>99.277525999999995</v>
      </c>
      <c r="T1752" s="152">
        <v>0.44712299999999999</v>
      </c>
      <c r="U1752" s="152">
        <v>1.574732</v>
      </c>
      <c r="V1752" s="152">
        <v>2.932963</v>
      </c>
      <c r="W1752" s="152">
        <v>1000</v>
      </c>
      <c r="X1752" s="152" t="s">
        <v>23</v>
      </c>
      <c r="Y1752" s="152" t="s">
        <v>1328</v>
      </c>
      <c r="Z1752" s="152" t="s">
        <v>1327</v>
      </c>
    </row>
    <row r="1753" spans="1:26" x14ac:dyDescent="0.2">
      <c r="A1753" s="152" t="s">
        <v>2858</v>
      </c>
      <c r="B1753" s="152">
        <v>2.78</v>
      </c>
      <c r="C1753" s="151">
        <v>43515</v>
      </c>
      <c r="D1753" s="152">
        <v>0.320548</v>
      </c>
      <c r="E1753" s="152" t="s">
        <v>1325</v>
      </c>
      <c r="F1753" s="152" t="s">
        <v>1326</v>
      </c>
      <c r="G1753" s="152"/>
      <c r="H1753" s="152"/>
      <c r="I1753" s="152" t="s">
        <v>1327</v>
      </c>
      <c r="J1753" s="152" t="s">
        <v>1327</v>
      </c>
      <c r="K1753" s="152" t="s">
        <v>1327</v>
      </c>
      <c r="L1753" s="152" t="s">
        <v>1327</v>
      </c>
      <c r="M1753" s="152" t="s">
        <v>1327</v>
      </c>
      <c r="N1753" s="152" t="s">
        <v>1327</v>
      </c>
      <c r="O1753" s="152">
        <v>2.8174130000000002</v>
      </c>
      <c r="P1753" s="152">
        <v>121.81725299999999</v>
      </c>
      <c r="Q1753" s="152">
        <v>2.8174130000000002</v>
      </c>
      <c r="R1753" s="152" t="s">
        <v>1327</v>
      </c>
      <c r="S1753" s="152">
        <v>99.971208000000004</v>
      </c>
      <c r="T1753" s="152">
        <v>1.8888769999999999</v>
      </c>
      <c r="U1753" s="152">
        <v>0.31767899999999999</v>
      </c>
      <c r="V1753" s="152">
        <v>0.20183999999999999</v>
      </c>
      <c r="W1753" s="152">
        <v>1000</v>
      </c>
      <c r="X1753" s="152" t="s">
        <v>23</v>
      </c>
      <c r="Y1753" s="152" t="s">
        <v>1328</v>
      </c>
      <c r="Z1753" s="152" t="s">
        <v>1327</v>
      </c>
    </row>
    <row r="1754" spans="1:26" x14ac:dyDescent="0.2">
      <c r="A1754" s="152" t="s">
        <v>229</v>
      </c>
      <c r="B1754" s="152">
        <v>2.78</v>
      </c>
      <c r="C1754" s="151">
        <v>43518</v>
      </c>
      <c r="D1754" s="152">
        <v>0.32876699999999998</v>
      </c>
      <c r="E1754" s="152" t="s">
        <v>1325</v>
      </c>
      <c r="F1754" s="152" t="s">
        <v>1326</v>
      </c>
      <c r="G1754" s="152"/>
      <c r="H1754" s="152"/>
      <c r="I1754" s="151" t="s">
        <v>1327</v>
      </c>
      <c r="J1754" s="152" t="s">
        <v>1327</v>
      </c>
      <c r="K1754" s="152" t="s">
        <v>1327</v>
      </c>
      <c r="L1754" s="152" t="s">
        <v>1327</v>
      </c>
      <c r="M1754" s="152" t="s">
        <v>1327</v>
      </c>
      <c r="N1754" s="152" t="s">
        <v>1327</v>
      </c>
      <c r="O1754" s="152">
        <v>2.8270119999999999</v>
      </c>
      <c r="P1754" s="152">
        <v>121.95306100000001</v>
      </c>
      <c r="Q1754" s="152">
        <v>2.8270119999999999</v>
      </c>
      <c r="R1754" s="152" t="s">
        <v>1327</v>
      </c>
      <c r="S1754" s="152">
        <v>99.967292</v>
      </c>
      <c r="T1754" s="152">
        <v>1.8888769999999999</v>
      </c>
      <c r="U1754" s="152">
        <v>0.32573999999999997</v>
      </c>
      <c r="V1754" s="152">
        <v>0.21221300000000001</v>
      </c>
      <c r="W1754" s="152">
        <v>1000</v>
      </c>
      <c r="X1754" s="152" t="s">
        <v>23</v>
      </c>
      <c r="Y1754" s="152" t="s">
        <v>1328</v>
      </c>
      <c r="Z1754" s="152" t="s">
        <v>1327</v>
      </c>
    </row>
    <row r="1755" spans="1:26" x14ac:dyDescent="0.2">
      <c r="A1755" s="152" t="s">
        <v>2859</v>
      </c>
      <c r="B1755" s="152">
        <v>0</v>
      </c>
      <c r="C1755" s="151">
        <v>43601</v>
      </c>
      <c r="D1755" s="152">
        <v>0.55616399999999999</v>
      </c>
      <c r="E1755" s="152" t="s">
        <v>1325</v>
      </c>
      <c r="F1755" s="152" t="s">
        <v>1326</v>
      </c>
      <c r="G1755" s="152"/>
      <c r="H1755" s="152"/>
      <c r="I1755" s="151" t="s">
        <v>1327</v>
      </c>
      <c r="J1755" s="152" t="s">
        <v>1327</v>
      </c>
      <c r="K1755" s="152" t="s">
        <v>1327</v>
      </c>
      <c r="L1755" s="152" t="s">
        <v>1327</v>
      </c>
      <c r="M1755" s="152" t="s">
        <v>1327</v>
      </c>
      <c r="N1755" s="152" t="s">
        <v>1327</v>
      </c>
      <c r="O1755" s="152">
        <v>2.939454</v>
      </c>
      <c r="P1755" s="152">
        <v>119.21625899999999</v>
      </c>
      <c r="Q1755" s="152">
        <v>2.939454</v>
      </c>
      <c r="R1755" s="152" t="s">
        <v>1327</v>
      </c>
      <c r="S1755" s="152">
        <v>98.391476999999995</v>
      </c>
      <c r="T1755" s="152">
        <v>0</v>
      </c>
      <c r="U1755" s="152">
        <v>0.54721799999999998</v>
      </c>
      <c r="V1755" s="152">
        <v>0.59889599999999998</v>
      </c>
      <c r="W1755" s="152">
        <v>1000</v>
      </c>
      <c r="X1755" s="152" t="s">
        <v>23</v>
      </c>
      <c r="Y1755" s="152" t="s">
        <v>1328</v>
      </c>
      <c r="Z1755" s="152" t="s">
        <v>1327</v>
      </c>
    </row>
    <row r="1756" spans="1:26" x14ac:dyDescent="0.2">
      <c r="A1756" s="152" t="s">
        <v>644</v>
      </c>
      <c r="B1756" s="152">
        <v>4.1100000000000003</v>
      </c>
      <c r="C1756" s="151">
        <v>44875</v>
      </c>
      <c r="D1756" s="152">
        <v>4.0465749999999998</v>
      </c>
      <c r="E1756" s="152" t="s">
        <v>1325</v>
      </c>
      <c r="F1756" s="152" t="s">
        <v>1326</v>
      </c>
      <c r="G1756" s="152" t="s">
        <v>116</v>
      </c>
      <c r="H1756" s="152"/>
      <c r="I1756" s="151">
        <v>43389</v>
      </c>
      <c r="J1756" s="152">
        <v>3.78</v>
      </c>
      <c r="K1756" s="152" t="s">
        <v>1327</v>
      </c>
      <c r="L1756" s="152" t="s">
        <v>1327</v>
      </c>
      <c r="M1756" s="152" t="s">
        <v>1327</v>
      </c>
      <c r="N1756" s="152" t="s">
        <v>1327</v>
      </c>
      <c r="O1756" s="152">
        <v>3.7761550000000002</v>
      </c>
      <c r="P1756" s="152">
        <v>145.72345300000001</v>
      </c>
      <c r="Q1756" s="152">
        <v>3.7761550000000002</v>
      </c>
      <c r="R1756" s="152" t="s">
        <v>1327</v>
      </c>
      <c r="S1756" s="152">
        <v>101.22274899999999</v>
      </c>
      <c r="T1756" s="152">
        <v>1.891726</v>
      </c>
      <c r="U1756" s="152">
        <v>3.63218</v>
      </c>
      <c r="V1756" s="152">
        <v>15.810041</v>
      </c>
      <c r="W1756" s="152">
        <v>1000</v>
      </c>
      <c r="X1756" s="152" t="s">
        <v>23</v>
      </c>
      <c r="Y1756" s="152" t="s">
        <v>1328</v>
      </c>
      <c r="Z1756" s="152" t="s">
        <v>1327</v>
      </c>
    </row>
    <row r="1757" spans="1:26" x14ac:dyDescent="0.2">
      <c r="A1757" s="152" t="s">
        <v>2860</v>
      </c>
      <c r="B1757" s="152">
        <v>4.2</v>
      </c>
      <c r="C1757" s="151">
        <v>43766</v>
      </c>
      <c r="D1757" s="152">
        <v>1.008219</v>
      </c>
      <c r="E1757" s="152" t="s">
        <v>1325</v>
      </c>
      <c r="F1757" s="152" t="s">
        <v>1326</v>
      </c>
      <c r="G1757" s="152"/>
      <c r="H1757" s="152"/>
      <c r="I1757" s="151">
        <v>42982</v>
      </c>
      <c r="J1757" s="152">
        <v>4</v>
      </c>
      <c r="K1757" s="152" t="s">
        <v>1327</v>
      </c>
      <c r="L1757" s="152" t="s">
        <v>1327</v>
      </c>
      <c r="M1757" s="152" t="s">
        <v>1327</v>
      </c>
      <c r="N1757" s="152" t="s">
        <v>1327</v>
      </c>
      <c r="O1757" s="152">
        <v>4.3287899999999997</v>
      </c>
      <c r="P1757" s="152">
        <v>256.091071</v>
      </c>
      <c r="Q1757" s="152">
        <v>4.3287899999999997</v>
      </c>
      <c r="R1757" s="152" t="s">
        <v>1327</v>
      </c>
      <c r="S1757" s="152">
        <v>99.874645000000001</v>
      </c>
      <c r="T1757" s="152">
        <v>-3.4521000000000003E-2</v>
      </c>
      <c r="U1757" s="152">
        <v>0.97678699999999996</v>
      </c>
      <c r="V1757" s="152">
        <v>1.4369879999999999</v>
      </c>
      <c r="W1757" s="152">
        <v>1000</v>
      </c>
      <c r="X1757" s="152" t="s">
        <v>23</v>
      </c>
      <c r="Y1757" s="152" t="s">
        <v>1328</v>
      </c>
      <c r="Z1757" s="152" t="s">
        <v>1327</v>
      </c>
    </row>
    <row r="1758" spans="1:26" x14ac:dyDescent="0.2">
      <c r="A1758" s="152" t="s">
        <v>2861</v>
      </c>
      <c r="B1758" s="152">
        <v>4.5</v>
      </c>
      <c r="C1758" s="151">
        <v>43926</v>
      </c>
      <c r="D1758" s="152">
        <v>1.4465749999999999</v>
      </c>
      <c r="E1758" s="152" t="s">
        <v>1325</v>
      </c>
      <c r="F1758" s="152" t="s">
        <v>1326</v>
      </c>
      <c r="G1758" s="152"/>
      <c r="H1758" s="152"/>
      <c r="I1758" s="151">
        <v>43251</v>
      </c>
      <c r="J1758" s="152">
        <v>4.4000000000000004</v>
      </c>
      <c r="K1758" s="152" t="s">
        <v>1327</v>
      </c>
      <c r="L1758" s="152" t="s">
        <v>1327</v>
      </c>
      <c r="M1758" s="152" t="s">
        <v>1327</v>
      </c>
      <c r="N1758" s="152" t="s">
        <v>1327</v>
      </c>
      <c r="O1758" s="152">
        <v>4.597766</v>
      </c>
      <c r="P1758" s="152">
        <v>272.88522899999998</v>
      </c>
      <c r="Q1758" s="152">
        <v>4.597766</v>
      </c>
      <c r="R1758" s="152" t="s">
        <v>1327</v>
      </c>
      <c r="S1758" s="152">
        <v>99.868544</v>
      </c>
      <c r="T1758" s="152">
        <v>0.24657499999999999</v>
      </c>
      <c r="U1758" s="152">
        <v>1.3793359999999999</v>
      </c>
      <c r="V1758" s="152">
        <v>2.6019000000000001</v>
      </c>
      <c r="W1758" s="152">
        <v>1000</v>
      </c>
      <c r="X1758" s="152" t="s">
        <v>23</v>
      </c>
      <c r="Y1758" s="152" t="s">
        <v>1328</v>
      </c>
      <c r="Z1758" s="152" t="s">
        <v>1327</v>
      </c>
    </row>
    <row r="1759" spans="1:26" x14ac:dyDescent="0.2">
      <c r="A1759" s="152" t="s">
        <v>2862</v>
      </c>
      <c r="B1759" s="152">
        <v>4.5</v>
      </c>
      <c r="C1759" s="151">
        <v>44278</v>
      </c>
      <c r="D1759" s="152">
        <v>2.4109590000000001</v>
      </c>
      <c r="E1759" s="152" t="s">
        <v>1325</v>
      </c>
      <c r="F1759" s="152" t="s">
        <v>1326</v>
      </c>
      <c r="G1759" s="152" t="s">
        <v>35</v>
      </c>
      <c r="H1759" s="152"/>
      <c r="I1759" s="151">
        <v>43381</v>
      </c>
      <c r="J1759" s="152">
        <v>4.3499999999999996</v>
      </c>
      <c r="K1759" s="152" t="s">
        <v>1327</v>
      </c>
      <c r="L1759" s="152" t="s">
        <v>1327</v>
      </c>
      <c r="M1759" s="152" t="s">
        <v>1327</v>
      </c>
      <c r="N1759" s="152" t="s">
        <v>1327</v>
      </c>
      <c r="O1759" s="152">
        <v>4.3626959999999997</v>
      </c>
      <c r="P1759" s="152">
        <v>237.83168800000001</v>
      </c>
      <c r="Q1759" s="152">
        <v>4.3626959999999997</v>
      </c>
      <c r="R1759" s="152" t="s">
        <v>1327</v>
      </c>
      <c r="S1759" s="152">
        <v>100.314378</v>
      </c>
      <c r="T1759" s="152">
        <v>0.39452100000000001</v>
      </c>
      <c r="U1759" s="152">
        <v>2.265663</v>
      </c>
      <c r="V1759" s="152">
        <v>5.868595</v>
      </c>
      <c r="W1759" s="152">
        <v>1000</v>
      </c>
      <c r="X1759" s="152" t="s">
        <v>23</v>
      </c>
      <c r="Y1759" s="152" t="s">
        <v>1328</v>
      </c>
      <c r="Z1759" s="152" t="s">
        <v>1327</v>
      </c>
    </row>
    <row r="1760" spans="1:26" x14ac:dyDescent="0.2">
      <c r="A1760" s="152" t="s">
        <v>2863</v>
      </c>
      <c r="B1760" s="152">
        <v>5</v>
      </c>
      <c r="C1760" s="151">
        <v>44580</v>
      </c>
      <c r="D1760" s="152">
        <v>3.238356</v>
      </c>
      <c r="E1760" s="152" t="s">
        <v>1325</v>
      </c>
      <c r="F1760" s="152" t="s">
        <v>1326</v>
      </c>
      <c r="G1760" s="152" t="s">
        <v>35</v>
      </c>
      <c r="H1760" s="152"/>
      <c r="I1760" s="151" t="s">
        <v>1327</v>
      </c>
      <c r="J1760" s="152" t="s">
        <v>1327</v>
      </c>
      <c r="K1760" s="152" t="s">
        <v>1327</v>
      </c>
      <c r="L1760" s="152" t="s">
        <v>1327</v>
      </c>
      <c r="M1760" s="152" t="s">
        <v>1327</v>
      </c>
      <c r="N1760" s="152" t="s">
        <v>1327</v>
      </c>
      <c r="O1760" s="152">
        <v>4.9918779999999998</v>
      </c>
      <c r="P1760" s="152">
        <v>289.83879000000002</v>
      </c>
      <c r="Q1760" s="152">
        <v>4.9918779999999998</v>
      </c>
      <c r="R1760" s="152" t="s">
        <v>1327</v>
      </c>
      <c r="S1760" s="152">
        <v>100.013435</v>
      </c>
      <c r="T1760" s="152">
        <v>8.2192000000000001E-2</v>
      </c>
      <c r="U1760" s="152">
        <v>2.9684339999999998</v>
      </c>
      <c r="V1760" s="152">
        <v>9.9664950000000001</v>
      </c>
      <c r="W1760" s="152">
        <v>1000</v>
      </c>
      <c r="X1760" s="152" t="s">
        <v>23</v>
      </c>
      <c r="Y1760" s="152" t="s">
        <v>1328</v>
      </c>
      <c r="Z1760" s="152" t="s">
        <v>1327</v>
      </c>
    </row>
    <row r="1761" spans="1:26" x14ac:dyDescent="0.2">
      <c r="A1761" s="152" t="s">
        <v>2864</v>
      </c>
      <c r="B1761" s="152">
        <v>4.55</v>
      </c>
      <c r="C1761" s="151">
        <v>43965</v>
      </c>
      <c r="D1761" s="152">
        <v>1.5534250000000001</v>
      </c>
      <c r="E1761" s="152" t="s">
        <v>1325</v>
      </c>
      <c r="F1761" s="152" t="s">
        <v>1326</v>
      </c>
      <c r="G1761" s="152"/>
      <c r="H1761" s="152"/>
      <c r="I1761" s="151">
        <v>43007</v>
      </c>
      <c r="J1761" s="152">
        <v>3.88</v>
      </c>
      <c r="K1761" s="152" t="s">
        <v>1327</v>
      </c>
      <c r="L1761" s="152" t="s">
        <v>1327</v>
      </c>
      <c r="M1761" s="152" t="s">
        <v>1327</v>
      </c>
      <c r="N1761" s="152" t="s">
        <v>1327</v>
      </c>
      <c r="O1761" s="152">
        <v>4.554195</v>
      </c>
      <c r="P1761" s="152">
        <v>269.52540800000003</v>
      </c>
      <c r="Q1761" s="152">
        <v>4.554195</v>
      </c>
      <c r="R1761" s="152" t="s">
        <v>1327</v>
      </c>
      <c r="S1761" s="152">
        <v>99.983284999999995</v>
      </c>
      <c r="T1761" s="152">
        <v>0.89753400000000005</v>
      </c>
      <c r="U1761" s="152">
        <v>1.479989</v>
      </c>
      <c r="V1761" s="152">
        <v>2.6146500000000001</v>
      </c>
      <c r="W1761" s="152">
        <v>1000</v>
      </c>
      <c r="X1761" s="152" t="s">
        <v>23</v>
      </c>
      <c r="Y1761" s="152" t="s">
        <v>1328</v>
      </c>
      <c r="Z1761" s="152" t="s">
        <v>1327</v>
      </c>
    </row>
    <row r="1762" spans="1:26" x14ac:dyDescent="0.2">
      <c r="A1762" s="152" t="s">
        <v>2865</v>
      </c>
      <c r="B1762" s="152">
        <v>3.9</v>
      </c>
      <c r="C1762" s="151">
        <v>43963</v>
      </c>
      <c r="D1762" s="152">
        <v>1.5479449999999999</v>
      </c>
      <c r="E1762" s="152" t="s">
        <v>1325</v>
      </c>
      <c r="F1762" s="152" t="s">
        <v>1326</v>
      </c>
      <c r="G1762" s="152"/>
      <c r="H1762" s="152"/>
      <c r="I1762" s="151">
        <v>43063</v>
      </c>
      <c r="J1762" s="152">
        <v>3.75</v>
      </c>
      <c r="K1762" s="152" t="s">
        <v>1327</v>
      </c>
      <c r="L1762" s="152" t="s">
        <v>1327</v>
      </c>
      <c r="M1762" s="152" t="s">
        <v>1327</v>
      </c>
      <c r="N1762" s="152" t="s">
        <v>1327</v>
      </c>
      <c r="O1762" s="152">
        <v>4.5532969999999997</v>
      </c>
      <c r="P1762" s="152">
        <v>269.52151600000002</v>
      </c>
      <c r="Q1762" s="152">
        <v>4.5532969999999997</v>
      </c>
      <c r="R1762" s="152" t="s">
        <v>1327</v>
      </c>
      <c r="S1762" s="152">
        <v>99.019154</v>
      </c>
      <c r="T1762" s="152">
        <v>0.79068499999999997</v>
      </c>
      <c r="U1762" s="152">
        <v>1.482221</v>
      </c>
      <c r="V1762" s="152">
        <v>2.6143939999999999</v>
      </c>
      <c r="W1762" s="152">
        <v>1000</v>
      </c>
      <c r="X1762" s="152" t="s">
        <v>23</v>
      </c>
      <c r="Y1762" s="152" t="s">
        <v>1328</v>
      </c>
      <c r="Z1762" s="152" t="s">
        <v>1327</v>
      </c>
    </row>
    <row r="1763" spans="1:26" x14ac:dyDescent="0.2">
      <c r="A1763" s="152" t="s">
        <v>2866</v>
      </c>
      <c r="B1763" s="152">
        <v>4.4000000000000004</v>
      </c>
      <c r="C1763" s="151">
        <v>44211</v>
      </c>
      <c r="D1763" s="152">
        <v>2.2273969999999998</v>
      </c>
      <c r="E1763" s="152" t="s">
        <v>1325</v>
      </c>
      <c r="F1763" s="152" t="s">
        <v>1326</v>
      </c>
      <c r="G1763" s="152"/>
      <c r="H1763" s="152"/>
      <c r="I1763" s="152">
        <v>42811</v>
      </c>
      <c r="J1763" s="152">
        <v>4.0578019999999997</v>
      </c>
      <c r="K1763" s="152" t="s">
        <v>1327</v>
      </c>
      <c r="L1763" s="152" t="s">
        <v>1327</v>
      </c>
      <c r="M1763" s="152" t="s">
        <v>1327</v>
      </c>
      <c r="N1763" s="152" t="s">
        <v>1327</v>
      </c>
      <c r="O1763" s="152">
        <v>4.8215680000000001</v>
      </c>
      <c r="P1763" s="152">
        <v>285.90362299999998</v>
      </c>
      <c r="Q1763" s="152">
        <v>4.8215680000000001</v>
      </c>
      <c r="R1763" s="152" t="s">
        <v>1327</v>
      </c>
      <c r="S1763" s="152">
        <v>99.106100999999995</v>
      </c>
      <c r="T1763" s="152">
        <v>0.120548</v>
      </c>
      <c r="U1763" s="152">
        <v>2.1032959999999998</v>
      </c>
      <c r="V1763" s="152">
        <v>5.0682919999999996</v>
      </c>
      <c r="W1763" s="152">
        <v>1000</v>
      </c>
      <c r="X1763" s="152" t="s">
        <v>23</v>
      </c>
      <c r="Y1763" s="152" t="s">
        <v>1328</v>
      </c>
      <c r="Z1763" s="152" t="s">
        <v>1327</v>
      </c>
    </row>
    <row r="1764" spans="1:26" x14ac:dyDescent="0.2">
      <c r="A1764" s="152" t="s">
        <v>2867</v>
      </c>
      <c r="B1764" s="152">
        <v>4.2</v>
      </c>
      <c r="C1764" s="151">
        <v>44693</v>
      </c>
      <c r="D1764" s="152">
        <v>3.5479449999999999</v>
      </c>
      <c r="E1764" s="152" t="s">
        <v>1325</v>
      </c>
      <c r="F1764" s="152" t="s">
        <v>1326</v>
      </c>
      <c r="G1764" s="152"/>
      <c r="H1764" s="152"/>
      <c r="I1764" s="152" t="s">
        <v>1327</v>
      </c>
      <c r="J1764" s="152" t="s">
        <v>1327</v>
      </c>
      <c r="K1764" s="152" t="s">
        <v>1327</v>
      </c>
      <c r="L1764" s="152" t="s">
        <v>1327</v>
      </c>
      <c r="M1764" s="152" t="s">
        <v>1327</v>
      </c>
      <c r="N1764" s="152" t="s">
        <v>1327</v>
      </c>
      <c r="O1764" s="152">
        <v>5.0717080000000001</v>
      </c>
      <c r="P1764" s="152">
        <v>288.985589</v>
      </c>
      <c r="Q1764" s="152">
        <v>5.0717080000000001</v>
      </c>
      <c r="R1764" s="152" t="s">
        <v>1327</v>
      </c>
      <c r="S1764" s="152">
        <v>97.1751</v>
      </c>
      <c r="T1764" s="152">
        <v>0.85150700000000001</v>
      </c>
      <c r="U1764" s="152">
        <v>3.2423890000000002</v>
      </c>
      <c r="V1764" s="152">
        <v>11.880356000000001</v>
      </c>
      <c r="W1764" s="152">
        <v>1000</v>
      </c>
      <c r="X1764" s="152" t="s">
        <v>23</v>
      </c>
      <c r="Y1764" s="152" t="s">
        <v>1328</v>
      </c>
      <c r="Z1764" s="152" t="s">
        <v>1327</v>
      </c>
    </row>
    <row r="1765" spans="1:26" x14ac:dyDescent="0.2">
      <c r="A1765" s="152" t="s">
        <v>2868</v>
      </c>
      <c r="B1765" s="152">
        <v>1.99</v>
      </c>
      <c r="C1765" s="151">
        <v>43541</v>
      </c>
      <c r="D1765" s="152">
        <v>0.39178099999999999</v>
      </c>
      <c r="E1765" s="152" t="s">
        <v>1325</v>
      </c>
      <c r="F1765" s="152" t="s">
        <v>1326</v>
      </c>
      <c r="G1765" s="152" t="s">
        <v>302</v>
      </c>
      <c r="H1765" s="152"/>
      <c r="I1765" s="152">
        <v>43378</v>
      </c>
      <c r="J1765" s="152">
        <v>1.93</v>
      </c>
      <c r="K1765" s="152" t="s">
        <v>1327</v>
      </c>
      <c r="L1765" s="152" t="s">
        <v>1327</v>
      </c>
      <c r="M1765" s="152" t="s">
        <v>1327</v>
      </c>
      <c r="N1765" s="152" t="s">
        <v>1327</v>
      </c>
      <c r="O1765" s="152">
        <v>2.063485</v>
      </c>
      <c r="P1765" s="152">
        <v>38.708202</v>
      </c>
      <c r="Q1765" s="152">
        <v>2.063485</v>
      </c>
      <c r="R1765" s="152" t="s">
        <v>1327</v>
      </c>
      <c r="S1765" s="152">
        <v>99.978785000000002</v>
      </c>
      <c r="T1765" s="152">
        <v>0.207178</v>
      </c>
      <c r="U1765" s="152">
        <v>0.38778000000000001</v>
      </c>
      <c r="V1765" s="152">
        <v>0.342283</v>
      </c>
      <c r="W1765" s="152">
        <v>1000</v>
      </c>
      <c r="X1765" s="152" t="s">
        <v>23</v>
      </c>
      <c r="Y1765" s="152" t="s">
        <v>1328</v>
      </c>
      <c r="Z1765" s="152" t="s">
        <v>1327</v>
      </c>
    </row>
    <row r="1766" spans="1:26" x14ac:dyDescent="0.2">
      <c r="A1766" s="152" t="s">
        <v>2869</v>
      </c>
      <c r="B1766" s="152">
        <v>2.2000000000000002</v>
      </c>
      <c r="C1766" s="151">
        <v>44039</v>
      </c>
      <c r="D1766" s="152">
        <v>1.7561640000000001</v>
      </c>
      <c r="E1766" s="152" t="s">
        <v>1325</v>
      </c>
      <c r="F1766" s="152" t="s">
        <v>1326</v>
      </c>
      <c r="G1766" s="152" t="s">
        <v>302</v>
      </c>
      <c r="H1766" s="152"/>
      <c r="I1766" s="152">
        <v>43287</v>
      </c>
      <c r="J1766" s="152">
        <v>2</v>
      </c>
      <c r="K1766" s="152" t="s">
        <v>1327</v>
      </c>
      <c r="L1766" s="152" t="s">
        <v>1327</v>
      </c>
      <c r="M1766" s="152" t="s">
        <v>1327</v>
      </c>
      <c r="N1766" s="152" t="s">
        <v>1327</v>
      </c>
      <c r="O1766" s="152">
        <v>2.3740399999999999</v>
      </c>
      <c r="P1766" s="152">
        <v>39.914076999999999</v>
      </c>
      <c r="Q1766" s="152">
        <v>2.3740399999999999</v>
      </c>
      <c r="R1766" s="152" t="s">
        <v>1327</v>
      </c>
      <c r="S1766" s="152">
        <v>99.691478000000004</v>
      </c>
      <c r="T1766" s="152">
        <v>0.542466</v>
      </c>
      <c r="U1766" s="152">
        <v>1.7048289999999999</v>
      </c>
      <c r="V1766" s="152">
        <v>3.7849279999999998</v>
      </c>
      <c r="W1766" s="152">
        <v>1000</v>
      </c>
      <c r="X1766" s="152" t="s">
        <v>23</v>
      </c>
      <c r="Y1766" s="152" t="s">
        <v>1328</v>
      </c>
      <c r="Z1766" s="152" t="s">
        <v>1327</v>
      </c>
    </row>
    <row r="1767" spans="1:26" x14ac:dyDescent="0.2">
      <c r="A1767" s="152" t="s">
        <v>2870</v>
      </c>
      <c r="B1767" s="152">
        <v>4.4000000000000004</v>
      </c>
      <c r="C1767" s="151">
        <v>43518</v>
      </c>
      <c r="D1767" s="152">
        <v>0.32876699999999998</v>
      </c>
      <c r="E1767" s="152" t="s">
        <v>1325</v>
      </c>
      <c r="F1767" s="152" t="s">
        <v>1326</v>
      </c>
      <c r="G1767" s="152" t="s">
        <v>41</v>
      </c>
      <c r="H1767" s="152"/>
      <c r="I1767" s="152">
        <v>43348</v>
      </c>
      <c r="J1767" s="152">
        <v>1.6850000000000001</v>
      </c>
      <c r="K1767" s="152">
        <v>42368</v>
      </c>
      <c r="L1767" s="152">
        <v>2.2999999999999998</v>
      </c>
      <c r="M1767" s="152">
        <v>3.1355970000000002</v>
      </c>
      <c r="N1767" s="152">
        <v>2.2999999999999998</v>
      </c>
      <c r="O1767" s="152">
        <v>1.847199</v>
      </c>
      <c r="P1767" s="152">
        <v>22.133841</v>
      </c>
      <c r="Q1767" s="152">
        <v>1.847199</v>
      </c>
      <c r="R1767" s="152" t="s">
        <v>1327</v>
      </c>
      <c r="S1767" s="152">
        <v>100.812546</v>
      </c>
      <c r="T1767" s="152">
        <v>0.77150700000000005</v>
      </c>
      <c r="U1767" s="152">
        <v>0.32575799999999999</v>
      </c>
      <c r="V1767" s="152">
        <v>0.26750699999999999</v>
      </c>
      <c r="W1767" s="152">
        <v>1000</v>
      </c>
      <c r="X1767" s="152" t="s">
        <v>23</v>
      </c>
      <c r="Y1767" s="152" t="s">
        <v>1328</v>
      </c>
      <c r="Z1767" s="152" t="s">
        <v>1327</v>
      </c>
    </row>
    <row r="1768" spans="1:26" x14ac:dyDescent="0.2">
      <c r="A1768" s="152" t="s">
        <v>2871</v>
      </c>
      <c r="B1768" s="152">
        <v>3.37</v>
      </c>
      <c r="C1768" s="151">
        <v>43867</v>
      </c>
      <c r="D1768" s="152">
        <v>1.284932</v>
      </c>
      <c r="E1768" s="152" t="s">
        <v>1325</v>
      </c>
      <c r="F1768" s="152" t="s">
        <v>1326</v>
      </c>
      <c r="G1768" s="152" t="s">
        <v>41</v>
      </c>
      <c r="H1768" s="152"/>
      <c r="I1768" s="152">
        <v>43063</v>
      </c>
      <c r="J1768" s="152">
        <v>1.7975000000000001</v>
      </c>
      <c r="K1768" s="152">
        <v>42368</v>
      </c>
      <c r="L1768" s="152">
        <v>2.67</v>
      </c>
      <c r="M1768" s="152">
        <v>3.2477719999999999</v>
      </c>
      <c r="N1768" s="152">
        <v>2.64</v>
      </c>
      <c r="O1768" s="152">
        <v>2.1585760000000001</v>
      </c>
      <c r="P1768" s="152">
        <v>30.137796999999999</v>
      </c>
      <c r="Q1768" s="152">
        <v>2.1585760000000001</v>
      </c>
      <c r="R1768" s="152" t="s">
        <v>1327</v>
      </c>
      <c r="S1768" s="152">
        <v>101.51103000000001</v>
      </c>
      <c r="T1768" s="152">
        <v>0.73863000000000001</v>
      </c>
      <c r="U1768" s="152">
        <v>1.2469920000000001</v>
      </c>
      <c r="V1768" s="152">
        <v>2.1912370000000001</v>
      </c>
      <c r="W1768" s="152">
        <v>1000</v>
      </c>
      <c r="X1768" s="152" t="s">
        <v>23</v>
      </c>
      <c r="Y1768" s="152" t="s">
        <v>1328</v>
      </c>
      <c r="Z1768" s="152" t="s">
        <v>1327</v>
      </c>
    </row>
    <row r="1769" spans="1:26" x14ac:dyDescent="0.2">
      <c r="A1769" s="152" t="s">
        <v>2872</v>
      </c>
      <c r="B1769" s="152">
        <v>4.5999999999999996</v>
      </c>
      <c r="C1769" s="151">
        <v>44614</v>
      </c>
      <c r="D1769" s="152">
        <v>3.3315070000000002</v>
      </c>
      <c r="E1769" s="152" t="s">
        <v>1325</v>
      </c>
      <c r="F1769" s="152" t="s">
        <v>1326</v>
      </c>
      <c r="G1769" s="152" t="s">
        <v>41</v>
      </c>
      <c r="H1769" s="152"/>
      <c r="I1769" s="152">
        <v>42993</v>
      </c>
      <c r="J1769" s="152">
        <v>2.125</v>
      </c>
      <c r="K1769" s="152">
        <v>41912</v>
      </c>
      <c r="L1769" s="152">
        <v>3.923562</v>
      </c>
      <c r="M1769" s="152">
        <v>4.9055280000000003</v>
      </c>
      <c r="N1769" s="152">
        <v>3.923562</v>
      </c>
      <c r="O1769" s="152">
        <v>2.6373389999999999</v>
      </c>
      <c r="P1769" s="152">
        <v>43.819313999999999</v>
      </c>
      <c r="Q1769" s="152">
        <v>2.6373389999999999</v>
      </c>
      <c r="R1769" s="152" t="s">
        <v>1327</v>
      </c>
      <c r="S1769" s="152">
        <v>106.19325600000001</v>
      </c>
      <c r="T1769" s="152">
        <v>0.80657500000000004</v>
      </c>
      <c r="U1769" s="152">
        <v>3.0693190000000001</v>
      </c>
      <c r="V1769" s="152">
        <v>11.353954999999999</v>
      </c>
      <c r="W1769" s="152">
        <v>1000</v>
      </c>
      <c r="X1769" s="152" t="s">
        <v>23</v>
      </c>
      <c r="Y1769" s="152" t="s">
        <v>1328</v>
      </c>
      <c r="Z1769" s="152" t="s">
        <v>1327</v>
      </c>
    </row>
    <row r="1770" spans="1:26" x14ac:dyDescent="0.2">
      <c r="A1770" s="152" t="s">
        <v>776</v>
      </c>
      <c r="B1770" s="152">
        <v>2.33</v>
      </c>
      <c r="C1770" s="151">
        <v>44958</v>
      </c>
      <c r="D1770" s="152">
        <v>4.2739729999999998</v>
      </c>
      <c r="E1770" s="152" t="s">
        <v>1325</v>
      </c>
      <c r="F1770" s="152" t="s">
        <v>1326</v>
      </c>
      <c r="G1770" s="152"/>
      <c r="H1770" s="152"/>
      <c r="I1770" s="152">
        <v>43395</v>
      </c>
      <c r="J1770" s="152">
        <v>3.16</v>
      </c>
      <c r="K1770" s="152" t="s">
        <v>1327</v>
      </c>
      <c r="L1770" s="152" t="s">
        <v>1327</v>
      </c>
      <c r="M1770" s="152" t="s">
        <v>1327</v>
      </c>
      <c r="N1770" s="152" t="s">
        <v>1327</v>
      </c>
      <c r="O1770" s="152">
        <v>3.1513550000000001</v>
      </c>
      <c r="P1770" s="152">
        <v>79.387766999999997</v>
      </c>
      <c r="Q1770" s="152">
        <v>3.1513550000000001</v>
      </c>
      <c r="R1770" s="152" t="s">
        <v>1327</v>
      </c>
      <c r="S1770" s="152">
        <v>96.729744999999994</v>
      </c>
      <c r="T1770" s="152">
        <v>0.54260299999999995</v>
      </c>
      <c r="U1770" s="152">
        <v>4.0019749999999998</v>
      </c>
      <c r="V1770" s="152">
        <v>18.516808999999999</v>
      </c>
      <c r="W1770" s="152">
        <v>1000</v>
      </c>
      <c r="X1770" s="152" t="s">
        <v>23</v>
      </c>
      <c r="Y1770" s="152" t="s">
        <v>1328</v>
      </c>
      <c r="Z1770" s="152" t="s">
        <v>1327</v>
      </c>
    </row>
    <row r="1771" spans="1:26" x14ac:dyDescent="0.2">
      <c r="A1771" s="152" t="s">
        <v>2873</v>
      </c>
      <c r="B1771" s="152">
        <v>3.98</v>
      </c>
      <c r="C1771" s="151">
        <v>45798</v>
      </c>
      <c r="D1771" s="152">
        <v>6.575342</v>
      </c>
      <c r="E1771" s="152" t="s">
        <v>1325</v>
      </c>
      <c r="F1771" s="152" t="s">
        <v>1326</v>
      </c>
      <c r="G1771" s="152" t="s">
        <v>41</v>
      </c>
      <c r="H1771" s="152"/>
      <c r="I1771" s="152">
        <v>42507</v>
      </c>
      <c r="J1771" s="152">
        <v>2.5</v>
      </c>
      <c r="K1771" s="152" t="s">
        <v>1327</v>
      </c>
      <c r="L1771" s="152" t="s">
        <v>1327</v>
      </c>
      <c r="M1771" s="152" t="s">
        <v>1327</v>
      </c>
      <c r="N1771" s="152" t="s">
        <v>1327</v>
      </c>
      <c r="O1771" s="152">
        <v>3.3551169999999999</v>
      </c>
      <c r="P1771" s="152">
        <v>76.535936000000007</v>
      </c>
      <c r="Q1771" s="152">
        <v>3.3551169999999999</v>
      </c>
      <c r="R1771" s="152" t="s">
        <v>1327</v>
      </c>
      <c r="S1771" s="152">
        <v>103.640675</v>
      </c>
      <c r="T1771" s="152">
        <v>1.7119450000000001</v>
      </c>
      <c r="U1771" s="152">
        <v>5.6755240000000002</v>
      </c>
      <c r="V1771" s="152">
        <v>37.938361</v>
      </c>
      <c r="W1771" s="152">
        <v>1000</v>
      </c>
      <c r="X1771" s="152" t="s">
        <v>23</v>
      </c>
      <c r="Y1771" s="152" t="s">
        <v>1328</v>
      </c>
      <c r="Z1771" s="152" t="s">
        <v>1327</v>
      </c>
    </row>
    <row r="1772" spans="1:26" x14ac:dyDescent="0.2">
      <c r="A1772" s="152" t="s">
        <v>2874</v>
      </c>
      <c r="B1772" s="152">
        <v>4.21</v>
      </c>
      <c r="C1772" s="151">
        <v>43502</v>
      </c>
      <c r="D1772" s="152">
        <v>0.28493200000000002</v>
      </c>
      <c r="E1772" s="152" t="s">
        <v>1325</v>
      </c>
      <c r="F1772" s="152" t="s">
        <v>1326</v>
      </c>
      <c r="G1772" s="152" t="s">
        <v>51</v>
      </c>
      <c r="H1772" s="152"/>
      <c r="I1772" s="152">
        <v>43392</v>
      </c>
      <c r="J1772" s="152">
        <v>1.83</v>
      </c>
      <c r="K1772" s="152">
        <v>42247</v>
      </c>
      <c r="L1772" s="152">
        <v>2.44</v>
      </c>
      <c r="M1772" s="152">
        <v>3.2841450000000001</v>
      </c>
      <c r="N1772" s="152">
        <v>2.4300000000000002</v>
      </c>
      <c r="O1772" s="152">
        <v>1.8152330000000001</v>
      </c>
      <c r="P1772" s="152">
        <v>22.674554000000001</v>
      </c>
      <c r="Q1772" s="152">
        <v>1.8152330000000001</v>
      </c>
      <c r="R1772" s="152" t="s">
        <v>1327</v>
      </c>
      <c r="S1772" s="152">
        <v>100.67451699999999</v>
      </c>
      <c r="T1772" s="152">
        <v>-0.13841100000000001</v>
      </c>
      <c r="U1772" s="152">
        <v>0.28159899999999999</v>
      </c>
      <c r="V1772" s="152">
        <v>0.14938000000000001</v>
      </c>
      <c r="W1772" s="152">
        <v>1000</v>
      </c>
      <c r="X1772" s="152" t="s">
        <v>23</v>
      </c>
      <c r="Y1772" s="152" t="s">
        <v>1328</v>
      </c>
      <c r="Z1772" s="152" t="s">
        <v>1327</v>
      </c>
    </row>
    <row r="1773" spans="1:26" x14ac:dyDescent="0.2">
      <c r="A1773" s="152" t="s">
        <v>2875</v>
      </c>
      <c r="B1773" s="152">
        <v>2.0299999999999998</v>
      </c>
      <c r="C1773" s="151">
        <v>43666</v>
      </c>
      <c r="D1773" s="152">
        <v>0.73424699999999998</v>
      </c>
      <c r="E1773" s="152" t="s">
        <v>1325</v>
      </c>
      <c r="F1773" s="152" t="s">
        <v>1326</v>
      </c>
      <c r="G1773" s="152" t="s">
        <v>51</v>
      </c>
      <c r="H1773" s="152"/>
      <c r="I1773" s="152">
        <v>43389</v>
      </c>
      <c r="J1773" s="152">
        <v>2.15</v>
      </c>
      <c r="K1773" s="152" t="s">
        <v>1327</v>
      </c>
      <c r="L1773" s="152" t="s">
        <v>1327</v>
      </c>
      <c r="M1773" s="152" t="s">
        <v>1327</v>
      </c>
      <c r="N1773" s="152" t="s">
        <v>1327</v>
      </c>
      <c r="O1773" s="152">
        <v>2.1631040000000001</v>
      </c>
      <c r="P1773" s="152">
        <v>39.520753999999997</v>
      </c>
      <c r="Q1773" s="152">
        <v>2.1631040000000001</v>
      </c>
      <c r="R1773" s="152" t="s">
        <v>1327</v>
      </c>
      <c r="S1773" s="152">
        <v>99.898531000000006</v>
      </c>
      <c r="T1773" s="152">
        <v>2.7807999999999999E-2</v>
      </c>
      <c r="U1773" s="152">
        <v>0.73062199999999999</v>
      </c>
      <c r="V1773" s="152">
        <v>0.717028</v>
      </c>
      <c r="W1773" s="152">
        <v>1000</v>
      </c>
      <c r="X1773" s="152" t="s">
        <v>23</v>
      </c>
      <c r="Y1773" s="152" t="s">
        <v>1328</v>
      </c>
      <c r="Z1773" s="152" t="s">
        <v>1327</v>
      </c>
    </row>
    <row r="1774" spans="1:26" x14ac:dyDescent="0.2">
      <c r="A1774" s="152" t="s">
        <v>2876</v>
      </c>
      <c r="B1774" s="152">
        <v>2.4900000000000002</v>
      </c>
      <c r="C1774" s="151">
        <v>43849</v>
      </c>
      <c r="D1774" s="152">
        <v>1.235616</v>
      </c>
      <c r="E1774" s="152" t="s">
        <v>1325</v>
      </c>
      <c r="F1774" s="152" t="s">
        <v>1326</v>
      </c>
      <c r="G1774" s="152" t="s">
        <v>51</v>
      </c>
      <c r="H1774" s="152"/>
      <c r="I1774" s="151">
        <v>43348</v>
      </c>
      <c r="J1774" s="152">
        <v>2.0499999999999998</v>
      </c>
      <c r="K1774" s="152" t="s">
        <v>1327</v>
      </c>
      <c r="L1774" s="152" t="s">
        <v>1327</v>
      </c>
      <c r="M1774" s="152" t="s">
        <v>1327</v>
      </c>
      <c r="N1774" s="152" t="s">
        <v>1327</v>
      </c>
      <c r="O1774" s="152">
        <v>2.2379579999999999</v>
      </c>
      <c r="P1774" s="152">
        <v>39.995859000000003</v>
      </c>
      <c r="Q1774" s="152">
        <v>2.2379579999999999</v>
      </c>
      <c r="R1774" s="152" t="s">
        <v>1327</v>
      </c>
      <c r="S1774" s="152">
        <v>100.30110500000001</v>
      </c>
      <c r="T1774" s="152">
        <v>4.0932000000000003E-2</v>
      </c>
      <c r="U1774" s="152">
        <v>1.2134849999999999</v>
      </c>
      <c r="V1774" s="152">
        <v>1.785396</v>
      </c>
      <c r="W1774" s="152">
        <v>1000</v>
      </c>
      <c r="X1774" s="152" t="s">
        <v>23</v>
      </c>
      <c r="Y1774" s="152" t="s">
        <v>1328</v>
      </c>
      <c r="Z1774" s="152" t="s">
        <v>1327</v>
      </c>
    </row>
    <row r="1775" spans="1:26" x14ac:dyDescent="0.2">
      <c r="A1775" s="152" t="s">
        <v>2877</v>
      </c>
      <c r="B1775" s="152">
        <v>4.6900000000000004</v>
      </c>
      <c r="C1775" s="151">
        <v>44233</v>
      </c>
      <c r="D1775" s="152">
        <v>2.287671</v>
      </c>
      <c r="E1775" s="152" t="s">
        <v>1325</v>
      </c>
      <c r="F1775" s="152" t="s">
        <v>1326</v>
      </c>
      <c r="G1775" s="152" t="s">
        <v>51</v>
      </c>
      <c r="H1775" s="152"/>
      <c r="I1775" s="151">
        <v>43293</v>
      </c>
      <c r="J1775" s="152">
        <v>2.16</v>
      </c>
      <c r="K1775" s="152">
        <v>42368</v>
      </c>
      <c r="L1775" s="152">
        <v>3.09</v>
      </c>
      <c r="M1775" s="152">
        <v>3.8209110000000002</v>
      </c>
      <c r="N1775" s="152">
        <v>3.08</v>
      </c>
      <c r="O1775" s="152">
        <v>2.475225</v>
      </c>
      <c r="P1775" s="152">
        <v>44.420256999999999</v>
      </c>
      <c r="Q1775" s="152">
        <v>2.475225</v>
      </c>
      <c r="R1775" s="152" t="s">
        <v>1327</v>
      </c>
      <c r="S1775" s="152">
        <v>104.901675</v>
      </c>
      <c r="T1775" s="152">
        <v>-0.154192</v>
      </c>
      <c r="U1775" s="152">
        <v>2.1708240000000001</v>
      </c>
      <c r="V1775" s="152">
        <v>5.3808199999999999</v>
      </c>
      <c r="W1775" s="152">
        <v>1000</v>
      </c>
      <c r="X1775" s="152" t="s">
        <v>23</v>
      </c>
      <c r="Y1775" s="152" t="s">
        <v>1328</v>
      </c>
      <c r="Z1775" s="152" t="s">
        <v>1327</v>
      </c>
    </row>
    <row r="1776" spans="1:26" x14ac:dyDescent="0.2">
      <c r="A1776" s="152" t="s">
        <v>2878</v>
      </c>
      <c r="B1776" s="152">
        <v>5.0199999999999996</v>
      </c>
      <c r="C1776" s="151">
        <v>44404</v>
      </c>
      <c r="D1776" s="152">
        <v>2.7561640000000001</v>
      </c>
      <c r="E1776" s="152" t="s">
        <v>1325</v>
      </c>
      <c r="F1776" s="152" t="s">
        <v>1326</v>
      </c>
      <c r="G1776" s="152" t="s">
        <v>51</v>
      </c>
      <c r="H1776" s="152"/>
      <c r="I1776" s="151">
        <v>42857</v>
      </c>
      <c r="J1776" s="152">
        <v>2.62</v>
      </c>
      <c r="K1776" s="152">
        <v>42062</v>
      </c>
      <c r="L1776" s="152">
        <v>3.45</v>
      </c>
      <c r="M1776" s="152">
        <v>4.2336309999999999</v>
      </c>
      <c r="N1776" s="152">
        <v>3.45</v>
      </c>
      <c r="O1776" s="152">
        <v>2.5580270000000001</v>
      </c>
      <c r="P1776" s="152">
        <v>49.480206000000003</v>
      </c>
      <c r="Q1776" s="152">
        <v>2.5580270000000001</v>
      </c>
      <c r="R1776" s="152" t="s">
        <v>1327</v>
      </c>
      <c r="S1776" s="152">
        <v>106.53030800000001</v>
      </c>
      <c r="T1776" s="152">
        <v>-2.7507E-2</v>
      </c>
      <c r="U1776" s="152">
        <v>2.581029</v>
      </c>
      <c r="V1776" s="152">
        <v>7.5526249999999999</v>
      </c>
      <c r="W1776" s="152">
        <v>1000</v>
      </c>
      <c r="X1776" s="152" t="s">
        <v>23</v>
      </c>
      <c r="Y1776" s="152" t="s">
        <v>1328</v>
      </c>
      <c r="Z1776" s="152" t="s">
        <v>1327</v>
      </c>
    </row>
    <row r="1777" spans="1:26" x14ac:dyDescent="0.2">
      <c r="A1777" s="152" t="s">
        <v>2879</v>
      </c>
      <c r="B1777" s="152">
        <v>2.3199999999999998</v>
      </c>
      <c r="C1777" s="151">
        <v>44397</v>
      </c>
      <c r="D1777" s="152">
        <v>2.7369859999999999</v>
      </c>
      <c r="E1777" s="152" t="s">
        <v>1325</v>
      </c>
      <c r="F1777" s="152" t="s">
        <v>1326</v>
      </c>
      <c r="G1777" s="152" t="s">
        <v>51</v>
      </c>
      <c r="H1777" s="152"/>
      <c r="I1777" s="151">
        <v>42951</v>
      </c>
      <c r="J1777" s="152">
        <v>2.21</v>
      </c>
      <c r="K1777" s="152" t="s">
        <v>1327</v>
      </c>
      <c r="L1777" s="152" t="s">
        <v>1327</v>
      </c>
      <c r="M1777" s="152" t="s">
        <v>1327</v>
      </c>
      <c r="N1777" s="152" t="s">
        <v>1327</v>
      </c>
      <c r="O1777" s="152">
        <v>2.5543010000000002</v>
      </c>
      <c r="P1777" s="152">
        <v>49.119219999999999</v>
      </c>
      <c r="Q1777" s="152">
        <v>2.5543010000000002</v>
      </c>
      <c r="R1777" s="152" t="s">
        <v>1327</v>
      </c>
      <c r="S1777" s="152">
        <v>99.377377999999993</v>
      </c>
      <c r="T1777" s="152">
        <v>3.1780999999999997E-2</v>
      </c>
      <c r="U1777" s="152">
        <v>2.6432370000000001</v>
      </c>
      <c r="V1777" s="152">
        <v>7.7731979999999998</v>
      </c>
      <c r="W1777" s="152">
        <v>1000</v>
      </c>
      <c r="X1777" s="152" t="s">
        <v>23</v>
      </c>
      <c r="Y1777" s="152" t="s">
        <v>1328</v>
      </c>
      <c r="Z1777" s="152" t="s">
        <v>1327</v>
      </c>
    </row>
    <row r="1778" spans="1:26" x14ac:dyDescent="0.2">
      <c r="A1778" s="152" t="s">
        <v>2880</v>
      </c>
      <c r="B1778" s="152">
        <v>4.21</v>
      </c>
      <c r="C1778" s="151">
        <v>44478</v>
      </c>
      <c r="D1778" s="152">
        <v>2.958904</v>
      </c>
      <c r="E1778" s="152" t="s">
        <v>1325</v>
      </c>
      <c r="F1778" s="152" t="s">
        <v>1326</v>
      </c>
      <c r="G1778" s="152"/>
      <c r="H1778" s="152"/>
      <c r="I1778" s="151">
        <v>42458</v>
      </c>
      <c r="J1778" s="152">
        <v>2.4700000000000002</v>
      </c>
      <c r="K1778" s="152" t="s">
        <v>1327</v>
      </c>
      <c r="L1778" s="152" t="s">
        <v>1327</v>
      </c>
      <c r="M1778" s="152" t="s">
        <v>1327</v>
      </c>
      <c r="N1778" s="152" t="s">
        <v>1327</v>
      </c>
      <c r="O1778" s="152">
        <v>2.6085560000000001</v>
      </c>
      <c r="P1778" s="152">
        <v>51.533728000000004</v>
      </c>
      <c r="Q1778" s="152">
        <v>2.6085560000000001</v>
      </c>
      <c r="R1778" s="152" t="s">
        <v>1327</v>
      </c>
      <c r="S1778" s="152">
        <v>104.535882</v>
      </c>
      <c r="T1778" s="152">
        <v>0.18454799999999999</v>
      </c>
      <c r="U1778" s="152">
        <v>2.77867</v>
      </c>
      <c r="V1778" s="152">
        <v>8.6927210000000006</v>
      </c>
      <c r="W1778" s="152">
        <v>1000</v>
      </c>
      <c r="X1778" s="152" t="s">
        <v>23</v>
      </c>
      <c r="Y1778" s="152" t="s">
        <v>1328</v>
      </c>
      <c r="Z1778" s="152" t="s">
        <v>1327</v>
      </c>
    </row>
    <row r="1779" spans="1:26" x14ac:dyDescent="0.2">
      <c r="A1779" s="152" t="s">
        <v>2881</v>
      </c>
      <c r="B1779" s="152">
        <v>2.91</v>
      </c>
      <c r="C1779" s="151">
        <v>44580</v>
      </c>
      <c r="D1779" s="152">
        <v>3.238356</v>
      </c>
      <c r="E1779" s="152" t="s">
        <v>1325</v>
      </c>
      <c r="F1779" s="152" t="s">
        <v>1326</v>
      </c>
      <c r="G1779" s="152" t="s">
        <v>51</v>
      </c>
      <c r="H1779" s="152"/>
      <c r="I1779" s="151">
        <v>43157</v>
      </c>
      <c r="J1779" s="152">
        <v>2.145</v>
      </c>
      <c r="K1779" s="152" t="s">
        <v>1327</v>
      </c>
      <c r="L1779" s="152" t="s">
        <v>1327</v>
      </c>
      <c r="M1779" s="152" t="s">
        <v>1327</v>
      </c>
      <c r="N1779" s="152" t="s">
        <v>1327</v>
      </c>
      <c r="O1779" s="152">
        <v>2.7097359999999999</v>
      </c>
      <c r="P1779" s="152">
        <v>54.543005000000001</v>
      </c>
      <c r="Q1779" s="152">
        <v>2.7097359999999999</v>
      </c>
      <c r="R1779" s="152" t="s">
        <v>1327</v>
      </c>
      <c r="S1779" s="152">
        <v>100.612269</v>
      </c>
      <c r="T1779" s="152">
        <v>4.7835999999999997E-2</v>
      </c>
      <c r="U1779" s="152">
        <v>3.0781239999999999</v>
      </c>
      <c r="V1779" s="152">
        <v>10.503563</v>
      </c>
      <c r="W1779" s="152">
        <v>1000</v>
      </c>
      <c r="X1779" s="152" t="s">
        <v>23</v>
      </c>
      <c r="Y1779" s="152" t="s">
        <v>1328</v>
      </c>
      <c r="Z1779" s="152" t="s">
        <v>1327</v>
      </c>
    </row>
    <row r="1780" spans="1:26" x14ac:dyDescent="0.2">
      <c r="A1780" s="152" t="s">
        <v>2882</v>
      </c>
      <c r="B1780" s="152">
        <v>2.79</v>
      </c>
      <c r="C1780" s="151">
        <v>45127</v>
      </c>
      <c r="D1780" s="152">
        <v>4.7369859999999999</v>
      </c>
      <c r="E1780" s="152" t="s">
        <v>1325</v>
      </c>
      <c r="F1780" s="152" t="s">
        <v>1326</v>
      </c>
      <c r="G1780" s="152" t="s">
        <v>51</v>
      </c>
      <c r="H1780" s="152"/>
      <c r="I1780" s="151">
        <v>43341</v>
      </c>
      <c r="J1780" s="152">
        <v>3.01</v>
      </c>
      <c r="K1780" s="152" t="s">
        <v>1327</v>
      </c>
      <c r="L1780" s="152" t="s">
        <v>1327</v>
      </c>
      <c r="M1780" s="152" t="s">
        <v>1327</v>
      </c>
      <c r="N1780" s="152" t="s">
        <v>1327</v>
      </c>
      <c r="O1780" s="152">
        <v>3.2259790000000002</v>
      </c>
      <c r="P1780" s="152">
        <v>83.572535999999999</v>
      </c>
      <c r="Q1780" s="152">
        <v>3.2259790000000002</v>
      </c>
      <c r="R1780" s="152" t="s">
        <v>1327</v>
      </c>
      <c r="S1780" s="152">
        <v>98.085575000000006</v>
      </c>
      <c r="T1780" s="152">
        <v>3.8219000000000003E-2</v>
      </c>
      <c r="U1780" s="152">
        <v>4.414434</v>
      </c>
      <c r="V1780" s="152">
        <v>21.385677000000001</v>
      </c>
      <c r="W1780" s="152">
        <v>1000</v>
      </c>
      <c r="X1780" s="152" t="s">
        <v>23</v>
      </c>
      <c r="Y1780" s="152" t="s">
        <v>1328</v>
      </c>
      <c r="Z1780" s="152" t="s">
        <v>1327</v>
      </c>
    </row>
    <row r="1781" spans="1:26" x14ac:dyDescent="0.2">
      <c r="A1781" s="152" t="s">
        <v>2883</v>
      </c>
      <c r="B1781" s="152">
        <v>3.58</v>
      </c>
      <c r="C1781" s="151">
        <v>45310</v>
      </c>
      <c r="D1781" s="152">
        <v>5.2383559999999996</v>
      </c>
      <c r="E1781" s="152" t="s">
        <v>1325</v>
      </c>
      <c r="F1781" s="152" t="s">
        <v>1326</v>
      </c>
      <c r="G1781" s="152" t="s">
        <v>51</v>
      </c>
      <c r="H1781" s="152"/>
      <c r="I1781" s="152">
        <v>43133</v>
      </c>
      <c r="J1781" s="152">
        <v>2.67</v>
      </c>
      <c r="K1781" s="152" t="s">
        <v>1327</v>
      </c>
      <c r="L1781" s="152" t="s">
        <v>1327</v>
      </c>
      <c r="M1781" s="152" t="s">
        <v>1327</v>
      </c>
      <c r="N1781" s="152" t="s">
        <v>1327</v>
      </c>
      <c r="O1781" s="152">
        <v>3.307833</v>
      </c>
      <c r="P1781" s="152">
        <v>87.937599000000006</v>
      </c>
      <c r="Q1781" s="152">
        <v>3.307833</v>
      </c>
      <c r="R1781" s="152" t="s">
        <v>1327</v>
      </c>
      <c r="S1781" s="152">
        <v>101.295911</v>
      </c>
      <c r="T1781" s="152">
        <v>5.8848999999999999E-2</v>
      </c>
      <c r="U1781" s="152">
        <v>4.7592860000000003</v>
      </c>
      <c r="V1781" s="152">
        <v>25.131959999999999</v>
      </c>
      <c r="W1781" s="152">
        <v>1000</v>
      </c>
      <c r="X1781" s="152" t="s">
        <v>23</v>
      </c>
      <c r="Y1781" s="152" t="s">
        <v>1328</v>
      </c>
      <c r="Z1781" s="152" t="s">
        <v>1327</v>
      </c>
    </row>
    <row r="1782" spans="1:26" x14ac:dyDescent="0.2">
      <c r="A1782" s="152" t="s">
        <v>2884</v>
      </c>
      <c r="B1782" s="152">
        <v>5.18</v>
      </c>
      <c r="C1782" s="151">
        <v>45328</v>
      </c>
      <c r="D1782" s="152">
        <v>5.2876709999999996</v>
      </c>
      <c r="E1782" s="152" t="s">
        <v>1325</v>
      </c>
      <c r="F1782" s="152" t="s">
        <v>1326</v>
      </c>
      <c r="G1782" s="152" t="s">
        <v>51</v>
      </c>
      <c r="H1782" s="152"/>
      <c r="I1782" s="151">
        <v>43347</v>
      </c>
      <c r="J1782" s="152">
        <v>3.05</v>
      </c>
      <c r="K1782" s="152" t="s">
        <v>1327</v>
      </c>
      <c r="L1782" s="152" t="s">
        <v>1327</v>
      </c>
      <c r="M1782" s="152" t="s">
        <v>1327</v>
      </c>
      <c r="N1782" s="152" t="s">
        <v>1327</v>
      </c>
      <c r="O1782" s="152">
        <v>3.2471380000000001</v>
      </c>
      <c r="P1782" s="152">
        <v>82.006271999999996</v>
      </c>
      <c r="Q1782" s="152">
        <v>3.2471380000000001</v>
      </c>
      <c r="R1782" s="152" t="s">
        <v>1327</v>
      </c>
      <c r="S1782" s="152">
        <v>109.3493</v>
      </c>
      <c r="T1782" s="152">
        <v>-0.17030100000000001</v>
      </c>
      <c r="U1782" s="152">
        <v>4.6583750000000004</v>
      </c>
      <c r="V1782" s="152">
        <v>24.516141999999999</v>
      </c>
      <c r="W1782" s="152">
        <v>1000</v>
      </c>
      <c r="X1782" s="152" t="s">
        <v>23</v>
      </c>
      <c r="Y1782" s="152" t="s">
        <v>1328</v>
      </c>
      <c r="Z1782" s="152" t="s">
        <v>1327</v>
      </c>
    </row>
    <row r="1783" spans="1:26" x14ac:dyDescent="0.2">
      <c r="A1783" s="152" t="s">
        <v>2885</v>
      </c>
      <c r="B1783" s="152">
        <v>4.58</v>
      </c>
      <c r="C1783" s="151">
        <v>45574</v>
      </c>
      <c r="D1783" s="152">
        <v>5.9616439999999997</v>
      </c>
      <c r="E1783" s="152" t="s">
        <v>1325</v>
      </c>
      <c r="F1783" s="152" t="s">
        <v>1326</v>
      </c>
      <c r="G1783" s="152"/>
      <c r="H1783" s="152"/>
      <c r="I1783" s="151">
        <v>42710</v>
      </c>
      <c r="J1783" s="152">
        <v>3.7</v>
      </c>
      <c r="K1783" s="152" t="s">
        <v>1327</v>
      </c>
      <c r="L1783" s="152" t="s">
        <v>1327</v>
      </c>
      <c r="M1783" s="152" t="s">
        <v>1327</v>
      </c>
      <c r="N1783" s="152" t="s">
        <v>1327</v>
      </c>
      <c r="O1783" s="152">
        <v>3.4247139999999998</v>
      </c>
      <c r="P1783" s="152">
        <v>92.732033000000001</v>
      </c>
      <c r="Q1783" s="152">
        <v>3.4247139999999998</v>
      </c>
      <c r="R1783" s="152" t="s">
        <v>1327</v>
      </c>
      <c r="S1783" s="152">
        <v>106.192592</v>
      </c>
      <c r="T1783" s="152">
        <v>0.200767</v>
      </c>
      <c r="U1783" s="152">
        <v>5.2201279999999999</v>
      </c>
      <c r="V1783" s="152">
        <v>30.784700000000001</v>
      </c>
      <c r="W1783" s="152">
        <v>1000</v>
      </c>
      <c r="X1783" s="152" t="s">
        <v>23</v>
      </c>
      <c r="Y1783" s="152" t="s">
        <v>1328</v>
      </c>
      <c r="Z1783" s="152" t="s">
        <v>1327</v>
      </c>
    </row>
    <row r="1784" spans="1:26" x14ac:dyDescent="0.2">
      <c r="A1784" s="152" t="s">
        <v>2886</v>
      </c>
      <c r="B1784" s="152">
        <v>3.94</v>
      </c>
      <c r="C1784" s="151">
        <v>46406</v>
      </c>
      <c r="D1784" s="152">
        <v>8.2410960000000006</v>
      </c>
      <c r="E1784" s="152" t="s">
        <v>1325</v>
      </c>
      <c r="F1784" s="152" t="s">
        <v>1326</v>
      </c>
      <c r="G1784" s="152" t="s">
        <v>51</v>
      </c>
      <c r="H1784" s="152"/>
      <c r="I1784" s="151">
        <v>43133</v>
      </c>
      <c r="J1784" s="152">
        <v>3.33</v>
      </c>
      <c r="K1784" s="151" t="s">
        <v>1327</v>
      </c>
      <c r="L1784" s="152" t="s">
        <v>1327</v>
      </c>
      <c r="M1784" s="152" t="s">
        <v>1327</v>
      </c>
      <c r="N1784" s="152" t="s">
        <v>1327</v>
      </c>
      <c r="O1784" s="152">
        <v>3.8257219999999998</v>
      </c>
      <c r="P1784" s="152">
        <v>111.592326</v>
      </c>
      <c r="Q1784" s="152">
        <v>3.8257219999999998</v>
      </c>
      <c r="R1784" s="152" t="s">
        <v>1327</v>
      </c>
      <c r="S1784" s="152">
        <v>100.795688</v>
      </c>
      <c r="T1784" s="152">
        <v>6.4767000000000005E-2</v>
      </c>
      <c r="U1784" s="152">
        <v>7.0076489999999998</v>
      </c>
      <c r="V1784" s="152">
        <v>55.845320000000001</v>
      </c>
      <c r="W1784" s="152">
        <v>1000</v>
      </c>
      <c r="X1784" s="152" t="s">
        <v>23</v>
      </c>
      <c r="Y1784" s="152" t="s">
        <v>1328</v>
      </c>
      <c r="Z1784" s="152" t="s">
        <v>1327</v>
      </c>
    </row>
    <row r="1785" spans="1:26" x14ac:dyDescent="0.2">
      <c r="A1785" s="152" t="s">
        <v>233</v>
      </c>
      <c r="B1785" s="152">
        <v>3.7</v>
      </c>
      <c r="C1785" s="151">
        <v>44410</v>
      </c>
      <c r="D1785" s="152">
        <v>2.7726030000000002</v>
      </c>
      <c r="E1785" s="152" t="s">
        <v>1325</v>
      </c>
      <c r="F1785" s="152" t="s">
        <v>1326</v>
      </c>
      <c r="G1785" s="152" t="s">
        <v>29</v>
      </c>
      <c r="H1785" s="152"/>
      <c r="I1785" s="151">
        <v>43347</v>
      </c>
      <c r="J1785" s="152">
        <v>3.6425000000000001</v>
      </c>
      <c r="K1785" s="151" t="s">
        <v>1327</v>
      </c>
      <c r="L1785" s="152" t="s">
        <v>1327</v>
      </c>
      <c r="M1785" s="152" t="s">
        <v>1327</v>
      </c>
      <c r="N1785" s="152" t="s">
        <v>1327</v>
      </c>
      <c r="O1785" s="152">
        <v>3.7363529999999998</v>
      </c>
      <c r="P1785" s="152">
        <v>169.70590999999999</v>
      </c>
      <c r="Q1785" s="152">
        <v>3.7363529999999998</v>
      </c>
      <c r="R1785" s="152" t="s">
        <v>1327</v>
      </c>
      <c r="S1785" s="152">
        <v>99.905106000000004</v>
      </c>
      <c r="T1785" s="152">
        <v>-8.1096000000000001E-2</v>
      </c>
      <c r="U1785" s="152">
        <v>2.6247090000000002</v>
      </c>
      <c r="V1785" s="152">
        <v>7.7368490000000003</v>
      </c>
      <c r="W1785" s="152">
        <v>1000</v>
      </c>
      <c r="X1785" s="152" t="s">
        <v>23</v>
      </c>
      <c r="Y1785" s="152" t="s">
        <v>1328</v>
      </c>
      <c r="Z1785" s="152" t="s">
        <v>1327</v>
      </c>
    </row>
    <row r="1786" spans="1:26" x14ac:dyDescent="0.2">
      <c r="A1786" s="152" t="s">
        <v>2887</v>
      </c>
      <c r="B1786" s="152">
        <v>4.5</v>
      </c>
      <c r="C1786" s="151">
        <v>44532</v>
      </c>
      <c r="D1786" s="152">
        <v>3.106849</v>
      </c>
      <c r="E1786" s="152" t="s">
        <v>1325</v>
      </c>
      <c r="F1786" s="152" t="s">
        <v>1326</v>
      </c>
      <c r="G1786" s="152" t="s">
        <v>29</v>
      </c>
      <c r="H1786" s="152"/>
      <c r="I1786" s="151">
        <v>43250</v>
      </c>
      <c r="J1786" s="152">
        <v>4.6900000000000004</v>
      </c>
      <c r="K1786" s="151" t="s">
        <v>1327</v>
      </c>
      <c r="L1786" s="152" t="s">
        <v>1327</v>
      </c>
      <c r="M1786" s="152" t="s">
        <v>1327</v>
      </c>
      <c r="N1786" s="152" t="s">
        <v>1327</v>
      </c>
      <c r="O1786" s="152">
        <v>4.4816539999999998</v>
      </c>
      <c r="P1786" s="152">
        <v>240.464023</v>
      </c>
      <c r="Q1786" s="152">
        <v>4.4816539999999998</v>
      </c>
      <c r="R1786" s="152" t="s">
        <v>1327</v>
      </c>
      <c r="S1786" s="152">
        <v>100.054447</v>
      </c>
      <c r="T1786" s="152">
        <v>0.65342500000000003</v>
      </c>
      <c r="U1786" s="152">
        <v>2.863769</v>
      </c>
      <c r="V1786" s="152">
        <v>9.2958770000000008</v>
      </c>
      <c r="W1786" s="152">
        <v>1000</v>
      </c>
      <c r="X1786" s="152" t="s">
        <v>23</v>
      </c>
      <c r="Y1786" s="152" t="s">
        <v>1328</v>
      </c>
      <c r="Z1786" s="152" t="s">
        <v>1327</v>
      </c>
    </row>
    <row r="1787" spans="1:26" x14ac:dyDescent="0.2">
      <c r="A1787" s="152" t="s">
        <v>2888</v>
      </c>
      <c r="B1787" s="152">
        <v>4.5</v>
      </c>
      <c r="C1787" s="151">
        <v>44685</v>
      </c>
      <c r="D1787" s="152">
        <v>3.526027</v>
      </c>
      <c r="E1787" s="152" t="s">
        <v>1325</v>
      </c>
      <c r="F1787" s="152" t="s">
        <v>1326</v>
      </c>
      <c r="G1787" s="152" t="s">
        <v>29</v>
      </c>
      <c r="H1787" s="152"/>
      <c r="I1787" s="151">
        <v>43350</v>
      </c>
      <c r="J1787" s="152">
        <v>4.13</v>
      </c>
      <c r="K1787" s="152" t="s">
        <v>1327</v>
      </c>
      <c r="L1787" s="152" t="s">
        <v>1327</v>
      </c>
      <c r="M1787" s="152" t="s">
        <v>1327</v>
      </c>
      <c r="N1787" s="152" t="s">
        <v>1327</v>
      </c>
      <c r="O1787" s="152">
        <v>4.4311420000000004</v>
      </c>
      <c r="P1787" s="152">
        <v>223.285742</v>
      </c>
      <c r="Q1787" s="152">
        <v>4.4311420000000004</v>
      </c>
      <c r="R1787" s="152" t="s">
        <v>1327</v>
      </c>
      <c r="S1787" s="152">
        <v>100.224468</v>
      </c>
      <c r="T1787" s="152">
        <v>-0.12328799999999999</v>
      </c>
      <c r="U1787" s="152">
        <v>3.2495699999999998</v>
      </c>
      <c r="V1787" s="152">
        <v>11.844695</v>
      </c>
      <c r="W1787" s="152">
        <v>1000</v>
      </c>
      <c r="X1787" s="152" t="s">
        <v>23</v>
      </c>
      <c r="Y1787" s="152" t="s">
        <v>1328</v>
      </c>
      <c r="Z1787" s="152" t="s">
        <v>1327</v>
      </c>
    </row>
    <row r="1788" spans="1:26" x14ac:dyDescent="0.2">
      <c r="A1788" s="152" t="s">
        <v>2889</v>
      </c>
      <c r="B1788" s="152">
        <v>4.05</v>
      </c>
      <c r="C1788" s="151">
        <v>45140</v>
      </c>
      <c r="D1788" s="152">
        <v>4.7726030000000002</v>
      </c>
      <c r="E1788" s="152" t="s">
        <v>1325</v>
      </c>
      <c r="F1788" s="152" t="s">
        <v>1326</v>
      </c>
      <c r="G1788" s="152" t="s">
        <v>29</v>
      </c>
      <c r="H1788" s="152"/>
      <c r="I1788" s="151" t="s">
        <v>1327</v>
      </c>
      <c r="J1788" s="152" t="s">
        <v>1327</v>
      </c>
      <c r="K1788" s="152" t="s">
        <v>1327</v>
      </c>
      <c r="L1788" s="152" t="s">
        <v>1327</v>
      </c>
      <c r="M1788" s="152" t="s">
        <v>1327</v>
      </c>
      <c r="N1788" s="152" t="s">
        <v>1327</v>
      </c>
      <c r="O1788" s="152">
        <v>4.2166610000000002</v>
      </c>
      <c r="P1788" s="152">
        <v>185.66126700000001</v>
      </c>
      <c r="Q1788" s="152">
        <v>4.2166610000000002</v>
      </c>
      <c r="R1788" s="152" t="s">
        <v>1327</v>
      </c>
      <c r="S1788" s="152">
        <v>99.283524</v>
      </c>
      <c r="T1788" s="152">
        <v>-8.8766999999999999E-2</v>
      </c>
      <c r="U1788" s="152">
        <v>4.319445</v>
      </c>
      <c r="V1788" s="152">
        <v>20.812201000000002</v>
      </c>
      <c r="W1788" s="152">
        <v>1000</v>
      </c>
      <c r="X1788" s="152" t="s">
        <v>23</v>
      </c>
      <c r="Y1788" s="152" t="s">
        <v>1328</v>
      </c>
      <c r="Z1788" s="152" t="s">
        <v>1327</v>
      </c>
    </row>
    <row r="1789" spans="1:26" x14ac:dyDescent="0.2">
      <c r="A1789" s="152" t="s">
        <v>2890</v>
      </c>
      <c r="B1789" s="152">
        <v>5</v>
      </c>
      <c r="C1789" s="151">
        <v>45262</v>
      </c>
      <c r="D1789" s="152">
        <v>5.1068490000000004</v>
      </c>
      <c r="E1789" s="152" t="s">
        <v>1325</v>
      </c>
      <c r="F1789" s="152" t="s">
        <v>1326</v>
      </c>
      <c r="G1789" s="152" t="s">
        <v>29</v>
      </c>
      <c r="H1789" s="152"/>
      <c r="I1789" s="151">
        <v>43321</v>
      </c>
      <c r="J1789" s="152">
        <v>5.0199999999999996</v>
      </c>
      <c r="K1789" s="151" t="s">
        <v>1327</v>
      </c>
      <c r="L1789" s="152" t="s">
        <v>1327</v>
      </c>
      <c r="M1789" s="152" t="s">
        <v>1327</v>
      </c>
      <c r="N1789" s="152" t="s">
        <v>1327</v>
      </c>
      <c r="O1789" s="152">
        <v>5.120895</v>
      </c>
      <c r="P1789" s="152">
        <v>276.962964</v>
      </c>
      <c r="Q1789" s="152">
        <v>5.120895</v>
      </c>
      <c r="R1789" s="152" t="s">
        <v>1327</v>
      </c>
      <c r="S1789" s="152">
        <v>99.461501999999996</v>
      </c>
      <c r="T1789" s="152">
        <v>0.72602699999999998</v>
      </c>
      <c r="U1789" s="152">
        <v>4.4449610000000002</v>
      </c>
      <c r="V1789" s="152">
        <v>22.549849999999999</v>
      </c>
      <c r="W1789" s="152">
        <v>1000</v>
      </c>
      <c r="X1789" s="152" t="s">
        <v>23</v>
      </c>
      <c r="Y1789" s="152" t="s">
        <v>1328</v>
      </c>
      <c r="Z1789" s="152" t="s">
        <v>1327</v>
      </c>
    </row>
    <row r="1790" spans="1:26" x14ac:dyDescent="0.2">
      <c r="A1790" s="152" t="s">
        <v>2891</v>
      </c>
      <c r="B1790" s="152">
        <v>5</v>
      </c>
      <c r="C1790" s="151">
        <v>45416</v>
      </c>
      <c r="D1790" s="152">
        <v>5.5287670000000002</v>
      </c>
      <c r="E1790" s="152" t="s">
        <v>1325</v>
      </c>
      <c r="F1790" s="152" t="s">
        <v>1326</v>
      </c>
      <c r="G1790" s="152" t="s">
        <v>29</v>
      </c>
      <c r="H1790" s="152"/>
      <c r="I1790" s="151" t="s">
        <v>1327</v>
      </c>
      <c r="J1790" s="152" t="s">
        <v>1327</v>
      </c>
      <c r="K1790" s="152" t="s">
        <v>1327</v>
      </c>
      <c r="L1790" s="152" t="s">
        <v>1327</v>
      </c>
      <c r="M1790" s="152" t="s">
        <v>1327</v>
      </c>
      <c r="N1790" s="152" t="s">
        <v>1327</v>
      </c>
      <c r="O1790" s="152">
        <v>4.9624610000000002</v>
      </c>
      <c r="P1790" s="152">
        <v>256.68480499999998</v>
      </c>
      <c r="Q1790" s="152">
        <v>4.9624610000000002</v>
      </c>
      <c r="R1790" s="152" t="s">
        <v>1327</v>
      </c>
      <c r="S1790" s="152">
        <v>100.181432</v>
      </c>
      <c r="T1790" s="152">
        <v>-0.136986</v>
      </c>
      <c r="U1790" s="152">
        <v>4.8108690000000003</v>
      </c>
      <c r="V1790" s="152">
        <v>26.257432000000001</v>
      </c>
      <c r="W1790" s="152">
        <v>1000</v>
      </c>
      <c r="X1790" s="152" t="s">
        <v>23</v>
      </c>
      <c r="Y1790" s="152" t="s">
        <v>1328</v>
      </c>
      <c r="Z1790" s="152" t="s">
        <v>1327</v>
      </c>
    </row>
    <row r="1791" spans="1:26" x14ac:dyDescent="0.2">
      <c r="A1791" s="152" t="s">
        <v>2892</v>
      </c>
      <c r="B1791" s="152">
        <v>5.5</v>
      </c>
      <c r="C1791" s="151">
        <v>46358</v>
      </c>
      <c r="D1791" s="152">
        <v>8.1095889999999997</v>
      </c>
      <c r="E1791" s="152" t="s">
        <v>1325</v>
      </c>
      <c r="F1791" s="152" t="s">
        <v>1326</v>
      </c>
      <c r="G1791" s="152" t="s">
        <v>29</v>
      </c>
      <c r="H1791" s="152"/>
      <c r="I1791" s="151">
        <v>43210</v>
      </c>
      <c r="J1791" s="152">
        <v>5.45</v>
      </c>
      <c r="K1791" s="152" t="s">
        <v>1327</v>
      </c>
      <c r="L1791" s="152" t="s">
        <v>1327</v>
      </c>
      <c r="M1791" s="152" t="s">
        <v>1327</v>
      </c>
      <c r="N1791" s="152" t="s">
        <v>1327</v>
      </c>
      <c r="O1791" s="152">
        <v>5.8150380000000004</v>
      </c>
      <c r="P1791" s="152">
        <v>320.96624700000001</v>
      </c>
      <c r="Q1791" s="152">
        <v>5.8150380000000004</v>
      </c>
      <c r="R1791" s="152" t="s">
        <v>1327</v>
      </c>
      <c r="S1791" s="152">
        <v>97.976990000000001</v>
      </c>
      <c r="T1791" s="152">
        <v>0.79862999999999995</v>
      </c>
      <c r="U1791" s="152">
        <v>6.4278219999999999</v>
      </c>
      <c r="V1791" s="152">
        <v>49.110895999999997</v>
      </c>
      <c r="W1791" s="152">
        <v>1000</v>
      </c>
      <c r="X1791" s="152" t="s">
        <v>23</v>
      </c>
      <c r="Y1791" s="152" t="s">
        <v>1328</v>
      </c>
      <c r="Z1791" s="152" t="s">
        <v>1327</v>
      </c>
    </row>
    <row r="1792" spans="1:26" x14ac:dyDescent="0.2">
      <c r="A1792" s="152" t="s">
        <v>2893</v>
      </c>
      <c r="B1792" s="152">
        <v>5.5</v>
      </c>
      <c r="C1792" s="151">
        <v>46511</v>
      </c>
      <c r="D1792" s="152">
        <v>8.5287670000000002</v>
      </c>
      <c r="E1792" s="152" t="s">
        <v>1325</v>
      </c>
      <c r="F1792" s="152" t="s">
        <v>1326</v>
      </c>
      <c r="G1792" s="152" t="s">
        <v>29</v>
      </c>
      <c r="H1792" s="152"/>
      <c r="I1792" s="151" t="s">
        <v>1327</v>
      </c>
      <c r="J1792" s="152" t="s">
        <v>1327</v>
      </c>
      <c r="K1792" s="151" t="s">
        <v>1327</v>
      </c>
      <c r="L1792" s="152" t="s">
        <v>1327</v>
      </c>
      <c r="M1792" s="152" t="s">
        <v>1327</v>
      </c>
      <c r="N1792" s="152" t="s">
        <v>1327</v>
      </c>
      <c r="O1792" s="152">
        <v>5.4703530000000002</v>
      </c>
      <c r="P1792" s="152">
        <v>281.19075299999997</v>
      </c>
      <c r="Q1792" s="152">
        <v>5.4703530000000002</v>
      </c>
      <c r="R1792" s="152" t="s">
        <v>1327</v>
      </c>
      <c r="S1792" s="152">
        <v>100.202094</v>
      </c>
      <c r="T1792" s="152">
        <v>-0.15068500000000001</v>
      </c>
      <c r="U1792" s="152">
        <v>6.7828489999999997</v>
      </c>
      <c r="V1792" s="152">
        <v>54.328909000000003</v>
      </c>
      <c r="W1792" s="152">
        <v>1000</v>
      </c>
      <c r="X1792" s="152" t="s">
        <v>23</v>
      </c>
      <c r="Y1792" s="152" t="s">
        <v>1328</v>
      </c>
      <c r="Z1792" s="152" t="s">
        <v>1327</v>
      </c>
    </row>
    <row r="1793" spans="1:26" x14ac:dyDescent="0.2">
      <c r="A1793" s="152" t="s">
        <v>2894</v>
      </c>
      <c r="B1793" s="152">
        <v>5.75</v>
      </c>
      <c r="C1793" s="151">
        <v>47242</v>
      </c>
      <c r="D1793" s="152">
        <v>10.531507</v>
      </c>
      <c r="E1793" s="152" t="s">
        <v>1325</v>
      </c>
      <c r="F1793" s="152" t="s">
        <v>1326</v>
      </c>
      <c r="G1793" s="152" t="s">
        <v>29</v>
      </c>
      <c r="H1793" s="152"/>
      <c r="I1793" s="151" t="s">
        <v>1327</v>
      </c>
      <c r="J1793" s="152" t="s">
        <v>1327</v>
      </c>
      <c r="K1793" s="151" t="s">
        <v>1327</v>
      </c>
      <c r="L1793" s="152" t="s">
        <v>1327</v>
      </c>
      <c r="M1793" s="152" t="s">
        <v>1327</v>
      </c>
      <c r="N1793" s="152" t="s">
        <v>1327</v>
      </c>
      <c r="O1793" s="152">
        <v>5.665635</v>
      </c>
      <c r="P1793" s="152">
        <v>285.56987600000002</v>
      </c>
      <c r="Q1793" s="152">
        <v>5.665635</v>
      </c>
      <c r="R1793" s="152" t="s">
        <v>1327</v>
      </c>
      <c r="S1793" s="152">
        <v>100.666724</v>
      </c>
      <c r="T1793" s="152">
        <v>-0.15753400000000001</v>
      </c>
      <c r="U1793" s="152">
        <v>7.8799599999999996</v>
      </c>
      <c r="V1793" s="152">
        <v>75.631946999999997</v>
      </c>
      <c r="W1793" s="152">
        <v>1000</v>
      </c>
      <c r="X1793" s="152" t="s">
        <v>23</v>
      </c>
      <c r="Y1793" s="152" t="s">
        <v>1328</v>
      </c>
      <c r="Z1793" s="152" t="s">
        <v>1327</v>
      </c>
    </row>
    <row r="1794" spans="1:26" x14ac:dyDescent="0.2">
      <c r="A1794" s="152" t="s">
        <v>2895</v>
      </c>
      <c r="B1794" s="152">
        <v>5.15</v>
      </c>
      <c r="C1794" s="151">
        <v>43458</v>
      </c>
      <c r="D1794" s="152">
        <v>0.164384</v>
      </c>
      <c r="E1794" s="152" t="s">
        <v>1325</v>
      </c>
      <c r="F1794" s="152" t="s">
        <v>1326</v>
      </c>
      <c r="G1794" s="152"/>
      <c r="H1794" s="152"/>
      <c r="I1794" s="151" t="s">
        <v>1327</v>
      </c>
      <c r="J1794" s="152" t="s">
        <v>1327</v>
      </c>
      <c r="K1794" s="152" t="s">
        <v>1327</v>
      </c>
      <c r="L1794" s="152" t="s">
        <v>1327</v>
      </c>
      <c r="M1794" s="152" t="s">
        <v>1327</v>
      </c>
      <c r="N1794" s="152" t="s">
        <v>1327</v>
      </c>
      <c r="O1794" s="152">
        <v>4.7939780000000001</v>
      </c>
      <c r="P1794" s="152">
        <v>347.07931000000002</v>
      </c>
      <c r="Q1794" s="152">
        <v>4.7939780000000001</v>
      </c>
      <c r="R1794" s="152" t="s">
        <v>1327</v>
      </c>
      <c r="S1794" s="152">
        <v>100.05975100000001</v>
      </c>
      <c r="T1794" s="152">
        <v>0.43739699999999998</v>
      </c>
      <c r="U1794" s="152">
        <v>0.162437</v>
      </c>
      <c r="V1794" s="152">
        <v>6.6514000000000004E-2</v>
      </c>
      <c r="W1794" s="152">
        <v>1000</v>
      </c>
      <c r="X1794" s="152" t="s">
        <v>23</v>
      </c>
      <c r="Y1794" s="152" t="s">
        <v>1328</v>
      </c>
      <c r="Z1794" s="152" t="s">
        <v>1327</v>
      </c>
    </row>
    <row r="1795" spans="1:26" x14ac:dyDescent="0.2">
      <c r="A1795" s="152" t="s">
        <v>2896</v>
      </c>
      <c r="B1795" s="152">
        <v>5.5</v>
      </c>
      <c r="C1795" s="151">
        <v>43994</v>
      </c>
      <c r="D1795" s="152">
        <v>1.6328769999999999</v>
      </c>
      <c r="E1795" s="152" t="s">
        <v>1325</v>
      </c>
      <c r="F1795" s="152" t="s">
        <v>1326</v>
      </c>
      <c r="G1795" s="152"/>
      <c r="H1795" s="152"/>
      <c r="I1795" s="151" t="s">
        <v>1327</v>
      </c>
      <c r="J1795" s="152" t="s">
        <v>1327</v>
      </c>
      <c r="K1795" s="152" t="s">
        <v>1327</v>
      </c>
      <c r="L1795" s="152" t="s">
        <v>1327</v>
      </c>
      <c r="M1795" s="152" t="s">
        <v>1327</v>
      </c>
      <c r="N1795" s="152" t="s">
        <v>1327</v>
      </c>
      <c r="O1795" s="152">
        <v>5.7833069999999998</v>
      </c>
      <c r="P1795" s="152">
        <v>394.47364299999998</v>
      </c>
      <c r="Q1795" s="152">
        <v>5.7833069999999998</v>
      </c>
      <c r="R1795" s="152" t="s">
        <v>1327</v>
      </c>
      <c r="S1795" s="152">
        <v>99.563238999999996</v>
      </c>
      <c r="T1795" s="152">
        <v>0.64794499999999999</v>
      </c>
      <c r="U1795" s="152">
        <v>1.5394300000000001</v>
      </c>
      <c r="V1795" s="152">
        <v>2.8185150000000001</v>
      </c>
      <c r="W1795" s="152">
        <v>1000</v>
      </c>
      <c r="X1795" s="152" t="s">
        <v>23</v>
      </c>
      <c r="Y1795" s="152" t="s">
        <v>1328</v>
      </c>
      <c r="Z1795" s="152" t="s">
        <v>1327</v>
      </c>
    </row>
    <row r="1796" spans="1:26" x14ac:dyDescent="0.2">
      <c r="A1796" s="152" t="s">
        <v>2897</v>
      </c>
      <c r="B1796" s="152">
        <v>5.35</v>
      </c>
      <c r="C1796" s="151">
        <v>43661</v>
      </c>
      <c r="D1796" s="152">
        <v>0.72054799999999997</v>
      </c>
      <c r="E1796" s="152" t="s">
        <v>1325</v>
      </c>
      <c r="F1796" s="152" t="s">
        <v>1326</v>
      </c>
      <c r="G1796" s="152"/>
      <c r="H1796" s="152"/>
      <c r="I1796" s="151">
        <v>43346</v>
      </c>
      <c r="J1796" s="152">
        <v>4.8570000000000002</v>
      </c>
      <c r="K1796" s="152" t="s">
        <v>1327</v>
      </c>
      <c r="L1796" s="152" t="s">
        <v>1327</v>
      </c>
      <c r="M1796" s="152" t="s">
        <v>1327</v>
      </c>
      <c r="N1796" s="152" t="s">
        <v>1327</v>
      </c>
      <c r="O1796" s="152">
        <v>4.9974959999999999</v>
      </c>
      <c r="P1796" s="152">
        <v>332.12992600000001</v>
      </c>
      <c r="Q1796" s="152">
        <v>4.9974959999999999</v>
      </c>
      <c r="R1796" s="152" t="s">
        <v>1327</v>
      </c>
      <c r="S1796" s="152">
        <v>100.23723</v>
      </c>
      <c r="T1796" s="152">
        <v>0.16123299999999999</v>
      </c>
      <c r="U1796" s="152">
        <v>0.70526599999999995</v>
      </c>
      <c r="V1796" s="152">
        <v>0.67549199999999998</v>
      </c>
      <c r="W1796" s="152">
        <v>1000</v>
      </c>
      <c r="X1796" s="152" t="s">
        <v>23</v>
      </c>
      <c r="Y1796" s="152" t="s">
        <v>1328</v>
      </c>
      <c r="Z1796" s="152" t="s">
        <v>1327</v>
      </c>
    </row>
    <row r="1797" spans="1:26" x14ac:dyDescent="0.2">
      <c r="A1797" s="152" t="s">
        <v>2898</v>
      </c>
      <c r="B1797" s="152">
        <v>0</v>
      </c>
      <c r="C1797" s="151">
        <v>43424</v>
      </c>
      <c r="D1797" s="152">
        <v>7.1233000000000005E-2</v>
      </c>
      <c r="E1797" s="152" t="s">
        <v>1325</v>
      </c>
      <c r="F1797" s="152" t="s">
        <v>1326</v>
      </c>
      <c r="G1797" s="152"/>
      <c r="H1797" s="152"/>
      <c r="I1797" s="151" t="s">
        <v>1327</v>
      </c>
      <c r="J1797" s="152" t="s">
        <v>1327</v>
      </c>
      <c r="K1797" s="152" t="s">
        <v>1327</v>
      </c>
      <c r="L1797" s="152" t="s">
        <v>1327</v>
      </c>
      <c r="M1797" s="152" t="s">
        <v>1327</v>
      </c>
      <c r="N1797" s="152" t="s">
        <v>1327</v>
      </c>
      <c r="O1797" s="152">
        <v>1.5663100000000001</v>
      </c>
      <c r="P1797" s="152">
        <v>33.552602999999998</v>
      </c>
      <c r="Q1797" s="152">
        <v>1.5663100000000001</v>
      </c>
      <c r="R1797" s="152" t="s">
        <v>1327</v>
      </c>
      <c r="S1797" s="152">
        <v>99.888552000000004</v>
      </c>
      <c r="T1797" s="152">
        <v>0</v>
      </c>
      <c r="U1797" s="152">
        <v>7.1152999999999994E-2</v>
      </c>
      <c r="V1797" s="152">
        <v>1.0126E-2</v>
      </c>
      <c r="W1797" s="152">
        <v>1000</v>
      </c>
      <c r="X1797" s="152" t="s">
        <v>23</v>
      </c>
      <c r="Y1797" s="152" t="s">
        <v>1921</v>
      </c>
      <c r="Z1797" s="152" t="s">
        <v>1327</v>
      </c>
    </row>
    <row r="1798" spans="1:26" x14ac:dyDescent="0.2">
      <c r="A1798" s="152" t="s">
        <v>2899</v>
      </c>
      <c r="B1798" s="152">
        <v>0</v>
      </c>
      <c r="C1798" s="151">
        <v>43489</v>
      </c>
      <c r="D1798" s="152">
        <v>0.24931500000000001</v>
      </c>
      <c r="E1798" s="152" t="s">
        <v>1325</v>
      </c>
      <c r="F1798" s="152" t="s">
        <v>1326</v>
      </c>
      <c r="G1798" s="152"/>
      <c r="H1798" s="152"/>
      <c r="I1798" s="151" t="s">
        <v>1327</v>
      </c>
      <c r="J1798" s="152" t="s">
        <v>1327</v>
      </c>
      <c r="K1798" s="152" t="s">
        <v>1327</v>
      </c>
      <c r="L1798" s="152" t="s">
        <v>1327</v>
      </c>
      <c r="M1798" s="152" t="s">
        <v>1327</v>
      </c>
      <c r="N1798" s="152" t="s">
        <v>1327</v>
      </c>
      <c r="O1798" s="152">
        <v>1.8896930000000001</v>
      </c>
      <c r="P1798" s="152">
        <v>36.067025999999998</v>
      </c>
      <c r="Q1798" s="152">
        <v>1.8896930000000001</v>
      </c>
      <c r="R1798" s="152" t="s">
        <v>1327</v>
      </c>
      <c r="S1798" s="152">
        <v>99.531080000000003</v>
      </c>
      <c r="T1798" s="152">
        <v>0</v>
      </c>
      <c r="U1798" s="152">
        <v>0.24814600000000001</v>
      </c>
      <c r="V1798" s="152">
        <v>0.123153</v>
      </c>
      <c r="W1798" s="152">
        <v>1000</v>
      </c>
      <c r="X1798" s="152" t="s">
        <v>23</v>
      </c>
      <c r="Y1798" s="152" t="s">
        <v>1921</v>
      </c>
      <c r="Z1798" s="152" t="s">
        <v>1327</v>
      </c>
    </row>
    <row r="1799" spans="1:26" x14ac:dyDescent="0.2">
      <c r="A1799" s="152" t="s">
        <v>2900</v>
      </c>
      <c r="B1799" s="152">
        <v>0</v>
      </c>
      <c r="C1799" s="151">
        <v>43615</v>
      </c>
      <c r="D1799" s="152">
        <v>0.59452099999999997</v>
      </c>
      <c r="E1799" s="152" t="s">
        <v>1325</v>
      </c>
      <c r="F1799" s="152" t="s">
        <v>1326</v>
      </c>
      <c r="G1799" s="152"/>
      <c r="H1799" s="152"/>
      <c r="I1799" s="151" t="s">
        <v>1327</v>
      </c>
      <c r="J1799" s="152" t="s">
        <v>1327</v>
      </c>
      <c r="K1799" s="152" t="s">
        <v>1327</v>
      </c>
      <c r="L1799" s="152" t="s">
        <v>1327</v>
      </c>
      <c r="M1799" s="152" t="s">
        <v>1327</v>
      </c>
      <c r="N1799" s="152" t="s">
        <v>1327</v>
      </c>
      <c r="O1799" s="152">
        <v>2.0960999999999999</v>
      </c>
      <c r="P1799" s="152">
        <v>32.811442999999997</v>
      </c>
      <c r="Q1799" s="152">
        <v>2.0960999999999999</v>
      </c>
      <c r="R1799" s="152" t="s">
        <v>1327</v>
      </c>
      <c r="S1799" s="152">
        <v>98.769164000000004</v>
      </c>
      <c r="T1799" s="152">
        <v>0</v>
      </c>
      <c r="U1799" s="152">
        <v>0.58720300000000003</v>
      </c>
      <c r="V1799" s="152">
        <v>0.68961499999999998</v>
      </c>
      <c r="W1799" s="152">
        <v>59973500</v>
      </c>
      <c r="X1799" s="152" t="s">
        <v>23</v>
      </c>
      <c r="Y1799" s="152" t="s">
        <v>1921</v>
      </c>
      <c r="Z1799" s="152" t="s">
        <v>1327</v>
      </c>
    </row>
    <row r="1800" spans="1:26" x14ac:dyDescent="0.2">
      <c r="A1800" s="152" t="s">
        <v>2901</v>
      </c>
      <c r="B1800" s="152">
        <v>3.7</v>
      </c>
      <c r="C1800" s="151">
        <v>44437</v>
      </c>
      <c r="D1800" s="152">
        <v>2.8465750000000001</v>
      </c>
      <c r="E1800" s="152" t="s">
        <v>1325</v>
      </c>
      <c r="F1800" s="152" t="s">
        <v>1326</v>
      </c>
      <c r="G1800" s="152"/>
      <c r="H1800" s="152"/>
      <c r="I1800" s="151" t="s">
        <v>1327</v>
      </c>
      <c r="J1800" s="152" t="s">
        <v>1327</v>
      </c>
      <c r="K1800" s="152" t="s">
        <v>1327</v>
      </c>
      <c r="L1800" s="152" t="s">
        <v>1327</v>
      </c>
      <c r="M1800" s="152" t="s">
        <v>1327</v>
      </c>
      <c r="N1800" s="152" t="s">
        <v>1327</v>
      </c>
      <c r="O1800" s="152">
        <v>3.8014790000000001</v>
      </c>
      <c r="P1800" s="152">
        <v>175.4391</v>
      </c>
      <c r="Q1800" s="152">
        <v>3.8014790000000001</v>
      </c>
      <c r="R1800" s="152" t="s">
        <v>1327</v>
      </c>
      <c r="S1800" s="152">
        <v>99.718862000000001</v>
      </c>
      <c r="T1800" s="152">
        <v>0.57780799999999999</v>
      </c>
      <c r="U1800" s="152">
        <v>2.6735180000000001</v>
      </c>
      <c r="V1800" s="152">
        <v>8.0674410000000005</v>
      </c>
      <c r="W1800" s="152">
        <v>1000</v>
      </c>
      <c r="X1800" s="152" t="s">
        <v>23</v>
      </c>
      <c r="Y1800" s="152" t="s">
        <v>1328</v>
      </c>
      <c r="Z1800" s="152" t="s">
        <v>1327</v>
      </c>
    </row>
    <row r="1801" spans="1:26" x14ac:dyDescent="0.2">
      <c r="A1801" s="152" t="s">
        <v>517</v>
      </c>
      <c r="B1801" s="152">
        <v>1.85</v>
      </c>
      <c r="C1801" s="151">
        <v>43539</v>
      </c>
      <c r="D1801" s="152">
        <v>0.38630100000000001</v>
      </c>
      <c r="E1801" s="152" t="s">
        <v>1325</v>
      </c>
      <c r="F1801" s="152" t="s">
        <v>1326</v>
      </c>
      <c r="G1801" s="152"/>
      <c r="H1801" s="152" t="s">
        <v>58</v>
      </c>
      <c r="I1801" s="151">
        <v>43377</v>
      </c>
      <c r="J1801" s="152">
        <v>1.83</v>
      </c>
      <c r="K1801" s="152" t="s">
        <v>1327</v>
      </c>
      <c r="L1801" s="152" t="s">
        <v>1327</v>
      </c>
      <c r="M1801" s="152" t="s">
        <v>1327</v>
      </c>
      <c r="N1801" s="152" t="s">
        <v>1327</v>
      </c>
      <c r="O1801" s="152">
        <v>1.9595800000000001</v>
      </c>
      <c r="P1801" s="152">
        <v>28.609995999999999</v>
      </c>
      <c r="Q1801" s="152">
        <v>1.9595800000000001</v>
      </c>
      <c r="R1801" s="152" t="s">
        <v>1327</v>
      </c>
      <c r="S1801" s="152">
        <v>99.964843999999999</v>
      </c>
      <c r="T1801" s="152">
        <v>0.20274</v>
      </c>
      <c r="U1801" s="152">
        <v>0.38255299999999998</v>
      </c>
      <c r="V1801" s="152">
        <v>0.33576800000000001</v>
      </c>
      <c r="W1801" s="152">
        <v>1000</v>
      </c>
      <c r="X1801" s="152" t="s">
        <v>23</v>
      </c>
      <c r="Y1801" s="152" t="s">
        <v>1328</v>
      </c>
      <c r="Z1801" s="152" t="s">
        <v>1327</v>
      </c>
    </row>
    <row r="1802" spans="1:26" x14ac:dyDescent="0.2">
      <c r="A1802" s="152" t="s">
        <v>645</v>
      </c>
      <c r="B1802" s="152">
        <v>2.16</v>
      </c>
      <c r="C1802" s="151">
        <v>44270</v>
      </c>
      <c r="D1802" s="152">
        <v>2.3890410000000002</v>
      </c>
      <c r="E1802" s="152" t="s">
        <v>1325</v>
      </c>
      <c r="F1802" s="152" t="s">
        <v>1326</v>
      </c>
      <c r="G1802" s="152"/>
      <c r="H1802" s="152" t="s">
        <v>58</v>
      </c>
      <c r="I1802" s="151">
        <v>43045</v>
      </c>
      <c r="J1802" s="152">
        <v>2</v>
      </c>
      <c r="K1802" s="152" t="s">
        <v>1327</v>
      </c>
      <c r="L1802" s="152" t="s">
        <v>1327</v>
      </c>
      <c r="M1802" s="152" t="s">
        <v>1327</v>
      </c>
      <c r="N1802" s="152" t="s">
        <v>1327</v>
      </c>
      <c r="O1802" s="152">
        <v>2.414593</v>
      </c>
      <c r="P1802" s="152">
        <v>36.679231000000001</v>
      </c>
      <c r="Q1802" s="152">
        <v>2.414593</v>
      </c>
      <c r="R1802" s="152" t="s">
        <v>1327</v>
      </c>
      <c r="S1802" s="152">
        <v>99.420811</v>
      </c>
      <c r="T1802" s="152">
        <v>0.23671200000000001</v>
      </c>
      <c r="U1802" s="152">
        <v>2.3054190000000001</v>
      </c>
      <c r="V1802" s="152">
        <v>6.5291649999999999</v>
      </c>
      <c r="W1802" s="152">
        <v>1000</v>
      </c>
      <c r="X1802" s="152" t="s">
        <v>23</v>
      </c>
      <c r="Y1802" s="152" t="s">
        <v>1328</v>
      </c>
      <c r="Z1802" s="152" t="s">
        <v>1327</v>
      </c>
    </row>
    <row r="1803" spans="1:26" x14ac:dyDescent="0.2">
      <c r="A1803" s="152" t="s">
        <v>2902</v>
      </c>
      <c r="B1803" s="152">
        <v>3.56</v>
      </c>
      <c r="C1803" s="151">
        <v>46650</v>
      </c>
      <c r="D1803" s="152">
        <v>8.9095890000000004</v>
      </c>
      <c r="E1803" s="152" t="s">
        <v>1325</v>
      </c>
      <c r="F1803" s="152" t="s">
        <v>1326</v>
      </c>
      <c r="G1803" s="152"/>
      <c r="H1803" s="152" t="s">
        <v>27</v>
      </c>
      <c r="I1803" s="151" t="s">
        <v>1327</v>
      </c>
      <c r="J1803" s="152" t="s">
        <v>1327</v>
      </c>
      <c r="K1803" s="152" t="s">
        <v>1327</v>
      </c>
      <c r="L1803" s="152" t="s">
        <v>1327</v>
      </c>
      <c r="M1803" s="152" t="s">
        <v>1327</v>
      </c>
      <c r="N1803" s="152" t="s">
        <v>1327</v>
      </c>
      <c r="O1803" s="152">
        <v>3.6576119999999999</v>
      </c>
      <c r="P1803" s="152">
        <v>85.989964000000001</v>
      </c>
      <c r="Q1803" s="152">
        <v>3.6576119999999999</v>
      </c>
      <c r="R1803" s="152" t="s">
        <v>1327</v>
      </c>
      <c r="S1803" s="152">
        <v>99.276212000000001</v>
      </c>
      <c r="T1803" s="152">
        <v>0.34137000000000001</v>
      </c>
      <c r="U1803" s="152">
        <v>7.5357099999999999</v>
      </c>
      <c r="V1803" s="152">
        <v>66.113274000000004</v>
      </c>
      <c r="W1803" s="152">
        <v>1000</v>
      </c>
      <c r="X1803" s="152" t="s">
        <v>23</v>
      </c>
      <c r="Y1803" s="152" t="s">
        <v>1328</v>
      </c>
      <c r="Z1803" s="152" t="s">
        <v>1327</v>
      </c>
    </row>
    <row r="1804" spans="1:26" x14ac:dyDescent="0.2">
      <c r="A1804" s="152" t="s">
        <v>2903</v>
      </c>
      <c r="B1804" s="152">
        <v>3.4</v>
      </c>
      <c r="C1804" s="151">
        <v>43966</v>
      </c>
      <c r="D1804" s="152">
        <v>1.5561640000000001</v>
      </c>
      <c r="E1804" s="152" t="s">
        <v>1325</v>
      </c>
      <c r="F1804" s="152" t="s">
        <v>1326</v>
      </c>
      <c r="G1804" s="152" t="s">
        <v>29</v>
      </c>
      <c r="H1804" s="152"/>
      <c r="I1804" s="151">
        <v>42878</v>
      </c>
      <c r="J1804" s="152">
        <v>3.3925000000000001</v>
      </c>
      <c r="K1804" s="152" t="s">
        <v>1327</v>
      </c>
      <c r="L1804" s="152" t="s">
        <v>1327</v>
      </c>
      <c r="M1804" s="152" t="s">
        <v>1327</v>
      </c>
      <c r="N1804" s="152" t="s">
        <v>1327</v>
      </c>
      <c r="O1804" s="152">
        <v>3.3613550000000001</v>
      </c>
      <c r="P1804" s="152">
        <v>144.93100100000001</v>
      </c>
      <c r="Q1804" s="152">
        <v>3.3613550000000001</v>
      </c>
      <c r="R1804" s="152" t="s">
        <v>1327</v>
      </c>
      <c r="S1804" s="152">
        <v>100.04275</v>
      </c>
      <c r="T1804" s="152">
        <v>1.518356</v>
      </c>
      <c r="U1804" s="152">
        <v>1.483039</v>
      </c>
      <c r="V1804" s="152">
        <v>2.9824489999999999</v>
      </c>
      <c r="W1804" s="152">
        <v>1000</v>
      </c>
      <c r="X1804" s="152" t="s">
        <v>23</v>
      </c>
      <c r="Y1804" s="152" t="s">
        <v>1328</v>
      </c>
      <c r="Z1804" s="152" t="s">
        <v>1327</v>
      </c>
    </row>
    <row r="1805" spans="1:26" x14ac:dyDescent="0.2">
      <c r="A1805" s="152" t="s">
        <v>2904</v>
      </c>
      <c r="B1805" s="152">
        <v>3.6</v>
      </c>
      <c r="C1805" s="151">
        <v>45099</v>
      </c>
      <c r="D1805" s="152">
        <v>4.6602740000000002</v>
      </c>
      <c r="E1805" s="152" t="s">
        <v>1325</v>
      </c>
      <c r="F1805" s="152" t="s">
        <v>1326</v>
      </c>
      <c r="G1805" s="152"/>
      <c r="H1805" s="152"/>
      <c r="I1805" s="151" t="s">
        <v>1327</v>
      </c>
      <c r="J1805" s="152" t="s">
        <v>1327</v>
      </c>
      <c r="K1805" s="152" t="s">
        <v>1327</v>
      </c>
      <c r="L1805" s="152" t="s">
        <v>1327</v>
      </c>
      <c r="M1805" s="152" t="s">
        <v>1327</v>
      </c>
      <c r="N1805" s="152" t="s">
        <v>1327</v>
      </c>
      <c r="O1805" s="152">
        <v>3.7960560000000001</v>
      </c>
      <c r="P1805" s="152">
        <v>141.25796199999999</v>
      </c>
      <c r="Q1805" s="152">
        <v>3.7960560000000001</v>
      </c>
      <c r="R1805" s="152" t="s">
        <v>1327</v>
      </c>
      <c r="S1805" s="152">
        <v>99.161378999999997</v>
      </c>
      <c r="T1805" s="152">
        <v>1.232877</v>
      </c>
      <c r="U1805" s="152">
        <v>4.1975119999999997</v>
      </c>
      <c r="V1805" s="152">
        <v>20.7193</v>
      </c>
      <c r="W1805" s="152">
        <v>1000</v>
      </c>
      <c r="X1805" s="152" t="s">
        <v>23</v>
      </c>
      <c r="Y1805" s="152" t="s">
        <v>1328</v>
      </c>
      <c r="Z1805" s="152" t="s">
        <v>1327</v>
      </c>
    </row>
    <row r="1806" spans="1:26" x14ac:dyDescent="0.2">
      <c r="A1806" s="152" t="s">
        <v>2905</v>
      </c>
      <c r="B1806" s="152">
        <v>6.25</v>
      </c>
      <c r="C1806" s="151">
        <v>43849</v>
      </c>
      <c r="D1806" s="152">
        <v>1.235616</v>
      </c>
      <c r="E1806" s="152" t="s">
        <v>1325</v>
      </c>
      <c r="F1806" s="152" t="s">
        <v>1326</v>
      </c>
      <c r="G1806" s="152"/>
      <c r="H1806" s="152"/>
      <c r="I1806" s="151">
        <v>43276</v>
      </c>
      <c r="J1806" s="152">
        <v>6.1</v>
      </c>
      <c r="K1806" s="152" t="s">
        <v>1327</v>
      </c>
      <c r="L1806" s="152" t="s">
        <v>1327</v>
      </c>
      <c r="M1806" s="152" t="s">
        <v>1327</v>
      </c>
      <c r="N1806" s="152" t="s">
        <v>1327</v>
      </c>
      <c r="O1806" s="152">
        <v>6.3011480000000004</v>
      </c>
      <c r="P1806" s="152">
        <v>459.71497099999999</v>
      </c>
      <c r="Q1806" s="152">
        <v>6.3011480000000004</v>
      </c>
      <c r="R1806" s="152" t="s">
        <v>1327</v>
      </c>
      <c r="S1806" s="152">
        <v>99.926151000000004</v>
      </c>
      <c r="T1806" s="152">
        <v>0.10274</v>
      </c>
      <c r="U1806" s="152">
        <v>1.1791529999999999</v>
      </c>
      <c r="V1806" s="152">
        <v>1.706912</v>
      </c>
      <c r="W1806" s="152">
        <v>1000</v>
      </c>
      <c r="X1806" s="152" t="s">
        <v>23</v>
      </c>
      <c r="Y1806" s="152" t="s">
        <v>1328</v>
      </c>
      <c r="Z1806" s="152" t="s">
        <v>1327</v>
      </c>
    </row>
    <row r="1807" spans="1:26" x14ac:dyDescent="0.2">
      <c r="A1807" s="152" t="s">
        <v>2906</v>
      </c>
      <c r="B1807" s="152">
        <v>6.35</v>
      </c>
      <c r="C1807" s="151">
        <v>43514</v>
      </c>
      <c r="D1807" s="152">
        <v>0.31780799999999998</v>
      </c>
      <c r="E1807" s="152" t="s">
        <v>1325</v>
      </c>
      <c r="F1807" s="152" t="s">
        <v>1326</v>
      </c>
      <c r="G1807" s="152"/>
      <c r="H1807" s="152"/>
      <c r="I1807" s="152" t="s">
        <v>1327</v>
      </c>
      <c r="J1807" s="152" t="s">
        <v>1327</v>
      </c>
      <c r="K1807" s="152" t="s">
        <v>1327</v>
      </c>
      <c r="L1807" s="152" t="s">
        <v>1327</v>
      </c>
      <c r="M1807" s="152" t="s">
        <v>1327</v>
      </c>
      <c r="N1807" s="152" t="s">
        <v>1327</v>
      </c>
      <c r="O1807" s="152">
        <v>6.5488039999999996</v>
      </c>
      <c r="P1807" s="152">
        <v>504.44819200000001</v>
      </c>
      <c r="Q1807" s="152">
        <v>6.5488039999999996</v>
      </c>
      <c r="R1807" s="152" t="s">
        <v>1327</v>
      </c>
      <c r="S1807" s="152">
        <v>99.922819000000004</v>
      </c>
      <c r="T1807" s="152">
        <v>1.183014</v>
      </c>
      <c r="U1807" s="152">
        <v>0.30682199999999998</v>
      </c>
      <c r="V1807" s="152">
        <v>0.17054</v>
      </c>
      <c r="W1807" s="152">
        <v>1000</v>
      </c>
      <c r="X1807" s="152" t="s">
        <v>23</v>
      </c>
      <c r="Y1807" s="152" t="s">
        <v>1328</v>
      </c>
      <c r="Z1807" s="152" t="s">
        <v>1327</v>
      </c>
    </row>
    <row r="1808" spans="1:26" x14ac:dyDescent="0.2">
      <c r="A1808" s="152" t="s">
        <v>2907</v>
      </c>
      <c r="B1808" s="152">
        <v>4</v>
      </c>
      <c r="C1808" s="151">
        <v>43429</v>
      </c>
      <c r="D1808" s="152">
        <v>8.4931999999999994E-2</v>
      </c>
      <c r="E1808" s="152" t="s">
        <v>1325</v>
      </c>
      <c r="F1808" s="152" t="s">
        <v>1326</v>
      </c>
      <c r="G1808" s="152" t="s">
        <v>116</v>
      </c>
      <c r="H1808" s="152"/>
      <c r="I1808" s="152">
        <v>42695</v>
      </c>
      <c r="J1808" s="152">
        <v>3.62</v>
      </c>
      <c r="K1808" s="152" t="s">
        <v>1327</v>
      </c>
      <c r="L1808" s="152" t="s">
        <v>1327</v>
      </c>
      <c r="M1808" s="152" t="s">
        <v>1327</v>
      </c>
      <c r="N1808" s="152" t="s">
        <v>1327</v>
      </c>
      <c r="O1808" s="152">
        <v>1.9535419999999999</v>
      </c>
      <c r="P1808" s="152">
        <v>69.564721000000006</v>
      </c>
      <c r="Q1808" s="152">
        <v>1.9535419999999999</v>
      </c>
      <c r="R1808" s="152" t="s">
        <v>1327</v>
      </c>
      <c r="S1808" s="152">
        <v>100.155013</v>
      </c>
      <c r="T1808" s="152">
        <v>1.676712</v>
      </c>
      <c r="U1808" s="152">
        <v>8.4110000000000004E-2</v>
      </c>
      <c r="V1808" s="152">
        <v>4.8723000000000002E-2</v>
      </c>
      <c r="W1808" s="152">
        <v>1000</v>
      </c>
      <c r="X1808" s="152" t="s">
        <v>23</v>
      </c>
      <c r="Y1808" s="152" t="s">
        <v>1328</v>
      </c>
      <c r="Z1808" s="152" t="s">
        <v>1327</v>
      </c>
    </row>
    <row r="1809" spans="1:26" x14ac:dyDescent="0.2">
      <c r="A1809" s="152" t="s">
        <v>2908</v>
      </c>
      <c r="B1809" s="152">
        <v>3.85</v>
      </c>
      <c r="C1809" s="151">
        <v>43584</v>
      </c>
      <c r="D1809" s="152">
        <v>0.50958899999999996</v>
      </c>
      <c r="E1809" s="152" t="s">
        <v>1325</v>
      </c>
      <c r="F1809" s="152" t="s">
        <v>1326</v>
      </c>
      <c r="G1809" s="152" t="s">
        <v>116</v>
      </c>
      <c r="H1809" s="152"/>
      <c r="I1809" s="151">
        <v>42993</v>
      </c>
      <c r="J1809" s="152">
        <v>3.05</v>
      </c>
      <c r="K1809" s="152" t="s">
        <v>1327</v>
      </c>
      <c r="L1809" s="152" t="s">
        <v>1327</v>
      </c>
      <c r="M1809" s="152" t="s">
        <v>1327</v>
      </c>
      <c r="N1809" s="152" t="s">
        <v>1327</v>
      </c>
      <c r="O1809" s="152">
        <v>2.49465</v>
      </c>
      <c r="P1809" s="152">
        <v>77.543829000000002</v>
      </c>
      <c r="Q1809" s="152">
        <v>2.49465</v>
      </c>
      <c r="R1809" s="152" t="s">
        <v>1327</v>
      </c>
      <c r="S1809" s="152">
        <v>100.68614700000001</v>
      </c>
      <c r="T1809" s="152">
        <v>-4.2192E-2</v>
      </c>
      <c r="U1809" s="152">
        <v>0.50543099999999996</v>
      </c>
      <c r="V1809" s="152">
        <v>0.38161600000000001</v>
      </c>
      <c r="W1809" s="152">
        <v>1000</v>
      </c>
      <c r="X1809" s="152" t="s">
        <v>23</v>
      </c>
      <c r="Y1809" s="152" t="s">
        <v>1328</v>
      </c>
      <c r="Z1809" s="152" t="s">
        <v>1327</v>
      </c>
    </row>
    <row r="1810" spans="1:26" x14ac:dyDescent="0.2">
      <c r="A1810" s="152" t="s">
        <v>2909</v>
      </c>
      <c r="B1810" s="152">
        <v>4.42</v>
      </c>
      <c r="C1810" s="151">
        <v>43614</v>
      </c>
      <c r="D1810" s="152">
        <v>0.591781</v>
      </c>
      <c r="E1810" s="152" t="s">
        <v>1325</v>
      </c>
      <c r="F1810" s="152" t="s">
        <v>1326</v>
      </c>
      <c r="G1810" s="152" t="s">
        <v>116</v>
      </c>
      <c r="H1810" s="152"/>
      <c r="I1810" s="152">
        <v>42789</v>
      </c>
      <c r="J1810" s="152">
        <v>3.35</v>
      </c>
      <c r="K1810" s="152" t="s">
        <v>1327</v>
      </c>
      <c r="L1810" s="152" t="s">
        <v>1327</v>
      </c>
      <c r="M1810" s="152" t="s">
        <v>1327</v>
      </c>
      <c r="N1810" s="152" t="s">
        <v>1327</v>
      </c>
      <c r="O1810" s="152">
        <v>2.5482279999999999</v>
      </c>
      <c r="P1810" s="152">
        <v>80.795282999999998</v>
      </c>
      <c r="Q1810" s="152">
        <v>2.5482279999999999</v>
      </c>
      <c r="R1810" s="152" t="s">
        <v>1327</v>
      </c>
      <c r="S1810" s="152">
        <v>101.07966999999999</v>
      </c>
      <c r="T1810" s="152">
        <v>1.8043290000000001</v>
      </c>
      <c r="U1810" s="152">
        <v>0.57781400000000005</v>
      </c>
      <c r="V1810" s="152">
        <v>0.62425299999999995</v>
      </c>
      <c r="W1810" s="152">
        <v>1000</v>
      </c>
      <c r="X1810" s="152" t="s">
        <v>23</v>
      </c>
      <c r="Y1810" s="152" t="s">
        <v>1328</v>
      </c>
      <c r="Z1810" s="152" t="s">
        <v>1327</v>
      </c>
    </row>
    <row r="1811" spans="1:26" x14ac:dyDescent="0.2">
      <c r="A1811" s="152" t="s">
        <v>2910</v>
      </c>
      <c r="B1811" s="152">
        <v>3.75</v>
      </c>
      <c r="C1811" s="151">
        <v>43605</v>
      </c>
      <c r="D1811" s="152">
        <v>0.56712300000000004</v>
      </c>
      <c r="E1811" s="152" t="s">
        <v>1325</v>
      </c>
      <c r="F1811" s="152" t="s">
        <v>1326</v>
      </c>
      <c r="G1811" s="152" t="s">
        <v>116</v>
      </c>
      <c r="H1811" s="152"/>
      <c r="I1811" s="152" t="s">
        <v>1327</v>
      </c>
      <c r="J1811" s="152" t="s">
        <v>1327</v>
      </c>
      <c r="K1811" s="152" t="s">
        <v>1327</v>
      </c>
      <c r="L1811" s="152" t="s">
        <v>1327</v>
      </c>
      <c r="M1811" s="152" t="s">
        <v>1327</v>
      </c>
      <c r="N1811" s="152" t="s">
        <v>1327</v>
      </c>
      <c r="O1811" s="152">
        <v>2.510211</v>
      </c>
      <c r="P1811" s="152">
        <v>78.401942000000005</v>
      </c>
      <c r="Q1811" s="152">
        <v>2.510211</v>
      </c>
      <c r="R1811" s="152" t="s">
        <v>1327</v>
      </c>
      <c r="S1811" s="152">
        <v>100.69267000000001</v>
      </c>
      <c r="T1811" s="152">
        <v>0.67808199999999996</v>
      </c>
      <c r="U1811" s="152">
        <v>0.56080399999999997</v>
      </c>
      <c r="V1811" s="152">
        <v>0.45662599999999998</v>
      </c>
      <c r="W1811" s="152">
        <v>1000</v>
      </c>
      <c r="X1811" s="152" t="s">
        <v>23</v>
      </c>
      <c r="Y1811" s="152" t="s">
        <v>1328</v>
      </c>
      <c r="Z1811" s="152" t="s">
        <v>1327</v>
      </c>
    </row>
    <row r="1812" spans="1:26" x14ac:dyDescent="0.2">
      <c r="A1812" s="152" t="s">
        <v>2911</v>
      </c>
      <c r="B1812" s="152">
        <v>3.85</v>
      </c>
      <c r="C1812" s="151">
        <v>43627</v>
      </c>
      <c r="D1812" s="152">
        <v>0.62739699999999998</v>
      </c>
      <c r="E1812" s="152" t="s">
        <v>1325</v>
      </c>
      <c r="F1812" s="152" t="s">
        <v>1326</v>
      </c>
      <c r="G1812" s="152" t="s">
        <v>116</v>
      </c>
      <c r="H1812" s="152"/>
      <c r="I1812" s="152" t="s">
        <v>1327</v>
      </c>
      <c r="J1812" s="152" t="s">
        <v>1327</v>
      </c>
      <c r="K1812" s="152" t="s">
        <v>1327</v>
      </c>
      <c r="L1812" s="152" t="s">
        <v>1327</v>
      </c>
      <c r="M1812" s="152" t="s">
        <v>1327</v>
      </c>
      <c r="N1812" s="152" t="s">
        <v>1327</v>
      </c>
      <c r="O1812" s="152">
        <v>2.5493130000000002</v>
      </c>
      <c r="P1812" s="152">
        <v>80.548761999999996</v>
      </c>
      <c r="Q1812" s="152">
        <v>2.5493130000000002</v>
      </c>
      <c r="R1812" s="152" t="s">
        <v>1327</v>
      </c>
      <c r="S1812" s="152">
        <v>100.813157</v>
      </c>
      <c r="T1812" s="152">
        <v>0.485205</v>
      </c>
      <c r="U1812" s="152">
        <v>0.61964200000000003</v>
      </c>
      <c r="V1812" s="152">
        <v>0.54085899999999998</v>
      </c>
      <c r="W1812" s="152">
        <v>1000</v>
      </c>
      <c r="X1812" s="152" t="s">
        <v>23</v>
      </c>
      <c r="Y1812" s="152" t="s">
        <v>1328</v>
      </c>
      <c r="Z1812" s="152" t="s">
        <v>1327</v>
      </c>
    </row>
    <row r="1813" spans="1:26" x14ac:dyDescent="0.2">
      <c r="A1813" s="152" t="s">
        <v>2912</v>
      </c>
      <c r="B1813" s="152">
        <v>3.85</v>
      </c>
      <c r="C1813" s="151">
        <v>43627</v>
      </c>
      <c r="D1813" s="152">
        <v>0.62739699999999998</v>
      </c>
      <c r="E1813" s="152" t="s">
        <v>1325</v>
      </c>
      <c r="F1813" s="152" t="s">
        <v>1326</v>
      </c>
      <c r="G1813" s="152" t="s">
        <v>116</v>
      </c>
      <c r="H1813" s="152"/>
      <c r="I1813" s="152" t="s">
        <v>1327</v>
      </c>
      <c r="J1813" s="152" t="s">
        <v>1327</v>
      </c>
      <c r="K1813" s="152" t="s">
        <v>1327</v>
      </c>
      <c r="L1813" s="152" t="s">
        <v>1327</v>
      </c>
      <c r="M1813" s="152" t="s">
        <v>1327</v>
      </c>
      <c r="N1813" s="152" t="s">
        <v>1327</v>
      </c>
      <c r="O1813" s="152">
        <v>2.5524499999999999</v>
      </c>
      <c r="P1813" s="152">
        <v>80.869739999999993</v>
      </c>
      <c r="Q1813" s="152">
        <v>2.5524499999999999</v>
      </c>
      <c r="R1813" s="152" t="s">
        <v>1327</v>
      </c>
      <c r="S1813" s="152">
        <v>100.81143</v>
      </c>
      <c r="T1813" s="152">
        <v>0.41137000000000001</v>
      </c>
      <c r="U1813" s="152">
        <v>0.61999499999999996</v>
      </c>
      <c r="V1813" s="152">
        <v>0.54112199999999999</v>
      </c>
      <c r="W1813" s="152">
        <v>1000</v>
      </c>
      <c r="X1813" s="152" t="s">
        <v>23</v>
      </c>
      <c r="Y1813" s="152" t="s">
        <v>1328</v>
      </c>
      <c r="Z1813" s="152" t="s">
        <v>1327</v>
      </c>
    </row>
    <row r="1814" spans="1:26" x14ac:dyDescent="0.2">
      <c r="A1814" s="152" t="s">
        <v>2913</v>
      </c>
      <c r="B1814" s="152">
        <v>4.4000000000000004</v>
      </c>
      <c r="C1814" s="151">
        <v>43677</v>
      </c>
      <c r="D1814" s="152">
        <v>0.76438399999999995</v>
      </c>
      <c r="E1814" s="152" t="s">
        <v>1325</v>
      </c>
      <c r="F1814" s="152" t="s">
        <v>1326</v>
      </c>
      <c r="G1814" s="152" t="s">
        <v>116</v>
      </c>
      <c r="H1814" s="152"/>
      <c r="I1814" s="151">
        <v>43227</v>
      </c>
      <c r="J1814" s="152">
        <v>3</v>
      </c>
      <c r="K1814" s="152" t="s">
        <v>1327</v>
      </c>
      <c r="L1814" s="152" t="s">
        <v>1327</v>
      </c>
      <c r="M1814" s="152" t="s">
        <v>1327</v>
      </c>
      <c r="N1814" s="152" t="s">
        <v>1327</v>
      </c>
      <c r="O1814" s="152">
        <v>2.5525579999999999</v>
      </c>
      <c r="P1814" s="152">
        <v>78.371482999999998</v>
      </c>
      <c r="Q1814" s="152">
        <v>2.5525579999999999</v>
      </c>
      <c r="R1814" s="152" t="s">
        <v>1327</v>
      </c>
      <c r="S1814" s="152">
        <v>101.375553</v>
      </c>
      <c r="T1814" s="152">
        <v>1.0367120000000001</v>
      </c>
      <c r="U1814" s="152">
        <v>0.74827500000000002</v>
      </c>
      <c r="V1814" s="152">
        <v>0.93442800000000004</v>
      </c>
      <c r="W1814" s="152">
        <v>1000</v>
      </c>
      <c r="X1814" s="152" t="s">
        <v>23</v>
      </c>
      <c r="Y1814" s="152" t="s">
        <v>1328</v>
      </c>
      <c r="Z1814" s="152" t="s">
        <v>1327</v>
      </c>
    </row>
    <row r="1815" spans="1:26" x14ac:dyDescent="0.2">
      <c r="A1815" s="152" t="s">
        <v>2914</v>
      </c>
      <c r="B1815" s="152">
        <v>3.85</v>
      </c>
      <c r="C1815" s="151">
        <v>43654</v>
      </c>
      <c r="D1815" s="152">
        <v>0.70137000000000005</v>
      </c>
      <c r="E1815" s="152" t="s">
        <v>1325</v>
      </c>
      <c r="F1815" s="152" t="s">
        <v>1326</v>
      </c>
      <c r="G1815" s="152" t="s">
        <v>116</v>
      </c>
      <c r="H1815" s="152"/>
      <c r="I1815" s="152" t="s">
        <v>1327</v>
      </c>
      <c r="J1815" s="152" t="s">
        <v>1327</v>
      </c>
      <c r="K1815" s="152" t="s">
        <v>1327</v>
      </c>
      <c r="L1815" s="152" t="s">
        <v>1327</v>
      </c>
      <c r="M1815" s="152" t="s">
        <v>1327</v>
      </c>
      <c r="N1815" s="152" t="s">
        <v>1327</v>
      </c>
      <c r="O1815" s="152">
        <v>2.5636930000000002</v>
      </c>
      <c r="P1815" s="152">
        <v>78.667514999999995</v>
      </c>
      <c r="Q1815" s="152">
        <v>2.5636930000000002</v>
      </c>
      <c r="R1815" s="152" t="s">
        <v>1327</v>
      </c>
      <c r="S1815" s="152">
        <v>100.869737</v>
      </c>
      <c r="T1815" s="152">
        <v>1.160274</v>
      </c>
      <c r="U1815" s="152">
        <v>0.68325199999999997</v>
      </c>
      <c r="V1815" s="152">
        <v>0.80859999999999999</v>
      </c>
      <c r="W1815" s="152">
        <v>1000</v>
      </c>
      <c r="X1815" s="152" t="s">
        <v>23</v>
      </c>
      <c r="Y1815" s="152" t="s">
        <v>1328</v>
      </c>
      <c r="Z1815" s="152" t="s">
        <v>1327</v>
      </c>
    </row>
    <row r="1816" spans="1:26" x14ac:dyDescent="0.2">
      <c r="A1816" s="152" t="s">
        <v>2915</v>
      </c>
      <c r="B1816" s="152">
        <v>3.75</v>
      </c>
      <c r="C1816" s="151">
        <v>43676</v>
      </c>
      <c r="D1816" s="152">
        <v>0.76164399999999999</v>
      </c>
      <c r="E1816" s="152" t="s">
        <v>1325</v>
      </c>
      <c r="F1816" s="152" t="s">
        <v>1326</v>
      </c>
      <c r="G1816" s="152" t="s">
        <v>116</v>
      </c>
      <c r="H1816" s="152"/>
      <c r="I1816" s="152">
        <v>42627</v>
      </c>
      <c r="J1816" s="152">
        <v>3.665</v>
      </c>
      <c r="K1816" s="152" t="s">
        <v>1327</v>
      </c>
      <c r="L1816" s="152" t="s">
        <v>1327</v>
      </c>
      <c r="M1816" s="152" t="s">
        <v>1327</v>
      </c>
      <c r="N1816" s="152" t="s">
        <v>1327</v>
      </c>
      <c r="O1816" s="152">
        <v>2.5582750000000001</v>
      </c>
      <c r="P1816" s="152">
        <v>78.954567999999995</v>
      </c>
      <c r="Q1816" s="152">
        <v>2.5582750000000001</v>
      </c>
      <c r="R1816" s="152" t="s">
        <v>1327</v>
      </c>
      <c r="S1816" s="152">
        <v>100.879634</v>
      </c>
      <c r="T1816" s="152">
        <v>0.89383599999999996</v>
      </c>
      <c r="U1816" s="152">
        <v>0.74704800000000005</v>
      </c>
      <c r="V1816" s="152">
        <v>0.93126600000000004</v>
      </c>
      <c r="W1816" s="152">
        <v>1000</v>
      </c>
      <c r="X1816" s="152" t="s">
        <v>23</v>
      </c>
      <c r="Y1816" s="152" t="s">
        <v>1328</v>
      </c>
      <c r="Z1816" s="152" t="s">
        <v>1327</v>
      </c>
    </row>
    <row r="1817" spans="1:26" x14ac:dyDescent="0.2">
      <c r="A1817" s="152" t="s">
        <v>2916</v>
      </c>
      <c r="B1817" s="152">
        <v>2</v>
      </c>
      <c r="C1817" s="151">
        <v>43726</v>
      </c>
      <c r="D1817" s="152">
        <v>0.89863000000000004</v>
      </c>
      <c r="E1817" s="152" t="s">
        <v>1325</v>
      </c>
      <c r="F1817" s="152" t="s">
        <v>1326</v>
      </c>
      <c r="G1817" s="152"/>
      <c r="H1817" s="152"/>
      <c r="I1817" s="152" t="s">
        <v>1327</v>
      </c>
      <c r="J1817" s="152" t="s">
        <v>1327</v>
      </c>
      <c r="K1817" s="152" t="s">
        <v>1327</v>
      </c>
      <c r="L1817" s="152" t="s">
        <v>1327</v>
      </c>
      <c r="M1817" s="152" t="s">
        <v>1327</v>
      </c>
      <c r="N1817" s="152" t="s">
        <v>1327</v>
      </c>
      <c r="O1817" s="152">
        <v>2.0797439999999998</v>
      </c>
      <c r="P1817" s="152">
        <v>27.401641000000001</v>
      </c>
      <c r="Q1817" s="152">
        <v>2.0797439999999998</v>
      </c>
      <c r="R1817" s="152" t="s">
        <v>1327</v>
      </c>
      <c r="S1817" s="152">
        <v>99.937047000000007</v>
      </c>
      <c r="T1817" s="152">
        <v>0.20274</v>
      </c>
      <c r="U1817" s="152">
        <v>0.880413</v>
      </c>
      <c r="V1817" s="152">
        <v>1.2132039999999999</v>
      </c>
      <c r="W1817" s="152">
        <v>1000</v>
      </c>
      <c r="X1817" s="152" t="s">
        <v>23</v>
      </c>
      <c r="Y1817" s="152" t="s">
        <v>1328</v>
      </c>
      <c r="Z1817" s="152" t="s">
        <v>1327</v>
      </c>
    </row>
    <row r="1818" spans="1:26" x14ac:dyDescent="0.2">
      <c r="A1818" s="152" t="s">
        <v>2917</v>
      </c>
      <c r="B1818" s="152">
        <v>4.0999999999999996</v>
      </c>
      <c r="C1818" s="151">
        <v>43950</v>
      </c>
      <c r="D1818" s="152">
        <v>1.512329</v>
      </c>
      <c r="E1818" s="152" t="s">
        <v>1325</v>
      </c>
      <c r="F1818" s="152" t="s">
        <v>1326</v>
      </c>
      <c r="G1818" s="152" t="s">
        <v>116</v>
      </c>
      <c r="H1818" s="152"/>
      <c r="I1818" s="151" t="s">
        <v>1327</v>
      </c>
      <c r="J1818" s="152" t="s">
        <v>1327</v>
      </c>
      <c r="K1818" s="152" t="s">
        <v>1327</v>
      </c>
      <c r="L1818" s="152" t="s">
        <v>1327</v>
      </c>
      <c r="M1818" s="152" t="s">
        <v>1327</v>
      </c>
      <c r="N1818" s="152" t="s">
        <v>1327</v>
      </c>
      <c r="O1818" s="152">
        <v>2.6419700000000002</v>
      </c>
      <c r="P1818" s="152">
        <v>73.488254999999995</v>
      </c>
      <c r="Q1818" s="152">
        <v>2.6419700000000002</v>
      </c>
      <c r="R1818" s="152" t="s">
        <v>1327</v>
      </c>
      <c r="S1818" s="152">
        <v>102.152826</v>
      </c>
      <c r="T1818" s="152">
        <v>-4.4932E-2</v>
      </c>
      <c r="U1818" s="152">
        <v>1.4642269999999999</v>
      </c>
      <c r="V1818" s="152">
        <v>2.539882</v>
      </c>
      <c r="W1818" s="152">
        <v>1000</v>
      </c>
      <c r="X1818" s="152" t="s">
        <v>23</v>
      </c>
      <c r="Y1818" s="152" t="s">
        <v>1328</v>
      </c>
      <c r="Z1818" s="152" t="s">
        <v>1327</v>
      </c>
    </row>
    <row r="1819" spans="1:26" x14ac:dyDescent="0.2">
      <c r="A1819" s="152" t="s">
        <v>2918</v>
      </c>
      <c r="B1819" s="152">
        <v>4.0999999999999996</v>
      </c>
      <c r="C1819" s="151">
        <v>43950</v>
      </c>
      <c r="D1819" s="152">
        <v>1.512329</v>
      </c>
      <c r="E1819" s="152" t="s">
        <v>1325</v>
      </c>
      <c r="F1819" s="152" t="s">
        <v>1326</v>
      </c>
      <c r="G1819" s="152" t="s">
        <v>116</v>
      </c>
      <c r="H1819" s="152"/>
      <c r="I1819" s="151" t="s">
        <v>1327</v>
      </c>
      <c r="J1819" s="152" t="s">
        <v>1327</v>
      </c>
      <c r="K1819" s="152" t="s">
        <v>1327</v>
      </c>
      <c r="L1819" s="152" t="s">
        <v>1327</v>
      </c>
      <c r="M1819" s="152" t="s">
        <v>1327</v>
      </c>
      <c r="N1819" s="152" t="s">
        <v>1327</v>
      </c>
      <c r="O1819" s="152">
        <v>2.6419700000000002</v>
      </c>
      <c r="P1819" s="152">
        <v>73.488254999999995</v>
      </c>
      <c r="Q1819" s="152">
        <v>2.6419700000000002</v>
      </c>
      <c r="R1819" s="152" t="s">
        <v>1327</v>
      </c>
      <c r="S1819" s="152">
        <v>102.152826</v>
      </c>
      <c r="T1819" s="152">
        <v>-4.4932E-2</v>
      </c>
      <c r="U1819" s="152">
        <v>1.4642269999999999</v>
      </c>
      <c r="V1819" s="152">
        <v>2.539882</v>
      </c>
      <c r="W1819" s="152">
        <v>1000</v>
      </c>
      <c r="X1819" s="152" t="s">
        <v>23</v>
      </c>
      <c r="Y1819" s="152" t="s">
        <v>1328</v>
      </c>
      <c r="Z1819" s="152" t="s">
        <v>1327</v>
      </c>
    </row>
    <row r="1820" spans="1:26" x14ac:dyDescent="0.2">
      <c r="A1820" s="152" t="s">
        <v>2919</v>
      </c>
      <c r="B1820" s="152">
        <v>3.5</v>
      </c>
      <c r="C1820" s="151">
        <v>43949</v>
      </c>
      <c r="D1820" s="152">
        <v>1.5095890000000001</v>
      </c>
      <c r="E1820" s="152" t="s">
        <v>1325</v>
      </c>
      <c r="F1820" s="152" t="s">
        <v>1326</v>
      </c>
      <c r="G1820" s="152" t="s">
        <v>116</v>
      </c>
      <c r="H1820" s="152"/>
      <c r="I1820" s="152">
        <v>42922</v>
      </c>
      <c r="J1820" s="152">
        <v>3.395</v>
      </c>
      <c r="K1820" s="152" t="s">
        <v>1327</v>
      </c>
      <c r="L1820" s="152" t="s">
        <v>1327</v>
      </c>
      <c r="M1820" s="152" t="s">
        <v>1327</v>
      </c>
      <c r="N1820" s="152" t="s">
        <v>1327</v>
      </c>
      <c r="O1820" s="152">
        <v>2.6434000000000002</v>
      </c>
      <c r="P1820" s="152">
        <v>73.660999000000004</v>
      </c>
      <c r="Q1820" s="152">
        <v>2.6434000000000002</v>
      </c>
      <c r="R1820" s="152" t="s">
        <v>1327</v>
      </c>
      <c r="S1820" s="152">
        <v>101.262539</v>
      </c>
      <c r="T1820" s="152">
        <v>-2.8767000000000001E-2</v>
      </c>
      <c r="U1820" s="152">
        <v>1.466615</v>
      </c>
      <c r="V1820" s="152">
        <v>2.5431509999999999</v>
      </c>
      <c r="W1820" s="152">
        <v>1000</v>
      </c>
      <c r="X1820" s="152" t="s">
        <v>23</v>
      </c>
      <c r="Y1820" s="152" t="s">
        <v>1328</v>
      </c>
      <c r="Z1820" s="152" t="s">
        <v>1327</v>
      </c>
    </row>
    <row r="1821" spans="1:26" x14ac:dyDescent="0.2">
      <c r="A1821" s="152" t="s">
        <v>2920</v>
      </c>
      <c r="B1821" s="152">
        <v>3.15</v>
      </c>
      <c r="C1821" s="151">
        <v>44061</v>
      </c>
      <c r="D1821" s="152">
        <v>1.816438</v>
      </c>
      <c r="E1821" s="152" t="s">
        <v>1325</v>
      </c>
      <c r="F1821" s="152" t="s">
        <v>1326</v>
      </c>
      <c r="G1821" s="152" t="s">
        <v>116</v>
      </c>
      <c r="H1821" s="152"/>
      <c r="I1821" s="151" t="s">
        <v>1327</v>
      </c>
      <c r="J1821" s="152" t="s">
        <v>1327</v>
      </c>
      <c r="K1821" s="152" t="s">
        <v>1327</v>
      </c>
      <c r="L1821" s="152" t="s">
        <v>1327</v>
      </c>
      <c r="M1821" s="152" t="s">
        <v>1327</v>
      </c>
      <c r="N1821" s="152" t="s">
        <v>1327</v>
      </c>
      <c r="O1821" s="152">
        <v>2.7128109999999999</v>
      </c>
      <c r="P1821" s="152">
        <v>73.897484000000006</v>
      </c>
      <c r="Q1821" s="152">
        <v>2.7128109999999999</v>
      </c>
      <c r="R1821" s="152" t="s">
        <v>1327</v>
      </c>
      <c r="S1821" s="152">
        <v>100.76505400000001</v>
      </c>
      <c r="T1821" s="152">
        <v>0.58684899999999995</v>
      </c>
      <c r="U1821" s="152">
        <v>1.7503150000000001</v>
      </c>
      <c r="V1821" s="152">
        <v>3.5617299999999998</v>
      </c>
      <c r="W1821" s="152">
        <v>1000</v>
      </c>
      <c r="X1821" s="152" t="s">
        <v>23</v>
      </c>
      <c r="Y1821" s="152" t="s">
        <v>1328</v>
      </c>
      <c r="Z1821" s="152" t="s">
        <v>1327</v>
      </c>
    </row>
    <row r="1822" spans="1:26" x14ac:dyDescent="0.2">
      <c r="A1822" s="152" t="s">
        <v>2921</v>
      </c>
      <c r="B1822" s="152">
        <v>2.77</v>
      </c>
      <c r="C1822" s="151">
        <v>44123</v>
      </c>
      <c r="D1822" s="152">
        <v>1.9863010000000001</v>
      </c>
      <c r="E1822" s="152" t="s">
        <v>1325</v>
      </c>
      <c r="F1822" s="152" t="s">
        <v>1326</v>
      </c>
      <c r="G1822" s="152" t="s">
        <v>116</v>
      </c>
      <c r="H1822" s="152"/>
      <c r="I1822" s="152" t="s">
        <v>1327</v>
      </c>
      <c r="J1822" s="152" t="s">
        <v>1327</v>
      </c>
      <c r="K1822" s="152" t="s">
        <v>1327</v>
      </c>
      <c r="L1822" s="152" t="s">
        <v>1327</v>
      </c>
      <c r="M1822" s="152" t="s">
        <v>1327</v>
      </c>
      <c r="N1822" s="152" t="s">
        <v>1327</v>
      </c>
      <c r="O1822" s="152">
        <v>2.7699039999999999</v>
      </c>
      <c r="P1822" s="152">
        <v>77.304389999999998</v>
      </c>
      <c r="Q1822" s="152">
        <v>2.7699039999999999</v>
      </c>
      <c r="R1822" s="152" t="s">
        <v>1327</v>
      </c>
      <c r="S1822" s="152">
        <v>99.994364000000004</v>
      </c>
      <c r="T1822" s="152">
        <v>4.5533999999999998E-2</v>
      </c>
      <c r="U1822" s="152">
        <v>1.924803</v>
      </c>
      <c r="V1822" s="152">
        <v>4.2393169999999998</v>
      </c>
      <c r="W1822" s="152">
        <v>1000</v>
      </c>
      <c r="X1822" s="152" t="s">
        <v>23</v>
      </c>
      <c r="Y1822" s="152" t="s">
        <v>1328</v>
      </c>
      <c r="Z1822" s="152" t="s">
        <v>1327</v>
      </c>
    </row>
    <row r="1823" spans="1:26" x14ac:dyDescent="0.2">
      <c r="A1823" s="152" t="s">
        <v>234</v>
      </c>
      <c r="B1823" s="152">
        <v>2.39</v>
      </c>
      <c r="C1823" s="151">
        <v>44313</v>
      </c>
      <c r="D1823" s="152">
        <v>2.5068489999999999</v>
      </c>
      <c r="E1823" s="152" t="s">
        <v>1325</v>
      </c>
      <c r="F1823" s="152" t="s">
        <v>1326</v>
      </c>
      <c r="G1823" s="152" t="s">
        <v>116</v>
      </c>
      <c r="H1823" s="152"/>
      <c r="I1823" s="151">
        <v>43292</v>
      </c>
      <c r="J1823" s="152">
        <v>2.4975000000000001</v>
      </c>
      <c r="K1823" s="152" t="s">
        <v>1327</v>
      </c>
      <c r="L1823" s="152" t="s">
        <v>1327</v>
      </c>
      <c r="M1823" s="152" t="s">
        <v>1327</v>
      </c>
      <c r="N1823" s="152" t="s">
        <v>1327</v>
      </c>
      <c r="O1823" s="152">
        <v>2.8275939999999999</v>
      </c>
      <c r="P1823" s="152">
        <v>78.855147000000002</v>
      </c>
      <c r="Q1823" s="152">
        <v>2.8275939999999999</v>
      </c>
      <c r="R1823" s="152" t="s">
        <v>1327</v>
      </c>
      <c r="S1823" s="152">
        <v>98.945193000000003</v>
      </c>
      <c r="T1823" s="152">
        <v>-1.3096E-2</v>
      </c>
      <c r="U1823" s="152">
        <v>2.422148</v>
      </c>
      <c r="V1823" s="152">
        <v>6.5676880000000004</v>
      </c>
      <c r="W1823" s="152">
        <v>1000</v>
      </c>
      <c r="X1823" s="152" t="s">
        <v>23</v>
      </c>
      <c r="Y1823" s="152" t="s">
        <v>1328</v>
      </c>
      <c r="Z1823" s="152" t="s">
        <v>1327</v>
      </c>
    </row>
    <row r="1824" spans="1:26" x14ac:dyDescent="0.2">
      <c r="A1824" s="152" t="s">
        <v>2922</v>
      </c>
      <c r="B1824" s="152">
        <v>4.7</v>
      </c>
      <c r="C1824" s="151">
        <v>44408</v>
      </c>
      <c r="D1824" s="152">
        <v>2.7671230000000002</v>
      </c>
      <c r="E1824" s="152" t="s">
        <v>1325</v>
      </c>
      <c r="F1824" s="152" t="s">
        <v>1326</v>
      </c>
      <c r="G1824" s="152" t="s">
        <v>116</v>
      </c>
      <c r="H1824" s="152"/>
      <c r="I1824" s="152">
        <v>43236</v>
      </c>
      <c r="J1824" s="152">
        <v>3.18</v>
      </c>
      <c r="K1824" s="152" t="s">
        <v>1327</v>
      </c>
      <c r="L1824" s="152" t="s">
        <v>1327</v>
      </c>
      <c r="M1824" s="152" t="s">
        <v>1327</v>
      </c>
      <c r="N1824" s="152" t="s">
        <v>1327</v>
      </c>
      <c r="O1824" s="152">
        <v>3.0302630000000002</v>
      </c>
      <c r="P1824" s="152">
        <v>96.598906999999997</v>
      </c>
      <c r="Q1824" s="152">
        <v>3.0302630000000002</v>
      </c>
      <c r="R1824" s="152" t="s">
        <v>1327</v>
      </c>
      <c r="S1824" s="152">
        <v>104.37846500000001</v>
      </c>
      <c r="T1824" s="152">
        <v>1.107397</v>
      </c>
      <c r="U1824" s="152">
        <v>2.5671189999999999</v>
      </c>
      <c r="V1824" s="152">
        <v>8.1197719999999993</v>
      </c>
      <c r="W1824" s="152">
        <v>1000</v>
      </c>
      <c r="X1824" s="152" t="s">
        <v>23</v>
      </c>
      <c r="Y1824" s="152" t="s">
        <v>1328</v>
      </c>
      <c r="Z1824" s="152" t="s">
        <v>1327</v>
      </c>
    </row>
    <row r="1825" spans="1:26" x14ac:dyDescent="0.2">
      <c r="A1825" s="152" t="s">
        <v>2923</v>
      </c>
      <c r="B1825" s="152">
        <v>4</v>
      </c>
      <c r="C1825" s="151">
        <v>44455</v>
      </c>
      <c r="D1825" s="152">
        <v>2.8958900000000001</v>
      </c>
      <c r="E1825" s="152" t="s">
        <v>1325</v>
      </c>
      <c r="F1825" s="152" t="s">
        <v>1326</v>
      </c>
      <c r="G1825" s="152" t="s">
        <v>116</v>
      </c>
      <c r="H1825" s="152"/>
      <c r="I1825" s="151" t="s">
        <v>1327</v>
      </c>
      <c r="J1825" s="152" t="s">
        <v>1327</v>
      </c>
      <c r="K1825" s="152" t="s">
        <v>1327</v>
      </c>
      <c r="L1825" s="152" t="s">
        <v>1327</v>
      </c>
      <c r="M1825" s="152" t="s">
        <v>1327</v>
      </c>
      <c r="N1825" s="152" t="s">
        <v>1327</v>
      </c>
      <c r="O1825" s="152">
        <v>3.1074090000000001</v>
      </c>
      <c r="P1825" s="152">
        <v>103.236458</v>
      </c>
      <c r="Q1825" s="152">
        <v>3.1074090000000001</v>
      </c>
      <c r="R1825" s="152" t="s">
        <v>1327</v>
      </c>
      <c r="S1825" s="152">
        <v>102.461833</v>
      </c>
      <c r="T1825" s="152">
        <v>0.42739700000000003</v>
      </c>
      <c r="U1825" s="152">
        <v>2.7157399999999998</v>
      </c>
      <c r="V1825" s="152">
        <v>8.3209309999999999</v>
      </c>
      <c r="W1825" s="152">
        <v>1000</v>
      </c>
      <c r="X1825" s="152" t="s">
        <v>23</v>
      </c>
      <c r="Y1825" s="152" t="s">
        <v>1328</v>
      </c>
      <c r="Z1825" s="152" t="s">
        <v>1327</v>
      </c>
    </row>
    <row r="1826" spans="1:26" x14ac:dyDescent="0.2">
      <c r="A1826" s="152" t="s">
        <v>2924</v>
      </c>
      <c r="B1826" s="152">
        <v>3.48</v>
      </c>
      <c r="C1826" s="151">
        <v>44670</v>
      </c>
      <c r="D1826" s="152">
        <v>3.4849320000000001</v>
      </c>
      <c r="E1826" s="152" t="s">
        <v>1325</v>
      </c>
      <c r="F1826" s="152" t="s">
        <v>1326</v>
      </c>
      <c r="G1826" s="152" t="s">
        <v>116</v>
      </c>
      <c r="H1826" s="152"/>
      <c r="I1826" s="151" t="s">
        <v>1327</v>
      </c>
      <c r="J1826" s="152" t="s">
        <v>1327</v>
      </c>
      <c r="K1826" s="152" t="s">
        <v>1327</v>
      </c>
      <c r="L1826" s="152" t="s">
        <v>1327</v>
      </c>
      <c r="M1826" s="152" t="s">
        <v>1327</v>
      </c>
      <c r="N1826" s="152" t="s">
        <v>1327</v>
      </c>
      <c r="O1826" s="152">
        <v>3.4718170000000002</v>
      </c>
      <c r="P1826" s="152">
        <v>125.201922</v>
      </c>
      <c r="Q1826" s="152">
        <v>3.4718170000000002</v>
      </c>
      <c r="R1826" s="152" t="s">
        <v>1327</v>
      </c>
      <c r="S1826" s="152">
        <v>100.019402</v>
      </c>
      <c r="T1826" s="152">
        <v>5.7204999999999999E-2</v>
      </c>
      <c r="U1826" s="152">
        <v>3.2676799999999999</v>
      </c>
      <c r="V1826" s="152">
        <v>11.875529</v>
      </c>
      <c r="W1826" s="152">
        <v>1000</v>
      </c>
      <c r="X1826" s="152" t="s">
        <v>23</v>
      </c>
      <c r="Y1826" s="152" t="s">
        <v>1328</v>
      </c>
      <c r="Z1826" s="152" t="s">
        <v>1327</v>
      </c>
    </row>
    <row r="1827" spans="1:26" x14ac:dyDescent="0.2">
      <c r="A1827" s="152" t="s">
        <v>2925</v>
      </c>
      <c r="B1827" s="152">
        <v>2.87</v>
      </c>
      <c r="C1827" s="151">
        <v>45043</v>
      </c>
      <c r="D1827" s="152">
        <v>4.5068489999999999</v>
      </c>
      <c r="E1827" s="152" t="s">
        <v>1325</v>
      </c>
      <c r="F1827" s="152" t="s">
        <v>1326</v>
      </c>
      <c r="G1827" s="152" t="s">
        <v>116</v>
      </c>
      <c r="H1827" s="152"/>
      <c r="I1827" s="151" t="s">
        <v>1327</v>
      </c>
      <c r="J1827" s="152" t="s">
        <v>1327</v>
      </c>
      <c r="K1827" s="152" t="s">
        <v>1327</v>
      </c>
      <c r="L1827" s="152" t="s">
        <v>1327</v>
      </c>
      <c r="M1827" s="152" t="s">
        <v>1327</v>
      </c>
      <c r="N1827" s="152" t="s">
        <v>1327</v>
      </c>
      <c r="O1827" s="152">
        <v>3.5145140000000001</v>
      </c>
      <c r="P1827" s="152">
        <v>115.498559</v>
      </c>
      <c r="Q1827" s="152">
        <v>3.5145140000000001</v>
      </c>
      <c r="R1827" s="152" t="s">
        <v>1327</v>
      </c>
      <c r="S1827" s="152">
        <v>97.325291000000007</v>
      </c>
      <c r="T1827" s="152">
        <v>-1.5726E-2</v>
      </c>
      <c r="U1827" s="152">
        <v>4.2016119999999999</v>
      </c>
      <c r="V1827" s="152">
        <v>19.399460999999999</v>
      </c>
      <c r="W1827" s="152">
        <v>1000</v>
      </c>
      <c r="X1827" s="152" t="s">
        <v>23</v>
      </c>
      <c r="Y1827" s="152" t="s">
        <v>1328</v>
      </c>
      <c r="Z1827" s="152" t="s">
        <v>1327</v>
      </c>
    </row>
    <row r="1828" spans="1:26" x14ac:dyDescent="0.2">
      <c r="A1828" s="152" t="s">
        <v>2926</v>
      </c>
      <c r="B1828" s="152">
        <v>3.74</v>
      </c>
      <c r="C1828" s="151">
        <v>45218</v>
      </c>
      <c r="D1828" s="152">
        <v>4.9863010000000001</v>
      </c>
      <c r="E1828" s="152" t="s">
        <v>1325</v>
      </c>
      <c r="F1828" s="152" t="s">
        <v>1326</v>
      </c>
      <c r="G1828" s="152" t="s">
        <v>116</v>
      </c>
      <c r="H1828" s="152"/>
      <c r="I1828" s="151" t="s">
        <v>1327</v>
      </c>
      <c r="J1828" s="152" t="s">
        <v>1327</v>
      </c>
      <c r="K1828" s="152" t="s">
        <v>1327</v>
      </c>
      <c r="L1828" s="152" t="s">
        <v>1327</v>
      </c>
      <c r="M1828" s="152" t="s">
        <v>1327</v>
      </c>
      <c r="N1828" s="152" t="s">
        <v>1327</v>
      </c>
      <c r="O1828" s="152">
        <v>3.7408049999999999</v>
      </c>
      <c r="P1828" s="152">
        <v>134.722081</v>
      </c>
      <c r="Q1828" s="152">
        <v>3.7408049999999999</v>
      </c>
      <c r="R1828" s="152" t="s">
        <v>1327</v>
      </c>
      <c r="S1828" s="152">
        <v>99.988433999999998</v>
      </c>
      <c r="T1828" s="152">
        <v>6.1478999999999999E-2</v>
      </c>
      <c r="U1828" s="152">
        <v>4.5267819999999999</v>
      </c>
      <c r="V1828" s="152">
        <v>22.791087000000001</v>
      </c>
      <c r="W1828" s="152">
        <v>1000</v>
      </c>
      <c r="X1828" s="152" t="s">
        <v>23</v>
      </c>
      <c r="Y1828" s="152" t="s">
        <v>1328</v>
      </c>
      <c r="Z1828" s="152" t="s">
        <v>1327</v>
      </c>
    </row>
    <row r="1829" spans="1:26" x14ac:dyDescent="0.2">
      <c r="A1829" s="152" t="s">
        <v>2927</v>
      </c>
      <c r="B1829" s="152">
        <v>5</v>
      </c>
      <c r="C1829" s="151">
        <v>45504</v>
      </c>
      <c r="D1829" s="152">
        <v>5.769863</v>
      </c>
      <c r="E1829" s="152" t="s">
        <v>1325</v>
      </c>
      <c r="F1829" s="152" t="s">
        <v>1326</v>
      </c>
      <c r="G1829" s="152" t="s">
        <v>116</v>
      </c>
      <c r="H1829" s="152"/>
      <c r="I1829" s="151">
        <v>43245</v>
      </c>
      <c r="J1829" s="152">
        <v>4.7975000000000003</v>
      </c>
      <c r="K1829" s="152" t="s">
        <v>1327</v>
      </c>
      <c r="L1829" s="152" t="s">
        <v>1327</v>
      </c>
      <c r="M1829" s="152" t="s">
        <v>1327</v>
      </c>
      <c r="N1829" s="152" t="s">
        <v>1327</v>
      </c>
      <c r="O1829" s="152">
        <v>4.8101099999999999</v>
      </c>
      <c r="P1829" s="152">
        <v>235.31027800000001</v>
      </c>
      <c r="Q1829" s="152">
        <v>4.8101099999999999</v>
      </c>
      <c r="R1829" s="152" t="s">
        <v>1327</v>
      </c>
      <c r="S1829" s="152">
        <v>100.918772</v>
      </c>
      <c r="T1829" s="152">
        <v>1.1780820000000001</v>
      </c>
      <c r="U1829" s="152">
        <v>4.911829</v>
      </c>
      <c r="V1829" s="152">
        <v>28.763124999999999</v>
      </c>
      <c r="W1829" s="152">
        <v>1000</v>
      </c>
      <c r="X1829" s="152" t="s">
        <v>23</v>
      </c>
      <c r="Y1829" s="152" t="s">
        <v>1328</v>
      </c>
      <c r="Z1829" s="152" t="s">
        <v>1327</v>
      </c>
    </row>
    <row r="1830" spans="1:26" x14ac:dyDescent="0.2">
      <c r="A1830" s="152" t="s">
        <v>2928</v>
      </c>
      <c r="B1830" s="152">
        <v>4.03</v>
      </c>
      <c r="C1830" s="151">
        <v>45949</v>
      </c>
      <c r="D1830" s="152">
        <v>6.9890410000000003</v>
      </c>
      <c r="E1830" s="152" t="s">
        <v>1325</v>
      </c>
      <c r="F1830" s="152" t="s">
        <v>1326</v>
      </c>
      <c r="G1830" s="152" t="s">
        <v>116</v>
      </c>
      <c r="H1830" s="152"/>
      <c r="I1830" s="152" t="s">
        <v>1327</v>
      </c>
      <c r="J1830" s="152" t="s">
        <v>1327</v>
      </c>
      <c r="K1830" s="152" t="s">
        <v>1327</v>
      </c>
      <c r="L1830" s="152" t="s">
        <v>1327</v>
      </c>
      <c r="M1830" s="152" t="s">
        <v>1327</v>
      </c>
      <c r="N1830" s="152" t="s">
        <v>1327</v>
      </c>
      <c r="O1830" s="152">
        <v>4.0462309999999997</v>
      </c>
      <c r="P1830" s="152">
        <v>144.65154999999999</v>
      </c>
      <c r="Q1830" s="152">
        <v>4.0462309999999997</v>
      </c>
      <c r="R1830" s="152" t="s">
        <v>1327</v>
      </c>
      <c r="S1830" s="152">
        <v>99.893106000000003</v>
      </c>
      <c r="T1830" s="152">
        <v>6.6247E-2</v>
      </c>
      <c r="U1830" s="152">
        <v>6.0578529999999997</v>
      </c>
      <c r="V1830" s="152">
        <v>41.441108</v>
      </c>
      <c r="W1830" s="152">
        <v>1000</v>
      </c>
      <c r="X1830" s="152" t="s">
        <v>23</v>
      </c>
      <c r="Y1830" s="152" t="s">
        <v>1328</v>
      </c>
      <c r="Z1830" s="152" t="s">
        <v>1327</v>
      </c>
    </row>
    <row r="1831" spans="1:26" x14ac:dyDescent="0.2">
      <c r="A1831" s="152" t="s">
        <v>236</v>
      </c>
      <c r="B1831" s="152">
        <v>2.2599999999999998</v>
      </c>
      <c r="C1831" s="151">
        <v>44285</v>
      </c>
      <c r="D1831" s="152">
        <v>2.4301370000000002</v>
      </c>
      <c r="E1831" s="152" t="s">
        <v>1325</v>
      </c>
      <c r="F1831" s="152" t="s">
        <v>1326</v>
      </c>
      <c r="G1831" s="152" t="s">
        <v>47</v>
      </c>
      <c r="H1831" s="152"/>
      <c r="I1831" s="152">
        <v>43341</v>
      </c>
      <c r="J1831" s="152">
        <v>2.4249999999999998</v>
      </c>
      <c r="K1831" s="152" t="s">
        <v>1327</v>
      </c>
      <c r="L1831" s="152" t="s">
        <v>1327</v>
      </c>
      <c r="M1831" s="152" t="s">
        <v>1327</v>
      </c>
      <c r="N1831" s="152" t="s">
        <v>1327</v>
      </c>
      <c r="O1831" s="152">
        <v>2.5696690000000002</v>
      </c>
      <c r="P1831" s="152">
        <v>53.314162000000003</v>
      </c>
      <c r="Q1831" s="152">
        <v>2.5696690000000002</v>
      </c>
      <c r="R1831" s="152" t="s">
        <v>1327</v>
      </c>
      <c r="S1831" s="152">
        <v>99.273724999999999</v>
      </c>
      <c r="T1831" s="152">
        <v>0.15479499999999999</v>
      </c>
      <c r="U1831" s="152">
        <v>2.3531439999999999</v>
      </c>
      <c r="V1831" s="152">
        <v>6.2162280000000001</v>
      </c>
      <c r="W1831" s="152">
        <v>1000</v>
      </c>
      <c r="X1831" s="152" t="s">
        <v>23</v>
      </c>
      <c r="Y1831" s="152" t="s">
        <v>1328</v>
      </c>
      <c r="Z1831" s="152" t="s">
        <v>1327</v>
      </c>
    </row>
    <row r="1832" spans="1:26" x14ac:dyDescent="0.2">
      <c r="A1832" s="152" t="s">
        <v>2929</v>
      </c>
      <c r="B1832" s="152">
        <v>3.39</v>
      </c>
      <c r="C1832" s="151">
        <v>45746</v>
      </c>
      <c r="D1832" s="152">
        <v>6.4328770000000004</v>
      </c>
      <c r="E1832" s="152" t="s">
        <v>1325</v>
      </c>
      <c r="F1832" s="152" t="s">
        <v>1326</v>
      </c>
      <c r="G1832" s="152" t="s">
        <v>47</v>
      </c>
      <c r="H1832" s="152"/>
      <c r="I1832" s="152" t="s">
        <v>1327</v>
      </c>
      <c r="J1832" s="152" t="s">
        <v>1327</v>
      </c>
      <c r="K1832" s="152" t="s">
        <v>1327</v>
      </c>
      <c r="L1832" s="152" t="s">
        <v>1327</v>
      </c>
      <c r="M1832" s="152" t="s">
        <v>1327</v>
      </c>
      <c r="N1832" s="152" t="s">
        <v>1327</v>
      </c>
      <c r="O1832" s="152">
        <v>3.749609</v>
      </c>
      <c r="P1832" s="152">
        <v>119.670067</v>
      </c>
      <c r="Q1832" s="152">
        <v>3.749609</v>
      </c>
      <c r="R1832" s="152" t="s">
        <v>1327</v>
      </c>
      <c r="S1832" s="152">
        <v>97.955112999999997</v>
      </c>
      <c r="T1832" s="152">
        <v>0.23219200000000001</v>
      </c>
      <c r="U1832" s="152">
        <v>5.729622</v>
      </c>
      <c r="V1832" s="152">
        <v>36.589643000000002</v>
      </c>
      <c r="W1832" s="152">
        <v>1000</v>
      </c>
      <c r="X1832" s="152" t="s">
        <v>23</v>
      </c>
      <c r="Y1832" s="152" t="s">
        <v>1328</v>
      </c>
      <c r="Z1832" s="152" t="s">
        <v>1327</v>
      </c>
    </row>
    <row r="1833" spans="1:26" x14ac:dyDescent="0.2">
      <c r="A1833" s="152" t="s">
        <v>238</v>
      </c>
      <c r="B1833" s="152">
        <v>3.33</v>
      </c>
      <c r="C1833" s="151">
        <v>44061</v>
      </c>
      <c r="D1833" s="152">
        <v>1.816438</v>
      </c>
      <c r="E1833" s="152" t="s">
        <v>1325</v>
      </c>
      <c r="F1833" s="152" t="s">
        <v>1326</v>
      </c>
      <c r="G1833" s="152" t="s">
        <v>116</v>
      </c>
      <c r="H1833" s="152"/>
      <c r="I1833" s="151">
        <v>43236</v>
      </c>
      <c r="J1833" s="152">
        <v>2.69</v>
      </c>
      <c r="K1833" s="152" t="s">
        <v>1327</v>
      </c>
      <c r="L1833" s="152" t="s">
        <v>1327</v>
      </c>
      <c r="M1833" s="152" t="s">
        <v>1327</v>
      </c>
      <c r="N1833" s="152" t="s">
        <v>1327</v>
      </c>
      <c r="O1833" s="152">
        <v>2.8643559999999999</v>
      </c>
      <c r="P1833" s="152">
        <v>88.669516000000002</v>
      </c>
      <c r="Q1833" s="152">
        <v>2.8643559999999999</v>
      </c>
      <c r="R1833" s="152" t="s">
        <v>1327</v>
      </c>
      <c r="S1833" s="152">
        <v>100.802666</v>
      </c>
      <c r="T1833" s="152">
        <v>0.62038400000000005</v>
      </c>
      <c r="U1833" s="152">
        <v>1.7444759999999999</v>
      </c>
      <c r="V1833" s="152">
        <v>3.9558559999999998</v>
      </c>
      <c r="W1833" s="152">
        <v>1000</v>
      </c>
      <c r="X1833" s="152" t="s">
        <v>23</v>
      </c>
      <c r="Y1833" s="152" t="s">
        <v>1328</v>
      </c>
      <c r="Z1833" s="152" t="s">
        <v>1327</v>
      </c>
    </row>
    <row r="1834" spans="1:26" x14ac:dyDescent="0.2">
      <c r="A1834" s="152" t="s">
        <v>2930</v>
      </c>
      <c r="B1834" s="152">
        <v>3.33</v>
      </c>
      <c r="C1834" s="151">
        <v>44053</v>
      </c>
      <c r="D1834" s="152">
        <v>1.794521</v>
      </c>
      <c r="E1834" s="152" t="s">
        <v>1325</v>
      </c>
      <c r="F1834" s="152" t="s">
        <v>1326</v>
      </c>
      <c r="G1834" s="152" t="s">
        <v>116</v>
      </c>
      <c r="H1834" s="152"/>
      <c r="I1834" s="152" t="s">
        <v>1327</v>
      </c>
      <c r="J1834" s="152" t="s">
        <v>1327</v>
      </c>
      <c r="K1834" s="152" t="s">
        <v>1327</v>
      </c>
      <c r="L1834" s="152" t="s">
        <v>1327</v>
      </c>
      <c r="M1834" s="152" t="s">
        <v>1327</v>
      </c>
      <c r="N1834" s="152" t="s">
        <v>1327</v>
      </c>
      <c r="O1834" s="152">
        <v>2.8576600000000001</v>
      </c>
      <c r="P1834" s="152">
        <v>88.153300999999999</v>
      </c>
      <c r="Q1834" s="152">
        <v>2.8576600000000001</v>
      </c>
      <c r="R1834" s="152" t="s">
        <v>1327</v>
      </c>
      <c r="S1834" s="152">
        <v>100.804638</v>
      </c>
      <c r="T1834" s="152">
        <v>0.62038400000000005</v>
      </c>
      <c r="U1834" s="152">
        <v>1.7226779999999999</v>
      </c>
      <c r="V1834" s="152">
        <v>3.8675060000000001</v>
      </c>
      <c r="W1834" s="152">
        <v>1000</v>
      </c>
      <c r="X1834" s="152" t="s">
        <v>23</v>
      </c>
      <c r="Y1834" s="152" t="s">
        <v>1328</v>
      </c>
      <c r="Z1834" s="152" t="s">
        <v>1327</v>
      </c>
    </row>
    <row r="1835" spans="1:26" x14ac:dyDescent="0.2">
      <c r="A1835" s="152" t="s">
        <v>2931</v>
      </c>
      <c r="B1835" s="152">
        <v>2.65</v>
      </c>
      <c r="C1835" s="151">
        <v>44373</v>
      </c>
      <c r="D1835" s="152">
        <v>2.671233</v>
      </c>
      <c r="E1835" s="152" t="s">
        <v>1325</v>
      </c>
      <c r="F1835" s="152" t="s">
        <v>1326</v>
      </c>
      <c r="G1835" s="152" t="s">
        <v>116</v>
      </c>
      <c r="H1835" s="152"/>
      <c r="I1835" s="151">
        <v>43284</v>
      </c>
      <c r="J1835" s="152">
        <v>2.65</v>
      </c>
      <c r="K1835" s="152" t="s">
        <v>1327</v>
      </c>
      <c r="L1835" s="152" t="s">
        <v>1327</v>
      </c>
      <c r="M1835" s="152" t="s">
        <v>1327</v>
      </c>
      <c r="N1835" s="152" t="s">
        <v>1327</v>
      </c>
      <c r="O1835" s="152">
        <v>2.93</v>
      </c>
      <c r="P1835" s="152">
        <v>86.863857999999993</v>
      </c>
      <c r="Q1835" s="152">
        <v>2.93</v>
      </c>
      <c r="R1835" s="152" t="s">
        <v>1327</v>
      </c>
      <c r="S1835" s="152">
        <v>99.280153999999996</v>
      </c>
      <c r="T1835" s="152">
        <v>0.87849299999999997</v>
      </c>
      <c r="U1835" s="152">
        <v>2.5358640000000001</v>
      </c>
      <c r="V1835" s="152">
        <v>7.8446449999999999</v>
      </c>
      <c r="W1835" s="152">
        <v>1000</v>
      </c>
      <c r="X1835" s="152" t="s">
        <v>23</v>
      </c>
      <c r="Y1835" s="152" t="s">
        <v>1328</v>
      </c>
      <c r="Z1835" s="152" t="s">
        <v>1327</v>
      </c>
    </row>
    <row r="1836" spans="1:26" x14ac:dyDescent="0.2">
      <c r="A1836" s="152" t="s">
        <v>2932</v>
      </c>
      <c r="B1836" s="152">
        <v>3.17</v>
      </c>
      <c r="C1836" s="151">
        <v>45103</v>
      </c>
      <c r="D1836" s="152">
        <v>4.671233</v>
      </c>
      <c r="E1836" s="152" t="s">
        <v>1325</v>
      </c>
      <c r="F1836" s="152" t="s">
        <v>1326</v>
      </c>
      <c r="G1836" s="152" t="s">
        <v>116</v>
      </c>
      <c r="H1836" s="152"/>
      <c r="I1836" s="152" t="s">
        <v>1327</v>
      </c>
      <c r="J1836" s="152" t="s">
        <v>1327</v>
      </c>
      <c r="K1836" s="152" t="s">
        <v>1327</v>
      </c>
      <c r="L1836" s="152" t="s">
        <v>1327</v>
      </c>
      <c r="M1836" s="152" t="s">
        <v>1327</v>
      </c>
      <c r="N1836" s="152" t="s">
        <v>1327</v>
      </c>
      <c r="O1836" s="152">
        <v>3.49552</v>
      </c>
      <c r="P1836" s="152">
        <v>110.314981</v>
      </c>
      <c r="Q1836" s="152">
        <v>3.49552</v>
      </c>
      <c r="R1836" s="152" t="s">
        <v>1327</v>
      </c>
      <c r="S1836" s="152">
        <v>98.601187999999993</v>
      </c>
      <c r="T1836" s="152">
        <v>1.0508770000000001</v>
      </c>
      <c r="U1836" s="152">
        <v>4.2555329999999998</v>
      </c>
      <c r="V1836" s="152">
        <v>21.142755000000001</v>
      </c>
      <c r="W1836" s="152">
        <v>1000</v>
      </c>
      <c r="X1836" s="152" t="s">
        <v>23</v>
      </c>
      <c r="Y1836" s="152" t="s">
        <v>1328</v>
      </c>
      <c r="Z1836" s="152" t="s">
        <v>1327</v>
      </c>
    </row>
    <row r="1837" spans="1:26" x14ac:dyDescent="0.2">
      <c r="A1837" s="152" t="s">
        <v>2933</v>
      </c>
      <c r="B1837" s="152">
        <v>3.66</v>
      </c>
      <c r="C1837" s="151">
        <v>45834</v>
      </c>
      <c r="D1837" s="152">
        <v>6.6739730000000002</v>
      </c>
      <c r="E1837" s="152" t="s">
        <v>1325</v>
      </c>
      <c r="F1837" s="152" t="s">
        <v>1326</v>
      </c>
      <c r="G1837" s="152" t="s">
        <v>116</v>
      </c>
      <c r="H1837" s="152"/>
      <c r="I1837" s="152">
        <v>43343</v>
      </c>
      <c r="J1837" s="152">
        <v>3.63</v>
      </c>
      <c r="K1837" s="152" t="s">
        <v>1327</v>
      </c>
      <c r="L1837" s="152" t="s">
        <v>1327</v>
      </c>
      <c r="M1837" s="152" t="s">
        <v>1327</v>
      </c>
      <c r="N1837" s="152" t="s">
        <v>1327</v>
      </c>
      <c r="O1837" s="152">
        <v>3.811877</v>
      </c>
      <c r="P1837" s="152">
        <v>121.54208300000001</v>
      </c>
      <c r="Q1837" s="152">
        <v>3.811877</v>
      </c>
      <c r="R1837" s="152" t="s">
        <v>1327</v>
      </c>
      <c r="S1837" s="152">
        <v>99.104032000000004</v>
      </c>
      <c r="T1837" s="152">
        <v>1.2133149999999999</v>
      </c>
      <c r="U1837" s="152">
        <v>5.7933760000000003</v>
      </c>
      <c r="V1837" s="152">
        <v>39.228594999999999</v>
      </c>
      <c r="W1837" s="152">
        <v>1000</v>
      </c>
      <c r="X1837" s="152" t="s">
        <v>23</v>
      </c>
      <c r="Y1837" s="152" t="s">
        <v>1328</v>
      </c>
      <c r="Z1837" s="152" t="s">
        <v>1327</v>
      </c>
    </row>
    <row r="1838" spans="1:26" x14ac:dyDescent="0.2">
      <c r="A1838" s="152" t="s">
        <v>2934</v>
      </c>
      <c r="B1838" s="152">
        <v>5.5</v>
      </c>
      <c r="C1838" s="151">
        <v>43454</v>
      </c>
      <c r="D1838" s="152">
        <v>0.15342500000000001</v>
      </c>
      <c r="E1838" s="152" t="s">
        <v>1325</v>
      </c>
      <c r="F1838" s="152" t="s">
        <v>1326</v>
      </c>
      <c r="G1838" s="152"/>
      <c r="H1838" s="152"/>
      <c r="I1838" s="151" t="s">
        <v>1327</v>
      </c>
      <c r="J1838" s="152" t="s">
        <v>1327</v>
      </c>
      <c r="K1838" s="152" t="s">
        <v>1327</v>
      </c>
      <c r="L1838" s="152" t="s">
        <v>1327</v>
      </c>
      <c r="M1838" s="152" t="s">
        <v>1327</v>
      </c>
      <c r="N1838" s="152" t="s">
        <v>1327</v>
      </c>
      <c r="O1838" s="152">
        <v>5.4340060000000001</v>
      </c>
      <c r="P1838" s="152">
        <v>415.46639099999999</v>
      </c>
      <c r="Q1838" s="152">
        <v>5.4340060000000001</v>
      </c>
      <c r="R1838" s="152" t="s">
        <v>1327</v>
      </c>
      <c r="S1838" s="152">
        <v>100.011585</v>
      </c>
      <c r="T1838" s="152">
        <v>0.527397</v>
      </c>
      <c r="U1838" s="152">
        <v>0.151368</v>
      </c>
      <c r="V1838" s="152">
        <v>6.0247000000000002E-2</v>
      </c>
      <c r="W1838" s="152">
        <v>1000</v>
      </c>
      <c r="X1838" s="152" t="s">
        <v>23</v>
      </c>
      <c r="Y1838" s="152" t="s">
        <v>1328</v>
      </c>
      <c r="Z1838" s="152" t="s">
        <v>1327</v>
      </c>
    </row>
    <row r="1839" spans="1:26" x14ac:dyDescent="0.2">
      <c r="A1839" s="152" t="s">
        <v>2935</v>
      </c>
      <c r="B1839" s="152">
        <v>5.5</v>
      </c>
      <c r="C1839" s="151">
        <v>43488</v>
      </c>
      <c r="D1839" s="152">
        <v>0.24657499999999999</v>
      </c>
      <c r="E1839" s="152" t="s">
        <v>1325</v>
      </c>
      <c r="F1839" s="152" t="s">
        <v>1326</v>
      </c>
      <c r="G1839" s="152"/>
      <c r="H1839" s="152"/>
      <c r="I1839" s="152" t="s">
        <v>1327</v>
      </c>
      <c r="J1839" s="152" t="s">
        <v>1327</v>
      </c>
      <c r="K1839" s="152" t="s">
        <v>1327</v>
      </c>
      <c r="L1839" s="152" t="s">
        <v>1327</v>
      </c>
      <c r="M1839" s="152" t="s">
        <v>1327</v>
      </c>
      <c r="N1839" s="152" t="s">
        <v>1327</v>
      </c>
      <c r="O1839" s="152">
        <v>5.6318390000000003</v>
      </c>
      <c r="P1839" s="152">
        <v>421.318488</v>
      </c>
      <c r="Q1839" s="152">
        <v>5.6318390000000003</v>
      </c>
      <c r="R1839" s="152" t="s">
        <v>1327</v>
      </c>
      <c r="S1839" s="152">
        <v>99.956508999999997</v>
      </c>
      <c r="T1839" s="152">
        <v>3.0137000000000001E-2</v>
      </c>
      <c r="U1839" s="152">
        <v>0.24315200000000001</v>
      </c>
      <c r="V1839" s="152">
        <v>0.11906700000000001</v>
      </c>
      <c r="W1839" s="152">
        <v>1000</v>
      </c>
      <c r="X1839" s="152" t="s">
        <v>23</v>
      </c>
      <c r="Y1839" s="152" t="s">
        <v>1328</v>
      </c>
      <c r="Z1839" s="152" t="s">
        <v>1327</v>
      </c>
    </row>
    <row r="1840" spans="1:26" x14ac:dyDescent="0.2">
      <c r="A1840" s="152" t="s">
        <v>2936</v>
      </c>
      <c r="B1840" s="152">
        <v>6</v>
      </c>
      <c r="C1840" s="151">
        <v>43629</v>
      </c>
      <c r="D1840" s="152">
        <v>0.63287700000000002</v>
      </c>
      <c r="E1840" s="152" t="s">
        <v>1325</v>
      </c>
      <c r="F1840" s="152" t="s">
        <v>1326</v>
      </c>
      <c r="G1840" s="152"/>
      <c r="H1840" s="152"/>
      <c r="I1840" s="151" t="s">
        <v>1327</v>
      </c>
      <c r="J1840" s="152" t="s">
        <v>1327</v>
      </c>
      <c r="K1840" s="152" t="s">
        <v>1327</v>
      </c>
      <c r="L1840" s="152" t="s">
        <v>1327</v>
      </c>
      <c r="M1840" s="152" t="s">
        <v>1327</v>
      </c>
      <c r="N1840" s="152" t="s">
        <v>1327</v>
      </c>
      <c r="O1840" s="152">
        <v>6.2169119999999998</v>
      </c>
      <c r="P1840" s="152">
        <v>461.61909100000003</v>
      </c>
      <c r="Q1840" s="152">
        <v>6.2169119999999998</v>
      </c>
      <c r="R1840" s="152" t="s">
        <v>1327</v>
      </c>
      <c r="S1840" s="152">
        <v>99.866968999999997</v>
      </c>
      <c r="T1840" s="152">
        <v>0.67397300000000004</v>
      </c>
      <c r="U1840" s="152">
        <v>0.61571299999999995</v>
      </c>
      <c r="V1840" s="152">
        <v>0.53501200000000004</v>
      </c>
      <c r="W1840" s="152">
        <v>1000</v>
      </c>
      <c r="X1840" s="152" t="s">
        <v>23</v>
      </c>
      <c r="Y1840" s="152" t="s">
        <v>1328</v>
      </c>
      <c r="Z1840" s="152" t="s">
        <v>1327</v>
      </c>
    </row>
    <row r="1841" spans="1:26" x14ac:dyDescent="0.2">
      <c r="A1841" s="152" t="s">
        <v>2937</v>
      </c>
      <c r="B1841" s="152"/>
      <c r="C1841" s="151"/>
      <c r="D1841" s="152"/>
      <c r="E1841" s="152"/>
      <c r="F1841" s="152"/>
      <c r="G1841" s="152"/>
      <c r="H1841" s="152"/>
      <c r="I1841" s="151"/>
      <c r="J1841" s="152"/>
      <c r="K1841" s="152"/>
      <c r="L1841" s="152"/>
      <c r="M1841" s="152"/>
      <c r="N1841" s="152"/>
      <c r="O1841" s="152"/>
      <c r="P1841" s="152"/>
      <c r="Q1841" s="152"/>
      <c r="R1841" s="152"/>
      <c r="S1841" s="152"/>
      <c r="T1841" s="152"/>
      <c r="U1841" s="152"/>
      <c r="V1841" s="152"/>
      <c r="W1841" s="152"/>
      <c r="X1841" s="152"/>
      <c r="Y1841" s="152"/>
      <c r="Z1841" s="152"/>
    </row>
    <row r="1842" spans="1:26" x14ac:dyDescent="0.2">
      <c r="A1842" s="152" t="s">
        <v>2938</v>
      </c>
      <c r="B1842" s="152">
        <v>0</v>
      </c>
      <c r="C1842" s="151">
        <v>43497</v>
      </c>
      <c r="D1842" s="152">
        <v>0.271233</v>
      </c>
      <c r="E1842" s="152" t="s">
        <v>1325</v>
      </c>
      <c r="F1842" s="152" t="s">
        <v>1326</v>
      </c>
      <c r="G1842" s="152"/>
      <c r="H1842" s="152"/>
      <c r="I1842" s="152">
        <v>43228</v>
      </c>
      <c r="J1842" s="152">
        <v>4.3</v>
      </c>
      <c r="K1842" s="152" t="s">
        <v>1327</v>
      </c>
      <c r="L1842" s="152" t="s">
        <v>1327</v>
      </c>
      <c r="M1842" s="152" t="s">
        <v>1327</v>
      </c>
      <c r="N1842" s="152" t="s">
        <v>1327</v>
      </c>
      <c r="O1842" s="152">
        <v>4.0001449999999998</v>
      </c>
      <c r="P1842" s="152">
        <v>248.77846</v>
      </c>
      <c r="Q1842" s="152">
        <v>4.0001449999999998</v>
      </c>
      <c r="R1842" s="152" t="s">
        <v>1327</v>
      </c>
      <c r="S1842" s="152">
        <v>98.926674000000006</v>
      </c>
      <c r="T1842" s="152">
        <v>0</v>
      </c>
      <c r="U1842" s="152">
        <v>0.268322</v>
      </c>
      <c r="V1842" s="152">
        <v>0.14399300000000001</v>
      </c>
      <c r="W1842" s="152">
        <v>1000</v>
      </c>
      <c r="X1842" s="152" t="s">
        <v>23</v>
      </c>
      <c r="Y1842" s="152" t="s">
        <v>1328</v>
      </c>
      <c r="Z1842" s="152" t="s">
        <v>1327</v>
      </c>
    </row>
    <row r="1843" spans="1:26" x14ac:dyDescent="0.2">
      <c r="A1843" s="152" t="s">
        <v>2939</v>
      </c>
      <c r="B1843" s="152">
        <v>0</v>
      </c>
      <c r="C1843" s="151">
        <v>43497</v>
      </c>
      <c r="D1843" s="152">
        <v>0.271233</v>
      </c>
      <c r="E1843" s="152" t="s">
        <v>1325</v>
      </c>
      <c r="F1843" s="152" t="s">
        <v>1326</v>
      </c>
      <c r="G1843" s="152"/>
      <c r="H1843" s="152"/>
      <c r="I1843" s="152">
        <v>43228</v>
      </c>
      <c r="J1843" s="152">
        <v>4.3</v>
      </c>
      <c r="K1843" s="152" t="s">
        <v>1327</v>
      </c>
      <c r="L1843" s="152" t="s">
        <v>1327</v>
      </c>
      <c r="M1843" s="152" t="s">
        <v>1327</v>
      </c>
      <c r="N1843" s="152" t="s">
        <v>1327</v>
      </c>
      <c r="O1843" s="152">
        <v>4.0389410000000003</v>
      </c>
      <c r="P1843" s="152">
        <v>252.77270799999999</v>
      </c>
      <c r="Q1843" s="152">
        <v>4.0389410000000003</v>
      </c>
      <c r="R1843" s="152" t="s">
        <v>1327</v>
      </c>
      <c r="S1843" s="152">
        <v>98.916376999999997</v>
      </c>
      <c r="T1843" s="152">
        <v>0</v>
      </c>
      <c r="U1843" s="152">
        <v>0.26829399999999998</v>
      </c>
      <c r="V1843" s="152">
        <v>0.14396300000000001</v>
      </c>
      <c r="W1843" s="152">
        <v>1000</v>
      </c>
      <c r="X1843" s="152" t="s">
        <v>23</v>
      </c>
      <c r="Y1843" s="152" t="s">
        <v>1328</v>
      </c>
      <c r="Z1843" s="152" t="s">
        <v>1327</v>
      </c>
    </row>
    <row r="1844" spans="1:26" x14ac:dyDescent="0.2">
      <c r="A1844" s="152" t="s">
        <v>2940</v>
      </c>
      <c r="B1844" s="152">
        <v>0</v>
      </c>
      <c r="C1844" s="151">
        <v>43461</v>
      </c>
      <c r="D1844" s="152">
        <v>0.17260300000000001</v>
      </c>
      <c r="E1844" s="152" t="s">
        <v>1325</v>
      </c>
      <c r="F1844" s="152" t="s">
        <v>1326</v>
      </c>
      <c r="G1844" s="152"/>
      <c r="H1844" s="152"/>
      <c r="I1844" s="151" t="s">
        <v>1327</v>
      </c>
      <c r="J1844" s="152" t="s">
        <v>1327</v>
      </c>
      <c r="K1844" s="152" t="s">
        <v>1327</v>
      </c>
      <c r="L1844" s="152" t="s">
        <v>1327</v>
      </c>
      <c r="M1844" s="152" t="s">
        <v>1327</v>
      </c>
      <c r="N1844" s="152" t="s">
        <v>1327</v>
      </c>
      <c r="O1844" s="152">
        <v>1.8550530000000001</v>
      </c>
      <c r="P1844" s="152">
        <v>44.527292000000003</v>
      </c>
      <c r="Q1844" s="152">
        <v>1.8550530000000001</v>
      </c>
      <c r="R1844" s="152" t="s">
        <v>1327</v>
      </c>
      <c r="S1844" s="152">
        <v>99.680835000000002</v>
      </c>
      <c r="T1844" s="152">
        <v>0</v>
      </c>
      <c r="U1844" s="152">
        <v>0.17205200000000001</v>
      </c>
      <c r="V1844" s="152">
        <v>5.9204E-2</v>
      </c>
      <c r="W1844" s="152">
        <v>1000</v>
      </c>
      <c r="X1844" s="152" t="s">
        <v>23</v>
      </c>
      <c r="Y1844" s="152" t="s">
        <v>1921</v>
      </c>
      <c r="Z1844" s="152" t="s">
        <v>1327</v>
      </c>
    </row>
    <row r="1845" spans="1:26" x14ac:dyDescent="0.2">
      <c r="A1845" s="152" t="s">
        <v>2941</v>
      </c>
      <c r="B1845" s="152">
        <v>0</v>
      </c>
      <c r="C1845" s="151">
        <v>43423</v>
      </c>
      <c r="D1845" s="152">
        <v>6.8492999999999998E-2</v>
      </c>
      <c r="E1845" s="152" t="s">
        <v>1325</v>
      </c>
      <c r="F1845" s="152" t="s">
        <v>1326</v>
      </c>
      <c r="G1845" s="152"/>
      <c r="H1845" s="152"/>
      <c r="I1845" s="151" t="s">
        <v>1327</v>
      </c>
      <c r="J1845" s="152" t="s">
        <v>1327</v>
      </c>
      <c r="K1845" s="152" t="s">
        <v>1327</v>
      </c>
      <c r="L1845" s="152" t="s">
        <v>1327</v>
      </c>
      <c r="M1845" s="152" t="s">
        <v>1327</v>
      </c>
      <c r="N1845" s="152" t="s">
        <v>1327</v>
      </c>
      <c r="O1845" s="152">
        <v>1.61334</v>
      </c>
      <c r="P1845" s="152">
        <v>38.833137999999998</v>
      </c>
      <c r="Q1845" s="152">
        <v>1.61334</v>
      </c>
      <c r="R1845" s="152" t="s">
        <v>1327</v>
      </c>
      <c r="S1845" s="152">
        <v>99.889618999999996</v>
      </c>
      <c r="T1845" s="152">
        <v>0</v>
      </c>
      <c r="U1845" s="152">
        <v>6.8418000000000007E-2</v>
      </c>
      <c r="V1845" s="152">
        <v>9.3620000000000005E-3</v>
      </c>
      <c r="W1845" s="152">
        <v>1000</v>
      </c>
      <c r="X1845" s="152" t="s">
        <v>23</v>
      </c>
      <c r="Y1845" s="152" t="s">
        <v>1921</v>
      </c>
      <c r="Z1845" s="152" t="s">
        <v>1327</v>
      </c>
    </row>
    <row r="1846" spans="1:26" x14ac:dyDescent="0.2">
      <c r="A1846" s="152" t="s">
        <v>2942</v>
      </c>
      <c r="B1846" s="152">
        <v>0</v>
      </c>
      <c r="C1846" s="151">
        <v>43434</v>
      </c>
      <c r="D1846" s="152">
        <v>9.8629999999999995E-2</v>
      </c>
      <c r="E1846" s="152" t="s">
        <v>1325</v>
      </c>
      <c r="F1846" s="152" t="s">
        <v>1326</v>
      </c>
      <c r="G1846" s="152"/>
      <c r="H1846" s="152"/>
      <c r="I1846" s="152" t="s">
        <v>1327</v>
      </c>
      <c r="J1846" s="152" t="s">
        <v>1327</v>
      </c>
      <c r="K1846" s="152" t="s">
        <v>1327</v>
      </c>
      <c r="L1846" s="152" t="s">
        <v>1327</v>
      </c>
      <c r="M1846" s="152" t="s">
        <v>1327</v>
      </c>
      <c r="N1846" s="152" t="s">
        <v>1327</v>
      </c>
      <c r="O1846" s="152">
        <v>1.720831</v>
      </c>
      <c r="P1846" s="152">
        <v>44.164608999999999</v>
      </c>
      <c r="Q1846" s="152">
        <v>1.720831</v>
      </c>
      <c r="R1846" s="152" t="s">
        <v>1327</v>
      </c>
      <c r="S1846" s="152">
        <v>99.830562</v>
      </c>
      <c r="T1846" s="152">
        <v>0</v>
      </c>
      <c r="U1846" s="152">
        <v>9.8462999999999995E-2</v>
      </c>
      <c r="V1846" s="152">
        <v>1.9390000000000001E-2</v>
      </c>
      <c r="W1846" s="152">
        <v>1000</v>
      </c>
      <c r="X1846" s="152" t="s">
        <v>23</v>
      </c>
      <c r="Y1846" s="152" t="s">
        <v>1921</v>
      </c>
      <c r="Z1846" s="152" t="s">
        <v>1327</v>
      </c>
    </row>
    <row r="1847" spans="1:26" x14ac:dyDescent="0.2">
      <c r="A1847" s="152" t="s">
        <v>2943</v>
      </c>
      <c r="B1847" s="152">
        <v>0</v>
      </c>
      <c r="C1847" s="151">
        <v>43455</v>
      </c>
      <c r="D1847" s="152">
        <v>0.156164</v>
      </c>
      <c r="E1847" s="152" t="s">
        <v>1325</v>
      </c>
      <c r="F1847" s="152" t="s">
        <v>1326</v>
      </c>
      <c r="G1847" s="152"/>
      <c r="H1847" s="152"/>
      <c r="I1847" s="151">
        <v>43390</v>
      </c>
      <c r="J1847" s="152">
        <v>1.75</v>
      </c>
      <c r="K1847" s="152" t="s">
        <v>1327</v>
      </c>
      <c r="L1847" s="152" t="s">
        <v>1327</v>
      </c>
      <c r="M1847" s="152" t="s">
        <v>1327</v>
      </c>
      <c r="N1847" s="152" t="s">
        <v>1327</v>
      </c>
      <c r="O1847" s="152">
        <v>1.73028</v>
      </c>
      <c r="P1847" s="152">
        <v>34.710771999999999</v>
      </c>
      <c r="Q1847" s="152">
        <v>1.73028</v>
      </c>
      <c r="R1847" s="152" t="s">
        <v>1327</v>
      </c>
      <c r="S1847" s="152">
        <v>99.730519999999999</v>
      </c>
      <c r="T1847" s="152">
        <v>0</v>
      </c>
      <c r="U1847" s="152">
        <v>0.15574399999999999</v>
      </c>
      <c r="V1847" s="152">
        <v>4.8512E-2</v>
      </c>
      <c r="W1847" s="152">
        <v>1000</v>
      </c>
      <c r="X1847" s="152" t="s">
        <v>23</v>
      </c>
      <c r="Y1847" s="152" t="s">
        <v>1328</v>
      </c>
      <c r="Z1847" s="152" t="s">
        <v>1327</v>
      </c>
    </row>
    <row r="1848" spans="1:26" x14ac:dyDescent="0.2">
      <c r="A1848" s="152" t="s">
        <v>2944</v>
      </c>
      <c r="B1848" s="152">
        <v>0</v>
      </c>
      <c r="C1848" s="151">
        <v>43460</v>
      </c>
      <c r="D1848" s="152">
        <v>0.16986299999999999</v>
      </c>
      <c r="E1848" s="152" t="s">
        <v>1325</v>
      </c>
      <c r="F1848" s="152" t="s">
        <v>1326</v>
      </c>
      <c r="G1848" s="152"/>
      <c r="H1848" s="152"/>
      <c r="I1848" s="152">
        <v>43279</v>
      </c>
      <c r="J1848" s="152">
        <v>1.5</v>
      </c>
      <c r="K1848" s="152" t="s">
        <v>1327</v>
      </c>
      <c r="L1848" s="152" t="s">
        <v>1327</v>
      </c>
      <c r="M1848" s="152" t="s">
        <v>1327</v>
      </c>
      <c r="N1848" s="152" t="s">
        <v>1327</v>
      </c>
      <c r="O1848" s="152">
        <v>1.7617339999999999</v>
      </c>
      <c r="P1848" s="152">
        <v>35.524236000000002</v>
      </c>
      <c r="Q1848" s="152">
        <v>1.7617339999999999</v>
      </c>
      <c r="R1848" s="152" t="s">
        <v>1327</v>
      </c>
      <c r="S1848" s="152">
        <v>99.701639</v>
      </c>
      <c r="T1848" s="152">
        <v>0</v>
      </c>
      <c r="U1848" s="152">
        <v>0.16935600000000001</v>
      </c>
      <c r="V1848" s="152">
        <v>5.7362999999999997E-2</v>
      </c>
      <c r="W1848" s="152">
        <v>1000</v>
      </c>
      <c r="X1848" s="152" t="s">
        <v>23</v>
      </c>
      <c r="Y1848" s="152" t="s">
        <v>1328</v>
      </c>
      <c r="Z1848" s="152" t="s">
        <v>1327</v>
      </c>
    </row>
    <row r="1849" spans="1:26" x14ac:dyDescent="0.2">
      <c r="A1849" s="152" t="s">
        <v>2945</v>
      </c>
      <c r="B1849" s="152">
        <v>0</v>
      </c>
      <c r="C1849" s="151">
        <v>43460</v>
      </c>
      <c r="D1849" s="152">
        <v>0.16986299999999999</v>
      </c>
      <c r="E1849" s="152" t="s">
        <v>1325</v>
      </c>
      <c r="F1849" s="152" t="s">
        <v>1326</v>
      </c>
      <c r="G1849" s="152"/>
      <c r="H1849" s="152"/>
      <c r="I1849" s="151">
        <v>43363</v>
      </c>
      <c r="J1849" s="152">
        <v>1.68</v>
      </c>
      <c r="K1849" s="152" t="s">
        <v>1327</v>
      </c>
      <c r="L1849" s="152" t="s">
        <v>1327</v>
      </c>
      <c r="M1849" s="152" t="s">
        <v>1327</v>
      </c>
      <c r="N1849" s="152" t="s">
        <v>1327</v>
      </c>
      <c r="O1849" s="152">
        <v>1.7617339999999999</v>
      </c>
      <c r="P1849" s="152">
        <v>35.524236000000002</v>
      </c>
      <c r="Q1849" s="152">
        <v>1.7617339999999999</v>
      </c>
      <c r="R1849" s="152" t="s">
        <v>1327</v>
      </c>
      <c r="S1849" s="152">
        <v>99.701639</v>
      </c>
      <c r="T1849" s="152">
        <v>0</v>
      </c>
      <c r="U1849" s="152">
        <v>0.16935600000000001</v>
      </c>
      <c r="V1849" s="152">
        <v>5.7362999999999997E-2</v>
      </c>
      <c r="W1849" s="152">
        <v>1000</v>
      </c>
      <c r="X1849" s="152" t="s">
        <v>23</v>
      </c>
      <c r="Y1849" s="152" t="s">
        <v>1328</v>
      </c>
      <c r="Z1849" s="152" t="s">
        <v>1327</v>
      </c>
    </row>
    <row r="1850" spans="1:26" x14ac:dyDescent="0.2">
      <c r="A1850" s="152" t="s">
        <v>2946</v>
      </c>
      <c r="B1850" s="152">
        <v>0</v>
      </c>
      <c r="C1850" s="151">
        <v>43461</v>
      </c>
      <c r="D1850" s="152">
        <v>0.17260300000000001</v>
      </c>
      <c r="E1850" s="152" t="s">
        <v>1325</v>
      </c>
      <c r="F1850" s="152" t="s">
        <v>1326</v>
      </c>
      <c r="G1850" s="152"/>
      <c r="H1850" s="152"/>
      <c r="I1850" s="152">
        <v>43370</v>
      </c>
      <c r="J1850" s="152">
        <v>1.7</v>
      </c>
      <c r="K1850" s="152" t="s">
        <v>1327</v>
      </c>
      <c r="L1850" s="152" t="s">
        <v>1327</v>
      </c>
      <c r="M1850" s="152" t="s">
        <v>1327</v>
      </c>
      <c r="N1850" s="152" t="s">
        <v>1327</v>
      </c>
      <c r="O1850" s="152">
        <v>1.7665150000000001</v>
      </c>
      <c r="P1850" s="152">
        <v>35.540039999999998</v>
      </c>
      <c r="Q1850" s="152">
        <v>1.7665150000000001</v>
      </c>
      <c r="R1850" s="152" t="s">
        <v>1327</v>
      </c>
      <c r="S1850" s="152">
        <v>99.696021999999999</v>
      </c>
      <c r="T1850" s="152">
        <v>0</v>
      </c>
      <c r="U1850" s="152">
        <v>0.17207800000000001</v>
      </c>
      <c r="V1850" s="152">
        <v>5.9221999999999997E-2</v>
      </c>
      <c r="W1850" s="152">
        <v>1000</v>
      </c>
      <c r="X1850" s="152" t="s">
        <v>23</v>
      </c>
      <c r="Y1850" s="152" t="s">
        <v>1328</v>
      </c>
      <c r="Z1850" s="152" t="s">
        <v>1327</v>
      </c>
    </row>
    <row r="1851" spans="1:26" x14ac:dyDescent="0.2">
      <c r="A1851" s="152" t="s">
        <v>2947</v>
      </c>
      <c r="B1851" s="152">
        <v>0</v>
      </c>
      <c r="C1851" s="151">
        <v>43552</v>
      </c>
      <c r="D1851" s="152">
        <v>0.42191800000000002</v>
      </c>
      <c r="E1851" s="152" t="s">
        <v>1325</v>
      </c>
      <c r="F1851" s="152" t="s">
        <v>1326</v>
      </c>
      <c r="G1851" s="152"/>
      <c r="H1851" s="152"/>
      <c r="I1851" s="151">
        <v>43371</v>
      </c>
      <c r="J1851" s="152">
        <v>1.9</v>
      </c>
      <c r="K1851" s="152" t="s">
        <v>1327</v>
      </c>
      <c r="L1851" s="152" t="s">
        <v>1327</v>
      </c>
      <c r="M1851" s="152" t="s">
        <v>1327</v>
      </c>
      <c r="N1851" s="152" t="s">
        <v>1327</v>
      </c>
      <c r="O1851" s="152">
        <v>2.0390060000000001</v>
      </c>
      <c r="P1851" s="152">
        <v>34.401099000000002</v>
      </c>
      <c r="Q1851" s="152">
        <v>2.0390060000000001</v>
      </c>
      <c r="R1851" s="152" t="s">
        <v>1327</v>
      </c>
      <c r="S1851" s="152">
        <v>99.147045000000006</v>
      </c>
      <c r="T1851" s="152">
        <v>0</v>
      </c>
      <c r="U1851" s="152">
        <v>0.418319</v>
      </c>
      <c r="V1851" s="152">
        <v>0.34998200000000002</v>
      </c>
      <c r="W1851" s="152">
        <v>1000</v>
      </c>
      <c r="X1851" s="152" t="s">
        <v>23</v>
      </c>
      <c r="Y1851" s="152" t="s">
        <v>1328</v>
      </c>
      <c r="Z1851" s="152" t="s">
        <v>1327</v>
      </c>
    </row>
    <row r="1852" spans="1:26" x14ac:dyDescent="0.2">
      <c r="A1852" s="152" t="s">
        <v>2948</v>
      </c>
      <c r="B1852" s="152">
        <v>0</v>
      </c>
      <c r="C1852" s="151">
        <v>43446</v>
      </c>
      <c r="D1852" s="152">
        <v>0.13150700000000001</v>
      </c>
      <c r="E1852" s="152" t="s">
        <v>1325</v>
      </c>
      <c r="F1852" s="152" t="s">
        <v>1326</v>
      </c>
      <c r="G1852" s="152"/>
      <c r="H1852" s="152"/>
      <c r="I1852" s="152" t="s">
        <v>1327</v>
      </c>
      <c r="J1852" s="152" t="s">
        <v>1327</v>
      </c>
      <c r="K1852" s="152" t="s">
        <v>1327</v>
      </c>
      <c r="L1852" s="152" t="s">
        <v>1327</v>
      </c>
      <c r="M1852" s="152" t="s">
        <v>1327</v>
      </c>
      <c r="N1852" s="152" t="s">
        <v>1327</v>
      </c>
      <c r="O1852" s="152">
        <v>1.786429</v>
      </c>
      <c r="P1852" s="152">
        <v>44.807226999999997</v>
      </c>
      <c r="Q1852" s="152">
        <v>1.786429</v>
      </c>
      <c r="R1852" s="152" t="s">
        <v>1327</v>
      </c>
      <c r="S1852" s="152">
        <v>99.765623000000005</v>
      </c>
      <c r="T1852" s="152">
        <v>0</v>
      </c>
      <c r="U1852" s="152">
        <v>0.13119900000000001</v>
      </c>
      <c r="V1852" s="152">
        <v>3.4425999999999998E-2</v>
      </c>
      <c r="W1852" s="152">
        <v>1000</v>
      </c>
      <c r="X1852" s="152" t="s">
        <v>23</v>
      </c>
      <c r="Y1852" s="152" t="s">
        <v>1921</v>
      </c>
      <c r="Z1852" s="152" t="s">
        <v>1327</v>
      </c>
    </row>
    <row r="1853" spans="1:26" x14ac:dyDescent="0.2">
      <c r="A1853" s="152" t="s">
        <v>2949</v>
      </c>
      <c r="B1853" s="152">
        <v>0</v>
      </c>
      <c r="C1853" s="151">
        <v>43409</v>
      </c>
      <c r="D1853" s="152">
        <v>3.0137000000000001E-2</v>
      </c>
      <c r="E1853" s="152" t="s">
        <v>1325</v>
      </c>
      <c r="F1853" s="152" t="s">
        <v>1326</v>
      </c>
      <c r="G1853" s="152"/>
      <c r="H1853" s="152"/>
      <c r="I1853" s="152" t="s">
        <v>1327</v>
      </c>
      <c r="J1853" s="152" t="s">
        <v>1327</v>
      </c>
      <c r="K1853" s="152" t="s">
        <v>1327</v>
      </c>
      <c r="L1853" s="152" t="s">
        <v>1327</v>
      </c>
      <c r="M1853" s="152" t="s">
        <v>1327</v>
      </c>
      <c r="N1853" s="152" t="s">
        <v>1327</v>
      </c>
      <c r="O1853" s="152">
        <v>1.6583730000000001</v>
      </c>
      <c r="P1853" s="152">
        <v>50.464590999999999</v>
      </c>
      <c r="Q1853" s="152">
        <v>1.6583730000000001</v>
      </c>
      <c r="R1853" s="152" t="s">
        <v>1327</v>
      </c>
      <c r="S1853" s="152">
        <v>99.950046999999998</v>
      </c>
      <c r="T1853" s="152">
        <v>0</v>
      </c>
      <c r="U1853" s="152">
        <v>3.0121999999999999E-2</v>
      </c>
      <c r="V1853" s="152">
        <v>1.815E-3</v>
      </c>
      <c r="W1853" s="152">
        <v>1000</v>
      </c>
      <c r="X1853" s="152" t="s">
        <v>23</v>
      </c>
      <c r="Y1853" s="152" t="s">
        <v>1921</v>
      </c>
      <c r="Z1853" s="152" t="s">
        <v>1327</v>
      </c>
    </row>
    <row r="1854" spans="1:26" x14ac:dyDescent="0.2">
      <c r="A1854" s="152" t="s">
        <v>2950</v>
      </c>
      <c r="B1854" s="152">
        <v>0</v>
      </c>
      <c r="C1854" s="151">
        <v>43416</v>
      </c>
      <c r="D1854" s="152">
        <v>4.9314999999999998E-2</v>
      </c>
      <c r="E1854" s="152" t="s">
        <v>1325</v>
      </c>
      <c r="F1854" s="152" t="s">
        <v>1326</v>
      </c>
      <c r="G1854" s="152"/>
      <c r="H1854" s="152"/>
      <c r="I1854" s="152" t="s">
        <v>1327</v>
      </c>
      <c r="J1854" s="152" t="s">
        <v>1327</v>
      </c>
      <c r="K1854" s="152" t="s">
        <v>1327</v>
      </c>
      <c r="L1854" s="152" t="s">
        <v>1327</v>
      </c>
      <c r="M1854" s="152" t="s">
        <v>1327</v>
      </c>
      <c r="N1854" s="152" t="s">
        <v>1327</v>
      </c>
      <c r="O1854" s="152">
        <v>1.657583</v>
      </c>
      <c r="P1854" s="152">
        <v>46.870980000000003</v>
      </c>
      <c r="Q1854" s="152">
        <v>1.657583</v>
      </c>
      <c r="R1854" s="152" t="s">
        <v>1327</v>
      </c>
      <c r="S1854" s="152">
        <v>99.918323000000001</v>
      </c>
      <c r="T1854" s="152">
        <v>0</v>
      </c>
      <c r="U1854" s="152">
        <v>4.9274999999999999E-2</v>
      </c>
      <c r="V1854" s="152">
        <v>4.8560000000000001E-3</v>
      </c>
      <c r="W1854" s="152">
        <v>1000</v>
      </c>
      <c r="X1854" s="152" t="s">
        <v>23</v>
      </c>
      <c r="Y1854" s="152" t="s">
        <v>1921</v>
      </c>
      <c r="Z1854" s="152" t="s">
        <v>1327</v>
      </c>
    </row>
    <row r="1855" spans="1:26" x14ac:dyDescent="0.2">
      <c r="A1855" s="152" t="s">
        <v>2951</v>
      </c>
      <c r="B1855" s="152">
        <v>0</v>
      </c>
      <c r="C1855" s="152">
        <v>43404</v>
      </c>
      <c r="D1855" s="152">
        <v>1.6438000000000001E-2</v>
      </c>
      <c r="E1855" s="152" t="s">
        <v>1325</v>
      </c>
      <c r="F1855" s="152" t="s">
        <v>1326</v>
      </c>
      <c r="G1855" s="152"/>
      <c r="H1855" s="152"/>
      <c r="I1855" s="152" t="s">
        <v>1327</v>
      </c>
      <c r="J1855" s="152" t="s">
        <v>1327</v>
      </c>
      <c r="K1855" s="152" t="s">
        <v>1327</v>
      </c>
      <c r="L1855" s="152" t="s">
        <v>1327</v>
      </c>
      <c r="M1855" s="152" t="s">
        <v>1327</v>
      </c>
      <c r="N1855" s="152" t="s">
        <v>1327</v>
      </c>
      <c r="O1855" s="152">
        <v>1.6590860000000001</v>
      </c>
      <c r="P1855" s="152">
        <v>53.014167</v>
      </c>
      <c r="Q1855" s="152">
        <v>1.6590860000000001</v>
      </c>
      <c r="R1855" s="152" t="s">
        <v>1327</v>
      </c>
      <c r="S1855" s="152">
        <v>99.972735</v>
      </c>
      <c r="T1855" s="152">
        <v>0</v>
      </c>
      <c r="U1855" s="152">
        <v>1.6434000000000001E-2</v>
      </c>
      <c r="V1855" s="152">
        <v>5.4000000000000001E-4</v>
      </c>
      <c r="W1855" s="152">
        <v>1000</v>
      </c>
      <c r="X1855" s="152" t="s">
        <v>23</v>
      </c>
      <c r="Y1855" s="152" t="s">
        <v>1921</v>
      </c>
      <c r="Z1855" s="152" t="s">
        <v>1327</v>
      </c>
    </row>
    <row r="1856" spans="1:26" x14ac:dyDescent="0.2">
      <c r="A1856" s="152" t="s">
        <v>2952</v>
      </c>
      <c r="B1856" s="152">
        <v>0</v>
      </c>
      <c r="C1856" s="151">
        <v>43404</v>
      </c>
      <c r="D1856" s="152">
        <v>1.6438000000000001E-2</v>
      </c>
      <c r="E1856" s="152" t="s">
        <v>1325</v>
      </c>
      <c r="F1856" s="152" t="s">
        <v>1326</v>
      </c>
      <c r="G1856" s="152"/>
      <c r="H1856" s="152"/>
      <c r="I1856" s="151" t="s">
        <v>1327</v>
      </c>
      <c r="J1856" s="152" t="s">
        <v>1327</v>
      </c>
      <c r="K1856" s="152" t="s">
        <v>1327</v>
      </c>
      <c r="L1856" s="152" t="s">
        <v>1327</v>
      </c>
      <c r="M1856" s="152" t="s">
        <v>1327</v>
      </c>
      <c r="N1856" s="152" t="s">
        <v>1327</v>
      </c>
      <c r="O1856" s="152">
        <v>1.6590860000000001</v>
      </c>
      <c r="P1856" s="152">
        <v>53.014167</v>
      </c>
      <c r="Q1856" s="152">
        <v>1.6590860000000001</v>
      </c>
      <c r="R1856" s="152" t="s">
        <v>1327</v>
      </c>
      <c r="S1856" s="152">
        <v>99.972735</v>
      </c>
      <c r="T1856" s="152">
        <v>0</v>
      </c>
      <c r="U1856" s="152">
        <v>1.6434000000000001E-2</v>
      </c>
      <c r="V1856" s="152">
        <v>5.4000000000000001E-4</v>
      </c>
      <c r="W1856" s="152">
        <v>1000</v>
      </c>
      <c r="X1856" s="152" t="s">
        <v>23</v>
      </c>
      <c r="Y1856" s="152" t="s">
        <v>1921</v>
      </c>
      <c r="Z1856" s="152" t="s">
        <v>1327</v>
      </c>
    </row>
    <row r="1857" spans="1:26" x14ac:dyDescent="0.2">
      <c r="A1857" s="152" t="s">
        <v>2953</v>
      </c>
      <c r="B1857" s="152">
        <v>0</v>
      </c>
      <c r="C1857" s="151">
        <v>43474</v>
      </c>
      <c r="D1857" s="152">
        <v>0.20821899999999999</v>
      </c>
      <c r="E1857" s="152" t="s">
        <v>1325</v>
      </c>
      <c r="F1857" s="152" t="s">
        <v>1326</v>
      </c>
      <c r="G1857" s="152"/>
      <c r="H1857" s="152"/>
      <c r="I1857" s="151" t="s">
        <v>1327</v>
      </c>
      <c r="J1857" s="152" t="s">
        <v>1327</v>
      </c>
      <c r="K1857" s="152" t="s">
        <v>1327</v>
      </c>
      <c r="L1857" s="152" t="s">
        <v>1327</v>
      </c>
      <c r="M1857" s="152" t="s">
        <v>1327</v>
      </c>
      <c r="N1857" s="152" t="s">
        <v>1327</v>
      </c>
      <c r="O1857" s="152">
        <v>1.920215</v>
      </c>
      <c r="P1857" s="152">
        <v>45.269278999999997</v>
      </c>
      <c r="Q1857" s="152">
        <v>1.920215</v>
      </c>
      <c r="R1857" s="152" t="s">
        <v>1327</v>
      </c>
      <c r="S1857" s="152">
        <v>99.601766999999995</v>
      </c>
      <c r="T1857" s="152">
        <v>0</v>
      </c>
      <c r="U1857" s="152">
        <v>0.20738999999999999</v>
      </c>
      <c r="V1857" s="152">
        <v>8.6021E-2</v>
      </c>
      <c r="W1857" s="152">
        <v>1000</v>
      </c>
      <c r="X1857" s="152" t="s">
        <v>23</v>
      </c>
      <c r="Y1857" s="152" t="s">
        <v>1921</v>
      </c>
      <c r="Z1857" s="152" t="s">
        <v>1327</v>
      </c>
    </row>
    <row r="1858" spans="1:26" x14ac:dyDescent="0.2">
      <c r="A1858" s="152" t="s">
        <v>2954</v>
      </c>
      <c r="B1858" s="152">
        <v>0</v>
      </c>
      <c r="C1858" s="151">
        <v>43487</v>
      </c>
      <c r="D1858" s="152">
        <v>0.243836</v>
      </c>
      <c r="E1858" s="152" t="s">
        <v>1325</v>
      </c>
      <c r="F1858" s="152" t="s">
        <v>1326</v>
      </c>
      <c r="G1858" s="152"/>
      <c r="H1858" s="152"/>
      <c r="I1858" s="151" t="s">
        <v>1327</v>
      </c>
      <c r="J1858" s="152" t="s">
        <v>1327</v>
      </c>
      <c r="K1858" s="152" t="s">
        <v>1327</v>
      </c>
      <c r="L1858" s="152" t="s">
        <v>1327</v>
      </c>
      <c r="M1858" s="152" t="s">
        <v>1327</v>
      </c>
      <c r="N1858" s="152" t="s">
        <v>1327</v>
      </c>
      <c r="O1858" s="152">
        <v>1.969465</v>
      </c>
      <c r="P1858" s="152">
        <v>44.925798</v>
      </c>
      <c r="Q1858" s="152">
        <v>1.969465</v>
      </c>
      <c r="R1858" s="152" t="s">
        <v>1327</v>
      </c>
      <c r="S1858" s="152">
        <v>99.522069000000002</v>
      </c>
      <c r="T1858" s="152">
        <v>0</v>
      </c>
      <c r="U1858" s="152">
        <v>0.24267</v>
      </c>
      <c r="V1858" s="152">
        <v>0.11777799999999999</v>
      </c>
      <c r="W1858" s="152">
        <v>1000</v>
      </c>
      <c r="X1858" s="152" t="s">
        <v>23</v>
      </c>
      <c r="Y1858" s="152" t="s">
        <v>1921</v>
      </c>
      <c r="Z1858" s="152" t="s">
        <v>1327</v>
      </c>
    </row>
    <row r="1859" spans="1:26" x14ac:dyDescent="0.2">
      <c r="A1859" s="152" t="s">
        <v>2955</v>
      </c>
      <c r="B1859" s="152">
        <v>2</v>
      </c>
      <c r="C1859" s="151">
        <v>43437</v>
      </c>
      <c r="D1859" s="152">
        <v>0.106849</v>
      </c>
      <c r="E1859" s="152" t="s">
        <v>1325</v>
      </c>
      <c r="F1859" s="152" t="s">
        <v>1326</v>
      </c>
      <c r="G1859" s="152"/>
      <c r="H1859" s="152"/>
      <c r="I1859" s="151" t="s">
        <v>1327</v>
      </c>
      <c r="J1859" s="152" t="s">
        <v>1327</v>
      </c>
      <c r="K1859" s="152" t="s">
        <v>1327</v>
      </c>
      <c r="L1859" s="152" t="s">
        <v>1327</v>
      </c>
      <c r="M1859" s="152" t="s">
        <v>1327</v>
      </c>
      <c r="N1859" s="152" t="s">
        <v>1327</v>
      </c>
      <c r="O1859" s="152">
        <v>1.8074520000000001</v>
      </c>
      <c r="P1859" s="152">
        <v>51.448053000000002</v>
      </c>
      <c r="Q1859" s="152">
        <v>1.8074520000000001</v>
      </c>
      <c r="R1859" s="152" t="s">
        <v>1327</v>
      </c>
      <c r="S1859" s="152">
        <v>100.01999499999999</v>
      </c>
      <c r="T1859" s="152">
        <v>0.27945199999999998</v>
      </c>
      <c r="U1859" s="152">
        <v>0.106643</v>
      </c>
      <c r="V1859" s="152">
        <v>2.2745999999999999E-2</v>
      </c>
      <c r="W1859" s="152">
        <v>1000</v>
      </c>
      <c r="X1859" s="152" t="s">
        <v>23</v>
      </c>
      <c r="Y1859" s="152" t="s">
        <v>1328</v>
      </c>
      <c r="Z1859" s="152" t="s">
        <v>1327</v>
      </c>
    </row>
    <row r="1860" spans="1:26" x14ac:dyDescent="0.2">
      <c r="A1860" s="152" t="s">
        <v>2956</v>
      </c>
      <c r="B1860" s="152">
        <v>2</v>
      </c>
      <c r="C1860" s="151">
        <v>43445</v>
      </c>
      <c r="D1860" s="152">
        <v>0.12876699999999999</v>
      </c>
      <c r="E1860" s="152" t="s">
        <v>1325</v>
      </c>
      <c r="F1860" s="152" t="s">
        <v>1326</v>
      </c>
      <c r="G1860" s="152"/>
      <c r="H1860" s="152"/>
      <c r="I1860" s="151" t="s">
        <v>1327</v>
      </c>
      <c r="J1860" s="152" t="s">
        <v>1327</v>
      </c>
      <c r="K1860" s="152" t="s">
        <v>1327</v>
      </c>
      <c r="L1860" s="152" t="s">
        <v>1327</v>
      </c>
      <c r="M1860" s="152" t="s">
        <v>1327</v>
      </c>
      <c r="N1860" s="152" t="s">
        <v>1327</v>
      </c>
      <c r="O1860" s="152">
        <v>1.844713</v>
      </c>
      <c r="P1860" s="152">
        <v>51.224550000000001</v>
      </c>
      <c r="Q1860" s="152">
        <v>1.844713</v>
      </c>
      <c r="R1860" s="152" t="s">
        <v>1327</v>
      </c>
      <c r="S1860" s="152">
        <v>100.019312</v>
      </c>
      <c r="T1860" s="152">
        <v>0.26849299999999998</v>
      </c>
      <c r="U1860" s="152">
        <v>0.12846199999999999</v>
      </c>
      <c r="V1860" s="152">
        <v>3.3005E-2</v>
      </c>
      <c r="W1860" s="152">
        <v>1000</v>
      </c>
      <c r="X1860" s="152" t="s">
        <v>23</v>
      </c>
      <c r="Y1860" s="152" t="s">
        <v>1328</v>
      </c>
      <c r="Z1860" s="152" t="s">
        <v>1327</v>
      </c>
    </row>
    <row r="1861" spans="1:26" x14ac:dyDescent="0.2">
      <c r="A1861" s="152" t="s">
        <v>2957</v>
      </c>
      <c r="B1861" s="152">
        <v>2</v>
      </c>
      <c r="C1861" s="151">
        <v>43446</v>
      </c>
      <c r="D1861" s="152">
        <v>0.13150700000000001</v>
      </c>
      <c r="E1861" s="152" t="s">
        <v>1325</v>
      </c>
      <c r="F1861" s="152" t="s">
        <v>1326</v>
      </c>
      <c r="G1861" s="152"/>
      <c r="H1861" s="152"/>
      <c r="I1861" s="151" t="s">
        <v>1327</v>
      </c>
      <c r="J1861" s="152" t="s">
        <v>1327</v>
      </c>
      <c r="K1861" s="152" t="s">
        <v>1327</v>
      </c>
      <c r="L1861" s="152" t="s">
        <v>1327</v>
      </c>
      <c r="M1861" s="152" t="s">
        <v>1327</v>
      </c>
      <c r="N1861" s="152" t="s">
        <v>1327</v>
      </c>
      <c r="O1861" s="152">
        <v>1.8493980000000001</v>
      </c>
      <c r="P1861" s="152">
        <v>51.204137000000003</v>
      </c>
      <c r="Q1861" s="152">
        <v>1.8493980000000001</v>
      </c>
      <c r="R1861" s="152" t="s">
        <v>1327</v>
      </c>
      <c r="S1861" s="152">
        <v>100.019186</v>
      </c>
      <c r="T1861" s="152">
        <v>0.23561599999999999</v>
      </c>
      <c r="U1861" s="152">
        <v>0.131188</v>
      </c>
      <c r="V1861" s="152">
        <v>3.4419999999999999E-2</v>
      </c>
      <c r="W1861" s="152">
        <v>1000</v>
      </c>
      <c r="X1861" s="152" t="s">
        <v>23</v>
      </c>
      <c r="Y1861" s="152" t="s">
        <v>1328</v>
      </c>
      <c r="Z1861" s="152" t="s">
        <v>1327</v>
      </c>
    </row>
    <row r="1862" spans="1:26" x14ac:dyDescent="0.2">
      <c r="A1862" s="152" t="s">
        <v>2958</v>
      </c>
      <c r="B1862" s="152">
        <v>2</v>
      </c>
      <c r="C1862" s="151">
        <v>43447</v>
      </c>
      <c r="D1862" s="152">
        <v>0.13424700000000001</v>
      </c>
      <c r="E1862" s="152" t="s">
        <v>1325</v>
      </c>
      <c r="F1862" s="152" t="s">
        <v>1326</v>
      </c>
      <c r="G1862" s="152"/>
      <c r="H1862" s="152"/>
      <c r="I1862" s="151" t="s">
        <v>1327</v>
      </c>
      <c r="J1862" s="152" t="s">
        <v>1327</v>
      </c>
      <c r="K1862" s="152" t="s">
        <v>1327</v>
      </c>
      <c r="L1862" s="152" t="s">
        <v>1327</v>
      </c>
      <c r="M1862" s="152" t="s">
        <v>1327</v>
      </c>
      <c r="N1862" s="152" t="s">
        <v>1327</v>
      </c>
      <c r="O1862" s="152">
        <v>1.8540890000000001</v>
      </c>
      <c r="P1862" s="152">
        <v>51.18573</v>
      </c>
      <c r="Q1862" s="152">
        <v>1.8540890000000001</v>
      </c>
      <c r="R1862" s="152" t="s">
        <v>1327</v>
      </c>
      <c r="S1862" s="152">
        <v>100.018928</v>
      </c>
      <c r="T1862" s="152">
        <v>0.24657499999999999</v>
      </c>
      <c r="U1862" s="152">
        <v>0.133913</v>
      </c>
      <c r="V1862" s="152">
        <v>3.5866000000000002E-2</v>
      </c>
      <c r="W1862" s="152">
        <v>1000</v>
      </c>
      <c r="X1862" s="152" t="s">
        <v>23</v>
      </c>
      <c r="Y1862" s="152" t="s">
        <v>1328</v>
      </c>
      <c r="Z1862" s="152" t="s">
        <v>1327</v>
      </c>
    </row>
    <row r="1863" spans="1:26" x14ac:dyDescent="0.2">
      <c r="A1863" s="152" t="s">
        <v>2959</v>
      </c>
      <c r="B1863" s="152">
        <v>2</v>
      </c>
      <c r="C1863" s="151">
        <v>43447</v>
      </c>
      <c r="D1863" s="152">
        <v>0.13424700000000001</v>
      </c>
      <c r="E1863" s="152" t="s">
        <v>1325</v>
      </c>
      <c r="F1863" s="152" t="s">
        <v>1326</v>
      </c>
      <c r="G1863" s="152"/>
      <c r="H1863" s="152"/>
      <c r="I1863" s="152" t="s">
        <v>1327</v>
      </c>
      <c r="J1863" s="152" t="s">
        <v>1327</v>
      </c>
      <c r="K1863" s="152" t="s">
        <v>1327</v>
      </c>
      <c r="L1863" s="152" t="s">
        <v>1327</v>
      </c>
      <c r="M1863" s="152" t="s">
        <v>1327</v>
      </c>
      <c r="N1863" s="152" t="s">
        <v>1327</v>
      </c>
      <c r="O1863" s="152">
        <v>1.8540890000000001</v>
      </c>
      <c r="P1863" s="152">
        <v>51.18573</v>
      </c>
      <c r="Q1863" s="152">
        <v>1.8540890000000001</v>
      </c>
      <c r="R1863" s="152" t="s">
        <v>1327</v>
      </c>
      <c r="S1863" s="152">
        <v>100.018981</v>
      </c>
      <c r="T1863" s="152">
        <v>0.224658</v>
      </c>
      <c r="U1863" s="152">
        <v>0.133913</v>
      </c>
      <c r="V1863" s="152">
        <v>3.5866000000000002E-2</v>
      </c>
      <c r="W1863" s="152">
        <v>1000</v>
      </c>
      <c r="X1863" s="152" t="s">
        <v>23</v>
      </c>
      <c r="Y1863" s="152" t="s">
        <v>1328</v>
      </c>
      <c r="Z1863" s="152" t="s">
        <v>1327</v>
      </c>
    </row>
    <row r="1864" spans="1:26" x14ac:dyDescent="0.2">
      <c r="A1864" s="152" t="s">
        <v>2960</v>
      </c>
      <c r="B1864" s="152">
        <v>2</v>
      </c>
      <c r="C1864" s="151">
        <v>43451</v>
      </c>
      <c r="D1864" s="152">
        <v>0.145205</v>
      </c>
      <c r="E1864" s="152" t="s">
        <v>1325</v>
      </c>
      <c r="F1864" s="152" t="s">
        <v>1326</v>
      </c>
      <c r="G1864" s="152"/>
      <c r="H1864" s="152"/>
      <c r="I1864" s="152" t="s">
        <v>1327</v>
      </c>
      <c r="J1864" s="152" t="s">
        <v>1327</v>
      </c>
      <c r="K1864" s="152" t="s">
        <v>1327</v>
      </c>
      <c r="L1864" s="152" t="s">
        <v>1327</v>
      </c>
      <c r="M1864" s="152" t="s">
        <v>1327</v>
      </c>
      <c r="N1864" s="152" t="s">
        <v>1327</v>
      </c>
      <c r="O1864" s="152">
        <v>1.872911</v>
      </c>
      <c r="P1864" s="152">
        <v>51.132126999999997</v>
      </c>
      <c r="Q1864" s="152">
        <v>1.872911</v>
      </c>
      <c r="R1864" s="152" t="s">
        <v>1327</v>
      </c>
      <c r="S1864" s="152">
        <v>100.017854</v>
      </c>
      <c r="T1864" s="152">
        <v>0.20274</v>
      </c>
      <c r="U1864" s="152">
        <v>0.144812</v>
      </c>
      <c r="V1864" s="152">
        <v>4.1940999999999999E-2</v>
      </c>
      <c r="W1864" s="152">
        <v>1000</v>
      </c>
      <c r="X1864" s="152" t="s">
        <v>23</v>
      </c>
      <c r="Y1864" s="152" t="s">
        <v>1328</v>
      </c>
      <c r="Z1864" s="152" t="s">
        <v>1327</v>
      </c>
    </row>
    <row r="1865" spans="1:26" x14ac:dyDescent="0.2">
      <c r="A1865" s="152" t="s">
        <v>2961</v>
      </c>
      <c r="B1865" s="152">
        <v>2.0499999999999998</v>
      </c>
      <c r="C1865" s="151">
        <v>43453</v>
      </c>
      <c r="D1865" s="152">
        <v>0.15068500000000001</v>
      </c>
      <c r="E1865" s="152" t="s">
        <v>1325</v>
      </c>
      <c r="F1865" s="152" t="s">
        <v>1326</v>
      </c>
      <c r="G1865" s="152"/>
      <c r="H1865" s="152"/>
      <c r="I1865" s="152" t="s">
        <v>1327</v>
      </c>
      <c r="J1865" s="152" t="s">
        <v>1327</v>
      </c>
      <c r="K1865" s="152" t="s">
        <v>1327</v>
      </c>
      <c r="L1865" s="152" t="s">
        <v>1327</v>
      </c>
      <c r="M1865" s="152" t="s">
        <v>1327</v>
      </c>
      <c r="N1865" s="152" t="s">
        <v>1327</v>
      </c>
      <c r="O1865" s="152">
        <v>1.8823589999999999</v>
      </c>
      <c r="P1865" s="152">
        <v>51.118549000000002</v>
      </c>
      <c r="Q1865" s="152">
        <v>1.8823589999999999</v>
      </c>
      <c r="R1865" s="152" t="s">
        <v>1327</v>
      </c>
      <c r="S1865" s="152">
        <v>100.023156</v>
      </c>
      <c r="T1865" s="152">
        <v>0.71890399999999999</v>
      </c>
      <c r="U1865" s="152">
        <v>0.150259</v>
      </c>
      <c r="V1865" s="152">
        <v>4.5155000000000001E-2</v>
      </c>
      <c r="W1865" s="152">
        <v>1000</v>
      </c>
      <c r="X1865" s="152" t="s">
        <v>23</v>
      </c>
      <c r="Y1865" s="152" t="s">
        <v>1328</v>
      </c>
      <c r="Z1865" s="152" t="s">
        <v>1327</v>
      </c>
    </row>
    <row r="1866" spans="1:26" x14ac:dyDescent="0.2">
      <c r="A1866" s="152" t="s">
        <v>2962</v>
      </c>
      <c r="B1866" s="152">
        <v>2</v>
      </c>
      <c r="C1866" s="151">
        <v>43459</v>
      </c>
      <c r="D1866" s="152">
        <v>0.16712299999999999</v>
      </c>
      <c r="E1866" s="152" t="s">
        <v>1325</v>
      </c>
      <c r="F1866" s="152" t="s">
        <v>1326</v>
      </c>
      <c r="G1866" s="152"/>
      <c r="H1866" s="152"/>
      <c r="I1866" s="152" t="s">
        <v>1327</v>
      </c>
      <c r="J1866" s="152" t="s">
        <v>1327</v>
      </c>
      <c r="K1866" s="152" t="s">
        <v>1327</v>
      </c>
      <c r="L1866" s="152" t="s">
        <v>1327</v>
      </c>
      <c r="M1866" s="152" t="s">
        <v>1327</v>
      </c>
      <c r="N1866" s="152" t="s">
        <v>1327</v>
      </c>
      <c r="O1866" s="152">
        <v>1.910857</v>
      </c>
      <c r="P1866" s="152">
        <v>51.137442</v>
      </c>
      <c r="Q1866" s="152">
        <v>1.910857</v>
      </c>
      <c r="R1866" s="152" t="s">
        <v>1327</v>
      </c>
      <c r="S1866" s="152">
        <v>100.01434500000001</v>
      </c>
      <c r="T1866" s="152">
        <v>0.15890399999999999</v>
      </c>
      <c r="U1866" s="152">
        <v>0.16659099999999999</v>
      </c>
      <c r="V1866" s="152">
        <v>5.5504999999999999E-2</v>
      </c>
      <c r="W1866" s="152">
        <v>1000</v>
      </c>
      <c r="X1866" s="152" t="s">
        <v>23</v>
      </c>
      <c r="Y1866" s="152" t="s">
        <v>1328</v>
      </c>
      <c r="Z1866" s="152" t="s">
        <v>1327</v>
      </c>
    </row>
    <row r="1867" spans="1:26" x14ac:dyDescent="0.2">
      <c r="A1867" s="152" t="s">
        <v>2963</v>
      </c>
      <c r="B1867" s="152">
        <v>2</v>
      </c>
      <c r="C1867" s="151">
        <v>43405</v>
      </c>
      <c r="D1867" s="152">
        <v>1.9178000000000001E-2</v>
      </c>
      <c r="E1867" s="152" t="s">
        <v>1325</v>
      </c>
      <c r="F1867" s="152" t="s">
        <v>1326</v>
      </c>
      <c r="G1867" s="152"/>
      <c r="H1867" s="152"/>
      <c r="I1867" s="152" t="s">
        <v>1327</v>
      </c>
      <c r="J1867" s="152" t="s">
        <v>1327</v>
      </c>
      <c r="K1867" s="152" t="s">
        <v>1327</v>
      </c>
      <c r="L1867" s="152" t="s">
        <v>1327</v>
      </c>
      <c r="M1867" s="152" t="s">
        <v>1327</v>
      </c>
      <c r="N1867" s="152" t="s">
        <v>1327</v>
      </c>
      <c r="O1867" s="152">
        <v>1.7219960000000001</v>
      </c>
      <c r="P1867" s="152">
        <v>58.917524999999998</v>
      </c>
      <c r="Q1867" s="152">
        <v>1.7219960000000001</v>
      </c>
      <c r="R1867" s="152" t="s">
        <v>1327</v>
      </c>
      <c r="S1867" s="152">
        <v>100.005178</v>
      </c>
      <c r="T1867" s="152">
        <v>0.46027400000000002</v>
      </c>
      <c r="U1867" s="152">
        <v>1.9172000000000002E-2</v>
      </c>
      <c r="V1867" s="152">
        <v>7.3499999999999998E-4</v>
      </c>
      <c r="W1867" s="152">
        <v>1000</v>
      </c>
      <c r="X1867" s="152" t="s">
        <v>23</v>
      </c>
      <c r="Y1867" s="152" t="s">
        <v>1328</v>
      </c>
      <c r="Z1867" s="152" t="s">
        <v>1327</v>
      </c>
    </row>
    <row r="1868" spans="1:26" x14ac:dyDescent="0.2">
      <c r="A1868" s="152" t="s">
        <v>2964</v>
      </c>
      <c r="B1868" s="152">
        <v>2</v>
      </c>
      <c r="C1868" s="151">
        <v>43427</v>
      </c>
      <c r="D1868" s="152">
        <v>7.9451999999999995E-2</v>
      </c>
      <c r="E1868" s="152" t="s">
        <v>1325</v>
      </c>
      <c r="F1868" s="152" t="s">
        <v>1326</v>
      </c>
      <c r="G1868" s="152"/>
      <c r="H1868" s="152"/>
      <c r="I1868" s="152">
        <v>43336</v>
      </c>
      <c r="J1868" s="152">
        <v>2</v>
      </c>
      <c r="K1868" s="152" t="s">
        <v>1327</v>
      </c>
      <c r="L1868" s="152" t="s">
        <v>1327</v>
      </c>
      <c r="M1868" s="152" t="s">
        <v>1327</v>
      </c>
      <c r="N1868" s="152" t="s">
        <v>1327</v>
      </c>
      <c r="O1868" s="152">
        <v>1.7613909999999999</v>
      </c>
      <c r="P1868" s="152">
        <v>51.838866000000003</v>
      </c>
      <c r="Q1868" s="152">
        <v>1.7613909999999999</v>
      </c>
      <c r="R1868" s="152" t="s">
        <v>1327</v>
      </c>
      <c r="S1868" s="152">
        <v>100.018457</v>
      </c>
      <c r="T1868" s="152">
        <v>0.33972599999999997</v>
      </c>
      <c r="U1868" s="152">
        <v>7.9340999999999995E-2</v>
      </c>
      <c r="V1868" s="152">
        <v>1.259E-2</v>
      </c>
      <c r="W1868" s="152">
        <v>1000</v>
      </c>
      <c r="X1868" s="152" t="s">
        <v>23</v>
      </c>
      <c r="Y1868" s="152" t="s">
        <v>1328</v>
      </c>
      <c r="Z1868" s="152" t="s">
        <v>1327</v>
      </c>
    </row>
    <row r="1869" spans="1:26" x14ac:dyDescent="0.2">
      <c r="A1869" s="152" t="s">
        <v>2965</v>
      </c>
      <c r="B1869" s="152">
        <v>2</v>
      </c>
      <c r="C1869" s="151">
        <v>43431</v>
      </c>
      <c r="D1869" s="152">
        <v>9.0411000000000005E-2</v>
      </c>
      <c r="E1869" s="152" t="s">
        <v>1325</v>
      </c>
      <c r="F1869" s="152" t="s">
        <v>1326</v>
      </c>
      <c r="G1869" s="152"/>
      <c r="H1869" s="152"/>
      <c r="I1869" s="152" t="s">
        <v>1327</v>
      </c>
      <c r="J1869" s="152" t="s">
        <v>1327</v>
      </c>
      <c r="K1869" s="152" t="s">
        <v>1327</v>
      </c>
      <c r="L1869" s="152" t="s">
        <v>1327</v>
      </c>
      <c r="M1869" s="152" t="s">
        <v>1327</v>
      </c>
      <c r="N1869" s="152" t="s">
        <v>1327</v>
      </c>
      <c r="O1869" s="152">
        <v>1.7797480000000001</v>
      </c>
      <c r="P1869" s="152">
        <v>51.671511000000002</v>
      </c>
      <c r="Q1869" s="152">
        <v>1.7797480000000001</v>
      </c>
      <c r="R1869" s="152" t="s">
        <v>1327</v>
      </c>
      <c r="S1869" s="152">
        <v>100.01930900000001</v>
      </c>
      <c r="T1869" s="152">
        <v>0.35616399999999998</v>
      </c>
      <c r="U1869" s="152">
        <v>9.0265999999999999E-2</v>
      </c>
      <c r="V1869" s="152">
        <v>1.6296000000000001E-2</v>
      </c>
      <c r="W1869" s="152">
        <v>1000</v>
      </c>
      <c r="X1869" s="152" t="s">
        <v>23</v>
      </c>
      <c r="Y1869" s="152" t="s">
        <v>1328</v>
      </c>
      <c r="Z1869" s="152" t="s">
        <v>1327</v>
      </c>
    </row>
    <row r="1870" spans="1:26" x14ac:dyDescent="0.2">
      <c r="A1870" s="152" t="s">
        <v>2966</v>
      </c>
      <c r="B1870" s="152">
        <v>2</v>
      </c>
      <c r="C1870" s="151">
        <v>43431</v>
      </c>
      <c r="D1870" s="152">
        <v>9.0411000000000005E-2</v>
      </c>
      <c r="E1870" s="152" t="s">
        <v>1325</v>
      </c>
      <c r="F1870" s="152" t="s">
        <v>1326</v>
      </c>
      <c r="G1870" s="152"/>
      <c r="H1870" s="152"/>
      <c r="I1870" s="152">
        <v>43340</v>
      </c>
      <c r="J1870" s="152">
        <v>2</v>
      </c>
      <c r="K1870" s="152" t="s">
        <v>1327</v>
      </c>
      <c r="L1870" s="152" t="s">
        <v>1327</v>
      </c>
      <c r="M1870" s="152" t="s">
        <v>1327</v>
      </c>
      <c r="N1870" s="152" t="s">
        <v>1327</v>
      </c>
      <c r="O1870" s="152">
        <v>1.7797480000000001</v>
      </c>
      <c r="P1870" s="152">
        <v>51.671511000000002</v>
      </c>
      <c r="Q1870" s="152">
        <v>1.7797480000000001</v>
      </c>
      <c r="R1870" s="152" t="s">
        <v>1327</v>
      </c>
      <c r="S1870" s="152">
        <v>100.01937100000001</v>
      </c>
      <c r="T1870" s="152">
        <v>0.31780799999999998</v>
      </c>
      <c r="U1870" s="152">
        <v>9.0265999999999999E-2</v>
      </c>
      <c r="V1870" s="152">
        <v>1.6296000000000001E-2</v>
      </c>
      <c r="W1870" s="152">
        <v>1000</v>
      </c>
      <c r="X1870" s="152" t="s">
        <v>23</v>
      </c>
      <c r="Y1870" s="152" t="s">
        <v>1328</v>
      </c>
      <c r="Z1870" s="152" t="s">
        <v>1327</v>
      </c>
    </row>
    <row r="1871" spans="1:26" x14ac:dyDescent="0.2">
      <c r="A1871" s="152" t="s">
        <v>2967</v>
      </c>
      <c r="B1871" s="152">
        <v>2</v>
      </c>
      <c r="C1871" s="151">
        <v>43434</v>
      </c>
      <c r="D1871" s="152">
        <v>9.8629999999999995E-2</v>
      </c>
      <c r="E1871" s="152" t="s">
        <v>1325</v>
      </c>
      <c r="F1871" s="152" t="s">
        <v>1326</v>
      </c>
      <c r="G1871" s="152"/>
      <c r="H1871" s="152"/>
      <c r="I1871" s="152">
        <v>43342</v>
      </c>
      <c r="J1871" s="152">
        <v>2</v>
      </c>
      <c r="K1871" s="152" t="s">
        <v>1327</v>
      </c>
      <c r="L1871" s="152" t="s">
        <v>1327</v>
      </c>
      <c r="M1871" s="152" t="s">
        <v>1327</v>
      </c>
      <c r="N1871" s="152" t="s">
        <v>1327</v>
      </c>
      <c r="O1871" s="152">
        <v>1.7935749999999999</v>
      </c>
      <c r="P1871" s="152">
        <v>51.554986999999997</v>
      </c>
      <c r="Q1871" s="152">
        <v>1.7935749999999999</v>
      </c>
      <c r="R1871" s="152" t="s">
        <v>1327</v>
      </c>
      <c r="S1871" s="152">
        <v>100.01978200000001</v>
      </c>
      <c r="T1871" s="152">
        <v>0.30684899999999998</v>
      </c>
      <c r="U1871" s="152">
        <v>9.8456000000000002E-2</v>
      </c>
      <c r="V1871" s="152">
        <v>1.9387000000000001E-2</v>
      </c>
      <c r="W1871" s="152">
        <v>1000</v>
      </c>
      <c r="X1871" s="152" t="s">
        <v>23</v>
      </c>
      <c r="Y1871" s="152" t="s">
        <v>1328</v>
      </c>
      <c r="Z1871" s="152" t="s">
        <v>1327</v>
      </c>
    </row>
    <row r="1872" spans="1:26" x14ac:dyDescent="0.2">
      <c r="A1872" s="152" t="s">
        <v>2968</v>
      </c>
      <c r="B1872" s="152">
        <v>2.0499999999999998</v>
      </c>
      <c r="C1872" s="151">
        <v>43403</v>
      </c>
      <c r="D1872" s="152">
        <v>1.3698999999999999E-2</v>
      </c>
      <c r="E1872" s="152" t="s">
        <v>1325</v>
      </c>
      <c r="F1872" s="152" t="s">
        <v>1326</v>
      </c>
      <c r="G1872" s="152"/>
      <c r="H1872" s="152"/>
      <c r="I1872" s="152" t="s">
        <v>1327</v>
      </c>
      <c r="J1872" s="152" t="s">
        <v>1327</v>
      </c>
      <c r="K1872" s="152" t="s">
        <v>1327</v>
      </c>
      <c r="L1872" s="152" t="s">
        <v>1327</v>
      </c>
      <c r="M1872" s="152" t="s">
        <v>1327</v>
      </c>
      <c r="N1872" s="152" t="s">
        <v>1327</v>
      </c>
      <c r="O1872" s="152">
        <v>1.7223139999999999</v>
      </c>
      <c r="P1872" s="152">
        <v>59.934660000000001</v>
      </c>
      <c r="Q1872" s="152">
        <v>1.7223139999999999</v>
      </c>
      <c r="R1872" s="152" t="s">
        <v>1327</v>
      </c>
      <c r="S1872" s="152">
        <v>100.00425199999999</v>
      </c>
      <c r="T1872" s="152">
        <v>0.999726</v>
      </c>
      <c r="U1872" s="152">
        <v>1.3695000000000001E-2</v>
      </c>
      <c r="V1872" s="152">
        <v>3.7500000000000001E-4</v>
      </c>
      <c r="W1872" s="152">
        <v>1000</v>
      </c>
      <c r="X1872" s="152" t="s">
        <v>23</v>
      </c>
      <c r="Y1872" s="152" t="s">
        <v>1328</v>
      </c>
      <c r="Z1872" s="152" t="s">
        <v>1327</v>
      </c>
    </row>
    <row r="1873" spans="1:26" x14ac:dyDescent="0.2">
      <c r="A1873" s="152" t="s">
        <v>2969</v>
      </c>
      <c r="B1873" s="152">
        <v>2</v>
      </c>
      <c r="C1873" s="151">
        <v>43403</v>
      </c>
      <c r="D1873" s="152">
        <v>1.3698999999999999E-2</v>
      </c>
      <c r="E1873" s="152" t="s">
        <v>1325</v>
      </c>
      <c r="F1873" s="152" t="s">
        <v>1326</v>
      </c>
      <c r="G1873" s="152"/>
      <c r="H1873" s="152"/>
      <c r="I1873" s="152" t="s">
        <v>1327</v>
      </c>
      <c r="J1873" s="152" t="s">
        <v>1327</v>
      </c>
      <c r="K1873" s="152" t="s">
        <v>1327</v>
      </c>
      <c r="L1873" s="152" t="s">
        <v>1327</v>
      </c>
      <c r="M1873" s="152" t="s">
        <v>1327</v>
      </c>
      <c r="N1873" s="152" t="s">
        <v>1327</v>
      </c>
      <c r="O1873" s="152">
        <v>1.7223139999999999</v>
      </c>
      <c r="P1873" s="152">
        <v>59.934660000000001</v>
      </c>
      <c r="Q1873" s="152">
        <v>1.7223139999999999</v>
      </c>
      <c r="R1873" s="152" t="s">
        <v>1327</v>
      </c>
      <c r="S1873" s="152">
        <v>100.003683</v>
      </c>
      <c r="T1873" s="152">
        <v>0.50958899999999996</v>
      </c>
      <c r="U1873" s="152">
        <v>1.3695000000000001E-2</v>
      </c>
      <c r="V1873" s="152">
        <v>3.7500000000000001E-4</v>
      </c>
      <c r="W1873" s="152">
        <v>1000</v>
      </c>
      <c r="X1873" s="152" t="s">
        <v>23</v>
      </c>
      <c r="Y1873" s="152" t="s">
        <v>1328</v>
      </c>
      <c r="Z1873" s="152" t="s">
        <v>1327</v>
      </c>
    </row>
    <row r="1874" spans="1:26" x14ac:dyDescent="0.2">
      <c r="A1874" s="152" t="s">
        <v>2970</v>
      </c>
      <c r="B1874" s="152">
        <v>2.0499999999999998</v>
      </c>
      <c r="C1874" s="151">
        <v>43469</v>
      </c>
      <c r="D1874" s="152">
        <v>0.194521</v>
      </c>
      <c r="E1874" s="152" t="s">
        <v>1325</v>
      </c>
      <c r="F1874" s="152" t="s">
        <v>1326</v>
      </c>
      <c r="G1874" s="152"/>
      <c r="H1874" s="152"/>
      <c r="I1874" s="151" t="s">
        <v>1327</v>
      </c>
      <c r="J1874" s="152" t="s">
        <v>1327</v>
      </c>
      <c r="K1874" s="152" t="s">
        <v>1327</v>
      </c>
      <c r="L1874" s="152" t="s">
        <v>1327</v>
      </c>
      <c r="M1874" s="152" t="s">
        <v>1327</v>
      </c>
      <c r="N1874" s="152" t="s">
        <v>1327</v>
      </c>
      <c r="O1874" s="152">
        <v>1.9588719999999999</v>
      </c>
      <c r="P1874" s="152">
        <v>51.400497000000001</v>
      </c>
      <c r="Q1874" s="152">
        <v>1.9588719999999999</v>
      </c>
      <c r="R1874" s="152" t="s">
        <v>1327</v>
      </c>
      <c r="S1874" s="152">
        <v>100.015271</v>
      </c>
      <c r="T1874" s="152">
        <v>0.62904099999999996</v>
      </c>
      <c r="U1874" s="152">
        <v>0.19378200000000001</v>
      </c>
      <c r="V1874" s="152">
        <v>7.5103000000000003E-2</v>
      </c>
      <c r="W1874" s="152">
        <v>1000</v>
      </c>
      <c r="X1874" s="152" t="s">
        <v>23</v>
      </c>
      <c r="Y1874" s="152" t="s">
        <v>1328</v>
      </c>
      <c r="Z1874" s="152" t="s">
        <v>1327</v>
      </c>
    </row>
    <row r="1875" spans="1:26" x14ac:dyDescent="0.2">
      <c r="A1875" s="152" t="s">
        <v>2971</v>
      </c>
      <c r="B1875" s="152">
        <v>2</v>
      </c>
      <c r="C1875" s="151">
        <v>43475</v>
      </c>
      <c r="D1875" s="152">
        <v>0.21095900000000001</v>
      </c>
      <c r="E1875" s="152" t="s">
        <v>1325</v>
      </c>
      <c r="F1875" s="152" t="s">
        <v>1326</v>
      </c>
      <c r="G1875" s="152"/>
      <c r="H1875" s="152"/>
      <c r="I1875" s="152" t="s">
        <v>1327</v>
      </c>
      <c r="J1875" s="152" t="s">
        <v>1327</v>
      </c>
      <c r="K1875" s="152" t="s">
        <v>1327</v>
      </c>
      <c r="L1875" s="152" t="s">
        <v>1327</v>
      </c>
      <c r="M1875" s="152" t="s">
        <v>1327</v>
      </c>
      <c r="N1875" s="152" t="s">
        <v>1327</v>
      </c>
      <c r="O1875" s="152">
        <v>1.9880040000000001</v>
      </c>
      <c r="P1875" s="152">
        <v>51.721524000000002</v>
      </c>
      <c r="Q1875" s="152">
        <v>1.9880040000000001</v>
      </c>
      <c r="R1875" s="152" t="s">
        <v>1327</v>
      </c>
      <c r="S1875" s="152">
        <v>100.0022</v>
      </c>
      <c r="T1875" s="152">
        <v>7.6712000000000002E-2</v>
      </c>
      <c r="U1875" s="152">
        <v>0.21007799999999999</v>
      </c>
      <c r="V1875" s="152">
        <v>8.8264999999999996E-2</v>
      </c>
      <c r="W1875" s="152">
        <v>1000</v>
      </c>
      <c r="X1875" s="152" t="s">
        <v>23</v>
      </c>
      <c r="Y1875" s="152" t="s">
        <v>1328</v>
      </c>
      <c r="Z1875" s="152" t="s">
        <v>1327</v>
      </c>
    </row>
    <row r="1876" spans="1:26" x14ac:dyDescent="0.2">
      <c r="A1876" s="152" t="s">
        <v>2972</v>
      </c>
      <c r="B1876" s="152">
        <v>2</v>
      </c>
      <c r="C1876" s="151">
        <v>43481</v>
      </c>
      <c r="D1876" s="152">
        <v>0.22739699999999999</v>
      </c>
      <c r="E1876" s="152" t="s">
        <v>1325</v>
      </c>
      <c r="F1876" s="152" t="s">
        <v>1326</v>
      </c>
      <c r="G1876" s="152"/>
      <c r="H1876" s="152"/>
      <c r="I1876" s="152" t="s">
        <v>1327</v>
      </c>
      <c r="J1876" s="152" t="s">
        <v>1327</v>
      </c>
      <c r="K1876" s="152" t="s">
        <v>1327</v>
      </c>
      <c r="L1876" s="152" t="s">
        <v>1327</v>
      </c>
      <c r="M1876" s="152" t="s">
        <v>1327</v>
      </c>
      <c r="N1876" s="152" t="s">
        <v>1327</v>
      </c>
      <c r="O1876" s="152">
        <v>2.017385</v>
      </c>
      <c r="P1876" s="152">
        <v>52.183078999999999</v>
      </c>
      <c r="Q1876" s="152">
        <v>2.017385</v>
      </c>
      <c r="R1876" s="152" t="s">
        <v>1327</v>
      </c>
      <c r="S1876" s="152">
        <v>99.995688999999999</v>
      </c>
      <c r="T1876" s="152">
        <v>8.2192000000000001E-2</v>
      </c>
      <c r="U1876" s="152">
        <v>0.226359</v>
      </c>
      <c r="V1876" s="152">
        <v>0.102477</v>
      </c>
      <c r="W1876" s="152">
        <v>1000</v>
      </c>
      <c r="X1876" s="152" t="s">
        <v>23</v>
      </c>
      <c r="Y1876" s="152" t="s">
        <v>1328</v>
      </c>
      <c r="Z1876" s="152" t="s">
        <v>1327</v>
      </c>
    </row>
    <row r="1877" spans="1:26" x14ac:dyDescent="0.2">
      <c r="A1877" s="152" t="s">
        <v>2973</v>
      </c>
      <c r="B1877" s="152">
        <v>2</v>
      </c>
      <c r="C1877" s="151">
        <v>43481</v>
      </c>
      <c r="D1877" s="152">
        <v>0.22739699999999999</v>
      </c>
      <c r="E1877" s="152" t="s">
        <v>1325</v>
      </c>
      <c r="F1877" s="152" t="s">
        <v>1326</v>
      </c>
      <c r="G1877" s="152"/>
      <c r="H1877" s="152"/>
      <c r="I1877" s="152" t="s">
        <v>1327</v>
      </c>
      <c r="J1877" s="152" t="s">
        <v>1327</v>
      </c>
      <c r="K1877" s="152" t="s">
        <v>1327</v>
      </c>
      <c r="L1877" s="152" t="s">
        <v>1327</v>
      </c>
      <c r="M1877" s="152" t="s">
        <v>1327</v>
      </c>
      <c r="N1877" s="152" t="s">
        <v>1327</v>
      </c>
      <c r="O1877" s="152">
        <v>2.017385</v>
      </c>
      <c r="P1877" s="152">
        <v>52.183078999999999</v>
      </c>
      <c r="Q1877" s="152">
        <v>2.017385</v>
      </c>
      <c r="R1877" s="152" t="s">
        <v>1327</v>
      </c>
      <c r="S1877" s="152">
        <v>99.995840000000001</v>
      </c>
      <c r="T1877" s="152">
        <v>4.9314999999999998E-2</v>
      </c>
      <c r="U1877" s="152">
        <v>0.226359</v>
      </c>
      <c r="V1877" s="152">
        <v>0.102477</v>
      </c>
      <c r="W1877" s="152">
        <v>1000</v>
      </c>
      <c r="X1877" s="152" t="s">
        <v>23</v>
      </c>
      <c r="Y1877" s="152" t="s">
        <v>1328</v>
      </c>
      <c r="Z1877" s="152" t="s">
        <v>1327</v>
      </c>
    </row>
    <row r="1878" spans="1:26" x14ac:dyDescent="0.2">
      <c r="A1878" s="152" t="s">
        <v>2974</v>
      </c>
      <c r="B1878" s="152">
        <v>2</v>
      </c>
      <c r="C1878" s="151">
        <v>43482</v>
      </c>
      <c r="D1878" s="152">
        <v>0.23013700000000001</v>
      </c>
      <c r="E1878" s="152" t="s">
        <v>1325</v>
      </c>
      <c r="F1878" s="152" t="s">
        <v>1326</v>
      </c>
      <c r="G1878" s="152"/>
      <c r="H1878" s="152"/>
      <c r="I1878" s="152" t="s">
        <v>1327</v>
      </c>
      <c r="J1878" s="152" t="s">
        <v>1327</v>
      </c>
      <c r="K1878" s="152" t="s">
        <v>1327</v>
      </c>
      <c r="L1878" s="152" t="s">
        <v>1327</v>
      </c>
      <c r="M1878" s="152" t="s">
        <v>1327</v>
      </c>
      <c r="N1878" s="152" t="s">
        <v>1327</v>
      </c>
      <c r="O1878" s="152">
        <v>2.0023759999999999</v>
      </c>
      <c r="P1878" s="152">
        <v>50.250576000000002</v>
      </c>
      <c r="Q1878" s="152">
        <v>2.0023759999999999</v>
      </c>
      <c r="R1878" s="152" t="s">
        <v>1327</v>
      </c>
      <c r="S1878" s="152">
        <v>99.999279999999999</v>
      </c>
      <c r="T1878" s="152">
        <v>3.8356000000000001E-2</v>
      </c>
      <c r="U1878" s="152">
        <v>0.22908100000000001</v>
      </c>
      <c r="V1878" s="152">
        <v>0.10495699999999999</v>
      </c>
      <c r="W1878" s="152">
        <v>1000</v>
      </c>
      <c r="X1878" s="152" t="s">
        <v>23</v>
      </c>
      <c r="Y1878" s="152" t="s">
        <v>1328</v>
      </c>
      <c r="Z1878" s="152" t="s">
        <v>1327</v>
      </c>
    </row>
    <row r="1879" spans="1:26" x14ac:dyDescent="0.2">
      <c r="A1879" s="152" t="s">
        <v>2975</v>
      </c>
      <c r="B1879" s="152">
        <v>2.0499999999999998</v>
      </c>
      <c r="C1879" s="151">
        <v>43483</v>
      </c>
      <c r="D1879" s="152">
        <v>0.232877</v>
      </c>
      <c r="E1879" s="152" t="s">
        <v>1325</v>
      </c>
      <c r="F1879" s="152" t="s">
        <v>1326</v>
      </c>
      <c r="G1879" s="152"/>
      <c r="H1879" s="152"/>
      <c r="I1879" s="152" t="s">
        <v>1327</v>
      </c>
      <c r="J1879" s="152" t="s">
        <v>1327</v>
      </c>
      <c r="K1879" s="152" t="s">
        <v>1327</v>
      </c>
      <c r="L1879" s="152" t="s">
        <v>1327</v>
      </c>
      <c r="M1879" s="152" t="s">
        <v>1327</v>
      </c>
      <c r="N1879" s="152" t="s">
        <v>1327</v>
      </c>
      <c r="O1879" s="152">
        <v>1.9928079999999999</v>
      </c>
      <c r="P1879" s="152">
        <v>48.874612999999997</v>
      </c>
      <c r="Q1879" s="152">
        <v>1.9928079999999999</v>
      </c>
      <c r="R1879" s="152" t="s">
        <v>1327</v>
      </c>
      <c r="S1879" s="152">
        <v>100.01074</v>
      </c>
      <c r="T1879" s="152">
        <v>0.54479500000000003</v>
      </c>
      <c r="U1879" s="152">
        <v>0.23180100000000001</v>
      </c>
      <c r="V1879" s="152">
        <v>0.107463</v>
      </c>
      <c r="W1879" s="152">
        <v>1000</v>
      </c>
      <c r="X1879" s="152" t="s">
        <v>23</v>
      </c>
      <c r="Y1879" s="152" t="s">
        <v>1328</v>
      </c>
      <c r="Z1879" s="152" t="s">
        <v>1327</v>
      </c>
    </row>
    <row r="1880" spans="1:26" x14ac:dyDescent="0.2">
      <c r="A1880" s="152" t="s">
        <v>2976</v>
      </c>
      <c r="B1880" s="152">
        <v>2</v>
      </c>
      <c r="C1880" s="151">
        <v>43487</v>
      </c>
      <c r="D1880" s="152">
        <v>0.243836</v>
      </c>
      <c r="E1880" s="152" t="s">
        <v>1325</v>
      </c>
      <c r="F1880" s="152" t="s">
        <v>1326</v>
      </c>
      <c r="G1880" s="152"/>
      <c r="H1880" s="152"/>
      <c r="I1880" s="152" t="s">
        <v>1327</v>
      </c>
      <c r="J1880" s="152" t="s">
        <v>1327</v>
      </c>
      <c r="K1880" s="152" t="s">
        <v>1327</v>
      </c>
      <c r="L1880" s="152" t="s">
        <v>1327</v>
      </c>
      <c r="M1880" s="152" t="s">
        <v>1327</v>
      </c>
      <c r="N1880" s="152" t="s">
        <v>1327</v>
      </c>
      <c r="O1880" s="152">
        <v>1.993295</v>
      </c>
      <c r="P1880" s="152">
        <v>47.344659999999998</v>
      </c>
      <c r="Q1880" s="152">
        <v>1.993295</v>
      </c>
      <c r="R1880" s="152" t="s">
        <v>1327</v>
      </c>
      <c r="S1880" s="152">
        <v>100.001548</v>
      </c>
      <c r="T1880" s="152">
        <v>1.6438000000000001E-2</v>
      </c>
      <c r="U1880" s="152">
        <v>0.24265600000000001</v>
      </c>
      <c r="V1880" s="152">
        <v>0.11776399999999999</v>
      </c>
      <c r="W1880" s="152">
        <v>1000</v>
      </c>
      <c r="X1880" s="152" t="s">
        <v>23</v>
      </c>
      <c r="Y1880" s="152" t="s">
        <v>1328</v>
      </c>
      <c r="Z1880" s="152" t="s">
        <v>1327</v>
      </c>
    </row>
    <row r="1881" spans="1:26" x14ac:dyDescent="0.2">
      <c r="A1881" s="152" t="s">
        <v>2977</v>
      </c>
      <c r="B1881" s="152">
        <v>2.0499999999999998</v>
      </c>
      <c r="C1881" s="151">
        <v>43523</v>
      </c>
      <c r="D1881" s="152">
        <v>0.34246599999999999</v>
      </c>
      <c r="E1881" s="152" t="s">
        <v>1325</v>
      </c>
      <c r="F1881" s="152" t="s">
        <v>1326</v>
      </c>
      <c r="G1881" s="152"/>
      <c r="H1881" s="152"/>
      <c r="I1881" s="152" t="s">
        <v>1327</v>
      </c>
      <c r="J1881" s="152" t="s">
        <v>1327</v>
      </c>
      <c r="K1881" s="152" t="s">
        <v>1327</v>
      </c>
      <c r="L1881" s="152" t="s">
        <v>1327</v>
      </c>
      <c r="M1881" s="152" t="s">
        <v>1327</v>
      </c>
      <c r="N1881" s="152" t="s">
        <v>1327</v>
      </c>
      <c r="O1881" s="152">
        <v>2.0923129999999999</v>
      </c>
      <c r="P1881" s="152">
        <v>45.952150000000003</v>
      </c>
      <c r="Q1881" s="152">
        <v>2.0923129999999999</v>
      </c>
      <c r="R1881" s="152" t="s">
        <v>1327</v>
      </c>
      <c r="S1881" s="152">
        <v>99.983255</v>
      </c>
      <c r="T1881" s="152">
        <v>0.33137</v>
      </c>
      <c r="U1881" s="152">
        <v>0.34002900000000003</v>
      </c>
      <c r="V1881" s="152">
        <v>0.23124</v>
      </c>
      <c r="W1881" s="152">
        <v>1000</v>
      </c>
      <c r="X1881" s="152" t="s">
        <v>23</v>
      </c>
      <c r="Y1881" s="152" t="s">
        <v>1328</v>
      </c>
      <c r="Z1881" s="152" t="s">
        <v>1327</v>
      </c>
    </row>
    <row r="1882" spans="1:26" x14ac:dyDescent="0.2">
      <c r="A1882" s="152" t="s">
        <v>2978</v>
      </c>
      <c r="B1882" s="152">
        <v>2.0499999999999998</v>
      </c>
      <c r="C1882" s="151">
        <v>43537</v>
      </c>
      <c r="D1882" s="152">
        <v>0.38082199999999999</v>
      </c>
      <c r="E1882" s="152" t="s">
        <v>1325</v>
      </c>
      <c r="F1882" s="152" t="s">
        <v>1326</v>
      </c>
      <c r="G1882" s="152"/>
      <c r="H1882" s="152"/>
      <c r="I1882" s="152" t="s">
        <v>1327</v>
      </c>
      <c r="J1882" s="152" t="s">
        <v>1327</v>
      </c>
      <c r="K1882" s="152" t="s">
        <v>1327</v>
      </c>
      <c r="L1882" s="152" t="s">
        <v>1327</v>
      </c>
      <c r="M1882" s="152" t="s">
        <v>1327</v>
      </c>
      <c r="N1882" s="152" t="s">
        <v>1327</v>
      </c>
      <c r="O1882" s="152">
        <v>2.1266129999999999</v>
      </c>
      <c r="P1882" s="152">
        <v>46.163451000000002</v>
      </c>
      <c r="Q1882" s="152">
        <v>2.1266129999999999</v>
      </c>
      <c r="R1882" s="152" t="s">
        <v>1327</v>
      </c>
      <c r="S1882" s="152">
        <v>99.968576999999996</v>
      </c>
      <c r="T1882" s="152">
        <v>0.30890400000000001</v>
      </c>
      <c r="U1882" s="152">
        <v>0.37776300000000002</v>
      </c>
      <c r="V1882" s="152">
        <v>0.28540900000000002</v>
      </c>
      <c r="W1882" s="152">
        <v>1000</v>
      </c>
      <c r="X1882" s="152" t="s">
        <v>23</v>
      </c>
      <c r="Y1882" s="152" t="s">
        <v>1328</v>
      </c>
      <c r="Z1882" s="152" t="s">
        <v>1327</v>
      </c>
    </row>
    <row r="1883" spans="1:26" x14ac:dyDescent="0.2">
      <c r="A1883" s="152" t="s">
        <v>2979</v>
      </c>
      <c r="B1883" s="152">
        <v>2.0499999999999998</v>
      </c>
      <c r="C1883" s="151">
        <v>43544</v>
      </c>
      <c r="D1883" s="152">
        <v>0.4</v>
      </c>
      <c r="E1883" s="152" t="s">
        <v>1325</v>
      </c>
      <c r="F1883" s="152" t="s">
        <v>1326</v>
      </c>
      <c r="G1883" s="152"/>
      <c r="H1883" s="152"/>
      <c r="I1883" s="152" t="s">
        <v>1327</v>
      </c>
      <c r="J1883" s="152" t="s">
        <v>1327</v>
      </c>
      <c r="K1883" s="152" t="s">
        <v>1327</v>
      </c>
      <c r="L1883" s="152" t="s">
        <v>1327</v>
      </c>
      <c r="M1883" s="152" t="s">
        <v>1327</v>
      </c>
      <c r="N1883" s="152" t="s">
        <v>1327</v>
      </c>
      <c r="O1883" s="152">
        <v>2.1436060000000001</v>
      </c>
      <c r="P1883" s="152">
        <v>46.461016000000001</v>
      </c>
      <c r="Q1883" s="152">
        <v>2.1436060000000001</v>
      </c>
      <c r="R1883" s="152" t="s">
        <v>1327</v>
      </c>
      <c r="S1883" s="152">
        <v>99.960583999999997</v>
      </c>
      <c r="T1883" s="152">
        <v>0.26958900000000002</v>
      </c>
      <c r="U1883" s="152">
        <v>0.39659899999999998</v>
      </c>
      <c r="V1883" s="152">
        <v>0.31458199999999997</v>
      </c>
      <c r="W1883" s="152">
        <v>1000</v>
      </c>
      <c r="X1883" s="152" t="s">
        <v>23</v>
      </c>
      <c r="Y1883" s="152" t="s">
        <v>1328</v>
      </c>
      <c r="Z1883" s="152" t="s">
        <v>1327</v>
      </c>
    </row>
    <row r="1884" spans="1:26" x14ac:dyDescent="0.2">
      <c r="A1884" s="152" t="s">
        <v>2980</v>
      </c>
      <c r="B1884" s="152">
        <v>2.0499999999999998</v>
      </c>
      <c r="C1884" s="151">
        <v>43551</v>
      </c>
      <c r="D1884" s="152">
        <v>0.419178</v>
      </c>
      <c r="E1884" s="152" t="s">
        <v>1325</v>
      </c>
      <c r="F1884" s="152" t="s">
        <v>1326</v>
      </c>
      <c r="G1884" s="152"/>
      <c r="H1884" s="152"/>
      <c r="I1884" s="152" t="s">
        <v>1327</v>
      </c>
      <c r="J1884" s="152" t="s">
        <v>1327</v>
      </c>
      <c r="K1884" s="152" t="s">
        <v>1327</v>
      </c>
      <c r="L1884" s="152" t="s">
        <v>1327</v>
      </c>
      <c r="M1884" s="152" t="s">
        <v>1327</v>
      </c>
      <c r="N1884" s="152" t="s">
        <v>1327</v>
      </c>
      <c r="O1884" s="152">
        <v>2.160479</v>
      </c>
      <c r="P1884" s="152">
        <v>46.871814999999998</v>
      </c>
      <c r="Q1884" s="152">
        <v>2.160479</v>
      </c>
      <c r="R1884" s="152" t="s">
        <v>1327</v>
      </c>
      <c r="S1884" s="152">
        <v>99.952038000000002</v>
      </c>
      <c r="T1884" s="152">
        <v>0.23027400000000001</v>
      </c>
      <c r="U1884" s="152">
        <v>0.41541600000000001</v>
      </c>
      <c r="V1884" s="152">
        <v>0.34514099999999998</v>
      </c>
      <c r="W1884" s="152">
        <v>1000</v>
      </c>
      <c r="X1884" s="152" t="s">
        <v>23</v>
      </c>
      <c r="Y1884" s="152" t="s">
        <v>1328</v>
      </c>
      <c r="Z1884" s="152" t="s">
        <v>1327</v>
      </c>
    </row>
    <row r="1885" spans="1:26" x14ac:dyDescent="0.2">
      <c r="A1885" s="152" t="s">
        <v>2981</v>
      </c>
      <c r="B1885" s="152">
        <v>2.0499999999999998</v>
      </c>
      <c r="C1885" s="151">
        <v>43559</v>
      </c>
      <c r="D1885" s="152">
        <v>0.44109599999999999</v>
      </c>
      <c r="E1885" s="152" t="s">
        <v>1325</v>
      </c>
      <c r="F1885" s="152" t="s">
        <v>1326</v>
      </c>
      <c r="G1885" s="152"/>
      <c r="H1885" s="152"/>
      <c r="I1885" s="152" t="s">
        <v>1327</v>
      </c>
      <c r="J1885" s="152" t="s">
        <v>1327</v>
      </c>
      <c r="K1885" s="152" t="s">
        <v>1327</v>
      </c>
      <c r="L1885" s="152" t="s">
        <v>1327</v>
      </c>
      <c r="M1885" s="152" t="s">
        <v>1327</v>
      </c>
      <c r="N1885" s="152" t="s">
        <v>1327</v>
      </c>
      <c r="O1885" s="152">
        <v>2.1795990000000001</v>
      </c>
      <c r="P1885" s="152">
        <v>47.465805000000003</v>
      </c>
      <c r="Q1885" s="152">
        <v>2.1795990000000001</v>
      </c>
      <c r="R1885" s="152" t="s">
        <v>1327</v>
      </c>
      <c r="S1885" s="152">
        <v>99.941559999999996</v>
      </c>
      <c r="T1885" s="152">
        <v>0.19095899999999999</v>
      </c>
      <c r="U1885" s="152">
        <v>0.43689600000000001</v>
      </c>
      <c r="V1885" s="152">
        <v>0.38175500000000001</v>
      </c>
      <c r="W1885" s="152">
        <v>1000</v>
      </c>
      <c r="X1885" s="152" t="s">
        <v>23</v>
      </c>
      <c r="Y1885" s="152" t="s">
        <v>1328</v>
      </c>
      <c r="Z1885" s="152" t="s">
        <v>1327</v>
      </c>
    </row>
    <row r="1886" spans="1:26" x14ac:dyDescent="0.2">
      <c r="A1886" s="152" t="s">
        <v>2982</v>
      </c>
      <c r="B1886" s="152">
        <v>0</v>
      </c>
      <c r="C1886" s="151">
        <v>43412</v>
      </c>
      <c r="D1886" s="152">
        <v>3.8356000000000001E-2</v>
      </c>
      <c r="E1886" s="152" t="s">
        <v>1325</v>
      </c>
      <c r="F1886" s="152" t="s">
        <v>1326</v>
      </c>
      <c r="G1886" s="152"/>
      <c r="H1886" s="152"/>
      <c r="I1886" s="152">
        <v>43228</v>
      </c>
      <c r="J1886" s="152">
        <v>1.85</v>
      </c>
      <c r="K1886" s="152" t="s">
        <v>1327</v>
      </c>
      <c r="L1886" s="152" t="s">
        <v>1327</v>
      </c>
      <c r="M1886" s="152" t="s">
        <v>1327</v>
      </c>
      <c r="N1886" s="152" t="s">
        <v>1327</v>
      </c>
      <c r="O1886" s="152">
        <v>1.742804</v>
      </c>
      <c r="P1886" s="152">
        <v>57.546565999999999</v>
      </c>
      <c r="Q1886" s="152">
        <v>1.742804</v>
      </c>
      <c r="R1886" s="152" t="s">
        <v>1327</v>
      </c>
      <c r="S1886" s="152">
        <v>99.933197000000007</v>
      </c>
      <c r="T1886" s="152">
        <v>0</v>
      </c>
      <c r="U1886" s="152">
        <v>3.8330999999999997E-2</v>
      </c>
      <c r="V1886" s="152">
        <v>2.9380000000000001E-3</v>
      </c>
      <c r="W1886" s="152">
        <v>1000</v>
      </c>
      <c r="X1886" s="152" t="s">
        <v>23</v>
      </c>
      <c r="Y1886" s="152" t="s">
        <v>1328</v>
      </c>
      <c r="Z1886" s="152" t="s">
        <v>1327</v>
      </c>
    </row>
    <row r="1887" spans="1:26" x14ac:dyDescent="0.2">
      <c r="A1887" s="152" t="s">
        <v>2983</v>
      </c>
      <c r="B1887" s="152">
        <v>0</v>
      </c>
      <c r="C1887" s="151">
        <v>43403</v>
      </c>
      <c r="D1887" s="152">
        <v>1.3698999999999999E-2</v>
      </c>
      <c r="E1887" s="152" t="s">
        <v>1325</v>
      </c>
      <c r="F1887" s="152" t="s">
        <v>1326</v>
      </c>
      <c r="G1887" s="152"/>
      <c r="H1887" s="152"/>
      <c r="I1887" s="152">
        <v>43223</v>
      </c>
      <c r="J1887" s="152">
        <v>1.85</v>
      </c>
      <c r="K1887" s="152" t="s">
        <v>1327</v>
      </c>
      <c r="L1887" s="152" t="s">
        <v>1327</v>
      </c>
      <c r="M1887" s="152" t="s">
        <v>1327</v>
      </c>
      <c r="N1887" s="152" t="s">
        <v>1327</v>
      </c>
      <c r="O1887" s="152">
        <v>1.7440420000000001</v>
      </c>
      <c r="P1887" s="152">
        <v>62.144879000000003</v>
      </c>
      <c r="Q1887" s="152">
        <v>1.7440420000000001</v>
      </c>
      <c r="R1887" s="152" t="s">
        <v>1327</v>
      </c>
      <c r="S1887" s="152">
        <v>99.976114999999993</v>
      </c>
      <c r="T1887" s="152">
        <v>0</v>
      </c>
      <c r="U1887" s="152">
        <v>1.3695000000000001E-2</v>
      </c>
      <c r="V1887" s="152">
        <v>3.7500000000000001E-4</v>
      </c>
      <c r="W1887" s="152">
        <v>1000</v>
      </c>
      <c r="X1887" s="152" t="s">
        <v>23</v>
      </c>
      <c r="Y1887" s="152" t="s">
        <v>1328</v>
      </c>
      <c r="Z1887" s="152" t="s">
        <v>1327</v>
      </c>
    </row>
    <row r="1888" spans="1:26" x14ac:dyDescent="0.2">
      <c r="A1888" s="152" t="s">
        <v>2984</v>
      </c>
      <c r="B1888" s="152">
        <v>0</v>
      </c>
      <c r="C1888" s="151">
        <v>43406</v>
      </c>
      <c r="D1888" s="152">
        <v>2.1918E-2</v>
      </c>
      <c r="E1888" s="152" t="s">
        <v>1325</v>
      </c>
      <c r="F1888" s="152" t="s">
        <v>1326</v>
      </c>
      <c r="G1888" s="152"/>
      <c r="H1888" s="152"/>
      <c r="I1888" s="151" t="s">
        <v>1327</v>
      </c>
      <c r="J1888" s="152" t="s">
        <v>1327</v>
      </c>
      <c r="K1888" s="152" t="s">
        <v>1327</v>
      </c>
      <c r="L1888" s="152" t="s">
        <v>1327</v>
      </c>
      <c r="M1888" s="152" t="s">
        <v>1327</v>
      </c>
      <c r="N1888" s="152" t="s">
        <v>1327</v>
      </c>
      <c r="O1888" s="152">
        <v>7.5956489999999999</v>
      </c>
      <c r="P1888" s="152">
        <v>673.24029199999995</v>
      </c>
      <c r="Q1888" s="152">
        <v>7.5956489999999999</v>
      </c>
      <c r="R1888" s="152" t="s">
        <v>1327</v>
      </c>
      <c r="S1888" s="152">
        <v>99.833797000000004</v>
      </c>
      <c r="T1888" s="152">
        <v>0</v>
      </c>
      <c r="U1888" s="152">
        <v>2.1881000000000001E-2</v>
      </c>
      <c r="V1888" s="152">
        <v>9.5799999999999998E-4</v>
      </c>
      <c r="W1888" s="152">
        <v>1000</v>
      </c>
      <c r="X1888" s="152" t="s">
        <v>23</v>
      </c>
      <c r="Y1888" s="152" t="s">
        <v>1328</v>
      </c>
      <c r="Z1888" s="152" t="s">
        <v>1327</v>
      </c>
    </row>
    <row r="1889" spans="1:26" x14ac:dyDescent="0.2">
      <c r="A1889" s="152" t="s">
        <v>2985</v>
      </c>
      <c r="B1889" s="152">
        <v>0</v>
      </c>
      <c r="C1889" s="151">
        <v>43406</v>
      </c>
      <c r="D1889" s="152">
        <v>2.1918E-2</v>
      </c>
      <c r="E1889" s="152" t="s">
        <v>1325</v>
      </c>
      <c r="F1889" s="152" t="s">
        <v>1326</v>
      </c>
      <c r="G1889" s="152"/>
      <c r="H1889" s="152"/>
      <c r="I1889" s="152">
        <v>43223</v>
      </c>
      <c r="J1889" s="152">
        <v>1.55</v>
      </c>
      <c r="K1889" s="152" t="s">
        <v>1327</v>
      </c>
      <c r="L1889" s="152" t="s">
        <v>1327</v>
      </c>
      <c r="M1889" s="152" t="s">
        <v>1327</v>
      </c>
      <c r="N1889" s="152" t="s">
        <v>1327</v>
      </c>
      <c r="O1889" s="152">
        <v>1.428752</v>
      </c>
      <c r="P1889" s="152">
        <v>28.643398000000001</v>
      </c>
      <c r="Q1889" s="152">
        <v>1.428752</v>
      </c>
      <c r="R1889" s="152" t="s">
        <v>1327</v>
      </c>
      <c r="S1889" s="152">
        <v>99.968694999999997</v>
      </c>
      <c r="T1889" s="152">
        <v>0</v>
      </c>
      <c r="U1889" s="152">
        <v>2.1911E-2</v>
      </c>
      <c r="V1889" s="152">
        <v>9.6000000000000002E-4</v>
      </c>
      <c r="W1889" s="152">
        <v>1000</v>
      </c>
      <c r="X1889" s="152" t="s">
        <v>23</v>
      </c>
      <c r="Y1889" s="152" t="s">
        <v>1328</v>
      </c>
      <c r="Z1889" s="152" t="s">
        <v>1327</v>
      </c>
    </row>
    <row r="1890" spans="1:26" x14ac:dyDescent="0.2">
      <c r="A1890" s="152" t="s">
        <v>2986</v>
      </c>
      <c r="B1890" s="152">
        <v>0</v>
      </c>
      <c r="C1890" s="151">
        <v>43496</v>
      </c>
      <c r="D1890" s="152">
        <v>0.26849299999999998</v>
      </c>
      <c r="E1890" s="152" t="s">
        <v>1325</v>
      </c>
      <c r="F1890" s="152" t="s">
        <v>1326</v>
      </c>
      <c r="G1890" s="152"/>
      <c r="H1890" s="152"/>
      <c r="I1890" s="152">
        <v>43312</v>
      </c>
      <c r="J1890" s="152">
        <v>1.6950000000000001</v>
      </c>
      <c r="K1890" s="152" t="s">
        <v>1327</v>
      </c>
      <c r="L1890" s="152" t="s">
        <v>1327</v>
      </c>
      <c r="M1890" s="152" t="s">
        <v>1327</v>
      </c>
      <c r="N1890" s="152" t="s">
        <v>1327</v>
      </c>
      <c r="O1890" s="152">
        <v>1.762022</v>
      </c>
      <c r="P1890" s="152">
        <v>20.581420999999999</v>
      </c>
      <c r="Q1890" s="152">
        <v>1.762022</v>
      </c>
      <c r="R1890" s="152" t="s">
        <v>1327</v>
      </c>
      <c r="S1890" s="152">
        <v>99.529137000000006</v>
      </c>
      <c r="T1890" s="152">
        <v>0</v>
      </c>
      <c r="U1890" s="152">
        <v>0.26722899999999999</v>
      </c>
      <c r="V1890" s="152">
        <v>0.14282300000000001</v>
      </c>
      <c r="W1890" s="152">
        <v>1000</v>
      </c>
      <c r="X1890" s="152" t="s">
        <v>23</v>
      </c>
      <c r="Y1890" s="152" t="s">
        <v>1328</v>
      </c>
      <c r="Z1890" s="152" t="s">
        <v>1327</v>
      </c>
    </row>
    <row r="1891" spans="1:26" x14ac:dyDescent="0.2">
      <c r="A1891" s="152" t="s">
        <v>2987</v>
      </c>
      <c r="B1891" s="152">
        <v>0</v>
      </c>
      <c r="C1891" s="151">
        <v>43496</v>
      </c>
      <c r="D1891" s="152">
        <v>0.26849299999999998</v>
      </c>
      <c r="E1891" s="152" t="s">
        <v>1325</v>
      </c>
      <c r="F1891" s="152" t="s">
        <v>1326</v>
      </c>
      <c r="G1891" s="152"/>
      <c r="H1891" s="152"/>
      <c r="I1891" s="152">
        <v>43312</v>
      </c>
      <c r="J1891" s="152">
        <v>1.7</v>
      </c>
      <c r="K1891" s="152" t="s">
        <v>1327</v>
      </c>
      <c r="L1891" s="152" t="s">
        <v>1327</v>
      </c>
      <c r="M1891" s="152" t="s">
        <v>1327</v>
      </c>
      <c r="N1891" s="152" t="s">
        <v>1327</v>
      </c>
      <c r="O1891" s="152">
        <v>1.762022</v>
      </c>
      <c r="P1891" s="152">
        <v>20.581420999999999</v>
      </c>
      <c r="Q1891" s="152">
        <v>1.762022</v>
      </c>
      <c r="R1891" s="152" t="s">
        <v>1327</v>
      </c>
      <c r="S1891" s="152">
        <v>99.529137000000006</v>
      </c>
      <c r="T1891" s="152">
        <v>0</v>
      </c>
      <c r="U1891" s="152">
        <v>0.26722899999999999</v>
      </c>
      <c r="V1891" s="152">
        <v>0.14282300000000001</v>
      </c>
      <c r="W1891" s="152">
        <v>1000</v>
      </c>
      <c r="X1891" s="152" t="s">
        <v>23</v>
      </c>
      <c r="Y1891" s="152" t="s">
        <v>1328</v>
      </c>
      <c r="Z1891" s="152" t="s">
        <v>1327</v>
      </c>
    </row>
    <row r="1892" spans="1:26" x14ac:dyDescent="0.2">
      <c r="A1892" s="152" t="s">
        <v>181</v>
      </c>
      <c r="B1892" s="152">
        <v>0</v>
      </c>
      <c r="C1892" s="151">
        <v>43502</v>
      </c>
      <c r="D1892" s="152">
        <v>0.28493200000000002</v>
      </c>
      <c r="E1892" s="152" t="s">
        <v>1325</v>
      </c>
      <c r="F1892" s="152" t="s">
        <v>1326</v>
      </c>
      <c r="G1892" s="152"/>
      <c r="H1892" s="152"/>
      <c r="I1892" s="152" t="s">
        <v>1327</v>
      </c>
      <c r="J1892" s="152" t="s">
        <v>1327</v>
      </c>
      <c r="K1892" s="152" t="s">
        <v>1327</v>
      </c>
      <c r="L1892" s="152" t="s">
        <v>1327</v>
      </c>
      <c r="M1892" s="152" t="s">
        <v>1327</v>
      </c>
      <c r="N1892" s="152" t="s">
        <v>1327</v>
      </c>
      <c r="O1892" s="152">
        <v>1.8121590000000001</v>
      </c>
      <c r="P1892" s="152">
        <v>23.634838999999999</v>
      </c>
      <c r="Q1892" s="152">
        <v>1.8121590000000001</v>
      </c>
      <c r="R1892" s="152" t="s">
        <v>1327</v>
      </c>
      <c r="S1892" s="152">
        <v>99.486311000000001</v>
      </c>
      <c r="T1892" s="152">
        <v>0</v>
      </c>
      <c r="U1892" s="152">
        <v>0.283468</v>
      </c>
      <c r="V1892" s="152">
        <v>0.16070799999999999</v>
      </c>
      <c r="W1892" s="152">
        <v>1000</v>
      </c>
      <c r="X1892" s="152" t="s">
        <v>23</v>
      </c>
      <c r="Y1892" s="152" t="s">
        <v>1328</v>
      </c>
      <c r="Z1892" s="152" t="s">
        <v>1327</v>
      </c>
    </row>
    <row r="1893" spans="1:26" x14ac:dyDescent="0.2">
      <c r="A1893" s="152" t="s">
        <v>2988</v>
      </c>
      <c r="B1893" s="152">
        <v>0</v>
      </c>
      <c r="C1893" s="151">
        <v>43510</v>
      </c>
      <c r="D1893" s="152">
        <v>0.30684899999999998</v>
      </c>
      <c r="E1893" s="152" t="s">
        <v>1325</v>
      </c>
      <c r="F1893" s="152" t="s">
        <v>1326</v>
      </c>
      <c r="G1893" s="152"/>
      <c r="H1893" s="152"/>
      <c r="I1893" s="152">
        <v>43328</v>
      </c>
      <c r="J1893" s="152">
        <v>1.6950000000000001</v>
      </c>
      <c r="K1893" s="152" t="s">
        <v>1327</v>
      </c>
      <c r="L1893" s="152" t="s">
        <v>1327</v>
      </c>
      <c r="M1893" s="152" t="s">
        <v>1327</v>
      </c>
      <c r="N1893" s="152" t="s">
        <v>1327</v>
      </c>
      <c r="O1893" s="152">
        <v>1.8367530000000001</v>
      </c>
      <c r="P1893" s="152">
        <v>23.634838999999999</v>
      </c>
      <c r="Q1893" s="152">
        <v>1.8367530000000001</v>
      </c>
      <c r="R1893" s="152" t="s">
        <v>1327</v>
      </c>
      <c r="S1893" s="152">
        <v>99.439552000000006</v>
      </c>
      <c r="T1893" s="152">
        <v>0</v>
      </c>
      <c r="U1893" s="152">
        <v>0.30513000000000001</v>
      </c>
      <c r="V1893" s="152">
        <v>0.18620800000000001</v>
      </c>
      <c r="W1893" s="152">
        <v>1000</v>
      </c>
      <c r="X1893" s="152" t="s">
        <v>23</v>
      </c>
      <c r="Y1893" s="152" t="s">
        <v>1328</v>
      </c>
      <c r="Z1893" s="152" t="s">
        <v>1327</v>
      </c>
    </row>
    <row r="1894" spans="1:26" x14ac:dyDescent="0.2">
      <c r="A1894" s="152" t="s">
        <v>2989</v>
      </c>
      <c r="B1894" s="152">
        <v>0</v>
      </c>
      <c r="C1894" s="151">
        <v>43518</v>
      </c>
      <c r="D1894" s="152">
        <v>0.32876699999999998</v>
      </c>
      <c r="E1894" s="152" t="s">
        <v>1325</v>
      </c>
      <c r="F1894" s="152" t="s">
        <v>1326</v>
      </c>
      <c r="G1894" s="152"/>
      <c r="H1894" s="152"/>
      <c r="I1894" s="151" t="s">
        <v>1327</v>
      </c>
      <c r="J1894" s="152" t="s">
        <v>1327</v>
      </c>
      <c r="K1894" s="152" t="s">
        <v>1327</v>
      </c>
      <c r="L1894" s="152" t="s">
        <v>1327</v>
      </c>
      <c r="M1894" s="152" t="s">
        <v>1327</v>
      </c>
      <c r="N1894" s="152" t="s">
        <v>1327</v>
      </c>
      <c r="O1894" s="152">
        <v>1.861105</v>
      </c>
      <c r="P1894" s="152">
        <v>23.836347</v>
      </c>
      <c r="Q1894" s="152">
        <v>1.861105</v>
      </c>
      <c r="R1894" s="152" t="s">
        <v>1327</v>
      </c>
      <c r="S1894" s="152">
        <v>99.391851000000003</v>
      </c>
      <c r="T1894" s="152">
        <v>0</v>
      </c>
      <c r="U1894" s="152">
        <v>0.326768</v>
      </c>
      <c r="V1894" s="152">
        <v>0.21355399999999999</v>
      </c>
      <c r="W1894" s="152">
        <v>1000</v>
      </c>
      <c r="X1894" s="152" t="s">
        <v>23</v>
      </c>
      <c r="Y1894" s="152" t="s">
        <v>1328</v>
      </c>
      <c r="Z1894" s="152" t="s">
        <v>1327</v>
      </c>
    </row>
    <row r="1895" spans="1:26" x14ac:dyDescent="0.2">
      <c r="A1895" s="152" t="s">
        <v>2990</v>
      </c>
      <c r="B1895" s="152">
        <v>0</v>
      </c>
      <c r="C1895" s="151">
        <v>43467</v>
      </c>
      <c r="D1895" s="152">
        <v>0.18904099999999999</v>
      </c>
      <c r="E1895" s="152" t="s">
        <v>1325</v>
      </c>
      <c r="F1895" s="152" t="s">
        <v>1326</v>
      </c>
      <c r="G1895" s="152"/>
      <c r="H1895" s="152"/>
      <c r="I1895" s="151" t="s">
        <v>1327</v>
      </c>
      <c r="J1895" s="152" t="s">
        <v>1327</v>
      </c>
      <c r="K1895" s="152" t="s">
        <v>1327</v>
      </c>
      <c r="L1895" s="152" t="s">
        <v>1327</v>
      </c>
      <c r="M1895" s="152" t="s">
        <v>1327</v>
      </c>
      <c r="N1895" s="152" t="s">
        <v>1327</v>
      </c>
      <c r="O1895" s="152">
        <v>1.678364</v>
      </c>
      <c r="P1895" s="152">
        <v>23.836347</v>
      </c>
      <c r="Q1895" s="152">
        <v>1.678364</v>
      </c>
      <c r="R1895" s="152" t="s">
        <v>1327</v>
      </c>
      <c r="S1895" s="152">
        <v>99.683723999999998</v>
      </c>
      <c r="T1895" s="152">
        <v>0</v>
      </c>
      <c r="U1895" s="152">
        <v>0.188443</v>
      </c>
      <c r="V1895" s="152">
        <v>7.1022000000000002E-2</v>
      </c>
      <c r="W1895" s="152">
        <v>1000</v>
      </c>
      <c r="X1895" s="152" t="s">
        <v>23</v>
      </c>
      <c r="Y1895" s="152" t="s">
        <v>1921</v>
      </c>
      <c r="Z1895" s="152" t="s">
        <v>1327</v>
      </c>
    </row>
    <row r="1896" spans="1:26" x14ac:dyDescent="0.2">
      <c r="A1896" s="152" t="s">
        <v>2991</v>
      </c>
      <c r="B1896" s="152">
        <v>0</v>
      </c>
      <c r="C1896" s="151">
        <v>43437</v>
      </c>
      <c r="D1896" s="152">
        <v>0.106849</v>
      </c>
      <c r="E1896" s="152" t="s">
        <v>1325</v>
      </c>
      <c r="F1896" s="152" t="s">
        <v>1326</v>
      </c>
      <c r="G1896" s="152"/>
      <c r="H1896" s="152"/>
      <c r="I1896" s="151">
        <v>43346</v>
      </c>
      <c r="J1896" s="152">
        <v>2.1</v>
      </c>
      <c r="K1896" s="152" t="s">
        <v>1327</v>
      </c>
      <c r="L1896" s="152" t="s">
        <v>1327</v>
      </c>
      <c r="M1896" s="152" t="s">
        <v>1327</v>
      </c>
      <c r="N1896" s="152" t="s">
        <v>1327</v>
      </c>
      <c r="O1896" s="152">
        <v>1.9192640000000001</v>
      </c>
      <c r="P1896" s="152">
        <v>62.816780999999999</v>
      </c>
      <c r="Q1896" s="152">
        <v>1.9192640000000001</v>
      </c>
      <c r="R1896" s="152" t="s">
        <v>1327</v>
      </c>
      <c r="S1896" s="152">
        <v>99.795348000000004</v>
      </c>
      <c r="T1896" s="152">
        <v>0</v>
      </c>
      <c r="U1896" s="152">
        <v>0.106631</v>
      </c>
      <c r="V1896" s="152">
        <v>2.274E-2</v>
      </c>
      <c r="W1896" s="152">
        <v>1000</v>
      </c>
      <c r="X1896" s="152" t="s">
        <v>23</v>
      </c>
      <c r="Y1896" s="152" t="s">
        <v>1328</v>
      </c>
      <c r="Z1896" s="152" t="s">
        <v>1327</v>
      </c>
    </row>
    <row r="1897" spans="1:26" x14ac:dyDescent="0.2">
      <c r="A1897" s="152" t="s">
        <v>2992</v>
      </c>
      <c r="B1897" s="152">
        <v>0</v>
      </c>
      <c r="C1897" s="151">
        <v>43437</v>
      </c>
      <c r="D1897" s="152">
        <v>0.106849</v>
      </c>
      <c r="E1897" s="152" t="s">
        <v>1325</v>
      </c>
      <c r="F1897" s="152" t="s">
        <v>1326</v>
      </c>
      <c r="G1897" s="152"/>
      <c r="H1897" s="152"/>
      <c r="I1897" s="151">
        <v>43346</v>
      </c>
      <c r="J1897" s="152">
        <v>2.1</v>
      </c>
      <c r="K1897" s="152" t="s">
        <v>1327</v>
      </c>
      <c r="L1897" s="152" t="s">
        <v>1327</v>
      </c>
      <c r="M1897" s="152" t="s">
        <v>1327</v>
      </c>
      <c r="N1897" s="152" t="s">
        <v>1327</v>
      </c>
      <c r="O1897" s="152">
        <v>1.9192640000000001</v>
      </c>
      <c r="P1897" s="152">
        <v>62.816780999999999</v>
      </c>
      <c r="Q1897" s="152">
        <v>1.9192640000000001</v>
      </c>
      <c r="R1897" s="152" t="s">
        <v>1327</v>
      </c>
      <c r="S1897" s="152">
        <v>99.795348000000004</v>
      </c>
      <c r="T1897" s="152">
        <v>0</v>
      </c>
      <c r="U1897" s="152">
        <v>0.106631</v>
      </c>
      <c r="V1897" s="152">
        <v>2.274E-2</v>
      </c>
      <c r="W1897" s="152">
        <v>1000</v>
      </c>
      <c r="X1897" s="152" t="s">
        <v>23</v>
      </c>
      <c r="Y1897" s="152" t="s">
        <v>1328</v>
      </c>
      <c r="Z1897" s="152" t="s">
        <v>1327</v>
      </c>
    </row>
    <row r="1898" spans="1:26" x14ac:dyDescent="0.2">
      <c r="A1898" s="152" t="s">
        <v>2993</v>
      </c>
      <c r="B1898" s="152">
        <v>0</v>
      </c>
      <c r="C1898" s="151">
        <v>43447</v>
      </c>
      <c r="D1898" s="152">
        <v>0.13424700000000001</v>
      </c>
      <c r="E1898" s="152" t="s">
        <v>1325</v>
      </c>
      <c r="F1898" s="152" t="s">
        <v>1326</v>
      </c>
      <c r="G1898" s="152"/>
      <c r="H1898" s="152"/>
      <c r="I1898" s="152">
        <v>43349</v>
      </c>
      <c r="J1898" s="152">
        <v>2.1</v>
      </c>
      <c r="K1898" s="152" t="s">
        <v>1327</v>
      </c>
      <c r="L1898" s="152" t="s">
        <v>1327</v>
      </c>
      <c r="M1898" s="152" t="s">
        <v>1327</v>
      </c>
      <c r="N1898" s="152" t="s">
        <v>1327</v>
      </c>
      <c r="O1898" s="152">
        <v>1.9658869999999999</v>
      </c>
      <c r="P1898" s="152">
        <v>62.551653999999999</v>
      </c>
      <c r="Q1898" s="152">
        <v>1.9658869999999999</v>
      </c>
      <c r="R1898" s="152" t="s">
        <v>1327</v>
      </c>
      <c r="S1898" s="152">
        <v>99.736780999999993</v>
      </c>
      <c r="T1898" s="152">
        <v>0</v>
      </c>
      <c r="U1898" s="152">
        <v>0.13389300000000001</v>
      </c>
      <c r="V1898" s="152">
        <v>3.5854999999999998E-2</v>
      </c>
      <c r="W1898" s="152">
        <v>1000</v>
      </c>
      <c r="X1898" s="152" t="s">
        <v>23</v>
      </c>
      <c r="Y1898" s="152" t="s">
        <v>1328</v>
      </c>
      <c r="Z1898" s="152" t="s">
        <v>1327</v>
      </c>
    </row>
    <row r="1899" spans="1:26" x14ac:dyDescent="0.2">
      <c r="A1899" s="152" t="s">
        <v>2994</v>
      </c>
      <c r="B1899" s="152">
        <v>0</v>
      </c>
      <c r="C1899" s="151">
        <v>43447</v>
      </c>
      <c r="D1899" s="152">
        <v>0.13424700000000001</v>
      </c>
      <c r="E1899" s="152" t="s">
        <v>1325</v>
      </c>
      <c r="F1899" s="152" t="s">
        <v>1326</v>
      </c>
      <c r="G1899" s="152"/>
      <c r="H1899" s="152"/>
      <c r="I1899" s="152">
        <v>43356</v>
      </c>
      <c r="J1899" s="152">
        <v>2.1</v>
      </c>
      <c r="K1899" s="152" t="s">
        <v>1327</v>
      </c>
      <c r="L1899" s="152" t="s">
        <v>1327</v>
      </c>
      <c r="M1899" s="152" t="s">
        <v>1327</v>
      </c>
      <c r="N1899" s="152" t="s">
        <v>1327</v>
      </c>
      <c r="O1899" s="152">
        <v>1.9658869999999999</v>
      </c>
      <c r="P1899" s="152">
        <v>62.551653999999999</v>
      </c>
      <c r="Q1899" s="152">
        <v>1.9658869999999999</v>
      </c>
      <c r="R1899" s="152" t="s">
        <v>1327</v>
      </c>
      <c r="S1899" s="152">
        <v>99.736780999999993</v>
      </c>
      <c r="T1899" s="152">
        <v>0</v>
      </c>
      <c r="U1899" s="152">
        <v>0.13389300000000001</v>
      </c>
      <c r="V1899" s="152">
        <v>3.5854999999999998E-2</v>
      </c>
      <c r="W1899" s="152">
        <v>1000</v>
      </c>
      <c r="X1899" s="152" t="s">
        <v>23</v>
      </c>
      <c r="Y1899" s="152" t="s">
        <v>1328</v>
      </c>
      <c r="Z1899" s="152" t="s">
        <v>1327</v>
      </c>
    </row>
    <row r="1900" spans="1:26" x14ac:dyDescent="0.2">
      <c r="A1900" s="152" t="s">
        <v>2995</v>
      </c>
      <c r="B1900" s="152">
        <v>0</v>
      </c>
      <c r="C1900" s="151">
        <v>43448</v>
      </c>
      <c r="D1900" s="152">
        <v>0.136986</v>
      </c>
      <c r="E1900" s="152" t="s">
        <v>1325</v>
      </c>
      <c r="F1900" s="152" t="s">
        <v>1326</v>
      </c>
      <c r="G1900" s="152"/>
      <c r="H1900" s="152"/>
      <c r="I1900" s="151">
        <v>43357</v>
      </c>
      <c r="J1900" s="152">
        <v>2.1</v>
      </c>
      <c r="K1900" s="152" t="s">
        <v>1327</v>
      </c>
      <c r="L1900" s="152" t="s">
        <v>1327</v>
      </c>
      <c r="M1900" s="152" t="s">
        <v>1327</v>
      </c>
      <c r="N1900" s="152" t="s">
        <v>1327</v>
      </c>
      <c r="O1900" s="152">
        <v>1.9705809999999999</v>
      </c>
      <c r="P1900" s="152">
        <v>62.534826000000002</v>
      </c>
      <c r="Q1900" s="152">
        <v>1.9705809999999999</v>
      </c>
      <c r="R1900" s="152" t="s">
        <v>1327</v>
      </c>
      <c r="S1900" s="152">
        <v>99.730784</v>
      </c>
      <c r="T1900" s="152">
        <v>0</v>
      </c>
      <c r="U1900" s="152">
        <v>0.13661799999999999</v>
      </c>
      <c r="V1900" s="152">
        <v>3.7329000000000001E-2</v>
      </c>
      <c r="W1900" s="152">
        <v>1000</v>
      </c>
      <c r="X1900" s="152" t="s">
        <v>23</v>
      </c>
      <c r="Y1900" s="152" t="s">
        <v>1328</v>
      </c>
      <c r="Z1900" s="152" t="s">
        <v>1327</v>
      </c>
    </row>
    <row r="1901" spans="1:26" x14ac:dyDescent="0.2">
      <c r="A1901" s="152" t="s">
        <v>2996</v>
      </c>
      <c r="B1901" s="152">
        <v>0</v>
      </c>
      <c r="C1901" s="151">
        <v>43453</v>
      </c>
      <c r="D1901" s="152">
        <v>0.15068500000000001</v>
      </c>
      <c r="E1901" s="152" t="s">
        <v>1325</v>
      </c>
      <c r="F1901" s="152" t="s">
        <v>1326</v>
      </c>
      <c r="G1901" s="152"/>
      <c r="H1901" s="152"/>
      <c r="I1901" s="151">
        <v>43363</v>
      </c>
      <c r="J1901" s="152">
        <v>2.1</v>
      </c>
      <c r="K1901" s="152" t="s">
        <v>1327</v>
      </c>
      <c r="L1901" s="152" t="s">
        <v>1327</v>
      </c>
      <c r="M1901" s="152" t="s">
        <v>1327</v>
      </c>
      <c r="N1901" s="152" t="s">
        <v>1327</v>
      </c>
      <c r="O1901" s="152">
        <v>1.9941489999999999</v>
      </c>
      <c r="P1901" s="152">
        <v>62.482754</v>
      </c>
      <c r="Q1901" s="152">
        <v>1.9941489999999999</v>
      </c>
      <c r="R1901" s="152" t="s">
        <v>1327</v>
      </c>
      <c r="S1901" s="152">
        <v>99.700412</v>
      </c>
      <c r="T1901" s="152">
        <v>0</v>
      </c>
      <c r="U1901" s="152">
        <v>0.15023300000000001</v>
      </c>
      <c r="V1901" s="152">
        <v>4.514E-2</v>
      </c>
      <c r="W1901" s="152">
        <v>1000</v>
      </c>
      <c r="X1901" s="152" t="s">
        <v>23</v>
      </c>
      <c r="Y1901" s="152" t="s">
        <v>1328</v>
      </c>
      <c r="Z1901" s="152" t="s">
        <v>1327</v>
      </c>
    </row>
    <row r="1902" spans="1:26" x14ac:dyDescent="0.2">
      <c r="A1902" s="152" t="s">
        <v>2997</v>
      </c>
      <c r="B1902" s="152">
        <v>0</v>
      </c>
      <c r="C1902" s="151">
        <v>43454</v>
      </c>
      <c r="D1902" s="152">
        <v>0.15342500000000001</v>
      </c>
      <c r="E1902" s="152" t="s">
        <v>1325</v>
      </c>
      <c r="F1902" s="152" t="s">
        <v>1326</v>
      </c>
      <c r="G1902" s="152"/>
      <c r="H1902" s="152"/>
      <c r="I1902" s="151">
        <v>43363</v>
      </c>
      <c r="J1902" s="152">
        <v>2.1</v>
      </c>
      <c r="K1902" s="152" t="s">
        <v>1327</v>
      </c>
      <c r="L1902" s="152" t="s">
        <v>1327</v>
      </c>
      <c r="M1902" s="152" t="s">
        <v>1327</v>
      </c>
      <c r="N1902" s="152" t="s">
        <v>1327</v>
      </c>
      <c r="O1902" s="152">
        <v>1.9988809999999999</v>
      </c>
      <c r="P1902" s="152">
        <v>62.479194999999997</v>
      </c>
      <c r="Q1902" s="152">
        <v>1.9988809999999999</v>
      </c>
      <c r="R1902" s="152" t="s">
        <v>1327</v>
      </c>
      <c r="S1902" s="152">
        <v>99.69426</v>
      </c>
      <c r="T1902" s="152">
        <v>0</v>
      </c>
      <c r="U1902" s="152">
        <v>0.15295600000000001</v>
      </c>
      <c r="V1902" s="152">
        <v>4.6790999999999999E-2</v>
      </c>
      <c r="W1902" s="152">
        <v>1000</v>
      </c>
      <c r="X1902" s="152" t="s">
        <v>23</v>
      </c>
      <c r="Y1902" s="152" t="s">
        <v>1328</v>
      </c>
      <c r="Z1902" s="152" t="s">
        <v>1327</v>
      </c>
    </row>
    <row r="1903" spans="1:26" x14ac:dyDescent="0.2">
      <c r="A1903" s="152" t="s">
        <v>2998</v>
      </c>
      <c r="B1903" s="152">
        <v>0</v>
      </c>
      <c r="C1903" s="151">
        <v>43405</v>
      </c>
      <c r="D1903" s="152">
        <v>1.9178000000000001E-2</v>
      </c>
      <c r="E1903" s="152" t="s">
        <v>1325</v>
      </c>
      <c r="F1903" s="152" t="s">
        <v>1326</v>
      </c>
      <c r="G1903" s="152"/>
      <c r="H1903" s="152"/>
      <c r="I1903" s="151">
        <v>43314</v>
      </c>
      <c r="J1903" s="152">
        <v>2.1</v>
      </c>
      <c r="K1903" s="152" t="s">
        <v>1327</v>
      </c>
      <c r="L1903" s="152" t="s">
        <v>1327</v>
      </c>
      <c r="M1903" s="152" t="s">
        <v>1327</v>
      </c>
      <c r="N1903" s="152" t="s">
        <v>1327</v>
      </c>
      <c r="O1903" s="152">
        <v>1.7224079999999999</v>
      </c>
      <c r="P1903" s="152">
        <v>58.959437000000001</v>
      </c>
      <c r="Q1903" s="152">
        <v>1.7224079999999999</v>
      </c>
      <c r="R1903" s="152" t="s">
        <v>1327</v>
      </c>
      <c r="S1903" s="152">
        <v>99.966977999999997</v>
      </c>
      <c r="T1903" s="152">
        <v>0</v>
      </c>
      <c r="U1903" s="152">
        <v>1.9172000000000002E-2</v>
      </c>
      <c r="V1903" s="152">
        <v>7.3499999999999998E-4</v>
      </c>
      <c r="W1903" s="152">
        <v>1000</v>
      </c>
      <c r="X1903" s="152" t="s">
        <v>23</v>
      </c>
      <c r="Y1903" s="152" t="s">
        <v>1328</v>
      </c>
      <c r="Z1903" s="152" t="s">
        <v>1327</v>
      </c>
    </row>
    <row r="1904" spans="1:26" x14ac:dyDescent="0.2">
      <c r="A1904" s="152" t="s">
        <v>2999</v>
      </c>
      <c r="B1904" s="152">
        <v>0</v>
      </c>
      <c r="C1904" s="151">
        <v>43412</v>
      </c>
      <c r="D1904" s="152">
        <v>3.8356000000000001E-2</v>
      </c>
      <c r="E1904" s="152" t="s">
        <v>1325</v>
      </c>
      <c r="F1904" s="152" t="s">
        <v>1326</v>
      </c>
      <c r="G1904" s="152"/>
      <c r="H1904" s="152"/>
      <c r="I1904" s="151">
        <v>43321</v>
      </c>
      <c r="J1904" s="152">
        <v>2.1</v>
      </c>
      <c r="K1904" s="152" t="s">
        <v>1327</v>
      </c>
      <c r="L1904" s="152" t="s">
        <v>1327</v>
      </c>
      <c r="M1904" s="152" t="s">
        <v>1327</v>
      </c>
      <c r="N1904" s="152" t="s">
        <v>1327</v>
      </c>
      <c r="O1904" s="152">
        <v>1.75736</v>
      </c>
      <c r="P1904" s="152">
        <v>59.026820999999998</v>
      </c>
      <c r="Q1904" s="152">
        <v>1.75736</v>
      </c>
      <c r="R1904" s="152" t="s">
        <v>1327</v>
      </c>
      <c r="S1904" s="152">
        <v>99.932640000000006</v>
      </c>
      <c r="T1904" s="152">
        <v>0</v>
      </c>
      <c r="U1904" s="152">
        <v>3.8330000000000003E-2</v>
      </c>
      <c r="V1904" s="152">
        <v>2.9380000000000001E-3</v>
      </c>
      <c r="W1904" s="152">
        <v>1000</v>
      </c>
      <c r="X1904" s="152" t="s">
        <v>23</v>
      </c>
      <c r="Y1904" s="152" t="s">
        <v>1328</v>
      </c>
      <c r="Z1904" s="152" t="s">
        <v>1327</v>
      </c>
    </row>
    <row r="1905" spans="1:26" x14ac:dyDescent="0.2">
      <c r="A1905" s="152" t="s">
        <v>3000</v>
      </c>
      <c r="B1905" s="152">
        <v>0</v>
      </c>
      <c r="C1905" s="151">
        <v>43412</v>
      </c>
      <c r="D1905" s="152">
        <v>3.8356000000000001E-2</v>
      </c>
      <c r="E1905" s="152" t="s">
        <v>1325</v>
      </c>
      <c r="F1905" s="152" t="s">
        <v>1326</v>
      </c>
      <c r="G1905" s="152"/>
      <c r="H1905" s="152"/>
      <c r="I1905" s="152">
        <v>43321</v>
      </c>
      <c r="J1905" s="152">
        <v>2.1</v>
      </c>
      <c r="K1905" s="152" t="s">
        <v>1327</v>
      </c>
      <c r="L1905" s="152" t="s">
        <v>1327</v>
      </c>
      <c r="M1905" s="152" t="s">
        <v>1327</v>
      </c>
      <c r="N1905" s="152" t="s">
        <v>1327</v>
      </c>
      <c r="O1905" s="152">
        <v>1.75736</v>
      </c>
      <c r="P1905" s="152">
        <v>59.026820999999998</v>
      </c>
      <c r="Q1905" s="152">
        <v>1.75736</v>
      </c>
      <c r="R1905" s="152" t="s">
        <v>1327</v>
      </c>
      <c r="S1905" s="152">
        <v>99.932640000000006</v>
      </c>
      <c r="T1905" s="152">
        <v>0</v>
      </c>
      <c r="U1905" s="152">
        <v>3.8330000000000003E-2</v>
      </c>
      <c r="V1905" s="152">
        <v>2.9380000000000001E-3</v>
      </c>
      <c r="W1905" s="152">
        <v>1000</v>
      </c>
      <c r="X1905" s="152" t="s">
        <v>23</v>
      </c>
      <c r="Y1905" s="152" t="s">
        <v>1328</v>
      </c>
      <c r="Z1905" s="152" t="s">
        <v>1327</v>
      </c>
    </row>
    <row r="1906" spans="1:26" x14ac:dyDescent="0.2">
      <c r="A1906" s="152" t="s">
        <v>3001</v>
      </c>
      <c r="B1906" s="152">
        <v>0</v>
      </c>
      <c r="C1906" s="151">
        <v>43417</v>
      </c>
      <c r="D1906" s="152">
        <v>5.2054999999999997E-2</v>
      </c>
      <c r="E1906" s="152" t="s">
        <v>1325</v>
      </c>
      <c r="F1906" s="152" t="s">
        <v>1326</v>
      </c>
      <c r="G1906" s="152"/>
      <c r="H1906" s="152"/>
      <c r="I1906" s="152">
        <v>43236</v>
      </c>
      <c r="J1906" s="152">
        <v>2.2000000000000002</v>
      </c>
      <c r="K1906" s="152" t="s">
        <v>1327</v>
      </c>
      <c r="L1906" s="152" t="s">
        <v>1327</v>
      </c>
      <c r="M1906" s="152" t="s">
        <v>1327</v>
      </c>
      <c r="N1906" s="152" t="s">
        <v>1327</v>
      </c>
      <c r="O1906" s="152">
        <v>1.78606</v>
      </c>
      <c r="P1906" s="152">
        <v>59.424982</v>
      </c>
      <c r="Q1906" s="152">
        <v>1.78606</v>
      </c>
      <c r="R1906" s="152" t="s">
        <v>1327</v>
      </c>
      <c r="S1906" s="152">
        <v>99.907112999999995</v>
      </c>
      <c r="T1906" s="152">
        <v>0</v>
      </c>
      <c r="U1906" s="152">
        <v>5.2005999999999997E-2</v>
      </c>
      <c r="V1906" s="152">
        <v>5.4089999999999997E-3</v>
      </c>
      <c r="W1906" s="152">
        <v>1000</v>
      </c>
      <c r="X1906" s="152" t="s">
        <v>23</v>
      </c>
      <c r="Y1906" s="152" t="s">
        <v>1328</v>
      </c>
      <c r="Z1906" s="152" t="s">
        <v>1327</v>
      </c>
    </row>
    <row r="1907" spans="1:26" x14ac:dyDescent="0.2">
      <c r="A1907" s="152" t="s">
        <v>3002</v>
      </c>
      <c r="B1907" s="152">
        <v>0</v>
      </c>
      <c r="C1907" s="151">
        <v>43419</v>
      </c>
      <c r="D1907" s="152">
        <v>5.7534000000000002E-2</v>
      </c>
      <c r="E1907" s="152" t="s">
        <v>1325</v>
      </c>
      <c r="F1907" s="152" t="s">
        <v>1326</v>
      </c>
      <c r="G1907" s="152"/>
      <c r="H1907" s="152"/>
      <c r="I1907" s="151">
        <v>43237</v>
      </c>
      <c r="J1907" s="152">
        <v>2.2000000000000002</v>
      </c>
      <c r="K1907" s="152" t="s">
        <v>1327</v>
      </c>
      <c r="L1907" s="152" t="s">
        <v>1327</v>
      </c>
      <c r="M1907" s="152" t="s">
        <v>1327</v>
      </c>
      <c r="N1907" s="152" t="s">
        <v>1327</v>
      </c>
      <c r="O1907" s="152">
        <v>1.8367690000000001</v>
      </c>
      <c r="P1907" s="152">
        <v>63.570003999999997</v>
      </c>
      <c r="Q1907" s="152">
        <v>1.8367690000000001</v>
      </c>
      <c r="R1907" s="152" t="s">
        <v>1327</v>
      </c>
      <c r="S1907" s="152">
        <v>99.894434000000004</v>
      </c>
      <c r="T1907" s="152">
        <v>0</v>
      </c>
      <c r="U1907" s="152">
        <v>5.7473999999999997E-2</v>
      </c>
      <c r="V1907" s="152">
        <v>6.6059999999999999E-3</v>
      </c>
      <c r="W1907" s="152">
        <v>1000</v>
      </c>
      <c r="X1907" s="152" t="s">
        <v>23</v>
      </c>
      <c r="Y1907" s="152" t="s">
        <v>1328</v>
      </c>
      <c r="Z1907" s="152" t="s">
        <v>1327</v>
      </c>
    </row>
    <row r="1908" spans="1:26" x14ac:dyDescent="0.2">
      <c r="A1908" s="152" t="s">
        <v>3003</v>
      </c>
      <c r="B1908" s="152">
        <v>0</v>
      </c>
      <c r="C1908" s="151">
        <v>43433</v>
      </c>
      <c r="D1908" s="152">
        <v>9.5890000000000003E-2</v>
      </c>
      <c r="E1908" s="152" t="s">
        <v>1325</v>
      </c>
      <c r="F1908" s="152" t="s">
        <v>1326</v>
      </c>
      <c r="G1908" s="152"/>
      <c r="H1908" s="152"/>
      <c r="I1908" s="151">
        <v>43255</v>
      </c>
      <c r="J1908" s="152">
        <v>2.2000000000000002</v>
      </c>
      <c r="K1908" s="152" t="s">
        <v>1327</v>
      </c>
      <c r="L1908" s="152" t="s">
        <v>1327</v>
      </c>
      <c r="M1908" s="152" t="s">
        <v>1327</v>
      </c>
      <c r="N1908" s="152" t="s">
        <v>1327</v>
      </c>
      <c r="O1908" s="152">
        <v>1.9007780000000001</v>
      </c>
      <c r="P1908" s="152">
        <v>62.962468999999999</v>
      </c>
      <c r="Q1908" s="152">
        <v>1.9007780000000001</v>
      </c>
      <c r="R1908" s="152" t="s">
        <v>1327</v>
      </c>
      <c r="S1908" s="152">
        <v>99.818065000000004</v>
      </c>
      <c r="T1908" s="152">
        <v>0</v>
      </c>
      <c r="U1908" s="152">
        <v>9.5715999999999996E-2</v>
      </c>
      <c r="V1908" s="152">
        <v>1.8322999999999999E-2</v>
      </c>
      <c r="W1908" s="152">
        <v>1000</v>
      </c>
      <c r="X1908" s="152" t="s">
        <v>23</v>
      </c>
      <c r="Y1908" s="152" t="s">
        <v>1328</v>
      </c>
      <c r="Z1908" s="152" t="s">
        <v>1327</v>
      </c>
    </row>
    <row r="1909" spans="1:26" x14ac:dyDescent="0.2">
      <c r="A1909" s="152" t="s">
        <v>3004</v>
      </c>
      <c r="B1909" s="152">
        <v>0</v>
      </c>
      <c r="C1909" s="151">
        <v>43399</v>
      </c>
      <c r="D1909" s="152">
        <v>2.7399999999999998E-3</v>
      </c>
      <c r="E1909" s="152" t="s">
        <v>1325</v>
      </c>
      <c r="F1909" s="152" t="s">
        <v>1326</v>
      </c>
      <c r="G1909" s="152"/>
      <c r="H1909" s="152"/>
      <c r="I1909" s="151">
        <v>43307</v>
      </c>
      <c r="J1909" s="152">
        <v>2.1</v>
      </c>
      <c r="K1909" s="152" t="s">
        <v>1327</v>
      </c>
      <c r="L1909" s="152" t="s">
        <v>1327</v>
      </c>
      <c r="M1909" s="152" t="s">
        <v>1327</v>
      </c>
      <c r="N1909" s="152" t="s">
        <v>1327</v>
      </c>
      <c r="O1909" s="152">
        <v>1.6935480000000001</v>
      </c>
      <c r="P1909" s="152">
        <v>58.959437000000001</v>
      </c>
      <c r="Q1909" s="152">
        <v>1.6935480000000001</v>
      </c>
      <c r="R1909" s="152" t="s">
        <v>1327</v>
      </c>
      <c r="S1909" s="152">
        <v>99.995360000000005</v>
      </c>
      <c r="T1909" s="152">
        <v>0</v>
      </c>
      <c r="U1909" s="152">
        <v>2.7399999999999998E-3</v>
      </c>
      <c r="V1909" s="152">
        <v>1.5E-5</v>
      </c>
      <c r="W1909" s="152">
        <v>1000</v>
      </c>
      <c r="X1909" s="152" t="s">
        <v>23</v>
      </c>
      <c r="Y1909" s="152" t="s">
        <v>1328</v>
      </c>
      <c r="Z1909" s="152" t="s">
        <v>1327</v>
      </c>
    </row>
    <row r="1910" spans="1:26" x14ac:dyDescent="0.2">
      <c r="A1910" s="152" t="s">
        <v>3005</v>
      </c>
      <c r="B1910" s="152">
        <v>0</v>
      </c>
      <c r="C1910" s="151">
        <v>43475</v>
      </c>
      <c r="D1910" s="152">
        <v>0.21095900000000001</v>
      </c>
      <c r="E1910" s="152" t="s">
        <v>1325</v>
      </c>
      <c r="F1910" s="152" t="s">
        <v>1326</v>
      </c>
      <c r="G1910" s="152"/>
      <c r="H1910" s="152"/>
      <c r="I1910" s="151">
        <v>43294</v>
      </c>
      <c r="J1910" s="152">
        <v>2.2000000000000002</v>
      </c>
      <c r="K1910" s="152" t="s">
        <v>1327</v>
      </c>
      <c r="L1910" s="152" t="s">
        <v>1327</v>
      </c>
      <c r="M1910" s="152" t="s">
        <v>1327</v>
      </c>
      <c r="N1910" s="152" t="s">
        <v>1327</v>
      </c>
      <c r="O1910" s="152">
        <v>2.0702410000000002</v>
      </c>
      <c r="P1910" s="152">
        <v>60.077675999999997</v>
      </c>
      <c r="Q1910" s="152">
        <v>2.0702410000000002</v>
      </c>
      <c r="R1910" s="152" t="s">
        <v>1327</v>
      </c>
      <c r="S1910" s="152">
        <v>99.565162999999998</v>
      </c>
      <c r="T1910" s="152">
        <v>0</v>
      </c>
      <c r="U1910" s="152">
        <v>0.21004200000000001</v>
      </c>
      <c r="V1910" s="152">
        <v>8.8234999999999994E-2</v>
      </c>
      <c r="W1910" s="152">
        <v>1000</v>
      </c>
      <c r="X1910" s="152" t="s">
        <v>23</v>
      </c>
      <c r="Y1910" s="152" t="s">
        <v>1328</v>
      </c>
      <c r="Z1910" s="152" t="s">
        <v>1327</v>
      </c>
    </row>
    <row r="1911" spans="1:26" x14ac:dyDescent="0.2">
      <c r="A1911" s="152" t="s">
        <v>3006</v>
      </c>
      <c r="B1911" s="152">
        <v>0</v>
      </c>
      <c r="C1911" s="151">
        <v>43475</v>
      </c>
      <c r="D1911" s="152">
        <v>0.21095900000000001</v>
      </c>
      <c r="E1911" s="152" t="s">
        <v>1325</v>
      </c>
      <c r="F1911" s="152" t="s">
        <v>1326</v>
      </c>
      <c r="G1911" s="152"/>
      <c r="H1911" s="152"/>
      <c r="I1911" s="151">
        <v>43383</v>
      </c>
      <c r="J1911" s="152">
        <v>2.1</v>
      </c>
      <c r="K1911" s="152" t="s">
        <v>1327</v>
      </c>
      <c r="L1911" s="152" t="s">
        <v>1327</v>
      </c>
      <c r="M1911" s="152" t="s">
        <v>1327</v>
      </c>
      <c r="N1911" s="152" t="s">
        <v>1327</v>
      </c>
      <c r="O1911" s="152">
        <v>2.0702410000000002</v>
      </c>
      <c r="P1911" s="152">
        <v>60.077675999999997</v>
      </c>
      <c r="Q1911" s="152">
        <v>2.0702410000000002</v>
      </c>
      <c r="R1911" s="152" t="s">
        <v>1327</v>
      </c>
      <c r="S1911" s="152">
        <v>99.565162999999998</v>
      </c>
      <c r="T1911" s="152">
        <v>0</v>
      </c>
      <c r="U1911" s="152">
        <v>0.21004200000000001</v>
      </c>
      <c r="V1911" s="152">
        <v>8.8234999999999994E-2</v>
      </c>
      <c r="W1911" s="152">
        <v>1000</v>
      </c>
      <c r="X1911" s="152" t="s">
        <v>23</v>
      </c>
      <c r="Y1911" s="152" t="s">
        <v>1328</v>
      </c>
      <c r="Z1911" s="152" t="s">
        <v>1327</v>
      </c>
    </row>
    <row r="1912" spans="1:26" x14ac:dyDescent="0.2">
      <c r="A1912" s="152" t="s">
        <v>3007</v>
      </c>
      <c r="B1912" s="152">
        <v>0</v>
      </c>
      <c r="C1912" s="151">
        <v>43481</v>
      </c>
      <c r="D1912" s="152">
        <v>0.22739699999999999</v>
      </c>
      <c r="E1912" s="152" t="s">
        <v>1325</v>
      </c>
      <c r="F1912" s="152" t="s">
        <v>1326</v>
      </c>
      <c r="G1912" s="152"/>
      <c r="H1912" s="152"/>
      <c r="I1912" s="152">
        <v>43383</v>
      </c>
      <c r="J1912" s="152">
        <v>2.1</v>
      </c>
      <c r="K1912" s="152" t="s">
        <v>1327</v>
      </c>
      <c r="L1912" s="152" t="s">
        <v>1327</v>
      </c>
      <c r="M1912" s="152" t="s">
        <v>1327</v>
      </c>
      <c r="N1912" s="152" t="s">
        <v>1327</v>
      </c>
      <c r="O1912" s="152">
        <v>2.0996079999999999</v>
      </c>
      <c r="P1912" s="152">
        <v>60.536817999999997</v>
      </c>
      <c r="Q1912" s="152">
        <v>2.0996079999999999</v>
      </c>
      <c r="R1912" s="152" t="s">
        <v>1327</v>
      </c>
      <c r="S1912" s="152">
        <v>99.524823999999995</v>
      </c>
      <c r="T1912" s="152">
        <v>0</v>
      </c>
      <c r="U1912" s="152">
        <v>0.22631699999999999</v>
      </c>
      <c r="V1912" s="152">
        <v>0.102439</v>
      </c>
      <c r="W1912" s="152">
        <v>1000</v>
      </c>
      <c r="X1912" s="152" t="s">
        <v>23</v>
      </c>
      <c r="Y1912" s="152" t="s">
        <v>1328</v>
      </c>
      <c r="Z1912" s="152" t="s">
        <v>1327</v>
      </c>
    </row>
    <row r="1913" spans="1:26" x14ac:dyDescent="0.2">
      <c r="A1913" s="152" t="s">
        <v>3008</v>
      </c>
      <c r="B1913" s="152">
        <v>0</v>
      </c>
      <c r="C1913" s="151">
        <v>43482</v>
      </c>
      <c r="D1913" s="152">
        <v>0.23013700000000001</v>
      </c>
      <c r="E1913" s="152" t="s">
        <v>1325</v>
      </c>
      <c r="F1913" s="152" t="s">
        <v>1326</v>
      </c>
      <c r="G1913" s="152"/>
      <c r="H1913" s="152"/>
      <c r="I1913" s="151">
        <v>43391</v>
      </c>
      <c r="J1913" s="152">
        <v>2.1</v>
      </c>
      <c r="K1913" s="152" t="s">
        <v>1327</v>
      </c>
      <c r="L1913" s="152" t="s">
        <v>1327</v>
      </c>
      <c r="M1913" s="152" t="s">
        <v>1327</v>
      </c>
      <c r="N1913" s="152" t="s">
        <v>1327</v>
      </c>
      <c r="O1913" s="152">
        <v>2.07972</v>
      </c>
      <c r="P1913" s="152">
        <v>58.107163999999997</v>
      </c>
      <c r="Q1913" s="152">
        <v>2.07972</v>
      </c>
      <c r="R1913" s="152" t="s">
        <v>1327</v>
      </c>
      <c r="S1913" s="152">
        <v>99.523658999999995</v>
      </c>
      <c r="T1913" s="152">
        <v>0</v>
      </c>
      <c r="U1913" s="152">
        <v>0.22904099999999999</v>
      </c>
      <c r="V1913" s="152">
        <v>0.104919</v>
      </c>
      <c r="W1913" s="152">
        <v>1000</v>
      </c>
      <c r="X1913" s="152" t="s">
        <v>23</v>
      </c>
      <c r="Y1913" s="152" t="s">
        <v>1328</v>
      </c>
      <c r="Z1913" s="152" t="s">
        <v>1327</v>
      </c>
    </row>
    <row r="1914" spans="1:26" x14ac:dyDescent="0.2">
      <c r="A1914" s="152" t="s">
        <v>3009</v>
      </c>
      <c r="B1914" s="152">
        <v>0</v>
      </c>
      <c r="C1914" s="151">
        <v>43482</v>
      </c>
      <c r="D1914" s="152">
        <v>0.23013700000000001</v>
      </c>
      <c r="E1914" s="152" t="s">
        <v>1325</v>
      </c>
      <c r="F1914" s="152" t="s">
        <v>1326</v>
      </c>
      <c r="G1914" s="152"/>
      <c r="H1914" s="152"/>
      <c r="I1914" s="151">
        <v>43392</v>
      </c>
      <c r="J1914" s="152">
        <v>2.1</v>
      </c>
      <c r="K1914" s="152" t="s">
        <v>1327</v>
      </c>
      <c r="L1914" s="152" t="s">
        <v>1327</v>
      </c>
      <c r="M1914" s="152" t="s">
        <v>1327</v>
      </c>
      <c r="N1914" s="152" t="s">
        <v>1327</v>
      </c>
      <c r="O1914" s="152">
        <v>2.079698</v>
      </c>
      <c r="P1914" s="152">
        <v>58.104940999999997</v>
      </c>
      <c r="Q1914" s="152">
        <v>2.079698</v>
      </c>
      <c r="R1914" s="152" t="s">
        <v>1327</v>
      </c>
      <c r="S1914" s="152">
        <v>99.523663999999997</v>
      </c>
      <c r="T1914" s="152">
        <v>0</v>
      </c>
      <c r="U1914" s="152">
        <v>0.22904099999999999</v>
      </c>
      <c r="V1914" s="152">
        <v>0.104919</v>
      </c>
      <c r="W1914" s="152">
        <v>1000</v>
      </c>
      <c r="X1914" s="152" t="s">
        <v>23</v>
      </c>
      <c r="Y1914" s="152" t="s">
        <v>1328</v>
      </c>
      <c r="Z1914" s="152" t="s">
        <v>1327</v>
      </c>
    </row>
    <row r="1915" spans="1:26" x14ac:dyDescent="0.2">
      <c r="A1915" s="152" t="s">
        <v>3010</v>
      </c>
      <c r="B1915" s="152">
        <v>4</v>
      </c>
      <c r="C1915" s="151">
        <v>43427</v>
      </c>
      <c r="D1915" s="152">
        <v>7.9451999999999995E-2</v>
      </c>
      <c r="E1915" s="152" t="s">
        <v>1325</v>
      </c>
      <c r="F1915" s="152" t="s">
        <v>1326</v>
      </c>
      <c r="G1915" s="152"/>
      <c r="H1915" s="152"/>
      <c r="I1915" s="151" t="s">
        <v>1327</v>
      </c>
      <c r="J1915" s="152" t="s">
        <v>1327</v>
      </c>
      <c r="K1915" s="152" t="s">
        <v>1327</v>
      </c>
      <c r="L1915" s="152" t="s">
        <v>1327</v>
      </c>
      <c r="M1915" s="152" t="s">
        <v>1327</v>
      </c>
      <c r="N1915" s="152" t="s">
        <v>1327</v>
      </c>
      <c r="O1915" s="152">
        <v>3.6696870000000001</v>
      </c>
      <c r="P1915" s="152">
        <v>247.495915</v>
      </c>
      <c r="Q1915" s="152">
        <v>3.6696870000000001</v>
      </c>
      <c r="R1915" s="152" t="s">
        <v>1327</v>
      </c>
      <c r="S1915" s="152">
        <v>100.02123</v>
      </c>
      <c r="T1915" s="152">
        <v>1.6986300000000001</v>
      </c>
      <c r="U1915" s="152">
        <v>7.9221E-2</v>
      </c>
      <c r="V1915" s="152">
        <v>1.2552000000000001E-2</v>
      </c>
      <c r="W1915" s="152">
        <v>1000</v>
      </c>
      <c r="X1915" s="152" t="s">
        <v>23</v>
      </c>
      <c r="Y1915" s="152" t="s">
        <v>1328</v>
      </c>
      <c r="Z1915" s="152" t="s">
        <v>1327</v>
      </c>
    </row>
    <row r="1916" spans="1:26" x14ac:dyDescent="0.2">
      <c r="A1916" s="152" t="s">
        <v>3011</v>
      </c>
      <c r="B1916" s="152">
        <v>0</v>
      </c>
      <c r="C1916" s="151">
        <v>43438</v>
      </c>
      <c r="D1916" s="152">
        <v>0.10958900000000001</v>
      </c>
      <c r="E1916" s="152" t="s">
        <v>1325</v>
      </c>
      <c r="F1916" s="152" t="s">
        <v>1326</v>
      </c>
      <c r="G1916" s="152"/>
      <c r="H1916" s="152"/>
      <c r="I1916" s="151">
        <v>43378</v>
      </c>
      <c r="J1916" s="152">
        <v>1.75</v>
      </c>
      <c r="K1916" s="152" t="s">
        <v>1327</v>
      </c>
      <c r="L1916" s="152" t="s">
        <v>1327</v>
      </c>
      <c r="M1916" s="152" t="s">
        <v>1327</v>
      </c>
      <c r="N1916" s="152" t="s">
        <v>1327</v>
      </c>
      <c r="O1916" s="152">
        <v>1.5871489999999999</v>
      </c>
      <c r="P1916" s="152">
        <v>28.578203999999999</v>
      </c>
      <c r="Q1916" s="152">
        <v>1.5871489999999999</v>
      </c>
      <c r="R1916" s="152" t="s">
        <v>1327</v>
      </c>
      <c r="S1916" s="152">
        <v>99.826368000000002</v>
      </c>
      <c r="T1916" s="152">
        <v>0</v>
      </c>
      <c r="U1916" s="152">
        <v>0.109399</v>
      </c>
      <c r="V1916" s="152">
        <v>2.3935999999999999E-2</v>
      </c>
      <c r="W1916" s="152">
        <v>1000</v>
      </c>
      <c r="X1916" s="152" t="s">
        <v>23</v>
      </c>
      <c r="Y1916" s="152" t="s">
        <v>1328</v>
      </c>
      <c r="Z1916" s="152" t="s">
        <v>1327</v>
      </c>
    </row>
    <row r="1917" spans="1:26" x14ac:dyDescent="0.2">
      <c r="A1917" s="152" t="s">
        <v>3012</v>
      </c>
      <c r="B1917" s="152">
        <v>0</v>
      </c>
      <c r="C1917" s="151">
        <v>43445</v>
      </c>
      <c r="D1917" s="152">
        <v>0.12876699999999999</v>
      </c>
      <c r="E1917" s="152" t="s">
        <v>1325</v>
      </c>
      <c r="F1917" s="152" t="s">
        <v>1326</v>
      </c>
      <c r="G1917" s="152"/>
      <c r="H1917" s="152"/>
      <c r="I1917" s="151">
        <v>43354</v>
      </c>
      <c r="J1917" s="152">
        <v>1.7749999999999999</v>
      </c>
      <c r="K1917" s="152" t="s">
        <v>1327</v>
      </c>
      <c r="L1917" s="152" t="s">
        <v>1327</v>
      </c>
      <c r="M1917" s="152" t="s">
        <v>1327</v>
      </c>
      <c r="N1917" s="152" t="s">
        <v>1327</v>
      </c>
      <c r="O1917" s="152">
        <v>1.6197809999999999</v>
      </c>
      <c r="P1917" s="152">
        <v>28.389631999999999</v>
      </c>
      <c r="Q1917" s="152">
        <v>1.6197809999999999</v>
      </c>
      <c r="R1917" s="152" t="s">
        <v>1327</v>
      </c>
      <c r="S1917" s="152">
        <v>99.79186</v>
      </c>
      <c r="T1917" s="152">
        <v>0</v>
      </c>
      <c r="U1917" s="152">
        <v>0.128499</v>
      </c>
      <c r="V1917" s="152">
        <v>3.3023999999999998E-2</v>
      </c>
      <c r="W1917" s="152">
        <v>1000</v>
      </c>
      <c r="X1917" s="152" t="s">
        <v>23</v>
      </c>
      <c r="Y1917" s="152" t="s">
        <v>1328</v>
      </c>
      <c r="Z1917" s="152" t="s">
        <v>1327</v>
      </c>
    </row>
    <row r="1918" spans="1:26" x14ac:dyDescent="0.2">
      <c r="A1918" s="152" t="s">
        <v>3013</v>
      </c>
      <c r="B1918" s="152">
        <v>0</v>
      </c>
      <c r="C1918" s="151">
        <v>43447</v>
      </c>
      <c r="D1918" s="152">
        <v>0.13424700000000001</v>
      </c>
      <c r="E1918" s="152" t="s">
        <v>1325</v>
      </c>
      <c r="F1918" s="152" t="s">
        <v>1326</v>
      </c>
      <c r="G1918" s="152"/>
      <c r="H1918" s="152"/>
      <c r="I1918" s="151">
        <v>43356</v>
      </c>
      <c r="J1918" s="152">
        <v>1.77</v>
      </c>
      <c r="K1918" s="152" t="s">
        <v>1327</v>
      </c>
      <c r="L1918" s="152" t="s">
        <v>1327</v>
      </c>
      <c r="M1918" s="152" t="s">
        <v>1327</v>
      </c>
      <c r="N1918" s="152" t="s">
        <v>1327</v>
      </c>
      <c r="O1918" s="152">
        <v>1.629159</v>
      </c>
      <c r="P1918" s="152">
        <v>28.351367</v>
      </c>
      <c r="Q1918" s="152">
        <v>1.629159</v>
      </c>
      <c r="R1918" s="152" t="s">
        <v>1327</v>
      </c>
      <c r="S1918" s="152">
        <v>99.781768</v>
      </c>
      <c r="T1918" s="152">
        <v>0</v>
      </c>
      <c r="U1918" s="152">
        <v>0.13395399999999999</v>
      </c>
      <c r="V1918" s="152">
        <v>3.5887000000000002E-2</v>
      </c>
      <c r="W1918" s="152">
        <v>1000</v>
      </c>
      <c r="X1918" s="152" t="s">
        <v>23</v>
      </c>
      <c r="Y1918" s="152" t="s">
        <v>1328</v>
      </c>
      <c r="Z1918" s="152" t="s">
        <v>1327</v>
      </c>
    </row>
    <row r="1919" spans="1:26" x14ac:dyDescent="0.2">
      <c r="A1919" s="152" t="s">
        <v>3014</v>
      </c>
      <c r="B1919" s="152">
        <v>0</v>
      </c>
      <c r="C1919" s="151">
        <v>43451</v>
      </c>
      <c r="D1919" s="152">
        <v>0.145205</v>
      </c>
      <c r="E1919" s="152" t="s">
        <v>1325</v>
      </c>
      <c r="F1919" s="152" t="s">
        <v>1326</v>
      </c>
      <c r="G1919" s="152"/>
      <c r="H1919" s="152"/>
      <c r="I1919" s="151">
        <v>43361</v>
      </c>
      <c r="J1919" s="152">
        <v>1.7749999999999999</v>
      </c>
      <c r="K1919" s="152" t="s">
        <v>1327</v>
      </c>
      <c r="L1919" s="152" t="s">
        <v>1327</v>
      </c>
      <c r="M1919" s="152" t="s">
        <v>1327</v>
      </c>
      <c r="N1919" s="152" t="s">
        <v>1327</v>
      </c>
      <c r="O1919" s="152">
        <v>1.647985</v>
      </c>
      <c r="P1919" s="152">
        <v>28.298945</v>
      </c>
      <c r="Q1919" s="152">
        <v>1.647985</v>
      </c>
      <c r="R1919" s="152" t="s">
        <v>1327</v>
      </c>
      <c r="S1919" s="152">
        <v>99.761274999999998</v>
      </c>
      <c r="T1919" s="152">
        <v>0</v>
      </c>
      <c r="U1919" s="152">
        <v>0.14485899999999999</v>
      </c>
      <c r="V1919" s="152">
        <v>4.1967999999999998E-2</v>
      </c>
      <c r="W1919" s="152">
        <v>1000</v>
      </c>
      <c r="X1919" s="152" t="s">
        <v>23</v>
      </c>
      <c r="Y1919" s="152" t="s">
        <v>1328</v>
      </c>
      <c r="Z1919" s="152" t="s">
        <v>1327</v>
      </c>
    </row>
    <row r="1920" spans="1:26" x14ac:dyDescent="0.2">
      <c r="A1920" s="152" t="s">
        <v>3015</v>
      </c>
      <c r="B1920" s="152">
        <v>0</v>
      </c>
      <c r="C1920" s="151">
        <v>43451</v>
      </c>
      <c r="D1920" s="152">
        <v>0.145205</v>
      </c>
      <c r="E1920" s="152" t="s">
        <v>1325</v>
      </c>
      <c r="F1920" s="152" t="s">
        <v>1326</v>
      </c>
      <c r="G1920" s="152"/>
      <c r="H1920" s="152"/>
      <c r="I1920" s="151">
        <v>43361</v>
      </c>
      <c r="J1920" s="152">
        <v>1.74</v>
      </c>
      <c r="K1920" s="152" t="s">
        <v>1327</v>
      </c>
      <c r="L1920" s="152" t="s">
        <v>1327</v>
      </c>
      <c r="M1920" s="152" t="s">
        <v>1327</v>
      </c>
      <c r="N1920" s="152" t="s">
        <v>1327</v>
      </c>
      <c r="O1920" s="152">
        <v>1.647985</v>
      </c>
      <c r="P1920" s="152">
        <v>28.298945</v>
      </c>
      <c r="Q1920" s="152">
        <v>1.647985</v>
      </c>
      <c r="R1920" s="152" t="s">
        <v>1327</v>
      </c>
      <c r="S1920" s="152">
        <v>99.761274999999998</v>
      </c>
      <c r="T1920" s="152">
        <v>0</v>
      </c>
      <c r="U1920" s="152">
        <v>0.14485899999999999</v>
      </c>
      <c r="V1920" s="152">
        <v>4.1967999999999998E-2</v>
      </c>
      <c r="W1920" s="152">
        <v>1000</v>
      </c>
      <c r="X1920" s="152" t="s">
        <v>23</v>
      </c>
      <c r="Y1920" s="152" t="s">
        <v>1328</v>
      </c>
      <c r="Z1920" s="152" t="s">
        <v>1327</v>
      </c>
    </row>
    <row r="1921" spans="1:26" x14ac:dyDescent="0.2">
      <c r="A1921" s="152" t="s">
        <v>3016</v>
      </c>
      <c r="B1921" s="152">
        <v>0</v>
      </c>
      <c r="C1921" s="151">
        <v>43453</v>
      </c>
      <c r="D1921" s="152">
        <v>0.15068500000000001</v>
      </c>
      <c r="E1921" s="152" t="s">
        <v>1325</v>
      </c>
      <c r="F1921" s="152" t="s">
        <v>1326</v>
      </c>
      <c r="G1921" s="152"/>
      <c r="H1921" s="152"/>
      <c r="I1921" s="151">
        <v>43363</v>
      </c>
      <c r="J1921" s="152">
        <v>1.7749999999999999</v>
      </c>
      <c r="K1921" s="152" t="s">
        <v>1327</v>
      </c>
      <c r="L1921" s="152" t="s">
        <v>1327</v>
      </c>
      <c r="M1921" s="152" t="s">
        <v>1327</v>
      </c>
      <c r="N1921" s="152" t="s">
        <v>1327</v>
      </c>
      <c r="O1921" s="152">
        <v>1.6574359999999999</v>
      </c>
      <c r="P1921" s="152">
        <v>28.285992</v>
      </c>
      <c r="Q1921" s="152">
        <v>1.6574359999999999</v>
      </c>
      <c r="R1921" s="152" t="s">
        <v>1327</v>
      </c>
      <c r="S1921" s="152">
        <v>99.750872000000001</v>
      </c>
      <c r="T1921" s="152">
        <v>0</v>
      </c>
      <c r="U1921" s="152">
        <v>0.15031</v>
      </c>
      <c r="V1921" s="152">
        <v>4.5185999999999997E-2</v>
      </c>
      <c r="W1921" s="152">
        <v>1000</v>
      </c>
      <c r="X1921" s="152" t="s">
        <v>23</v>
      </c>
      <c r="Y1921" s="152" t="s">
        <v>1328</v>
      </c>
      <c r="Z1921" s="152" t="s">
        <v>1327</v>
      </c>
    </row>
    <row r="1922" spans="1:26" x14ac:dyDescent="0.2">
      <c r="A1922" s="152" t="s">
        <v>3017</v>
      </c>
      <c r="B1922" s="152">
        <v>0</v>
      </c>
      <c r="C1922" s="151">
        <v>43405</v>
      </c>
      <c r="D1922" s="152">
        <v>1.9178000000000001E-2</v>
      </c>
      <c r="E1922" s="152" t="s">
        <v>1325</v>
      </c>
      <c r="F1922" s="152" t="s">
        <v>1326</v>
      </c>
      <c r="G1922" s="152"/>
      <c r="H1922" s="152"/>
      <c r="I1922" s="151" t="s">
        <v>1327</v>
      </c>
      <c r="J1922" s="152" t="s">
        <v>1327</v>
      </c>
      <c r="K1922" s="152" t="s">
        <v>1327</v>
      </c>
      <c r="L1922" s="152" t="s">
        <v>1327</v>
      </c>
      <c r="M1922" s="152" t="s">
        <v>1327</v>
      </c>
      <c r="N1922" s="152" t="s">
        <v>1327</v>
      </c>
      <c r="O1922" s="152">
        <v>1.4970319999999999</v>
      </c>
      <c r="P1922" s="152">
        <v>36.063229999999997</v>
      </c>
      <c r="Q1922" s="152">
        <v>1.4970319999999999</v>
      </c>
      <c r="R1922" s="152" t="s">
        <v>1327</v>
      </c>
      <c r="S1922" s="152">
        <v>99.971298000000004</v>
      </c>
      <c r="T1922" s="152">
        <v>0</v>
      </c>
      <c r="U1922" s="152">
        <v>1.9172999999999999E-2</v>
      </c>
      <c r="V1922" s="152">
        <v>7.3499999999999998E-4</v>
      </c>
      <c r="W1922" s="152">
        <v>1000</v>
      </c>
      <c r="X1922" s="152" t="s">
        <v>23</v>
      </c>
      <c r="Y1922" s="152" t="s">
        <v>1328</v>
      </c>
      <c r="Z1922" s="152" t="s">
        <v>1327</v>
      </c>
    </row>
    <row r="1923" spans="1:26" x14ac:dyDescent="0.2">
      <c r="A1923" s="152" t="s">
        <v>3018</v>
      </c>
      <c r="B1923" s="152">
        <v>0</v>
      </c>
      <c r="C1923" s="151">
        <v>43405</v>
      </c>
      <c r="D1923" s="152">
        <v>1.9178000000000001E-2</v>
      </c>
      <c r="E1923" s="152" t="s">
        <v>1325</v>
      </c>
      <c r="F1923" s="152" t="s">
        <v>1326</v>
      </c>
      <c r="G1923" s="152"/>
      <c r="H1923" s="152"/>
      <c r="I1923" s="151">
        <v>43314</v>
      </c>
      <c r="J1923" s="152">
        <v>1.74</v>
      </c>
      <c r="K1923" s="152" t="s">
        <v>1327</v>
      </c>
      <c r="L1923" s="152" t="s">
        <v>1327</v>
      </c>
      <c r="M1923" s="152" t="s">
        <v>1327</v>
      </c>
      <c r="N1923" s="152" t="s">
        <v>1327</v>
      </c>
      <c r="O1923" s="152">
        <v>1.4970319999999999</v>
      </c>
      <c r="P1923" s="152">
        <v>36.063229999999997</v>
      </c>
      <c r="Q1923" s="152">
        <v>1.4970319999999999</v>
      </c>
      <c r="R1923" s="152" t="s">
        <v>1327</v>
      </c>
      <c r="S1923" s="152">
        <v>99.971298000000004</v>
      </c>
      <c r="T1923" s="152">
        <v>0</v>
      </c>
      <c r="U1923" s="152">
        <v>1.9172999999999999E-2</v>
      </c>
      <c r="V1923" s="152">
        <v>7.3499999999999998E-4</v>
      </c>
      <c r="W1923" s="152">
        <v>1000</v>
      </c>
      <c r="X1923" s="152" t="s">
        <v>23</v>
      </c>
      <c r="Y1923" s="152" t="s">
        <v>1328</v>
      </c>
      <c r="Z1923" s="152" t="s">
        <v>1327</v>
      </c>
    </row>
    <row r="1924" spans="1:26" x14ac:dyDescent="0.2">
      <c r="A1924" s="152" t="s">
        <v>3019</v>
      </c>
      <c r="B1924" s="152">
        <v>0</v>
      </c>
      <c r="C1924" s="151">
        <v>43410</v>
      </c>
      <c r="D1924" s="152">
        <v>3.2877000000000003E-2</v>
      </c>
      <c r="E1924" s="152" t="s">
        <v>1325</v>
      </c>
      <c r="F1924" s="152" t="s">
        <v>1326</v>
      </c>
      <c r="G1924" s="152"/>
      <c r="H1924" s="152"/>
      <c r="I1924" s="151">
        <v>43228</v>
      </c>
      <c r="J1924" s="152">
        <v>1.72</v>
      </c>
      <c r="K1924" s="152" t="s">
        <v>1327</v>
      </c>
      <c r="L1924" s="152" t="s">
        <v>1327</v>
      </c>
      <c r="M1924" s="152" t="s">
        <v>1327</v>
      </c>
      <c r="N1924" s="152" t="s">
        <v>1327</v>
      </c>
      <c r="O1924" s="152">
        <v>1.4963219999999999</v>
      </c>
      <c r="P1924" s="152">
        <v>33.511313000000001</v>
      </c>
      <c r="Q1924" s="152">
        <v>1.4963219999999999</v>
      </c>
      <c r="R1924" s="152" t="s">
        <v>1327</v>
      </c>
      <c r="S1924" s="152">
        <v>99.950829999999996</v>
      </c>
      <c r="T1924" s="152">
        <v>0</v>
      </c>
      <c r="U1924" s="152">
        <v>3.2861000000000001E-2</v>
      </c>
      <c r="V1924" s="152">
        <v>2.16E-3</v>
      </c>
      <c r="W1924" s="152">
        <v>1000</v>
      </c>
      <c r="X1924" s="152" t="s">
        <v>23</v>
      </c>
      <c r="Y1924" s="152" t="s">
        <v>1328</v>
      </c>
      <c r="Z1924" s="152" t="s">
        <v>1327</v>
      </c>
    </row>
    <row r="1925" spans="1:26" x14ac:dyDescent="0.2">
      <c r="A1925" s="152" t="s">
        <v>3020</v>
      </c>
      <c r="B1925" s="152">
        <v>0</v>
      </c>
      <c r="C1925" s="151">
        <v>43410</v>
      </c>
      <c r="D1925" s="152">
        <v>3.2877000000000003E-2</v>
      </c>
      <c r="E1925" s="152" t="s">
        <v>1325</v>
      </c>
      <c r="F1925" s="152" t="s">
        <v>1326</v>
      </c>
      <c r="G1925" s="152"/>
      <c r="H1925" s="152"/>
      <c r="I1925" s="151">
        <v>43319</v>
      </c>
      <c r="J1925" s="152">
        <v>1.7749999999999999</v>
      </c>
      <c r="K1925" s="152" t="s">
        <v>1327</v>
      </c>
      <c r="L1925" s="152" t="s">
        <v>1327</v>
      </c>
      <c r="M1925" s="152" t="s">
        <v>1327</v>
      </c>
      <c r="N1925" s="152" t="s">
        <v>1327</v>
      </c>
      <c r="O1925" s="152">
        <v>1.4963219999999999</v>
      </c>
      <c r="P1925" s="152">
        <v>33.511313000000001</v>
      </c>
      <c r="Q1925" s="152">
        <v>1.4963219999999999</v>
      </c>
      <c r="R1925" s="152" t="s">
        <v>1327</v>
      </c>
      <c r="S1925" s="152">
        <v>99.950829999999996</v>
      </c>
      <c r="T1925" s="152">
        <v>0</v>
      </c>
      <c r="U1925" s="152">
        <v>3.2861000000000001E-2</v>
      </c>
      <c r="V1925" s="152">
        <v>2.16E-3</v>
      </c>
      <c r="W1925" s="152">
        <v>1000</v>
      </c>
      <c r="X1925" s="152" t="s">
        <v>23</v>
      </c>
      <c r="Y1925" s="152" t="s">
        <v>1328</v>
      </c>
      <c r="Z1925" s="152" t="s">
        <v>1327</v>
      </c>
    </row>
    <row r="1926" spans="1:26" x14ac:dyDescent="0.2">
      <c r="A1926" s="152" t="s">
        <v>3021</v>
      </c>
      <c r="B1926" s="152">
        <v>0</v>
      </c>
      <c r="C1926" s="151">
        <v>43411</v>
      </c>
      <c r="D1926" s="152">
        <v>3.5616000000000002E-2</v>
      </c>
      <c r="E1926" s="152" t="s">
        <v>1325</v>
      </c>
      <c r="F1926" s="152" t="s">
        <v>1326</v>
      </c>
      <c r="G1926" s="152"/>
      <c r="H1926" s="152"/>
      <c r="I1926" s="152">
        <v>43319</v>
      </c>
      <c r="J1926" s="152">
        <v>1.74</v>
      </c>
      <c r="K1926" s="152" t="s">
        <v>1327</v>
      </c>
      <c r="L1926" s="152" t="s">
        <v>1327</v>
      </c>
      <c r="M1926" s="152" t="s">
        <v>1327</v>
      </c>
      <c r="N1926" s="152" t="s">
        <v>1327</v>
      </c>
      <c r="O1926" s="152">
        <v>1.496194</v>
      </c>
      <c r="P1926" s="152">
        <v>32.998992999999999</v>
      </c>
      <c r="Q1926" s="152">
        <v>1.496194</v>
      </c>
      <c r="R1926" s="152" t="s">
        <v>1327</v>
      </c>
      <c r="S1926" s="152">
        <v>99.946738999999994</v>
      </c>
      <c r="T1926" s="152">
        <v>0</v>
      </c>
      <c r="U1926" s="152">
        <v>3.5596999999999997E-2</v>
      </c>
      <c r="V1926" s="152">
        <v>2.5339999999999998E-3</v>
      </c>
      <c r="W1926" s="152">
        <v>1000</v>
      </c>
      <c r="X1926" s="152" t="s">
        <v>23</v>
      </c>
      <c r="Y1926" s="152" t="s">
        <v>1328</v>
      </c>
      <c r="Z1926" s="152" t="s">
        <v>1327</v>
      </c>
    </row>
    <row r="1927" spans="1:26" x14ac:dyDescent="0.2">
      <c r="A1927" s="152" t="s">
        <v>3022</v>
      </c>
      <c r="B1927" s="152">
        <v>0</v>
      </c>
      <c r="C1927" s="151">
        <v>43412</v>
      </c>
      <c r="D1927" s="152">
        <v>3.8356000000000001E-2</v>
      </c>
      <c r="E1927" s="152" t="s">
        <v>1325</v>
      </c>
      <c r="F1927" s="152" t="s">
        <v>1326</v>
      </c>
      <c r="G1927" s="152"/>
      <c r="H1927" s="152"/>
      <c r="I1927" s="151">
        <v>43320</v>
      </c>
      <c r="J1927" s="152">
        <v>1.7749999999999999</v>
      </c>
      <c r="K1927" s="152" t="s">
        <v>1327</v>
      </c>
      <c r="L1927" s="152" t="s">
        <v>1327</v>
      </c>
      <c r="M1927" s="152" t="s">
        <v>1327</v>
      </c>
      <c r="N1927" s="152" t="s">
        <v>1327</v>
      </c>
      <c r="O1927" s="152">
        <v>1.4960720000000001</v>
      </c>
      <c r="P1927" s="152">
        <v>32.486189000000003</v>
      </c>
      <c r="Q1927" s="152">
        <v>1.4960720000000001</v>
      </c>
      <c r="R1927" s="152" t="s">
        <v>1327</v>
      </c>
      <c r="S1927" s="152">
        <v>99.942649000000003</v>
      </c>
      <c r="T1927" s="152">
        <v>0</v>
      </c>
      <c r="U1927" s="152">
        <v>3.8334E-2</v>
      </c>
      <c r="V1927" s="152">
        <v>2.9390000000000002E-3</v>
      </c>
      <c r="W1927" s="152">
        <v>1000</v>
      </c>
      <c r="X1927" s="152" t="s">
        <v>23</v>
      </c>
      <c r="Y1927" s="152" t="s">
        <v>1328</v>
      </c>
      <c r="Z1927" s="152" t="s">
        <v>1327</v>
      </c>
    </row>
    <row r="1928" spans="1:26" x14ac:dyDescent="0.2">
      <c r="A1928" s="152" t="s">
        <v>3023</v>
      </c>
      <c r="B1928" s="152">
        <v>0</v>
      </c>
      <c r="C1928" s="151">
        <v>43417</v>
      </c>
      <c r="D1928" s="152">
        <v>5.2054999999999997E-2</v>
      </c>
      <c r="E1928" s="152" t="s">
        <v>1325</v>
      </c>
      <c r="F1928" s="152" t="s">
        <v>1326</v>
      </c>
      <c r="G1928" s="152"/>
      <c r="H1928" s="152"/>
      <c r="I1928" s="152">
        <v>43305</v>
      </c>
      <c r="J1928" s="152">
        <v>1.7749999999999999</v>
      </c>
      <c r="K1928" s="152" t="s">
        <v>1327</v>
      </c>
      <c r="L1928" s="152" t="s">
        <v>1327</v>
      </c>
      <c r="M1928" s="152" t="s">
        <v>1327</v>
      </c>
      <c r="N1928" s="152" t="s">
        <v>1327</v>
      </c>
      <c r="O1928" s="152">
        <v>1.495536</v>
      </c>
      <c r="P1928" s="152">
        <v>29.917328000000001</v>
      </c>
      <c r="Q1928" s="152">
        <v>1.495536</v>
      </c>
      <c r="R1928" s="152" t="s">
        <v>1327</v>
      </c>
      <c r="S1928" s="152">
        <v>99.922211000000004</v>
      </c>
      <c r="T1928" s="152">
        <v>0</v>
      </c>
      <c r="U1928" s="152">
        <v>5.2013999999999998E-2</v>
      </c>
      <c r="V1928" s="152">
        <v>5.411E-3</v>
      </c>
      <c r="W1928" s="152">
        <v>1000</v>
      </c>
      <c r="X1928" s="152" t="s">
        <v>23</v>
      </c>
      <c r="Y1928" s="152" t="s">
        <v>1328</v>
      </c>
      <c r="Z1928" s="152" t="s">
        <v>1327</v>
      </c>
    </row>
    <row r="1929" spans="1:26" x14ac:dyDescent="0.2">
      <c r="A1929" s="152" t="s">
        <v>3024</v>
      </c>
      <c r="B1929" s="152">
        <v>0</v>
      </c>
      <c r="C1929" s="151">
        <v>43418</v>
      </c>
      <c r="D1929" s="152">
        <v>5.4795000000000003E-2</v>
      </c>
      <c r="E1929" s="152" t="s">
        <v>1325</v>
      </c>
      <c r="F1929" s="152" t="s">
        <v>1326</v>
      </c>
      <c r="G1929" s="152"/>
      <c r="H1929" s="152"/>
      <c r="I1929" s="152" t="s">
        <v>1327</v>
      </c>
      <c r="J1929" s="152" t="s">
        <v>1327</v>
      </c>
      <c r="K1929" s="152" t="s">
        <v>1327</v>
      </c>
      <c r="L1929" s="152" t="s">
        <v>1327</v>
      </c>
      <c r="M1929" s="152" t="s">
        <v>1327</v>
      </c>
      <c r="N1929" s="152" t="s">
        <v>1327</v>
      </c>
      <c r="O1929" s="152">
        <v>1.495444</v>
      </c>
      <c r="P1929" s="152">
        <v>29.403072000000002</v>
      </c>
      <c r="Q1929" s="152">
        <v>1.495444</v>
      </c>
      <c r="R1929" s="152" t="s">
        <v>1327</v>
      </c>
      <c r="S1929" s="152">
        <v>99.918125000000003</v>
      </c>
      <c r="T1929" s="152">
        <v>0</v>
      </c>
      <c r="U1929" s="152">
        <v>5.475E-2</v>
      </c>
      <c r="V1929" s="152">
        <v>5.9950000000000003E-3</v>
      </c>
      <c r="W1929" s="152">
        <v>1000</v>
      </c>
      <c r="X1929" s="152" t="s">
        <v>23</v>
      </c>
      <c r="Y1929" s="152" t="s">
        <v>1328</v>
      </c>
      <c r="Z1929" s="152" t="s">
        <v>1327</v>
      </c>
    </row>
    <row r="1930" spans="1:26" x14ac:dyDescent="0.2">
      <c r="A1930" s="152" t="s">
        <v>3025</v>
      </c>
      <c r="B1930" s="152">
        <v>0</v>
      </c>
      <c r="C1930" s="151">
        <v>43418</v>
      </c>
      <c r="D1930" s="152">
        <v>5.4795000000000003E-2</v>
      </c>
      <c r="E1930" s="152" t="s">
        <v>1325</v>
      </c>
      <c r="F1930" s="152" t="s">
        <v>1326</v>
      </c>
      <c r="G1930" s="152"/>
      <c r="H1930" s="152"/>
      <c r="I1930" s="151">
        <v>43328</v>
      </c>
      <c r="J1930" s="152">
        <v>1.7749999999999999</v>
      </c>
      <c r="K1930" s="152" t="s">
        <v>1327</v>
      </c>
      <c r="L1930" s="152" t="s">
        <v>1327</v>
      </c>
      <c r="M1930" s="152" t="s">
        <v>1327</v>
      </c>
      <c r="N1930" s="152" t="s">
        <v>1327</v>
      </c>
      <c r="O1930" s="152">
        <v>1.495444</v>
      </c>
      <c r="P1930" s="152">
        <v>29.403072000000002</v>
      </c>
      <c r="Q1930" s="152">
        <v>1.495444</v>
      </c>
      <c r="R1930" s="152" t="s">
        <v>1327</v>
      </c>
      <c r="S1930" s="152">
        <v>99.918125000000003</v>
      </c>
      <c r="T1930" s="152">
        <v>0</v>
      </c>
      <c r="U1930" s="152">
        <v>5.475E-2</v>
      </c>
      <c r="V1930" s="152">
        <v>5.9950000000000003E-3</v>
      </c>
      <c r="W1930" s="152">
        <v>1000</v>
      </c>
      <c r="X1930" s="152" t="s">
        <v>23</v>
      </c>
      <c r="Y1930" s="152" t="s">
        <v>1328</v>
      </c>
      <c r="Z1930" s="152" t="s">
        <v>1327</v>
      </c>
    </row>
    <row r="1931" spans="1:26" x14ac:dyDescent="0.2">
      <c r="A1931" s="152" t="s">
        <v>3026</v>
      </c>
      <c r="B1931" s="152">
        <v>0</v>
      </c>
      <c r="C1931" s="151">
        <v>43420</v>
      </c>
      <c r="D1931" s="152">
        <v>6.0274000000000001E-2</v>
      </c>
      <c r="E1931" s="152" t="s">
        <v>1325</v>
      </c>
      <c r="F1931" s="152" t="s">
        <v>1326</v>
      </c>
      <c r="G1931" s="152"/>
      <c r="H1931" s="152"/>
      <c r="I1931" s="151">
        <v>43328</v>
      </c>
      <c r="J1931" s="152">
        <v>1.7749999999999999</v>
      </c>
      <c r="K1931" s="152" t="s">
        <v>1327</v>
      </c>
      <c r="L1931" s="152" t="s">
        <v>1327</v>
      </c>
      <c r="M1931" s="152" t="s">
        <v>1327</v>
      </c>
      <c r="N1931" s="152" t="s">
        <v>1327</v>
      </c>
      <c r="O1931" s="152">
        <v>1.504518</v>
      </c>
      <c r="P1931" s="152">
        <v>29.311934000000001</v>
      </c>
      <c r="Q1931" s="152">
        <v>1.504518</v>
      </c>
      <c r="R1931" s="152" t="s">
        <v>1327</v>
      </c>
      <c r="S1931" s="152">
        <v>99.909398999999993</v>
      </c>
      <c r="T1931" s="152">
        <v>0</v>
      </c>
      <c r="U1931" s="152">
        <v>6.0219000000000002E-2</v>
      </c>
      <c r="V1931" s="152">
        <v>7.2529999999999999E-3</v>
      </c>
      <c r="W1931" s="152">
        <v>1000</v>
      </c>
      <c r="X1931" s="152" t="s">
        <v>23</v>
      </c>
      <c r="Y1931" s="152" t="s">
        <v>1328</v>
      </c>
      <c r="Z1931" s="152" t="s">
        <v>1327</v>
      </c>
    </row>
    <row r="1932" spans="1:26" x14ac:dyDescent="0.2">
      <c r="A1932" s="152" t="s">
        <v>183</v>
      </c>
      <c r="B1932" s="152">
        <v>0</v>
      </c>
      <c r="C1932" s="151">
        <v>43424</v>
      </c>
      <c r="D1932" s="152">
        <v>7.1233000000000005E-2</v>
      </c>
      <c r="E1932" s="152" t="s">
        <v>1325</v>
      </c>
      <c r="F1932" s="152" t="s">
        <v>1326</v>
      </c>
      <c r="G1932" s="152"/>
      <c r="H1932" s="152"/>
      <c r="I1932" s="152" t="s">
        <v>1327</v>
      </c>
      <c r="J1932" s="152" t="s">
        <v>1327</v>
      </c>
      <c r="K1932" s="152" t="s">
        <v>1327</v>
      </c>
      <c r="L1932" s="152" t="s">
        <v>1327</v>
      </c>
      <c r="M1932" s="152" t="s">
        <v>1327</v>
      </c>
      <c r="N1932" s="152" t="s">
        <v>1327</v>
      </c>
      <c r="O1932" s="152">
        <v>1.5227269999999999</v>
      </c>
      <c r="P1932" s="152">
        <v>29.131405999999998</v>
      </c>
      <c r="Q1932" s="152">
        <v>1.5227269999999999</v>
      </c>
      <c r="R1932" s="152" t="s">
        <v>1327</v>
      </c>
      <c r="S1932" s="152">
        <v>99.891649000000001</v>
      </c>
      <c r="T1932" s="152">
        <v>0</v>
      </c>
      <c r="U1932" s="152">
        <v>7.1155999999999997E-2</v>
      </c>
      <c r="V1932" s="152">
        <v>1.0126E-2</v>
      </c>
      <c r="W1932" s="152">
        <v>1000</v>
      </c>
      <c r="X1932" s="152" t="s">
        <v>23</v>
      </c>
      <c r="Y1932" s="152" t="s">
        <v>1328</v>
      </c>
      <c r="Z1932" s="152" t="s">
        <v>1327</v>
      </c>
    </row>
    <row r="1933" spans="1:26" x14ac:dyDescent="0.2">
      <c r="A1933" s="152" t="s">
        <v>3027</v>
      </c>
      <c r="B1933" s="152">
        <v>0</v>
      </c>
      <c r="C1933" s="151">
        <v>43433</v>
      </c>
      <c r="D1933" s="152">
        <v>9.5890000000000003E-2</v>
      </c>
      <c r="E1933" s="152" t="s">
        <v>1325</v>
      </c>
      <c r="F1933" s="152" t="s">
        <v>1326</v>
      </c>
      <c r="G1933" s="152"/>
      <c r="H1933" s="152"/>
      <c r="I1933" s="151">
        <v>43343</v>
      </c>
      <c r="J1933" s="152">
        <v>1.7749999999999999</v>
      </c>
      <c r="K1933" s="152" t="s">
        <v>1327</v>
      </c>
      <c r="L1933" s="152" t="s">
        <v>1327</v>
      </c>
      <c r="M1933" s="152" t="s">
        <v>1327</v>
      </c>
      <c r="N1933" s="152" t="s">
        <v>1327</v>
      </c>
      <c r="O1933" s="152">
        <v>1.5640160000000001</v>
      </c>
      <c r="P1933" s="152">
        <v>28.755113000000001</v>
      </c>
      <c r="Q1933" s="152">
        <v>1.5640160000000001</v>
      </c>
      <c r="R1933" s="152" t="s">
        <v>1327</v>
      </c>
      <c r="S1933" s="152">
        <v>99.850250000000003</v>
      </c>
      <c r="T1933" s="152">
        <v>0</v>
      </c>
      <c r="U1933" s="152">
        <v>9.5746999999999999E-2</v>
      </c>
      <c r="V1933" s="152">
        <v>1.8335000000000001E-2</v>
      </c>
      <c r="W1933" s="152">
        <v>1000</v>
      </c>
      <c r="X1933" s="152" t="s">
        <v>23</v>
      </c>
      <c r="Y1933" s="152" t="s">
        <v>1328</v>
      </c>
      <c r="Z1933" s="152" t="s">
        <v>1327</v>
      </c>
    </row>
    <row r="1934" spans="1:26" x14ac:dyDescent="0.2">
      <c r="A1934" s="152" t="s">
        <v>3028</v>
      </c>
      <c r="B1934" s="152">
        <v>0</v>
      </c>
      <c r="C1934" s="151">
        <v>43433</v>
      </c>
      <c r="D1934" s="152">
        <v>9.5890000000000003E-2</v>
      </c>
      <c r="E1934" s="152" t="s">
        <v>1325</v>
      </c>
      <c r="F1934" s="152" t="s">
        <v>1326</v>
      </c>
      <c r="G1934" s="152"/>
      <c r="H1934" s="152"/>
      <c r="I1934" s="151">
        <v>43343</v>
      </c>
      <c r="J1934" s="152">
        <v>1.74</v>
      </c>
      <c r="K1934" s="152" t="s">
        <v>1327</v>
      </c>
      <c r="L1934" s="152" t="s">
        <v>1327</v>
      </c>
      <c r="M1934" s="152" t="s">
        <v>1327</v>
      </c>
      <c r="N1934" s="152" t="s">
        <v>1327</v>
      </c>
      <c r="O1934" s="152">
        <v>1.5640160000000001</v>
      </c>
      <c r="P1934" s="152">
        <v>28.755113000000001</v>
      </c>
      <c r="Q1934" s="152">
        <v>1.5640160000000001</v>
      </c>
      <c r="R1934" s="152" t="s">
        <v>1327</v>
      </c>
      <c r="S1934" s="152">
        <v>99.850250000000003</v>
      </c>
      <c r="T1934" s="152">
        <v>0</v>
      </c>
      <c r="U1934" s="152">
        <v>9.5746999999999999E-2</v>
      </c>
      <c r="V1934" s="152">
        <v>1.8335000000000001E-2</v>
      </c>
      <c r="W1934" s="152">
        <v>1000</v>
      </c>
      <c r="X1934" s="152" t="s">
        <v>23</v>
      </c>
      <c r="Y1934" s="152" t="s">
        <v>1328</v>
      </c>
      <c r="Z1934" s="152" t="s">
        <v>1327</v>
      </c>
    </row>
    <row r="1935" spans="1:26" x14ac:dyDescent="0.2">
      <c r="A1935" s="152" t="s">
        <v>3029</v>
      </c>
      <c r="B1935" s="152">
        <v>0</v>
      </c>
      <c r="C1935" s="151">
        <v>43468</v>
      </c>
      <c r="D1935" s="152">
        <v>0.19178100000000001</v>
      </c>
      <c r="E1935" s="152" t="s">
        <v>1325</v>
      </c>
      <c r="F1935" s="152" t="s">
        <v>1326</v>
      </c>
      <c r="G1935" s="152"/>
      <c r="H1935" s="152"/>
      <c r="I1935" s="151">
        <v>43277</v>
      </c>
      <c r="J1935" s="152">
        <v>1.74</v>
      </c>
      <c r="K1935" s="152" t="s">
        <v>1327</v>
      </c>
      <c r="L1935" s="152" t="s">
        <v>1327</v>
      </c>
      <c r="M1935" s="152" t="s">
        <v>1327</v>
      </c>
      <c r="N1935" s="152" t="s">
        <v>1327</v>
      </c>
      <c r="O1935" s="152">
        <v>1.729136</v>
      </c>
      <c r="P1935" s="152">
        <v>28.532502999999998</v>
      </c>
      <c r="Q1935" s="152">
        <v>1.729136</v>
      </c>
      <c r="R1935" s="152" t="s">
        <v>1327</v>
      </c>
      <c r="S1935" s="152">
        <v>99.669481000000005</v>
      </c>
      <c r="T1935" s="152">
        <v>0</v>
      </c>
      <c r="U1935" s="152">
        <v>0.19114700000000001</v>
      </c>
      <c r="V1935" s="152">
        <v>7.3074E-2</v>
      </c>
      <c r="W1935" s="152">
        <v>1000</v>
      </c>
      <c r="X1935" s="152" t="s">
        <v>23</v>
      </c>
      <c r="Y1935" s="152" t="s">
        <v>1328</v>
      </c>
      <c r="Z1935" s="152" t="s">
        <v>1327</v>
      </c>
    </row>
    <row r="1936" spans="1:26" x14ac:dyDescent="0.2">
      <c r="A1936" s="152" t="s">
        <v>3030</v>
      </c>
      <c r="B1936" s="152">
        <v>0</v>
      </c>
      <c r="C1936" s="151">
        <v>43475</v>
      </c>
      <c r="D1936" s="152">
        <v>0.21095900000000001</v>
      </c>
      <c r="E1936" s="152" t="s">
        <v>1325</v>
      </c>
      <c r="F1936" s="152" t="s">
        <v>1326</v>
      </c>
      <c r="G1936" s="152"/>
      <c r="H1936" s="152"/>
      <c r="I1936" s="151">
        <v>43385</v>
      </c>
      <c r="J1936" s="152">
        <v>1.7749999999999999</v>
      </c>
      <c r="K1936" s="152" t="s">
        <v>1327</v>
      </c>
      <c r="L1936" s="152" t="s">
        <v>1327</v>
      </c>
      <c r="M1936" s="152" t="s">
        <v>1327</v>
      </c>
      <c r="N1936" s="152" t="s">
        <v>1327</v>
      </c>
      <c r="O1936" s="152">
        <v>1.763109</v>
      </c>
      <c r="P1936" s="152">
        <v>28.897368</v>
      </c>
      <c r="Q1936" s="152">
        <v>1.763109</v>
      </c>
      <c r="R1936" s="152" t="s">
        <v>1327</v>
      </c>
      <c r="S1936" s="152">
        <v>99.629435000000001</v>
      </c>
      <c r="T1936" s="152">
        <v>0</v>
      </c>
      <c r="U1936" s="152">
        <v>0.210177</v>
      </c>
      <c r="V1936" s="152">
        <v>8.8348999999999997E-2</v>
      </c>
      <c r="W1936" s="152">
        <v>1000</v>
      </c>
      <c r="X1936" s="152" t="s">
        <v>23</v>
      </c>
      <c r="Y1936" s="152" t="s">
        <v>1328</v>
      </c>
      <c r="Z1936" s="152" t="s">
        <v>1327</v>
      </c>
    </row>
    <row r="1937" spans="1:26" x14ac:dyDescent="0.2">
      <c r="A1937" s="152" t="s">
        <v>3031</v>
      </c>
      <c r="B1937" s="152">
        <v>0</v>
      </c>
      <c r="C1937" s="151">
        <v>43481</v>
      </c>
      <c r="D1937" s="152">
        <v>0.22739699999999999</v>
      </c>
      <c r="E1937" s="152" t="s">
        <v>1325</v>
      </c>
      <c r="F1937" s="152" t="s">
        <v>1326</v>
      </c>
      <c r="G1937" s="152"/>
      <c r="H1937" s="152"/>
      <c r="I1937" s="151" t="s">
        <v>1327</v>
      </c>
      <c r="J1937" s="152" t="s">
        <v>1327</v>
      </c>
      <c r="K1937" s="152" t="s">
        <v>1327</v>
      </c>
      <c r="L1937" s="152" t="s">
        <v>1327</v>
      </c>
      <c r="M1937" s="152" t="s">
        <v>1327</v>
      </c>
      <c r="N1937" s="152" t="s">
        <v>1327</v>
      </c>
      <c r="O1937" s="152">
        <v>1.772772</v>
      </c>
      <c r="P1937" s="152">
        <v>27.361699999999999</v>
      </c>
      <c r="Q1937" s="152">
        <v>1.772772</v>
      </c>
      <c r="R1937" s="152" t="s">
        <v>1327</v>
      </c>
      <c r="S1937" s="152">
        <v>99.598495</v>
      </c>
      <c r="T1937" s="152">
        <v>0</v>
      </c>
      <c r="U1937" s="152">
        <v>0.22648399999999999</v>
      </c>
      <c r="V1937" s="152">
        <v>0.10259</v>
      </c>
      <c r="W1937" s="152">
        <v>1000</v>
      </c>
      <c r="X1937" s="152" t="s">
        <v>23</v>
      </c>
      <c r="Y1937" s="152" t="s">
        <v>1328</v>
      </c>
      <c r="Z1937" s="152" t="s">
        <v>1327</v>
      </c>
    </row>
    <row r="1938" spans="1:26" x14ac:dyDescent="0.2">
      <c r="A1938" s="152" t="s">
        <v>3032</v>
      </c>
      <c r="B1938" s="152">
        <v>0</v>
      </c>
      <c r="C1938" s="151">
        <v>43482</v>
      </c>
      <c r="D1938" s="152">
        <v>0.23013700000000001</v>
      </c>
      <c r="E1938" s="152" t="s">
        <v>1325</v>
      </c>
      <c r="F1938" s="152" t="s">
        <v>1326</v>
      </c>
      <c r="G1938" s="152"/>
      <c r="H1938" s="152"/>
      <c r="I1938" s="151" t="s">
        <v>1327</v>
      </c>
      <c r="J1938" s="152" t="s">
        <v>1327</v>
      </c>
      <c r="K1938" s="152" t="s">
        <v>1327</v>
      </c>
      <c r="L1938" s="152" t="s">
        <v>1327</v>
      </c>
      <c r="M1938" s="152" t="s">
        <v>1327</v>
      </c>
      <c r="N1938" s="152" t="s">
        <v>1327</v>
      </c>
      <c r="O1938" s="152">
        <v>1.772713</v>
      </c>
      <c r="P1938" s="152">
        <v>26.948837000000001</v>
      </c>
      <c r="Q1938" s="152">
        <v>1.772713</v>
      </c>
      <c r="R1938" s="152" t="s">
        <v>1327</v>
      </c>
      <c r="S1938" s="152">
        <v>99.593691000000007</v>
      </c>
      <c r="T1938" s="152">
        <v>0</v>
      </c>
      <c r="U1938" s="152">
        <v>0.22920199999999999</v>
      </c>
      <c r="V1938" s="152">
        <v>0.10506699999999999</v>
      </c>
      <c r="W1938" s="152">
        <v>1000</v>
      </c>
      <c r="X1938" s="152" t="s">
        <v>23</v>
      </c>
      <c r="Y1938" s="152" t="s">
        <v>1328</v>
      </c>
      <c r="Z1938" s="152" t="s">
        <v>1327</v>
      </c>
    </row>
    <row r="1939" spans="1:26" x14ac:dyDescent="0.2">
      <c r="A1939" s="152" t="s">
        <v>3033</v>
      </c>
      <c r="B1939" s="152">
        <v>0</v>
      </c>
      <c r="C1939" s="151">
        <v>43496</v>
      </c>
      <c r="D1939" s="152">
        <v>0.26849299999999998</v>
      </c>
      <c r="E1939" s="152" t="s">
        <v>1325</v>
      </c>
      <c r="F1939" s="152" t="s">
        <v>1326</v>
      </c>
      <c r="G1939" s="152"/>
      <c r="H1939" s="152"/>
      <c r="I1939" s="151">
        <v>43306</v>
      </c>
      <c r="J1939" s="152">
        <v>1.77</v>
      </c>
      <c r="K1939" s="152" t="s">
        <v>1327</v>
      </c>
      <c r="L1939" s="152" t="s">
        <v>1327</v>
      </c>
      <c r="M1939" s="152" t="s">
        <v>1327</v>
      </c>
      <c r="N1939" s="152" t="s">
        <v>1327</v>
      </c>
      <c r="O1939" s="152">
        <v>1.8299810000000001</v>
      </c>
      <c r="P1939" s="152">
        <v>27.467033000000001</v>
      </c>
      <c r="Q1939" s="152">
        <v>1.8299810000000001</v>
      </c>
      <c r="R1939" s="152" t="s">
        <v>1327</v>
      </c>
      <c r="S1939" s="152">
        <v>99.511065000000002</v>
      </c>
      <c r="T1939" s="152">
        <v>0</v>
      </c>
      <c r="U1939" s="152">
        <v>0.26717999999999997</v>
      </c>
      <c r="V1939" s="152">
        <v>0.14277100000000001</v>
      </c>
      <c r="W1939" s="152">
        <v>1000</v>
      </c>
      <c r="X1939" s="152" t="s">
        <v>23</v>
      </c>
      <c r="Y1939" s="152" t="s">
        <v>1328</v>
      </c>
      <c r="Z1939" s="152" t="s">
        <v>1327</v>
      </c>
    </row>
    <row r="1940" spans="1:26" x14ac:dyDescent="0.2">
      <c r="A1940" s="152" t="s">
        <v>3034</v>
      </c>
      <c r="B1940" s="152">
        <v>0</v>
      </c>
      <c r="C1940" s="151">
        <v>43510</v>
      </c>
      <c r="D1940" s="152">
        <v>0.30684899999999998</v>
      </c>
      <c r="E1940" s="152" t="s">
        <v>1325</v>
      </c>
      <c r="F1940" s="152" t="s">
        <v>1326</v>
      </c>
      <c r="G1940" s="152"/>
      <c r="H1940" s="152"/>
      <c r="I1940" s="151">
        <v>43314</v>
      </c>
      <c r="J1940" s="152">
        <v>1.77</v>
      </c>
      <c r="K1940" s="152" t="s">
        <v>1327</v>
      </c>
      <c r="L1940" s="152" t="s">
        <v>1327</v>
      </c>
      <c r="M1940" s="152" t="s">
        <v>1327</v>
      </c>
      <c r="N1940" s="152" t="s">
        <v>1327</v>
      </c>
      <c r="O1940" s="152">
        <v>1.864881</v>
      </c>
      <c r="P1940" s="152">
        <v>26.483867</v>
      </c>
      <c r="Q1940" s="152">
        <v>1.864881</v>
      </c>
      <c r="R1940" s="152" t="s">
        <v>1327</v>
      </c>
      <c r="S1940" s="152">
        <v>99.431017999999995</v>
      </c>
      <c r="T1940" s="152">
        <v>0</v>
      </c>
      <c r="U1940" s="152">
        <v>0.30510300000000001</v>
      </c>
      <c r="V1940" s="152">
        <v>0.18617600000000001</v>
      </c>
      <c r="W1940" s="152">
        <v>1000</v>
      </c>
      <c r="X1940" s="152" t="s">
        <v>23</v>
      </c>
      <c r="Y1940" s="152" t="s">
        <v>1328</v>
      </c>
      <c r="Z1940" s="152" t="s">
        <v>1327</v>
      </c>
    </row>
    <row r="1941" spans="1:26" x14ac:dyDescent="0.2">
      <c r="A1941" s="152" t="s">
        <v>3035</v>
      </c>
      <c r="B1941" s="152">
        <v>0</v>
      </c>
      <c r="C1941" s="151">
        <v>43510</v>
      </c>
      <c r="D1941" s="152">
        <v>0.30684899999999998</v>
      </c>
      <c r="E1941" s="152" t="s">
        <v>1325</v>
      </c>
      <c r="F1941" s="152" t="s">
        <v>1326</v>
      </c>
      <c r="G1941" s="152"/>
      <c r="H1941" s="152"/>
      <c r="I1941" s="151">
        <v>43320</v>
      </c>
      <c r="J1941" s="152">
        <v>1.77</v>
      </c>
      <c r="K1941" s="152" t="s">
        <v>1327</v>
      </c>
      <c r="L1941" s="152" t="s">
        <v>1327</v>
      </c>
      <c r="M1941" s="152" t="s">
        <v>1327</v>
      </c>
      <c r="N1941" s="152" t="s">
        <v>1327</v>
      </c>
      <c r="O1941" s="152">
        <v>1.864881</v>
      </c>
      <c r="P1941" s="152">
        <v>26.483867</v>
      </c>
      <c r="Q1941" s="152">
        <v>1.864881</v>
      </c>
      <c r="R1941" s="152" t="s">
        <v>1327</v>
      </c>
      <c r="S1941" s="152">
        <v>99.431017999999995</v>
      </c>
      <c r="T1941" s="152">
        <v>0</v>
      </c>
      <c r="U1941" s="152">
        <v>0.30510300000000001</v>
      </c>
      <c r="V1941" s="152">
        <v>0.18617600000000001</v>
      </c>
      <c r="W1941" s="152">
        <v>1000</v>
      </c>
      <c r="X1941" s="152" t="s">
        <v>23</v>
      </c>
      <c r="Y1941" s="152" t="s">
        <v>1328</v>
      </c>
      <c r="Z1941" s="152" t="s">
        <v>1327</v>
      </c>
    </row>
    <row r="1942" spans="1:26" x14ac:dyDescent="0.2">
      <c r="A1942" s="152" t="s">
        <v>3036</v>
      </c>
      <c r="B1942" s="152">
        <v>0</v>
      </c>
      <c r="C1942" s="151">
        <v>43531</v>
      </c>
      <c r="D1942" s="152">
        <v>0.36438399999999999</v>
      </c>
      <c r="E1942" s="152" t="s">
        <v>1325</v>
      </c>
      <c r="F1942" s="152" t="s">
        <v>1326</v>
      </c>
      <c r="G1942" s="152"/>
      <c r="H1942" s="152"/>
      <c r="I1942" s="151">
        <v>43341</v>
      </c>
      <c r="J1942" s="152">
        <v>2.15</v>
      </c>
      <c r="K1942" s="152" t="s">
        <v>1327</v>
      </c>
      <c r="L1942" s="152" t="s">
        <v>1327</v>
      </c>
      <c r="M1942" s="152" t="s">
        <v>1327</v>
      </c>
      <c r="N1942" s="152" t="s">
        <v>1327</v>
      </c>
      <c r="O1942" s="152">
        <v>2.2647529999999998</v>
      </c>
      <c r="P1942" s="152">
        <v>61.499313000000001</v>
      </c>
      <c r="Q1942" s="152">
        <v>2.2647529999999998</v>
      </c>
      <c r="R1942" s="152" t="s">
        <v>1327</v>
      </c>
      <c r="S1942" s="152">
        <v>99.181516000000002</v>
      </c>
      <c r="T1942" s="152">
        <v>0</v>
      </c>
      <c r="U1942" s="152">
        <v>0.36140099999999997</v>
      </c>
      <c r="V1942" s="152">
        <v>0.26122200000000001</v>
      </c>
      <c r="W1942" s="152">
        <v>1000</v>
      </c>
      <c r="X1942" s="152" t="s">
        <v>23</v>
      </c>
      <c r="Y1942" s="152" t="s">
        <v>1328</v>
      </c>
      <c r="Z1942" s="152" t="s">
        <v>1327</v>
      </c>
    </row>
    <row r="1943" spans="1:26" x14ac:dyDescent="0.2">
      <c r="A1943" s="152" t="s">
        <v>3037</v>
      </c>
      <c r="B1943" s="152">
        <v>0</v>
      </c>
      <c r="C1943" s="151">
        <v>43538</v>
      </c>
      <c r="D1943" s="152">
        <v>0.38356200000000001</v>
      </c>
      <c r="E1943" s="152" t="s">
        <v>1325</v>
      </c>
      <c r="F1943" s="152" t="s">
        <v>1326</v>
      </c>
      <c r="G1943" s="152"/>
      <c r="H1943" s="152"/>
      <c r="I1943" s="151">
        <v>43270</v>
      </c>
      <c r="J1943" s="152">
        <v>6</v>
      </c>
      <c r="K1943" s="152" t="s">
        <v>1327</v>
      </c>
      <c r="L1943" s="152" t="s">
        <v>1327</v>
      </c>
      <c r="M1943" s="152" t="s">
        <v>1327</v>
      </c>
      <c r="N1943" s="152" t="s">
        <v>1327</v>
      </c>
      <c r="O1943" s="152">
        <v>5.8654159999999997</v>
      </c>
      <c r="P1943" s="152">
        <v>429.08794999999998</v>
      </c>
      <c r="Q1943" s="152">
        <v>5.8654159999999997</v>
      </c>
      <c r="R1943" s="152" t="s">
        <v>1327</v>
      </c>
      <c r="S1943" s="152">
        <v>97.799751000000001</v>
      </c>
      <c r="T1943" s="152">
        <v>0</v>
      </c>
      <c r="U1943" s="152">
        <v>0.37512200000000001</v>
      </c>
      <c r="V1943" s="152">
        <v>0.28143400000000002</v>
      </c>
      <c r="W1943" s="152">
        <v>1000</v>
      </c>
      <c r="X1943" s="152" t="s">
        <v>23</v>
      </c>
      <c r="Y1943" s="152" t="s">
        <v>1328</v>
      </c>
      <c r="Z1943" s="152" t="s">
        <v>1327</v>
      </c>
    </row>
    <row r="1944" spans="1:26" x14ac:dyDescent="0.2">
      <c r="A1944" s="152" t="s">
        <v>3038</v>
      </c>
      <c r="B1944" s="152">
        <v>0</v>
      </c>
      <c r="C1944" s="151">
        <v>43559</v>
      </c>
      <c r="D1944" s="152">
        <v>0.44109599999999999</v>
      </c>
      <c r="E1944" s="152" t="s">
        <v>1325</v>
      </c>
      <c r="F1944" s="152" t="s">
        <v>1326</v>
      </c>
      <c r="G1944" s="152"/>
      <c r="H1944" s="152"/>
      <c r="I1944" s="151">
        <v>43293</v>
      </c>
      <c r="J1944" s="152">
        <v>6</v>
      </c>
      <c r="K1944" s="152" t="s">
        <v>1327</v>
      </c>
      <c r="L1944" s="152" t="s">
        <v>1327</v>
      </c>
      <c r="M1944" s="152" t="s">
        <v>1327</v>
      </c>
      <c r="N1944" s="152" t="s">
        <v>1327</v>
      </c>
      <c r="O1944" s="152">
        <v>5.9141870000000001</v>
      </c>
      <c r="P1944" s="152">
        <v>429.39306399999998</v>
      </c>
      <c r="Q1944" s="152">
        <v>5.9141870000000001</v>
      </c>
      <c r="R1944" s="152" t="s">
        <v>1327</v>
      </c>
      <c r="S1944" s="152">
        <v>97.457600999999997</v>
      </c>
      <c r="T1944" s="152">
        <v>0</v>
      </c>
      <c r="U1944" s="152">
        <v>0.42988100000000001</v>
      </c>
      <c r="V1944" s="152">
        <v>0.36959599999999998</v>
      </c>
      <c r="W1944" s="152">
        <v>1000</v>
      </c>
      <c r="X1944" s="152" t="s">
        <v>23</v>
      </c>
      <c r="Y1944" s="152" t="s">
        <v>1328</v>
      </c>
      <c r="Z1944" s="152" t="s">
        <v>1327</v>
      </c>
    </row>
    <row r="1945" spans="1:26" x14ac:dyDescent="0.2">
      <c r="A1945" s="152" t="s">
        <v>3039</v>
      </c>
      <c r="B1945" s="152">
        <v>0</v>
      </c>
      <c r="C1945" s="151">
        <v>43497</v>
      </c>
      <c r="D1945" s="152">
        <v>0.271233</v>
      </c>
      <c r="E1945" s="152" t="s">
        <v>1325</v>
      </c>
      <c r="F1945" s="152" t="s">
        <v>1326</v>
      </c>
      <c r="G1945" s="152"/>
      <c r="H1945" s="152"/>
      <c r="I1945" s="151" t="s">
        <v>1327</v>
      </c>
      <c r="J1945" s="152" t="s">
        <v>1327</v>
      </c>
      <c r="K1945" s="152" t="s">
        <v>1327</v>
      </c>
      <c r="L1945" s="152" t="s">
        <v>1327</v>
      </c>
      <c r="M1945" s="152" t="s">
        <v>1327</v>
      </c>
      <c r="N1945" s="152" t="s">
        <v>1327</v>
      </c>
      <c r="O1945" s="152">
        <v>1.8857379999999999</v>
      </c>
      <c r="P1945" s="152">
        <v>32.770986999999998</v>
      </c>
      <c r="Q1945" s="152">
        <v>1.8857379999999999</v>
      </c>
      <c r="R1945" s="152" t="s">
        <v>1327</v>
      </c>
      <c r="S1945" s="152">
        <v>99.491129000000001</v>
      </c>
      <c r="T1945" s="152">
        <v>0</v>
      </c>
      <c r="U1945" s="152">
        <v>0.26985300000000001</v>
      </c>
      <c r="V1945" s="152">
        <v>0.14564099999999999</v>
      </c>
      <c r="W1945" s="152">
        <v>1000</v>
      </c>
      <c r="X1945" s="152" t="s">
        <v>23</v>
      </c>
      <c r="Y1945" s="152" t="s">
        <v>1921</v>
      </c>
      <c r="Z1945" s="152" t="s">
        <v>1327</v>
      </c>
    </row>
    <row r="1946" spans="1:26" x14ac:dyDescent="0.2">
      <c r="A1946" s="152" t="s">
        <v>3040</v>
      </c>
      <c r="B1946" s="152">
        <v>0</v>
      </c>
      <c r="C1946" s="151">
        <v>43482</v>
      </c>
      <c r="D1946" s="152">
        <v>0.23013700000000001</v>
      </c>
      <c r="E1946" s="152" t="s">
        <v>1325</v>
      </c>
      <c r="F1946" s="152" t="s">
        <v>1326</v>
      </c>
      <c r="G1946" s="152"/>
      <c r="H1946" s="152"/>
      <c r="I1946" s="151" t="s">
        <v>1327</v>
      </c>
      <c r="J1946" s="152" t="s">
        <v>1327</v>
      </c>
      <c r="K1946" s="152" t="s">
        <v>1327</v>
      </c>
      <c r="L1946" s="152" t="s">
        <v>1327</v>
      </c>
      <c r="M1946" s="152" t="s">
        <v>1327</v>
      </c>
      <c r="N1946" s="152" t="s">
        <v>1327</v>
      </c>
      <c r="O1946" s="152">
        <v>3.9279500000000001</v>
      </c>
      <c r="P1946" s="152">
        <v>247.24014299999999</v>
      </c>
      <c r="Q1946" s="152">
        <v>3.9279500000000001</v>
      </c>
      <c r="R1946" s="152" t="s">
        <v>1327</v>
      </c>
      <c r="S1946" s="152">
        <v>99.104132000000007</v>
      </c>
      <c r="T1946" s="152">
        <v>0</v>
      </c>
      <c r="U1946" s="152">
        <v>0.228075</v>
      </c>
      <c r="V1946" s="152">
        <v>0.104037</v>
      </c>
      <c r="W1946" s="152">
        <v>1000</v>
      </c>
      <c r="X1946" s="152" t="s">
        <v>23</v>
      </c>
      <c r="Y1946" s="152" t="s">
        <v>1328</v>
      </c>
      <c r="Z1946" s="152" t="s">
        <v>1327</v>
      </c>
    </row>
    <row r="1947" spans="1:26" x14ac:dyDescent="0.2">
      <c r="A1947" s="152" t="s">
        <v>3041</v>
      </c>
      <c r="B1947" s="152">
        <v>6</v>
      </c>
      <c r="C1947" s="151">
        <v>43487</v>
      </c>
      <c r="D1947" s="152">
        <v>0.243836</v>
      </c>
      <c r="E1947" s="152" t="s">
        <v>1325</v>
      </c>
      <c r="F1947" s="152" t="s">
        <v>1326</v>
      </c>
      <c r="G1947" s="152"/>
      <c r="H1947" s="152"/>
      <c r="I1947" s="151" t="s">
        <v>1327</v>
      </c>
      <c r="J1947" s="152" t="s">
        <v>1327</v>
      </c>
      <c r="K1947" s="152" t="s">
        <v>1327</v>
      </c>
      <c r="L1947" s="152" t="s">
        <v>1327</v>
      </c>
      <c r="M1947" s="152" t="s">
        <v>1327</v>
      </c>
      <c r="N1947" s="152" t="s">
        <v>1327</v>
      </c>
      <c r="O1947" s="152">
        <v>5.662185</v>
      </c>
      <c r="P1947" s="152">
        <v>424.86282999999997</v>
      </c>
      <c r="Q1947" s="152">
        <v>5.662185</v>
      </c>
      <c r="R1947" s="152" t="s">
        <v>1327</v>
      </c>
      <c r="S1947" s="152">
        <v>100.068654</v>
      </c>
      <c r="T1947" s="152">
        <v>4.9314999999999998E-2</v>
      </c>
      <c r="U1947" s="152">
        <v>0.24043200000000001</v>
      </c>
      <c r="V1947" s="152">
        <v>0.117077</v>
      </c>
      <c r="W1947" s="152">
        <v>1000</v>
      </c>
      <c r="X1947" s="152" t="s">
        <v>23</v>
      </c>
      <c r="Y1947" s="152" t="s">
        <v>1328</v>
      </c>
      <c r="Z1947" s="152" t="s">
        <v>1327</v>
      </c>
    </row>
    <row r="1948" spans="1:26" x14ac:dyDescent="0.2">
      <c r="A1948" s="152" t="s">
        <v>3042</v>
      </c>
      <c r="B1948" s="152">
        <v>0</v>
      </c>
      <c r="C1948" s="151">
        <v>43412</v>
      </c>
      <c r="D1948" s="152">
        <v>3.8356000000000001E-2</v>
      </c>
      <c r="E1948" s="152" t="s">
        <v>1325</v>
      </c>
      <c r="F1948" s="152" t="s">
        <v>1326</v>
      </c>
      <c r="G1948" s="152"/>
      <c r="H1948" s="152"/>
      <c r="I1948" s="152">
        <v>43143</v>
      </c>
      <c r="J1948" s="152">
        <v>1.58</v>
      </c>
      <c r="K1948" s="152" t="s">
        <v>1327</v>
      </c>
      <c r="L1948" s="152" t="s">
        <v>1327</v>
      </c>
      <c r="M1948" s="152" t="s">
        <v>1327</v>
      </c>
      <c r="N1948" s="152" t="s">
        <v>1327</v>
      </c>
      <c r="O1948" s="152">
        <v>1.378676</v>
      </c>
      <c r="P1948" s="152">
        <v>20.583217999999999</v>
      </c>
      <c r="Q1948" s="152">
        <v>1.378676</v>
      </c>
      <c r="R1948" s="152" t="s">
        <v>1327</v>
      </c>
      <c r="S1948" s="152">
        <v>99.947147000000001</v>
      </c>
      <c r="T1948" s="152">
        <v>0</v>
      </c>
      <c r="U1948" s="152">
        <v>3.8336000000000002E-2</v>
      </c>
      <c r="V1948" s="152">
        <v>2.9390000000000002E-3</v>
      </c>
      <c r="W1948" s="152">
        <v>1000</v>
      </c>
      <c r="X1948" s="152" t="s">
        <v>23</v>
      </c>
      <c r="Y1948" s="152" t="s">
        <v>1328</v>
      </c>
      <c r="Z1948" s="152" t="s">
        <v>1327</v>
      </c>
    </row>
    <row r="1949" spans="1:26" x14ac:dyDescent="0.2">
      <c r="A1949" s="152" t="s">
        <v>3043</v>
      </c>
      <c r="B1949" s="152">
        <v>0</v>
      </c>
      <c r="C1949" s="151">
        <v>43426</v>
      </c>
      <c r="D1949" s="152">
        <v>7.6712000000000002E-2</v>
      </c>
      <c r="E1949" s="152" t="s">
        <v>1325</v>
      </c>
      <c r="F1949" s="152" t="s">
        <v>1326</v>
      </c>
      <c r="G1949" s="152"/>
      <c r="H1949" s="152"/>
      <c r="I1949" s="151">
        <v>43238</v>
      </c>
      <c r="J1949" s="152">
        <v>1.7</v>
      </c>
      <c r="K1949" s="152" t="s">
        <v>1327</v>
      </c>
      <c r="L1949" s="152" t="s">
        <v>1327</v>
      </c>
      <c r="M1949" s="152" t="s">
        <v>1327</v>
      </c>
      <c r="N1949" s="152" t="s">
        <v>1327</v>
      </c>
      <c r="O1949" s="152">
        <v>1.419227</v>
      </c>
      <c r="P1949" s="152">
        <v>17.625157000000002</v>
      </c>
      <c r="Q1949" s="152">
        <v>1.419227</v>
      </c>
      <c r="R1949" s="152" t="s">
        <v>1327</v>
      </c>
      <c r="S1949" s="152">
        <v>99.891245999999995</v>
      </c>
      <c r="T1949" s="152">
        <v>0</v>
      </c>
      <c r="U1949" s="152">
        <v>7.6629000000000003E-2</v>
      </c>
      <c r="V1949" s="152">
        <v>1.1743999999999999E-2</v>
      </c>
      <c r="W1949" s="152">
        <v>1000</v>
      </c>
      <c r="X1949" s="152" t="s">
        <v>23</v>
      </c>
      <c r="Y1949" s="152" t="s">
        <v>1328</v>
      </c>
      <c r="Z1949" s="152" t="s">
        <v>1327</v>
      </c>
    </row>
    <row r="1950" spans="1:26" x14ac:dyDescent="0.2">
      <c r="A1950" s="152" t="s">
        <v>3044</v>
      </c>
      <c r="B1950" s="152">
        <v>0</v>
      </c>
      <c r="C1950" s="151">
        <v>43501</v>
      </c>
      <c r="D1950" s="152">
        <v>0.282192</v>
      </c>
      <c r="E1950" s="152" t="s">
        <v>1325</v>
      </c>
      <c r="F1950" s="152" t="s">
        <v>1326</v>
      </c>
      <c r="G1950" s="152"/>
      <c r="H1950" s="152"/>
      <c r="I1950" s="151">
        <v>43319</v>
      </c>
      <c r="J1950" s="152">
        <v>1.7</v>
      </c>
      <c r="K1950" s="152" t="s">
        <v>1327</v>
      </c>
      <c r="L1950" s="152" t="s">
        <v>1327</v>
      </c>
      <c r="M1950" s="152" t="s">
        <v>1327</v>
      </c>
      <c r="N1950" s="152" t="s">
        <v>1327</v>
      </c>
      <c r="O1950" s="152">
        <v>1.773873</v>
      </c>
      <c r="P1950" s="152">
        <v>20.084803000000001</v>
      </c>
      <c r="Q1950" s="152">
        <v>1.773873</v>
      </c>
      <c r="R1950" s="152" t="s">
        <v>1327</v>
      </c>
      <c r="S1950" s="152">
        <v>99.501920999999996</v>
      </c>
      <c r="T1950" s="152">
        <v>0</v>
      </c>
      <c r="U1950" s="152">
        <v>0.28078599999999998</v>
      </c>
      <c r="V1950" s="152">
        <v>0.15768199999999999</v>
      </c>
      <c r="W1950" s="152">
        <v>1000</v>
      </c>
      <c r="X1950" s="152" t="s">
        <v>23</v>
      </c>
      <c r="Y1950" s="152" t="s">
        <v>1328</v>
      </c>
      <c r="Z1950" s="152" t="s">
        <v>1327</v>
      </c>
    </row>
    <row r="1951" spans="1:26" x14ac:dyDescent="0.2">
      <c r="A1951" s="152" t="s">
        <v>3045</v>
      </c>
      <c r="B1951" s="152">
        <v>0</v>
      </c>
      <c r="C1951" s="151">
        <v>43529</v>
      </c>
      <c r="D1951" s="152">
        <v>0.358904</v>
      </c>
      <c r="E1951" s="152" t="s">
        <v>1325</v>
      </c>
      <c r="F1951" s="152" t="s">
        <v>1326</v>
      </c>
      <c r="G1951" s="152"/>
      <c r="H1951" s="152"/>
      <c r="I1951" s="151">
        <v>43354</v>
      </c>
      <c r="J1951" s="152">
        <v>1.74</v>
      </c>
      <c r="K1951" s="152" t="s">
        <v>1327</v>
      </c>
      <c r="L1951" s="152" t="s">
        <v>1327</v>
      </c>
      <c r="M1951" s="152" t="s">
        <v>1327</v>
      </c>
      <c r="N1951" s="152" t="s">
        <v>1327</v>
      </c>
      <c r="O1951" s="152">
        <v>1.8592649999999999</v>
      </c>
      <c r="P1951" s="152">
        <v>20.880775</v>
      </c>
      <c r="Q1951" s="152">
        <v>1.8592649999999999</v>
      </c>
      <c r="R1951" s="152" t="s">
        <v>1327</v>
      </c>
      <c r="S1951" s="152">
        <v>99.337125</v>
      </c>
      <c r="T1951" s="152">
        <v>0</v>
      </c>
      <c r="U1951" s="152">
        <v>0.35652499999999998</v>
      </c>
      <c r="V1951" s="152">
        <v>0.25422</v>
      </c>
      <c r="W1951" s="152">
        <v>1000</v>
      </c>
      <c r="X1951" s="152" t="s">
        <v>23</v>
      </c>
      <c r="Y1951" s="152" t="s">
        <v>1328</v>
      </c>
      <c r="Z1951" s="152" t="s">
        <v>1327</v>
      </c>
    </row>
    <row r="1952" spans="1:26" x14ac:dyDescent="0.2">
      <c r="A1952" s="152" t="s">
        <v>3046</v>
      </c>
      <c r="B1952" s="152">
        <v>0</v>
      </c>
      <c r="C1952" s="151">
        <v>43536</v>
      </c>
      <c r="D1952" s="152">
        <v>0.37808199999999997</v>
      </c>
      <c r="E1952" s="152" t="s">
        <v>1325</v>
      </c>
      <c r="F1952" s="152" t="s">
        <v>1326</v>
      </c>
      <c r="G1952" s="152"/>
      <c r="H1952" s="152"/>
      <c r="I1952" s="151">
        <v>43363</v>
      </c>
      <c r="J1952" s="152">
        <v>1.75</v>
      </c>
      <c r="K1952" s="152" t="s">
        <v>1327</v>
      </c>
      <c r="L1952" s="152" t="s">
        <v>1327</v>
      </c>
      <c r="M1952" s="152" t="s">
        <v>1327</v>
      </c>
      <c r="N1952" s="152" t="s">
        <v>1327</v>
      </c>
      <c r="O1952" s="152">
        <v>1.880406</v>
      </c>
      <c r="P1952" s="152">
        <v>21.449525999999999</v>
      </c>
      <c r="Q1952" s="152">
        <v>1.880406</v>
      </c>
      <c r="R1952" s="152" t="s">
        <v>1327</v>
      </c>
      <c r="S1952" s="152">
        <v>99.294071000000002</v>
      </c>
      <c r="T1952" s="152">
        <v>0</v>
      </c>
      <c r="U1952" s="152">
        <v>0.375413</v>
      </c>
      <c r="V1952" s="152">
        <v>0.28187000000000001</v>
      </c>
      <c r="W1952" s="152">
        <v>1000</v>
      </c>
      <c r="X1952" s="152" t="s">
        <v>23</v>
      </c>
      <c r="Y1952" s="152" t="s">
        <v>1328</v>
      </c>
      <c r="Z1952" s="152" t="s">
        <v>1327</v>
      </c>
    </row>
    <row r="1953" spans="1:26" x14ac:dyDescent="0.2">
      <c r="A1953" s="152" t="s">
        <v>3047</v>
      </c>
      <c r="B1953" s="152">
        <v>0</v>
      </c>
      <c r="C1953" s="151">
        <v>43448</v>
      </c>
      <c r="D1953" s="152">
        <v>0.136986</v>
      </c>
      <c r="E1953" s="152" t="s">
        <v>1325</v>
      </c>
      <c r="F1953" s="152" t="s">
        <v>1326</v>
      </c>
      <c r="G1953" s="152"/>
      <c r="H1953" s="152"/>
      <c r="I1953" s="151" t="s">
        <v>1327</v>
      </c>
      <c r="J1953" s="152" t="s">
        <v>1327</v>
      </c>
      <c r="K1953" s="152" t="s">
        <v>1327</v>
      </c>
      <c r="L1953" s="152" t="s">
        <v>1327</v>
      </c>
      <c r="M1953" s="152" t="s">
        <v>1327</v>
      </c>
      <c r="N1953" s="152" t="s">
        <v>1327</v>
      </c>
      <c r="O1953" s="152">
        <v>1.7780279999999999</v>
      </c>
      <c r="P1953" s="152">
        <v>42.965921000000002</v>
      </c>
      <c r="Q1953" s="152">
        <v>1.7780279999999999</v>
      </c>
      <c r="R1953" s="152" t="s">
        <v>1327</v>
      </c>
      <c r="S1953" s="152">
        <v>99.757025999999996</v>
      </c>
      <c r="T1953" s="152">
        <v>0</v>
      </c>
      <c r="U1953" s="152">
        <v>0.136653</v>
      </c>
      <c r="V1953" s="152">
        <v>3.7347999999999999E-2</v>
      </c>
      <c r="W1953" s="152">
        <v>1000</v>
      </c>
      <c r="X1953" s="152" t="s">
        <v>23</v>
      </c>
      <c r="Y1953" s="152" t="s">
        <v>1921</v>
      </c>
      <c r="Z1953" s="152" t="s">
        <v>1327</v>
      </c>
    </row>
    <row r="1954" spans="1:26" x14ac:dyDescent="0.2">
      <c r="A1954" s="152" t="s">
        <v>3048</v>
      </c>
      <c r="B1954" s="152">
        <v>0</v>
      </c>
      <c r="C1954" s="151">
        <v>43455</v>
      </c>
      <c r="D1954" s="152">
        <v>0.156164</v>
      </c>
      <c r="E1954" s="152" t="s">
        <v>1325</v>
      </c>
      <c r="F1954" s="152" t="s">
        <v>1326</v>
      </c>
      <c r="G1954" s="152"/>
      <c r="H1954" s="152"/>
      <c r="I1954" s="151" t="s">
        <v>1327</v>
      </c>
      <c r="J1954" s="152" t="s">
        <v>1327</v>
      </c>
      <c r="K1954" s="152" t="s">
        <v>1327</v>
      </c>
      <c r="L1954" s="152" t="s">
        <v>1327</v>
      </c>
      <c r="M1954" s="152" t="s">
        <v>1327</v>
      </c>
      <c r="N1954" s="152" t="s">
        <v>1327</v>
      </c>
      <c r="O1954" s="152">
        <v>1.8110889999999999</v>
      </c>
      <c r="P1954" s="152">
        <v>42.913161000000002</v>
      </c>
      <c r="Q1954" s="152">
        <v>1.8110889999999999</v>
      </c>
      <c r="R1954" s="152" t="s">
        <v>1327</v>
      </c>
      <c r="S1954" s="152">
        <v>99.717969999999994</v>
      </c>
      <c r="T1954" s="152">
        <v>0</v>
      </c>
      <c r="U1954" s="152">
        <v>0.155724</v>
      </c>
      <c r="V1954" s="152">
        <v>4.8500000000000001E-2</v>
      </c>
      <c r="W1954" s="152">
        <v>1000</v>
      </c>
      <c r="X1954" s="152" t="s">
        <v>23</v>
      </c>
      <c r="Y1954" s="152" t="s">
        <v>1921</v>
      </c>
      <c r="Z1954" s="152" t="s">
        <v>1327</v>
      </c>
    </row>
    <row r="1955" spans="1:26" x14ac:dyDescent="0.2">
      <c r="A1955" s="152" t="s">
        <v>3049</v>
      </c>
      <c r="B1955" s="152">
        <v>0</v>
      </c>
      <c r="C1955" s="151">
        <v>43434</v>
      </c>
      <c r="D1955" s="152">
        <v>9.8629999999999995E-2</v>
      </c>
      <c r="E1955" s="152" t="s">
        <v>1325</v>
      </c>
      <c r="F1955" s="152" t="s">
        <v>1326</v>
      </c>
      <c r="G1955" s="152"/>
      <c r="H1955" s="152"/>
      <c r="I1955" s="152" t="s">
        <v>1327</v>
      </c>
      <c r="J1955" s="152" t="s">
        <v>1327</v>
      </c>
      <c r="K1955" s="152" t="s">
        <v>1327</v>
      </c>
      <c r="L1955" s="152" t="s">
        <v>1327</v>
      </c>
      <c r="M1955" s="152" t="s">
        <v>1327</v>
      </c>
      <c r="N1955" s="152" t="s">
        <v>1327</v>
      </c>
      <c r="O1955" s="152">
        <v>1.712798</v>
      </c>
      <c r="P1955" s="152">
        <v>43.348775000000003</v>
      </c>
      <c r="Q1955" s="152">
        <v>1.712798</v>
      </c>
      <c r="R1955" s="152" t="s">
        <v>1327</v>
      </c>
      <c r="S1955" s="152">
        <v>99.831350999999998</v>
      </c>
      <c r="T1955" s="152">
        <v>0</v>
      </c>
      <c r="U1955" s="152">
        <v>9.8463999999999996E-2</v>
      </c>
      <c r="V1955" s="152">
        <v>1.9390000000000001E-2</v>
      </c>
      <c r="W1955" s="152">
        <v>1000</v>
      </c>
      <c r="X1955" s="152" t="s">
        <v>23</v>
      </c>
      <c r="Y1955" s="152" t="s">
        <v>1921</v>
      </c>
      <c r="Z1955" s="152" t="s">
        <v>1327</v>
      </c>
    </row>
    <row r="1956" spans="1:26" x14ac:dyDescent="0.2">
      <c r="A1956" s="152" t="s">
        <v>3050</v>
      </c>
      <c r="B1956" s="152">
        <v>0</v>
      </c>
      <c r="C1956" s="151">
        <v>43501</v>
      </c>
      <c r="D1956" s="152">
        <v>0.282192</v>
      </c>
      <c r="E1956" s="152" t="s">
        <v>1325</v>
      </c>
      <c r="F1956" s="152" t="s">
        <v>1326</v>
      </c>
      <c r="G1956" s="152"/>
      <c r="H1956" s="152"/>
      <c r="I1956" s="151">
        <v>43319</v>
      </c>
      <c r="J1956" s="152">
        <v>1.64</v>
      </c>
      <c r="K1956" s="152" t="s">
        <v>1327</v>
      </c>
      <c r="L1956" s="152" t="s">
        <v>1327</v>
      </c>
      <c r="M1956" s="152" t="s">
        <v>1327</v>
      </c>
      <c r="N1956" s="152" t="s">
        <v>1327</v>
      </c>
      <c r="O1956" s="152">
        <v>1.7011849999999999</v>
      </c>
      <c r="P1956" s="152">
        <v>12.724964999999999</v>
      </c>
      <c r="Q1956" s="152">
        <v>1.7011849999999999</v>
      </c>
      <c r="R1956" s="152" t="s">
        <v>1327</v>
      </c>
      <c r="S1956" s="152">
        <v>99.522233</v>
      </c>
      <c r="T1956" s="152">
        <v>0</v>
      </c>
      <c r="U1956" s="152">
        <v>0.28084399999999998</v>
      </c>
      <c r="V1956" s="152">
        <v>0.157746</v>
      </c>
      <c r="W1956" s="152">
        <v>1000</v>
      </c>
      <c r="X1956" s="152" t="s">
        <v>23</v>
      </c>
      <c r="Y1956" s="152" t="s">
        <v>1328</v>
      </c>
      <c r="Z1956" s="152" t="s">
        <v>1327</v>
      </c>
    </row>
    <row r="1957" spans="1:26" x14ac:dyDescent="0.2">
      <c r="A1957" s="152" t="s">
        <v>185</v>
      </c>
      <c r="B1957" s="152">
        <v>0</v>
      </c>
      <c r="C1957" s="151">
        <v>43447</v>
      </c>
      <c r="D1957" s="152">
        <v>0.13424700000000001</v>
      </c>
      <c r="E1957" s="152" t="s">
        <v>1325</v>
      </c>
      <c r="F1957" s="152" t="s">
        <v>1326</v>
      </c>
      <c r="G1957" s="152"/>
      <c r="H1957" s="152"/>
      <c r="I1957" s="151" t="s">
        <v>1327</v>
      </c>
      <c r="J1957" s="152" t="s">
        <v>1327</v>
      </c>
      <c r="K1957" s="152" t="s">
        <v>1327</v>
      </c>
      <c r="L1957" s="152" t="s">
        <v>1327</v>
      </c>
      <c r="M1957" s="152" t="s">
        <v>1327</v>
      </c>
      <c r="N1957" s="152" t="s">
        <v>1327</v>
      </c>
      <c r="O1957" s="152">
        <v>1.642428</v>
      </c>
      <c r="P1957" s="152">
        <v>29.697261999999998</v>
      </c>
      <c r="Q1957" s="152">
        <v>1.642428</v>
      </c>
      <c r="R1957" s="152" t="s">
        <v>1327</v>
      </c>
      <c r="S1957" s="152">
        <v>99.779995</v>
      </c>
      <c r="T1957" s="152">
        <v>0</v>
      </c>
      <c r="U1957" s="152">
        <v>0.13395099999999999</v>
      </c>
      <c r="V1957" s="152">
        <v>3.5886000000000001E-2</v>
      </c>
      <c r="W1957" s="152">
        <v>1000</v>
      </c>
      <c r="X1957" s="152" t="s">
        <v>23</v>
      </c>
      <c r="Y1957" s="152" t="s">
        <v>1328</v>
      </c>
      <c r="Z1957" s="152" t="s">
        <v>1327</v>
      </c>
    </row>
    <row r="1958" spans="1:26" x14ac:dyDescent="0.2">
      <c r="A1958" s="152" t="s">
        <v>3051</v>
      </c>
      <c r="B1958" s="152">
        <v>0</v>
      </c>
      <c r="C1958" s="151">
        <v>43427</v>
      </c>
      <c r="D1958" s="152">
        <v>7.9451999999999995E-2</v>
      </c>
      <c r="E1958" s="152" t="s">
        <v>1325</v>
      </c>
      <c r="F1958" s="152" t="s">
        <v>1326</v>
      </c>
      <c r="G1958" s="152"/>
      <c r="H1958" s="152"/>
      <c r="I1958" s="151" t="s">
        <v>1327</v>
      </c>
      <c r="J1958" s="152" t="s">
        <v>1327</v>
      </c>
      <c r="K1958" s="152" t="s">
        <v>1327</v>
      </c>
      <c r="L1958" s="152" t="s">
        <v>1327</v>
      </c>
      <c r="M1958" s="152" t="s">
        <v>1327</v>
      </c>
      <c r="N1958" s="152" t="s">
        <v>1327</v>
      </c>
      <c r="O1958" s="152">
        <v>1.549701</v>
      </c>
      <c r="P1958" s="152">
        <v>30.344923000000001</v>
      </c>
      <c r="Q1958" s="152">
        <v>1.549701</v>
      </c>
      <c r="R1958" s="152" t="s">
        <v>1327</v>
      </c>
      <c r="S1958" s="152">
        <v>99.877024000000006</v>
      </c>
      <c r="T1958" s="152">
        <v>0</v>
      </c>
      <c r="U1958" s="152">
        <v>7.9353999999999994E-2</v>
      </c>
      <c r="V1958" s="152">
        <v>1.2593999999999999E-2</v>
      </c>
      <c r="W1958" s="152">
        <v>1000</v>
      </c>
      <c r="X1958" s="152" t="s">
        <v>23</v>
      </c>
      <c r="Y1958" s="152" t="s">
        <v>1328</v>
      </c>
      <c r="Z1958" s="152" t="s">
        <v>1327</v>
      </c>
    </row>
    <row r="1959" spans="1:26" x14ac:dyDescent="0.2">
      <c r="A1959" s="152" t="s">
        <v>3052</v>
      </c>
      <c r="B1959" s="152">
        <v>0</v>
      </c>
      <c r="C1959" s="151">
        <v>43427</v>
      </c>
      <c r="D1959" s="152">
        <v>7.9451999999999995E-2</v>
      </c>
      <c r="E1959" s="152" t="s">
        <v>1325</v>
      </c>
      <c r="F1959" s="152" t="s">
        <v>1326</v>
      </c>
      <c r="G1959" s="152"/>
      <c r="H1959" s="152"/>
      <c r="I1959" s="151" t="s">
        <v>1327</v>
      </c>
      <c r="J1959" s="152" t="s">
        <v>1327</v>
      </c>
      <c r="K1959" s="152" t="s">
        <v>1327</v>
      </c>
      <c r="L1959" s="152" t="s">
        <v>1327</v>
      </c>
      <c r="M1959" s="152" t="s">
        <v>1327</v>
      </c>
      <c r="N1959" s="152" t="s">
        <v>1327</v>
      </c>
      <c r="O1959" s="152">
        <v>1.549701</v>
      </c>
      <c r="P1959" s="152">
        <v>30.344923000000001</v>
      </c>
      <c r="Q1959" s="152">
        <v>1.549701</v>
      </c>
      <c r="R1959" s="152" t="s">
        <v>1327</v>
      </c>
      <c r="S1959" s="152">
        <v>99.877024000000006</v>
      </c>
      <c r="T1959" s="152">
        <v>0</v>
      </c>
      <c r="U1959" s="152">
        <v>7.9353999999999994E-2</v>
      </c>
      <c r="V1959" s="152">
        <v>1.2593999999999999E-2</v>
      </c>
      <c r="W1959" s="152">
        <v>1000</v>
      </c>
      <c r="X1959" s="152" t="s">
        <v>23</v>
      </c>
      <c r="Y1959" s="152" t="s">
        <v>1328</v>
      </c>
      <c r="Z1959" s="152" t="s">
        <v>1327</v>
      </c>
    </row>
    <row r="1960" spans="1:26" x14ac:dyDescent="0.2">
      <c r="A1960" s="152" t="s">
        <v>3053</v>
      </c>
      <c r="B1960" s="152">
        <v>0</v>
      </c>
      <c r="C1960" s="151">
        <v>43403</v>
      </c>
      <c r="D1960" s="152">
        <v>1.3698999999999999E-2</v>
      </c>
      <c r="E1960" s="152" t="s">
        <v>1325</v>
      </c>
      <c r="F1960" s="152" t="s">
        <v>1326</v>
      </c>
      <c r="G1960" s="152"/>
      <c r="H1960" s="152"/>
      <c r="I1960" s="152">
        <v>43186</v>
      </c>
      <c r="J1960" s="152">
        <v>1.59</v>
      </c>
      <c r="K1960" s="152" t="s">
        <v>1327</v>
      </c>
      <c r="L1960" s="152" t="s">
        <v>1327</v>
      </c>
      <c r="M1960" s="152" t="s">
        <v>1327</v>
      </c>
      <c r="N1960" s="152" t="s">
        <v>1327</v>
      </c>
      <c r="O1960" s="152">
        <v>1.510545</v>
      </c>
      <c r="P1960" s="152">
        <v>38.417447000000003</v>
      </c>
      <c r="Q1960" s="152">
        <v>1.510545</v>
      </c>
      <c r="R1960" s="152" t="s">
        <v>1327</v>
      </c>
      <c r="S1960" s="152">
        <v>99.979311999999993</v>
      </c>
      <c r="T1960" s="152">
        <v>0</v>
      </c>
      <c r="U1960" s="152">
        <v>1.3696E-2</v>
      </c>
      <c r="V1960" s="152">
        <v>3.7500000000000001E-4</v>
      </c>
      <c r="W1960" s="152">
        <v>1000</v>
      </c>
      <c r="X1960" s="152" t="s">
        <v>23</v>
      </c>
      <c r="Y1960" s="152" t="s">
        <v>1328</v>
      </c>
      <c r="Z1960" s="152" t="s">
        <v>1327</v>
      </c>
    </row>
    <row r="1961" spans="1:26" x14ac:dyDescent="0.2">
      <c r="A1961" s="152" t="s">
        <v>3054</v>
      </c>
      <c r="B1961" s="152">
        <v>0</v>
      </c>
      <c r="C1961" s="151">
        <v>43403</v>
      </c>
      <c r="D1961" s="152">
        <v>1.3698999999999999E-2</v>
      </c>
      <c r="E1961" s="152" t="s">
        <v>1325</v>
      </c>
      <c r="F1961" s="152" t="s">
        <v>1326</v>
      </c>
      <c r="G1961" s="152"/>
      <c r="H1961" s="152"/>
      <c r="I1961" s="152">
        <v>43339</v>
      </c>
      <c r="J1961" s="152">
        <v>1.55</v>
      </c>
      <c r="K1961" s="152" t="s">
        <v>1327</v>
      </c>
      <c r="L1961" s="152" t="s">
        <v>1327</v>
      </c>
      <c r="M1961" s="152" t="s">
        <v>1327</v>
      </c>
      <c r="N1961" s="152" t="s">
        <v>1327</v>
      </c>
      <c r="O1961" s="152">
        <v>1.510545</v>
      </c>
      <c r="P1961" s="152">
        <v>38.417447000000003</v>
      </c>
      <c r="Q1961" s="152">
        <v>1.510545</v>
      </c>
      <c r="R1961" s="152" t="s">
        <v>1327</v>
      </c>
      <c r="S1961" s="152">
        <v>99.979311999999993</v>
      </c>
      <c r="T1961" s="152">
        <v>0</v>
      </c>
      <c r="U1961" s="152">
        <v>1.3696E-2</v>
      </c>
      <c r="V1961" s="152">
        <v>3.7500000000000001E-4</v>
      </c>
      <c r="W1961" s="152">
        <v>1000</v>
      </c>
      <c r="X1961" s="152" t="s">
        <v>23</v>
      </c>
      <c r="Y1961" s="152" t="s">
        <v>1328</v>
      </c>
      <c r="Z1961" s="152" t="s">
        <v>1327</v>
      </c>
    </row>
    <row r="1962" spans="1:26" x14ac:dyDescent="0.2">
      <c r="A1962" s="152" t="s">
        <v>3055</v>
      </c>
      <c r="B1962" s="152">
        <v>0</v>
      </c>
      <c r="C1962" s="151">
        <v>43404</v>
      </c>
      <c r="D1962" s="152">
        <v>1.6438000000000001E-2</v>
      </c>
      <c r="E1962" s="152" t="s">
        <v>1325</v>
      </c>
      <c r="F1962" s="152" t="s">
        <v>1326</v>
      </c>
      <c r="G1962" s="152"/>
      <c r="H1962" s="152"/>
      <c r="I1962" s="152" t="s">
        <v>1327</v>
      </c>
      <c r="J1962" s="152" t="s">
        <v>1327</v>
      </c>
      <c r="K1962" s="152" t="s">
        <v>1327</v>
      </c>
      <c r="L1962" s="152" t="s">
        <v>1327</v>
      </c>
      <c r="M1962" s="152" t="s">
        <v>1327</v>
      </c>
      <c r="N1962" s="152" t="s">
        <v>1327</v>
      </c>
      <c r="O1962" s="152">
        <v>1.5103880000000001</v>
      </c>
      <c r="P1962" s="152">
        <v>37.910828000000002</v>
      </c>
      <c r="Q1962" s="152">
        <v>1.5103880000000001</v>
      </c>
      <c r="R1962" s="152" t="s">
        <v>1327</v>
      </c>
      <c r="S1962" s="152">
        <v>99.975178</v>
      </c>
      <c r="T1962" s="152">
        <v>0</v>
      </c>
      <c r="U1962" s="152">
        <v>1.6434000000000001E-2</v>
      </c>
      <c r="V1962" s="152">
        <v>5.4000000000000001E-4</v>
      </c>
      <c r="W1962" s="152">
        <v>1000</v>
      </c>
      <c r="X1962" s="152" t="s">
        <v>23</v>
      </c>
      <c r="Y1962" s="152" t="s">
        <v>1328</v>
      </c>
      <c r="Z1962" s="152" t="s">
        <v>1327</v>
      </c>
    </row>
    <row r="1963" spans="1:26" x14ac:dyDescent="0.2">
      <c r="A1963" s="152" t="s">
        <v>3056</v>
      </c>
      <c r="B1963" s="152">
        <v>0</v>
      </c>
      <c r="C1963" s="151">
        <v>43482</v>
      </c>
      <c r="D1963" s="152">
        <v>0.23013700000000001</v>
      </c>
      <c r="E1963" s="152" t="s">
        <v>1325</v>
      </c>
      <c r="F1963" s="152" t="s">
        <v>1326</v>
      </c>
      <c r="G1963" s="152"/>
      <c r="H1963" s="152"/>
      <c r="I1963" s="152" t="s">
        <v>1327</v>
      </c>
      <c r="J1963" s="152" t="s">
        <v>1327</v>
      </c>
      <c r="K1963" s="152" t="s">
        <v>1327</v>
      </c>
      <c r="L1963" s="152" t="s">
        <v>1327</v>
      </c>
      <c r="M1963" s="152" t="s">
        <v>1327</v>
      </c>
      <c r="N1963" s="152" t="s">
        <v>1327</v>
      </c>
      <c r="O1963" s="152">
        <v>1.8082940000000001</v>
      </c>
      <c r="P1963" s="152">
        <v>30.556166000000001</v>
      </c>
      <c r="Q1963" s="152">
        <v>1.8082940000000001</v>
      </c>
      <c r="R1963" s="152" t="s">
        <v>1327</v>
      </c>
      <c r="S1963" s="152">
        <v>99.585569000000007</v>
      </c>
      <c r="T1963" s="152">
        <v>0</v>
      </c>
      <c r="U1963" s="152">
        <v>0.229183</v>
      </c>
      <c r="V1963" s="152">
        <v>0.10505</v>
      </c>
      <c r="W1963" s="152">
        <v>1000</v>
      </c>
      <c r="X1963" s="152" t="s">
        <v>23</v>
      </c>
      <c r="Y1963" s="152" t="s">
        <v>1328</v>
      </c>
      <c r="Z1963" s="152" t="s">
        <v>1327</v>
      </c>
    </row>
    <row r="1964" spans="1:26" x14ac:dyDescent="0.2">
      <c r="A1964" s="152" t="s">
        <v>3057</v>
      </c>
      <c r="B1964" s="152">
        <v>0</v>
      </c>
      <c r="C1964" s="151">
        <v>43482</v>
      </c>
      <c r="D1964" s="152">
        <v>0.23013700000000001</v>
      </c>
      <c r="E1964" s="152" t="s">
        <v>1325</v>
      </c>
      <c r="F1964" s="152" t="s">
        <v>1326</v>
      </c>
      <c r="G1964" s="152"/>
      <c r="H1964" s="152"/>
      <c r="I1964" s="152" t="s">
        <v>1327</v>
      </c>
      <c r="J1964" s="152" t="s">
        <v>1327</v>
      </c>
      <c r="K1964" s="152" t="s">
        <v>1327</v>
      </c>
      <c r="L1964" s="152" t="s">
        <v>1327</v>
      </c>
      <c r="M1964" s="152" t="s">
        <v>1327</v>
      </c>
      <c r="N1964" s="152" t="s">
        <v>1327</v>
      </c>
      <c r="O1964" s="152">
        <v>1.8082940000000001</v>
      </c>
      <c r="P1964" s="152">
        <v>30.556166000000001</v>
      </c>
      <c r="Q1964" s="152">
        <v>1.8082940000000001</v>
      </c>
      <c r="R1964" s="152" t="s">
        <v>1327</v>
      </c>
      <c r="S1964" s="152">
        <v>99.585569000000007</v>
      </c>
      <c r="T1964" s="152">
        <v>0</v>
      </c>
      <c r="U1964" s="152">
        <v>0.229183</v>
      </c>
      <c r="V1964" s="152">
        <v>0.10505</v>
      </c>
      <c r="W1964" s="152">
        <v>1000</v>
      </c>
      <c r="X1964" s="152" t="s">
        <v>23</v>
      </c>
      <c r="Y1964" s="152" t="s">
        <v>1328</v>
      </c>
      <c r="Z1964" s="152" t="s">
        <v>1327</v>
      </c>
    </row>
    <row r="1965" spans="1:26" x14ac:dyDescent="0.2">
      <c r="A1965" s="152" t="s">
        <v>187</v>
      </c>
      <c r="B1965" s="152">
        <v>0</v>
      </c>
      <c r="C1965" s="151">
        <v>43494</v>
      </c>
      <c r="D1965" s="152">
        <v>0.26301400000000003</v>
      </c>
      <c r="E1965" s="152" t="s">
        <v>1325</v>
      </c>
      <c r="F1965" s="152" t="s">
        <v>1326</v>
      </c>
      <c r="G1965" s="152"/>
      <c r="H1965" s="152"/>
      <c r="I1965" s="151" t="s">
        <v>1327</v>
      </c>
      <c r="J1965" s="152" t="s">
        <v>1327</v>
      </c>
      <c r="K1965" s="152" t="s">
        <v>1327</v>
      </c>
      <c r="L1965" s="152" t="s">
        <v>1327</v>
      </c>
      <c r="M1965" s="152" t="s">
        <v>1327</v>
      </c>
      <c r="N1965" s="152" t="s">
        <v>1327</v>
      </c>
      <c r="O1965" s="152">
        <v>1.838336</v>
      </c>
      <c r="P1965" s="152">
        <v>29.020810000000001</v>
      </c>
      <c r="Q1965" s="152">
        <v>1.838336</v>
      </c>
      <c r="R1965" s="152" t="s">
        <v>1327</v>
      </c>
      <c r="S1965" s="152">
        <v>99.518818999999993</v>
      </c>
      <c r="T1965" s="152">
        <v>0</v>
      </c>
      <c r="U1965" s="152">
        <v>0.26174799999999998</v>
      </c>
      <c r="V1965" s="152">
        <v>0.13702400000000001</v>
      </c>
      <c r="W1965" s="152">
        <v>1000</v>
      </c>
      <c r="X1965" s="152" t="s">
        <v>23</v>
      </c>
      <c r="Y1965" s="152" t="s">
        <v>1328</v>
      </c>
      <c r="Z1965" s="152" t="s">
        <v>1327</v>
      </c>
    </row>
    <row r="1966" spans="1:26" x14ac:dyDescent="0.2">
      <c r="A1966" s="152" t="s">
        <v>3058</v>
      </c>
      <c r="B1966" s="152">
        <v>0</v>
      </c>
      <c r="C1966" s="151">
        <v>43524</v>
      </c>
      <c r="D1966" s="152">
        <v>0.34520499999999998</v>
      </c>
      <c r="E1966" s="152" t="s">
        <v>1325</v>
      </c>
      <c r="F1966" s="152" t="s">
        <v>1326</v>
      </c>
      <c r="G1966" s="152"/>
      <c r="H1966" s="152"/>
      <c r="I1966" s="151" t="s">
        <v>1327</v>
      </c>
      <c r="J1966" s="152" t="s">
        <v>1327</v>
      </c>
      <c r="K1966" s="152" t="s">
        <v>1327</v>
      </c>
      <c r="L1966" s="152" t="s">
        <v>1327</v>
      </c>
      <c r="M1966" s="152" t="s">
        <v>1327</v>
      </c>
      <c r="N1966" s="152" t="s">
        <v>1327</v>
      </c>
      <c r="O1966" s="152">
        <v>1.912998</v>
      </c>
      <c r="P1966" s="152">
        <v>27.531953000000001</v>
      </c>
      <c r="Q1966" s="152">
        <v>1.912998</v>
      </c>
      <c r="R1966" s="152" t="s">
        <v>1327</v>
      </c>
      <c r="S1966" s="152">
        <v>99.343954999999994</v>
      </c>
      <c r="T1966" s="152">
        <v>0</v>
      </c>
      <c r="U1966" s="152">
        <v>0.342941</v>
      </c>
      <c r="V1966" s="152">
        <v>0.23521700000000001</v>
      </c>
      <c r="W1966" s="152">
        <v>1000</v>
      </c>
      <c r="X1966" s="152" t="s">
        <v>23</v>
      </c>
      <c r="Y1966" s="152" t="s">
        <v>1328</v>
      </c>
      <c r="Z1966" s="152" t="s">
        <v>1327</v>
      </c>
    </row>
    <row r="1967" spans="1:26" x14ac:dyDescent="0.2">
      <c r="A1967" s="152" t="s">
        <v>3059</v>
      </c>
      <c r="B1967" s="152">
        <v>0</v>
      </c>
      <c r="C1967" s="151">
        <v>43566</v>
      </c>
      <c r="D1967" s="152">
        <v>0.46027400000000002</v>
      </c>
      <c r="E1967" s="152" t="s">
        <v>1325</v>
      </c>
      <c r="F1967" s="152" t="s">
        <v>1326</v>
      </c>
      <c r="G1967" s="152"/>
      <c r="H1967" s="152"/>
      <c r="I1967" s="151" t="s">
        <v>1327</v>
      </c>
      <c r="J1967" s="152" t="s">
        <v>1327</v>
      </c>
      <c r="K1967" s="152" t="s">
        <v>1327</v>
      </c>
      <c r="L1967" s="152" t="s">
        <v>1327</v>
      </c>
      <c r="M1967" s="152" t="s">
        <v>1327</v>
      </c>
      <c r="N1967" s="152" t="s">
        <v>1327</v>
      </c>
      <c r="O1967" s="152">
        <v>2.014669</v>
      </c>
      <c r="P1967" s="152">
        <v>29.725256999999999</v>
      </c>
      <c r="Q1967" s="152">
        <v>2.014669</v>
      </c>
      <c r="R1967" s="152" t="s">
        <v>1327</v>
      </c>
      <c r="S1967" s="152">
        <v>99.081220000000002</v>
      </c>
      <c r="T1967" s="152">
        <v>0</v>
      </c>
      <c r="U1967" s="152">
        <v>0.45604499999999998</v>
      </c>
      <c r="V1967" s="152">
        <v>0.41595399999999999</v>
      </c>
      <c r="W1967" s="152">
        <v>1000</v>
      </c>
      <c r="X1967" s="152" t="s">
        <v>23</v>
      </c>
      <c r="Y1967" s="152" t="s">
        <v>1328</v>
      </c>
      <c r="Z1967" s="152" t="s">
        <v>1327</v>
      </c>
    </row>
    <row r="1968" spans="1:26" x14ac:dyDescent="0.2">
      <c r="A1968" s="152" t="s">
        <v>3060</v>
      </c>
      <c r="B1968" s="152">
        <v>0</v>
      </c>
      <c r="C1968" s="151">
        <v>43573</v>
      </c>
      <c r="D1968" s="152">
        <v>0.47945199999999999</v>
      </c>
      <c r="E1968" s="152" t="s">
        <v>1325</v>
      </c>
      <c r="F1968" s="152" t="s">
        <v>1326</v>
      </c>
      <c r="G1968" s="152"/>
      <c r="H1968" s="152"/>
      <c r="I1968" s="151" t="s">
        <v>1327</v>
      </c>
      <c r="J1968" s="152" t="s">
        <v>1327</v>
      </c>
      <c r="K1968" s="152" t="s">
        <v>1327</v>
      </c>
      <c r="L1968" s="152" t="s">
        <v>1327</v>
      </c>
      <c r="M1968" s="152" t="s">
        <v>1327</v>
      </c>
      <c r="N1968" s="152" t="s">
        <v>1327</v>
      </c>
      <c r="O1968" s="152">
        <v>2.0293580000000002</v>
      </c>
      <c r="P1968" s="152">
        <v>30.251470000000001</v>
      </c>
      <c r="Q1968" s="152">
        <v>2.0293580000000002</v>
      </c>
      <c r="R1968" s="152" t="s">
        <v>1327</v>
      </c>
      <c r="S1968" s="152">
        <v>99.036395999999996</v>
      </c>
      <c r="T1968" s="152">
        <v>0</v>
      </c>
      <c r="U1968" s="152">
        <v>0.47483199999999998</v>
      </c>
      <c r="V1968" s="152">
        <v>0.45093100000000003</v>
      </c>
      <c r="W1968" s="152">
        <v>1000</v>
      </c>
      <c r="X1968" s="152" t="s">
        <v>23</v>
      </c>
      <c r="Y1968" s="152" t="s">
        <v>1328</v>
      </c>
      <c r="Z1968" s="152" t="s">
        <v>1327</v>
      </c>
    </row>
    <row r="1969" spans="1:26" x14ac:dyDescent="0.2">
      <c r="A1969" s="152" t="s">
        <v>3061</v>
      </c>
      <c r="B1969" s="152">
        <v>0</v>
      </c>
      <c r="C1969" s="151">
        <v>43585</v>
      </c>
      <c r="D1969" s="152">
        <v>0.51232900000000003</v>
      </c>
      <c r="E1969" s="152" t="s">
        <v>1325</v>
      </c>
      <c r="F1969" s="152" t="s">
        <v>1326</v>
      </c>
      <c r="G1969" s="152"/>
      <c r="H1969" s="152"/>
      <c r="I1969" s="151" t="s">
        <v>1327</v>
      </c>
      <c r="J1969" s="152" t="s">
        <v>1327</v>
      </c>
      <c r="K1969" s="152" t="s">
        <v>1327</v>
      </c>
      <c r="L1969" s="152" t="s">
        <v>1327</v>
      </c>
      <c r="M1969" s="152" t="s">
        <v>1327</v>
      </c>
      <c r="N1969" s="152" t="s">
        <v>1327</v>
      </c>
      <c r="O1969" s="152">
        <v>2.0359699999999998</v>
      </c>
      <c r="P1969" s="152">
        <v>29.470749000000001</v>
      </c>
      <c r="Q1969" s="152">
        <v>2.0359699999999998</v>
      </c>
      <c r="R1969" s="152" t="s">
        <v>1327</v>
      </c>
      <c r="S1969" s="152">
        <v>98.967681999999996</v>
      </c>
      <c r="T1969" s="152">
        <v>0</v>
      </c>
      <c r="U1969" s="152">
        <v>0.50704000000000005</v>
      </c>
      <c r="V1969" s="152">
        <v>0.51417900000000005</v>
      </c>
      <c r="W1969" s="152">
        <v>1000</v>
      </c>
      <c r="X1969" s="152" t="s">
        <v>23</v>
      </c>
      <c r="Y1969" s="152" t="s">
        <v>1328</v>
      </c>
      <c r="Z1969" s="152" t="s">
        <v>1327</v>
      </c>
    </row>
    <row r="1970" spans="1:26" x14ac:dyDescent="0.2">
      <c r="A1970" s="152" t="s">
        <v>3062</v>
      </c>
      <c r="B1970" s="152">
        <v>0</v>
      </c>
      <c r="C1970" s="151">
        <v>43599</v>
      </c>
      <c r="D1970" s="152">
        <v>0.55068499999999998</v>
      </c>
      <c r="E1970" s="152" t="s">
        <v>1325</v>
      </c>
      <c r="F1970" s="152" t="s">
        <v>1326</v>
      </c>
      <c r="G1970" s="152"/>
      <c r="H1970" s="152"/>
      <c r="I1970" s="151">
        <v>43346</v>
      </c>
      <c r="J1970" s="152">
        <v>1.8</v>
      </c>
      <c r="K1970" s="152" t="s">
        <v>1327</v>
      </c>
      <c r="L1970" s="152" t="s">
        <v>1327</v>
      </c>
      <c r="M1970" s="152" t="s">
        <v>1327</v>
      </c>
      <c r="N1970" s="152" t="s">
        <v>1327</v>
      </c>
      <c r="O1970" s="152">
        <v>2.043307</v>
      </c>
      <c r="P1970" s="152">
        <v>28.792712000000002</v>
      </c>
      <c r="Q1970" s="152">
        <v>2.043307</v>
      </c>
      <c r="R1970" s="152" t="s">
        <v>1327</v>
      </c>
      <c r="S1970" s="152">
        <v>98.887302000000005</v>
      </c>
      <c r="T1970" s="152">
        <v>0</v>
      </c>
      <c r="U1970" s="152">
        <v>0.54455699999999996</v>
      </c>
      <c r="V1970" s="152">
        <v>0.593086</v>
      </c>
      <c r="W1970" s="152">
        <v>1000</v>
      </c>
      <c r="X1970" s="152" t="s">
        <v>23</v>
      </c>
      <c r="Y1970" s="152" t="s">
        <v>1328</v>
      </c>
      <c r="Z1970" s="152" t="s">
        <v>1327</v>
      </c>
    </row>
    <row r="1971" spans="1:26" x14ac:dyDescent="0.2">
      <c r="A1971" s="152" t="s">
        <v>3063</v>
      </c>
      <c r="B1971" s="152">
        <v>0</v>
      </c>
      <c r="C1971" s="151">
        <v>43601</v>
      </c>
      <c r="D1971" s="152">
        <v>0.55616399999999999</v>
      </c>
      <c r="E1971" s="152" t="s">
        <v>1325</v>
      </c>
      <c r="F1971" s="152" t="s">
        <v>1326</v>
      </c>
      <c r="G1971" s="152"/>
      <c r="H1971" s="152"/>
      <c r="I1971" s="151" t="s">
        <v>1327</v>
      </c>
      <c r="J1971" s="152" t="s">
        <v>1327</v>
      </c>
      <c r="K1971" s="152" t="s">
        <v>1327</v>
      </c>
      <c r="L1971" s="152" t="s">
        <v>1327</v>
      </c>
      <c r="M1971" s="152" t="s">
        <v>1327</v>
      </c>
      <c r="N1971" s="152" t="s">
        <v>1327</v>
      </c>
      <c r="O1971" s="152">
        <v>2.044324</v>
      </c>
      <c r="P1971" s="152">
        <v>28.714627</v>
      </c>
      <c r="Q1971" s="152">
        <v>2.044324</v>
      </c>
      <c r="R1971" s="152" t="s">
        <v>1327</v>
      </c>
      <c r="S1971" s="152">
        <v>98.875801999999993</v>
      </c>
      <c r="T1971" s="152">
        <v>0</v>
      </c>
      <c r="U1971" s="152">
        <v>0.54991199999999996</v>
      </c>
      <c r="V1971" s="152">
        <v>0.60480599999999995</v>
      </c>
      <c r="W1971" s="152">
        <v>1000</v>
      </c>
      <c r="X1971" s="152" t="s">
        <v>23</v>
      </c>
      <c r="Y1971" s="152" t="s">
        <v>1328</v>
      </c>
      <c r="Z1971" s="152" t="s">
        <v>1327</v>
      </c>
    </row>
    <row r="1972" spans="1:26" x14ac:dyDescent="0.2">
      <c r="A1972" s="152" t="s">
        <v>3064</v>
      </c>
      <c r="B1972" s="152">
        <v>0</v>
      </c>
      <c r="C1972" s="151">
        <v>43614</v>
      </c>
      <c r="D1972" s="152">
        <v>0.591781</v>
      </c>
      <c r="E1972" s="152" t="s">
        <v>1325</v>
      </c>
      <c r="F1972" s="152" t="s">
        <v>1326</v>
      </c>
      <c r="G1972" s="152"/>
      <c r="H1972" s="152"/>
      <c r="I1972" s="151">
        <v>43346</v>
      </c>
      <c r="J1972" s="152">
        <v>1.78</v>
      </c>
      <c r="K1972" s="152" t="s">
        <v>1327</v>
      </c>
      <c r="L1972" s="152" t="s">
        <v>1327</v>
      </c>
      <c r="M1972" s="152" t="s">
        <v>1327</v>
      </c>
      <c r="N1972" s="152" t="s">
        <v>1327</v>
      </c>
      <c r="O1972" s="152">
        <v>2.050754</v>
      </c>
      <c r="P1972" s="152">
        <v>28.311325</v>
      </c>
      <c r="Q1972" s="152">
        <v>2.050754</v>
      </c>
      <c r="R1972" s="152" t="s">
        <v>1327</v>
      </c>
      <c r="S1972" s="152">
        <v>98.800955000000002</v>
      </c>
      <c r="T1972" s="152">
        <v>0</v>
      </c>
      <c r="U1972" s="152">
        <v>0.58468500000000001</v>
      </c>
      <c r="V1972" s="152">
        <v>0.68371300000000002</v>
      </c>
      <c r="W1972" s="152">
        <v>1000</v>
      </c>
      <c r="X1972" s="152" t="s">
        <v>23</v>
      </c>
      <c r="Y1972" s="152" t="s">
        <v>1328</v>
      </c>
      <c r="Z1972" s="152" t="s">
        <v>1327</v>
      </c>
    </row>
    <row r="1973" spans="1:26" x14ac:dyDescent="0.2">
      <c r="A1973" s="152" t="s">
        <v>3065</v>
      </c>
      <c r="B1973" s="152">
        <v>0</v>
      </c>
      <c r="C1973" s="151">
        <v>43438</v>
      </c>
      <c r="D1973" s="152">
        <v>0.10958900000000001</v>
      </c>
      <c r="E1973" s="152" t="s">
        <v>1325</v>
      </c>
      <c r="F1973" s="152" t="s">
        <v>1326</v>
      </c>
      <c r="G1973" s="152"/>
      <c r="H1973" s="152"/>
      <c r="I1973" s="152">
        <v>43336</v>
      </c>
      <c r="J1973" s="152">
        <v>1.6</v>
      </c>
      <c r="K1973" s="152" t="s">
        <v>1327</v>
      </c>
      <c r="L1973" s="152" t="s">
        <v>1327</v>
      </c>
      <c r="M1973" s="152" t="s">
        <v>1327</v>
      </c>
      <c r="N1973" s="152" t="s">
        <v>1327</v>
      </c>
      <c r="O1973" s="152">
        <v>1.545679</v>
      </c>
      <c r="P1973" s="152">
        <v>24.373017000000001</v>
      </c>
      <c r="Q1973" s="152">
        <v>1.545679</v>
      </c>
      <c r="R1973" s="152" t="s">
        <v>1327</v>
      </c>
      <c r="S1973" s="152">
        <v>99.830896999999993</v>
      </c>
      <c r="T1973" s="152">
        <v>0</v>
      </c>
      <c r="U1973" s="152">
        <v>0.109404</v>
      </c>
      <c r="V1973" s="152">
        <v>2.3938000000000001E-2</v>
      </c>
      <c r="W1973" s="152">
        <v>1000</v>
      </c>
      <c r="X1973" s="152" t="s">
        <v>23</v>
      </c>
      <c r="Y1973" s="152" t="s">
        <v>1328</v>
      </c>
      <c r="Z1973" s="152" t="s">
        <v>1327</v>
      </c>
    </row>
    <row r="1974" spans="1:26" x14ac:dyDescent="0.2">
      <c r="A1974" s="152" t="s">
        <v>188</v>
      </c>
      <c r="B1974" s="152">
        <v>0</v>
      </c>
      <c r="C1974" s="151">
        <v>43440</v>
      </c>
      <c r="D1974" s="152">
        <v>0.115068</v>
      </c>
      <c r="E1974" s="152" t="s">
        <v>1325</v>
      </c>
      <c r="F1974" s="152" t="s">
        <v>1326</v>
      </c>
      <c r="G1974" s="152"/>
      <c r="H1974" s="152"/>
      <c r="I1974" s="152" t="s">
        <v>1327</v>
      </c>
      <c r="J1974" s="152" t="s">
        <v>1327</v>
      </c>
      <c r="K1974" s="152" t="s">
        <v>1327</v>
      </c>
      <c r="L1974" s="152" t="s">
        <v>1327</v>
      </c>
      <c r="M1974" s="152" t="s">
        <v>1327</v>
      </c>
      <c r="N1974" s="152" t="s">
        <v>1327</v>
      </c>
      <c r="O1974" s="152">
        <v>1.554975</v>
      </c>
      <c r="P1974" s="152">
        <v>24.311502999999998</v>
      </c>
      <c r="Q1974" s="152">
        <v>1.554975</v>
      </c>
      <c r="R1974" s="152" t="s">
        <v>1327</v>
      </c>
      <c r="S1974" s="152">
        <v>99.821391000000006</v>
      </c>
      <c r="T1974" s="152">
        <v>0</v>
      </c>
      <c r="U1974" s="152">
        <v>0.11486300000000001</v>
      </c>
      <c r="V1974" s="152">
        <v>2.6387000000000001E-2</v>
      </c>
      <c r="W1974" s="152">
        <v>1000</v>
      </c>
      <c r="X1974" s="152" t="s">
        <v>23</v>
      </c>
      <c r="Y1974" s="152" t="s">
        <v>1328</v>
      </c>
      <c r="Z1974" s="152" t="s">
        <v>1327</v>
      </c>
    </row>
    <row r="1975" spans="1:26" x14ac:dyDescent="0.2">
      <c r="A1975" s="152" t="s">
        <v>3066</v>
      </c>
      <c r="B1975" s="152">
        <v>0</v>
      </c>
      <c r="C1975" s="151">
        <v>43420</v>
      </c>
      <c r="D1975" s="152">
        <v>6.0274000000000001E-2</v>
      </c>
      <c r="E1975" s="152" t="s">
        <v>1325</v>
      </c>
      <c r="F1975" s="152" t="s">
        <v>1326</v>
      </c>
      <c r="G1975" s="152"/>
      <c r="H1975" s="152"/>
      <c r="I1975" s="152">
        <v>43222</v>
      </c>
      <c r="J1975" s="152">
        <v>1.57</v>
      </c>
      <c r="K1975" s="152" t="s">
        <v>1327</v>
      </c>
      <c r="L1975" s="152" t="s">
        <v>1327</v>
      </c>
      <c r="M1975" s="152" t="s">
        <v>1327</v>
      </c>
      <c r="N1975" s="152" t="s">
        <v>1327</v>
      </c>
      <c r="O1975" s="152">
        <v>1.463042</v>
      </c>
      <c r="P1975" s="152">
        <v>25.106137</v>
      </c>
      <c r="Q1975" s="152">
        <v>1.463042</v>
      </c>
      <c r="R1975" s="152" t="s">
        <v>1327</v>
      </c>
      <c r="S1975" s="152">
        <v>99.911894000000004</v>
      </c>
      <c r="T1975" s="152">
        <v>0</v>
      </c>
      <c r="U1975" s="152">
        <v>6.0220999999999997E-2</v>
      </c>
      <c r="V1975" s="152">
        <v>7.2529999999999999E-3</v>
      </c>
      <c r="W1975" s="152">
        <v>1000</v>
      </c>
      <c r="X1975" s="152" t="s">
        <v>23</v>
      </c>
      <c r="Y1975" s="152" t="s">
        <v>1328</v>
      </c>
      <c r="Z1975" s="152" t="s">
        <v>1327</v>
      </c>
    </row>
    <row r="1976" spans="1:26" x14ac:dyDescent="0.2">
      <c r="A1976" s="152" t="s">
        <v>3067</v>
      </c>
      <c r="B1976" s="152">
        <v>0</v>
      </c>
      <c r="C1976" s="151">
        <v>43420</v>
      </c>
      <c r="D1976" s="152">
        <v>6.0274000000000001E-2</v>
      </c>
      <c r="E1976" s="152" t="s">
        <v>1325</v>
      </c>
      <c r="F1976" s="152" t="s">
        <v>1326</v>
      </c>
      <c r="G1976" s="152"/>
      <c r="H1976" s="152"/>
      <c r="I1976" s="152" t="s">
        <v>1327</v>
      </c>
      <c r="J1976" s="152" t="s">
        <v>1327</v>
      </c>
      <c r="K1976" s="152" t="s">
        <v>1327</v>
      </c>
      <c r="L1976" s="152" t="s">
        <v>1327</v>
      </c>
      <c r="M1976" s="152" t="s">
        <v>1327</v>
      </c>
      <c r="N1976" s="152" t="s">
        <v>1327</v>
      </c>
      <c r="O1976" s="152">
        <v>1.463042</v>
      </c>
      <c r="P1976" s="152">
        <v>25.106137</v>
      </c>
      <c r="Q1976" s="152">
        <v>1.463042</v>
      </c>
      <c r="R1976" s="152" t="s">
        <v>1327</v>
      </c>
      <c r="S1976" s="152">
        <v>99.911894000000004</v>
      </c>
      <c r="T1976" s="152">
        <v>0</v>
      </c>
      <c r="U1976" s="152">
        <v>6.0220999999999997E-2</v>
      </c>
      <c r="V1976" s="152">
        <v>7.2529999999999999E-3</v>
      </c>
      <c r="W1976" s="152">
        <v>1000</v>
      </c>
      <c r="X1976" s="152" t="s">
        <v>23</v>
      </c>
      <c r="Y1976" s="152" t="s">
        <v>1328</v>
      </c>
      <c r="Z1976" s="152" t="s">
        <v>1327</v>
      </c>
    </row>
    <row r="1977" spans="1:26" x14ac:dyDescent="0.2">
      <c r="A1977" s="152" t="s">
        <v>3068</v>
      </c>
      <c r="B1977" s="152">
        <v>0</v>
      </c>
      <c r="C1977" s="151">
        <v>43425</v>
      </c>
      <c r="D1977" s="152">
        <v>7.3972999999999997E-2</v>
      </c>
      <c r="E1977" s="152" t="s">
        <v>1325</v>
      </c>
      <c r="F1977" s="152" t="s">
        <v>1326</v>
      </c>
      <c r="G1977" s="152"/>
      <c r="H1977" s="152"/>
      <c r="I1977" s="152">
        <v>43305</v>
      </c>
      <c r="J1977" s="152">
        <v>1.62</v>
      </c>
      <c r="K1977" s="152" t="s">
        <v>1327</v>
      </c>
      <c r="L1977" s="152" t="s">
        <v>1327</v>
      </c>
      <c r="M1977" s="152" t="s">
        <v>1327</v>
      </c>
      <c r="N1977" s="152" t="s">
        <v>1327</v>
      </c>
      <c r="O1977" s="152">
        <v>1.4858180000000001</v>
      </c>
      <c r="P1977" s="152">
        <v>24.881371000000001</v>
      </c>
      <c r="Q1977" s="152">
        <v>1.4858180000000001</v>
      </c>
      <c r="R1977" s="152" t="s">
        <v>1327</v>
      </c>
      <c r="S1977" s="152">
        <v>99.890210999999994</v>
      </c>
      <c r="T1977" s="152">
        <v>0</v>
      </c>
      <c r="U1977" s="152">
        <v>7.3890999999999998E-2</v>
      </c>
      <c r="V1977" s="152">
        <v>1.0919999999999999E-2</v>
      </c>
      <c r="W1977" s="152">
        <v>1000</v>
      </c>
      <c r="X1977" s="152" t="s">
        <v>23</v>
      </c>
      <c r="Y1977" s="152" t="s">
        <v>1328</v>
      </c>
      <c r="Z1977" s="152" t="s">
        <v>1327</v>
      </c>
    </row>
    <row r="1978" spans="1:26" x14ac:dyDescent="0.2">
      <c r="A1978" s="152" t="s">
        <v>3069</v>
      </c>
      <c r="B1978" s="152">
        <v>0</v>
      </c>
      <c r="C1978" s="151">
        <v>43433</v>
      </c>
      <c r="D1978" s="152">
        <v>9.5890000000000003E-2</v>
      </c>
      <c r="E1978" s="152" t="s">
        <v>1325</v>
      </c>
      <c r="F1978" s="152" t="s">
        <v>1326</v>
      </c>
      <c r="G1978" s="152"/>
      <c r="H1978" s="152"/>
      <c r="I1978" s="151">
        <v>43276</v>
      </c>
      <c r="J1978" s="152">
        <v>1.58</v>
      </c>
      <c r="K1978" s="152" t="s">
        <v>1327</v>
      </c>
      <c r="L1978" s="152" t="s">
        <v>1327</v>
      </c>
      <c r="M1978" s="152" t="s">
        <v>1327</v>
      </c>
      <c r="N1978" s="152" t="s">
        <v>1327</v>
      </c>
      <c r="O1978" s="152">
        <v>1.5225439999999999</v>
      </c>
      <c r="P1978" s="152">
        <v>24.549672000000001</v>
      </c>
      <c r="Q1978" s="152">
        <v>1.5225439999999999</v>
      </c>
      <c r="R1978" s="152" t="s">
        <v>1327</v>
      </c>
      <c r="S1978" s="152">
        <v>99.854214999999996</v>
      </c>
      <c r="T1978" s="152">
        <v>0</v>
      </c>
      <c r="U1978" s="152">
        <v>9.5751000000000003E-2</v>
      </c>
      <c r="V1978" s="152">
        <v>1.8336000000000002E-2</v>
      </c>
      <c r="W1978" s="152">
        <v>1000</v>
      </c>
      <c r="X1978" s="152" t="s">
        <v>23</v>
      </c>
      <c r="Y1978" s="152" t="s">
        <v>1328</v>
      </c>
      <c r="Z1978" s="152" t="s">
        <v>1327</v>
      </c>
    </row>
    <row r="1979" spans="1:26" x14ac:dyDescent="0.2">
      <c r="A1979" s="152" t="s">
        <v>3070</v>
      </c>
      <c r="B1979" s="152">
        <v>0</v>
      </c>
      <c r="C1979" s="151">
        <v>43480</v>
      </c>
      <c r="D1979" s="152">
        <v>0.224658</v>
      </c>
      <c r="E1979" s="152" t="s">
        <v>1325</v>
      </c>
      <c r="F1979" s="152" t="s">
        <v>1326</v>
      </c>
      <c r="G1979" s="152"/>
      <c r="H1979" s="152"/>
      <c r="I1979" s="151">
        <v>43300</v>
      </c>
      <c r="J1979" s="152">
        <v>1.68</v>
      </c>
      <c r="K1979" s="152" t="s">
        <v>1327</v>
      </c>
      <c r="L1979" s="152" t="s">
        <v>1327</v>
      </c>
      <c r="M1979" s="152" t="s">
        <v>1327</v>
      </c>
      <c r="N1979" s="152" t="s">
        <v>1327</v>
      </c>
      <c r="O1979" s="152">
        <v>1.746148</v>
      </c>
      <c r="P1979" s="152">
        <v>25.073398999999998</v>
      </c>
      <c r="Q1979" s="152">
        <v>1.746148</v>
      </c>
      <c r="R1979" s="152" t="s">
        <v>1327</v>
      </c>
      <c r="S1979" s="152">
        <v>99.609247999999994</v>
      </c>
      <c r="T1979" s="152">
        <v>0</v>
      </c>
      <c r="U1979" s="152">
        <v>0.22378000000000001</v>
      </c>
      <c r="V1979" s="152">
        <v>0.10015499999999999</v>
      </c>
      <c r="W1979" s="152">
        <v>1000</v>
      </c>
      <c r="X1979" s="152" t="s">
        <v>23</v>
      </c>
      <c r="Y1979" s="152" t="s">
        <v>1328</v>
      </c>
      <c r="Z1979" s="152" t="s">
        <v>1327</v>
      </c>
    </row>
    <row r="1980" spans="1:26" x14ac:dyDescent="0.2">
      <c r="A1980" s="152" t="s">
        <v>3071</v>
      </c>
      <c r="B1980" s="152">
        <v>0</v>
      </c>
      <c r="C1980" s="151">
        <v>43480</v>
      </c>
      <c r="D1980" s="152">
        <v>0.224658</v>
      </c>
      <c r="E1980" s="152" t="s">
        <v>1325</v>
      </c>
      <c r="F1980" s="152" t="s">
        <v>1326</v>
      </c>
      <c r="G1980" s="152"/>
      <c r="H1980" s="152"/>
      <c r="I1980" s="152">
        <v>43300</v>
      </c>
      <c r="J1980" s="152">
        <v>1.68</v>
      </c>
      <c r="K1980" s="152" t="s">
        <v>1327</v>
      </c>
      <c r="L1980" s="152" t="s">
        <v>1327</v>
      </c>
      <c r="M1980" s="152" t="s">
        <v>1327</v>
      </c>
      <c r="N1980" s="152" t="s">
        <v>1327</v>
      </c>
      <c r="O1980" s="152">
        <v>1.746148</v>
      </c>
      <c r="P1980" s="152">
        <v>25.073398999999998</v>
      </c>
      <c r="Q1980" s="152">
        <v>1.746148</v>
      </c>
      <c r="R1980" s="152" t="s">
        <v>1327</v>
      </c>
      <c r="S1980" s="152">
        <v>99.609247999999994</v>
      </c>
      <c r="T1980" s="152">
        <v>0</v>
      </c>
      <c r="U1980" s="152">
        <v>0.22378000000000001</v>
      </c>
      <c r="V1980" s="152">
        <v>0.10015499999999999</v>
      </c>
      <c r="W1980" s="152">
        <v>1000</v>
      </c>
      <c r="X1980" s="152" t="s">
        <v>23</v>
      </c>
      <c r="Y1980" s="152" t="s">
        <v>1328</v>
      </c>
      <c r="Z1980" s="152" t="s">
        <v>1327</v>
      </c>
    </row>
    <row r="1981" spans="1:26" x14ac:dyDescent="0.2">
      <c r="A1981" s="152" t="s">
        <v>3072</v>
      </c>
      <c r="B1981" s="152">
        <v>0</v>
      </c>
      <c r="C1981" s="151">
        <v>43490</v>
      </c>
      <c r="D1981" s="152">
        <v>0.25205499999999997</v>
      </c>
      <c r="E1981" s="152" t="s">
        <v>1325</v>
      </c>
      <c r="F1981" s="152" t="s">
        <v>1326</v>
      </c>
      <c r="G1981" s="152"/>
      <c r="H1981" s="152"/>
      <c r="I1981" s="152">
        <v>43276</v>
      </c>
      <c r="J1981" s="152">
        <v>1.61</v>
      </c>
      <c r="K1981" s="152" t="s">
        <v>1327</v>
      </c>
      <c r="L1981" s="152" t="s">
        <v>1327</v>
      </c>
      <c r="M1981" s="152" t="s">
        <v>1327</v>
      </c>
      <c r="N1981" s="152" t="s">
        <v>1327</v>
      </c>
      <c r="O1981" s="152">
        <v>1.773558</v>
      </c>
      <c r="P1981" s="152">
        <v>23.917584000000002</v>
      </c>
      <c r="Q1981" s="152">
        <v>1.773558</v>
      </c>
      <c r="R1981" s="152" t="s">
        <v>1327</v>
      </c>
      <c r="S1981" s="152">
        <v>99.554956000000004</v>
      </c>
      <c r="T1981" s="152">
        <v>0</v>
      </c>
      <c r="U1981" s="152">
        <v>0.25093300000000002</v>
      </c>
      <c r="V1981" s="152">
        <v>0.12593499999999999</v>
      </c>
      <c r="W1981" s="152">
        <v>1000</v>
      </c>
      <c r="X1981" s="152" t="s">
        <v>23</v>
      </c>
      <c r="Y1981" s="152" t="s">
        <v>1328</v>
      </c>
      <c r="Z1981" s="152" t="s">
        <v>1327</v>
      </c>
    </row>
    <row r="1982" spans="1:26" x14ac:dyDescent="0.2">
      <c r="A1982" s="152" t="s">
        <v>3073</v>
      </c>
      <c r="B1982" s="152">
        <v>0</v>
      </c>
      <c r="C1982" s="151">
        <v>43490</v>
      </c>
      <c r="D1982" s="152">
        <v>0.25205499999999997</v>
      </c>
      <c r="E1982" s="152" t="s">
        <v>1325</v>
      </c>
      <c r="F1982" s="152" t="s">
        <v>1326</v>
      </c>
      <c r="G1982" s="152"/>
      <c r="H1982" s="152"/>
      <c r="I1982" s="151" t="s">
        <v>1327</v>
      </c>
      <c r="J1982" s="152" t="s">
        <v>1327</v>
      </c>
      <c r="K1982" s="152" t="s">
        <v>1327</v>
      </c>
      <c r="L1982" s="152" t="s">
        <v>1327</v>
      </c>
      <c r="M1982" s="152" t="s">
        <v>1327</v>
      </c>
      <c r="N1982" s="152" t="s">
        <v>1327</v>
      </c>
      <c r="O1982" s="152">
        <v>1.773558</v>
      </c>
      <c r="P1982" s="152">
        <v>23.917584000000002</v>
      </c>
      <c r="Q1982" s="152">
        <v>1.773558</v>
      </c>
      <c r="R1982" s="152" t="s">
        <v>1327</v>
      </c>
      <c r="S1982" s="152">
        <v>99.554956000000004</v>
      </c>
      <c r="T1982" s="152">
        <v>0</v>
      </c>
      <c r="U1982" s="152">
        <v>0.25093300000000002</v>
      </c>
      <c r="V1982" s="152">
        <v>0.12593499999999999</v>
      </c>
      <c r="W1982" s="152">
        <v>1000</v>
      </c>
      <c r="X1982" s="152" t="s">
        <v>23</v>
      </c>
      <c r="Y1982" s="152" t="s">
        <v>1328</v>
      </c>
      <c r="Z1982" s="152" t="s">
        <v>1327</v>
      </c>
    </row>
    <row r="1983" spans="1:26" x14ac:dyDescent="0.2">
      <c r="A1983" s="152" t="s">
        <v>3074</v>
      </c>
      <c r="B1983" s="152">
        <v>0</v>
      </c>
      <c r="C1983" s="151">
        <v>43501</v>
      </c>
      <c r="D1983" s="152">
        <v>0.282192</v>
      </c>
      <c r="E1983" s="152" t="s">
        <v>1325</v>
      </c>
      <c r="F1983" s="152" t="s">
        <v>1326</v>
      </c>
      <c r="G1983" s="152"/>
      <c r="H1983" s="152"/>
      <c r="I1983" s="152" t="s">
        <v>1327</v>
      </c>
      <c r="J1983" s="152" t="s">
        <v>1327</v>
      </c>
      <c r="K1983" s="152" t="s">
        <v>1327</v>
      </c>
      <c r="L1983" s="152" t="s">
        <v>1327</v>
      </c>
      <c r="M1983" s="152" t="s">
        <v>1327</v>
      </c>
      <c r="N1983" s="152" t="s">
        <v>1327</v>
      </c>
      <c r="O1983" s="152">
        <v>1.8010820000000001</v>
      </c>
      <c r="P1983" s="152">
        <v>22.840695</v>
      </c>
      <c r="Q1983" s="152">
        <v>1.8010820000000001</v>
      </c>
      <c r="R1983" s="152" t="s">
        <v>1327</v>
      </c>
      <c r="S1983" s="152">
        <v>99.494320000000002</v>
      </c>
      <c r="T1983" s="152">
        <v>0</v>
      </c>
      <c r="U1983" s="152">
        <v>0.28076499999999999</v>
      </c>
      <c r="V1983" s="152">
        <v>0.15765799999999999</v>
      </c>
      <c r="W1983" s="152">
        <v>1000</v>
      </c>
      <c r="X1983" s="152" t="s">
        <v>23</v>
      </c>
      <c r="Y1983" s="152" t="s">
        <v>1328</v>
      </c>
      <c r="Z1983" s="152" t="s">
        <v>1327</v>
      </c>
    </row>
    <row r="1984" spans="1:26" x14ac:dyDescent="0.2">
      <c r="A1984" s="152" t="s">
        <v>3075</v>
      </c>
      <c r="B1984" s="152">
        <v>0</v>
      </c>
      <c r="C1984" s="151">
        <v>43504</v>
      </c>
      <c r="D1984" s="152">
        <v>0.29041099999999997</v>
      </c>
      <c r="E1984" s="152" t="s">
        <v>1325</v>
      </c>
      <c r="F1984" s="152" t="s">
        <v>1326</v>
      </c>
      <c r="G1984" s="152"/>
      <c r="H1984" s="152"/>
      <c r="I1984" s="151" t="s">
        <v>1327</v>
      </c>
      <c r="J1984" s="152" t="s">
        <v>1327</v>
      </c>
      <c r="K1984" s="152" t="s">
        <v>1327</v>
      </c>
      <c r="L1984" s="152" t="s">
        <v>1327</v>
      </c>
      <c r="M1984" s="152" t="s">
        <v>1327</v>
      </c>
      <c r="N1984" s="152" t="s">
        <v>1327</v>
      </c>
      <c r="O1984" s="152">
        <v>1.80857</v>
      </c>
      <c r="P1984" s="152">
        <v>22.626448</v>
      </c>
      <c r="Q1984" s="152">
        <v>1.80857</v>
      </c>
      <c r="R1984" s="152" t="s">
        <v>1327</v>
      </c>
      <c r="S1984" s="152">
        <v>99.477515999999994</v>
      </c>
      <c r="T1984" s="152">
        <v>0</v>
      </c>
      <c r="U1984" s="152">
        <v>0.28889399999999998</v>
      </c>
      <c r="V1984" s="152">
        <v>0.16691900000000001</v>
      </c>
      <c r="W1984" s="152">
        <v>1000</v>
      </c>
      <c r="X1984" s="152" t="s">
        <v>23</v>
      </c>
      <c r="Y1984" s="152" t="s">
        <v>1328</v>
      </c>
      <c r="Z1984" s="152" t="s">
        <v>1327</v>
      </c>
    </row>
    <row r="1985" spans="1:26" x14ac:dyDescent="0.2">
      <c r="A1985" s="152" t="s">
        <v>3076</v>
      </c>
      <c r="B1985" s="152">
        <v>0</v>
      </c>
      <c r="C1985" s="151">
        <v>43510</v>
      </c>
      <c r="D1985" s="152">
        <v>0.30684899999999998</v>
      </c>
      <c r="E1985" s="152" t="s">
        <v>1325</v>
      </c>
      <c r="F1985" s="152" t="s">
        <v>1326</v>
      </c>
      <c r="G1985" s="152"/>
      <c r="H1985" s="152"/>
      <c r="I1985" s="152" t="s">
        <v>1327</v>
      </c>
      <c r="J1985" s="152" t="s">
        <v>1327</v>
      </c>
      <c r="K1985" s="152" t="s">
        <v>1327</v>
      </c>
      <c r="L1985" s="152" t="s">
        <v>1327</v>
      </c>
      <c r="M1985" s="152" t="s">
        <v>1327</v>
      </c>
      <c r="N1985" s="152" t="s">
        <v>1327</v>
      </c>
      <c r="O1985" s="152">
        <v>1.8235170000000001</v>
      </c>
      <c r="P1985" s="152">
        <v>22.294316999999999</v>
      </c>
      <c r="Q1985" s="152">
        <v>1.8235170000000001</v>
      </c>
      <c r="R1985" s="152" t="s">
        <v>1327</v>
      </c>
      <c r="S1985" s="152">
        <v>99.443568999999997</v>
      </c>
      <c r="T1985" s="152">
        <v>0</v>
      </c>
      <c r="U1985" s="152">
        <v>0.30514200000000002</v>
      </c>
      <c r="V1985" s="152">
        <v>0.186223</v>
      </c>
      <c r="W1985" s="152">
        <v>1000</v>
      </c>
      <c r="X1985" s="152" t="s">
        <v>23</v>
      </c>
      <c r="Y1985" s="152" t="s">
        <v>1328</v>
      </c>
      <c r="Z1985" s="152" t="s">
        <v>1327</v>
      </c>
    </row>
    <row r="1986" spans="1:26" x14ac:dyDescent="0.2">
      <c r="A1986" s="152" t="s">
        <v>3077</v>
      </c>
      <c r="B1986" s="152">
        <v>0</v>
      </c>
      <c r="C1986" s="151">
        <v>43515</v>
      </c>
      <c r="D1986" s="152">
        <v>0.320548</v>
      </c>
      <c r="E1986" s="152" t="s">
        <v>1325</v>
      </c>
      <c r="F1986" s="152" t="s">
        <v>1326</v>
      </c>
      <c r="G1986" s="152"/>
      <c r="H1986" s="152"/>
      <c r="I1986" s="151">
        <v>43300</v>
      </c>
      <c r="J1986" s="152">
        <v>1.7</v>
      </c>
      <c r="K1986" s="152" t="s">
        <v>1327</v>
      </c>
      <c r="L1986" s="152" t="s">
        <v>1327</v>
      </c>
      <c r="M1986" s="152" t="s">
        <v>1327</v>
      </c>
      <c r="N1986" s="152" t="s">
        <v>1327</v>
      </c>
      <c r="O1986" s="152">
        <v>1.8359380000000001</v>
      </c>
      <c r="P1986" s="152">
        <v>22.111559</v>
      </c>
      <c r="Q1986" s="152">
        <v>1.8359380000000001</v>
      </c>
      <c r="R1986" s="152" t="s">
        <v>1327</v>
      </c>
      <c r="S1986" s="152">
        <v>99.414936999999995</v>
      </c>
      <c r="T1986" s="152">
        <v>0</v>
      </c>
      <c r="U1986" s="152">
        <v>0.31867299999999998</v>
      </c>
      <c r="V1986" s="152">
        <v>0.20310400000000001</v>
      </c>
      <c r="W1986" s="152">
        <v>1000</v>
      </c>
      <c r="X1986" s="152" t="s">
        <v>23</v>
      </c>
      <c r="Y1986" s="152" t="s">
        <v>1328</v>
      </c>
      <c r="Z1986" s="152" t="s">
        <v>1327</v>
      </c>
    </row>
    <row r="1987" spans="1:26" x14ac:dyDescent="0.2">
      <c r="A1987" s="152" t="s">
        <v>3078</v>
      </c>
      <c r="B1987" s="152">
        <v>0</v>
      </c>
      <c r="C1987" s="151">
        <v>43543</v>
      </c>
      <c r="D1987" s="152">
        <v>0.39726</v>
      </c>
      <c r="E1987" s="152" t="s">
        <v>1325</v>
      </c>
      <c r="F1987" s="152" t="s">
        <v>1326</v>
      </c>
      <c r="G1987" s="152"/>
      <c r="H1987" s="152"/>
      <c r="I1987" s="151">
        <v>43276</v>
      </c>
      <c r="J1987" s="152">
        <v>1.65</v>
      </c>
      <c r="K1987" s="152" t="s">
        <v>1327</v>
      </c>
      <c r="L1987" s="152" t="s">
        <v>1327</v>
      </c>
      <c r="M1987" s="152" t="s">
        <v>1327</v>
      </c>
      <c r="N1987" s="152" t="s">
        <v>1327</v>
      </c>
      <c r="O1987" s="152">
        <v>1.9047069999999999</v>
      </c>
      <c r="P1987" s="152">
        <v>22.474475999999999</v>
      </c>
      <c r="Q1987" s="152">
        <v>1.9047069999999999</v>
      </c>
      <c r="R1987" s="152" t="s">
        <v>1327</v>
      </c>
      <c r="S1987" s="152">
        <v>99.249018000000007</v>
      </c>
      <c r="T1987" s="152">
        <v>0</v>
      </c>
      <c r="U1987" s="152">
        <v>0.39427699999999999</v>
      </c>
      <c r="V1987" s="152">
        <v>0.31090899999999999</v>
      </c>
      <c r="W1987" s="152">
        <v>1000</v>
      </c>
      <c r="X1987" s="152" t="s">
        <v>23</v>
      </c>
      <c r="Y1987" s="152" t="s">
        <v>1328</v>
      </c>
      <c r="Z1987" s="152" t="s">
        <v>1327</v>
      </c>
    </row>
    <row r="1988" spans="1:26" x14ac:dyDescent="0.2">
      <c r="A1988" s="152" t="s">
        <v>3079</v>
      </c>
      <c r="B1988" s="152">
        <v>0</v>
      </c>
      <c r="C1988" s="151">
        <v>43543</v>
      </c>
      <c r="D1988" s="152">
        <v>0.39726</v>
      </c>
      <c r="E1988" s="152" t="s">
        <v>1325</v>
      </c>
      <c r="F1988" s="152" t="s">
        <v>1326</v>
      </c>
      <c r="G1988" s="152"/>
      <c r="H1988" s="152"/>
      <c r="I1988" s="152" t="s">
        <v>1327</v>
      </c>
      <c r="J1988" s="152" t="s">
        <v>1327</v>
      </c>
      <c r="K1988" s="152" t="s">
        <v>1327</v>
      </c>
      <c r="L1988" s="152" t="s">
        <v>1327</v>
      </c>
      <c r="M1988" s="152" t="s">
        <v>1327</v>
      </c>
      <c r="N1988" s="152" t="s">
        <v>1327</v>
      </c>
      <c r="O1988" s="152">
        <v>1.9047069999999999</v>
      </c>
      <c r="P1988" s="152">
        <v>22.474475999999999</v>
      </c>
      <c r="Q1988" s="152">
        <v>1.9047069999999999</v>
      </c>
      <c r="R1988" s="152" t="s">
        <v>1327</v>
      </c>
      <c r="S1988" s="152">
        <v>99.249018000000007</v>
      </c>
      <c r="T1988" s="152">
        <v>0</v>
      </c>
      <c r="U1988" s="152">
        <v>0.39427699999999999</v>
      </c>
      <c r="V1988" s="152">
        <v>0.31090899999999999</v>
      </c>
      <c r="W1988" s="152">
        <v>1000</v>
      </c>
      <c r="X1988" s="152" t="s">
        <v>23</v>
      </c>
      <c r="Y1988" s="152" t="s">
        <v>1328</v>
      </c>
      <c r="Z1988" s="152" t="s">
        <v>1327</v>
      </c>
    </row>
    <row r="1989" spans="1:26" x14ac:dyDescent="0.2">
      <c r="A1989" s="152" t="s">
        <v>3080</v>
      </c>
      <c r="B1989" s="152">
        <v>0</v>
      </c>
      <c r="C1989" s="151">
        <v>43550</v>
      </c>
      <c r="D1989" s="152">
        <v>0.41643799999999997</v>
      </c>
      <c r="E1989" s="152" t="s">
        <v>1325</v>
      </c>
      <c r="F1989" s="152" t="s">
        <v>1326</v>
      </c>
      <c r="G1989" s="152"/>
      <c r="H1989" s="152"/>
      <c r="I1989" s="151">
        <v>43326</v>
      </c>
      <c r="J1989" s="152">
        <v>1.72</v>
      </c>
      <c r="K1989" s="152" t="s">
        <v>1327</v>
      </c>
      <c r="L1989" s="152" t="s">
        <v>1327</v>
      </c>
      <c r="M1989" s="152" t="s">
        <v>1327</v>
      </c>
      <c r="N1989" s="152" t="s">
        <v>1327</v>
      </c>
      <c r="O1989" s="152">
        <v>1.921632</v>
      </c>
      <c r="P1989" s="152">
        <v>22.880272000000001</v>
      </c>
      <c r="Q1989" s="152">
        <v>1.921632</v>
      </c>
      <c r="R1989" s="152" t="s">
        <v>1327</v>
      </c>
      <c r="S1989" s="152">
        <v>99.206112000000005</v>
      </c>
      <c r="T1989" s="152">
        <v>0</v>
      </c>
      <c r="U1989" s="152">
        <v>0.413132</v>
      </c>
      <c r="V1989" s="152">
        <v>0.34135700000000002</v>
      </c>
      <c r="W1989" s="152">
        <v>1000</v>
      </c>
      <c r="X1989" s="152" t="s">
        <v>23</v>
      </c>
      <c r="Y1989" s="152" t="s">
        <v>1328</v>
      </c>
      <c r="Z1989" s="152" t="s">
        <v>1327</v>
      </c>
    </row>
    <row r="1990" spans="1:26" x14ac:dyDescent="0.2">
      <c r="A1990" s="152" t="s">
        <v>190</v>
      </c>
      <c r="B1990" s="152">
        <v>0</v>
      </c>
      <c r="C1990" s="151">
        <v>43550</v>
      </c>
      <c r="D1990" s="152">
        <v>0.41643799999999997</v>
      </c>
      <c r="E1990" s="152" t="s">
        <v>1325</v>
      </c>
      <c r="F1990" s="152" t="s">
        <v>1326</v>
      </c>
      <c r="G1990" s="152"/>
      <c r="H1990" s="152"/>
      <c r="I1990" s="152" t="s">
        <v>1327</v>
      </c>
      <c r="J1990" s="152" t="s">
        <v>1327</v>
      </c>
      <c r="K1990" s="152" t="s">
        <v>1327</v>
      </c>
      <c r="L1990" s="152" t="s">
        <v>1327</v>
      </c>
      <c r="M1990" s="152" t="s">
        <v>1327</v>
      </c>
      <c r="N1990" s="152" t="s">
        <v>1327</v>
      </c>
      <c r="O1990" s="152">
        <v>1.921632</v>
      </c>
      <c r="P1990" s="152">
        <v>22.880272000000001</v>
      </c>
      <c r="Q1990" s="152">
        <v>1.921632</v>
      </c>
      <c r="R1990" s="152" t="s">
        <v>1327</v>
      </c>
      <c r="S1990" s="152">
        <v>99.206112000000005</v>
      </c>
      <c r="T1990" s="152">
        <v>0</v>
      </c>
      <c r="U1990" s="152">
        <v>0.413132</v>
      </c>
      <c r="V1990" s="152">
        <v>0.34135700000000002</v>
      </c>
      <c r="W1990" s="152">
        <v>1000</v>
      </c>
      <c r="X1990" s="152" t="s">
        <v>23</v>
      </c>
      <c r="Y1990" s="152" t="s">
        <v>1328</v>
      </c>
      <c r="Z1990" s="152" t="s">
        <v>1327</v>
      </c>
    </row>
    <row r="1991" spans="1:26" x14ac:dyDescent="0.2">
      <c r="A1991" s="152" t="s">
        <v>3081</v>
      </c>
      <c r="B1991" s="152">
        <v>0</v>
      </c>
      <c r="C1991" s="151">
        <v>43573</v>
      </c>
      <c r="D1991" s="152">
        <v>0.47945199999999999</v>
      </c>
      <c r="E1991" s="152" t="s">
        <v>1325</v>
      </c>
      <c r="F1991" s="152" t="s">
        <v>1326</v>
      </c>
      <c r="G1991" s="152"/>
      <c r="H1991" s="152"/>
      <c r="I1991" s="151">
        <v>43391</v>
      </c>
      <c r="J1991" s="152">
        <v>1.95</v>
      </c>
      <c r="K1991" s="152" t="s">
        <v>1327</v>
      </c>
      <c r="L1991" s="152" t="s">
        <v>1327</v>
      </c>
      <c r="M1991" s="152" t="s">
        <v>1327</v>
      </c>
      <c r="N1991" s="152" t="s">
        <v>1327</v>
      </c>
      <c r="O1991" s="152">
        <v>1.9568000000000001</v>
      </c>
      <c r="P1991" s="152">
        <v>22.920344</v>
      </c>
      <c r="Q1991" s="152">
        <v>1.9568000000000001</v>
      </c>
      <c r="R1991" s="152" t="s">
        <v>1327</v>
      </c>
      <c r="S1991" s="152">
        <v>99.070527999999996</v>
      </c>
      <c r="T1991" s="152">
        <v>0</v>
      </c>
      <c r="U1991" s="152">
        <v>0.47499599999999997</v>
      </c>
      <c r="V1991" s="152">
        <v>0.45124199999999998</v>
      </c>
      <c r="W1991" s="152">
        <v>1000</v>
      </c>
      <c r="X1991" s="152" t="s">
        <v>23</v>
      </c>
      <c r="Y1991" s="152" t="s">
        <v>1328</v>
      </c>
      <c r="Z1991" s="152" t="s">
        <v>1327</v>
      </c>
    </row>
    <row r="1992" spans="1:26" x14ac:dyDescent="0.2">
      <c r="A1992" s="152" t="s">
        <v>3082</v>
      </c>
      <c r="B1992" s="152">
        <v>3.5</v>
      </c>
      <c r="C1992" s="151">
        <v>43427</v>
      </c>
      <c r="D1992" s="152">
        <v>7.9451999999999995E-2</v>
      </c>
      <c r="E1992" s="152" t="s">
        <v>1325</v>
      </c>
      <c r="F1992" s="152" t="s">
        <v>1326</v>
      </c>
      <c r="G1992" s="152"/>
      <c r="H1992" s="152"/>
      <c r="I1992" s="152" t="s">
        <v>1327</v>
      </c>
      <c r="J1992" s="152" t="s">
        <v>1327</v>
      </c>
      <c r="K1992" s="152" t="s">
        <v>1327</v>
      </c>
      <c r="L1992" s="152" t="s">
        <v>1327</v>
      </c>
      <c r="M1992" s="152" t="s">
        <v>1327</v>
      </c>
      <c r="N1992" s="152" t="s">
        <v>1327</v>
      </c>
      <c r="O1992" s="152">
        <v>3.1836380000000002</v>
      </c>
      <c r="P1992" s="152">
        <v>197.33547999999999</v>
      </c>
      <c r="Q1992" s="152">
        <v>3.1836380000000002</v>
      </c>
      <c r="R1992" s="152" t="s">
        <v>1327</v>
      </c>
      <c r="S1992" s="152">
        <v>100.021323</v>
      </c>
      <c r="T1992" s="152">
        <v>1.4863010000000001</v>
      </c>
      <c r="U1992" s="152">
        <v>7.9252000000000003E-2</v>
      </c>
      <c r="V1992" s="152">
        <v>1.2562E-2</v>
      </c>
      <c r="W1992" s="152">
        <v>1000</v>
      </c>
      <c r="X1992" s="152" t="s">
        <v>23</v>
      </c>
      <c r="Y1992" s="152" t="s">
        <v>1328</v>
      </c>
      <c r="Z1992" s="152" t="s">
        <v>1327</v>
      </c>
    </row>
    <row r="1993" spans="1:26" x14ac:dyDescent="0.2">
      <c r="A1993" s="152" t="s">
        <v>3083</v>
      </c>
      <c r="B1993" s="152">
        <v>0</v>
      </c>
      <c r="C1993" s="151">
        <v>43454</v>
      </c>
      <c r="D1993" s="152">
        <v>0.15342500000000001</v>
      </c>
      <c r="E1993" s="152" t="s">
        <v>1325</v>
      </c>
      <c r="F1993" s="152" t="s">
        <v>1326</v>
      </c>
      <c r="G1993" s="152"/>
      <c r="H1993" s="152"/>
      <c r="I1993" s="151">
        <v>43362</v>
      </c>
      <c r="J1993" s="152">
        <v>1.65</v>
      </c>
      <c r="K1993" s="152" t="s">
        <v>1327</v>
      </c>
      <c r="L1993" s="152" t="s">
        <v>1327</v>
      </c>
      <c r="M1993" s="152" t="s">
        <v>1327</v>
      </c>
      <c r="N1993" s="152" t="s">
        <v>1327</v>
      </c>
      <c r="O1993" s="152">
        <v>1.709219</v>
      </c>
      <c r="P1993" s="152">
        <v>33.055436999999998</v>
      </c>
      <c r="Q1993" s="152">
        <v>1.709219</v>
      </c>
      <c r="R1993" s="152" t="s">
        <v>1327</v>
      </c>
      <c r="S1993" s="152">
        <v>99.73845</v>
      </c>
      <c r="T1993" s="152">
        <v>0</v>
      </c>
      <c r="U1993" s="152">
        <v>0.15302299999999999</v>
      </c>
      <c r="V1993" s="152">
        <v>4.6831999999999999E-2</v>
      </c>
      <c r="W1993" s="152">
        <v>1000</v>
      </c>
      <c r="X1993" s="152" t="s">
        <v>23</v>
      </c>
      <c r="Y1993" s="152" t="s">
        <v>1328</v>
      </c>
      <c r="Z1993" s="152" t="s">
        <v>1327</v>
      </c>
    </row>
    <row r="1994" spans="1:26" x14ac:dyDescent="0.2">
      <c r="A1994" s="152" t="s">
        <v>191</v>
      </c>
      <c r="B1994" s="152">
        <v>0</v>
      </c>
      <c r="C1994" s="151">
        <v>43417</v>
      </c>
      <c r="D1994" s="152">
        <v>5.2054999999999997E-2</v>
      </c>
      <c r="E1994" s="152" t="s">
        <v>1325</v>
      </c>
      <c r="F1994" s="152" t="s">
        <v>1326</v>
      </c>
      <c r="G1994" s="152"/>
      <c r="H1994" s="152"/>
      <c r="I1994" s="152">
        <v>43329</v>
      </c>
      <c r="J1994" s="152">
        <v>1.6</v>
      </c>
      <c r="K1994" s="152" t="s">
        <v>1327</v>
      </c>
      <c r="L1994" s="152" t="s">
        <v>1327</v>
      </c>
      <c r="M1994" s="152" t="s">
        <v>1327</v>
      </c>
      <c r="N1994" s="152" t="s">
        <v>1327</v>
      </c>
      <c r="O1994" s="152">
        <v>1.5284960000000001</v>
      </c>
      <c r="P1994" s="152">
        <v>33.260885999999999</v>
      </c>
      <c r="Q1994" s="152">
        <v>1.5284960000000001</v>
      </c>
      <c r="R1994" s="152" t="s">
        <v>1327</v>
      </c>
      <c r="S1994" s="152">
        <v>99.920497999999995</v>
      </c>
      <c r="T1994" s="152">
        <v>0</v>
      </c>
      <c r="U1994" s="152">
        <v>5.2012999999999997E-2</v>
      </c>
      <c r="V1994" s="152">
        <v>5.411E-3</v>
      </c>
      <c r="W1994" s="152">
        <v>1000</v>
      </c>
      <c r="X1994" s="152" t="s">
        <v>23</v>
      </c>
      <c r="Y1994" s="152" t="s">
        <v>1328</v>
      </c>
      <c r="Z1994" s="152" t="s">
        <v>1327</v>
      </c>
    </row>
    <row r="1995" spans="1:26" x14ac:dyDescent="0.2">
      <c r="A1995" s="152" t="s">
        <v>3084</v>
      </c>
      <c r="B1995" s="152">
        <v>0</v>
      </c>
      <c r="C1995" s="151">
        <v>43451</v>
      </c>
      <c r="D1995" s="152">
        <v>0.145205</v>
      </c>
      <c r="E1995" s="152" t="s">
        <v>1325</v>
      </c>
      <c r="F1995" s="152" t="s">
        <v>1326</v>
      </c>
      <c r="G1995" s="152"/>
      <c r="H1995" s="152"/>
      <c r="I1995" s="151" t="s">
        <v>1327</v>
      </c>
      <c r="J1995" s="152" t="s">
        <v>1327</v>
      </c>
      <c r="K1995" s="152" t="s">
        <v>1327</v>
      </c>
      <c r="L1995" s="152" t="s">
        <v>1327</v>
      </c>
      <c r="M1995" s="152" t="s">
        <v>1327</v>
      </c>
      <c r="N1995" s="152" t="s">
        <v>1327</v>
      </c>
      <c r="O1995" s="152">
        <v>1.803021</v>
      </c>
      <c r="P1995" s="152">
        <v>44.032536</v>
      </c>
      <c r="Q1995" s="152">
        <v>1.803021</v>
      </c>
      <c r="R1995" s="152" t="s">
        <v>1327</v>
      </c>
      <c r="S1995" s="152">
        <v>99.738874999999993</v>
      </c>
      <c r="T1995" s="152">
        <v>0</v>
      </c>
      <c r="U1995" s="152">
        <v>0.14482600000000001</v>
      </c>
      <c r="V1995" s="152">
        <v>4.1949E-2</v>
      </c>
      <c r="W1995" s="152">
        <v>1000</v>
      </c>
      <c r="X1995" s="152" t="s">
        <v>23</v>
      </c>
      <c r="Y1995" s="152" t="s">
        <v>1921</v>
      </c>
      <c r="Z1995" s="152" t="s">
        <v>1327</v>
      </c>
    </row>
    <row r="1996" spans="1:26" x14ac:dyDescent="0.2">
      <c r="A1996" s="152" t="s">
        <v>3085</v>
      </c>
      <c r="B1996" s="152">
        <v>0</v>
      </c>
      <c r="C1996" s="151">
        <v>43461</v>
      </c>
      <c r="D1996" s="152">
        <v>0.17260300000000001</v>
      </c>
      <c r="E1996" s="152" t="s">
        <v>1325</v>
      </c>
      <c r="F1996" s="152" t="s">
        <v>1326</v>
      </c>
      <c r="G1996" s="152"/>
      <c r="H1996" s="152"/>
      <c r="I1996" s="151" t="s">
        <v>1327</v>
      </c>
      <c r="J1996" s="152" t="s">
        <v>1327</v>
      </c>
      <c r="K1996" s="152" t="s">
        <v>1327</v>
      </c>
      <c r="L1996" s="152" t="s">
        <v>1327</v>
      </c>
      <c r="M1996" s="152" t="s">
        <v>1327</v>
      </c>
      <c r="N1996" s="152" t="s">
        <v>1327</v>
      </c>
      <c r="O1996" s="152">
        <v>1.814168</v>
      </c>
      <c r="P1996" s="152">
        <v>40.376435999999998</v>
      </c>
      <c r="Q1996" s="152">
        <v>1.814168</v>
      </c>
      <c r="R1996" s="152" t="s">
        <v>1327</v>
      </c>
      <c r="S1996" s="152">
        <v>99.687847000000005</v>
      </c>
      <c r="T1996" s="152">
        <v>0</v>
      </c>
      <c r="U1996" s="152">
        <v>0.17206399999999999</v>
      </c>
      <c r="V1996" s="152">
        <v>5.9212000000000001E-2</v>
      </c>
      <c r="W1996" s="152">
        <v>1000</v>
      </c>
      <c r="X1996" s="152" t="s">
        <v>23</v>
      </c>
      <c r="Y1996" s="152" t="s">
        <v>1921</v>
      </c>
      <c r="Z1996" s="152" t="s">
        <v>1327</v>
      </c>
    </row>
    <row r="1997" spans="1:26" x14ac:dyDescent="0.2">
      <c r="A1997" s="152" t="s">
        <v>3086</v>
      </c>
      <c r="B1997" s="152">
        <v>0</v>
      </c>
      <c r="C1997" s="151">
        <v>43461</v>
      </c>
      <c r="D1997" s="152">
        <v>0.17260300000000001</v>
      </c>
      <c r="E1997" s="152" t="s">
        <v>1325</v>
      </c>
      <c r="F1997" s="152" t="s">
        <v>1326</v>
      </c>
      <c r="G1997" s="152"/>
      <c r="H1997" s="152"/>
      <c r="I1997" s="151" t="s">
        <v>1327</v>
      </c>
      <c r="J1997" s="152" t="s">
        <v>1327</v>
      </c>
      <c r="K1997" s="152" t="s">
        <v>1327</v>
      </c>
      <c r="L1997" s="152" t="s">
        <v>1327</v>
      </c>
      <c r="M1997" s="152" t="s">
        <v>1327</v>
      </c>
      <c r="N1997" s="152" t="s">
        <v>1327</v>
      </c>
      <c r="O1997" s="152">
        <v>1.814168</v>
      </c>
      <c r="P1997" s="152">
        <v>40.376435999999998</v>
      </c>
      <c r="Q1997" s="152">
        <v>1.814168</v>
      </c>
      <c r="R1997" s="152" t="s">
        <v>1327</v>
      </c>
      <c r="S1997" s="152">
        <v>99.687847000000005</v>
      </c>
      <c r="T1997" s="152">
        <v>0</v>
      </c>
      <c r="U1997" s="152">
        <v>0.17206399999999999</v>
      </c>
      <c r="V1997" s="152">
        <v>5.9212000000000001E-2</v>
      </c>
      <c r="W1997" s="152">
        <v>1000</v>
      </c>
      <c r="X1997" s="152" t="s">
        <v>23</v>
      </c>
      <c r="Y1997" s="152" t="s">
        <v>1921</v>
      </c>
      <c r="Z1997" s="152" t="s">
        <v>1327</v>
      </c>
    </row>
    <row r="1998" spans="1:26" x14ac:dyDescent="0.2">
      <c r="A1998" s="152" t="s">
        <v>3087</v>
      </c>
      <c r="B1998" s="152">
        <v>0</v>
      </c>
      <c r="C1998" s="151">
        <v>43417</v>
      </c>
      <c r="D1998" s="152">
        <v>5.2054999999999997E-2</v>
      </c>
      <c r="E1998" s="152" t="s">
        <v>1325</v>
      </c>
      <c r="F1998" s="152" t="s">
        <v>1326</v>
      </c>
      <c r="G1998" s="152"/>
      <c r="H1998" s="152"/>
      <c r="I1998" s="152" t="s">
        <v>1327</v>
      </c>
      <c r="J1998" s="152" t="s">
        <v>1327</v>
      </c>
      <c r="K1998" s="152" t="s">
        <v>1327</v>
      </c>
      <c r="L1998" s="152" t="s">
        <v>1327</v>
      </c>
      <c r="M1998" s="152" t="s">
        <v>1327</v>
      </c>
      <c r="N1998" s="152" t="s">
        <v>1327</v>
      </c>
      <c r="O1998" s="152">
        <v>1.5775189999999999</v>
      </c>
      <c r="P1998" s="152">
        <v>38.235838999999999</v>
      </c>
      <c r="Q1998" s="152">
        <v>1.5775189999999999</v>
      </c>
      <c r="R1998" s="152" t="s">
        <v>1327</v>
      </c>
      <c r="S1998" s="152">
        <v>99.917950000000005</v>
      </c>
      <c r="T1998" s="152">
        <v>0</v>
      </c>
      <c r="U1998" s="152">
        <v>5.2012000000000003E-2</v>
      </c>
      <c r="V1998" s="152">
        <v>5.411E-3</v>
      </c>
      <c r="W1998" s="152">
        <v>1000</v>
      </c>
      <c r="X1998" s="152" t="s">
        <v>23</v>
      </c>
      <c r="Y1998" s="152" t="s">
        <v>1328</v>
      </c>
      <c r="Z1998" s="152" t="s">
        <v>1327</v>
      </c>
    </row>
    <row r="1999" spans="1:26" x14ac:dyDescent="0.2">
      <c r="A1999" s="152" t="s">
        <v>3088</v>
      </c>
      <c r="B1999" s="152">
        <v>0</v>
      </c>
      <c r="C1999" s="151">
        <v>43475</v>
      </c>
      <c r="D1999" s="152">
        <v>0.21095900000000001</v>
      </c>
      <c r="E1999" s="152" t="s">
        <v>1325</v>
      </c>
      <c r="F1999" s="152" t="s">
        <v>1326</v>
      </c>
      <c r="G1999" s="152"/>
      <c r="H1999" s="152"/>
      <c r="I1999" s="151">
        <v>43298</v>
      </c>
      <c r="J1999" s="152">
        <v>1.875</v>
      </c>
      <c r="K1999" s="152" t="s">
        <v>1327</v>
      </c>
      <c r="L1999" s="152" t="s">
        <v>1327</v>
      </c>
      <c r="M1999" s="152" t="s">
        <v>1327</v>
      </c>
      <c r="N1999" s="152" t="s">
        <v>1327</v>
      </c>
      <c r="O1999" s="152">
        <v>1.845129</v>
      </c>
      <c r="P1999" s="152">
        <v>37.216810000000002</v>
      </c>
      <c r="Q1999" s="152">
        <v>1.845129</v>
      </c>
      <c r="R1999" s="152" t="s">
        <v>1327</v>
      </c>
      <c r="S1999" s="152">
        <v>99.612262999999999</v>
      </c>
      <c r="T1999" s="152">
        <v>0</v>
      </c>
      <c r="U1999" s="152">
        <v>0.21014099999999999</v>
      </c>
      <c r="V1999" s="152">
        <v>8.8317999999999994E-2</v>
      </c>
      <c r="W1999" s="152">
        <v>1000</v>
      </c>
      <c r="X1999" s="152" t="s">
        <v>23</v>
      </c>
      <c r="Y1999" s="152" t="s">
        <v>1328</v>
      </c>
      <c r="Z1999" s="152" t="s">
        <v>1327</v>
      </c>
    </row>
    <row r="2000" spans="1:26" x14ac:dyDescent="0.2">
      <c r="A2000" s="152" t="s">
        <v>3089</v>
      </c>
      <c r="B2000" s="152">
        <v>0</v>
      </c>
      <c r="C2000" s="151">
        <v>43475</v>
      </c>
      <c r="D2000" s="152">
        <v>0.21095900000000001</v>
      </c>
      <c r="E2000" s="152" t="s">
        <v>1325</v>
      </c>
      <c r="F2000" s="152" t="s">
        <v>1326</v>
      </c>
      <c r="G2000" s="152"/>
      <c r="H2000" s="152"/>
      <c r="I2000" s="151">
        <v>43384</v>
      </c>
      <c r="J2000" s="152">
        <v>1.84</v>
      </c>
      <c r="K2000" s="152" t="s">
        <v>1327</v>
      </c>
      <c r="L2000" s="152" t="s">
        <v>1327</v>
      </c>
      <c r="M2000" s="152" t="s">
        <v>1327</v>
      </c>
      <c r="N2000" s="152" t="s">
        <v>1327</v>
      </c>
      <c r="O2000" s="152">
        <v>1.845129</v>
      </c>
      <c r="P2000" s="152">
        <v>37.216810000000002</v>
      </c>
      <c r="Q2000" s="152">
        <v>1.845129</v>
      </c>
      <c r="R2000" s="152" t="s">
        <v>1327</v>
      </c>
      <c r="S2000" s="152">
        <v>99.612262999999999</v>
      </c>
      <c r="T2000" s="152">
        <v>0</v>
      </c>
      <c r="U2000" s="152">
        <v>0.21014099999999999</v>
      </c>
      <c r="V2000" s="152">
        <v>8.8317999999999994E-2</v>
      </c>
      <c r="W2000" s="152">
        <v>1000</v>
      </c>
      <c r="X2000" s="152" t="s">
        <v>23</v>
      </c>
      <c r="Y2000" s="152" t="s">
        <v>1328</v>
      </c>
      <c r="Z2000" s="152" t="s">
        <v>1327</v>
      </c>
    </row>
    <row r="2001" spans="1:26" x14ac:dyDescent="0.2">
      <c r="A2001" s="152" t="s">
        <v>801</v>
      </c>
      <c r="B2001" s="152">
        <v>0</v>
      </c>
      <c r="C2001" s="151">
        <v>43510</v>
      </c>
      <c r="D2001" s="152">
        <v>0.30684899999999998</v>
      </c>
      <c r="E2001" s="152" t="s">
        <v>1325</v>
      </c>
      <c r="F2001" s="152" t="s">
        <v>1326</v>
      </c>
      <c r="G2001" s="152"/>
      <c r="H2001" s="152"/>
      <c r="I2001" s="152" t="s">
        <v>1327</v>
      </c>
      <c r="J2001" s="152" t="s">
        <v>1327</v>
      </c>
      <c r="K2001" s="152" t="s">
        <v>1327</v>
      </c>
      <c r="L2001" s="152" t="s">
        <v>1327</v>
      </c>
      <c r="M2001" s="152" t="s">
        <v>1327</v>
      </c>
      <c r="N2001" s="152" t="s">
        <v>1327</v>
      </c>
      <c r="O2001" s="152">
        <v>1.9470069999999999</v>
      </c>
      <c r="P2001" s="152">
        <v>34.805312000000001</v>
      </c>
      <c r="Q2001" s="152">
        <v>1.9470069999999999</v>
      </c>
      <c r="R2001" s="152" t="s">
        <v>1327</v>
      </c>
      <c r="S2001" s="152">
        <v>99.406109999999998</v>
      </c>
      <c r="T2001" s="152">
        <v>0</v>
      </c>
      <c r="U2001" s="152">
        <v>0.30502699999999999</v>
      </c>
      <c r="V2001" s="152">
        <v>0.186083</v>
      </c>
      <c r="W2001" s="152">
        <v>1000</v>
      </c>
      <c r="X2001" s="152" t="s">
        <v>23</v>
      </c>
      <c r="Y2001" s="152" t="s">
        <v>1328</v>
      </c>
      <c r="Z2001" s="152" t="s">
        <v>1327</v>
      </c>
    </row>
    <row r="2002" spans="1:26" x14ac:dyDescent="0.2">
      <c r="A2002" s="152" t="s">
        <v>3090</v>
      </c>
      <c r="B2002" s="152">
        <v>0</v>
      </c>
      <c r="C2002" s="151">
        <v>43531</v>
      </c>
      <c r="D2002" s="152">
        <v>0.36438399999999999</v>
      </c>
      <c r="E2002" s="152" t="s">
        <v>1325</v>
      </c>
      <c r="F2002" s="152" t="s">
        <v>1326</v>
      </c>
      <c r="G2002" s="152"/>
      <c r="H2002" s="152"/>
      <c r="I2002" s="152">
        <v>43341</v>
      </c>
      <c r="J2002" s="152">
        <v>1.875</v>
      </c>
      <c r="K2002" s="152" t="s">
        <v>1327</v>
      </c>
      <c r="L2002" s="152" t="s">
        <v>1327</v>
      </c>
      <c r="M2002" s="152" t="s">
        <v>1327</v>
      </c>
      <c r="N2002" s="152" t="s">
        <v>1327</v>
      </c>
      <c r="O2002" s="152">
        <v>1.998937</v>
      </c>
      <c r="P2002" s="152">
        <v>34.556474999999999</v>
      </c>
      <c r="Q2002" s="152">
        <v>1.998937</v>
      </c>
      <c r="R2002" s="152" t="s">
        <v>1327</v>
      </c>
      <c r="S2002" s="152">
        <v>99.276887000000002</v>
      </c>
      <c r="T2002" s="152">
        <v>0</v>
      </c>
      <c r="U2002" s="152">
        <v>0.36174899999999999</v>
      </c>
      <c r="V2002" s="152">
        <v>0.26172400000000001</v>
      </c>
      <c r="W2002" s="152">
        <v>1000</v>
      </c>
      <c r="X2002" s="152" t="s">
        <v>23</v>
      </c>
      <c r="Y2002" s="152" t="s">
        <v>1328</v>
      </c>
      <c r="Z2002" s="152" t="s">
        <v>1327</v>
      </c>
    </row>
    <row r="2003" spans="1:26" x14ac:dyDescent="0.2">
      <c r="A2003" s="152" t="s">
        <v>3091</v>
      </c>
      <c r="B2003" s="152">
        <v>0</v>
      </c>
      <c r="C2003" s="151">
        <v>43545</v>
      </c>
      <c r="D2003" s="152">
        <v>0.40273999999999999</v>
      </c>
      <c r="E2003" s="152" t="s">
        <v>1325</v>
      </c>
      <c r="F2003" s="152" t="s">
        <v>1326</v>
      </c>
      <c r="G2003" s="152"/>
      <c r="H2003" s="152"/>
      <c r="I2003" s="152">
        <v>43361</v>
      </c>
      <c r="J2003" s="152">
        <v>1.86</v>
      </c>
      <c r="K2003" s="152" t="s">
        <v>1327</v>
      </c>
      <c r="L2003" s="152" t="s">
        <v>1327</v>
      </c>
      <c r="M2003" s="152" t="s">
        <v>1327</v>
      </c>
      <c r="N2003" s="152" t="s">
        <v>1327</v>
      </c>
      <c r="O2003" s="152">
        <v>2.0330889999999999</v>
      </c>
      <c r="P2003" s="152">
        <v>35.078257000000001</v>
      </c>
      <c r="Q2003" s="152">
        <v>2.0330889999999999</v>
      </c>
      <c r="R2003" s="152" t="s">
        <v>1327</v>
      </c>
      <c r="S2003" s="152">
        <v>99.187843999999998</v>
      </c>
      <c r="T2003" s="152">
        <v>0</v>
      </c>
      <c r="U2003" s="152">
        <v>0.39946900000000002</v>
      </c>
      <c r="V2003" s="152">
        <v>0.31915100000000002</v>
      </c>
      <c r="W2003" s="152">
        <v>1000</v>
      </c>
      <c r="X2003" s="152" t="s">
        <v>23</v>
      </c>
      <c r="Y2003" s="152" t="s">
        <v>1328</v>
      </c>
      <c r="Z2003" s="152" t="s">
        <v>1327</v>
      </c>
    </row>
    <row r="2004" spans="1:26" x14ac:dyDescent="0.2">
      <c r="A2004" s="152" t="s">
        <v>3092</v>
      </c>
      <c r="B2004" s="152">
        <v>0</v>
      </c>
      <c r="C2004" s="151">
        <v>43545</v>
      </c>
      <c r="D2004" s="152">
        <v>0.40273999999999999</v>
      </c>
      <c r="E2004" s="152" t="s">
        <v>1325</v>
      </c>
      <c r="F2004" s="152" t="s">
        <v>1326</v>
      </c>
      <c r="G2004" s="152"/>
      <c r="H2004" s="152"/>
      <c r="I2004" s="152">
        <v>43363</v>
      </c>
      <c r="J2004" s="152">
        <v>1.875</v>
      </c>
      <c r="K2004" s="152" t="s">
        <v>1327</v>
      </c>
      <c r="L2004" s="152" t="s">
        <v>1327</v>
      </c>
      <c r="M2004" s="152" t="s">
        <v>1327</v>
      </c>
      <c r="N2004" s="152" t="s">
        <v>1327</v>
      </c>
      <c r="O2004" s="152">
        <v>2.0330889999999999</v>
      </c>
      <c r="P2004" s="152">
        <v>35.078257000000001</v>
      </c>
      <c r="Q2004" s="152">
        <v>2.0330889999999999</v>
      </c>
      <c r="R2004" s="152" t="s">
        <v>1327</v>
      </c>
      <c r="S2004" s="152">
        <v>99.187843999999998</v>
      </c>
      <c r="T2004" s="152">
        <v>0</v>
      </c>
      <c r="U2004" s="152">
        <v>0.39946900000000002</v>
      </c>
      <c r="V2004" s="152">
        <v>0.31915100000000002</v>
      </c>
      <c r="W2004" s="152">
        <v>1000</v>
      </c>
      <c r="X2004" s="152" t="s">
        <v>23</v>
      </c>
      <c r="Y2004" s="152" t="s">
        <v>1328</v>
      </c>
      <c r="Z2004" s="152" t="s">
        <v>1327</v>
      </c>
    </row>
    <row r="2005" spans="1:26" x14ac:dyDescent="0.2">
      <c r="A2005" s="152" t="s">
        <v>3093</v>
      </c>
      <c r="B2005" s="152">
        <v>0</v>
      </c>
      <c r="C2005" s="151">
        <v>43566</v>
      </c>
      <c r="D2005" s="152">
        <v>0.46027400000000002</v>
      </c>
      <c r="E2005" s="152" t="s">
        <v>1325</v>
      </c>
      <c r="F2005" s="152" t="s">
        <v>1326</v>
      </c>
      <c r="G2005" s="152"/>
      <c r="H2005" s="152"/>
      <c r="I2005" s="151">
        <v>43384</v>
      </c>
      <c r="J2005" s="152">
        <v>1.875</v>
      </c>
      <c r="K2005" s="152" t="s">
        <v>1327</v>
      </c>
      <c r="L2005" s="152" t="s">
        <v>1327</v>
      </c>
      <c r="M2005" s="152" t="s">
        <v>1327</v>
      </c>
      <c r="N2005" s="152" t="s">
        <v>1327</v>
      </c>
      <c r="O2005" s="152">
        <v>1.9052929999999999</v>
      </c>
      <c r="P2005" s="152">
        <v>18.671821999999999</v>
      </c>
      <c r="Q2005" s="152">
        <v>1.9052929999999999</v>
      </c>
      <c r="R2005" s="152" t="s">
        <v>1327</v>
      </c>
      <c r="S2005" s="152">
        <v>99.130667000000003</v>
      </c>
      <c r="T2005" s="152">
        <v>0</v>
      </c>
      <c r="U2005" s="152">
        <v>0.45627299999999998</v>
      </c>
      <c r="V2005" s="152">
        <v>0.41636899999999999</v>
      </c>
      <c r="W2005" s="152">
        <v>1000</v>
      </c>
      <c r="X2005" s="152" t="s">
        <v>23</v>
      </c>
      <c r="Y2005" s="152" t="s">
        <v>1328</v>
      </c>
      <c r="Z2005" s="152" t="s">
        <v>1327</v>
      </c>
    </row>
    <row r="2006" spans="1:26" x14ac:dyDescent="0.2">
      <c r="A2006" s="152" t="s">
        <v>3094</v>
      </c>
      <c r="B2006" s="152">
        <v>0</v>
      </c>
      <c r="C2006" s="151">
        <v>43409</v>
      </c>
      <c r="D2006" s="152">
        <v>3.0137000000000001E-2</v>
      </c>
      <c r="E2006" s="152" t="s">
        <v>1325</v>
      </c>
      <c r="F2006" s="152" t="s">
        <v>1326</v>
      </c>
      <c r="G2006" s="152"/>
      <c r="H2006" s="152"/>
      <c r="I2006" s="151">
        <v>43378</v>
      </c>
      <c r="J2006" s="152">
        <v>1.54</v>
      </c>
      <c r="K2006" s="152" t="s">
        <v>1327</v>
      </c>
      <c r="L2006" s="152" t="s">
        <v>1327</v>
      </c>
      <c r="M2006" s="152" t="s">
        <v>1327</v>
      </c>
      <c r="N2006" s="152" t="s">
        <v>1327</v>
      </c>
      <c r="O2006" s="152">
        <v>1.5383990000000001</v>
      </c>
      <c r="P2006" s="152">
        <v>38.279783000000002</v>
      </c>
      <c r="Q2006" s="152">
        <v>1.5383990000000001</v>
      </c>
      <c r="R2006" s="152" t="s">
        <v>1327</v>
      </c>
      <c r="S2006" s="152">
        <v>99.953659000000002</v>
      </c>
      <c r="T2006" s="152">
        <v>0</v>
      </c>
      <c r="U2006" s="152">
        <v>3.0123E-2</v>
      </c>
      <c r="V2006" s="152">
        <v>1.815E-3</v>
      </c>
      <c r="W2006" s="152">
        <v>1000</v>
      </c>
      <c r="X2006" s="152" t="s">
        <v>23</v>
      </c>
      <c r="Y2006" s="152" t="s">
        <v>1328</v>
      </c>
      <c r="Z2006" s="152" t="s">
        <v>1327</v>
      </c>
    </row>
    <row r="2007" spans="1:26" x14ac:dyDescent="0.2">
      <c r="A2007" s="152" t="s">
        <v>3095</v>
      </c>
      <c r="B2007" s="152">
        <v>0</v>
      </c>
      <c r="C2007" s="151">
        <v>43409</v>
      </c>
      <c r="D2007" s="152">
        <v>3.0137000000000001E-2</v>
      </c>
      <c r="E2007" s="152" t="s">
        <v>1325</v>
      </c>
      <c r="F2007" s="152" t="s">
        <v>1326</v>
      </c>
      <c r="G2007" s="152"/>
      <c r="H2007" s="152"/>
      <c r="I2007" s="151" t="s">
        <v>1327</v>
      </c>
      <c r="J2007" s="152" t="s">
        <v>1327</v>
      </c>
      <c r="K2007" s="152" t="s">
        <v>1327</v>
      </c>
      <c r="L2007" s="152" t="s">
        <v>1327</v>
      </c>
      <c r="M2007" s="152" t="s">
        <v>1327</v>
      </c>
      <c r="N2007" s="152" t="s">
        <v>1327</v>
      </c>
      <c r="O2007" s="152">
        <v>1.5383990000000001</v>
      </c>
      <c r="P2007" s="152">
        <v>38.279783000000002</v>
      </c>
      <c r="Q2007" s="152">
        <v>1.5383990000000001</v>
      </c>
      <c r="R2007" s="152" t="s">
        <v>1327</v>
      </c>
      <c r="S2007" s="152">
        <v>99.953659000000002</v>
      </c>
      <c r="T2007" s="152">
        <v>0</v>
      </c>
      <c r="U2007" s="152">
        <v>3.0123E-2</v>
      </c>
      <c r="V2007" s="152">
        <v>1.815E-3</v>
      </c>
      <c r="W2007" s="152">
        <v>1000</v>
      </c>
      <c r="X2007" s="152" t="s">
        <v>23</v>
      </c>
      <c r="Y2007" s="152" t="s">
        <v>1328</v>
      </c>
      <c r="Z2007" s="152" t="s">
        <v>1327</v>
      </c>
    </row>
    <row r="2008" spans="1:26" x14ac:dyDescent="0.2">
      <c r="A2008" s="152" t="s">
        <v>3096</v>
      </c>
      <c r="B2008" s="152">
        <v>0</v>
      </c>
      <c r="C2008" s="151">
        <v>43409</v>
      </c>
      <c r="D2008" s="152">
        <v>3.0137000000000001E-2</v>
      </c>
      <c r="E2008" s="152" t="s">
        <v>1325</v>
      </c>
      <c r="F2008" s="152" t="s">
        <v>1326</v>
      </c>
      <c r="G2008" s="152"/>
      <c r="H2008" s="152"/>
      <c r="I2008" s="152">
        <v>43378</v>
      </c>
      <c r="J2008" s="152">
        <v>1.55</v>
      </c>
      <c r="K2008" s="152" t="s">
        <v>1327</v>
      </c>
      <c r="L2008" s="152" t="s">
        <v>1327</v>
      </c>
      <c r="M2008" s="152" t="s">
        <v>1327</v>
      </c>
      <c r="N2008" s="152" t="s">
        <v>1327</v>
      </c>
      <c r="O2008" s="152">
        <v>1.5383990000000001</v>
      </c>
      <c r="P2008" s="152">
        <v>38.279783000000002</v>
      </c>
      <c r="Q2008" s="152">
        <v>1.5383990000000001</v>
      </c>
      <c r="R2008" s="152" t="s">
        <v>1327</v>
      </c>
      <c r="S2008" s="152">
        <v>99.953659000000002</v>
      </c>
      <c r="T2008" s="152">
        <v>0</v>
      </c>
      <c r="U2008" s="152">
        <v>3.0123E-2</v>
      </c>
      <c r="V2008" s="152">
        <v>1.815E-3</v>
      </c>
      <c r="W2008" s="152">
        <v>1000</v>
      </c>
      <c r="X2008" s="152" t="s">
        <v>23</v>
      </c>
      <c r="Y2008" s="152" t="s">
        <v>1328</v>
      </c>
      <c r="Z2008" s="152" t="s">
        <v>1327</v>
      </c>
    </row>
    <row r="2009" spans="1:26" x14ac:dyDescent="0.2">
      <c r="A2009" s="152" t="s">
        <v>3097</v>
      </c>
      <c r="B2009" s="152">
        <v>0</v>
      </c>
      <c r="C2009" s="151">
        <v>43413</v>
      </c>
      <c r="D2009" s="152">
        <v>4.1096000000000001E-2</v>
      </c>
      <c r="E2009" s="152" t="s">
        <v>1325</v>
      </c>
      <c r="F2009" s="152" t="s">
        <v>1326</v>
      </c>
      <c r="G2009" s="152"/>
      <c r="H2009" s="152"/>
      <c r="I2009" s="151">
        <v>43383</v>
      </c>
      <c r="J2009" s="152">
        <v>1.55</v>
      </c>
      <c r="K2009" s="152" t="s">
        <v>1327</v>
      </c>
      <c r="L2009" s="152" t="s">
        <v>1327</v>
      </c>
      <c r="M2009" s="152" t="s">
        <v>1327</v>
      </c>
      <c r="N2009" s="152" t="s">
        <v>1327</v>
      </c>
      <c r="O2009" s="152">
        <v>1.53792</v>
      </c>
      <c r="P2009" s="152">
        <v>36.231019000000003</v>
      </c>
      <c r="Q2009" s="152">
        <v>1.53792</v>
      </c>
      <c r="R2009" s="152" t="s">
        <v>1327</v>
      </c>
      <c r="S2009" s="152">
        <v>99.936837999999995</v>
      </c>
      <c r="T2009" s="152">
        <v>0</v>
      </c>
      <c r="U2009" s="152">
        <v>4.1070000000000002E-2</v>
      </c>
      <c r="V2009" s="152">
        <v>3.3730000000000001E-3</v>
      </c>
      <c r="W2009" s="152">
        <v>1000</v>
      </c>
      <c r="X2009" s="152" t="s">
        <v>23</v>
      </c>
      <c r="Y2009" s="152" t="s">
        <v>1328</v>
      </c>
      <c r="Z2009" s="152" t="s">
        <v>1327</v>
      </c>
    </row>
    <row r="2010" spans="1:26" x14ac:dyDescent="0.2">
      <c r="A2010" s="152" t="s">
        <v>3098</v>
      </c>
      <c r="B2010" s="152">
        <v>0</v>
      </c>
      <c r="C2010" s="151">
        <v>43416</v>
      </c>
      <c r="D2010" s="152">
        <v>4.9314999999999998E-2</v>
      </c>
      <c r="E2010" s="152" t="s">
        <v>1325</v>
      </c>
      <c r="F2010" s="152" t="s">
        <v>1326</v>
      </c>
      <c r="G2010" s="152"/>
      <c r="H2010" s="152"/>
      <c r="I2010" s="151" t="s">
        <v>1327</v>
      </c>
      <c r="J2010" s="152" t="s">
        <v>1327</v>
      </c>
      <c r="K2010" s="152" t="s">
        <v>1327</v>
      </c>
      <c r="L2010" s="152" t="s">
        <v>1327</v>
      </c>
      <c r="M2010" s="152" t="s">
        <v>1327</v>
      </c>
      <c r="N2010" s="152" t="s">
        <v>1327</v>
      </c>
      <c r="O2010" s="152">
        <v>1.537614</v>
      </c>
      <c r="P2010" s="152">
        <v>34.690573000000001</v>
      </c>
      <c r="Q2010" s="152">
        <v>1.537614</v>
      </c>
      <c r="R2010" s="152" t="s">
        <v>1327</v>
      </c>
      <c r="S2010" s="152">
        <v>99.924229999999994</v>
      </c>
      <c r="T2010" s="152">
        <v>0</v>
      </c>
      <c r="U2010" s="152">
        <v>4.9278000000000002E-2</v>
      </c>
      <c r="V2010" s="152">
        <v>4.8570000000000002E-3</v>
      </c>
      <c r="W2010" s="152">
        <v>1000</v>
      </c>
      <c r="X2010" s="152" t="s">
        <v>23</v>
      </c>
      <c r="Y2010" s="152" t="s">
        <v>1328</v>
      </c>
      <c r="Z2010" s="152" t="s">
        <v>1327</v>
      </c>
    </row>
    <row r="2011" spans="1:26" x14ac:dyDescent="0.2">
      <c r="A2011" s="152" t="s">
        <v>3099</v>
      </c>
      <c r="B2011" s="152">
        <v>0</v>
      </c>
      <c r="C2011" s="151">
        <v>43416</v>
      </c>
      <c r="D2011" s="152">
        <v>4.9314999999999998E-2</v>
      </c>
      <c r="E2011" s="152" t="s">
        <v>1325</v>
      </c>
      <c r="F2011" s="152" t="s">
        <v>1326</v>
      </c>
      <c r="G2011" s="152"/>
      <c r="H2011" s="152"/>
      <c r="I2011" s="152">
        <v>43383</v>
      </c>
      <c r="J2011" s="152">
        <v>1.54</v>
      </c>
      <c r="K2011" s="152" t="s">
        <v>1327</v>
      </c>
      <c r="L2011" s="152" t="s">
        <v>1327</v>
      </c>
      <c r="M2011" s="152" t="s">
        <v>1327</v>
      </c>
      <c r="N2011" s="152" t="s">
        <v>1327</v>
      </c>
      <c r="O2011" s="152">
        <v>1.537614</v>
      </c>
      <c r="P2011" s="152">
        <v>34.690573000000001</v>
      </c>
      <c r="Q2011" s="152">
        <v>1.537614</v>
      </c>
      <c r="R2011" s="152" t="s">
        <v>1327</v>
      </c>
      <c r="S2011" s="152">
        <v>99.924229999999994</v>
      </c>
      <c r="T2011" s="152">
        <v>0</v>
      </c>
      <c r="U2011" s="152">
        <v>4.9278000000000002E-2</v>
      </c>
      <c r="V2011" s="152">
        <v>4.8570000000000002E-3</v>
      </c>
      <c r="W2011" s="152">
        <v>1000</v>
      </c>
      <c r="X2011" s="152" t="s">
        <v>23</v>
      </c>
      <c r="Y2011" s="152" t="s">
        <v>1328</v>
      </c>
      <c r="Z2011" s="152" t="s">
        <v>1327</v>
      </c>
    </row>
    <row r="2012" spans="1:26" x14ac:dyDescent="0.2">
      <c r="A2012" s="152" t="s">
        <v>3100</v>
      </c>
      <c r="B2012" s="152">
        <v>0</v>
      </c>
      <c r="C2012" s="151">
        <v>43418</v>
      </c>
      <c r="D2012" s="152">
        <v>5.4795000000000003E-2</v>
      </c>
      <c r="E2012" s="152" t="s">
        <v>1325</v>
      </c>
      <c r="F2012" s="152" t="s">
        <v>1326</v>
      </c>
      <c r="G2012" s="152"/>
      <c r="H2012" s="152"/>
      <c r="I2012" s="152">
        <v>43385</v>
      </c>
      <c r="J2012" s="152">
        <v>1.54</v>
      </c>
      <c r="K2012" s="152" t="s">
        <v>1327</v>
      </c>
      <c r="L2012" s="152" t="s">
        <v>1327</v>
      </c>
      <c r="M2012" s="152" t="s">
        <v>1327</v>
      </c>
      <c r="N2012" s="152" t="s">
        <v>1327</v>
      </c>
      <c r="O2012" s="152">
        <v>1.537436</v>
      </c>
      <c r="P2012" s="152">
        <v>33.662801999999999</v>
      </c>
      <c r="Q2012" s="152">
        <v>1.537436</v>
      </c>
      <c r="R2012" s="152" t="s">
        <v>1327</v>
      </c>
      <c r="S2012" s="152">
        <v>99.915828000000005</v>
      </c>
      <c r="T2012" s="152">
        <v>0</v>
      </c>
      <c r="U2012" s="152">
        <v>5.4747999999999998E-2</v>
      </c>
      <c r="V2012" s="152">
        <v>5.9950000000000003E-3</v>
      </c>
      <c r="W2012" s="152">
        <v>1000</v>
      </c>
      <c r="X2012" s="152" t="s">
        <v>23</v>
      </c>
      <c r="Y2012" s="152" t="s">
        <v>1328</v>
      </c>
      <c r="Z2012" s="152" t="s">
        <v>1327</v>
      </c>
    </row>
    <row r="2013" spans="1:26" x14ac:dyDescent="0.2">
      <c r="A2013" s="152" t="s">
        <v>3101</v>
      </c>
      <c r="B2013" s="152">
        <v>0</v>
      </c>
      <c r="C2013" s="151">
        <v>43418</v>
      </c>
      <c r="D2013" s="152">
        <v>5.4795000000000003E-2</v>
      </c>
      <c r="E2013" s="152" t="s">
        <v>1325</v>
      </c>
      <c r="F2013" s="152" t="s">
        <v>1326</v>
      </c>
      <c r="G2013" s="152"/>
      <c r="H2013" s="152"/>
      <c r="I2013" s="151">
        <v>43389</v>
      </c>
      <c r="J2013" s="152">
        <v>1.54</v>
      </c>
      <c r="K2013" s="152" t="s">
        <v>1327</v>
      </c>
      <c r="L2013" s="152" t="s">
        <v>1327</v>
      </c>
      <c r="M2013" s="152" t="s">
        <v>1327</v>
      </c>
      <c r="N2013" s="152" t="s">
        <v>1327</v>
      </c>
      <c r="O2013" s="152">
        <v>1.540675</v>
      </c>
      <c r="P2013" s="152">
        <v>33.991473999999997</v>
      </c>
      <c r="Q2013" s="152">
        <v>1.540675</v>
      </c>
      <c r="R2013" s="152" t="s">
        <v>1327</v>
      </c>
      <c r="S2013" s="152">
        <v>99.915650999999997</v>
      </c>
      <c r="T2013" s="152">
        <v>0</v>
      </c>
      <c r="U2013" s="152">
        <v>5.4747999999999998E-2</v>
      </c>
      <c r="V2013" s="152">
        <v>5.9950000000000003E-3</v>
      </c>
      <c r="W2013" s="152">
        <v>1000</v>
      </c>
      <c r="X2013" s="152" t="s">
        <v>23</v>
      </c>
      <c r="Y2013" s="152" t="s">
        <v>1328</v>
      </c>
      <c r="Z2013" s="152" t="s">
        <v>1327</v>
      </c>
    </row>
    <row r="2014" spans="1:26" x14ac:dyDescent="0.2">
      <c r="A2014" s="152" t="s">
        <v>3102</v>
      </c>
      <c r="B2014" s="152">
        <v>0</v>
      </c>
      <c r="C2014" s="151">
        <v>43427</v>
      </c>
      <c r="D2014" s="152">
        <v>7.9451999999999995E-2</v>
      </c>
      <c r="E2014" s="152" t="s">
        <v>1325</v>
      </c>
      <c r="F2014" s="152" t="s">
        <v>1326</v>
      </c>
      <c r="G2014" s="152"/>
      <c r="H2014" s="152"/>
      <c r="I2014" s="152">
        <v>43397</v>
      </c>
      <c r="J2014" s="152">
        <v>1.58</v>
      </c>
      <c r="K2014" s="152" t="s">
        <v>1327</v>
      </c>
      <c r="L2014" s="152" t="s">
        <v>1327</v>
      </c>
      <c r="M2014" s="152" t="s">
        <v>1327</v>
      </c>
      <c r="N2014" s="152" t="s">
        <v>1327</v>
      </c>
      <c r="O2014" s="152">
        <v>1.58</v>
      </c>
      <c r="P2014" s="152">
        <v>33.418968999999997</v>
      </c>
      <c r="Q2014" s="152">
        <v>1.58</v>
      </c>
      <c r="R2014" s="152" t="s">
        <v>1327</v>
      </c>
      <c r="S2014" s="152">
        <v>99.874623</v>
      </c>
      <c r="T2014" s="152">
        <v>0</v>
      </c>
      <c r="U2014" s="152">
        <v>7.9352000000000006E-2</v>
      </c>
      <c r="V2014" s="152">
        <v>1.2593999999999999E-2</v>
      </c>
      <c r="W2014" s="152">
        <v>1000</v>
      </c>
      <c r="X2014" s="152" t="s">
        <v>23</v>
      </c>
      <c r="Y2014" s="152" t="s">
        <v>1328</v>
      </c>
      <c r="Z2014" s="152" t="s">
        <v>1327</v>
      </c>
    </row>
    <row r="2015" spans="1:26" x14ac:dyDescent="0.2">
      <c r="A2015" s="152" t="s">
        <v>3103</v>
      </c>
      <c r="B2015" s="152">
        <v>0</v>
      </c>
      <c r="C2015" s="151">
        <v>43404</v>
      </c>
      <c r="D2015" s="152">
        <v>1.6438000000000001E-2</v>
      </c>
      <c r="E2015" s="152" t="s">
        <v>1325</v>
      </c>
      <c r="F2015" s="152" t="s">
        <v>1326</v>
      </c>
      <c r="G2015" s="152"/>
      <c r="H2015" s="152"/>
      <c r="I2015" s="152">
        <v>43374</v>
      </c>
      <c r="J2015" s="152">
        <v>1.51</v>
      </c>
      <c r="K2015" s="152" t="s">
        <v>1327</v>
      </c>
      <c r="L2015" s="152" t="s">
        <v>1327</v>
      </c>
      <c r="M2015" s="152" t="s">
        <v>1327</v>
      </c>
      <c r="N2015" s="152" t="s">
        <v>1327</v>
      </c>
      <c r="O2015" s="152">
        <v>1.5391079999999999</v>
      </c>
      <c r="P2015" s="152">
        <v>40.826214</v>
      </c>
      <c r="Q2015" s="152">
        <v>1.5391079999999999</v>
      </c>
      <c r="R2015" s="152" t="s">
        <v>1327</v>
      </c>
      <c r="S2015" s="152">
        <v>99.974705999999998</v>
      </c>
      <c r="T2015" s="152">
        <v>0</v>
      </c>
      <c r="U2015" s="152">
        <v>1.6434000000000001E-2</v>
      </c>
      <c r="V2015" s="152">
        <v>5.4000000000000001E-4</v>
      </c>
      <c r="W2015" s="152">
        <v>1000</v>
      </c>
      <c r="X2015" s="152" t="s">
        <v>23</v>
      </c>
      <c r="Y2015" s="152" t="s">
        <v>1328</v>
      </c>
      <c r="Z2015" s="152" t="s">
        <v>1327</v>
      </c>
    </row>
    <row r="2016" spans="1:26" x14ac:dyDescent="0.2">
      <c r="A2016" s="152" t="s">
        <v>3104</v>
      </c>
      <c r="B2016" s="152">
        <v>0</v>
      </c>
      <c r="C2016" s="151">
        <v>43404</v>
      </c>
      <c r="D2016" s="152">
        <v>1.6438000000000001E-2</v>
      </c>
      <c r="E2016" s="152" t="s">
        <v>1325</v>
      </c>
      <c r="F2016" s="152" t="s">
        <v>1326</v>
      </c>
      <c r="G2016" s="152"/>
      <c r="H2016" s="152"/>
      <c r="I2016" s="152">
        <v>43371</v>
      </c>
      <c r="J2016" s="152">
        <v>1.52</v>
      </c>
      <c r="K2016" s="152" t="s">
        <v>1327</v>
      </c>
      <c r="L2016" s="152" t="s">
        <v>1327</v>
      </c>
      <c r="M2016" s="152" t="s">
        <v>1327</v>
      </c>
      <c r="N2016" s="152" t="s">
        <v>1327</v>
      </c>
      <c r="O2016" s="152">
        <v>1.5391079999999999</v>
      </c>
      <c r="P2016" s="152">
        <v>40.826214</v>
      </c>
      <c r="Q2016" s="152">
        <v>1.5391079999999999</v>
      </c>
      <c r="R2016" s="152" t="s">
        <v>1327</v>
      </c>
      <c r="S2016" s="152">
        <v>99.974705999999998</v>
      </c>
      <c r="T2016" s="152">
        <v>0</v>
      </c>
      <c r="U2016" s="152">
        <v>1.6434000000000001E-2</v>
      </c>
      <c r="V2016" s="152">
        <v>5.4000000000000001E-4</v>
      </c>
      <c r="W2016" s="152">
        <v>1000</v>
      </c>
      <c r="X2016" s="152" t="s">
        <v>23</v>
      </c>
      <c r="Y2016" s="152" t="s">
        <v>1328</v>
      </c>
      <c r="Z2016" s="152" t="s">
        <v>1327</v>
      </c>
    </row>
    <row r="2017" spans="1:26" x14ac:dyDescent="0.2">
      <c r="A2017" s="152" t="s">
        <v>3105</v>
      </c>
      <c r="B2017" s="152">
        <v>0</v>
      </c>
      <c r="C2017" s="151">
        <v>43433</v>
      </c>
      <c r="D2017" s="152">
        <v>9.5890000000000003E-2</v>
      </c>
      <c r="E2017" s="152" t="s">
        <v>1325</v>
      </c>
      <c r="F2017" s="152" t="s">
        <v>1326</v>
      </c>
      <c r="G2017" s="152"/>
      <c r="H2017" s="152"/>
      <c r="I2017" s="152" t="s">
        <v>1327</v>
      </c>
      <c r="J2017" s="152" t="s">
        <v>1327</v>
      </c>
      <c r="K2017" s="152" t="s">
        <v>1327</v>
      </c>
      <c r="L2017" s="152" t="s">
        <v>1327</v>
      </c>
      <c r="M2017" s="152" t="s">
        <v>1327</v>
      </c>
      <c r="N2017" s="152" t="s">
        <v>1327</v>
      </c>
      <c r="O2017" s="152">
        <v>1.5431969999999999</v>
      </c>
      <c r="P2017" s="152">
        <v>26.643843</v>
      </c>
      <c r="Q2017" s="152">
        <v>1.5431969999999999</v>
      </c>
      <c r="R2017" s="152" t="s">
        <v>1327</v>
      </c>
      <c r="S2017" s="152">
        <v>99.852241000000006</v>
      </c>
      <c r="T2017" s="152">
        <v>0</v>
      </c>
      <c r="U2017" s="152">
        <v>9.5749000000000001E-2</v>
      </c>
      <c r="V2017" s="152">
        <v>1.8336000000000002E-2</v>
      </c>
      <c r="W2017" s="152">
        <v>1000</v>
      </c>
      <c r="X2017" s="152" t="s">
        <v>23</v>
      </c>
      <c r="Y2017" s="152" t="s">
        <v>1921</v>
      </c>
      <c r="Z2017" s="152" t="s">
        <v>1327</v>
      </c>
    </row>
    <row r="2018" spans="1:26" x14ac:dyDescent="0.2">
      <c r="A2018" s="152" t="s">
        <v>3106</v>
      </c>
      <c r="B2018" s="152">
        <v>0</v>
      </c>
      <c r="C2018" s="151">
        <v>43497</v>
      </c>
      <c r="D2018" s="152">
        <v>0.271233</v>
      </c>
      <c r="E2018" s="152" t="s">
        <v>1325</v>
      </c>
      <c r="F2018" s="152" t="s">
        <v>1326</v>
      </c>
      <c r="G2018" s="152"/>
      <c r="H2018" s="152"/>
      <c r="I2018" s="152" t="s">
        <v>1327</v>
      </c>
      <c r="J2018" s="152" t="s">
        <v>1327</v>
      </c>
      <c r="K2018" s="152" t="s">
        <v>1327</v>
      </c>
      <c r="L2018" s="152" t="s">
        <v>1327</v>
      </c>
      <c r="M2018" s="152" t="s">
        <v>1327</v>
      </c>
      <c r="N2018" s="152" t="s">
        <v>1327</v>
      </c>
      <c r="O2018" s="152">
        <v>1.811771</v>
      </c>
      <c r="P2018" s="152">
        <v>25.274284999999999</v>
      </c>
      <c r="Q2018" s="152">
        <v>1.811771</v>
      </c>
      <c r="R2018" s="152" t="s">
        <v>1327</v>
      </c>
      <c r="S2018" s="152">
        <v>99.510991000000004</v>
      </c>
      <c r="T2018" s="152">
        <v>0</v>
      </c>
      <c r="U2018" s="152">
        <v>0.26990700000000001</v>
      </c>
      <c r="V2018" s="152">
        <v>0.145699</v>
      </c>
      <c r="W2018" s="152">
        <v>1000</v>
      </c>
      <c r="X2018" s="152" t="s">
        <v>23</v>
      </c>
      <c r="Y2018" s="152" t="s">
        <v>1921</v>
      </c>
      <c r="Z2018" s="152" t="s">
        <v>1327</v>
      </c>
    </row>
    <row r="2019" spans="1:26" x14ac:dyDescent="0.2">
      <c r="A2019" s="152" t="s">
        <v>3107</v>
      </c>
      <c r="B2019" s="152">
        <v>0</v>
      </c>
      <c r="C2019" s="151">
        <v>43525</v>
      </c>
      <c r="D2019" s="152">
        <v>0.347945</v>
      </c>
      <c r="E2019" s="152" t="s">
        <v>1325</v>
      </c>
      <c r="F2019" s="152" t="s">
        <v>1326</v>
      </c>
      <c r="G2019" s="152"/>
      <c r="H2019" s="152"/>
      <c r="I2019" s="152" t="s">
        <v>1327</v>
      </c>
      <c r="J2019" s="152" t="s">
        <v>1327</v>
      </c>
      <c r="K2019" s="152" t="s">
        <v>1327</v>
      </c>
      <c r="L2019" s="152" t="s">
        <v>1327</v>
      </c>
      <c r="M2019" s="152" t="s">
        <v>1327</v>
      </c>
      <c r="N2019" s="152" t="s">
        <v>1327</v>
      </c>
      <c r="O2019" s="152">
        <v>1.881394</v>
      </c>
      <c r="P2019" s="152">
        <v>24.083538000000001</v>
      </c>
      <c r="Q2019" s="152">
        <v>1.881394</v>
      </c>
      <c r="R2019" s="152" t="s">
        <v>1327</v>
      </c>
      <c r="S2019" s="152">
        <v>99.349635000000006</v>
      </c>
      <c r="T2019" s="152">
        <v>0</v>
      </c>
      <c r="U2019" s="152">
        <v>0.34568199999999999</v>
      </c>
      <c r="V2019" s="152">
        <v>0.23899200000000001</v>
      </c>
      <c r="W2019" s="152">
        <v>1000</v>
      </c>
      <c r="X2019" s="152" t="s">
        <v>23</v>
      </c>
      <c r="Y2019" s="152" t="s">
        <v>1921</v>
      </c>
      <c r="Z2019" s="152" t="s">
        <v>1327</v>
      </c>
    </row>
    <row r="2020" spans="1:26" x14ac:dyDescent="0.2">
      <c r="A2020" s="152" t="s">
        <v>3108</v>
      </c>
      <c r="B2020" s="152">
        <v>0</v>
      </c>
      <c r="C2020" s="151">
        <v>43560</v>
      </c>
      <c r="D2020" s="152">
        <v>0.44383600000000001</v>
      </c>
      <c r="E2020" s="152" t="s">
        <v>1325</v>
      </c>
      <c r="F2020" s="152" t="s">
        <v>1326</v>
      </c>
      <c r="G2020" s="152"/>
      <c r="H2020" s="152"/>
      <c r="I2020" s="152" t="s">
        <v>1327</v>
      </c>
      <c r="J2020" s="152" t="s">
        <v>1327</v>
      </c>
      <c r="K2020" s="152" t="s">
        <v>1327</v>
      </c>
      <c r="L2020" s="152" t="s">
        <v>1327</v>
      </c>
      <c r="M2020" s="152" t="s">
        <v>1327</v>
      </c>
      <c r="N2020" s="152" t="s">
        <v>1327</v>
      </c>
      <c r="O2020" s="152">
        <v>1.9663630000000001</v>
      </c>
      <c r="P2020" s="152">
        <v>25.738237999999999</v>
      </c>
      <c r="Q2020" s="152">
        <v>1.9663630000000001</v>
      </c>
      <c r="R2020" s="152" t="s">
        <v>1327</v>
      </c>
      <c r="S2020" s="152">
        <v>99.134809000000004</v>
      </c>
      <c r="T2020" s="152">
        <v>0</v>
      </c>
      <c r="U2020" s="152">
        <v>0.439996</v>
      </c>
      <c r="V2020" s="152">
        <v>0.38719199999999998</v>
      </c>
      <c r="W2020" s="152">
        <v>1000</v>
      </c>
      <c r="X2020" s="152" t="s">
        <v>23</v>
      </c>
      <c r="Y2020" s="152" t="s">
        <v>1921</v>
      </c>
      <c r="Z2020" s="152" t="s">
        <v>1327</v>
      </c>
    </row>
    <row r="2021" spans="1:26" x14ac:dyDescent="0.2">
      <c r="A2021" s="152" t="s">
        <v>3109</v>
      </c>
      <c r="B2021" s="152">
        <v>0</v>
      </c>
      <c r="C2021" s="151">
        <v>43560</v>
      </c>
      <c r="D2021" s="152">
        <v>0.44383600000000001</v>
      </c>
      <c r="E2021" s="152" t="s">
        <v>1325</v>
      </c>
      <c r="F2021" s="152" t="s">
        <v>1326</v>
      </c>
      <c r="G2021" s="152"/>
      <c r="H2021" s="152"/>
      <c r="I2021" s="152" t="s">
        <v>1327</v>
      </c>
      <c r="J2021" s="152" t="s">
        <v>1327</v>
      </c>
      <c r="K2021" s="152" t="s">
        <v>1327</v>
      </c>
      <c r="L2021" s="152" t="s">
        <v>1327</v>
      </c>
      <c r="M2021" s="152" t="s">
        <v>1327</v>
      </c>
      <c r="N2021" s="152" t="s">
        <v>1327</v>
      </c>
      <c r="O2021" s="152">
        <v>1.9663630000000001</v>
      </c>
      <c r="P2021" s="152">
        <v>25.738237999999999</v>
      </c>
      <c r="Q2021" s="152">
        <v>1.9663630000000001</v>
      </c>
      <c r="R2021" s="152" t="s">
        <v>1327</v>
      </c>
      <c r="S2021" s="152">
        <v>99.134809000000004</v>
      </c>
      <c r="T2021" s="152">
        <v>0</v>
      </c>
      <c r="U2021" s="152">
        <v>0.439996</v>
      </c>
      <c r="V2021" s="152">
        <v>0.38719199999999998</v>
      </c>
      <c r="W2021" s="152">
        <v>1000</v>
      </c>
      <c r="X2021" s="152" t="s">
        <v>23</v>
      </c>
      <c r="Y2021" s="152" t="s">
        <v>1921</v>
      </c>
      <c r="Z2021" s="152" t="s">
        <v>1327</v>
      </c>
    </row>
    <row r="2022" spans="1:26" x14ac:dyDescent="0.2">
      <c r="A2022" s="152" t="s">
        <v>3110</v>
      </c>
      <c r="B2022" s="152">
        <v>0</v>
      </c>
      <c r="C2022" s="151">
        <v>43438</v>
      </c>
      <c r="D2022" s="152">
        <v>0.10958900000000001</v>
      </c>
      <c r="E2022" s="152" t="s">
        <v>1325</v>
      </c>
      <c r="F2022" s="152" t="s">
        <v>1326</v>
      </c>
      <c r="G2022" s="152"/>
      <c r="H2022" s="152"/>
      <c r="I2022" s="152" t="s">
        <v>1327</v>
      </c>
      <c r="J2022" s="152" t="s">
        <v>1327</v>
      </c>
      <c r="K2022" s="152" t="s">
        <v>1327</v>
      </c>
      <c r="L2022" s="152" t="s">
        <v>1327</v>
      </c>
      <c r="M2022" s="152" t="s">
        <v>1327</v>
      </c>
      <c r="N2022" s="152" t="s">
        <v>1327</v>
      </c>
      <c r="O2022" s="152">
        <v>1.67208</v>
      </c>
      <c r="P2022" s="152">
        <v>37.195377000000001</v>
      </c>
      <c r="Q2022" s="152">
        <v>1.67208</v>
      </c>
      <c r="R2022" s="152" t="s">
        <v>1327</v>
      </c>
      <c r="S2022" s="152">
        <v>99.817093999999997</v>
      </c>
      <c r="T2022" s="152">
        <v>0</v>
      </c>
      <c r="U2022" s="152">
        <v>0.109389</v>
      </c>
      <c r="V2022" s="152">
        <v>2.3931999999999998E-2</v>
      </c>
      <c r="W2022" s="152">
        <v>1000</v>
      </c>
      <c r="X2022" s="152" t="s">
        <v>23</v>
      </c>
      <c r="Y2022" s="152" t="s">
        <v>1921</v>
      </c>
      <c r="Z2022" s="152" t="s">
        <v>1327</v>
      </c>
    </row>
    <row r="2023" spans="1:26" x14ac:dyDescent="0.2">
      <c r="A2023" s="152" t="s">
        <v>3111</v>
      </c>
      <c r="B2023" s="152">
        <v>0</v>
      </c>
      <c r="C2023" s="151">
        <v>43438</v>
      </c>
      <c r="D2023" s="152">
        <v>0.10958900000000001</v>
      </c>
      <c r="E2023" s="152" t="s">
        <v>1325</v>
      </c>
      <c r="F2023" s="152" t="s">
        <v>1326</v>
      </c>
      <c r="G2023" s="152"/>
      <c r="H2023" s="152"/>
      <c r="I2023" s="152" t="s">
        <v>1327</v>
      </c>
      <c r="J2023" s="152" t="s">
        <v>1327</v>
      </c>
      <c r="K2023" s="152" t="s">
        <v>1327</v>
      </c>
      <c r="L2023" s="152" t="s">
        <v>1327</v>
      </c>
      <c r="M2023" s="152" t="s">
        <v>1327</v>
      </c>
      <c r="N2023" s="152" t="s">
        <v>1327</v>
      </c>
      <c r="O2023" s="152">
        <v>1.67208</v>
      </c>
      <c r="P2023" s="152">
        <v>37.195377000000001</v>
      </c>
      <c r="Q2023" s="152">
        <v>1.67208</v>
      </c>
      <c r="R2023" s="152" t="s">
        <v>1327</v>
      </c>
      <c r="S2023" s="152">
        <v>99.817093999999997</v>
      </c>
      <c r="T2023" s="152">
        <v>0</v>
      </c>
      <c r="U2023" s="152">
        <v>0.109389</v>
      </c>
      <c r="V2023" s="152">
        <v>2.3931999999999998E-2</v>
      </c>
      <c r="W2023" s="152">
        <v>1000</v>
      </c>
      <c r="X2023" s="152" t="s">
        <v>23</v>
      </c>
      <c r="Y2023" s="152" t="s">
        <v>1921</v>
      </c>
      <c r="Z2023" s="152" t="s">
        <v>1327</v>
      </c>
    </row>
    <row r="2024" spans="1:26" x14ac:dyDescent="0.2">
      <c r="A2024" s="152" t="s">
        <v>3112</v>
      </c>
      <c r="B2024" s="152">
        <v>0</v>
      </c>
      <c r="C2024" s="151">
        <v>43441</v>
      </c>
      <c r="D2024" s="152">
        <v>0.117808</v>
      </c>
      <c r="E2024" s="152" t="s">
        <v>1325</v>
      </c>
      <c r="F2024" s="152" t="s">
        <v>1326</v>
      </c>
      <c r="G2024" s="152"/>
      <c r="H2024" s="152"/>
      <c r="I2024" s="152" t="s">
        <v>1327</v>
      </c>
      <c r="J2024" s="152" t="s">
        <v>1327</v>
      </c>
      <c r="K2024" s="152" t="s">
        <v>1327</v>
      </c>
      <c r="L2024" s="152" t="s">
        <v>1327</v>
      </c>
      <c r="M2024" s="152" t="s">
        <v>1327</v>
      </c>
      <c r="N2024" s="152" t="s">
        <v>1327</v>
      </c>
      <c r="O2024" s="152">
        <v>1.686032</v>
      </c>
      <c r="P2024" s="152">
        <v>37.105116000000002</v>
      </c>
      <c r="Q2024" s="152">
        <v>1.686032</v>
      </c>
      <c r="R2024" s="152" t="s">
        <v>1327</v>
      </c>
      <c r="S2024" s="152">
        <v>99.801765000000003</v>
      </c>
      <c r="T2024" s="152">
        <v>0</v>
      </c>
      <c r="U2024" s="152">
        <v>0.117575</v>
      </c>
      <c r="V2024" s="152">
        <v>2.7647999999999999E-2</v>
      </c>
      <c r="W2024" s="152">
        <v>1000</v>
      </c>
      <c r="X2024" s="152" t="s">
        <v>23</v>
      </c>
      <c r="Y2024" s="152" t="s">
        <v>1921</v>
      </c>
      <c r="Z2024" s="152" t="s">
        <v>1327</v>
      </c>
    </row>
    <row r="2025" spans="1:26" x14ac:dyDescent="0.2">
      <c r="A2025" s="152" t="s">
        <v>3113</v>
      </c>
      <c r="B2025" s="152">
        <v>0</v>
      </c>
      <c r="C2025" s="151">
        <v>43446</v>
      </c>
      <c r="D2025" s="152">
        <v>0.13150700000000001</v>
      </c>
      <c r="E2025" s="152" t="s">
        <v>1325</v>
      </c>
      <c r="F2025" s="152" t="s">
        <v>1326</v>
      </c>
      <c r="G2025" s="152"/>
      <c r="H2025" s="152"/>
      <c r="I2025" s="152" t="s">
        <v>1327</v>
      </c>
      <c r="J2025" s="152" t="s">
        <v>1327</v>
      </c>
      <c r="K2025" s="152" t="s">
        <v>1327</v>
      </c>
      <c r="L2025" s="152" t="s">
        <v>1327</v>
      </c>
      <c r="M2025" s="152" t="s">
        <v>1327</v>
      </c>
      <c r="N2025" s="152" t="s">
        <v>1327</v>
      </c>
      <c r="O2025" s="152">
        <v>1.7094009999999999</v>
      </c>
      <c r="P2025" s="152">
        <v>36.986753</v>
      </c>
      <c r="Q2025" s="152">
        <v>1.7094009999999999</v>
      </c>
      <c r="R2025" s="152" t="s">
        <v>1327</v>
      </c>
      <c r="S2025" s="152">
        <v>99.775706</v>
      </c>
      <c r="T2025" s="152">
        <v>0</v>
      </c>
      <c r="U2025" s="152">
        <v>0.131212</v>
      </c>
      <c r="V2025" s="152">
        <v>3.4432999999999998E-2</v>
      </c>
      <c r="W2025" s="152">
        <v>1000</v>
      </c>
      <c r="X2025" s="152" t="s">
        <v>23</v>
      </c>
      <c r="Y2025" s="152" t="s">
        <v>1921</v>
      </c>
      <c r="Z2025" s="152" t="s">
        <v>1327</v>
      </c>
    </row>
    <row r="2026" spans="1:26" x14ac:dyDescent="0.2">
      <c r="A2026" s="152" t="s">
        <v>3114</v>
      </c>
      <c r="B2026" s="152">
        <v>0</v>
      </c>
      <c r="C2026" s="151">
        <v>43448</v>
      </c>
      <c r="D2026" s="152">
        <v>0.136986</v>
      </c>
      <c r="E2026" s="152" t="s">
        <v>1325</v>
      </c>
      <c r="F2026" s="152" t="s">
        <v>1326</v>
      </c>
      <c r="G2026" s="152"/>
      <c r="H2026" s="152"/>
      <c r="I2026" s="152" t="s">
        <v>1327</v>
      </c>
      <c r="J2026" s="152" t="s">
        <v>1327</v>
      </c>
      <c r="K2026" s="152" t="s">
        <v>1327</v>
      </c>
      <c r="L2026" s="152" t="s">
        <v>1327</v>
      </c>
      <c r="M2026" s="152" t="s">
        <v>1327</v>
      </c>
      <c r="N2026" s="152" t="s">
        <v>1327</v>
      </c>
      <c r="O2026" s="152">
        <v>1.718793</v>
      </c>
      <c r="P2026" s="152">
        <v>36.952404000000001</v>
      </c>
      <c r="Q2026" s="152">
        <v>1.718793</v>
      </c>
      <c r="R2026" s="152" t="s">
        <v>1327</v>
      </c>
      <c r="S2026" s="152">
        <v>99.765101999999999</v>
      </c>
      <c r="T2026" s="152">
        <v>0</v>
      </c>
      <c r="U2026" s="152">
        <v>0.13666500000000001</v>
      </c>
      <c r="V2026" s="152">
        <v>3.7353999999999998E-2</v>
      </c>
      <c r="W2026" s="152">
        <v>1000</v>
      </c>
      <c r="X2026" s="152" t="s">
        <v>23</v>
      </c>
      <c r="Y2026" s="152" t="s">
        <v>1921</v>
      </c>
      <c r="Z2026" s="152" t="s">
        <v>1327</v>
      </c>
    </row>
    <row r="2027" spans="1:26" x14ac:dyDescent="0.2">
      <c r="A2027" s="152" t="s">
        <v>3115</v>
      </c>
      <c r="B2027" s="152">
        <v>0</v>
      </c>
      <c r="C2027" s="151">
        <v>43459</v>
      </c>
      <c r="D2027" s="152">
        <v>0.16712299999999999</v>
      </c>
      <c r="E2027" s="152" t="s">
        <v>1325</v>
      </c>
      <c r="F2027" s="152" t="s">
        <v>1326</v>
      </c>
      <c r="G2027" s="152"/>
      <c r="H2027" s="152"/>
      <c r="I2027" s="152" t="s">
        <v>1327</v>
      </c>
      <c r="J2027" s="152" t="s">
        <v>1327</v>
      </c>
      <c r="K2027" s="152" t="s">
        <v>1327</v>
      </c>
      <c r="L2027" s="152" t="s">
        <v>1327</v>
      </c>
      <c r="M2027" s="152" t="s">
        <v>1327</v>
      </c>
      <c r="N2027" s="152" t="s">
        <v>1327</v>
      </c>
      <c r="O2027" s="152">
        <v>1.770885</v>
      </c>
      <c r="P2027" s="152">
        <v>36.924346999999997</v>
      </c>
      <c r="Q2027" s="152">
        <v>1.770885</v>
      </c>
      <c r="R2027" s="152" t="s">
        <v>1327</v>
      </c>
      <c r="S2027" s="152">
        <v>99.704916999999995</v>
      </c>
      <c r="T2027" s="152">
        <v>0</v>
      </c>
      <c r="U2027" s="152">
        <v>0.16663</v>
      </c>
      <c r="V2027" s="152">
        <v>5.5530999999999997E-2</v>
      </c>
      <c r="W2027" s="152">
        <v>1000</v>
      </c>
      <c r="X2027" s="152" t="s">
        <v>23</v>
      </c>
      <c r="Y2027" s="152" t="s">
        <v>1921</v>
      </c>
      <c r="Z2027" s="152" t="s">
        <v>1327</v>
      </c>
    </row>
    <row r="2028" spans="1:26" x14ac:dyDescent="0.2">
      <c r="A2028" s="152" t="s">
        <v>3116</v>
      </c>
      <c r="B2028" s="152">
        <v>0</v>
      </c>
      <c r="C2028" s="151">
        <v>43459</v>
      </c>
      <c r="D2028" s="152">
        <v>0.16712299999999999</v>
      </c>
      <c r="E2028" s="152" t="s">
        <v>1325</v>
      </c>
      <c r="F2028" s="152" t="s">
        <v>1326</v>
      </c>
      <c r="G2028" s="152"/>
      <c r="H2028" s="152"/>
      <c r="I2028" s="152" t="s">
        <v>1327</v>
      </c>
      <c r="J2028" s="152" t="s">
        <v>1327</v>
      </c>
      <c r="K2028" s="152" t="s">
        <v>1327</v>
      </c>
      <c r="L2028" s="152" t="s">
        <v>1327</v>
      </c>
      <c r="M2028" s="152" t="s">
        <v>1327</v>
      </c>
      <c r="N2028" s="152" t="s">
        <v>1327</v>
      </c>
      <c r="O2028" s="152">
        <v>1.770885</v>
      </c>
      <c r="P2028" s="152">
        <v>36.924346999999997</v>
      </c>
      <c r="Q2028" s="152">
        <v>1.770885</v>
      </c>
      <c r="R2028" s="152" t="s">
        <v>1327</v>
      </c>
      <c r="S2028" s="152">
        <v>99.704916999999995</v>
      </c>
      <c r="T2028" s="152">
        <v>0</v>
      </c>
      <c r="U2028" s="152">
        <v>0.16663</v>
      </c>
      <c r="V2028" s="152">
        <v>5.5530999999999997E-2</v>
      </c>
      <c r="W2028" s="152">
        <v>1000</v>
      </c>
      <c r="X2028" s="152" t="s">
        <v>23</v>
      </c>
      <c r="Y2028" s="152" t="s">
        <v>1921</v>
      </c>
      <c r="Z2028" s="152" t="s">
        <v>1327</v>
      </c>
    </row>
    <row r="2029" spans="1:26" x14ac:dyDescent="0.2">
      <c r="A2029" s="152" t="s">
        <v>3117</v>
      </c>
      <c r="B2029" s="152">
        <v>0</v>
      </c>
      <c r="C2029" s="151">
        <v>43460</v>
      </c>
      <c r="D2029" s="152">
        <v>0.16986299999999999</v>
      </c>
      <c r="E2029" s="152" t="s">
        <v>1325</v>
      </c>
      <c r="F2029" s="152" t="s">
        <v>1326</v>
      </c>
      <c r="G2029" s="152"/>
      <c r="H2029" s="152"/>
      <c r="I2029" s="152" t="s">
        <v>1327</v>
      </c>
      <c r="J2029" s="152" t="s">
        <v>1327</v>
      </c>
      <c r="K2029" s="152" t="s">
        <v>1327</v>
      </c>
      <c r="L2029" s="152" t="s">
        <v>1327</v>
      </c>
      <c r="M2029" s="152" t="s">
        <v>1327</v>
      </c>
      <c r="N2029" s="152" t="s">
        <v>1327</v>
      </c>
      <c r="O2029" s="152">
        <v>1.7756590000000001</v>
      </c>
      <c r="P2029" s="152">
        <v>36.937255999999998</v>
      </c>
      <c r="Q2029" s="152">
        <v>1.7756590000000001</v>
      </c>
      <c r="R2029" s="152" t="s">
        <v>1327</v>
      </c>
      <c r="S2029" s="152">
        <v>99.699287999999996</v>
      </c>
      <c r="T2029" s="152">
        <v>0</v>
      </c>
      <c r="U2029" s="152">
        <v>0.169352</v>
      </c>
      <c r="V2029" s="152">
        <v>5.7360000000000001E-2</v>
      </c>
      <c r="W2029" s="152">
        <v>1000</v>
      </c>
      <c r="X2029" s="152" t="s">
        <v>23</v>
      </c>
      <c r="Y2029" s="152" t="s">
        <v>1921</v>
      </c>
      <c r="Z2029" s="152" t="s">
        <v>1327</v>
      </c>
    </row>
    <row r="2030" spans="1:26" x14ac:dyDescent="0.2">
      <c r="A2030" s="152" t="s">
        <v>3118</v>
      </c>
      <c r="B2030" s="152">
        <v>0</v>
      </c>
      <c r="C2030" s="151">
        <v>43407</v>
      </c>
      <c r="D2030" s="152">
        <v>2.4657999999999999E-2</v>
      </c>
      <c r="E2030" s="152" t="s">
        <v>1325</v>
      </c>
      <c r="F2030" s="152" t="s">
        <v>1326</v>
      </c>
      <c r="G2030" s="152"/>
      <c r="H2030" s="152"/>
      <c r="I2030" s="152" t="s">
        <v>1327</v>
      </c>
      <c r="J2030" s="152" t="s">
        <v>1327</v>
      </c>
      <c r="K2030" s="152" t="s">
        <v>1327</v>
      </c>
      <c r="L2030" s="152" t="s">
        <v>1327</v>
      </c>
      <c r="M2030" s="152" t="s">
        <v>1327</v>
      </c>
      <c r="N2030" s="152" t="s">
        <v>1327</v>
      </c>
      <c r="O2030" s="152">
        <v>1.5816129999999999</v>
      </c>
      <c r="P2030" s="152">
        <v>43.661057</v>
      </c>
      <c r="Q2030" s="152">
        <v>1.5816129999999999</v>
      </c>
      <c r="R2030" s="152" t="s">
        <v>1327</v>
      </c>
      <c r="S2030" s="152">
        <v>99.961016999999998</v>
      </c>
      <c r="T2030" s="152">
        <v>0</v>
      </c>
      <c r="U2030" s="152">
        <v>2.4648E-2</v>
      </c>
      <c r="V2030" s="152">
        <v>1.2149999999999999E-3</v>
      </c>
      <c r="W2030" s="152">
        <v>1000</v>
      </c>
      <c r="X2030" s="152" t="s">
        <v>23</v>
      </c>
      <c r="Y2030" s="152" t="s">
        <v>1921</v>
      </c>
      <c r="Z2030" s="152" t="s">
        <v>1327</v>
      </c>
    </row>
    <row r="2031" spans="1:26" x14ac:dyDescent="0.2">
      <c r="A2031" s="152" t="s">
        <v>3119</v>
      </c>
      <c r="B2031" s="152">
        <v>0</v>
      </c>
      <c r="C2031" s="151">
        <v>43409</v>
      </c>
      <c r="D2031" s="152">
        <v>3.0137000000000001E-2</v>
      </c>
      <c r="E2031" s="152" t="s">
        <v>1325</v>
      </c>
      <c r="F2031" s="152" t="s">
        <v>1326</v>
      </c>
      <c r="G2031" s="152"/>
      <c r="H2031" s="152"/>
      <c r="I2031" s="152" t="s">
        <v>1327</v>
      </c>
      <c r="J2031" s="152" t="s">
        <v>1327</v>
      </c>
      <c r="K2031" s="152" t="s">
        <v>1327</v>
      </c>
      <c r="L2031" s="152" t="s">
        <v>1327</v>
      </c>
      <c r="M2031" s="152" t="s">
        <v>1327</v>
      </c>
      <c r="N2031" s="152" t="s">
        <v>1327</v>
      </c>
      <c r="O2031" s="152">
        <v>1.5813429999999999</v>
      </c>
      <c r="P2031" s="152">
        <v>42.639583000000002</v>
      </c>
      <c r="Q2031" s="152">
        <v>1.5813429999999999</v>
      </c>
      <c r="R2031" s="152" t="s">
        <v>1327</v>
      </c>
      <c r="S2031" s="152">
        <v>99.952365999999998</v>
      </c>
      <c r="T2031" s="152">
        <v>0</v>
      </c>
      <c r="U2031" s="152">
        <v>3.0123E-2</v>
      </c>
      <c r="V2031" s="152">
        <v>1.815E-3</v>
      </c>
      <c r="W2031" s="152">
        <v>1000</v>
      </c>
      <c r="X2031" s="152" t="s">
        <v>23</v>
      </c>
      <c r="Y2031" s="152" t="s">
        <v>1921</v>
      </c>
      <c r="Z2031" s="152" t="s">
        <v>1327</v>
      </c>
    </row>
    <row r="2032" spans="1:26" x14ac:dyDescent="0.2">
      <c r="A2032" s="152" t="s">
        <v>3120</v>
      </c>
      <c r="B2032" s="152">
        <v>0</v>
      </c>
      <c r="C2032" s="151">
        <v>43410</v>
      </c>
      <c r="D2032" s="152">
        <v>3.2877000000000003E-2</v>
      </c>
      <c r="E2032" s="152" t="s">
        <v>1325</v>
      </c>
      <c r="F2032" s="152" t="s">
        <v>1326</v>
      </c>
      <c r="G2032" s="152"/>
      <c r="H2032" s="152"/>
      <c r="I2032" s="152" t="s">
        <v>1327</v>
      </c>
      <c r="J2032" s="152" t="s">
        <v>1327</v>
      </c>
      <c r="K2032" s="152" t="s">
        <v>1327</v>
      </c>
      <c r="L2032" s="152" t="s">
        <v>1327</v>
      </c>
      <c r="M2032" s="152" t="s">
        <v>1327</v>
      </c>
      <c r="N2032" s="152" t="s">
        <v>1327</v>
      </c>
      <c r="O2032" s="152">
        <v>1.581215</v>
      </c>
      <c r="P2032" s="152">
        <v>42.127876999999998</v>
      </c>
      <c r="Q2032" s="152">
        <v>1.581215</v>
      </c>
      <c r="R2032" s="152" t="s">
        <v>1327</v>
      </c>
      <c r="S2032" s="152">
        <v>99.948042000000001</v>
      </c>
      <c r="T2032" s="152">
        <v>0</v>
      </c>
      <c r="U2032" s="152">
        <v>3.286E-2</v>
      </c>
      <c r="V2032" s="152">
        <v>2.16E-3</v>
      </c>
      <c r="W2032" s="152">
        <v>1000</v>
      </c>
      <c r="X2032" s="152" t="s">
        <v>23</v>
      </c>
      <c r="Y2032" s="152" t="s">
        <v>1921</v>
      </c>
      <c r="Z2032" s="152" t="s">
        <v>1327</v>
      </c>
    </row>
    <row r="2033" spans="1:26" x14ac:dyDescent="0.2">
      <c r="A2033" s="152" t="s">
        <v>3121</v>
      </c>
      <c r="B2033" s="152">
        <v>0</v>
      </c>
      <c r="C2033" s="151">
        <v>43412</v>
      </c>
      <c r="D2033" s="152">
        <v>3.8356000000000001E-2</v>
      </c>
      <c r="E2033" s="152" t="s">
        <v>1325</v>
      </c>
      <c r="F2033" s="152" t="s">
        <v>1326</v>
      </c>
      <c r="G2033" s="152"/>
      <c r="H2033" s="152"/>
      <c r="I2033" s="152" t="s">
        <v>1327</v>
      </c>
      <c r="J2033" s="152" t="s">
        <v>1327</v>
      </c>
      <c r="K2033" s="152" t="s">
        <v>1327</v>
      </c>
      <c r="L2033" s="152" t="s">
        <v>1327</v>
      </c>
      <c r="M2033" s="152" t="s">
        <v>1327</v>
      </c>
      <c r="N2033" s="152" t="s">
        <v>1327</v>
      </c>
      <c r="O2033" s="152">
        <v>1.5809740000000001</v>
      </c>
      <c r="P2033" s="152">
        <v>41.102874999999997</v>
      </c>
      <c r="Q2033" s="152">
        <v>1.5809740000000001</v>
      </c>
      <c r="R2033" s="152" t="s">
        <v>1327</v>
      </c>
      <c r="S2033" s="152">
        <v>99.939397</v>
      </c>
      <c r="T2033" s="152">
        <v>0</v>
      </c>
      <c r="U2033" s="152">
        <v>3.8332999999999999E-2</v>
      </c>
      <c r="V2033" s="152">
        <v>2.9390000000000002E-3</v>
      </c>
      <c r="W2033" s="152">
        <v>1000</v>
      </c>
      <c r="X2033" s="152" t="s">
        <v>23</v>
      </c>
      <c r="Y2033" s="152" t="s">
        <v>1921</v>
      </c>
      <c r="Z2033" s="152" t="s">
        <v>1327</v>
      </c>
    </row>
    <row r="2034" spans="1:26" x14ac:dyDescent="0.2">
      <c r="A2034" s="152" t="s">
        <v>3122</v>
      </c>
      <c r="B2034" s="152">
        <v>0</v>
      </c>
      <c r="C2034" s="151">
        <v>43424</v>
      </c>
      <c r="D2034" s="152">
        <v>7.1233000000000005E-2</v>
      </c>
      <c r="E2034" s="152" t="s">
        <v>1325</v>
      </c>
      <c r="F2034" s="152" t="s">
        <v>1326</v>
      </c>
      <c r="G2034" s="152"/>
      <c r="H2034" s="152"/>
      <c r="I2034" s="151" t="s">
        <v>1327</v>
      </c>
      <c r="J2034" s="152" t="s">
        <v>1327</v>
      </c>
      <c r="K2034" s="152" t="s">
        <v>1327</v>
      </c>
      <c r="L2034" s="152" t="s">
        <v>1327</v>
      </c>
      <c r="M2034" s="152" t="s">
        <v>1327</v>
      </c>
      <c r="N2034" s="152" t="s">
        <v>1327</v>
      </c>
      <c r="O2034" s="152">
        <v>1.6076550000000001</v>
      </c>
      <c r="P2034" s="152">
        <v>37.748480999999998</v>
      </c>
      <c r="Q2034" s="152">
        <v>1.6076550000000001</v>
      </c>
      <c r="R2034" s="152" t="s">
        <v>1327</v>
      </c>
      <c r="S2034" s="152">
        <v>99.885613000000006</v>
      </c>
      <c r="T2034" s="152">
        <v>0</v>
      </c>
      <c r="U2034" s="152">
        <v>7.1151000000000006E-2</v>
      </c>
      <c r="V2034" s="152">
        <v>1.0125E-2</v>
      </c>
      <c r="W2034" s="152">
        <v>1000</v>
      </c>
      <c r="X2034" s="152" t="s">
        <v>23</v>
      </c>
      <c r="Y2034" s="152" t="s">
        <v>1921</v>
      </c>
      <c r="Z2034" s="152" t="s">
        <v>1327</v>
      </c>
    </row>
    <row r="2035" spans="1:26" x14ac:dyDescent="0.2">
      <c r="A2035" s="152" t="s">
        <v>3123</v>
      </c>
      <c r="B2035" s="152">
        <v>0</v>
      </c>
      <c r="C2035" s="151">
        <v>43404</v>
      </c>
      <c r="D2035" s="152">
        <v>1.6438000000000001E-2</v>
      </c>
      <c r="E2035" s="152" t="s">
        <v>1325</v>
      </c>
      <c r="F2035" s="152" t="s">
        <v>1326</v>
      </c>
      <c r="G2035" s="152"/>
      <c r="H2035" s="152"/>
      <c r="I2035" s="151" t="s">
        <v>1327</v>
      </c>
      <c r="J2035" s="152" t="s">
        <v>1327</v>
      </c>
      <c r="K2035" s="152" t="s">
        <v>1327</v>
      </c>
      <c r="L2035" s="152" t="s">
        <v>1327</v>
      </c>
      <c r="M2035" s="152" t="s">
        <v>1327</v>
      </c>
      <c r="N2035" s="152" t="s">
        <v>1327</v>
      </c>
      <c r="O2035" s="152">
        <v>1.582055</v>
      </c>
      <c r="P2035" s="152">
        <v>45.187389000000003</v>
      </c>
      <c r="Q2035" s="152">
        <v>1.582055</v>
      </c>
      <c r="R2035" s="152" t="s">
        <v>1327</v>
      </c>
      <c r="S2035" s="152">
        <v>99.974000000000004</v>
      </c>
      <c r="T2035" s="152">
        <v>0</v>
      </c>
      <c r="U2035" s="152">
        <v>1.6434000000000001E-2</v>
      </c>
      <c r="V2035" s="152">
        <v>5.4000000000000001E-4</v>
      </c>
      <c r="W2035" s="152">
        <v>1000</v>
      </c>
      <c r="X2035" s="152" t="s">
        <v>23</v>
      </c>
      <c r="Y2035" s="152" t="s">
        <v>1921</v>
      </c>
      <c r="Z2035" s="152" t="s">
        <v>1327</v>
      </c>
    </row>
    <row r="2036" spans="1:26" x14ac:dyDescent="0.2">
      <c r="A2036" s="152" t="s">
        <v>3124</v>
      </c>
      <c r="B2036" s="152">
        <v>0</v>
      </c>
      <c r="C2036" s="151">
        <v>43477</v>
      </c>
      <c r="D2036" s="152">
        <v>0.21643799999999999</v>
      </c>
      <c r="E2036" s="152" t="s">
        <v>1325</v>
      </c>
      <c r="F2036" s="152" t="s">
        <v>1326</v>
      </c>
      <c r="G2036" s="152"/>
      <c r="H2036" s="152"/>
      <c r="I2036" s="151" t="s">
        <v>1327</v>
      </c>
      <c r="J2036" s="152" t="s">
        <v>1327</v>
      </c>
      <c r="K2036" s="152" t="s">
        <v>1327</v>
      </c>
      <c r="L2036" s="152" t="s">
        <v>1327</v>
      </c>
      <c r="M2036" s="152" t="s">
        <v>1327</v>
      </c>
      <c r="N2036" s="152" t="s">
        <v>1327</v>
      </c>
      <c r="O2036" s="152">
        <v>1.8578399999999999</v>
      </c>
      <c r="P2036" s="152">
        <v>37.653568</v>
      </c>
      <c r="Q2036" s="152">
        <v>1.8578399999999999</v>
      </c>
      <c r="R2036" s="152" t="s">
        <v>1327</v>
      </c>
      <c r="S2036" s="152">
        <v>99.599502999999999</v>
      </c>
      <c r="T2036" s="152">
        <v>0</v>
      </c>
      <c r="U2036" s="152">
        <v>0.21557200000000001</v>
      </c>
      <c r="V2036" s="152">
        <v>9.2941999999999997E-2</v>
      </c>
      <c r="W2036" s="152">
        <v>1000</v>
      </c>
      <c r="X2036" s="152" t="s">
        <v>23</v>
      </c>
      <c r="Y2036" s="152" t="s">
        <v>1921</v>
      </c>
      <c r="Z2036" s="152" t="s">
        <v>1327</v>
      </c>
    </row>
    <row r="2037" spans="1:26" x14ac:dyDescent="0.2">
      <c r="A2037" s="152" t="s">
        <v>3125</v>
      </c>
      <c r="B2037" s="152">
        <v>0</v>
      </c>
      <c r="C2037" s="151">
        <v>43496</v>
      </c>
      <c r="D2037" s="152">
        <v>0.26849299999999998</v>
      </c>
      <c r="E2037" s="152" t="s">
        <v>1325</v>
      </c>
      <c r="F2037" s="152" t="s">
        <v>1326</v>
      </c>
      <c r="G2037" s="152"/>
      <c r="H2037" s="152"/>
      <c r="I2037" s="151" t="s">
        <v>1327</v>
      </c>
      <c r="J2037" s="152" t="s">
        <v>1327</v>
      </c>
      <c r="K2037" s="152" t="s">
        <v>1327</v>
      </c>
      <c r="L2037" s="152" t="s">
        <v>1327</v>
      </c>
      <c r="M2037" s="152" t="s">
        <v>1327</v>
      </c>
      <c r="N2037" s="152" t="s">
        <v>1327</v>
      </c>
      <c r="O2037" s="152">
        <v>1.8854109999999999</v>
      </c>
      <c r="P2037" s="152">
        <v>33.085698999999998</v>
      </c>
      <c r="Q2037" s="152">
        <v>1.8854109999999999</v>
      </c>
      <c r="R2037" s="152" t="s">
        <v>1327</v>
      </c>
      <c r="S2037" s="152">
        <v>99.49633</v>
      </c>
      <c r="T2037" s="152">
        <v>0</v>
      </c>
      <c r="U2037" s="152">
        <v>0.26714100000000002</v>
      </c>
      <c r="V2037" s="152">
        <v>0.14272799999999999</v>
      </c>
      <c r="W2037" s="152">
        <v>1000</v>
      </c>
      <c r="X2037" s="152" t="s">
        <v>23</v>
      </c>
      <c r="Y2037" s="152" t="s">
        <v>1921</v>
      </c>
      <c r="Z2037" s="152" t="s">
        <v>1327</v>
      </c>
    </row>
    <row r="2038" spans="1:26" x14ac:dyDescent="0.2">
      <c r="A2038" s="152" t="s">
        <v>3126</v>
      </c>
      <c r="B2038" s="152">
        <v>0</v>
      </c>
      <c r="C2038" s="151">
        <v>43496</v>
      </c>
      <c r="D2038" s="152">
        <v>0.26849299999999998</v>
      </c>
      <c r="E2038" s="152" t="s">
        <v>1325</v>
      </c>
      <c r="F2038" s="152" t="s">
        <v>1326</v>
      </c>
      <c r="G2038" s="152"/>
      <c r="H2038" s="152"/>
      <c r="I2038" s="151" t="s">
        <v>1327</v>
      </c>
      <c r="J2038" s="152" t="s">
        <v>1327</v>
      </c>
      <c r="K2038" s="152" t="s">
        <v>1327</v>
      </c>
      <c r="L2038" s="152" t="s">
        <v>1327</v>
      </c>
      <c r="M2038" s="152" t="s">
        <v>1327</v>
      </c>
      <c r="N2038" s="152" t="s">
        <v>1327</v>
      </c>
      <c r="O2038" s="152">
        <v>1.8854109999999999</v>
      </c>
      <c r="P2038" s="152">
        <v>33.085698999999998</v>
      </c>
      <c r="Q2038" s="152">
        <v>1.8854109999999999</v>
      </c>
      <c r="R2038" s="152" t="s">
        <v>1327</v>
      </c>
      <c r="S2038" s="152">
        <v>99.49633</v>
      </c>
      <c r="T2038" s="152">
        <v>0</v>
      </c>
      <c r="U2038" s="152">
        <v>0.26714100000000002</v>
      </c>
      <c r="V2038" s="152">
        <v>0.14272799999999999</v>
      </c>
      <c r="W2038" s="152">
        <v>1000</v>
      </c>
      <c r="X2038" s="152" t="s">
        <v>23</v>
      </c>
      <c r="Y2038" s="152" t="s">
        <v>1921</v>
      </c>
      <c r="Z2038" s="152" t="s">
        <v>1327</v>
      </c>
    </row>
    <row r="2039" spans="1:26" x14ac:dyDescent="0.2">
      <c r="A2039" s="152" t="s">
        <v>3127</v>
      </c>
      <c r="B2039" s="152">
        <v>0</v>
      </c>
      <c r="C2039" s="151">
        <v>43496</v>
      </c>
      <c r="D2039" s="152">
        <v>0.26849299999999998</v>
      </c>
      <c r="E2039" s="152" t="s">
        <v>1325</v>
      </c>
      <c r="F2039" s="152" t="s">
        <v>1326</v>
      </c>
      <c r="G2039" s="152"/>
      <c r="H2039" s="152"/>
      <c r="I2039" s="151" t="s">
        <v>1327</v>
      </c>
      <c r="J2039" s="152" t="s">
        <v>1327</v>
      </c>
      <c r="K2039" s="152" t="s">
        <v>1327</v>
      </c>
      <c r="L2039" s="152" t="s">
        <v>1327</v>
      </c>
      <c r="M2039" s="152" t="s">
        <v>1327</v>
      </c>
      <c r="N2039" s="152" t="s">
        <v>1327</v>
      </c>
      <c r="O2039" s="152">
        <v>1.852724</v>
      </c>
      <c r="P2039" s="152">
        <v>29.772082999999999</v>
      </c>
      <c r="Q2039" s="152">
        <v>1.852724</v>
      </c>
      <c r="R2039" s="152" t="s">
        <v>1327</v>
      </c>
      <c r="S2039" s="152">
        <v>99.505019000000004</v>
      </c>
      <c r="T2039" s="152">
        <v>0</v>
      </c>
      <c r="U2039" s="152">
        <v>0.26716400000000001</v>
      </c>
      <c r="V2039" s="152">
        <v>0.14275299999999999</v>
      </c>
      <c r="W2039" s="152">
        <v>1000</v>
      </c>
      <c r="X2039" s="152" t="s">
        <v>23</v>
      </c>
      <c r="Y2039" s="152" t="s">
        <v>1921</v>
      </c>
      <c r="Z2039" s="152" t="s">
        <v>1327</v>
      </c>
    </row>
    <row r="2040" spans="1:26" x14ac:dyDescent="0.2">
      <c r="A2040" s="152" t="s">
        <v>3128</v>
      </c>
      <c r="B2040" s="152">
        <v>0</v>
      </c>
      <c r="C2040" s="151">
        <v>43497</v>
      </c>
      <c r="D2040" s="152">
        <v>0.271233</v>
      </c>
      <c r="E2040" s="152" t="s">
        <v>1325</v>
      </c>
      <c r="F2040" s="152" t="s">
        <v>1326</v>
      </c>
      <c r="G2040" s="152"/>
      <c r="H2040" s="152"/>
      <c r="I2040" s="151" t="s">
        <v>1327</v>
      </c>
      <c r="J2040" s="152" t="s">
        <v>1327</v>
      </c>
      <c r="K2040" s="152" t="s">
        <v>1327</v>
      </c>
      <c r="L2040" s="152" t="s">
        <v>1327</v>
      </c>
      <c r="M2040" s="152" t="s">
        <v>1327</v>
      </c>
      <c r="N2040" s="152" t="s">
        <v>1327</v>
      </c>
      <c r="O2040" s="152">
        <v>1.887913</v>
      </c>
      <c r="P2040" s="152">
        <v>32.991498</v>
      </c>
      <c r="Q2040" s="152">
        <v>1.887913</v>
      </c>
      <c r="R2040" s="152" t="s">
        <v>1327</v>
      </c>
      <c r="S2040" s="152">
        <v>99.490544999999997</v>
      </c>
      <c r="T2040" s="152">
        <v>0</v>
      </c>
      <c r="U2040" s="152">
        <v>0.26985100000000001</v>
      </c>
      <c r="V2040" s="152">
        <v>0.14563899999999999</v>
      </c>
      <c r="W2040" s="152">
        <v>1000</v>
      </c>
      <c r="X2040" s="152" t="s">
        <v>23</v>
      </c>
      <c r="Y2040" s="152" t="s">
        <v>1921</v>
      </c>
      <c r="Z2040" s="152" t="s">
        <v>1327</v>
      </c>
    </row>
    <row r="2041" spans="1:26" x14ac:dyDescent="0.2">
      <c r="A2041" s="152" t="s">
        <v>3129</v>
      </c>
      <c r="B2041" s="152">
        <v>0</v>
      </c>
      <c r="C2041" s="151">
        <v>43507</v>
      </c>
      <c r="D2041" s="152">
        <v>0.29863000000000001</v>
      </c>
      <c r="E2041" s="152" t="s">
        <v>1325</v>
      </c>
      <c r="F2041" s="152" t="s">
        <v>1326</v>
      </c>
      <c r="G2041" s="152"/>
      <c r="H2041" s="152"/>
      <c r="I2041" s="151" t="s">
        <v>1327</v>
      </c>
      <c r="J2041" s="152" t="s">
        <v>1327</v>
      </c>
      <c r="K2041" s="152" t="s">
        <v>1327</v>
      </c>
      <c r="L2041" s="152" t="s">
        <v>1327</v>
      </c>
      <c r="M2041" s="152" t="s">
        <v>1327</v>
      </c>
      <c r="N2041" s="152" t="s">
        <v>1327</v>
      </c>
      <c r="O2041" s="152">
        <v>1.9128769999999999</v>
      </c>
      <c r="P2041" s="152">
        <v>32.254573000000001</v>
      </c>
      <c r="Q2041" s="152">
        <v>1.9128769999999999</v>
      </c>
      <c r="R2041" s="152" t="s">
        <v>1327</v>
      </c>
      <c r="S2041" s="152">
        <v>99.432001999999997</v>
      </c>
      <c r="T2041" s="152">
        <v>0</v>
      </c>
      <c r="U2041" s="152">
        <v>0.29693399999999998</v>
      </c>
      <c r="V2041" s="152">
        <v>0.17634</v>
      </c>
      <c r="W2041" s="152">
        <v>1000</v>
      </c>
      <c r="X2041" s="152" t="s">
        <v>23</v>
      </c>
      <c r="Y2041" s="152" t="s">
        <v>1921</v>
      </c>
      <c r="Z2041" s="152" t="s">
        <v>1327</v>
      </c>
    </row>
    <row r="2042" spans="1:26" x14ac:dyDescent="0.2">
      <c r="A2042" s="152" t="s">
        <v>3130</v>
      </c>
      <c r="B2042" s="152">
        <v>0</v>
      </c>
      <c r="C2042" s="151">
        <v>43511</v>
      </c>
      <c r="D2042" s="152">
        <v>0.309589</v>
      </c>
      <c r="E2042" s="152" t="s">
        <v>1325</v>
      </c>
      <c r="F2042" s="152" t="s">
        <v>1326</v>
      </c>
      <c r="G2042" s="152"/>
      <c r="H2042" s="152"/>
      <c r="I2042" s="151" t="s">
        <v>1327</v>
      </c>
      <c r="J2042" s="152" t="s">
        <v>1327</v>
      </c>
      <c r="K2042" s="152" t="s">
        <v>1327</v>
      </c>
      <c r="L2042" s="152" t="s">
        <v>1327</v>
      </c>
      <c r="M2042" s="152" t="s">
        <v>1327</v>
      </c>
      <c r="N2042" s="152" t="s">
        <v>1327</v>
      </c>
      <c r="O2042" s="152">
        <v>1.9228320000000001</v>
      </c>
      <c r="P2042" s="152">
        <v>32.059704000000004</v>
      </c>
      <c r="Q2042" s="152">
        <v>1.9228320000000001</v>
      </c>
      <c r="R2042" s="152" t="s">
        <v>1327</v>
      </c>
      <c r="S2042" s="152">
        <v>99.408235000000005</v>
      </c>
      <c r="T2042" s="152">
        <v>0</v>
      </c>
      <c r="U2042" s="152">
        <v>0.307757</v>
      </c>
      <c r="V2042" s="152">
        <v>0.18942899999999999</v>
      </c>
      <c r="W2042" s="152">
        <v>1000</v>
      </c>
      <c r="X2042" s="152" t="s">
        <v>23</v>
      </c>
      <c r="Y2042" s="152" t="s">
        <v>1921</v>
      </c>
      <c r="Z2042" s="152" t="s">
        <v>1327</v>
      </c>
    </row>
    <row r="2043" spans="1:26" x14ac:dyDescent="0.2">
      <c r="A2043" s="152" t="s">
        <v>3131</v>
      </c>
      <c r="B2043" s="152">
        <v>0</v>
      </c>
      <c r="C2043" s="151">
        <v>43525</v>
      </c>
      <c r="D2043" s="152">
        <v>0.347945</v>
      </c>
      <c r="E2043" s="152" t="s">
        <v>1325</v>
      </c>
      <c r="F2043" s="152" t="s">
        <v>1326</v>
      </c>
      <c r="G2043" s="152"/>
      <c r="H2043" s="152"/>
      <c r="I2043" s="151" t="s">
        <v>1327</v>
      </c>
      <c r="J2043" s="152" t="s">
        <v>1327</v>
      </c>
      <c r="K2043" s="152" t="s">
        <v>1327</v>
      </c>
      <c r="L2043" s="152" t="s">
        <v>1327</v>
      </c>
      <c r="M2043" s="152" t="s">
        <v>1327</v>
      </c>
      <c r="N2043" s="152" t="s">
        <v>1327</v>
      </c>
      <c r="O2043" s="152">
        <v>1.957497</v>
      </c>
      <c r="P2043" s="152">
        <v>31.789403</v>
      </c>
      <c r="Q2043" s="152">
        <v>1.957497</v>
      </c>
      <c r="R2043" s="152" t="s">
        <v>1327</v>
      </c>
      <c r="S2043" s="152">
        <v>99.323505999999995</v>
      </c>
      <c r="T2043" s="152">
        <v>0</v>
      </c>
      <c r="U2043" s="152">
        <v>0.34559099999999998</v>
      </c>
      <c r="V2043" s="152">
        <v>0.238867</v>
      </c>
      <c r="W2043" s="152">
        <v>1000</v>
      </c>
      <c r="X2043" s="152" t="s">
        <v>23</v>
      </c>
      <c r="Y2043" s="152" t="s">
        <v>1921</v>
      </c>
      <c r="Z2043" s="152" t="s">
        <v>1327</v>
      </c>
    </row>
    <row r="2044" spans="1:26" x14ac:dyDescent="0.2">
      <c r="A2044" s="152" t="s">
        <v>3132</v>
      </c>
      <c r="B2044" s="152">
        <v>0</v>
      </c>
      <c r="C2044" s="151">
        <v>43437</v>
      </c>
      <c r="D2044" s="152">
        <v>0.106849</v>
      </c>
      <c r="E2044" s="152" t="s">
        <v>1325</v>
      </c>
      <c r="F2044" s="152" t="s">
        <v>1326</v>
      </c>
      <c r="G2044" s="152"/>
      <c r="H2044" s="152"/>
      <c r="I2044" s="151">
        <v>43348</v>
      </c>
      <c r="J2044" s="152">
        <v>3.1</v>
      </c>
      <c r="K2044" s="152" t="s">
        <v>1327</v>
      </c>
      <c r="L2044" s="152" t="s">
        <v>1327</v>
      </c>
      <c r="M2044" s="152" t="s">
        <v>1327</v>
      </c>
      <c r="N2044" s="152" t="s">
        <v>1327</v>
      </c>
      <c r="O2044" s="152">
        <v>3.0531480000000002</v>
      </c>
      <c r="P2044" s="152">
        <v>178.748155</v>
      </c>
      <c r="Q2044" s="152">
        <v>3.0531480000000002</v>
      </c>
      <c r="R2044" s="152" t="s">
        <v>1327</v>
      </c>
      <c r="S2044" s="152">
        <v>99.674834000000004</v>
      </c>
      <c r="T2044" s="152">
        <v>0</v>
      </c>
      <c r="U2044" s="152">
        <v>0.106502</v>
      </c>
      <c r="V2044" s="152">
        <v>2.2685E-2</v>
      </c>
      <c r="W2044" s="152">
        <v>1000</v>
      </c>
      <c r="X2044" s="152" t="s">
        <v>23</v>
      </c>
      <c r="Y2044" s="152" t="s">
        <v>1328</v>
      </c>
      <c r="Z2044" s="152" t="s">
        <v>1327</v>
      </c>
    </row>
    <row r="2045" spans="1:26" x14ac:dyDescent="0.2">
      <c r="A2045" s="152" t="s">
        <v>3133</v>
      </c>
      <c r="B2045" s="152">
        <v>0</v>
      </c>
      <c r="C2045" s="151">
        <v>43411</v>
      </c>
      <c r="D2045" s="152">
        <v>3.5616000000000002E-2</v>
      </c>
      <c r="E2045" s="152" t="s">
        <v>1325</v>
      </c>
      <c r="F2045" s="152" t="s">
        <v>1326</v>
      </c>
      <c r="G2045" s="152"/>
      <c r="H2045" s="152"/>
      <c r="I2045" s="151">
        <v>43321</v>
      </c>
      <c r="J2045" s="152">
        <v>3.1</v>
      </c>
      <c r="K2045" s="152" t="s">
        <v>1327</v>
      </c>
      <c r="L2045" s="152" t="s">
        <v>1327</v>
      </c>
      <c r="M2045" s="152" t="s">
        <v>1327</v>
      </c>
      <c r="N2045" s="152" t="s">
        <v>1327</v>
      </c>
      <c r="O2045" s="152">
        <v>2.9670359999999998</v>
      </c>
      <c r="P2045" s="152">
        <v>183.28283400000001</v>
      </c>
      <c r="Q2045" s="152">
        <v>2.9670359999999998</v>
      </c>
      <c r="R2045" s="152" t="s">
        <v>1327</v>
      </c>
      <c r="S2045" s="152">
        <v>99.894435999999999</v>
      </c>
      <c r="T2045" s="152">
        <v>0</v>
      </c>
      <c r="U2045" s="152">
        <v>3.5579E-2</v>
      </c>
      <c r="V2045" s="152">
        <v>2.532E-3</v>
      </c>
      <c r="W2045" s="152">
        <v>1000</v>
      </c>
      <c r="X2045" s="152" t="s">
        <v>23</v>
      </c>
      <c r="Y2045" s="152" t="s">
        <v>1328</v>
      </c>
      <c r="Z2045" s="152" t="s">
        <v>1327</v>
      </c>
    </row>
    <row r="2046" spans="1:26" x14ac:dyDescent="0.2">
      <c r="A2046" s="152" t="s">
        <v>3134</v>
      </c>
      <c r="B2046" s="152">
        <v>0</v>
      </c>
      <c r="C2046" s="151">
        <v>43417</v>
      </c>
      <c r="D2046" s="152">
        <v>5.2054999999999997E-2</v>
      </c>
      <c r="E2046" s="152" t="s">
        <v>1325</v>
      </c>
      <c r="F2046" s="152" t="s">
        <v>1326</v>
      </c>
      <c r="G2046" s="152"/>
      <c r="H2046" s="152"/>
      <c r="I2046" s="152">
        <v>43238</v>
      </c>
      <c r="J2046" s="152">
        <v>3.15</v>
      </c>
      <c r="K2046" s="152" t="s">
        <v>1327</v>
      </c>
      <c r="L2046" s="152" t="s">
        <v>1327</v>
      </c>
      <c r="M2046" s="152" t="s">
        <v>1327</v>
      </c>
      <c r="N2046" s="152" t="s">
        <v>1327</v>
      </c>
      <c r="O2046" s="152">
        <v>2.9663330000000001</v>
      </c>
      <c r="P2046" s="152">
        <v>180.13993500000001</v>
      </c>
      <c r="Q2046" s="152">
        <v>2.9663330000000001</v>
      </c>
      <c r="R2046" s="152" t="s">
        <v>1327</v>
      </c>
      <c r="S2046" s="152">
        <v>99.845826000000002</v>
      </c>
      <c r="T2046" s="152">
        <v>0</v>
      </c>
      <c r="U2046" s="152">
        <v>5.1975E-2</v>
      </c>
      <c r="V2046" s="152">
        <v>5.4029999999999998E-3</v>
      </c>
      <c r="W2046" s="152">
        <v>1000</v>
      </c>
      <c r="X2046" s="152" t="s">
        <v>23</v>
      </c>
      <c r="Y2046" s="152" t="s">
        <v>1328</v>
      </c>
      <c r="Z2046" s="152" t="s">
        <v>1327</v>
      </c>
    </row>
    <row r="2047" spans="1:26" x14ac:dyDescent="0.2">
      <c r="A2047" s="152" t="s">
        <v>3135</v>
      </c>
      <c r="B2047" s="152">
        <v>0</v>
      </c>
      <c r="C2047" s="151">
        <v>43424</v>
      </c>
      <c r="D2047" s="152">
        <v>7.1233000000000005E-2</v>
      </c>
      <c r="E2047" s="152" t="s">
        <v>1325</v>
      </c>
      <c r="F2047" s="152" t="s">
        <v>1326</v>
      </c>
      <c r="G2047" s="152"/>
      <c r="H2047" s="152"/>
      <c r="I2047" s="152">
        <v>43245</v>
      </c>
      <c r="J2047" s="152">
        <v>3.15</v>
      </c>
      <c r="K2047" s="152" t="s">
        <v>1327</v>
      </c>
      <c r="L2047" s="152" t="s">
        <v>1327</v>
      </c>
      <c r="M2047" s="152" t="s">
        <v>1327</v>
      </c>
      <c r="N2047" s="152" t="s">
        <v>1327</v>
      </c>
      <c r="O2047" s="152">
        <v>2.9934720000000001</v>
      </c>
      <c r="P2047" s="152">
        <v>179.32153299999999</v>
      </c>
      <c r="Q2047" s="152">
        <v>2.9934720000000001</v>
      </c>
      <c r="R2047" s="152" t="s">
        <v>1327</v>
      </c>
      <c r="S2047" s="152">
        <v>99.787220000000005</v>
      </c>
      <c r="T2047" s="152">
        <v>0</v>
      </c>
      <c r="U2047" s="152">
        <v>7.1081000000000005E-2</v>
      </c>
      <c r="V2047" s="152">
        <v>1.0104999999999999E-2</v>
      </c>
      <c r="W2047" s="152">
        <v>1000</v>
      </c>
      <c r="X2047" s="152" t="s">
        <v>23</v>
      </c>
      <c r="Y2047" s="152" t="s">
        <v>1328</v>
      </c>
      <c r="Z2047" s="152" t="s">
        <v>1327</v>
      </c>
    </row>
    <row r="2048" spans="1:26" x14ac:dyDescent="0.2">
      <c r="A2048" s="152" t="s">
        <v>3136</v>
      </c>
      <c r="B2048" s="152">
        <v>0</v>
      </c>
      <c r="C2048" s="151">
        <v>43580</v>
      </c>
      <c r="D2048" s="152">
        <v>0.49863000000000002</v>
      </c>
      <c r="E2048" s="152" t="s">
        <v>1325</v>
      </c>
      <c r="F2048" s="152" t="s">
        <v>1326</v>
      </c>
      <c r="G2048" s="152"/>
      <c r="H2048" s="152"/>
      <c r="I2048" s="151">
        <v>43391</v>
      </c>
      <c r="J2048" s="152">
        <v>3.15</v>
      </c>
      <c r="K2048" s="152" t="s">
        <v>1327</v>
      </c>
      <c r="L2048" s="152" t="s">
        <v>1327</v>
      </c>
      <c r="M2048" s="152" t="s">
        <v>1327</v>
      </c>
      <c r="N2048" s="152" t="s">
        <v>1327</v>
      </c>
      <c r="O2048" s="152">
        <v>3.1578379999999999</v>
      </c>
      <c r="P2048" s="152">
        <v>143.694221</v>
      </c>
      <c r="Q2048" s="152">
        <v>3.1578379999999999</v>
      </c>
      <c r="R2048" s="152" t="s">
        <v>1327</v>
      </c>
      <c r="S2048" s="152">
        <v>98.449815999999998</v>
      </c>
      <c r="T2048" s="152">
        <v>0</v>
      </c>
      <c r="U2048" s="152">
        <v>0.4909</v>
      </c>
      <c r="V2048" s="152">
        <v>0.48196699999999998</v>
      </c>
      <c r="W2048" s="152">
        <v>1000</v>
      </c>
      <c r="X2048" s="152" t="s">
        <v>23</v>
      </c>
      <c r="Y2048" s="152" t="s">
        <v>1328</v>
      </c>
      <c r="Z2048" s="152" t="s">
        <v>1327</v>
      </c>
    </row>
    <row r="2049" spans="1:26" x14ac:dyDescent="0.2">
      <c r="A2049" s="152" t="s">
        <v>3137</v>
      </c>
      <c r="B2049" s="152">
        <v>0</v>
      </c>
      <c r="C2049" s="151">
        <v>43416</v>
      </c>
      <c r="D2049" s="152">
        <v>4.9314999999999998E-2</v>
      </c>
      <c r="E2049" s="152" t="s">
        <v>1325</v>
      </c>
      <c r="F2049" s="152" t="s">
        <v>1326</v>
      </c>
      <c r="G2049" s="152"/>
      <c r="H2049" s="152"/>
      <c r="I2049" s="151">
        <v>43230</v>
      </c>
      <c r="J2049" s="152">
        <v>3</v>
      </c>
      <c r="K2049" s="152" t="s">
        <v>1327</v>
      </c>
      <c r="L2049" s="152" t="s">
        <v>1327</v>
      </c>
      <c r="M2049" s="152" t="s">
        <v>1327</v>
      </c>
      <c r="N2049" s="152" t="s">
        <v>1327</v>
      </c>
      <c r="O2049" s="152">
        <v>2.6459489999999999</v>
      </c>
      <c r="P2049" s="152">
        <v>147.74947399999999</v>
      </c>
      <c r="Q2049" s="152">
        <v>2.6459489999999999</v>
      </c>
      <c r="R2049" s="152" t="s">
        <v>1327</v>
      </c>
      <c r="S2049" s="152">
        <v>99.869685000000004</v>
      </c>
      <c r="T2049" s="152">
        <v>0</v>
      </c>
      <c r="U2049" s="152">
        <v>4.9251000000000003E-2</v>
      </c>
      <c r="V2049" s="152">
        <v>4.8510000000000003E-3</v>
      </c>
      <c r="W2049" s="152">
        <v>1000</v>
      </c>
      <c r="X2049" s="152" t="s">
        <v>23</v>
      </c>
      <c r="Y2049" s="152" t="s">
        <v>1328</v>
      </c>
      <c r="Z2049" s="152" t="s">
        <v>1327</v>
      </c>
    </row>
    <row r="2050" spans="1:26" x14ac:dyDescent="0.2">
      <c r="A2050" s="152" t="s">
        <v>3138</v>
      </c>
      <c r="B2050" s="152">
        <v>0</v>
      </c>
      <c r="C2050" s="151">
        <v>43417</v>
      </c>
      <c r="D2050" s="152">
        <v>5.2054999999999997E-2</v>
      </c>
      <c r="E2050" s="152" t="s">
        <v>1325</v>
      </c>
      <c r="F2050" s="152" t="s">
        <v>1326</v>
      </c>
      <c r="G2050" s="152"/>
      <c r="H2050" s="152"/>
      <c r="I2050" s="151">
        <v>43230</v>
      </c>
      <c r="J2050" s="152">
        <v>3</v>
      </c>
      <c r="K2050" s="152" t="s">
        <v>1327</v>
      </c>
      <c r="L2050" s="152" t="s">
        <v>1327</v>
      </c>
      <c r="M2050" s="152" t="s">
        <v>1327</v>
      </c>
      <c r="N2050" s="152" t="s">
        <v>1327</v>
      </c>
      <c r="O2050" s="152">
        <v>2.6458560000000002</v>
      </c>
      <c r="P2050" s="152">
        <v>147.228937</v>
      </c>
      <c r="Q2050" s="152">
        <v>2.6458560000000002</v>
      </c>
      <c r="R2050" s="152" t="s">
        <v>1327</v>
      </c>
      <c r="S2050" s="152">
        <v>99.862459999999999</v>
      </c>
      <c r="T2050" s="152">
        <v>0</v>
      </c>
      <c r="U2050" s="152">
        <v>5.1983000000000001E-2</v>
      </c>
      <c r="V2050" s="152">
        <v>5.4050000000000001E-3</v>
      </c>
      <c r="W2050" s="152">
        <v>1000</v>
      </c>
      <c r="X2050" s="152" t="s">
        <v>23</v>
      </c>
      <c r="Y2050" s="152" t="s">
        <v>1328</v>
      </c>
      <c r="Z2050" s="152" t="s">
        <v>1327</v>
      </c>
    </row>
    <row r="2051" spans="1:26" x14ac:dyDescent="0.2">
      <c r="A2051" s="152" t="s">
        <v>3139</v>
      </c>
      <c r="B2051" s="152">
        <v>0</v>
      </c>
      <c r="C2051" s="151">
        <v>43508</v>
      </c>
      <c r="D2051" s="152">
        <v>0.30137000000000003</v>
      </c>
      <c r="E2051" s="152" t="s">
        <v>1325</v>
      </c>
      <c r="F2051" s="152" t="s">
        <v>1326</v>
      </c>
      <c r="G2051" s="152"/>
      <c r="H2051" s="152"/>
      <c r="I2051" s="151">
        <v>43385</v>
      </c>
      <c r="J2051" s="152">
        <v>3</v>
      </c>
      <c r="K2051" s="152" t="s">
        <v>1327</v>
      </c>
      <c r="L2051" s="152" t="s">
        <v>1327</v>
      </c>
      <c r="M2051" s="152" t="s">
        <v>1327</v>
      </c>
      <c r="N2051" s="152" t="s">
        <v>1327</v>
      </c>
      <c r="O2051" s="152">
        <v>3.0101239999999998</v>
      </c>
      <c r="P2051" s="152">
        <v>143.56925000000001</v>
      </c>
      <c r="Q2051" s="152">
        <v>3.0101239999999998</v>
      </c>
      <c r="R2051" s="152" t="s">
        <v>1327</v>
      </c>
      <c r="S2051" s="152">
        <v>99.100994999999998</v>
      </c>
      <c r="T2051" s="152">
        <v>0</v>
      </c>
      <c r="U2051" s="152">
        <v>0.29866100000000001</v>
      </c>
      <c r="V2051" s="152">
        <v>0.178396</v>
      </c>
      <c r="W2051" s="152">
        <v>1000</v>
      </c>
      <c r="X2051" s="152" t="s">
        <v>23</v>
      </c>
      <c r="Y2051" s="152" t="s">
        <v>1328</v>
      </c>
      <c r="Z2051" s="152" t="s">
        <v>1327</v>
      </c>
    </row>
    <row r="2052" spans="1:26" x14ac:dyDescent="0.2">
      <c r="A2052" s="152" t="s">
        <v>3140</v>
      </c>
      <c r="B2052" s="152">
        <v>0</v>
      </c>
      <c r="C2052" s="151">
        <v>43402</v>
      </c>
      <c r="D2052" s="152">
        <v>1.0959E-2</v>
      </c>
      <c r="E2052" s="152" t="s">
        <v>1325</v>
      </c>
      <c r="F2052" s="152" t="s">
        <v>1326</v>
      </c>
      <c r="G2052" s="152"/>
      <c r="H2052" s="152" t="s">
        <v>3141</v>
      </c>
      <c r="I2052" s="151">
        <v>43371</v>
      </c>
      <c r="J2052" s="152">
        <v>1.55</v>
      </c>
      <c r="K2052" s="152" t="s">
        <v>1327</v>
      </c>
      <c r="L2052" s="152" t="s">
        <v>1327</v>
      </c>
      <c r="M2052" s="152" t="s">
        <v>1327</v>
      </c>
      <c r="N2052" s="152" t="s">
        <v>1327</v>
      </c>
      <c r="O2052" s="152">
        <v>1.5736669999999999</v>
      </c>
      <c r="P2052" s="152">
        <v>45.315882999999999</v>
      </c>
      <c r="Q2052" s="152">
        <v>1.5736669999999999</v>
      </c>
      <c r="R2052" s="152" t="s">
        <v>1327</v>
      </c>
      <c r="S2052" s="152">
        <v>99.982757000000007</v>
      </c>
      <c r="T2052" s="152">
        <v>0</v>
      </c>
      <c r="U2052" s="152">
        <v>1.0957E-2</v>
      </c>
      <c r="V2052" s="152">
        <v>2.4000000000000001E-4</v>
      </c>
      <c r="W2052" s="152">
        <v>1000</v>
      </c>
      <c r="X2052" s="152" t="s">
        <v>23</v>
      </c>
      <c r="Y2052" s="152" t="s">
        <v>1328</v>
      </c>
      <c r="Z2052" s="152" t="s">
        <v>1327</v>
      </c>
    </row>
    <row r="2053" spans="1:26" x14ac:dyDescent="0.2">
      <c r="A2053" s="152" t="s">
        <v>3142</v>
      </c>
      <c r="B2053" s="152">
        <v>0</v>
      </c>
      <c r="C2053" s="151">
        <v>43404</v>
      </c>
      <c r="D2053" s="152">
        <v>1.6438000000000001E-2</v>
      </c>
      <c r="E2053" s="152" t="s">
        <v>1325</v>
      </c>
      <c r="F2053" s="152" t="s">
        <v>1326</v>
      </c>
      <c r="G2053" s="152"/>
      <c r="H2053" s="152"/>
      <c r="I2053" s="151">
        <v>43312</v>
      </c>
      <c r="J2053" s="152">
        <v>2.6</v>
      </c>
      <c r="K2053" s="152" t="s">
        <v>1327</v>
      </c>
      <c r="L2053" s="152" t="s">
        <v>1327</v>
      </c>
      <c r="M2053" s="152" t="s">
        <v>1327</v>
      </c>
      <c r="N2053" s="152" t="s">
        <v>1327</v>
      </c>
      <c r="O2053" s="152">
        <v>2.4372449999999999</v>
      </c>
      <c r="P2053" s="152">
        <v>132.413478</v>
      </c>
      <c r="Q2053" s="152">
        <v>2.4372449999999999</v>
      </c>
      <c r="R2053" s="152" t="s">
        <v>1327</v>
      </c>
      <c r="S2053" s="152">
        <v>99.959952000000001</v>
      </c>
      <c r="T2053" s="152">
        <v>0</v>
      </c>
      <c r="U2053" s="152">
        <v>1.6431999999999999E-2</v>
      </c>
      <c r="V2053" s="152">
        <v>5.4000000000000001E-4</v>
      </c>
      <c r="W2053" s="152">
        <v>1000</v>
      </c>
      <c r="X2053" s="152" t="s">
        <v>23</v>
      </c>
      <c r="Y2053" s="152" t="s">
        <v>1328</v>
      </c>
      <c r="Z2053" s="152" t="s">
        <v>1327</v>
      </c>
    </row>
    <row r="2054" spans="1:26" x14ac:dyDescent="0.2">
      <c r="A2054" s="152" t="s">
        <v>3143</v>
      </c>
      <c r="B2054" s="152">
        <v>0</v>
      </c>
      <c r="C2054" s="151">
        <v>43524</v>
      </c>
      <c r="D2054" s="152">
        <v>0.34520499999999998</v>
      </c>
      <c r="E2054" s="152" t="s">
        <v>1325</v>
      </c>
      <c r="F2054" s="152" t="s">
        <v>1326</v>
      </c>
      <c r="G2054" s="152"/>
      <c r="H2054" s="152"/>
      <c r="I2054" s="151" t="s">
        <v>1327</v>
      </c>
      <c r="J2054" s="152" t="s">
        <v>1327</v>
      </c>
      <c r="K2054" s="152" t="s">
        <v>1327</v>
      </c>
      <c r="L2054" s="152" t="s">
        <v>1327</v>
      </c>
      <c r="M2054" s="152" t="s">
        <v>1327</v>
      </c>
      <c r="N2054" s="152" t="s">
        <v>1327</v>
      </c>
      <c r="O2054" s="152">
        <v>1.959649</v>
      </c>
      <c r="P2054" s="152">
        <v>32.256369999999997</v>
      </c>
      <c r="Q2054" s="152">
        <v>1.959649</v>
      </c>
      <c r="R2054" s="152" t="s">
        <v>1327</v>
      </c>
      <c r="S2054" s="152">
        <v>99.328063999999998</v>
      </c>
      <c r="T2054" s="152">
        <v>0</v>
      </c>
      <c r="U2054" s="152">
        <v>0.34288600000000002</v>
      </c>
      <c r="V2054" s="152">
        <v>0.23514199999999999</v>
      </c>
      <c r="W2054" s="152">
        <v>1000</v>
      </c>
      <c r="X2054" s="152" t="s">
        <v>23</v>
      </c>
      <c r="Y2054" s="152" t="s">
        <v>1328</v>
      </c>
      <c r="Z2054" s="152" t="s">
        <v>1327</v>
      </c>
    </row>
    <row r="2055" spans="1:26" x14ac:dyDescent="0.2">
      <c r="A2055" s="152" t="s">
        <v>3144</v>
      </c>
      <c r="B2055" s="152">
        <v>0</v>
      </c>
      <c r="C2055" s="151">
        <v>43531</v>
      </c>
      <c r="D2055" s="152">
        <v>0.36438399999999999</v>
      </c>
      <c r="E2055" s="152" t="s">
        <v>1325</v>
      </c>
      <c r="F2055" s="152" t="s">
        <v>1326</v>
      </c>
      <c r="G2055" s="152"/>
      <c r="H2055" s="152"/>
      <c r="I2055" s="151" t="s">
        <v>1327</v>
      </c>
      <c r="J2055" s="152" t="s">
        <v>1327</v>
      </c>
      <c r="K2055" s="152" t="s">
        <v>1327</v>
      </c>
      <c r="L2055" s="152" t="s">
        <v>1327</v>
      </c>
      <c r="M2055" s="152" t="s">
        <v>1327</v>
      </c>
      <c r="N2055" s="152" t="s">
        <v>1327</v>
      </c>
      <c r="O2055" s="152">
        <v>1.9768779999999999</v>
      </c>
      <c r="P2055" s="152">
        <v>32.322628999999999</v>
      </c>
      <c r="Q2055" s="152">
        <v>1.9768779999999999</v>
      </c>
      <c r="R2055" s="152" t="s">
        <v>1327</v>
      </c>
      <c r="S2055" s="152">
        <v>99.284809999999993</v>
      </c>
      <c r="T2055" s="152">
        <v>0</v>
      </c>
      <c r="U2055" s="152">
        <v>0.36177799999999999</v>
      </c>
      <c r="V2055" s="152">
        <v>0.261766</v>
      </c>
      <c r="W2055" s="152">
        <v>1000</v>
      </c>
      <c r="X2055" s="152" t="s">
        <v>23</v>
      </c>
      <c r="Y2055" s="152" t="s">
        <v>1328</v>
      </c>
      <c r="Z2055" s="152" t="s">
        <v>1327</v>
      </c>
    </row>
    <row r="2056" spans="1:26" x14ac:dyDescent="0.2">
      <c r="A2056" s="152" t="s">
        <v>3145</v>
      </c>
      <c r="B2056" s="152">
        <v>0</v>
      </c>
      <c r="C2056" s="151">
        <v>43441</v>
      </c>
      <c r="D2056" s="152">
        <v>0.117808</v>
      </c>
      <c r="E2056" s="152" t="s">
        <v>1325</v>
      </c>
      <c r="F2056" s="152" t="s">
        <v>1326</v>
      </c>
      <c r="G2056" s="152"/>
      <c r="H2056" s="152"/>
      <c r="I2056" s="151">
        <v>43258</v>
      </c>
      <c r="J2056" s="152">
        <v>2.08</v>
      </c>
      <c r="K2056" s="152" t="s">
        <v>1327</v>
      </c>
      <c r="L2056" s="152" t="s">
        <v>1327</v>
      </c>
      <c r="M2056" s="152" t="s">
        <v>1327</v>
      </c>
      <c r="N2056" s="152" t="s">
        <v>1327</v>
      </c>
      <c r="O2056" s="152">
        <v>1.755196</v>
      </c>
      <c r="P2056" s="152">
        <v>44.127231999999999</v>
      </c>
      <c r="Q2056" s="152">
        <v>1.755196</v>
      </c>
      <c r="R2056" s="152" t="s">
        <v>1327</v>
      </c>
      <c r="S2056" s="152">
        <v>99.79365</v>
      </c>
      <c r="T2056" s="152">
        <v>0</v>
      </c>
      <c r="U2056" s="152">
        <v>0.117565</v>
      </c>
      <c r="V2056" s="152">
        <v>2.7643000000000001E-2</v>
      </c>
      <c r="W2056" s="152">
        <v>1000</v>
      </c>
      <c r="X2056" s="152" t="s">
        <v>23</v>
      </c>
      <c r="Y2056" s="152" t="s">
        <v>1328</v>
      </c>
      <c r="Z2056" s="152" t="s">
        <v>1327</v>
      </c>
    </row>
    <row r="2057" spans="1:26" x14ac:dyDescent="0.2">
      <c r="A2057" s="152" t="s">
        <v>3146</v>
      </c>
      <c r="B2057" s="152">
        <v>0</v>
      </c>
      <c r="C2057" s="151">
        <v>43517</v>
      </c>
      <c r="D2057" s="152">
        <v>0.32602700000000001</v>
      </c>
      <c r="E2057" s="152" t="s">
        <v>1325</v>
      </c>
      <c r="F2057" s="152" t="s">
        <v>1326</v>
      </c>
      <c r="G2057" s="152"/>
      <c r="H2057" s="152"/>
      <c r="I2057" s="152" t="s">
        <v>1327</v>
      </c>
      <c r="J2057" s="152" t="s">
        <v>1327</v>
      </c>
      <c r="K2057" s="152" t="s">
        <v>1327</v>
      </c>
      <c r="L2057" s="152" t="s">
        <v>1327</v>
      </c>
      <c r="M2057" s="152" t="s">
        <v>1327</v>
      </c>
      <c r="N2057" s="152" t="s">
        <v>1327</v>
      </c>
      <c r="O2057" s="152">
        <v>2.1179600000000001</v>
      </c>
      <c r="P2057" s="152">
        <v>50.138672999999997</v>
      </c>
      <c r="Q2057" s="152">
        <v>2.1179600000000001</v>
      </c>
      <c r="R2057" s="152" t="s">
        <v>1327</v>
      </c>
      <c r="S2057" s="152">
        <v>99.314222000000001</v>
      </c>
      <c r="T2057" s="152">
        <v>0</v>
      </c>
      <c r="U2057" s="152">
        <v>0.32379200000000002</v>
      </c>
      <c r="V2057" s="152">
        <v>0.20968200000000001</v>
      </c>
      <c r="W2057" s="152">
        <v>1000</v>
      </c>
      <c r="X2057" s="152" t="s">
        <v>23</v>
      </c>
      <c r="Y2057" s="152" t="s">
        <v>1328</v>
      </c>
      <c r="Z2057" s="152" t="s">
        <v>1327</v>
      </c>
    </row>
    <row r="2058" spans="1:26" x14ac:dyDescent="0.2">
      <c r="A2058" s="152" t="s">
        <v>3147</v>
      </c>
      <c r="B2058" s="152">
        <v>0</v>
      </c>
      <c r="C2058" s="151">
        <v>43524</v>
      </c>
      <c r="D2058" s="152">
        <v>0.34520499999999998</v>
      </c>
      <c r="E2058" s="152" t="s">
        <v>1325</v>
      </c>
      <c r="F2058" s="152" t="s">
        <v>1326</v>
      </c>
      <c r="G2058" s="152"/>
      <c r="H2058" s="152"/>
      <c r="I2058" s="152" t="s">
        <v>1327</v>
      </c>
      <c r="J2058" s="152" t="s">
        <v>1327</v>
      </c>
      <c r="K2058" s="152" t="s">
        <v>1327</v>
      </c>
      <c r="L2058" s="152" t="s">
        <v>1327</v>
      </c>
      <c r="M2058" s="152" t="s">
        <v>1327</v>
      </c>
      <c r="N2058" s="152" t="s">
        <v>1327</v>
      </c>
      <c r="O2058" s="152">
        <v>2.13992</v>
      </c>
      <c r="P2058" s="152">
        <v>50.526186000000003</v>
      </c>
      <c r="Q2058" s="152">
        <v>2.13992</v>
      </c>
      <c r="R2058" s="152" t="s">
        <v>1327</v>
      </c>
      <c r="S2058" s="152">
        <v>99.266705000000002</v>
      </c>
      <c r="T2058" s="152">
        <v>0</v>
      </c>
      <c r="U2058" s="152">
        <v>0.34267399999999998</v>
      </c>
      <c r="V2058" s="152">
        <v>0.234851</v>
      </c>
      <c r="W2058" s="152">
        <v>1000</v>
      </c>
      <c r="X2058" s="152" t="s">
        <v>23</v>
      </c>
      <c r="Y2058" s="152" t="s">
        <v>1328</v>
      </c>
      <c r="Z2058" s="152" t="s">
        <v>1327</v>
      </c>
    </row>
    <row r="2059" spans="1:26" x14ac:dyDescent="0.2">
      <c r="A2059" s="152" t="s">
        <v>3148</v>
      </c>
      <c r="B2059" s="152">
        <v>0</v>
      </c>
      <c r="C2059" s="151">
        <v>43573</v>
      </c>
      <c r="D2059" s="152">
        <v>0.47945199999999999</v>
      </c>
      <c r="E2059" s="152" t="s">
        <v>1325</v>
      </c>
      <c r="F2059" s="152" t="s">
        <v>1326</v>
      </c>
      <c r="G2059" s="152"/>
      <c r="H2059" s="152"/>
      <c r="I2059" s="152" t="s">
        <v>1327</v>
      </c>
      <c r="J2059" s="152" t="s">
        <v>1327</v>
      </c>
      <c r="K2059" s="152" t="s">
        <v>1327</v>
      </c>
      <c r="L2059" s="152" t="s">
        <v>1327</v>
      </c>
      <c r="M2059" s="152" t="s">
        <v>1327</v>
      </c>
      <c r="N2059" s="152" t="s">
        <v>1327</v>
      </c>
      <c r="O2059" s="152">
        <v>2.2893020000000002</v>
      </c>
      <c r="P2059" s="152">
        <v>56.538206000000002</v>
      </c>
      <c r="Q2059" s="152">
        <v>2.2893020000000002</v>
      </c>
      <c r="R2059" s="152" t="s">
        <v>1327</v>
      </c>
      <c r="S2059" s="152">
        <v>98.914305999999996</v>
      </c>
      <c r="T2059" s="152">
        <v>0</v>
      </c>
      <c r="U2059" s="152">
        <v>0.47424699999999997</v>
      </c>
      <c r="V2059" s="152">
        <v>0.44982</v>
      </c>
      <c r="W2059" s="152">
        <v>1000</v>
      </c>
      <c r="X2059" s="152" t="s">
        <v>23</v>
      </c>
      <c r="Y2059" s="152" t="s">
        <v>1328</v>
      </c>
      <c r="Z2059" s="152" t="s">
        <v>1327</v>
      </c>
    </row>
    <row r="2060" spans="1:26" x14ac:dyDescent="0.2">
      <c r="A2060" s="152" t="s">
        <v>3149</v>
      </c>
      <c r="B2060" s="152">
        <v>0</v>
      </c>
      <c r="C2060" s="151">
        <v>43574</v>
      </c>
      <c r="D2060" s="152">
        <v>0.48219200000000001</v>
      </c>
      <c r="E2060" s="152" t="s">
        <v>1325</v>
      </c>
      <c r="F2060" s="152" t="s">
        <v>1326</v>
      </c>
      <c r="G2060" s="152"/>
      <c r="H2060" s="152"/>
      <c r="I2060" s="152" t="s">
        <v>1327</v>
      </c>
      <c r="J2060" s="152" t="s">
        <v>1327</v>
      </c>
      <c r="K2060" s="152" t="s">
        <v>1327</v>
      </c>
      <c r="L2060" s="152" t="s">
        <v>1327</v>
      </c>
      <c r="M2060" s="152" t="s">
        <v>1327</v>
      </c>
      <c r="N2060" s="152" t="s">
        <v>1327</v>
      </c>
      <c r="O2060" s="152">
        <v>2.2910300000000001</v>
      </c>
      <c r="P2060" s="152">
        <v>56.581752999999999</v>
      </c>
      <c r="Q2060" s="152">
        <v>2.2910300000000001</v>
      </c>
      <c r="R2060" s="152" t="s">
        <v>1327</v>
      </c>
      <c r="S2060" s="152">
        <v>98.907354999999995</v>
      </c>
      <c r="T2060" s="152">
        <v>0</v>
      </c>
      <c r="U2060" s="152">
        <v>0.47692299999999999</v>
      </c>
      <c r="V2060" s="152">
        <v>0.45491100000000001</v>
      </c>
      <c r="W2060" s="152">
        <v>1000</v>
      </c>
      <c r="X2060" s="152" t="s">
        <v>23</v>
      </c>
      <c r="Y2060" s="152" t="s">
        <v>1328</v>
      </c>
      <c r="Z2060" s="152" t="s">
        <v>1327</v>
      </c>
    </row>
    <row r="2061" spans="1:26" x14ac:dyDescent="0.2">
      <c r="A2061" s="152" t="s">
        <v>3150</v>
      </c>
      <c r="B2061" s="152">
        <v>0</v>
      </c>
      <c r="C2061" s="151">
        <v>43406</v>
      </c>
      <c r="D2061" s="152">
        <v>2.1918E-2</v>
      </c>
      <c r="E2061" s="152" t="s">
        <v>1325</v>
      </c>
      <c r="F2061" s="152" t="s">
        <v>1326</v>
      </c>
      <c r="G2061" s="152"/>
      <c r="H2061" s="152"/>
      <c r="I2061" s="152">
        <v>43318</v>
      </c>
      <c r="J2061" s="152">
        <v>4.3499999999999996</v>
      </c>
      <c r="K2061" s="152" t="s">
        <v>1327</v>
      </c>
      <c r="L2061" s="152" t="s">
        <v>1327</v>
      </c>
      <c r="M2061" s="152" t="s">
        <v>1327</v>
      </c>
      <c r="N2061" s="152" t="s">
        <v>1327</v>
      </c>
      <c r="O2061" s="152">
        <v>3.9350209999999999</v>
      </c>
      <c r="P2061" s="152">
        <v>285.93578100000002</v>
      </c>
      <c r="Q2061" s="152">
        <v>3.9350209999999999</v>
      </c>
      <c r="R2061" s="152" t="s">
        <v>1327</v>
      </c>
      <c r="S2061" s="152">
        <v>99.913826999999998</v>
      </c>
      <c r="T2061" s="152">
        <v>0</v>
      </c>
      <c r="U2061" s="152">
        <v>2.1898999999999998E-2</v>
      </c>
      <c r="V2061" s="152">
        <v>9.59E-4</v>
      </c>
      <c r="W2061" s="152">
        <v>1000</v>
      </c>
      <c r="X2061" s="152" t="s">
        <v>23</v>
      </c>
      <c r="Y2061" s="152" t="s">
        <v>1328</v>
      </c>
      <c r="Z2061" s="152" t="s">
        <v>1327</v>
      </c>
    </row>
    <row r="2062" spans="1:26" x14ac:dyDescent="0.2">
      <c r="A2062" s="152" t="s">
        <v>3151</v>
      </c>
      <c r="B2062" s="152">
        <v>0</v>
      </c>
      <c r="C2062" s="151">
        <v>43474</v>
      </c>
      <c r="D2062" s="152">
        <v>0.20821899999999999</v>
      </c>
      <c r="E2062" s="152" t="s">
        <v>1325</v>
      </c>
      <c r="F2062" s="152" t="s">
        <v>1326</v>
      </c>
      <c r="G2062" s="152"/>
      <c r="H2062" s="152"/>
      <c r="I2062" s="152">
        <v>43385</v>
      </c>
      <c r="J2062" s="152">
        <v>4.3499999999999996</v>
      </c>
      <c r="K2062" s="152" t="s">
        <v>1327</v>
      </c>
      <c r="L2062" s="152" t="s">
        <v>1327</v>
      </c>
      <c r="M2062" s="152" t="s">
        <v>1327</v>
      </c>
      <c r="N2062" s="152" t="s">
        <v>1327</v>
      </c>
      <c r="O2062" s="152">
        <v>4.3215669999999999</v>
      </c>
      <c r="P2062" s="152">
        <v>291.39527700000002</v>
      </c>
      <c r="Q2062" s="152">
        <v>4.3215669999999999</v>
      </c>
      <c r="R2062" s="152" t="s">
        <v>1327</v>
      </c>
      <c r="S2062" s="152">
        <v>99.108192000000003</v>
      </c>
      <c r="T2062" s="152">
        <v>0</v>
      </c>
      <c r="U2062" s="152">
        <v>0.20636199999999999</v>
      </c>
      <c r="V2062" s="152">
        <v>8.5170999999999997E-2</v>
      </c>
      <c r="W2062" s="152">
        <v>1000</v>
      </c>
      <c r="X2062" s="152" t="s">
        <v>23</v>
      </c>
      <c r="Y2062" s="152" t="s">
        <v>1328</v>
      </c>
      <c r="Z2062" s="152" t="s">
        <v>1327</v>
      </c>
    </row>
    <row r="2063" spans="1:26" x14ac:dyDescent="0.2">
      <c r="A2063" s="152" t="s">
        <v>3152</v>
      </c>
      <c r="B2063" s="152">
        <v>0</v>
      </c>
      <c r="C2063" s="151">
        <v>43455</v>
      </c>
      <c r="D2063" s="152">
        <v>0.156164</v>
      </c>
      <c r="E2063" s="152" t="s">
        <v>1325</v>
      </c>
      <c r="F2063" s="152" t="s">
        <v>1326</v>
      </c>
      <c r="G2063" s="152"/>
      <c r="H2063" s="152"/>
      <c r="I2063" s="152">
        <v>43374</v>
      </c>
      <c r="J2063" s="152">
        <v>2.2000000000000002</v>
      </c>
      <c r="K2063" s="152" t="s">
        <v>1327</v>
      </c>
      <c r="L2063" s="152" t="s">
        <v>1327</v>
      </c>
      <c r="M2063" s="152" t="s">
        <v>1327</v>
      </c>
      <c r="N2063" s="152" t="s">
        <v>1327</v>
      </c>
      <c r="O2063" s="152">
        <v>2.2128730000000001</v>
      </c>
      <c r="P2063" s="152">
        <v>83.778459999999995</v>
      </c>
      <c r="Q2063" s="152">
        <v>2.2128730000000001</v>
      </c>
      <c r="R2063" s="152" t="s">
        <v>1327</v>
      </c>
      <c r="S2063" s="152">
        <v>99.655618000000004</v>
      </c>
      <c r="T2063" s="152">
        <v>0</v>
      </c>
      <c r="U2063" s="152">
        <v>0.15562699999999999</v>
      </c>
      <c r="V2063" s="152">
        <v>4.8439000000000003E-2</v>
      </c>
      <c r="W2063" s="152">
        <v>1000</v>
      </c>
      <c r="X2063" s="152" t="s">
        <v>23</v>
      </c>
      <c r="Y2063" s="152" t="s">
        <v>1328</v>
      </c>
      <c r="Z2063" s="152" t="s">
        <v>1327</v>
      </c>
    </row>
    <row r="2064" spans="1:26" x14ac:dyDescent="0.2">
      <c r="A2064" s="152" t="s">
        <v>3153</v>
      </c>
      <c r="B2064" s="152">
        <v>0</v>
      </c>
      <c r="C2064" s="151">
        <v>43476</v>
      </c>
      <c r="D2064" s="152">
        <v>0.213699</v>
      </c>
      <c r="E2064" s="152" t="s">
        <v>1325</v>
      </c>
      <c r="F2064" s="152" t="s">
        <v>1326</v>
      </c>
      <c r="G2064" s="152"/>
      <c r="H2064" s="152"/>
      <c r="I2064" s="152">
        <v>43385</v>
      </c>
      <c r="J2064" s="152">
        <v>2.2000000000000002</v>
      </c>
      <c r="K2064" s="152" t="s">
        <v>1327</v>
      </c>
      <c r="L2064" s="152" t="s">
        <v>1327</v>
      </c>
      <c r="M2064" s="152" t="s">
        <v>1327</v>
      </c>
      <c r="N2064" s="152" t="s">
        <v>1327</v>
      </c>
      <c r="O2064" s="152">
        <v>2.127278</v>
      </c>
      <c r="P2064" s="152">
        <v>65.446770000000001</v>
      </c>
      <c r="Q2064" s="152">
        <v>2.127278</v>
      </c>
      <c r="R2064" s="152" t="s">
        <v>1327</v>
      </c>
      <c r="S2064" s="152">
        <v>99.547460999999998</v>
      </c>
      <c r="T2064" s="152">
        <v>0</v>
      </c>
      <c r="U2064" s="152">
        <v>0.212732</v>
      </c>
      <c r="V2064" s="152">
        <v>9.0509000000000006E-2</v>
      </c>
      <c r="W2064" s="152">
        <v>1000</v>
      </c>
      <c r="X2064" s="152" t="s">
        <v>23</v>
      </c>
      <c r="Y2064" s="152" t="s">
        <v>1328</v>
      </c>
      <c r="Z2064" s="152" t="s">
        <v>1327</v>
      </c>
    </row>
    <row r="2065" spans="1:26" x14ac:dyDescent="0.2">
      <c r="A2065" s="152" t="s">
        <v>3154</v>
      </c>
      <c r="B2065" s="152">
        <v>0</v>
      </c>
      <c r="C2065" s="151">
        <v>43481</v>
      </c>
      <c r="D2065" s="152">
        <v>0.22739699999999999</v>
      </c>
      <c r="E2065" s="152" t="s">
        <v>1325</v>
      </c>
      <c r="F2065" s="152" t="s">
        <v>1326</v>
      </c>
      <c r="G2065" s="152"/>
      <c r="H2065" s="152"/>
      <c r="I2065" s="151">
        <v>43383</v>
      </c>
      <c r="J2065" s="152">
        <v>2.2000000000000002</v>
      </c>
      <c r="K2065" s="152" t="s">
        <v>1327</v>
      </c>
      <c r="L2065" s="152" t="s">
        <v>1327</v>
      </c>
      <c r="M2065" s="152" t="s">
        <v>1327</v>
      </c>
      <c r="N2065" s="152" t="s">
        <v>1327</v>
      </c>
      <c r="O2065" s="152">
        <v>2.15178</v>
      </c>
      <c r="P2065" s="152">
        <v>65.840205999999995</v>
      </c>
      <c r="Q2065" s="152">
        <v>2.15178</v>
      </c>
      <c r="R2065" s="152" t="s">
        <v>1327</v>
      </c>
      <c r="S2065" s="152">
        <v>99.513074000000003</v>
      </c>
      <c r="T2065" s="152">
        <v>0</v>
      </c>
      <c r="U2065" s="152">
        <v>0.22628999999999999</v>
      </c>
      <c r="V2065" s="152">
        <v>0.10241400000000001</v>
      </c>
      <c r="W2065" s="152">
        <v>1000</v>
      </c>
      <c r="X2065" s="152" t="s">
        <v>23</v>
      </c>
      <c r="Y2065" s="152" t="s">
        <v>1328</v>
      </c>
      <c r="Z2065" s="152" t="s">
        <v>1327</v>
      </c>
    </row>
    <row r="2066" spans="1:26" x14ac:dyDescent="0.2">
      <c r="A2066" s="152" t="s">
        <v>3155</v>
      </c>
      <c r="B2066" s="152">
        <v>0</v>
      </c>
      <c r="C2066" s="151">
        <v>43510</v>
      </c>
      <c r="D2066" s="152">
        <v>0.30684899999999998</v>
      </c>
      <c r="E2066" s="152" t="s">
        <v>1325</v>
      </c>
      <c r="F2066" s="152" t="s">
        <v>1326</v>
      </c>
      <c r="G2066" s="152"/>
      <c r="H2066" s="152"/>
      <c r="I2066" s="151" t="s">
        <v>1327</v>
      </c>
      <c r="J2066" s="152" t="s">
        <v>1327</v>
      </c>
      <c r="K2066" s="152" t="s">
        <v>1327</v>
      </c>
      <c r="L2066" s="152" t="s">
        <v>1327</v>
      </c>
      <c r="M2066" s="152" t="s">
        <v>1327</v>
      </c>
      <c r="N2066" s="152" t="s">
        <v>1327</v>
      </c>
      <c r="O2066" s="152">
        <v>2.2241300000000002</v>
      </c>
      <c r="P2066" s="152">
        <v>62.919848999999999</v>
      </c>
      <c r="Q2066" s="152">
        <v>2.2241300000000002</v>
      </c>
      <c r="R2066" s="152" t="s">
        <v>1327</v>
      </c>
      <c r="S2066" s="152">
        <v>99.322153</v>
      </c>
      <c r="T2066" s="152">
        <v>0</v>
      </c>
      <c r="U2066" s="152">
        <v>0.30476900000000001</v>
      </c>
      <c r="V2066" s="152">
        <v>0.18576899999999999</v>
      </c>
      <c r="W2066" s="152">
        <v>1000</v>
      </c>
      <c r="X2066" s="152" t="s">
        <v>23</v>
      </c>
      <c r="Y2066" s="152" t="s">
        <v>1328</v>
      </c>
      <c r="Z2066" s="152" t="s">
        <v>1327</v>
      </c>
    </row>
    <row r="2067" spans="1:26" x14ac:dyDescent="0.2">
      <c r="A2067" s="152" t="s">
        <v>3156</v>
      </c>
      <c r="B2067" s="152">
        <v>0</v>
      </c>
      <c r="C2067" s="151">
        <v>43517</v>
      </c>
      <c r="D2067" s="152">
        <v>0.32602700000000001</v>
      </c>
      <c r="E2067" s="152" t="s">
        <v>1325</v>
      </c>
      <c r="F2067" s="152" t="s">
        <v>1326</v>
      </c>
      <c r="G2067" s="152"/>
      <c r="H2067" s="152"/>
      <c r="I2067" s="151">
        <v>43341</v>
      </c>
      <c r="J2067" s="152">
        <v>2.25</v>
      </c>
      <c r="K2067" s="152" t="s">
        <v>1327</v>
      </c>
      <c r="L2067" s="152" t="s">
        <v>1327</v>
      </c>
      <c r="M2067" s="152" t="s">
        <v>1327</v>
      </c>
      <c r="N2067" s="152" t="s">
        <v>1327</v>
      </c>
      <c r="O2067" s="152">
        <v>2.2414849999999999</v>
      </c>
      <c r="P2067" s="152">
        <v>62.673329000000003</v>
      </c>
      <c r="Q2067" s="152">
        <v>2.2414849999999999</v>
      </c>
      <c r="R2067" s="152" t="s">
        <v>1327</v>
      </c>
      <c r="S2067" s="152">
        <v>99.274516000000006</v>
      </c>
      <c r="T2067" s="152">
        <v>0</v>
      </c>
      <c r="U2067" s="152">
        <v>0.32366200000000001</v>
      </c>
      <c r="V2067" s="152">
        <v>0.20951400000000001</v>
      </c>
      <c r="W2067" s="152">
        <v>1000</v>
      </c>
      <c r="X2067" s="152" t="s">
        <v>23</v>
      </c>
      <c r="Y2067" s="152" t="s">
        <v>1328</v>
      </c>
      <c r="Z2067" s="152" t="s">
        <v>1327</v>
      </c>
    </row>
    <row r="2068" spans="1:26" x14ac:dyDescent="0.2">
      <c r="A2068" s="152" t="s">
        <v>3157</v>
      </c>
      <c r="B2068" s="152">
        <v>0</v>
      </c>
      <c r="C2068" s="151">
        <v>43573</v>
      </c>
      <c r="D2068" s="152">
        <v>0.47945199999999999</v>
      </c>
      <c r="E2068" s="152" t="s">
        <v>1325</v>
      </c>
      <c r="F2068" s="152" t="s">
        <v>1326</v>
      </c>
      <c r="G2068" s="152"/>
      <c r="H2068" s="152"/>
      <c r="I2068" s="152">
        <v>43391</v>
      </c>
      <c r="J2068" s="152">
        <v>2.2999999999999998</v>
      </c>
      <c r="K2068" s="152" t="s">
        <v>1327</v>
      </c>
      <c r="L2068" s="152" t="s">
        <v>1327</v>
      </c>
      <c r="M2068" s="152" t="s">
        <v>1327</v>
      </c>
      <c r="N2068" s="152" t="s">
        <v>1327</v>
      </c>
      <c r="O2068" s="152">
        <v>2.3066659999999999</v>
      </c>
      <c r="P2068" s="152">
        <v>58.295326000000003</v>
      </c>
      <c r="Q2068" s="152">
        <v>2.3066659999999999</v>
      </c>
      <c r="R2068" s="152" t="s">
        <v>1327</v>
      </c>
      <c r="S2068" s="152">
        <v>98.906160999999997</v>
      </c>
      <c r="T2068" s="152">
        <v>0</v>
      </c>
      <c r="U2068" s="152">
        <v>0.47420800000000002</v>
      </c>
      <c r="V2068" s="152">
        <v>0.44974599999999998</v>
      </c>
      <c r="W2068" s="152">
        <v>1000</v>
      </c>
      <c r="X2068" s="152" t="s">
        <v>23</v>
      </c>
      <c r="Y2068" s="152" t="s">
        <v>1328</v>
      </c>
      <c r="Z2068" s="152" t="s">
        <v>1327</v>
      </c>
    </row>
    <row r="2069" spans="1:26" x14ac:dyDescent="0.2">
      <c r="A2069" s="152" t="s">
        <v>3158</v>
      </c>
      <c r="B2069" s="152">
        <v>0</v>
      </c>
      <c r="C2069" s="151">
        <v>43469</v>
      </c>
      <c r="D2069" s="152">
        <v>0.194521</v>
      </c>
      <c r="E2069" s="152" t="s">
        <v>1325</v>
      </c>
      <c r="F2069" s="152" t="s">
        <v>1326</v>
      </c>
      <c r="G2069" s="152"/>
      <c r="H2069" s="152"/>
      <c r="I2069" s="152" t="s">
        <v>1327</v>
      </c>
      <c r="J2069" s="152" t="s">
        <v>1327</v>
      </c>
      <c r="K2069" s="152" t="s">
        <v>1327</v>
      </c>
      <c r="L2069" s="152" t="s">
        <v>1327</v>
      </c>
      <c r="M2069" s="152" t="s">
        <v>1327</v>
      </c>
      <c r="N2069" s="152" t="s">
        <v>1327</v>
      </c>
      <c r="O2069" s="152">
        <v>1.7782020000000001</v>
      </c>
      <c r="P2069" s="152">
        <v>33.059995000000001</v>
      </c>
      <c r="Q2069" s="152">
        <v>1.7782020000000001</v>
      </c>
      <c r="R2069" s="152" t="s">
        <v>1327</v>
      </c>
      <c r="S2069" s="152">
        <v>99.655294999999995</v>
      </c>
      <c r="T2069" s="152">
        <v>0</v>
      </c>
      <c r="U2069" s="152">
        <v>0.19384999999999999</v>
      </c>
      <c r="V2069" s="152">
        <v>7.5156000000000001E-2</v>
      </c>
      <c r="W2069" s="152">
        <v>1000</v>
      </c>
      <c r="X2069" s="152" t="s">
        <v>23</v>
      </c>
      <c r="Y2069" s="152" t="s">
        <v>1921</v>
      </c>
      <c r="Z2069" s="152" t="s">
        <v>1327</v>
      </c>
    </row>
    <row r="2070" spans="1:26" x14ac:dyDescent="0.2">
      <c r="A2070" s="152" t="s">
        <v>3159</v>
      </c>
      <c r="B2070" s="152">
        <v>0</v>
      </c>
      <c r="C2070" s="151">
        <v>43502</v>
      </c>
      <c r="D2070" s="152">
        <v>0.28493200000000002</v>
      </c>
      <c r="E2070" s="152" t="s">
        <v>1325</v>
      </c>
      <c r="F2070" s="152" t="s">
        <v>1326</v>
      </c>
      <c r="G2070" s="152"/>
      <c r="H2070" s="152"/>
      <c r="I2070" s="152" t="s">
        <v>1327</v>
      </c>
      <c r="J2070" s="152" t="s">
        <v>1327</v>
      </c>
      <c r="K2070" s="152" t="s">
        <v>1327</v>
      </c>
      <c r="L2070" s="152" t="s">
        <v>1327</v>
      </c>
      <c r="M2070" s="152" t="s">
        <v>1327</v>
      </c>
      <c r="N2070" s="152" t="s">
        <v>1327</v>
      </c>
      <c r="O2070" s="152">
        <v>1.889284</v>
      </c>
      <c r="P2070" s="152">
        <v>31.449745</v>
      </c>
      <c r="Q2070" s="152">
        <v>1.889284</v>
      </c>
      <c r="R2070" s="152" t="s">
        <v>1327</v>
      </c>
      <c r="S2070" s="152">
        <v>99.464566000000005</v>
      </c>
      <c r="T2070" s="152">
        <v>0</v>
      </c>
      <c r="U2070" s="152">
        <v>0.28340599999999999</v>
      </c>
      <c r="V2070" s="152">
        <v>0.160638</v>
      </c>
      <c r="W2070" s="152">
        <v>1000</v>
      </c>
      <c r="X2070" s="152" t="s">
        <v>23</v>
      </c>
      <c r="Y2070" s="152" t="s">
        <v>1921</v>
      </c>
      <c r="Z2070" s="152" t="s">
        <v>1327</v>
      </c>
    </row>
    <row r="2071" spans="1:26" x14ac:dyDescent="0.2">
      <c r="A2071" s="152" t="s">
        <v>3160</v>
      </c>
      <c r="B2071" s="152">
        <v>0</v>
      </c>
      <c r="C2071" s="151">
        <v>43609</v>
      </c>
      <c r="D2071" s="152">
        <v>0.57808199999999998</v>
      </c>
      <c r="E2071" s="152" t="s">
        <v>1325</v>
      </c>
      <c r="F2071" s="152" t="s">
        <v>1326</v>
      </c>
      <c r="G2071" s="152"/>
      <c r="H2071" s="152"/>
      <c r="I2071" s="152" t="s">
        <v>1327</v>
      </c>
      <c r="J2071" s="152" t="s">
        <v>1327</v>
      </c>
      <c r="K2071" s="152" t="s">
        <v>1327</v>
      </c>
      <c r="L2071" s="152" t="s">
        <v>1327</v>
      </c>
      <c r="M2071" s="152" t="s">
        <v>1327</v>
      </c>
      <c r="N2071" s="152" t="s">
        <v>1327</v>
      </c>
      <c r="O2071" s="152">
        <v>2.0792510000000002</v>
      </c>
      <c r="P2071" s="152">
        <v>31.566026000000001</v>
      </c>
      <c r="Q2071" s="152">
        <v>2.0792510000000002</v>
      </c>
      <c r="R2071" s="152" t="s">
        <v>1327</v>
      </c>
      <c r="S2071" s="152">
        <v>98.812297999999998</v>
      </c>
      <c r="T2071" s="152">
        <v>0</v>
      </c>
      <c r="U2071" s="152">
        <v>0.57121599999999995</v>
      </c>
      <c r="V2071" s="152">
        <v>0.65257600000000004</v>
      </c>
      <c r="W2071" s="152">
        <v>1000</v>
      </c>
      <c r="X2071" s="152" t="s">
        <v>23</v>
      </c>
      <c r="Y2071" s="152" t="s">
        <v>1921</v>
      </c>
      <c r="Z2071" s="152" t="s">
        <v>1327</v>
      </c>
    </row>
    <row r="2072" spans="1:26" x14ac:dyDescent="0.2">
      <c r="A2072" s="152" t="s">
        <v>3161</v>
      </c>
      <c r="B2072" s="152">
        <v>0</v>
      </c>
      <c r="C2072" s="151">
        <v>43437</v>
      </c>
      <c r="D2072" s="152">
        <v>0.106849</v>
      </c>
      <c r="E2072" s="152" t="s">
        <v>1325</v>
      </c>
      <c r="F2072" s="152" t="s">
        <v>1326</v>
      </c>
      <c r="G2072" s="152"/>
      <c r="H2072" s="152"/>
      <c r="I2072" s="152" t="s">
        <v>1327</v>
      </c>
      <c r="J2072" s="152" t="s">
        <v>1327</v>
      </c>
      <c r="K2072" s="152" t="s">
        <v>1327</v>
      </c>
      <c r="L2072" s="152" t="s">
        <v>1327</v>
      </c>
      <c r="M2072" s="152" t="s">
        <v>1327</v>
      </c>
      <c r="N2072" s="152" t="s">
        <v>1327</v>
      </c>
      <c r="O2072" s="152">
        <v>1.6115889999999999</v>
      </c>
      <c r="P2072" s="152">
        <v>31.560654</v>
      </c>
      <c r="Q2072" s="152">
        <v>1.6115889999999999</v>
      </c>
      <c r="R2072" s="152" t="s">
        <v>1327</v>
      </c>
      <c r="S2072" s="152">
        <v>99.828098999999995</v>
      </c>
      <c r="T2072" s="152">
        <v>0</v>
      </c>
      <c r="U2072" s="152">
        <v>0.106666</v>
      </c>
      <c r="V2072" s="152">
        <v>2.2755000000000001E-2</v>
      </c>
      <c r="W2072" s="152">
        <v>1000</v>
      </c>
      <c r="X2072" s="152" t="s">
        <v>23</v>
      </c>
      <c r="Y2072" s="152" t="s">
        <v>1328</v>
      </c>
      <c r="Z2072" s="152" t="s">
        <v>1327</v>
      </c>
    </row>
    <row r="2073" spans="1:26" x14ac:dyDescent="0.2">
      <c r="A2073" s="152" t="s">
        <v>3162</v>
      </c>
      <c r="B2073" s="152">
        <v>0</v>
      </c>
      <c r="C2073" s="151">
        <v>43410</v>
      </c>
      <c r="D2073" s="152">
        <v>3.2877000000000003E-2</v>
      </c>
      <c r="E2073" s="152" t="s">
        <v>1325</v>
      </c>
      <c r="F2073" s="152" t="s">
        <v>1326</v>
      </c>
      <c r="G2073" s="152"/>
      <c r="H2073" s="152" t="s">
        <v>1276</v>
      </c>
      <c r="I2073" s="152" t="s">
        <v>1327</v>
      </c>
      <c r="J2073" s="152" t="s">
        <v>1327</v>
      </c>
      <c r="K2073" s="152" t="s">
        <v>1327</v>
      </c>
      <c r="L2073" s="152" t="s">
        <v>1327</v>
      </c>
      <c r="M2073" s="152" t="s">
        <v>1327</v>
      </c>
      <c r="N2073" s="152" t="s">
        <v>1327</v>
      </c>
      <c r="O2073" s="152">
        <v>1.507374</v>
      </c>
      <c r="P2073" s="152">
        <v>34.632742999999998</v>
      </c>
      <c r="Q2073" s="152">
        <v>1.507374</v>
      </c>
      <c r="R2073" s="152" t="s">
        <v>1327</v>
      </c>
      <c r="S2073" s="152">
        <v>99.950467000000003</v>
      </c>
      <c r="T2073" s="152">
        <v>0</v>
      </c>
      <c r="U2073" s="152">
        <v>3.286E-2</v>
      </c>
      <c r="V2073" s="152">
        <v>2.16E-3</v>
      </c>
      <c r="W2073" s="152">
        <v>1000</v>
      </c>
      <c r="X2073" s="152" t="s">
        <v>23</v>
      </c>
      <c r="Y2073" s="152" t="s">
        <v>1328</v>
      </c>
      <c r="Z2073" s="152" t="s">
        <v>1327</v>
      </c>
    </row>
    <row r="2074" spans="1:26" x14ac:dyDescent="0.2">
      <c r="A2074" s="152" t="s">
        <v>3163</v>
      </c>
      <c r="B2074" s="152">
        <v>0</v>
      </c>
      <c r="C2074" s="151">
        <v>43412</v>
      </c>
      <c r="D2074" s="152">
        <v>3.8356000000000001E-2</v>
      </c>
      <c r="E2074" s="152" t="s">
        <v>1325</v>
      </c>
      <c r="F2074" s="152" t="s">
        <v>1326</v>
      </c>
      <c r="G2074" s="152"/>
      <c r="H2074" s="152" t="s">
        <v>1276</v>
      </c>
      <c r="I2074" s="152" t="s">
        <v>1327</v>
      </c>
      <c r="J2074" s="152" t="s">
        <v>1327</v>
      </c>
      <c r="K2074" s="152" t="s">
        <v>1327</v>
      </c>
      <c r="L2074" s="152" t="s">
        <v>1327</v>
      </c>
      <c r="M2074" s="152" t="s">
        <v>1327</v>
      </c>
      <c r="N2074" s="152" t="s">
        <v>1327</v>
      </c>
      <c r="O2074" s="152">
        <v>1.5071330000000001</v>
      </c>
      <c r="P2074" s="152">
        <v>33.608387</v>
      </c>
      <c r="Q2074" s="152">
        <v>1.5071330000000001</v>
      </c>
      <c r="R2074" s="152" t="s">
        <v>1327</v>
      </c>
      <c r="S2074" s="152">
        <v>99.942226000000005</v>
      </c>
      <c r="T2074" s="152">
        <v>0</v>
      </c>
      <c r="U2074" s="152">
        <v>3.8334E-2</v>
      </c>
      <c r="V2074" s="152">
        <v>2.9390000000000002E-3</v>
      </c>
      <c r="W2074" s="152">
        <v>1000</v>
      </c>
      <c r="X2074" s="152" t="s">
        <v>23</v>
      </c>
      <c r="Y2074" s="152" t="s">
        <v>1328</v>
      </c>
      <c r="Z2074" s="152" t="s">
        <v>1327</v>
      </c>
    </row>
    <row r="2075" spans="1:26" x14ac:dyDescent="0.2">
      <c r="A2075" s="152" t="s">
        <v>3164</v>
      </c>
      <c r="B2075" s="152">
        <v>0</v>
      </c>
      <c r="C2075" s="151">
        <v>43417</v>
      </c>
      <c r="D2075" s="152">
        <v>5.2054999999999997E-2</v>
      </c>
      <c r="E2075" s="152" t="s">
        <v>1325</v>
      </c>
      <c r="F2075" s="152" t="s">
        <v>1326</v>
      </c>
      <c r="G2075" s="152"/>
      <c r="H2075" s="152" t="s">
        <v>1276</v>
      </c>
      <c r="I2075" s="151" t="s">
        <v>1327</v>
      </c>
      <c r="J2075" s="152" t="s">
        <v>1327</v>
      </c>
      <c r="K2075" s="152" t="s">
        <v>1327</v>
      </c>
      <c r="L2075" s="152" t="s">
        <v>1327</v>
      </c>
      <c r="M2075" s="152" t="s">
        <v>1327</v>
      </c>
      <c r="N2075" s="152" t="s">
        <v>1327</v>
      </c>
      <c r="O2075" s="152">
        <v>1.5066189999999999</v>
      </c>
      <c r="P2075" s="152">
        <v>31.041447000000002</v>
      </c>
      <c r="Q2075" s="152">
        <v>1.5066189999999999</v>
      </c>
      <c r="R2075" s="152" t="s">
        <v>1327</v>
      </c>
      <c r="S2075" s="152">
        <v>99.921634999999995</v>
      </c>
      <c r="T2075" s="152">
        <v>0</v>
      </c>
      <c r="U2075" s="152">
        <v>5.2013999999999998E-2</v>
      </c>
      <c r="V2075" s="152">
        <v>5.411E-3</v>
      </c>
      <c r="W2075" s="152">
        <v>1000</v>
      </c>
      <c r="X2075" s="152" t="s">
        <v>23</v>
      </c>
      <c r="Y2075" s="152" t="s">
        <v>1328</v>
      </c>
      <c r="Z2075" s="152" t="s">
        <v>1327</v>
      </c>
    </row>
    <row r="2076" spans="1:26" x14ac:dyDescent="0.2">
      <c r="A2076" s="152" t="s">
        <v>3165</v>
      </c>
      <c r="B2076" s="152">
        <v>0</v>
      </c>
      <c r="C2076" s="151">
        <v>43419</v>
      </c>
      <c r="D2076" s="152">
        <v>5.7534000000000002E-2</v>
      </c>
      <c r="E2076" s="152" t="s">
        <v>1325</v>
      </c>
      <c r="F2076" s="152" t="s">
        <v>1326</v>
      </c>
      <c r="G2076" s="152"/>
      <c r="H2076" s="152"/>
      <c r="I2076" s="151" t="s">
        <v>1327</v>
      </c>
      <c r="J2076" s="152" t="s">
        <v>1327</v>
      </c>
      <c r="K2076" s="152" t="s">
        <v>1327</v>
      </c>
      <c r="L2076" s="152" t="s">
        <v>1327</v>
      </c>
      <c r="M2076" s="152" t="s">
        <v>1327</v>
      </c>
      <c r="N2076" s="152" t="s">
        <v>1327</v>
      </c>
      <c r="O2076" s="152">
        <v>1.538794</v>
      </c>
      <c r="P2076" s="152">
        <v>33.294933</v>
      </c>
      <c r="Q2076" s="152">
        <v>1.538794</v>
      </c>
      <c r="R2076" s="152" t="s">
        <v>1327</v>
      </c>
      <c r="S2076" s="152">
        <v>99.911545000000004</v>
      </c>
      <c r="T2076" s="152">
        <v>0</v>
      </c>
      <c r="U2076" s="152">
        <v>5.7482999999999999E-2</v>
      </c>
      <c r="V2076" s="152">
        <v>6.6090000000000003E-3</v>
      </c>
      <c r="W2076" s="152">
        <v>1000</v>
      </c>
      <c r="X2076" s="152" t="s">
        <v>23</v>
      </c>
      <c r="Y2076" s="152" t="s">
        <v>1328</v>
      </c>
      <c r="Z2076" s="152" t="s">
        <v>1327</v>
      </c>
    </row>
    <row r="2077" spans="1:26" x14ac:dyDescent="0.2">
      <c r="A2077" s="152" t="s">
        <v>3166</v>
      </c>
      <c r="B2077" s="152">
        <v>0</v>
      </c>
      <c r="C2077" s="151">
        <v>43424</v>
      </c>
      <c r="D2077" s="152">
        <v>7.1233000000000005E-2</v>
      </c>
      <c r="E2077" s="152" t="s">
        <v>1325</v>
      </c>
      <c r="F2077" s="152" t="s">
        <v>1326</v>
      </c>
      <c r="G2077" s="152"/>
      <c r="H2077" s="152" t="s">
        <v>1276</v>
      </c>
      <c r="I2077" s="151" t="s">
        <v>1327</v>
      </c>
      <c r="J2077" s="152" t="s">
        <v>1327</v>
      </c>
      <c r="K2077" s="152" t="s">
        <v>1327</v>
      </c>
      <c r="L2077" s="152" t="s">
        <v>1327</v>
      </c>
      <c r="M2077" s="152" t="s">
        <v>1327</v>
      </c>
      <c r="N2077" s="152" t="s">
        <v>1327</v>
      </c>
      <c r="O2077" s="152">
        <v>1.5394950000000001</v>
      </c>
      <c r="P2077" s="152">
        <v>30.832156000000001</v>
      </c>
      <c r="Q2077" s="152">
        <v>1.5394950000000001</v>
      </c>
      <c r="R2077" s="152" t="s">
        <v>1327</v>
      </c>
      <c r="S2077" s="152">
        <v>99.890456999999998</v>
      </c>
      <c r="T2077" s="152">
        <v>0</v>
      </c>
      <c r="U2077" s="152">
        <v>7.1154999999999996E-2</v>
      </c>
      <c r="V2077" s="152">
        <v>1.0126E-2</v>
      </c>
      <c r="W2077" s="152">
        <v>1000</v>
      </c>
      <c r="X2077" s="152" t="s">
        <v>23</v>
      </c>
      <c r="Y2077" s="152" t="s">
        <v>1328</v>
      </c>
      <c r="Z2077" s="152" t="s">
        <v>1327</v>
      </c>
    </row>
    <row r="2078" spans="1:26" x14ac:dyDescent="0.2">
      <c r="A2078" s="152" t="s">
        <v>3167</v>
      </c>
      <c r="B2078" s="152">
        <v>0</v>
      </c>
      <c r="C2078" s="151">
        <v>43431</v>
      </c>
      <c r="D2078" s="152">
        <v>9.0411000000000005E-2</v>
      </c>
      <c r="E2078" s="152" t="s">
        <v>1325</v>
      </c>
      <c r="F2078" s="152" t="s">
        <v>1326</v>
      </c>
      <c r="G2078" s="152"/>
      <c r="H2078" s="152"/>
      <c r="I2078" s="151" t="s">
        <v>1327</v>
      </c>
      <c r="J2078" s="152" t="s">
        <v>1327</v>
      </c>
      <c r="K2078" s="152" t="s">
        <v>1327</v>
      </c>
      <c r="L2078" s="152" t="s">
        <v>1327</v>
      </c>
      <c r="M2078" s="152" t="s">
        <v>1327</v>
      </c>
      <c r="N2078" s="152" t="s">
        <v>1327</v>
      </c>
      <c r="O2078" s="152">
        <v>1.578198</v>
      </c>
      <c r="P2078" s="152">
        <v>31.206527999999999</v>
      </c>
      <c r="Q2078" s="152">
        <v>1.578198</v>
      </c>
      <c r="R2078" s="152" t="s">
        <v>1327</v>
      </c>
      <c r="S2078" s="152">
        <v>99.857517000000001</v>
      </c>
      <c r="T2078" s="152">
        <v>0</v>
      </c>
      <c r="U2078" s="152">
        <v>9.0282000000000001E-2</v>
      </c>
      <c r="V2078" s="152">
        <v>1.6302000000000001E-2</v>
      </c>
      <c r="W2078" s="152">
        <v>1000</v>
      </c>
      <c r="X2078" s="152" t="s">
        <v>23</v>
      </c>
      <c r="Y2078" s="152" t="s">
        <v>1328</v>
      </c>
      <c r="Z2078" s="152" t="s">
        <v>1327</v>
      </c>
    </row>
    <row r="2079" spans="1:26" x14ac:dyDescent="0.2">
      <c r="A2079" s="152" t="s">
        <v>3168</v>
      </c>
      <c r="B2079" s="152">
        <v>0</v>
      </c>
      <c r="C2079" s="151">
        <v>43399</v>
      </c>
      <c r="D2079" s="152">
        <v>2.7399999999999998E-3</v>
      </c>
      <c r="E2079" s="152" t="s">
        <v>1325</v>
      </c>
      <c r="F2079" s="152" t="s">
        <v>1326</v>
      </c>
      <c r="G2079" s="152"/>
      <c r="H2079" s="152"/>
      <c r="I2079" s="151" t="s">
        <v>1327</v>
      </c>
      <c r="J2079" s="152" t="s">
        <v>1327</v>
      </c>
      <c r="K2079" s="152" t="s">
        <v>1327</v>
      </c>
      <c r="L2079" s="152" t="s">
        <v>1327</v>
      </c>
      <c r="M2079" s="152" t="s">
        <v>1327</v>
      </c>
      <c r="N2079" s="152" t="s">
        <v>1327</v>
      </c>
      <c r="O2079" s="152">
        <v>1.509047</v>
      </c>
      <c r="P2079" s="152">
        <v>40.212294999999997</v>
      </c>
      <c r="Q2079" s="152">
        <v>1.509047</v>
      </c>
      <c r="R2079" s="152" t="s">
        <v>1327</v>
      </c>
      <c r="S2079" s="152">
        <v>99.995866000000007</v>
      </c>
      <c r="T2079" s="152">
        <v>0</v>
      </c>
      <c r="U2079" s="152">
        <v>2.7399999999999998E-3</v>
      </c>
      <c r="V2079" s="152">
        <v>1.5E-5</v>
      </c>
      <c r="W2079" s="152">
        <v>1000</v>
      </c>
      <c r="X2079" s="152" t="s">
        <v>23</v>
      </c>
      <c r="Y2079" s="152" t="s">
        <v>1328</v>
      </c>
      <c r="Z2079" s="152" t="s">
        <v>1327</v>
      </c>
    </row>
    <row r="2080" spans="1:26" x14ac:dyDescent="0.2">
      <c r="A2080" s="152" t="s">
        <v>3169</v>
      </c>
      <c r="B2080" s="152">
        <v>0</v>
      </c>
      <c r="C2080" s="151">
        <v>43399</v>
      </c>
      <c r="D2080" s="152">
        <v>2.7399999999999998E-3</v>
      </c>
      <c r="E2080" s="152" t="s">
        <v>1325</v>
      </c>
      <c r="F2080" s="152" t="s">
        <v>1326</v>
      </c>
      <c r="G2080" s="152"/>
      <c r="H2080" s="152" t="s">
        <v>1276</v>
      </c>
      <c r="I2080" s="151" t="s">
        <v>1327</v>
      </c>
      <c r="J2080" s="152" t="s">
        <v>1327</v>
      </c>
      <c r="K2080" s="152" t="s">
        <v>1327</v>
      </c>
      <c r="L2080" s="152" t="s">
        <v>1327</v>
      </c>
      <c r="M2080" s="152" t="s">
        <v>1327</v>
      </c>
      <c r="N2080" s="152" t="s">
        <v>1327</v>
      </c>
      <c r="O2080" s="152">
        <v>1.509047</v>
      </c>
      <c r="P2080" s="152">
        <v>40.212294999999997</v>
      </c>
      <c r="Q2080" s="152">
        <v>1.509047</v>
      </c>
      <c r="R2080" s="152" t="s">
        <v>1327</v>
      </c>
      <c r="S2080" s="152">
        <v>99.995866000000007</v>
      </c>
      <c r="T2080" s="152">
        <v>0</v>
      </c>
      <c r="U2080" s="152">
        <v>2.7399999999999998E-3</v>
      </c>
      <c r="V2080" s="152">
        <v>1.5E-5</v>
      </c>
      <c r="W2080" s="152">
        <v>1000</v>
      </c>
      <c r="X2080" s="152" t="s">
        <v>23</v>
      </c>
      <c r="Y2080" s="152" t="s">
        <v>1328</v>
      </c>
      <c r="Z2080" s="152" t="s">
        <v>1327</v>
      </c>
    </row>
    <row r="2081" spans="1:26" x14ac:dyDescent="0.2">
      <c r="A2081" s="152" t="s">
        <v>3170</v>
      </c>
      <c r="B2081" s="152">
        <v>0</v>
      </c>
      <c r="C2081" s="151">
        <v>43481</v>
      </c>
      <c r="D2081" s="152">
        <v>0.22739699999999999</v>
      </c>
      <c r="E2081" s="152" t="s">
        <v>1325</v>
      </c>
      <c r="F2081" s="152" t="s">
        <v>1326</v>
      </c>
      <c r="G2081" s="152"/>
      <c r="H2081" s="152"/>
      <c r="I2081" s="151" t="s">
        <v>1327</v>
      </c>
      <c r="J2081" s="152" t="s">
        <v>1327</v>
      </c>
      <c r="K2081" s="152" t="s">
        <v>1327</v>
      </c>
      <c r="L2081" s="152" t="s">
        <v>1327</v>
      </c>
      <c r="M2081" s="152" t="s">
        <v>1327</v>
      </c>
      <c r="N2081" s="152" t="s">
        <v>1327</v>
      </c>
      <c r="O2081" s="152">
        <v>1.6687860000000001</v>
      </c>
      <c r="P2081" s="152">
        <v>16.824254</v>
      </c>
      <c r="Q2081" s="152">
        <v>1.6687860000000001</v>
      </c>
      <c r="R2081" s="152" t="s">
        <v>1327</v>
      </c>
      <c r="S2081" s="152">
        <v>99.621956999999995</v>
      </c>
      <c r="T2081" s="152">
        <v>0</v>
      </c>
      <c r="U2081" s="152">
        <v>0.22653799999999999</v>
      </c>
      <c r="V2081" s="152">
        <v>0.10263899999999999</v>
      </c>
      <c r="W2081" s="152">
        <v>1000</v>
      </c>
      <c r="X2081" s="152" t="s">
        <v>23</v>
      </c>
      <c r="Y2081" s="152" t="s">
        <v>1328</v>
      </c>
      <c r="Z2081" s="152" t="s">
        <v>1327</v>
      </c>
    </row>
    <row r="2082" spans="1:26" x14ac:dyDescent="0.2">
      <c r="A2082" s="152" t="s">
        <v>3171</v>
      </c>
      <c r="B2082" s="152">
        <v>0</v>
      </c>
      <c r="C2082" s="151">
        <v>43490</v>
      </c>
      <c r="D2082" s="152">
        <v>0.25205499999999997</v>
      </c>
      <c r="E2082" s="152" t="s">
        <v>1325</v>
      </c>
      <c r="F2082" s="152" t="s">
        <v>1326</v>
      </c>
      <c r="G2082" s="152"/>
      <c r="H2082" s="152"/>
      <c r="I2082" s="151">
        <v>43306</v>
      </c>
      <c r="J2082" s="152">
        <v>3.5</v>
      </c>
      <c r="K2082" s="152" t="s">
        <v>1327</v>
      </c>
      <c r="L2082" s="152" t="s">
        <v>1327</v>
      </c>
      <c r="M2082" s="152" t="s">
        <v>1327</v>
      </c>
      <c r="N2082" s="152" t="s">
        <v>1327</v>
      </c>
      <c r="O2082" s="152">
        <v>3.5195699999999999</v>
      </c>
      <c r="P2082" s="152">
        <v>201.998514</v>
      </c>
      <c r="Q2082" s="152">
        <v>3.5195699999999999</v>
      </c>
      <c r="R2082" s="152" t="s">
        <v>1327</v>
      </c>
      <c r="S2082" s="152">
        <v>99.120676000000003</v>
      </c>
      <c r="T2082" s="152">
        <v>0</v>
      </c>
      <c r="U2082" s="152">
        <v>0.249838</v>
      </c>
      <c r="V2082" s="152">
        <v>0.124838</v>
      </c>
      <c r="W2082" s="152">
        <v>1000</v>
      </c>
      <c r="X2082" s="152" t="s">
        <v>23</v>
      </c>
      <c r="Y2082" s="152" t="s">
        <v>1328</v>
      </c>
      <c r="Z2082" s="152" t="s">
        <v>1327</v>
      </c>
    </row>
    <row r="2083" spans="1:26" x14ac:dyDescent="0.2">
      <c r="A2083" s="152" t="s">
        <v>3172</v>
      </c>
      <c r="B2083" s="152">
        <v>0</v>
      </c>
      <c r="C2083" s="151">
        <v>43518</v>
      </c>
      <c r="D2083" s="152">
        <v>0.32876699999999998</v>
      </c>
      <c r="E2083" s="152" t="s">
        <v>1325</v>
      </c>
      <c r="F2083" s="152" t="s">
        <v>1326</v>
      </c>
      <c r="G2083" s="152"/>
      <c r="H2083" s="152"/>
      <c r="I2083" s="151">
        <v>43334</v>
      </c>
      <c r="J2083" s="152">
        <v>3.5</v>
      </c>
      <c r="K2083" s="152" t="s">
        <v>1327</v>
      </c>
      <c r="L2083" s="152" t="s">
        <v>1327</v>
      </c>
      <c r="M2083" s="152" t="s">
        <v>1327</v>
      </c>
      <c r="N2083" s="152" t="s">
        <v>1327</v>
      </c>
      <c r="O2083" s="152">
        <v>3.5892849999999998</v>
      </c>
      <c r="P2083" s="152">
        <v>199.83093299999999</v>
      </c>
      <c r="Q2083" s="152">
        <v>3.5892849999999998</v>
      </c>
      <c r="R2083" s="152" t="s">
        <v>1327</v>
      </c>
      <c r="S2083" s="152">
        <v>98.833724000000004</v>
      </c>
      <c r="T2083" s="152">
        <v>0</v>
      </c>
      <c r="U2083" s="152">
        <v>0.32493300000000003</v>
      </c>
      <c r="V2083" s="152">
        <v>0.21116299999999999</v>
      </c>
      <c r="W2083" s="152">
        <v>1000</v>
      </c>
      <c r="X2083" s="152" t="s">
        <v>23</v>
      </c>
      <c r="Y2083" s="152" t="s">
        <v>1328</v>
      </c>
      <c r="Z2083" s="152" t="s">
        <v>1327</v>
      </c>
    </row>
    <row r="2084" spans="1:26" x14ac:dyDescent="0.2">
      <c r="A2084" s="152" t="s">
        <v>3173</v>
      </c>
      <c r="B2084" s="152">
        <v>3.85</v>
      </c>
      <c r="C2084" s="151">
        <v>43538</v>
      </c>
      <c r="D2084" s="152">
        <v>0.38356200000000001</v>
      </c>
      <c r="E2084" s="152" t="s">
        <v>1325</v>
      </c>
      <c r="F2084" s="152" t="s">
        <v>1326</v>
      </c>
      <c r="G2084" s="152"/>
      <c r="H2084" s="152"/>
      <c r="I2084" s="152">
        <v>43357</v>
      </c>
      <c r="J2084" s="152">
        <v>3.5</v>
      </c>
      <c r="K2084" s="152" t="s">
        <v>1327</v>
      </c>
      <c r="L2084" s="152" t="s">
        <v>1327</v>
      </c>
      <c r="M2084" s="152" t="s">
        <v>1327</v>
      </c>
      <c r="N2084" s="152" t="s">
        <v>1327</v>
      </c>
      <c r="O2084" s="152">
        <v>3.6384089999999998</v>
      </c>
      <c r="P2084" s="152">
        <v>199.82708199999999</v>
      </c>
      <c r="Q2084" s="152">
        <v>3.6384089999999998</v>
      </c>
      <c r="R2084" s="152" t="s">
        <v>1327</v>
      </c>
      <c r="S2084" s="152">
        <v>100.074089</v>
      </c>
      <c r="T2084" s="152">
        <v>0.43246600000000002</v>
      </c>
      <c r="U2084" s="152">
        <v>0.37828299999999998</v>
      </c>
      <c r="V2084" s="152">
        <v>0.28619499999999998</v>
      </c>
      <c r="W2084" s="152">
        <v>1000</v>
      </c>
      <c r="X2084" s="152" t="s">
        <v>23</v>
      </c>
      <c r="Y2084" s="152" t="s">
        <v>1328</v>
      </c>
      <c r="Z2084" s="152" t="s">
        <v>1327</v>
      </c>
    </row>
    <row r="2085" spans="1:26" x14ac:dyDescent="0.2">
      <c r="A2085" s="152" t="s">
        <v>3174</v>
      </c>
      <c r="B2085" s="152">
        <v>0</v>
      </c>
      <c r="C2085" s="151">
        <v>43544</v>
      </c>
      <c r="D2085" s="152">
        <v>0.4</v>
      </c>
      <c r="E2085" s="152" t="s">
        <v>1325</v>
      </c>
      <c r="F2085" s="152" t="s">
        <v>1326</v>
      </c>
      <c r="G2085" s="152"/>
      <c r="H2085" s="152"/>
      <c r="I2085" s="152">
        <v>43363</v>
      </c>
      <c r="J2085" s="152">
        <v>3.5</v>
      </c>
      <c r="K2085" s="152" t="s">
        <v>1327</v>
      </c>
      <c r="L2085" s="152" t="s">
        <v>1327</v>
      </c>
      <c r="M2085" s="152" t="s">
        <v>1327</v>
      </c>
      <c r="N2085" s="152" t="s">
        <v>1327</v>
      </c>
      <c r="O2085" s="152">
        <v>3.6529880000000001</v>
      </c>
      <c r="P2085" s="152">
        <v>200.03174100000001</v>
      </c>
      <c r="Q2085" s="152">
        <v>3.6529880000000001</v>
      </c>
      <c r="R2085" s="152" t="s">
        <v>1327</v>
      </c>
      <c r="S2085" s="152">
        <v>98.559848000000002</v>
      </c>
      <c r="T2085" s="152">
        <v>0</v>
      </c>
      <c r="U2085" s="152">
        <v>0.39423900000000001</v>
      </c>
      <c r="V2085" s="152">
        <v>0.31084899999999999</v>
      </c>
      <c r="W2085" s="152">
        <v>1000</v>
      </c>
      <c r="X2085" s="152" t="s">
        <v>23</v>
      </c>
      <c r="Y2085" s="152" t="s">
        <v>1328</v>
      </c>
      <c r="Z2085" s="152" t="s">
        <v>1327</v>
      </c>
    </row>
    <row r="2086" spans="1:26" x14ac:dyDescent="0.2">
      <c r="A2086" s="152" t="s">
        <v>3175</v>
      </c>
      <c r="B2086" s="152">
        <v>0</v>
      </c>
      <c r="C2086" s="151">
        <v>43462</v>
      </c>
      <c r="D2086" s="152">
        <v>0.175342</v>
      </c>
      <c r="E2086" s="152" t="s">
        <v>1325</v>
      </c>
      <c r="F2086" s="152" t="s">
        <v>1326</v>
      </c>
      <c r="G2086" s="152"/>
      <c r="H2086" s="152"/>
      <c r="I2086" s="152" t="s">
        <v>1327</v>
      </c>
      <c r="J2086" s="152" t="s">
        <v>1327</v>
      </c>
      <c r="K2086" s="152" t="s">
        <v>1327</v>
      </c>
      <c r="L2086" s="152" t="s">
        <v>1327</v>
      </c>
      <c r="M2086" s="152" t="s">
        <v>1327</v>
      </c>
      <c r="N2086" s="152" t="s">
        <v>1327</v>
      </c>
      <c r="O2086" s="152">
        <v>1.7722599999999999</v>
      </c>
      <c r="P2086" s="152">
        <v>35.656007000000002</v>
      </c>
      <c r="Q2086" s="152">
        <v>1.7722599999999999</v>
      </c>
      <c r="R2086" s="152" t="s">
        <v>1327</v>
      </c>
      <c r="S2086" s="152">
        <v>99.690209999999993</v>
      </c>
      <c r="T2086" s="152">
        <v>0</v>
      </c>
      <c r="U2086" s="152">
        <v>0.17479900000000001</v>
      </c>
      <c r="V2086" s="152">
        <v>6.1109999999999998E-2</v>
      </c>
      <c r="W2086" s="152">
        <v>1000</v>
      </c>
      <c r="X2086" s="152" t="s">
        <v>23</v>
      </c>
      <c r="Y2086" s="152" t="s">
        <v>1921</v>
      </c>
      <c r="Z2086" s="152" t="s">
        <v>1327</v>
      </c>
    </row>
    <row r="2087" spans="1:26" x14ac:dyDescent="0.2">
      <c r="A2087" s="152" t="s">
        <v>3176</v>
      </c>
      <c r="B2087" s="152">
        <v>0</v>
      </c>
      <c r="C2087" s="151">
        <v>43420</v>
      </c>
      <c r="D2087" s="152">
        <v>6.0274000000000001E-2</v>
      </c>
      <c r="E2087" s="152" t="s">
        <v>1325</v>
      </c>
      <c r="F2087" s="152" t="s">
        <v>1326</v>
      </c>
      <c r="G2087" s="152"/>
      <c r="H2087" s="152"/>
      <c r="I2087" s="152" t="s">
        <v>1327</v>
      </c>
      <c r="J2087" s="152" t="s">
        <v>1327</v>
      </c>
      <c r="K2087" s="152" t="s">
        <v>1327</v>
      </c>
      <c r="L2087" s="152" t="s">
        <v>1327</v>
      </c>
      <c r="M2087" s="152" t="s">
        <v>1327</v>
      </c>
      <c r="N2087" s="152" t="s">
        <v>1327</v>
      </c>
      <c r="O2087" s="152">
        <v>1.5637099999999999</v>
      </c>
      <c r="P2087" s="152">
        <v>35.317042000000001</v>
      </c>
      <c r="Q2087" s="152">
        <v>1.5637099999999999</v>
      </c>
      <c r="R2087" s="152" t="s">
        <v>1327</v>
      </c>
      <c r="S2087" s="152">
        <v>99.905838000000003</v>
      </c>
      <c r="T2087" s="152">
        <v>0</v>
      </c>
      <c r="U2087" s="152">
        <v>6.0217E-2</v>
      </c>
      <c r="V2087" s="152">
        <v>7.2519999999999998E-3</v>
      </c>
      <c r="W2087" s="152">
        <v>1000</v>
      </c>
      <c r="X2087" s="152" t="s">
        <v>23</v>
      </c>
      <c r="Y2087" s="152" t="s">
        <v>1921</v>
      </c>
      <c r="Z2087" s="152" t="s">
        <v>1327</v>
      </c>
    </row>
    <row r="2088" spans="1:26" x14ac:dyDescent="0.2">
      <c r="A2088" s="152" t="s">
        <v>3177</v>
      </c>
      <c r="B2088" s="152">
        <v>0</v>
      </c>
      <c r="C2088" s="151">
        <v>43490</v>
      </c>
      <c r="D2088" s="152">
        <v>0.25205499999999997</v>
      </c>
      <c r="E2088" s="152" t="s">
        <v>1325</v>
      </c>
      <c r="F2088" s="152" t="s">
        <v>1326</v>
      </c>
      <c r="G2088" s="152"/>
      <c r="H2088" s="152"/>
      <c r="I2088" s="152" t="s">
        <v>1327</v>
      </c>
      <c r="J2088" s="152" t="s">
        <v>1327</v>
      </c>
      <c r="K2088" s="152" t="s">
        <v>1327</v>
      </c>
      <c r="L2088" s="152" t="s">
        <v>1327</v>
      </c>
      <c r="M2088" s="152" t="s">
        <v>1327</v>
      </c>
      <c r="N2088" s="152" t="s">
        <v>1327</v>
      </c>
      <c r="O2088" s="152">
        <v>1.8832230000000001</v>
      </c>
      <c r="P2088" s="152">
        <v>35.034733000000003</v>
      </c>
      <c r="Q2088" s="152">
        <v>1.8832230000000001</v>
      </c>
      <c r="R2088" s="152" t="s">
        <v>1327</v>
      </c>
      <c r="S2088" s="152">
        <v>99.527567000000005</v>
      </c>
      <c r="T2088" s="152">
        <v>0</v>
      </c>
      <c r="U2088" s="152">
        <v>0.25086399999999998</v>
      </c>
      <c r="V2088" s="152">
        <v>0.125865</v>
      </c>
      <c r="W2088" s="152">
        <v>1000</v>
      </c>
      <c r="X2088" s="152" t="s">
        <v>23</v>
      </c>
      <c r="Y2088" s="152" t="s">
        <v>1921</v>
      </c>
      <c r="Z2088" s="152" t="s">
        <v>1327</v>
      </c>
    </row>
    <row r="2089" spans="1:26" x14ac:dyDescent="0.2">
      <c r="A2089" s="152" t="s">
        <v>3178</v>
      </c>
      <c r="B2089" s="152">
        <v>0</v>
      </c>
      <c r="C2089" s="151">
        <v>43492</v>
      </c>
      <c r="D2089" s="152">
        <v>0.25753399999999999</v>
      </c>
      <c r="E2089" s="152" t="s">
        <v>1325</v>
      </c>
      <c r="F2089" s="152" t="s">
        <v>1326</v>
      </c>
      <c r="G2089" s="152"/>
      <c r="H2089" s="152"/>
      <c r="I2089" s="152" t="s">
        <v>1327</v>
      </c>
      <c r="J2089" s="152" t="s">
        <v>1327</v>
      </c>
      <c r="K2089" s="152" t="s">
        <v>1327</v>
      </c>
      <c r="L2089" s="152" t="s">
        <v>1327</v>
      </c>
      <c r="M2089" s="152" t="s">
        <v>1327</v>
      </c>
      <c r="N2089" s="152" t="s">
        <v>1327</v>
      </c>
      <c r="O2089" s="152">
        <v>1.8846000000000001</v>
      </c>
      <c r="P2089" s="152">
        <v>34.434460999999999</v>
      </c>
      <c r="Q2089" s="152">
        <v>1.8846000000000001</v>
      </c>
      <c r="R2089" s="152" t="s">
        <v>1327</v>
      </c>
      <c r="S2089" s="152">
        <v>99.516994999999994</v>
      </c>
      <c r="T2089" s="152">
        <v>0</v>
      </c>
      <c r="U2089" s="152">
        <v>0.25629000000000002</v>
      </c>
      <c r="V2089" s="152">
        <v>0.13136900000000001</v>
      </c>
      <c r="W2089" s="152">
        <v>1000</v>
      </c>
      <c r="X2089" s="152" t="s">
        <v>23</v>
      </c>
      <c r="Y2089" s="152" t="s">
        <v>1921</v>
      </c>
      <c r="Z2089" s="152" t="s">
        <v>1327</v>
      </c>
    </row>
    <row r="2090" spans="1:26" x14ac:dyDescent="0.2">
      <c r="A2090" s="152" t="s">
        <v>3179</v>
      </c>
      <c r="B2090" s="152">
        <v>0</v>
      </c>
      <c r="C2090" s="151">
        <v>43459</v>
      </c>
      <c r="D2090" s="152">
        <v>0.16712299999999999</v>
      </c>
      <c r="E2090" s="152" t="s">
        <v>1325</v>
      </c>
      <c r="F2090" s="152" t="s">
        <v>1326</v>
      </c>
      <c r="G2090" s="152"/>
      <c r="H2090" s="152"/>
      <c r="I2090" s="152" t="s">
        <v>1327</v>
      </c>
      <c r="J2090" s="152" t="s">
        <v>1327</v>
      </c>
      <c r="K2090" s="152" t="s">
        <v>1327</v>
      </c>
      <c r="L2090" s="152" t="s">
        <v>1327</v>
      </c>
      <c r="M2090" s="152" t="s">
        <v>1327</v>
      </c>
      <c r="N2090" s="152" t="s">
        <v>1327</v>
      </c>
      <c r="O2090" s="152">
        <v>2.934625</v>
      </c>
      <c r="P2090" s="152">
        <v>155.59702200000001</v>
      </c>
      <c r="Q2090" s="152">
        <v>2.934625</v>
      </c>
      <c r="R2090" s="152" t="s">
        <v>1327</v>
      </c>
      <c r="S2090" s="152">
        <v>99.511949000000001</v>
      </c>
      <c r="T2090" s="152">
        <v>0</v>
      </c>
      <c r="U2090" s="152">
        <v>0.16630800000000001</v>
      </c>
      <c r="V2090" s="152">
        <v>5.5315999999999997E-2</v>
      </c>
      <c r="W2090" s="152">
        <v>1000</v>
      </c>
      <c r="X2090" s="152" t="s">
        <v>23</v>
      </c>
      <c r="Y2090" s="152" t="s">
        <v>1328</v>
      </c>
      <c r="Z2090" s="152" t="s">
        <v>1327</v>
      </c>
    </row>
    <row r="2091" spans="1:26" x14ac:dyDescent="0.2">
      <c r="A2091" s="152" t="s">
        <v>3180</v>
      </c>
      <c r="B2091" s="152">
        <v>0</v>
      </c>
      <c r="C2091" s="151">
        <v>43472</v>
      </c>
      <c r="D2091" s="152">
        <v>0.20274</v>
      </c>
      <c r="E2091" s="152" t="s">
        <v>1325</v>
      </c>
      <c r="F2091" s="152" t="s">
        <v>1326</v>
      </c>
      <c r="G2091" s="152"/>
      <c r="H2091" s="152"/>
      <c r="I2091" s="152" t="s">
        <v>1327</v>
      </c>
      <c r="J2091" s="152" t="s">
        <v>1327</v>
      </c>
      <c r="K2091" s="152" t="s">
        <v>1327</v>
      </c>
      <c r="L2091" s="152" t="s">
        <v>1327</v>
      </c>
      <c r="M2091" s="152" t="s">
        <v>1327</v>
      </c>
      <c r="N2091" s="152" t="s">
        <v>1327</v>
      </c>
      <c r="O2091" s="152">
        <v>2.9971580000000002</v>
      </c>
      <c r="P2091" s="152">
        <v>155.96320900000001</v>
      </c>
      <c r="Q2091" s="152">
        <v>2.9971580000000002</v>
      </c>
      <c r="R2091" s="152" t="s">
        <v>1327</v>
      </c>
      <c r="S2091" s="152">
        <v>99.396027000000004</v>
      </c>
      <c r="T2091" s="152">
        <v>0</v>
      </c>
      <c r="U2091" s="152">
        <v>0.201515</v>
      </c>
      <c r="V2091" s="152">
        <v>8.1216999999999998E-2</v>
      </c>
      <c r="W2091" s="152">
        <v>1000</v>
      </c>
      <c r="X2091" s="152" t="s">
        <v>23</v>
      </c>
      <c r="Y2091" s="152" t="s">
        <v>1328</v>
      </c>
      <c r="Z2091" s="152" t="s">
        <v>1327</v>
      </c>
    </row>
    <row r="2092" spans="1:26" x14ac:dyDescent="0.2">
      <c r="A2092" s="152" t="s">
        <v>3181</v>
      </c>
      <c r="B2092" s="152">
        <v>3</v>
      </c>
      <c r="C2092" s="151">
        <v>43515</v>
      </c>
      <c r="D2092" s="152">
        <v>0.320548</v>
      </c>
      <c r="E2092" s="152" t="s">
        <v>1325</v>
      </c>
      <c r="F2092" s="152" t="s">
        <v>1326</v>
      </c>
      <c r="G2092" s="152"/>
      <c r="H2092" s="152"/>
      <c r="I2092" s="152" t="s">
        <v>1327</v>
      </c>
      <c r="J2092" s="152" t="s">
        <v>1327</v>
      </c>
      <c r="K2092" s="152" t="s">
        <v>1327</v>
      </c>
      <c r="L2092" s="152" t="s">
        <v>1327</v>
      </c>
      <c r="M2092" s="152" t="s">
        <v>1327</v>
      </c>
      <c r="N2092" s="152" t="s">
        <v>1327</v>
      </c>
      <c r="O2092" s="152">
        <v>3.1259130000000002</v>
      </c>
      <c r="P2092" s="152">
        <v>153.29350199999999</v>
      </c>
      <c r="Q2092" s="152">
        <v>3.1259130000000002</v>
      </c>
      <c r="R2092" s="152" t="s">
        <v>1327</v>
      </c>
      <c r="S2092" s="152">
        <v>99.947564</v>
      </c>
      <c r="T2092" s="152">
        <v>1.2575339999999999</v>
      </c>
      <c r="U2092" s="152">
        <v>0.31736799999999998</v>
      </c>
      <c r="V2092" s="152">
        <v>0.20144500000000001</v>
      </c>
      <c r="W2092" s="152">
        <v>1000</v>
      </c>
      <c r="X2092" s="152" t="s">
        <v>23</v>
      </c>
      <c r="Y2092" s="152" t="s">
        <v>1328</v>
      </c>
      <c r="Z2092" s="152" t="s">
        <v>1327</v>
      </c>
    </row>
    <row r="2093" spans="1:26" x14ac:dyDescent="0.2">
      <c r="A2093" s="152" t="s">
        <v>3182</v>
      </c>
      <c r="B2093" s="152">
        <v>3</v>
      </c>
      <c r="C2093" s="151">
        <v>43567</v>
      </c>
      <c r="D2093" s="152">
        <v>0.46301399999999998</v>
      </c>
      <c r="E2093" s="152" t="s">
        <v>1325</v>
      </c>
      <c r="F2093" s="152" t="s">
        <v>1326</v>
      </c>
      <c r="G2093" s="152"/>
      <c r="H2093" s="152"/>
      <c r="I2093" s="152" t="s">
        <v>1327</v>
      </c>
      <c r="J2093" s="152" t="s">
        <v>1327</v>
      </c>
      <c r="K2093" s="152" t="s">
        <v>1327</v>
      </c>
      <c r="L2093" s="152" t="s">
        <v>1327</v>
      </c>
      <c r="M2093" s="152" t="s">
        <v>1327</v>
      </c>
      <c r="N2093" s="152" t="s">
        <v>1327</v>
      </c>
      <c r="O2093" s="152">
        <v>3.2521040000000001</v>
      </c>
      <c r="P2093" s="152">
        <v>155.07775599999999</v>
      </c>
      <c r="Q2093" s="152">
        <v>3.2521040000000001</v>
      </c>
      <c r="R2093" s="152" t="s">
        <v>1327</v>
      </c>
      <c r="S2093" s="152">
        <v>99.872810999999999</v>
      </c>
      <c r="T2093" s="152">
        <v>0.82191800000000004</v>
      </c>
      <c r="U2093" s="152">
        <v>0.45614500000000002</v>
      </c>
      <c r="V2093" s="152">
        <v>0.41613699999999998</v>
      </c>
      <c r="W2093" s="152">
        <v>1000</v>
      </c>
      <c r="X2093" s="152" t="s">
        <v>23</v>
      </c>
      <c r="Y2093" s="152" t="s">
        <v>1328</v>
      </c>
      <c r="Z2093" s="152" t="s">
        <v>1327</v>
      </c>
    </row>
    <row r="2094" spans="1:26" x14ac:dyDescent="0.2">
      <c r="A2094" s="152" t="s">
        <v>3183</v>
      </c>
      <c r="B2094" s="152">
        <v>0</v>
      </c>
      <c r="C2094" s="151">
        <v>43417</v>
      </c>
      <c r="D2094" s="152">
        <v>5.2054999999999997E-2</v>
      </c>
      <c r="E2094" s="152" t="s">
        <v>1325</v>
      </c>
      <c r="F2094" s="152" t="s">
        <v>1326</v>
      </c>
      <c r="G2094" s="152"/>
      <c r="H2094" s="152"/>
      <c r="I2094" s="152">
        <v>43237</v>
      </c>
      <c r="J2094" s="152">
        <v>2.15</v>
      </c>
      <c r="K2094" s="152" t="s">
        <v>1327</v>
      </c>
      <c r="L2094" s="152" t="s">
        <v>1327</v>
      </c>
      <c r="M2094" s="152" t="s">
        <v>1327</v>
      </c>
      <c r="N2094" s="152" t="s">
        <v>1327</v>
      </c>
      <c r="O2094" s="152">
        <v>1.8664970000000001</v>
      </c>
      <c r="P2094" s="152">
        <v>67.609009</v>
      </c>
      <c r="Q2094" s="152">
        <v>1.8664970000000001</v>
      </c>
      <c r="R2094" s="152" t="s">
        <v>1327</v>
      </c>
      <c r="S2094" s="152">
        <v>99.902934000000002</v>
      </c>
      <c r="T2094" s="152">
        <v>0</v>
      </c>
      <c r="U2094" s="152">
        <v>5.2004000000000002E-2</v>
      </c>
      <c r="V2094" s="152">
        <v>5.4089999999999997E-3</v>
      </c>
      <c r="W2094" s="152">
        <v>1000</v>
      </c>
      <c r="X2094" s="152" t="s">
        <v>23</v>
      </c>
      <c r="Y2094" s="152" t="s">
        <v>1328</v>
      </c>
      <c r="Z2094" s="152" t="s">
        <v>1327</v>
      </c>
    </row>
    <row r="2095" spans="1:26" x14ac:dyDescent="0.2">
      <c r="A2095" s="152" t="s">
        <v>3184</v>
      </c>
      <c r="B2095" s="152">
        <v>0</v>
      </c>
      <c r="C2095" s="151">
        <v>43419</v>
      </c>
      <c r="D2095" s="152">
        <v>5.7534000000000002E-2</v>
      </c>
      <c r="E2095" s="152" t="s">
        <v>1325</v>
      </c>
      <c r="F2095" s="152" t="s">
        <v>1326</v>
      </c>
      <c r="G2095" s="152"/>
      <c r="H2095" s="152"/>
      <c r="I2095" s="152">
        <v>43235</v>
      </c>
      <c r="J2095" s="152">
        <v>2.1</v>
      </c>
      <c r="K2095" s="152" t="s">
        <v>1327</v>
      </c>
      <c r="L2095" s="152" t="s">
        <v>1327</v>
      </c>
      <c r="M2095" s="152" t="s">
        <v>1327</v>
      </c>
      <c r="N2095" s="152" t="s">
        <v>1327</v>
      </c>
      <c r="O2095" s="152">
        <v>1.870943</v>
      </c>
      <c r="P2095" s="152">
        <v>67.047612000000001</v>
      </c>
      <c r="Q2095" s="152">
        <v>1.870943</v>
      </c>
      <c r="R2095" s="152" t="s">
        <v>1327</v>
      </c>
      <c r="S2095" s="152">
        <v>99.892471999999998</v>
      </c>
      <c r="T2095" s="152">
        <v>0</v>
      </c>
      <c r="U2095" s="152">
        <v>5.7472000000000002E-2</v>
      </c>
      <c r="V2095" s="152">
        <v>6.6059999999999999E-3</v>
      </c>
      <c r="W2095" s="152">
        <v>1000</v>
      </c>
      <c r="X2095" s="152" t="s">
        <v>23</v>
      </c>
      <c r="Y2095" s="152" t="s">
        <v>1328</v>
      </c>
      <c r="Z2095" s="152" t="s">
        <v>1327</v>
      </c>
    </row>
    <row r="2096" spans="1:26" x14ac:dyDescent="0.2">
      <c r="A2096" s="152" t="s">
        <v>3185</v>
      </c>
      <c r="B2096" s="152">
        <v>0</v>
      </c>
      <c r="C2096" s="151">
        <v>43419</v>
      </c>
      <c r="D2096" s="152">
        <v>5.7534000000000002E-2</v>
      </c>
      <c r="E2096" s="152" t="s">
        <v>1325</v>
      </c>
      <c r="F2096" s="152" t="s">
        <v>1326</v>
      </c>
      <c r="G2096" s="152"/>
      <c r="H2096" s="152"/>
      <c r="I2096" s="152">
        <v>43237</v>
      </c>
      <c r="J2096" s="152">
        <v>2.15</v>
      </c>
      <c r="K2096" s="152" t="s">
        <v>1327</v>
      </c>
      <c r="L2096" s="152" t="s">
        <v>1327</v>
      </c>
      <c r="M2096" s="152" t="s">
        <v>1327</v>
      </c>
      <c r="N2096" s="152" t="s">
        <v>1327</v>
      </c>
      <c r="O2096" s="152">
        <v>1.870943</v>
      </c>
      <c r="P2096" s="152">
        <v>67.047612000000001</v>
      </c>
      <c r="Q2096" s="152">
        <v>1.870943</v>
      </c>
      <c r="R2096" s="152" t="s">
        <v>1327</v>
      </c>
      <c r="S2096" s="152">
        <v>99.892471999999998</v>
      </c>
      <c r="T2096" s="152">
        <v>0</v>
      </c>
      <c r="U2096" s="152">
        <v>5.7472000000000002E-2</v>
      </c>
      <c r="V2096" s="152">
        <v>6.6059999999999999E-3</v>
      </c>
      <c r="W2096" s="152">
        <v>1000</v>
      </c>
      <c r="X2096" s="152" t="s">
        <v>23</v>
      </c>
      <c r="Y2096" s="152" t="s">
        <v>1328</v>
      </c>
      <c r="Z2096" s="152" t="s">
        <v>1327</v>
      </c>
    </row>
    <row r="2097" spans="1:26" x14ac:dyDescent="0.2">
      <c r="A2097" s="152" t="s">
        <v>3186</v>
      </c>
      <c r="B2097" s="152">
        <v>0</v>
      </c>
      <c r="C2097" s="151">
        <v>43417</v>
      </c>
      <c r="D2097" s="152">
        <v>5.2054999999999997E-2</v>
      </c>
      <c r="E2097" s="152" t="s">
        <v>1325</v>
      </c>
      <c r="F2097" s="152" t="s">
        <v>1326</v>
      </c>
      <c r="G2097" s="152"/>
      <c r="H2097" s="152"/>
      <c r="I2097" s="152">
        <v>43238</v>
      </c>
      <c r="J2097" s="152">
        <v>2.15</v>
      </c>
      <c r="K2097" s="152" t="s">
        <v>1327</v>
      </c>
      <c r="L2097" s="152" t="s">
        <v>1327</v>
      </c>
      <c r="M2097" s="152" t="s">
        <v>1327</v>
      </c>
      <c r="N2097" s="152" t="s">
        <v>1327</v>
      </c>
      <c r="O2097" s="152">
        <v>1.8997170000000001</v>
      </c>
      <c r="P2097" s="152">
        <v>70.990814999999998</v>
      </c>
      <c r="Q2097" s="152">
        <v>1.8997170000000001</v>
      </c>
      <c r="R2097" s="152" t="s">
        <v>1327</v>
      </c>
      <c r="S2097" s="152">
        <v>99.901207999999997</v>
      </c>
      <c r="T2097" s="152">
        <v>0</v>
      </c>
      <c r="U2097" s="152">
        <v>5.2003000000000001E-2</v>
      </c>
      <c r="V2097" s="152">
        <v>5.4089999999999997E-3</v>
      </c>
      <c r="W2097" s="152">
        <v>1000</v>
      </c>
      <c r="X2097" s="152" t="s">
        <v>23</v>
      </c>
      <c r="Y2097" s="152" t="s">
        <v>1328</v>
      </c>
      <c r="Z2097" s="152" t="s">
        <v>1327</v>
      </c>
    </row>
    <row r="2098" spans="1:26" x14ac:dyDescent="0.2">
      <c r="A2098" s="152" t="s">
        <v>3187</v>
      </c>
      <c r="B2098" s="152">
        <v>0</v>
      </c>
      <c r="C2098" s="151">
        <v>43424</v>
      </c>
      <c r="D2098" s="152">
        <v>7.1233000000000005E-2</v>
      </c>
      <c r="E2098" s="152" t="s">
        <v>1325</v>
      </c>
      <c r="F2098" s="152" t="s">
        <v>1326</v>
      </c>
      <c r="G2098" s="152"/>
      <c r="H2098" s="152"/>
      <c r="I2098" s="152">
        <v>43244</v>
      </c>
      <c r="J2098" s="152">
        <v>2.15</v>
      </c>
      <c r="K2098" s="152" t="s">
        <v>1327</v>
      </c>
      <c r="L2098" s="152" t="s">
        <v>1327</v>
      </c>
      <c r="M2098" s="152" t="s">
        <v>1327</v>
      </c>
      <c r="N2098" s="152" t="s">
        <v>1327</v>
      </c>
      <c r="O2098" s="152">
        <v>1.937883</v>
      </c>
      <c r="P2098" s="152">
        <v>71.319166999999993</v>
      </c>
      <c r="Q2098" s="152">
        <v>1.937883</v>
      </c>
      <c r="R2098" s="152" t="s">
        <v>1327</v>
      </c>
      <c r="S2098" s="152">
        <v>99.862149000000002</v>
      </c>
      <c r="T2098" s="152">
        <v>0</v>
      </c>
      <c r="U2098" s="152">
        <v>7.1135000000000004E-2</v>
      </c>
      <c r="V2098" s="152">
        <v>1.0120000000000001E-2</v>
      </c>
      <c r="W2098" s="152">
        <v>1000</v>
      </c>
      <c r="X2098" s="152" t="s">
        <v>23</v>
      </c>
      <c r="Y2098" s="152" t="s">
        <v>1328</v>
      </c>
      <c r="Z2098" s="152" t="s">
        <v>1327</v>
      </c>
    </row>
    <row r="2099" spans="1:26" x14ac:dyDescent="0.2">
      <c r="A2099" s="152" t="s">
        <v>3188</v>
      </c>
      <c r="B2099" s="152">
        <v>0</v>
      </c>
      <c r="C2099" s="151">
        <v>43416</v>
      </c>
      <c r="D2099" s="152">
        <v>4.9314999999999998E-2</v>
      </c>
      <c r="E2099" s="152" t="s">
        <v>1325</v>
      </c>
      <c r="F2099" s="152" t="s">
        <v>1326</v>
      </c>
      <c r="G2099" s="152"/>
      <c r="H2099" s="152"/>
      <c r="I2099" s="152">
        <v>43355</v>
      </c>
      <c r="J2099" s="152">
        <v>2.4700000000000002</v>
      </c>
      <c r="K2099" s="152" t="s">
        <v>1327</v>
      </c>
      <c r="L2099" s="152" t="s">
        <v>1327</v>
      </c>
      <c r="M2099" s="152" t="s">
        <v>1327</v>
      </c>
      <c r="N2099" s="152" t="s">
        <v>1327</v>
      </c>
      <c r="O2099" s="152">
        <v>2.3430970000000002</v>
      </c>
      <c r="P2099" s="152">
        <v>116.73799</v>
      </c>
      <c r="Q2099" s="152">
        <v>2.3430970000000002</v>
      </c>
      <c r="R2099" s="152" t="s">
        <v>1327</v>
      </c>
      <c r="S2099" s="152">
        <v>99.884583000000006</v>
      </c>
      <c r="T2099" s="152">
        <v>0</v>
      </c>
      <c r="U2099" s="152">
        <v>4.9258000000000003E-2</v>
      </c>
      <c r="V2099" s="152">
        <v>4.8529999999999997E-3</v>
      </c>
      <c r="W2099" s="152">
        <v>1000</v>
      </c>
      <c r="X2099" s="152" t="s">
        <v>23</v>
      </c>
      <c r="Y2099" s="152" t="s">
        <v>1328</v>
      </c>
      <c r="Z2099" s="152" t="s">
        <v>1327</v>
      </c>
    </row>
    <row r="2100" spans="1:26" x14ac:dyDescent="0.2">
      <c r="A2100" s="152" t="s">
        <v>3189</v>
      </c>
      <c r="B2100" s="152">
        <v>0</v>
      </c>
      <c r="C2100" s="151">
        <v>43417</v>
      </c>
      <c r="D2100" s="152">
        <v>5.2054999999999997E-2</v>
      </c>
      <c r="E2100" s="152" t="s">
        <v>1325</v>
      </c>
      <c r="F2100" s="152" t="s">
        <v>1326</v>
      </c>
      <c r="G2100" s="152"/>
      <c r="H2100" s="152"/>
      <c r="I2100" s="152" t="s">
        <v>1327</v>
      </c>
      <c r="J2100" s="152" t="s">
        <v>1327</v>
      </c>
      <c r="K2100" s="152" t="s">
        <v>1327</v>
      </c>
      <c r="L2100" s="152" t="s">
        <v>1327</v>
      </c>
      <c r="M2100" s="152" t="s">
        <v>1327</v>
      </c>
      <c r="N2100" s="152" t="s">
        <v>1327</v>
      </c>
      <c r="O2100" s="152">
        <v>1.959168</v>
      </c>
      <c r="P2100" s="152">
        <v>77.045607000000004</v>
      </c>
      <c r="Q2100" s="152">
        <v>1.959168</v>
      </c>
      <c r="R2100" s="152" t="s">
        <v>1327</v>
      </c>
      <c r="S2100" s="152">
        <v>99.898120000000006</v>
      </c>
      <c r="T2100" s="152">
        <v>0</v>
      </c>
      <c r="U2100" s="152">
        <v>5.2002E-2</v>
      </c>
      <c r="V2100" s="152">
        <v>5.4079999999999996E-3</v>
      </c>
      <c r="W2100" s="152">
        <v>1000</v>
      </c>
      <c r="X2100" s="152" t="s">
        <v>23</v>
      </c>
      <c r="Y2100" s="152" t="s">
        <v>1328</v>
      </c>
      <c r="Z2100" s="152" t="s">
        <v>1327</v>
      </c>
    </row>
    <row r="2101" spans="1:26" x14ac:dyDescent="0.2">
      <c r="A2101" s="152" t="s">
        <v>3190</v>
      </c>
      <c r="B2101" s="152">
        <v>0</v>
      </c>
      <c r="C2101" s="151">
        <v>43437</v>
      </c>
      <c r="D2101" s="152">
        <v>0.106849</v>
      </c>
      <c r="E2101" s="152" t="s">
        <v>1325</v>
      </c>
      <c r="F2101" s="152" t="s">
        <v>1326</v>
      </c>
      <c r="G2101" s="152"/>
      <c r="H2101" s="152"/>
      <c r="I2101" s="152" t="s">
        <v>1327</v>
      </c>
      <c r="J2101" s="152" t="s">
        <v>1327</v>
      </c>
      <c r="K2101" s="152" t="s">
        <v>1327</v>
      </c>
      <c r="L2101" s="152" t="s">
        <v>1327</v>
      </c>
      <c r="M2101" s="152" t="s">
        <v>1327</v>
      </c>
      <c r="N2101" s="152" t="s">
        <v>1327</v>
      </c>
      <c r="O2101" s="152">
        <v>1.710656</v>
      </c>
      <c r="P2101" s="152">
        <v>41.615364999999997</v>
      </c>
      <c r="Q2101" s="152">
        <v>1.710656</v>
      </c>
      <c r="R2101" s="152" t="s">
        <v>1327</v>
      </c>
      <c r="S2101" s="152">
        <v>99.817550999999995</v>
      </c>
      <c r="T2101" s="152">
        <v>0</v>
      </c>
      <c r="U2101" s="152">
        <v>0.106654</v>
      </c>
      <c r="V2101" s="152">
        <v>2.2749999999999999E-2</v>
      </c>
      <c r="W2101" s="152">
        <v>1000</v>
      </c>
      <c r="X2101" s="152" t="s">
        <v>23</v>
      </c>
      <c r="Y2101" s="152" t="s">
        <v>1328</v>
      </c>
      <c r="Z2101" s="152" t="s">
        <v>1327</v>
      </c>
    </row>
    <row r="2102" spans="1:26" x14ac:dyDescent="0.2">
      <c r="A2102" s="152" t="s">
        <v>3191</v>
      </c>
      <c r="B2102" s="152">
        <v>0</v>
      </c>
      <c r="C2102" s="151">
        <v>43447</v>
      </c>
      <c r="D2102" s="152">
        <v>0.13424700000000001</v>
      </c>
      <c r="E2102" s="152" t="s">
        <v>1325</v>
      </c>
      <c r="F2102" s="152" t="s">
        <v>1326</v>
      </c>
      <c r="G2102" s="152"/>
      <c r="H2102" s="152"/>
      <c r="I2102" s="152" t="s">
        <v>1327</v>
      </c>
      <c r="J2102" s="152" t="s">
        <v>1327</v>
      </c>
      <c r="K2102" s="152" t="s">
        <v>1327</v>
      </c>
      <c r="L2102" s="152" t="s">
        <v>1327</v>
      </c>
      <c r="M2102" s="152" t="s">
        <v>1327</v>
      </c>
      <c r="N2102" s="152" t="s">
        <v>1327</v>
      </c>
      <c r="O2102" s="152">
        <v>1.757307</v>
      </c>
      <c r="P2102" s="152">
        <v>41.355232999999998</v>
      </c>
      <c r="Q2102" s="152">
        <v>1.757307</v>
      </c>
      <c r="R2102" s="152" t="s">
        <v>1327</v>
      </c>
      <c r="S2102" s="152">
        <v>99.764643000000007</v>
      </c>
      <c r="T2102" s="152">
        <v>0</v>
      </c>
      <c r="U2102" s="152">
        <v>0.13393099999999999</v>
      </c>
      <c r="V2102" s="152">
        <v>3.5874999999999997E-2</v>
      </c>
      <c r="W2102" s="152">
        <v>1000</v>
      </c>
      <c r="X2102" s="152" t="s">
        <v>23</v>
      </c>
      <c r="Y2102" s="152" t="s">
        <v>1328</v>
      </c>
      <c r="Z2102" s="152" t="s">
        <v>1327</v>
      </c>
    </row>
    <row r="2103" spans="1:26" x14ac:dyDescent="0.2">
      <c r="A2103" s="152" t="s">
        <v>3192</v>
      </c>
      <c r="B2103" s="152">
        <v>0</v>
      </c>
      <c r="C2103" s="151">
        <v>43409</v>
      </c>
      <c r="D2103" s="152">
        <v>3.0137000000000001E-2</v>
      </c>
      <c r="E2103" s="152" t="s">
        <v>1325</v>
      </c>
      <c r="F2103" s="152" t="s">
        <v>1326</v>
      </c>
      <c r="G2103" s="152"/>
      <c r="H2103" s="152"/>
      <c r="I2103" s="152">
        <v>43340</v>
      </c>
      <c r="J2103" s="152">
        <v>1.65</v>
      </c>
      <c r="K2103" s="152" t="s">
        <v>1327</v>
      </c>
      <c r="L2103" s="152" t="s">
        <v>1327</v>
      </c>
      <c r="M2103" s="152" t="s">
        <v>1327</v>
      </c>
      <c r="N2103" s="152" t="s">
        <v>1327</v>
      </c>
      <c r="O2103" s="152">
        <v>1.6245579999999999</v>
      </c>
      <c r="P2103" s="152">
        <v>47.028785999999997</v>
      </c>
      <c r="Q2103" s="152">
        <v>1.6245579999999999</v>
      </c>
      <c r="R2103" s="152" t="s">
        <v>1327</v>
      </c>
      <c r="S2103" s="152">
        <v>99.951065</v>
      </c>
      <c r="T2103" s="152">
        <v>0</v>
      </c>
      <c r="U2103" s="152">
        <v>3.0121999999999999E-2</v>
      </c>
      <c r="V2103" s="152">
        <v>1.815E-3</v>
      </c>
      <c r="W2103" s="152">
        <v>1000</v>
      </c>
      <c r="X2103" s="152" t="s">
        <v>23</v>
      </c>
      <c r="Y2103" s="152" t="s">
        <v>1328</v>
      </c>
      <c r="Z2103" s="152" t="s">
        <v>1327</v>
      </c>
    </row>
    <row r="2104" spans="1:26" x14ac:dyDescent="0.2">
      <c r="A2104" s="152" t="s">
        <v>3193</v>
      </c>
      <c r="B2104" s="152">
        <v>0</v>
      </c>
      <c r="C2104" s="151">
        <v>43412</v>
      </c>
      <c r="D2104" s="152">
        <v>3.8356000000000001E-2</v>
      </c>
      <c r="E2104" s="152" t="s">
        <v>1325</v>
      </c>
      <c r="F2104" s="152" t="s">
        <v>1326</v>
      </c>
      <c r="G2104" s="152"/>
      <c r="H2104" s="152"/>
      <c r="I2104" s="152" t="s">
        <v>1327</v>
      </c>
      <c r="J2104" s="152" t="s">
        <v>1327</v>
      </c>
      <c r="K2104" s="152" t="s">
        <v>1327</v>
      </c>
      <c r="L2104" s="152" t="s">
        <v>1327</v>
      </c>
      <c r="M2104" s="152" t="s">
        <v>1327</v>
      </c>
      <c r="N2104" s="152" t="s">
        <v>1327</v>
      </c>
      <c r="O2104" s="152">
        <v>1.6241890000000001</v>
      </c>
      <c r="P2104" s="152">
        <v>45.491489999999999</v>
      </c>
      <c r="Q2104" s="152">
        <v>1.6241890000000001</v>
      </c>
      <c r="R2104" s="152" t="s">
        <v>1327</v>
      </c>
      <c r="S2104" s="152">
        <v>99.937741000000003</v>
      </c>
      <c r="T2104" s="152">
        <v>0</v>
      </c>
      <c r="U2104" s="152">
        <v>3.8331999999999998E-2</v>
      </c>
      <c r="V2104" s="152">
        <v>2.9390000000000002E-3</v>
      </c>
      <c r="W2104" s="152">
        <v>1000</v>
      </c>
      <c r="X2104" s="152" t="s">
        <v>23</v>
      </c>
      <c r="Y2104" s="152" t="s">
        <v>1328</v>
      </c>
      <c r="Z2104" s="152" t="s">
        <v>1327</v>
      </c>
    </row>
    <row r="2105" spans="1:26" x14ac:dyDescent="0.2">
      <c r="A2105" s="152" t="s">
        <v>3194</v>
      </c>
      <c r="B2105" s="152">
        <v>0</v>
      </c>
      <c r="C2105" s="151">
        <v>43419</v>
      </c>
      <c r="D2105" s="152">
        <v>5.7534000000000002E-2</v>
      </c>
      <c r="E2105" s="152" t="s">
        <v>1325</v>
      </c>
      <c r="F2105" s="152" t="s">
        <v>1326</v>
      </c>
      <c r="G2105" s="152"/>
      <c r="H2105" s="152"/>
      <c r="I2105" s="152" t="s">
        <v>1327</v>
      </c>
      <c r="J2105" s="152" t="s">
        <v>1327</v>
      </c>
      <c r="K2105" s="152" t="s">
        <v>1327</v>
      </c>
      <c r="L2105" s="152" t="s">
        <v>1327</v>
      </c>
      <c r="M2105" s="152" t="s">
        <v>1327</v>
      </c>
      <c r="N2105" s="152" t="s">
        <v>1327</v>
      </c>
      <c r="O2105" s="152">
        <v>1.6281209999999999</v>
      </c>
      <c r="P2105" s="152">
        <v>42.361913000000001</v>
      </c>
      <c r="Q2105" s="152">
        <v>1.6281209999999999</v>
      </c>
      <c r="R2105" s="152" t="s">
        <v>1327</v>
      </c>
      <c r="S2105" s="152">
        <v>99.906414999999996</v>
      </c>
      <c r="T2105" s="152">
        <v>0</v>
      </c>
      <c r="U2105" s="152">
        <v>5.7480000000000003E-2</v>
      </c>
      <c r="V2105" s="152">
        <v>6.6080000000000002E-3</v>
      </c>
      <c r="W2105" s="152">
        <v>1000</v>
      </c>
      <c r="X2105" s="152" t="s">
        <v>23</v>
      </c>
      <c r="Y2105" s="152" t="s">
        <v>1328</v>
      </c>
      <c r="Z2105" s="152" t="s">
        <v>1327</v>
      </c>
    </row>
    <row r="2106" spans="1:26" x14ac:dyDescent="0.2">
      <c r="A2106" s="152" t="s">
        <v>3195</v>
      </c>
      <c r="B2106" s="152">
        <v>0</v>
      </c>
      <c r="C2106" s="151">
        <v>43427</v>
      </c>
      <c r="D2106" s="152">
        <v>7.9451999999999995E-2</v>
      </c>
      <c r="E2106" s="152" t="s">
        <v>1325</v>
      </c>
      <c r="F2106" s="152" t="s">
        <v>1326</v>
      </c>
      <c r="G2106" s="152"/>
      <c r="H2106" s="152"/>
      <c r="I2106" s="152" t="s">
        <v>1327</v>
      </c>
      <c r="J2106" s="152" t="s">
        <v>1327</v>
      </c>
      <c r="K2106" s="152" t="s">
        <v>1327</v>
      </c>
      <c r="L2106" s="152" t="s">
        <v>1327</v>
      </c>
      <c r="M2106" s="152" t="s">
        <v>1327</v>
      </c>
      <c r="N2106" s="152" t="s">
        <v>1327</v>
      </c>
      <c r="O2106" s="152">
        <v>1.6645840000000001</v>
      </c>
      <c r="P2106" s="152">
        <v>42.004389000000003</v>
      </c>
      <c r="Q2106" s="152">
        <v>1.6645840000000001</v>
      </c>
      <c r="R2106" s="152" t="s">
        <v>1327</v>
      </c>
      <c r="S2106" s="152">
        <v>99.867919999999998</v>
      </c>
      <c r="T2106" s="152">
        <v>0</v>
      </c>
      <c r="U2106" s="152">
        <v>7.9347000000000001E-2</v>
      </c>
      <c r="V2106" s="152">
        <v>1.2592000000000001E-2</v>
      </c>
      <c r="W2106" s="152">
        <v>1000</v>
      </c>
      <c r="X2106" s="152" t="s">
        <v>23</v>
      </c>
      <c r="Y2106" s="152" t="s">
        <v>1328</v>
      </c>
      <c r="Z2106" s="152" t="s">
        <v>1327</v>
      </c>
    </row>
    <row r="2107" spans="1:26" x14ac:dyDescent="0.2">
      <c r="A2107" s="152" t="s">
        <v>3196</v>
      </c>
      <c r="B2107" s="152">
        <v>0</v>
      </c>
      <c r="C2107" s="151">
        <v>43528</v>
      </c>
      <c r="D2107" s="152">
        <v>0.35616399999999998</v>
      </c>
      <c r="E2107" s="152" t="s">
        <v>1325</v>
      </c>
      <c r="F2107" s="152" t="s">
        <v>1326</v>
      </c>
      <c r="G2107" s="152"/>
      <c r="H2107" s="152"/>
      <c r="I2107" s="152" t="s">
        <v>1327</v>
      </c>
      <c r="J2107" s="152" t="s">
        <v>1327</v>
      </c>
      <c r="K2107" s="152" t="s">
        <v>1327</v>
      </c>
      <c r="L2107" s="152" t="s">
        <v>1327</v>
      </c>
      <c r="M2107" s="152" t="s">
        <v>1327</v>
      </c>
      <c r="N2107" s="152" t="s">
        <v>1327</v>
      </c>
      <c r="O2107" s="152">
        <v>2.0377079999999999</v>
      </c>
      <c r="P2107" s="152">
        <v>39.185645999999998</v>
      </c>
      <c r="Q2107" s="152">
        <v>2.0377079999999999</v>
      </c>
      <c r="R2107" s="152" t="s">
        <v>1327</v>
      </c>
      <c r="S2107" s="152">
        <v>99.279470000000003</v>
      </c>
      <c r="T2107" s="152">
        <v>0</v>
      </c>
      <c r="U2107" s="152">
        <v>0.35359800000000002</v>
      </c>
      <c r="V2107" s="152">
        <v>0.25006299999999998</v>
      </c>
      <c r="W2107" s="152">
        <v>1000</v>
      </c>
      <c r="X2107" s="152" t="s">
        <v>23</v>
      </c>
      <c r="Y2107" s="152" t="s">
        <v>1328</v>
      </c>
      <c r="Z2107" s="152" t="s">
        <v>1327</v>
      </c>
    </row>
    <row r="2108" spans="1:26" x14ac:dyDescent="0.2">
      <c r="A2108" s="152" t="s">
        <v>3197</v>
      </c>
      <c r="B2108" s="152">
        <v>1.58</v>
      </c>
      <c r="C2108" s="151">
        <v>43448</v>
      </c>
      <c r="D2108" s="152">
        <v>0.136986</v>
      </c>
      <c r="E2108" s="152" t="s">
        <v>1325</v>
      </c>
      <c r="F2108" s="152" t="s">
        <v>1326</v>
      </c>
      <c r="G2108" s="152"/>
      <c r="H2108" s="152"/>
      <c r="I2108" s="152" t="s">
        <v>1327</v>
      </c>
      <c r="J2108" s="152" t="s">
        <v>1327</v>
      </c>
      <c r="K2108" s="152" t="s">
        <v>1327</v>
      </c>
      <c r="L2108" s="152" t="s">
        <v>1327</v>
      </c>
      <c r="M2108" s="152" t="s">
        <v>1327</v>
      </c>
      <c r="N2108" s="152" t="s">
        <v>1327</v>
      </c>
      <c r="O2108" s="152">
        <v>1.5040260000000001</v>
      </c>
      <c r="P2108" s="152">
        <v>15.175363000000001</v>
      </c>
      <c r="Q2108" s="152">
        <v>1.5040260000000001</v>
      </c>
      <c r="R2108" s="152" t="s">
        <v>1327</v>
      </c>
      <c r="S2108" s="152">
        <v>100.00846300000001</v>
      </c>
      <c r="T2108" s="152">
        <v>0.93501400000000001</v>
      </c>
      <c r="U2108" s="152">
        <v>0.13670499999999999</v>
      </c>
      <c r="V2108" s="152">
        <v>3.7376E-2</v>
      </c>
      <c r="W2108" s="152">
        <v>1000</v>
      </c>
      <c r="X2108" s="152" t="s">
        <v>23</v>
      </c>
      <c r="Y2108" s="152" t="s">
        <v>1328</v>
      </c>
      <c r="Z2108" s="152" t="s">
        <v>1327</v>
      </c>
    </row>
    <row r="2109" spans="1:26" x14ac:dyDescent="0.2">
      <c r="A2109" s="152" t="s">
        <v>3198</v>
      </c>
      <c r="B2109" s="152">
        <v>1.58</v>
      </c>
      <c r="C2109" s="151">
        <v>43448</v>
      </c>
      <c r="D2109" s="152">
        <v>0.136986</v>
      </c>
      <c r="E2109" s="152" t="s">
        <v>1325</v>
      </c>
      <c r="F2109" s="152" t="s">
        <v>1326</v>
      </c>
      <c r="G2109" s="152"/>
      <c r="H2109" s="152"/>
      <c r="I2109" s="152" t="s">
        <v>1327</v>
      </c>
      <c r="J2109" s="152" t="s">
        <v>1327</v>
      </c>
      <c r="K2109" s="152" t="s">
        <v>1327</v>
      </c>
      <c r="L2109" s="152" t="s">
        <v>1327</v>
      </c>
      <c r="M2109" s="152" t="s">
        <v>1327</v>
      </c>
      <c r="N2109" s="152" t="s">
        <v>1327</v>
      </c>
      <c r="O2109" s="152">
        <v>1.5040260000000001</v>
      </c>
      <c r="P2109" s="152">
        <v>15.175363000000001</v>
      </c>
      <c r="Q2109" s="152">
        <v>1.5040260000000001</v>
      </c>
      <c r="R2109" s="152" t="s">
        <v>1327</v>
      </c>
      <c r="S2109" s="152">
        <v>100.008499</v>
      </c>
      <c r="T2109" s="152">
        <v>0.91769900000000004</v>
      </c>
      <c r="U2109" s="152">
        <v>0.13670499999999999</v>
      </c>
      <c r="V2109" s="152">
        <v>3.7376E-2</v>
      </c>
      <c r="W2109" s="152">
        <v>1000</v>
      </c>
      <c r="X2109" s="152" t="s">
        <v>23</v>
      </c>
      <c r="Y2109" s="152" t="s">
        <v>1328</v>
      </c>
      <c r="Z2109" s="152" t="s">
        <v>1327</v>
      </c>
    </row>
    <row r="2110" spans="1:26" x14ac:dyDescent="0.2">
      <c r="A2110" s="152" t="s">
        <v>3199</v>
      </c>
      <c r="B2110" s="152">
        <v>1.58</v>
      </c>
      <c r="C2110" s="151">
        <v>43451</v>
      </c>
      <c r="D2110" s="152">
        <v>0.145205</v>
      </c>
      <c r="E2110" s="152" t="s">
        <v>1325</v>
      </c>
      <c r="F2110" s="152" t="s">
        <v>1326</v>
      </c>
      <c r="G2110" s="152"/>
      <c r="H2110" s="152"/>
      <c r="I2110" s="152" t="s">
        <v>1327</v>
      </c>
      <c r="J2110" s="152" t="s">
        <v>1327</v>
      </c>
      <c r="K2110" s="152" t="s">
        <v>1327</v>
      </c>
      <c r="L2110" s="152" t="s">
        <v>1327</v>
      </c>
      <c r="M2110" s="152" t="s">
        <v>1327</v>
      </c>
      <c r="N2110" s="152" t="s">
        <v>1327</v>
      </c>
      <c r="O2110" s="152">
        <v>1.519649</v>
      </c>
      <c r="P2110" s="152">
        <v>15.290576</v>
      </c>
      <c r="Q2110" s="152">
        <v>1.519649</v>
      </c>
      <c r="R2110" s="152" t="s">
        <v>1327</v>
      </c>
      <c r="S2110" s="152">
        <v>100.006685</v>
      </c>
      <c r="T2110" s="152">
        <v>0.93501400000000001</v>
      </c>
      <c r="U2110" s="152">
        <v>0.14488599999999999</v>
      </c>
      <c r="V2110" s="152">
        <v>4.1984E-2</v>
      </c>
      <c r="W2110" s="152">
        <v>1000</v>
      </c>
      <c r="X2110" s="152" t="s">
        <v>23</v>
      </c>
      <c r="Y2110" s="152" t="s">
        <v>1328</v>
      </c>
      <c r="Z2110" s="152" t="s">
        <v>1327</v>
      </c>
    </row>
    <row r="2111" spans="1:26" x14ac:dyDescent="0.2">
      <c r="A2111" s="152" t="s">
        <v>3200</v>
      </c>
      <c r="B2111" s="152">
        <v>1.58</v>
      </c>
      <c r="C2111" s="151">
        <v>43451</v>
      </c>
      <c r="D2111" s="152">
        <v>0.145205</v>
      </c>
      <c r="E2111" s="152" t="s">
        <v>1325</v>
      </c>
      <c r="F2111" s="152" t="s">
        <v>1326</v>
      </c>
      <c r="G2111" s="152"/>
      <c r="H2111" s="152"/>
      <c r="I2111" s="152" t="s">
        <v>1327</v>
      </c>
      <c r="J2111" s="152" t="s">
        <v>1327</v>
      </c>
      <c r="K2111" s="152" t="s">
        <v>1327</v>
      </c>
      <c r="L2111" s="152" t="s">
        <v>1327</v>
      </c>
      <c r="M2111" s="152" t="s">
        <v>1327</v>
      </c>
      <c r="N2111" s="152" t="s">
        <v>1327</v>
      </c>
      <c r="O2111" s="152">
        <v>1.519649</v>
      </c>
      <c r="P2111" s="152">
        <v>15.290576</v>
      </c>
      <c r="Q2111" s="152">
        <v>1.519649</v>
      </c>
      <c r="R2111" s="152" t="s">
        <v>1327</v>
      </c>
      <c r="S2111" s="152">
        <v>100.006685</v>
      </c>
      <c r="T2111" s="152">
        <v>0.93501400000000001</v>
      </c>
      <c r="U2111" s="152">
        <v>0.14488599999999999</v>
      </c>
      <c r="V2111" s="152">
        <v>4.1984E-2</v>
      </c>
      <c r="W2111" s="152">
        <v>1000</v>
      </c>
      <c r="X2111" s="152" t="s">
        <v>23</v>
      </c>
      <c r="Y2111" s="152" t="s">
        <v>1328</v>
      </c>
      <c r="Z2111" s="152" t="s">
        <v>1327</v>
      </c>
    </row>
    <row r="2112" spans="1:26" x14ac:dyDescent="0.2">
      <c r="A2112" s="152" t="s">
        <v>3201</v>
      </c>
      <c r="B2112" s="152">
        <v>1.58</v>
      </c>
      <c r="C2112" s="151">
        <v>43452</v>
      </c>
      <c r="D2112" s="152">
        <v>0.14794499999999999</v>
      </c>
      <c r="E2112" s="152" t="s">
        <v>1325</v>
      </c>
      <c r="F2112" s="152" t="s">
        <v>1326</v>
      </c>
      <c r="G2112" s="152"/>
      <c r="H2112" s="152"/>
      <c r="I2112" s="152" t="s">
        <v>1327</v>
      </c>
      <c r="J2112" s="152" t="s">
        <v>1327</v>
      </c>
      <c r="K2112" s="152" t="s">
        <v>1327</v>
      </c>
      <c r="L2112" s="152" t="s">
        <v>1327</v>
      </c>
      <c r="M2112" s="152" t="s">
        <v>1327</v>
      </c>
      <c r="N2112" s="152" t="s">
        <v>1327</v>
      </c>
      <c r="O2112" s="152">
        <v>1.5248679999999999</v>
      </c>
      <c r="P2112" s="152">
        <v>15.333342999999999</v>
      </c>
      <c r="Q2112" s="152">
        <v>1.5248679999999999</v>
      </c>
      <c r="R2112" s="152" t="s">
        <v>1327</v>
      </c>
      <c r="S2112" s="152">
        <v>100.006033</v>
      </c>
      <c r="T2112" s="152">
        <v>0.93501400000000001</v>
      </c>
      <c r="U2112" s="152">
        <v>0.14761199999999999</v>
      </c>
      <c r="V2112" s="152">
        <v>4.3579E-2</v>
      </c>
      <c r="W2112" s="152">
        <v>1000</v>
      </c>
      <c r="X2112" s="152" t="s">
        <v>23</v>
      </c>
      <c r="Y2112" s="152" t="s">
        <v>1328</v>
      </c>
      <c r="Z2112" s="152" t="s">
        <v>1327</v>
      </c>
    </row>
    <row r="2113" spans="1:26" x14ac:dyDescent="0.2">
      <c r="A2113" s="152" t="s">
        <v>3202</v>
      </c>
      <c r="B2113" s="152">
        <v>1.58</v>
      </c>
      <c r="C2113" s="151">
        <v>43454</v>
      </c>
      <c r="D2113" s="152">
        <v>0.15342500000000001</v>
      </c>
      <c r="E2113" s="152" t="s">
        <v>1325</v>
      </c>
      <c r="F2113" s="152" t="s">
        <v>1326</v>
      </c>
      <c r="G2113" s="152"/>
      <c r="H2113" s="152"/>
      <c r="I2113" s="152" t="s">
        <v>1327</v>
      </c>
      <c r="J2113" s="152" t="s">
        <v>1327</v>
      </c>
      <c r="K2113" s="152" t="s">
        <v>1327</v>
      </c>
      <c r="L2113" s="152" t="s">
        <v>1327</v>
      </c>
      <c r="M2113" s="152" t="s">
        <v>1327</v>
      </c>
      <c r="N2113" s="152" t="s">
        <v>1327</v>
      </c>
      <c r="O2113" s="152">
        <v>1.5353270000000001</v>
      </c>
      <c r="P2113" s="152">
        <v>15.426041</v>
      </c>
      <c r="Q2113" s="152">
        <v>1.5353270000000001</v>
      </c>
      <c r="R2113" s="152" t="s">
        <v>1327</v>
      </c>
      <c r="S2113" s="152">
        <v>100.00468100000001</v>
      </c>
      <c r="T2113" s="152">
        <v>0.91769900000000004</v>
      </c>
      <c r="U2113" s="152">
        <v>0.15306400000000001</v>
      </c>
      <c r="V2113" s="152">
        <v>4.6857000000000003E-2</v>
      </c>
      <c r="W2113" s="152">
        <v>1000</v>
      </c>
      <c r="X2113" s="152" t="s">
        <v>23</v>
      </c>
      <c r="Y2113" s="152" t="s">
        <v>1328</v>
      </c>
      <c r="Z2113" s="152" t="s">
        <v>1327</v>
      </c>
    </row>
    <row r="2114" spans="1:26" x14ac:dyDescent="0.2">
      <c r="A2114" s="152" t="s">
        <v>3203</v>
      </c>
      <c r="B2114" s="152">
        <v>1.57</v>
      </c>
      <c r="C2114" s="151">
        <v>43454</v>
      </c>
      <c r="D2114" s="152">
        <v>0.15342500000000001</v>
      </c>
      <c r="E2114" s="152" t="s">
        <v>1325</v>
      </c>
      <c r="F2114" s="152" t="s">
        <v>1326</v>
      </c>
      <c r="G2114" s="152"/>
      <c r="H2114" s="152"/>
      <c r="I2114" s="152" t="s">
        <v>1327</v>
      </c>
      <c r="J2114" s="152" t="s">
        <v>1327</v>
      </c>
      <c r="K2114" s="152" t="s">
        <v>1327</v>
      </c>
      <c r="L2114" s="152" t="s">
        <v>1327</v>
      </c>
      <c r="M2114" s="152" t="s">
        <v>1327</v>
      </c>
      <c r="N2114" s="152" t="s">
        <v>1327</v>
      </c>
      <c r="O2114" s="152">
        <v>1.5353270000000001</v>
      </c>
      <c r="P2114" s="152">
        <v>15.426041</v>
      </c>
      <c r="Q2114" s="152">
        <v>1.5353270000000001</v>
      </c>
      <c r="R2114" s="152" t="s">
        <v>1327</v>
      </c>
      <c r="S2114" s="152">
        <v>100.003225</v>
      </c>
      <c r="T2114" s="152">
        <v>0.88608200000000004</v>
      </c>
      <c r="U2114" s="152">
        <v>0.15306400000000001</v>
      </c>
      <c r="V2114" s="152">
        <v>4.6857000000000003E-2</v>
      </c>
      <c r="W2114" s="152">
        <v>1000</v>
      </c>
      <c r="X2114" s="152" t="s">
        <v>23</v>
      </c>
      <c r="Y2114" s="152" t="s">
        <v>1328</v>
      </c>
      <c r="Z2114" s="152" t="s">
        <v>1327</v>
      </c>
    </row>
    <row r="2115" spans="1:26" x14ac:dyDescent="0.2">
      <c r="A2115" s="152" t="s">
        <v>3204</v>
      </c>
      <c r="B2115" s="152">
        <v>1.65</v>
      </c>
      <c r="C2115" s="151">
        <v>43454</v>
      </c>
      <c r="D2115" s="152">
        <v>0.15342500000000001</v>
      </c>
      <c r="E2115" s="152" t="s">
        <v>1325</v>
      </c>
      <c r="F2115" s="152" t="s">
        <v>1326</v>
      </c>
      <c r="G2115" s="152"/>
      <c r="H2115" s="152"/>
      <c r="I2115" s="152" t="s">
        <v>1327</v>
      </c>
      <c r="J2115" s="152" t="s">
        <v>1327</v>
      </c>
      <c r="K2115" s="152" t="s">
        <v>1327</v>
      </c>
      <c r="L2115" s="152" t="s">
        <v>1327</v>
      </c>
      <c r="M2115" s="152" t="s">
        <v>1327</v>
      </c>
      <c r="N2115" s="152" t="s">
        <v>1327</v>
      </c>
      <c r="O2115" s="152">
        <v>1.5353270000000001</v>
      </c>
      <c r="P2115" s="152">
        <v>15.426041</v>
      </c>
      <c r="Q2115" s="152">
        <v>1.5353270000000001</v>
      </c>
      <c r="R2115" s="152" t="s">
        <v>1327</v>
      </c>
      <c r="S2115" s="152">
        <v>100.015896</v>
      </c>
      <c r="T2115" s="152">
        <v>0.70520499999999997</v>
      </c>
      <c r="U2115" s="152">
        <v>0.15306400000000001</v>
      </c>
      <c r="V2115" s="152">
        <v>4.6857000000000003E-2</v>
      </c>
      <c r="W2115" s="152">
        <v>1000</v>
      </c>
      <c r="X2115" s="152" t="s">
        <v>23</v>
      </c>
      <c r="Y2115" s="152" t="s">
        <v>1328</v>
      </c>
      <c r="Z2115" s="152" t="s">
        <v>1327</v>
      </c>
    </row>
    <row r="2116" spans="1:26" x14ac:dyDescent="0.2">
      <c r="A2116" s="152" t="s">
        <v>3205</v>
      </c>
      <c r="B2116" s="152">
        <v>1.58</v>
      </c>
      <c r="C2116" s="151">
        <v>43455</v>
      </c>
      <c r="D2116" s="152">
        <v>0.156164</v>
      </c>
      <c r="E2116" s="152" t="s">
        <v>1325</v>
      </c>
      <c r="F2116" s="152" t="s">
        <v>1326</v>
      </c>
      <c r="G2116" s="152"/>
      <c r="H2116" s="152"/>
      <c r="I2116" s="152" t="s">
        <v>1327</v>
      </c>
      <c r="J2116" s="152" t="s">
        <v>1327</v>
      </c>
      <c r="K2116" s="152" t="s">
        <v>1327</v>
      </c>
      <c r="L2116" s="152" t="s">
        <v>1327</v>
      </c>
      <c r="M2116" s="152" t="s">
        <v>1327</v>
      </c>
      <c r="N2116" s="152" t="s">
        <v>1327</v>
      </c>
      <c r="O2116" s="152">
        <v>1.540565</v>
      </c>
      <c r="P2116" s="152">
        <v>15.476006999999999</v>
      </c>
      <c r="Q2116" s="152">
        <v>1.540565</v>
      </c>
      <c r="R2116" s="152" t="s">
        <v>1327</v>
      </c>
      <c r="S2116" s="152">
        <v>100.003962</v>
      </c>
      <c r="T2116" s="152">
        <v>0.90904099999999999</v>
      </c>
      <c r="U2116" s="152">
        <v>0.15579000000000001</v>
      </c>
      <c r="V2116" s="152">
        <v>4.8541000000000001E-2</v>
      </c>
      <c r="W2116" s="152">
        <v>1000</v>
      </c>
      <c r="X2116" s="152" t="s">
        <v>23</v>
      </c>
      <c r="Y2116" s="152" t="s">
        <v>1328</v>
      </c>
      <c r="Z2116" s="152" t="s">
        <v>1327</v>
      </c>
    </row>
    <row r="2117" spans="1:26" x14ac:dyDescent="0.2">
      <c r="A2117" s="152" t="s">
        <v>3206</v>
      </c>
      <c r="B2117" s="152">
        <v>1.58</v>
      </c>
      <c r="C2117" s="151">
        <v>43455</v>
      </c>
      <c r="D2117" s="152">
        <v>0.156164</v>
      </c>
      <c r="E2117" s="152" t="s">
        <v>1325</v>
      </c>
      <c r="F2117" s="152" t="s">
        <v>1326</v>
      </c>
      <c r="G2117" s="152"/>
      <c r="H2117" s="152"/>
      <c r="I2117" s="152" t="s">
        <v>1327</v>
      </c>
      <c r="J2117" s="152" t="s">
        <v>1327</v>
      </c>
      <c r="K2117" s="152" t="s">
        <v>1327</v>
      </c>
      <c r="L2117" s="152" t="s">
        <v>1327</v>
      </c>
      <c r="M2117" s="152" t="s">
        <v>1327</v>
      </c>
      <c r="N2117" s="152" t="s">
        <v>1327</v>
      </c>
      <c r="O2117" s="152">
        <v>1.540565</v>
      </c>
      <c r="P2117" s="152">
        <v>15.476006999999999</v>
      </c>
      <c r="Q2117" s="152">
        <v>1.540565</v>
      </c>
      <c r="R2117" s="152" t="s">
        <v>1327</v>
      </c>
      <c r="S2117" s="152">
        <v>100.00393099999999</v>
      </c>
      <c r="T2117" s="152">
        <v>0.92202700000000004</v>
      </c>
      <c r="U2117" s="152">
        <v>0.15579000000000001</v>
      </c>
      <c r="V2117" s="152">
        <v>4.8541000000000001E-2</v>
      </c>
      <c r="W2117" s="152">
        <v>1000</v>
      </c>
      <c r="X2117" s="152" t="s">
        <v>23</v>
      </c>
      <c r="Y2117" s="152" t="s">
        <v>1328</v>
      </c>
      <c r="Z2117" s="152" t="s">
        <v>1327</v>
      </c>
    </row>
    <row r="2118" spans="1:26" x14ac:dyDescent="0.2">
      <c r="A2118" s="152" t="s">
        <v>3207</v>
      </c>
      <c r="B2118" s="152">
        <v>1.65</v>
      </c>
      <c r="C2118" s="151">
        <v>43458</v>
      </c>
      <c r="D2118" s="152">
        <v>0.164384</v>
      </c>
      <c r="E2118" s="152" t="s">
        <v>1325</v>
      </c>
      <c r="F2118" s="152" t="s">
        <v>1326</v>
      </c>
      <c r="G2118" s="152"/>
      <c r="H2118" s="152"/>
      <c r="I2118" s="152" t="s">
        <v>1327</v>
      </c>
      <c r="J2118" s="152" t="s">
        <v>1327</v>
      </c>
      <c r="K2118" s="152" t="s">
        <v>1327</v>
      </c>
      <c r="L2118" s="152" t="s">
        <v>1327</v>
      </c>
      <c r="M2118" s="152" t="s">
        <v>1327</v>
      </c>
      <c r="N2118" s="152" t="s">
        <v>1327</v>
      </c>
      <c r="O2118" s="152">
        <v>1.556319</v>
      </c>
      <c r="P2118" s="152">
        <v>15.641507000000001</v>
      </c>
      <c r="Q2118" s="152">
        <v>1.556319</v>
      </c>
      <c r="R2118" s="152" t="s">
        <v>1327</v>
      </c>
      <c r="S2118" s="152">
        <v>100.01363000000001</v>
      </c>
      <c r="T2118" s="152">
        <v>0.67808199999999996</v>
      </c>
      <c r="U2118" s="152">
        <v>0.163964</v>
      </c>
      <c r="V2118" s="152">
        <v>5.3768000000000003E-2</v>
      </c>
      <c r="W2118" s="152">
        <v>1000</v>
      </c>
      <c r="X2118" s="152" t="s">
        <v>23</v>
      </c>
      <c r="Y2118" s="152" t="s">
        <v>1328</v>
      </c>
      <c r="Z2118" s="152" t="s">
        <v>1327</v>
      </c>
    </row>
    <row r="2119" spans="1:26" x14ac:dyDescent="0.2">
      <c r="A2119" s="152" t="s">
        <v>3208</v>
      </c>
      <c r="B2119" s="152">
        <v>1.57</v>
      </c>
      <c r="C2119" s="151">
        <v>43462</v>
      </c>
      <c r="D2119" s="152">
        <v>0.175342</v>
      </c>
      <c r="E2119" s="152" t="s">
        <v>1325</v>
      </c>
      <c r="F2119" s="152" t="s">
        <v>1326</v>
      </c>
      <c r="G2119" s="152"/>
      <c r="H2119" s="152"/>
      <c r="I2119" s="152" t="s">
        <v>1327</v>
      </c>
      <c r="J2119" s="152" t="s">
        <v>1327</v>
      </c>
      <c r="K2119" s="152" t="s">
        <v>1327</v>
      </c>
      <c r="L2119" s="152" t="s">
        <v>1327</v>
      </c>
      <c r="M2119" s="152" t="s">
        <v>1327</v>
      </c>
      <c r="N2119" s="152" t="s">
        <v>1327</v>
      </c>
      <c r="O2119" s="152">
        <v>1.5774140000000001</v>
      </c>
      <c r="P2119" s="152">
        <v>15.900881</v>
      </c>
      <c r="Q2119" s="152">
        <v>1.5774140000000001</v>
      </c>
      <c r="R2119" s="152" t="s">
        <v>1327</v>
      </c>
      <c r="S2119" s="152">
        <v>99.996260000000007</v>
      </c>
      <c r="T2119" s="152">
        <v>0.88608200000000004</v>
      </c>
      <c r="U2119" s="152">
        <v>0.17485899999999999</v>
      </c>
      <c r="V2119" s="152">
        <v>6.1150999999999997E-2</v>
      </c>
      <c r="W2119" s="152">
        <v>1000</v>
      </c>
      <c r="X2119" s="152" t="s">
        <v>23</v>
      </c>
      <c r="Y2119" s="152" t="s">
        <v>1328</v>
      </c>
      <c r="Z2119" s="152" t="s">
        <v>1327</v>
      </c>
    </row>
    <row r="2120" spans="1:26" x14ac:dyDescent="0.2">
      <c r="A2120" s="152" t="s">
        <v>3209</v>
      </c>
      <c r="B2120" s="152">
        <v>1.52</v>
      </c>
      <c r="C2120" s="151">
        <v>43405</v>
      </c>
      <c r="D2120" s="152">
        <v>1.9178000000000001E-2</v>
      </c>
      <c r="E2120" s="152" t="s">
        <v>1325</v>
      </c>
      <c r="F2120" s="152" t="s">
        <v>1326</v>
      </c>
      <c r="G2120" s="152"/>
      <c r="H2120" s="152"/>
      <c r="I2120" s="152" t="s">
        <v>1327</v>
      </c>
      <c r="J2120" s="152" t="s">
        <v>1327</v>
      </c>
      <c r="K2120" s="152" t="s">
        <v>1327</v>
      </c>
      <c r="L2120" s="152" t="s">
        <v>1327</v>
      </c>
      <c r="M2120" s="152" t="s">
        <v>1327</v>
      </c>
      <c r="N2120" s="152" t="s">
        <v>1327</v>
      </c>
      <c r="O2120" s="152">
        <v>1.3522460000000001</v>
      </c>
      <c r="P2120" s="152">
        <v>21.380962</v>
      </c>
      <c r="Q2120" s="152">
        <v>1.3522460000000001</v>
      </c>
      <c r="R2120" s="152" t="s">
        <v>1327</v>
      </c>
      <c r="S2120" s="152">
        <v>100.00302000000001</v>
      </c>
      <c r="T2120" s="152">
        <v>0.75791799999999998</v>
      </c>
      <c r="U2120" s="152">
        <v>1.9172999999999999E-2</v>
      </c>
      <c r="V2120" s="152">
        <v>7.3499999999999998E-4</v>
      </c>
      <c r="W2120" s="152">
        <v>1000</v>
      </c>
      <c r="X2120" s="152" t="s">
        <v>23</v>
      </c>
      <c r="Y2120" s="152" t="s">
        <v>1328</v>
      </c>
      <c r="Z2120" s="152" t="s">
        <v>1327</v>
      </c>
    </row>
    <row r="2121" spans="1:26" x14ac:dyDescent="0.2">
      <c r="A2121" s="152" t="s">
        <v>3210</v>
      </c>
      <c r="B2121" s="152">
        <v>1.57</v>
      </c>
      <c r="C2121" s="151">
        <v>43405</v>
      </c>
      <c r="D2121" s="152">
        <v>1.9178000000000001E-2</v>
      </c>
      <c r="E2121" s="152" t="s">
        <v>1325</v>
      </c>
      <c r="F2121" s="152" t="s">
        <v>1326</v>
      </c>
      <c r="G2121" s="152"/>
      <c r="H2121" s="152"/>
      <c r="I2121" s="152" t="s">
        <v>1327</v>
      </c>
      <c r="J2121" s="152" t="s">
        <v>1327</v>
      </c>
      <c r="K2121" s="152" t="s">
        <v>1327</v>
      </c>
      <c r="L2121" s="152" t="s">
        <v>1327</v>
      </c>
      <c r="M2121" s="152" t="s">
        <v>1327</v>
      </c>
      <c r="N2121" s="152" t="s">
        <v>1327</v>
      </c>
      <c r="O2121" s="152">
        <v>1.3522460000000001</v>
      </c>
      <c r="P2121" s="152">
        <v>21.380962</v>
      </c>
      <c r="Q2121" s="152">
        <v>1.3522460000000001</v>
      </c>
      <c r="R2121" s="152" t="s">
        <v>1327</v>
      </c>
      <c r="S2121" s="152">
        <v>100.00398</v>
      </c>
      <c r="T2121" s="152">
        <v>0.75273999999999996</v>
      </c>
      <c r="U2121" s="152">
        <v>1.9172999999999999E-2</v>
      </c>
      <c r="V2121" s="152">
        <v>7.3499999999999998E-4</v>
      </c>
      <c r="W2121" s="152">
        <v>1000</v>
      </c>
      <c r="X2121" s="152" t="s">
        <v>23</v>
      </c>
      <c r="Y2121" s="152" t="s">
        <v>1328</v>
      </c>
      <c r="Z2121" s="152" t="s">
        <v>1327</v>
      </c>
    </row>
    <row r="2122" spans="1:26" x14ac:dyDescent="0.2">
      <c r="A2122" s="152" t="s">
        <v>3211</v>
      </c>
      <c r="B2122" s="152">
        <v>1.6</v>
      </c>
      <c r="C2122" s="151">
        <v>43406</v>
      </c>
      <c r="D2122" s="152">
        <v>2.1918E-2</v>
      </c>
      <c r="E2122" s="152" t="s">
        <v>1325</v>
      </c>
      <c r="F2122" s="152" t="s">
        <v>1326</v>
      </c>
      <c r="G2122" s="152"/>
      <c r="H2122" s="152"/>
      <c r="I2122" s="152" t="s">
        <v>1327</v>
      </c>
      <c r="J2122" s="152" t="s">
        <v>1327</v>
      </c>
      <c r="K2122" s="152" t="s">
        <v>1327</v>
      </c>
      <c r="L2122" s="152" t="s">
        <v>1327</v>
      </c>
      <c r="M2122" s="152" t="s">
        <v>1327</v>
      </c>
      <c r="N2122" s="152" t="s">
        <v>1327</v>
      </c>
      <c r="O2122" s="152">
        <v>1.352098</v>
      </c>
      <c r="P2122" s="152">
        <v>20.873116</v>
      </c>
      <c r="Q2122" s="152">
        <v>1.352098</v>
      </c>
      <c r="R2122" s="152" t="s">
        <v>1327</v>
      </c>
      <c r="S2122" s="152">
        <v>100.005092</v>
      </c>
      <c r="T2122" s="152">
        <v>1.148493</v>
      </c>
      <c r="U2122" s="152">
        <v>2.1911E-2</v>
      </c>
      <c r="V2122" s="152">
        <v>9.6000000000000002E-4</v>
      </c>
      <c r="W2122" s="152">
        <v>1000</v>
      </c>
      <c r="X2122" s="152" t="s">
        <v>23</v>
      </c>
      <c r="Y2122" s="152" t="s">
        <v>1328</v>
      </c>
      <c r="Z2122" s="152" t="s">
        <v>1327</v>
      </c>
    </row>
    <row r="2123" spans="1:26" x14ac:dyDescent="0.2">
      <c r="A2123" s="152" t="s">
        <v>3212</v>
      </c>
      <c r="B2123" s="152">
        <v>1.6</v>
      </c>
      <c r="C2123" s="151">
        <v>43417</v>
      </c>
      <c r="D2123" s="152">
        <v>5.2054999999999997E-2</v>
      </c>
      <c r="E2123" s="152" t="s">
        <v>1325</v>
      </c>
      <c r="F2123" s="152" t="s">
        <v>1326</v>
      </c>
      <c r="G2123" s="152"/>
      <c r="H2123" s="152"/>
      <c r="I2123" s="152" t="s">
        <v>1327</v>
      </c>
      <c r="J2123" s="152" t="s">
        <v>1327</v>
      </c>
      <c r="K2123" s="152" t="s">
        <v>1327</v>
      </c>
      <c r="L2123" s="152" t="s">
        <v>1327</v>
      </c>
      <c r="M2123" s="152" t="s">
        <v>1327</v>
      </c>
      <c r="N2123" s="152" t="s">
        <v>1327</v>
      </c>
      <c r="O2123" s="152">
        <v>1.3508</v>
      </c>
      <c r="P2123" s="152">
        <v>15.247239</v>
      </c>
      <c r="Q2123" s="152">
        <v>1.3508</v>
      </c>
      <c r="R2123" s="152" t="s">
        <v>1327</v>
      </c>
      <c r="S2123" s="152">
        <v>100.01219</v>
      </c>
      <c r="T2123" s="152">
        <v>1.100274</v>
      </c>
      <c r="U2123" s="152">
        <v>5.2018000000000002E-2</v>
      </c>
      <c r="V2123" s="152">
        <v>5.4120000000000001E-3</v>
      </c>
      <c r="W2123" s="152">
        <v>1000</v>
      </c>
      <c r="X2123" s="152" t="s">
        <v>23</v>
      </c>
      <c r="Y2123" s="152" t="s">
        <v>1328</v>
      </c>
      <c r="Z2123" s="152" t="s">
        <v>1327</v>
      </c>
    </row>
    <row r="2124" spans="1:26" x14ac:dyDescent="0.2">
      <c r="A2124" s="152" t="s">
        <v>204</v>
      </c>
      <c r="B2124" s="152">
        <v>1.6</v>
      </c>
      <c r="C2124" s="151">
        <v>43419</v>
      </c>
      <c r="D2124" s="152">
        <v>5.7534000000000002E-2</v>
      </c>
      <c r="E2124" s="152" t="s">
        <v>1325</v>
      </c>
      <c r="F2124" s="152" t="s">
        <v>1326</v>
      </c>
      <c r="G2124" s="152"/>
      <c r="H2124" s="152"/>
      <c r="I2124" s="152" t="s">
        <v>1327</v>
      </c>
      <c r="J2124" s="152" t="s">
        <v>1327</v>
      </c>
      <c r="K2124" s="152" t="s">
        <v>1327</v>
      </c>
      <c r="L2124" s="152" t="s">
        <v>1327</v>
      </c>
      <c r="M2124" s="152" t="s">
        <v>1327</v>
      </c>
      <c r="N2124" s="152" t="s">
        <v>1327</v>
      </c>
      <c r="O2124" s="152">
        <v>1.3557429999999999</v>
      </c>
      <c r="P2124" s="152">
        <v>14.738553</v>
      </c>
      <c r="Q2124" s="152">
        <v>1.3557429999999999</v>
      </c>
      <c r="R2124" s="152" t="s">
        <v>1327</v>
      </c>
      <c r="S2124" s="152">
        <v>100.013205</v>
      </c>
      <c r="T2124" s="152">
        <v>1.0739730000000001</v>
      </c>
      <c r="U2124" s="152">
        <v>5.7488999999999998E-2</v>
      </c>
      <c r="V2124" s="152">
        <v>6.6100000000000004E-3</v>
      </c>
      <c r="W2124" s="152">
        <v>1000</v>
      </c>
      <c r="X2124" s="152" t="s">
        <v>23</v>
      </c>
      <c r="Y2124" s="152" t="s">
        <v>1328</v>
      </c>
      <c r="Z2124" s="152" t="s">
        <v>1327</v>
      </c>
    </row>
    <row r="2125" spans="1:26" x14ac:dyDescent="0.2">
      <c r="A2125" s="152" t="s">
        <v>205</v>
      </c>
      <c r="B2125" s="152">
        <v>1.6</v>
      </c>
      <c r="C2125" s="151">
        <v>43424</v>
      </c>
      <c r="D2125" s="152">
        <v>7.1233000000000005E-2</v>
      </c>
      <c r="E2125" s="152" t="s">
        <v>1325</v>
      </c>
      <c r="F2125" s="152" t="s">
        <v>1326</v>
      </c>
      <c r="G2125" s="152"/>
      <c r="H2125" s="152"/>
      <c r="I2125" s="152" t="s">
        <v>1327</v>
      </c>
      <c r="J2125" s="152" t="s">
        <v>1327</v>
      </c>
      <c r="K2125" s="152" t="s">
        <v>1327</v>
      </c>
      <c r="L2125" s="152" t="s">
        <v>1327</v>
      </c>
      <c r="M2125" s="152" t="s">
        <v>1327</v>
      </c>
      <c r="N2125" s="152" t="s">
        <v>1327</v>
      </c>
      <c r="O2125" s="152">
        <v>1.3809739999999999</v>
      </c>
      <c r="P2125" s="152">
        <v>14.763726999999999</v>
      </c>
      <c r="Q2125" s="152">
        <v>1.3809739999999999</v>
      </c>
      <c r="R2125" s="152" t="s">
        <v>1327</v>
      </c>
      <c r="S2125" s="152">
        <v>100.014549</v>
      </c>
      <c r="T2125" s="152">
        <v>1.056438</v>
      </c>
      <c r="U2125" s="152">
        <v>7.1163000000000004E-2</v>
      </c>
      <c r="V2125" s="152">
        <v>1.0128E-2</v>
      </c>
      <c r="W2125" s="152">
        <v>1000</v>
      </c>
      <c r="X2125" s="152" t="s">
        <v>23</v>
      </c>
      <c r="Y2125" s="152" t="s">
        <v>1328</v>
      </c>
      <c r="Z2125" s="152" t="s">
        <v>1327</v>
      </c>
    </row>
    <row r="2126" spans="1:26" x14ac:dyDescent="0.2">
      <c r="A2126" s="152" t="s">
        <v>206</v>
      </c>
      <c r="B2126" s="152">
        <v>1.6</v>
      </c>
      <c r="C2126" s="151">
        <v>43426</v>
      </c>
      <c r="D2126" s="152">
        <v>7.6712000000000002E-2</v>
      </c>
      <c r="E2126" s="152" t="s">
        <v>1325</v>
      </c>
      <c r="F2126" s="152" t="s">
        <v>1326</v>
      </c>
      <c r="G2126" s="152"/>
      <c r="H2126" s="152"/>
      <c r="I2126" s="152" t="s">
        <v>1327</v>
      </c>
      <c r="J2126" s="152" t="s">
        <v>1327</v>
      </c>
      <c r="K2126" s="152" t="s">
        <v>1327</v>
      </c>
      <c r="L2126" s="152" t="s">
        <v>1327</v>
      </c>
      <c r="M2126" s="152" t="s">
        <v>1327</v>
      </c>
      <c r="N2126" s="152" t="s">
        <v>1327</v>
      </c>
      <c r="O2126" s="152">
        <v>1.3911039999999999</v>
      </c>
      <c r="P2126" s="152">
        <v>14.776128999999999</v>
      </c>
      <c r="Q2126" s="152">
        <v>1.3911039999999999</v>
      </c>
      <c r="R2126" s="152" t="s">
        <v>1327</v>
      </c>
      <c r="S2126" s="152">
        <v>100.014886</v>
      </c>
      <c r="T2126" s="152">
        <v>1.052055</v>
      </c>
      <c r="U2126" s="152">
        <v>7.6631000000000005E-2</v>
      </c>
      <c r="V2126" s="152">
        <v>1.1743999999999999E-2</v>
      </c>
      <c r="W2126" s="152">
        <v>1000</v>
      </c>
      <c r="X2126" s="152" t="s">
        <v>23</v>
      </c>
      <c r="Y2126" s="152" t="s">
        <v>1328</v>
      </c>
      <c r="Z2126" s="152" t="s">
        <v>1327</v>
      </c>
    </row>
    <row r="2127" spans="1:26" x14ac:dyDescent="0.2">
      <c r="A2127" s="152" t="s">
        <v>207</v>
      </c>
      <c r="B2127" s="152">
        <v>1.6</v>
      </c>
      <c r="C2127" s="151">
        <v>43427</v>
      </c>
      <c r="D2127" s="152">
        <v>7.9451999999999995E-2</v>
      </c>
      <c r="E2127" s="152" t="s">
        <v>1325</v>
      </c>
      <c r="F2127" s="152" t="s">
        <v>1326</v>
      </c>
      <c r="G2127" s="152"/>
      <c r="H2127" s="152"/>
      <c r="I2127" s="152" t="s">
        <v>1327</v>
      </c>
      <c r="J2127" s="152" t="s">
        <v>1327</v>
      </c>
      <c r="K2127" s="152" t="s">
        <v>1327</v>
      </c>
      <c r="L2127" s="152" t="s">
        <v>1327</v>
      </c>
      <c r="M2127" s="152" t="s">
        <v>1327</v>
      </c>
      <c r="N2127" s="152" t="s">
        <v>1327</v>
      </c>
      <c r="O2127" s="152">
        <v>1.396177</v>
      </c>
      <c r="P2127" s="152">
        <v>14.783051</v>
      </c>
      <c r="Q2127" s="152">
        <v>1.396177</v>
      </c>
      <c r="R2127" s="152" t="s">
        <v>1327</v>
      </c>
      <c r="S2127" s="152">
        <v>100.01501</v>
      </c>
      <c r="T2127" s="152">
        <v>1.052055</v>
      </c>
      <c r="U2127" s="152">
        <v>7.9364000000000004E-2</v>
      </c>
      <c r="V2127" s="152">
        <v>1.2597000000000001E-2</v>
      </c>
      <c r="W2127" s="152">
        <v>1000</v>
      </c>
      <c r="X2127" s="152" t="s">
        <v>23</v>
      </c>
      <c r="Y2127" s="152" t="s">
        <v>1328</v>
      </c>
      <c r="Z2127" s="152" t="s">
        <v>1327</v>
      </c>
    </row>
    <row r="2128" spans="1:26" x14ac:dyDescent="0.2">
      <c r="A2128" s="152" t="s">
        <v>3213</v>
      </c>
      <c r="B2128" s="152">
        <v>1.6</v>
      </c>
      <c r="C2128" s="151">
        <v>43430</v>
      </c>
      <c r="D2128" s="152">
        <v>8.7670999999999999E-2</v>
      </c>
      <c r="E2128" s="152" t="s">
        <v>1325</v>
      </c>
      <c r="F2128" s="152" t="s">
        <v>1326</v>
      </c>
      <c r="G2128" s="152"/>
      <c r="H2128" s="152"/>
      <c r="I2128" s="152" t="s">
        <v>1327</v>
      </c>
      <c r="J2128" s="152" t="s">
        <v>1327</v>
      </c>
      <c r="K2128" s="152" t="s">
        <v>1327</v>
      </c>
      <c r="L2128" s="152" t="s">
        <v>1327</v>
      </c>
      <c r="M2128" s="152" t="s">
        <v>1327</v>
      </c>
      <c r="N2128" s="152" t="s">
        <v>1327</v>
      </c>
      <c r="O2128" s="152">
        <v>1.411429</v>
      </c>
      <c r="P2128" s="152">
        <v>14.807831</v>
      </c>
      <c r="Q2128" s="152">
        <v>1.411429</v>
      </c>
      <c r="R2128" s="152" t="s">
        <v>1327</v>
      </c>
      <c r="S2128" s="152">
        <v>100.01522799999999</v>
      </c>
      <c r="T2128" s="152">
        <v>1.038904</v>
      </c>
      <c r="U2128" s="152">
        <v>8.7563000000000002E-2</v>
      </c>
      <c r="V2128" s="152">
        <v>1.5335E-2</v>
      </c>
      <c r="W2128" s="152">
        <v>1000</v>
      </c>
      <c r="X2128" s="152" t="s">
        <v>23</v>
      </c>
      <c r="Y2128" s="152" t="s">
        <v>1328</v>
      </c>
      <c r="Z2128" s="152" t="s">
        <v>1327</v>
      </c>
    </row>
    <row r="2129" spans="1:26" x14ac:dyDescent="0.2">
      <c r="A2129" s="152" t="s">
        <v>3214</v>
      </c>
      <c r="B2129" s="152">
        <v>1.6</v>
      </c>
      <c r="C2129" s="151">
        <v>43431</v>
      </c>
      <c r="D2129" s="152">
        <v>9.0411000000000005E-2</v>
      </c>
      <c r="E2129" s="152" t="s">
        <v>1325</v>
      </c>
      <c r="F2129" s="152" t="s">
        <v>1326</v>
      </c>
      <c r="G2129" s="152"/>
      <c r="H2129" s="152"/>
      <c r="I2129" s="152" t="s">
        <v>1327</v>
      </c>
      <c r="J2129" s="152" t="s">
        <v>1327</v>
      </c>
      <c r="K2129" s="152" t="s">
        <v>1327</v>
      </c>
      <c r="L2129" s="152" t="s">
        <v>1327</v>
      </c>
      <c r="M2129" s="152" t="s">
        <v>1327</v>
      </c>
      <c r="N2129" s="152" t="s">
        <v>1327</v>
      </c>
      <c r="O2129" s="152">
        <v>1.416525</v>
      </c>
      <c r="P2129" s="152">
        <v>14.817691999999999</v>
      </c>
      <c r="Q2129" s="152">
        <v>1.416525</v>
      </c>
      <c r="R2129" s="152" t="s">
        <v>1327</v>
      </c>
      <c r="S2129" s="152">
        <v>100.015238</v>
      </c>
      <c r="T2129" s="152">
        <v>1.038904</v>
      </c>
      <c r="U2129" s="152">
        <v>9.0295E-2</v>
      </c>
      <c r="V2129" s="152">
        <v>1.6306000000000001E-2</v>
      </c>
      <c r="W2129" s="152">
        <v>1000</v>
      </c>
      <c r="X2129" s="152" t="s">
        <v>23</v>
      </c>
      <c r="Y2129" s="152" t="s">
        <v>1328</v>
      </c>
      <c r="Z2129" s="152" t="s">
        <v>1327</v>
      </c>
    </row>
    <row r="2130" spans="1:26" x14ac:dyDescent="0.2">
      <c r="A2130" s="152" t="s">
        <v>3215</v>
      </c>
      <c r="B2130" s="152">
        <v>1.6</v>
      </c>
      <c r="C2130" s="151">
        <v>43431</v>
      </c>
      <c r="D2130" s="152">
        <v>9.0411000000000005E-2</v>
      </c>
      <c r="E2130" s="152" t="s">
        <v>1325</v>
      </c>
      <c r="F2130" s="152" t="s">
        <v>1326</v>
      </c>
      <c r="G2130" s="152"/>
      <c r="H2130" s="152"/>
      <c r="I2130" s="152" t="s">
        <v>1327</v>
      </c>
      <c r="J2130" s="152" t="s">
        <v>1327</v>
      </c>
      <c r="K2130" s="152" t="s">
        <v>1327</v>
      </c>
      <c r="L2130" s="152" t="s">
        <v>1327</v>
      </c>
      <c r="M2130" s="152" t="s">
        <v>1327</v>
      </c>
      <c r="N2130" s="152" t="s">
        <v>1327</v>
      </c>
      <c r="O2130" s="152">
        <v>1.416525</v>
      </c>
      <c r="P2130" s="152">
        <v>14.817691999999999</v>
      </c>
      <c r="Q2130" s="152">
        <v>1.416525</v>
      </c>
      <c r="R2130" s="152" t="s">
        <v>1327</v>
      </c>
      <c r="S2130" s="152">
        <v>100.015238</v>
      </c>
      <c r="T2130" s="152">
        <v>1.038904</v>
      </c>
      <c r="U2130" s="152">
        <v>9.0295E-2</v>
      </c>
      <c r="V2130" s="152">
        <v>1.6306000000000001E-2</v>
      </c>
      <c r="W2130" s="152">
        <v>1000</v>
      </c>
      <c r="X2130" s="152" t="s">
        <v>23</v>
      </c>
      <c r="Y2130" s="152" t="s">
        <v>1328</v>
      </c>
      <c r="Z2130" s="152" t="s">
        <v>1327</v>
      </c>
    </row>
    <row r="2131" spans="1:26" x14ac:dyDescent="0.2">
      <c r="A2131" s="152" t="s">
        <v>3216</v>
      </c>
      <c r="B2131" s="152">
        <v>1.6</v>
      </c>
      <c r="C2131" s="151">
        <v>43431</v>
      </c>
      <c r="D2131" s="152">
        <v>9.0411000000000005E-2</v>
      </c>
      <c r="E2131" s="152" t="s">
        <v>1325</v>
      </c>
      <c r="F2131" s="152" t="s">
        <v>1326</v>
      </c>
      <c r="G2131" s="152"/>
      <c r="H2131" s="152"/>
      <c r="I2131" s="152" t="s">
        <v>1327</v>
      </c>
      <c r="J2131" s="152" t="s">
        <v>1327</v>
      </c>
      <c r="K2131" s="152" t="s">
        <v>1327</v>
      </c>
      <c r="L2131" s="152" t="s">
        <v>1327</v>
      </c>
      <c r="M2131" s="152" t="s">
        <v>1327</v>
      </c>
      <c r="N2131" s="152" t="s">
        <v>1327</v>
      </c>
      <c r="O2131" s="152">
        <v>1.416525</v>
      </c>
      <c r="P2131" s="152">
        <v>14.817691999999999</v>
      </c>
      <c r="Q2131" s="152">
        <v>1.416525</v>
      </c>
      <c r="R2131" s="152" t="s">
        <v>1327</v>
      </c>
      <c r="S2131" s="152">
        <v>100.015238</v>
      </c>
      <c r="T2131" s="152">
        <v>1.038904</v>
      </c>
      <c r="U2131" s="152">
        <v>9.0295E-2</v>
      </c>
      <c r="V2131" s="152">
        <v>1.6306000000000001E-2</v>
      </c>
      <c r="W2131" s="152">
        <v>1000</v>
      </c>
      <c r="X2131" s="152" t="s">
        <v>23</v>
      </c>
      <c r="Y2131" s="152" t="s">
        <v>1328</v>
      </c>
      <c r="Z2131" s="152" t="s">
        <v>1327</v>
      </c>
    </row>
    <row r="2132" spans="1:26" x14ac:dyDescent="0.2">
      <c r="A2132" s="152" t="s">
        <v>3217</v>
      </c>
      <c r="B2132" s="152">
        <v>1.6</v>
      </c>
      <c r="C2132" s="151">
        <v>43433</v>
      </c>
      <c r="D2132" s="152">
        <v>9.5890000000000003E-2</v>
      </c>
      <c r="E2132" s="152" t="s">
        <v>1325</v>
      </c>
      <c r="F2132" s="152" t="s">
        <v>1326</v>
      </c>
      <c r="G2132" s="152"/>
      <c r="H2132" s="152"/>
      <c r="I2132" s="152" t="s">
        <v>1327</v>
      </c>
      <c r="J2132" s="152" t="s">
        <v>1327</v>
      </c>
      <c r="K2132" s="152" t="s">
        <v>1327</v>
      </c>
      <c r="L2132" s="152" t="s">
        <v>1327</v>
      </c>
      <c r="M2132" s="152" t="s">
        <v>1327</v>
      </c>
      <c r="N2132" s="152" t="s">
        <v>1327</v>
      </c>
      <c r="O2132" s="152">
        <v>1.426731</v>
      </c>
      <c r="P2132" s="152">
        <v>14.839928</v>
      </c>
      <c r="Q2132" s="152">
        <v>1.426731</v>
      </c>
      <c r="R2132" s="152" t="s">
        <v>1327</v>
      </c>
      <c r="S2132" s="152">
        <v>100.015191</v>
      </c>
      <c r="T2132" s="152">
        <v>1.0257529999999999</v>
      </c>
      <c r="U2132" s="152">
        <v>9.5758999999999997E-2</v>
      </c>
      <c r="V2132" s="152">
        <v>1.8339999999999999E-2</v>
      </c>
      <c r="W2132" s="152">
        <v>1000</v>
      </c>
      <c r="X2132" s="152" t="s">
        <v>23</v>
      </c>
      <c r="Y2132" s="152" t="s">
        <v>1328</v>
      </c>
      <c r="Z2132" s="152" t="s">
        <v>1327</v>
      </c>
    </row>
    <row r="2133" spans="1:26" x14ac:dyDescent="0.2">
      <c r="A2133" s="152" t="s">
        <v>3218</v>
      </c>
      <c r="B2133" s="152">
        <v>1.6</v>
      </c>
      <c r="C2133" s="151">
        <v>43433</v>
      </c>
      <c r="D2133" s="152">
        <v>9.5890000000000003E-2</v>
      </c>
      <c r="E2133" s="152" t="s">
        <v>1325</v>
      </c>
      <c r="F2133" s="152" t="s">
        <v>1326</v>
      </c>
      <c r="G2133" s="152"/>
      <c r="H2133" s="152"/>
      <c r="I2133" s="152" t="s">
        <v>1327</v>
      </c>
      <c r="J2133" s="152" t="s">
        <v>1327</v>
      </c>
      <c r="K2133" s="152" t="s">
        <v>1327</v>
      </c>
      <c r="L2133" s="152" t="s">
        <v>1327</v>
      </c>
      <c r="M2133" s="152" t="s">
        <v>1327</v>
      </c>
      <c r="N2133" s="152" t="s">
        <v>1327</v>
      </c>
      <c r="O2133" s="152">
        <v>1.426731</v>
      </c>
      <c r="P2133" s="152">
        <v>14.839928</v>
      </c>
      <c r="Q2133" s="152">
        <v>1.426731</v>
      </c>
      <c r="R2133" s="152" t="s">
        <v>1327</v>
      </c>
      <c r="S2133" s="152">
        <v>100.015208</v>
      </c>
      <c r="T2133" s="152">
        <v>1.0126029999999999</v>
      </c>
      <c r="U2133" s="152">
        <v>9.5758999999999997E-2</v>
      </c>
      <c r="V2133" s="152">
        <v>1.8339999999999999E-2</v>
      </c>
      <c r="W2133" s="152">
        <v>1000</v>
      </c>
      <c r="X2133" s="152" t="s">
        <v>23</v>
      </c>
      <c r="Y2133" s="152" t="s">
        <v>1328</v>
      </c>
      <c r="Z2133" s="152" t="s">
        <v>1327</v>
      </c>
    </row>
    <row r="2134" spans="1:26" x14ac:dyDescent="0.2">
      <c r="A2134" s="152" t="s">
        <v>3219</v>
      </c>
      <c r="B2134" s="152">
        <v>1.6</v>
      </c>
      <c r="C2134" s="151">
        <v>43434</v>
      </c>
      <c r="D2134" s="152">
        <v>9.8629999999999995E-2</v>
      </c>
      <c r="E2134" s="152" t="s">
        <v>1325</v>
      </c>
      <c r="F2134" s="152" t="s">
        <v>1326</v>
      </c>
      <c r="G2134" s="152"/>
      <c r="H2134" s="152"/>
      <c r="I2134" s="152" t="s">
        <v>1327</v>
      </c>
      <c r="J2134" s="152" t="s">
        <v>1327</v>
      </c>
      <c r="K2134" s="152" t="s">
        <v>1327</v>
      </c>
      <c r="L2134" s="152" t="s">
        <v>1327</v>
      </c>
      <c r="M2134" s="152" t="s">
        <v>1327</v>
      </c>
      <c r="N2134" s="152" t="s">
        <v>1327</v>
      </c>
      <c r="O2134" s="152">
        <v>1.4318439999999999</v>
      </c>
      <c r="P2134" s="152">
        <v>14.852643</v>
      </c>
      <c r="Q2134" s="152">
        <v>1.4318439999999999</v>
      </c>
      <c r="R2134" s="152" t="s">
        <v>1327</v>
      </c>
      <c r="S2134" s="152">
        <v>100.01512099999999</v>
      </c>
      <c r="T2134" s="152">
        <v>1.0213699999999999</v>
      </c>
      <c r="U2134" s="152">
        <v>9.8490999999999995E-2</v>
      </c>
      <c r="V2134" s="152">
        <v>1.9401000000000002E-2</v>
      </c>
      <c r="W2134" s="152">
        <v>1000</v>
      </c>
      <c r="X2134" s="152" t="s">
        <v>23</v>
      </c>
      <c r="Y2134" s="152" t="s">
        <v>1328</v>
      </c>
      <c r="Z2134" s="152" t="s">
        <v>1327</v>
      </c>
    </row>
    <row r="2135" spans="1:26" x14ac:dyDescent="0.2">
      <c r="A2135" s="152" t="s">
        <v>208</v>
      </c>
      <c r="B2135" s="152">
        <v>1.6</v>
      </c>
      <c r="C2135" s="151">
        <v>43434</v>
      </c>
      <c r="D2135" s="152">
        <v>9.8629999999999995E-2</v>
      </c>
      <c r="E2135" s="152" t="s">
        <v>1325</v>
      </c>
      <c r="F2135" s="152" t="s">
        <v>1326</v>
      </c>
      <c r="G2135" s="152"/>
      <c r="H2135" s="152"/>
      <c r="I2135" s="152" t="s">
        <v>1327</v>
      </c>
      <c r="J2135" s="152" t="s">
        <v>1327</v>
      </c>
      <c r="K2135" s="152" t="s">
        <v>1327</v>
      </c>
      <c r="L2135" s="152" t="s">
        <v>1327</v>
      </c>
      <c r="M2135" s="152" t="s">
        <v>1327</v>
      </c>
      <c r="N2135" s="152" t="s">
        <v>1327</v>
      </c>
      <c r="O2135" s="152">
        <v>1.4318439999999999</v>
      </c>
      <c r="P2135" s="152">
        <v>14.852643</v>
      </c>
      <c r="Q2135" s="152">
        <v>1.4318439999999999</v>
      </c>
      <c r="R2135" s="152" t="s">
        <v>1327</v>
      </c>
      <c r="S2135" s="152">
        <v>100.015128</v>
      </c>
      <c r="T2135" s="152">
        <v>1.0169859999999999</v>
      </c>
      <c r="U2135" s="152">
        <v>9.8490999999999995E-2</v>
      </c>
      <c r="V2135" s="152">
        <v>1.9401000000000002E-2</v>
      </c>
      <c r="W2135" s="152">
        <v>1000</v>
      </c>
      <c r="X2135" s="152" t="s">
        <v>23</v>
      </c>
      <c r="Y2135" s="152" t="s">
        <v>1328</v>
      </c>
      <c r="Z2135" s="152" t="s">
        <v>1327</v>
      </c>
    </row>
    <row r="2136" spans="1:26" x14ac:dyDescent="0.2">
      <c r="A2136" s="152" t="s">
        <v>3220</v>
      </c>
      <c r="B2136" s="152">
        <v>1.6</v>
      </c>
      <c r="C2136" s="151">
        <v>43399</v>
      </c>
      <c r="D2136" s="152">
        <v>2.7399999999999998E-3</v>
      </c>
      <c r="E2136" s="152" t="s">
        <v>1325</v>
      </c>
      <c r="F2136" s="152" t="s">
        <v>1326</v>
      </c>
      <c r="G2136" s="152"/>
      <c r="H2136" s="152"/>
      <c r="I2136" s="152" t="s">
        <v>1327</v>
      </c>
      <c r="J2136" s="152" t="s">
        <v>1327</v>
      </c>
      <c r="K2136" s="152" t="s">
        <v>1327</v>
      </c>
      <c r="L2136" s="152" t="s">
        <v>1327</v>
      </c>
      <c r="M2136" s="152" t="s">
        <v>1327</v>
      </c>
      <c r="N2136" s="152" t="s">
        <v>1327</v>
      </c>
      <c r="O2136" s="152">
        <v>1.3532310000000001</v>
      </c>
      <c r="P2136" s="152">
        <v>24.406732999999999</v>
      </c>
      <c r="Q2136" s="152">
        <v>1.3532310000000001</v>
      </c>
      <c r="R2136" s="152" t="s">
        <v>1327</v>
      </c>
      <c r="S2136" s="152">
        <v>100.000632</v>
      </c>
      <c r="T2136" s="152">
        <v>1.1791780000000001</v>
      </c>
      <c r="U2136" s="152">
        <v>2.7399999999999998E-3</v>
      </c>
      <c r="V2136" s="152">
        <v>1.5E-5</v>
      </c>
      <c r="W2136" s="152">
        <v>1000</v>
      </c>
      <c r="X2136" s="152" t="s">
        <v>23</v>
      </c>
      <c r="Y2136" s="152" t="s">
        <v>1328</v>
      </c>
      <c r="Z2136" s="152" t="s">
        <v>1327</v>
      </c>
    </row>
    <row r="2137" spans="1:26" x14ac:dyDescent="0.2">
      <c r="A2137" s="152" t="s">
        <v>3221</v>
      </c>
      <c r="B2137" s="152">
        <v>1.6</v>
      </c>
      <c r="C2137" s="151">
        <v>43399</v>
      </c>
      <c r="D2137" s="152">
        <v>2.7399999999999998E-3</v>
      </c>
      <c r="E2137" s="152" t="s">
        <v>1325</v>
      </c>
      <c r="F2137" s="152" t="s">
        <v>1326</v>
      </c>
      <c r="G2137" s="152"/>
      <c r="H2137" s="152"/>
      <c r="I2137" s="152">
        <v>43280</v>
      </c>
      <c r="J2137" s="152">
        <v>1.56</v>
      </c>
      <c r="K2137" s="152" t="s">
        <v>1327</v>
      </c>
      <c r="L2137" s="152" t="s">
        <v>1327</v>
      </c>
      <c r="M2137" s="152" t="s">
        <v>1327</v>
      </c>
      <c r="N2137" s="152" t="s">
        <v>1327</v>
      </c>
      <c r="O2137" s="152">
        <v>1.3532310000000001</v>
      </c>
      <c r="P2137" s="152">
        <v>24.406732999999999</v>
      </c>
      <c r="Q2137" s="152">
        <v>1.3532310000000001</v>
      </c>
      <c r="R2137" s="152" t="s">
        <v>1327</v>
      </c>
      <c r="S2137" s="152">
        <v>100.00063299999999</v>
      </c>
      <c r="T2137" s="152">
        <v>1.1616439999999999</v>
      </c>
      <c r="U2137" s="152">
        <v>2.7399999999999998E-3</v>
      </c>
      <c r="V2137" s="152">
        <v>1.5E-5</v>
      </c>
      <c r="W2137" s="152">
        <v>1000</v>
      </c>
      <c r="X2137" s="152" t="s">
        <v>23</v>
      </c>
      <c r="Y2137" s="152" t="s">
        <v>1328</v>
      </c>
      <c r="Z2137" s="152" t="s">
        <v>1327</v>
      </c>
    </row>
    <row r="2138" spans="1:26" x14ac:dyDescent="0.2">
      <c r="A2138" s="152" t="s">
        <v>3222</v>
      </c>
      <c r="B2138" s="152">
        <v>1.57</v>
      </c>
      <c r="C2138" s="151">
        <v>43402</v>
      </c>
      <c r="D2138" s="152">
        <v>1.0959E-2</v>
      </c>
      <c r="E2138" s="152" t="s">
        <v>1325</v>
      </c>
      <c r="F2138" s="152" t="s">
        <v>1326</v>
      </c>
      <c r="G2138" s="152"/>
      <c r="H2138" s="152"/>
      <c r="I2138" s="152" t="s">
        <v>1327</v>
      </c>
      <c r="J2138" s="152" t="s">
        <v>1327</v>
      </c>
      <c r="K2138" s="152" t="s">
        <v>1327</v>
      </c>
      <c r="L2138" s="152" t="s">
        <v>1327</v>
      </c>
      <c r="M2138" s="152" t="s">
        <v>1327</v>
      </c>
      <c r="N2138" s="152" t="s">
        <v>1327</v>
      </c>
      <c r="O2138" s="152">
        <v>1.3527169999999999</v>
      </c>
      <c r="P2138" s="152">
        <v>22.898828999999999</v>
      </c>
      <c r="Q2138" s="152">
        <v>1.3527169999999999</v>
      </c>
      <c r="R2138" s="152" t="s">
        <v>1327</v>
      </c>
      <c r="S2138" s="152">
        <v>100.002267</v>
      </c>
      <c r="T2138" s="152">
        <v>0.76564399999999999</v>
      </c>
      <c r="U2138" s="152">
        <v>1.0957E-2</v>
      </c>
      <c r="V2138" s="152">
        <v>2.4000000000000001E-4</v>
      </c>
      <c r="W2138" s="152">
        <v>1000</v>
      </c>
      <c r="X2138" s="152" t="s">
        <v>23</v>
      </c>
      <c r="Y2138" s="152" t="s">
        <v>1328</v>
      </c>
      <c r="Z2138" s="152" t="s">
        <v>1327</v>
      </c>
    </row>
    <row r="2139" spans="1:26" x14ac:dyDescent="0.2">
      <c r="A2139" s="152" t="s">
        <v>3223</v>
      </c>
      <c r="B2139" s="152">
        <v>1.52</v>
      </c>
      <c r="C2139" s="151">
        <v>43403</v>
      </c>
      <c r="D2139" s="152">
        <v>1.3698999999999999E-2</v>
      </c>
      <c r="E2139" s="152" t="s">
        <v>1325</v>
      </c>
      <c r="F2139" s="152" t="s">
        <v>1326</v>
      </c>
      <c r="G2139" s="152"/>
      <c r="H2139" s="152"/>
      <c r="I2139" s="152" t="s">
        <v>1327</v>
      </c>
      <c r="J2139" s="152" t="s">
        <v>1327</v>
      </c>
      <c r="K2139" s="152" t="s">
        <v>1327</v>
      </c>
      <c r="L2139" s="152" t="s">
        <v>1327</v>
      </c>
      <c r="M2139" s="152" t="s">
        <v>1327</v>
      </c>
      <c r="N2139" s="152" t="s">
        <v>1327</v>
      </c>
      <c r="O2139" s="152">
        <v>1.352555</v>
      </c>
      <c r="P2139" s="152">
        <v>22.393888</v>
      </c>
      <c r="Q2139" s="152">
        <v>1.352555</v>
      </c>
      <c r="R2139" s="152" t="s">
        <v>1327</v>
      </c>
      <c r="S2139" s="152">
        <v>100.002154</v>
      </c>
      <c r="T2139" s="152">
        <v>0.75375300000000001</v>
      </c>
      <c r="U2139" s="152">
        <v>1.3696E-2</v>
      </c>
      <c r="V2139" s="152">
        <v>3.7500000000000001E-4</v>
      </c>
      <c r="W2139" s="152">
        <v>1000</v>
      </c>
      <c r="X2139" s="152" t="s">
        <v>23</v>
      </c>
      <c r="Y2139" s="152" t="s">
        <v>1328</v>
      </c>
      <c r="Z2139" s="152" t="s">
        <v>1327</v>
      </c>
    </row>
    <row r="2140" spans="1:26" x14ac:dyDescent="0.2">
      <c r="A2140" s="152" t="s">
        <v>3224</v>
      </c>
      <c r="B2140" s="152">
        <v>1.57</v>
      </c>
      <c r="C2140" s="151">
        <v>43404</v>
      </c>
      <c r="D2140" s="152">
        <v>1.6438000000000001E-2</v>
      </c>
      <c r="E2140" s="152" t="s">
        <v>1325</v>
      </c>
      <c r="F2140" s="152" t="s">
        <v>1326</v>
      </c>
      <c r="G2140" s="152"/>
      <c r="H2140" s="152"/>
      <c r="I2140" s="152" t="s">
        <v>1327</v>
      </c>
      <c r="J2140" s="152" t="s">
        <v>1327</v>
      </c>
      <c r="K2140" s="152" t="s">
        <v>1327</v>
      </c>
      <c r="L2140" s="152" t="s">
        <v>1327</v>
      </c>
      <c r="M2140" s="152" t="s">
        <v>1327</v>
      </c>
      <c r="N2140" s="152" t="s">
        <v>1327</v>
      </c>
      <c r="O2140" s="152">
        <v>1.352398</v>
      </c>
      <c r="P2140" s="152">
        <v>21.887909000000001</v>
      </c>
      <c r="Q2140" s="152">
        <v>1.352398</v>
      </c>
      <c r="R2140" s="152" t="s">
        <v>1327</v>
      </c>
      <c r="S2140" s="152">
        <v>100.003406</v>
      </c>
      <c r="T2140" s="152">
        <v>0.76564399999999999</v>
      </c>
      <c r="U2140" s="152">
        <v>1.6435000000000002E-2</v>
      </c>
      <c r="V2140" s="152">
        <v>5.4000000000000001E-4</v>
      </c>
      <c r="W2140" s="152">
        <v>1000</v>
      </c>
      <c r="X2140" s="152" t="s">
        <v>23</v>
      </c>
      <c r="Y2140" s="152" t="s">
        <v>1328</v>
      </c>
      <c r="Z2140" s="152" t="s">
        <v>1327</v>
      </c>
    </row>
    <row r="2141" spans="1:26" x14ac:dyDescent="0.2">
      <c r="A2141" s="152" t="s">
        <v>3225</v>
      </c>
      <c r="B2141" s="152">
        <v>1.57</v>
      </c>
      <c r="C2141" s="151">
        <v>43468</v>
      </c>
      <c r="D2141" s="152">
        <v>0.19178100000000001</v>
      </c>
      <c r="E2141" s="152" t="s">
        <v>1325</v>
      </c>
      <c r="F2141" s="152" t="s">
        <v>1326</v>
      </c>
      <c r="G2141" s="152"/>
      <c r="H2141" s="152"/>
      <c r="I2141" s="152" t="s">
        <v>1327</v>
      </c>
      <c r="J2141" s="152" t="s">
        <v>1327</v>
      </c>
      <c r="K2141" s="152" t="s">
        <v>1327</v>
      </c>
      <c r="L2141" s="152" t="s">
        <v>1327</v>
      </c>
      <c r="M2141" s="152" t="s">
        <v>1327</v>
      </c>
      <c r="N2141" s="152" t="s">
        <v>1327</v>
      </c>
      <c r="O2141" s="152">
        <v>1.609256</v>
      </c>
      <c r="P2141" s="152">
        <v>16.381979000000001</v>
      </c>
      <c r="Q2141" s="152">
        <v>1.609256</v>
      </c>
      <c r="R2141" s="152" t="s">
        <v>1327</v>
      </c>
      <c r="S2141" s="152">
        <v>99.989861000000005</v>
      </c>
      <c r="T2141" s="152">
        <v>0.85597299999999998</v>
      </c>
      <c r="U2141" s="152">
        <v>0.191191</v>
      </c>
      <c r="V2141" s="152">
        <v>7.3108000000000006E-2</v>
      </c>
      <c r="W2141" s="152">
        <v>1000</v>
      </c>
      <c r="X2141" s="152" t="s">
        <v>23</v>
      </c>
      <c r="Y2141" s="152" t="s">
        <v>1328</v>
      </c>
      <c r="Z2141" s="152" t="s">
        <v>1327</v>
      </c>
    </row>
    <row r="2142" spans="1:26" x14ac:dyDescent="0.2">
      <c r="A2142" s="152" t="s">
        <v>3226</v>
      </c>
      <c r="B2142" s="152">
        <v>1.65</v>
      </c>
      <c r="C2142" s="151">
        <v>43473</v>
      </c>
      <c r="D2142" s="152">
        <v>0.20547899999999999</v>
      </c>
      <c r="E2142" s="152" t="s">
        <v>1325</v>
      </c>
      <c r="F2142" s="152" t="s">
        <v>1326</v>
      </c>
      <c r="G2142" s="152"/>
      <c r="H2142" s="152"/>
      <c r="I2142" s="152" t="s">
        <v>1327</v>
      </c>
      <c r="J2142" s="152" t="s">
        <v>1327</v>
      </c>
      <c r="K2142" s="152" t="s">
        <v>1327</v>
      </c>
      <c r="L2142" s="152" t="s">
        <v>1327</v>
      </c>
      <c r="M2142" s="152" t="s">
        <v>1327</v>
      </c>
      <c r="N2142" s="152" t="s">
        <v>1327</v>
      </c>
      <c r="O2142" s="152">
        <v>1.635977</v>
      </c>
      <c r="P2142" s="152">
        <v>16.876730999999999</v>
      </c>
      <c r="Q2142" s="152">
        <v>1.635977</v>
      </c>
      <c r="R2142" s="152" t="s">
        <v>1327</v>
      </c>
      <c r="S2142" s="152">
        <v>100.00063</v>
      </c>
      <c r="T2142" s="152">
        <v>0.669041</v>
      </c>
      <c r="U2142" s="152">
        <v>0.204791</v>
      </c>
      <c r="V2142" s="152">
        <v>8.3878999999999995E-2</v>
      </c>
      <c r="W2142" s="152">
        <v>1000</v>
      </c>
      <c r="X2142" s="152" t="s">
        <v>23</v>
      </c>
      <c r="Y2142" s="152" t="s">
        <v>1328</v>
      </c>
      <c r="Z2142" s="152" t="s">
        <v>1327</v>
      </c>
    </row>
    <row r="2143" spans="1:26" x14ac:dyDescent="0.2">
      <c r="A2143" s="152" t="s">
        <v>3227</v>
      </c>
      <c r="B2143" s="152">
        <v>1.66</v>
      </c>
      <c r="C2143" s="151">
        <v>43473</v>
      </c>
      <c r="D2143" s="152">
        <v>0.20547899999999999</v>
      </c>
      <c r="E2143" s="152" t="s">
        <v>1325</v>
      </c>
      <c r="F2143" s="152" t="s">
        <v>1326</v>
      </c>
      <c r="G2143" s="152"/>
      <c r="H2143" s="152"/>
      <c r="I2143" s="152" t="s">
        <v>1327</v>
      </c>
      <c r="J2143" s="152" t="s">
        <v>1327</v>
      </c>
      <c r="K2143" s="152" t="s">
        <v>1327</v>
      </c>
      <c r="L2143" s="152" t="s">
        <v>1327</v>
      </c>
      <c r="M2143" s="152" t="s">
        <v>1327</v>
      </c>
      <c r="N2143" s="152" t="s">
        <v>1327</v>
      </c>
      <c r="O2143" s="152">
        <v>1.635977</v>
      </c>
      <c r="P2143" s="152">
        <v>16.876730999999999</v>
      </c>
      <c r="Q2143" s="152">
        <v>1.635977</v>
      </c>
      <c r="R2143" s="152" t="s">
        <v>1327</v>
      </c>
      <c r="S2143" s="152">
        <v>100.002557</v>
      </c>
      <c r="T2143" s="152">
        <v>0.704932</v>
      </c>
      <c r="U2143" s="152">
        <v>0.204791</v>
      </c>
      <c r="V2143" s="152">
        <v>8.3878999999999995E-2</v>
      </c>
      <c r="W2143" s="152">
        <v>1000</v>
      </c>
      <c r="X2143" s="152" t="s">
        <v>23</v>
      </c>
      <c r="Y2143" s="152" t="s">
        <v>1328</v>
      </c>
      <c r="Z2143" s="152" t="s">
        <v>1327</v>
      </c>
    </row>
    <row r="2144" spans="1:26" x14ac:dyDescent="0.2">
      <c r="A2144" s="152" t="s">
        <v>3228</v>
      </c>
      <c r="B2144" s="152">
        <v>1.57</v>
      </c>
      <c r="C2144" s="151">
        <v>43479</v>
      </c>
      <c r="D2144" s="152">
        <v>0.221918</v>
      </c>
      <c r="E2144" s="152" t="s">
        <v>1325</v>
      </c>
      <c r="F2144" s="152" t="s">
        <v>1326</v>
      </c>
      <c r="G2144" s="152"/>
      <c r="H2144" s="152"/>
      <c r="I2144" s="152" t="s">
        <v>1327</v>
      </c>
      <c r="J2144" s="152" t="s">
        <v>1327</v>
      </c>
      <c r="K2144" s="152" t="s">
        <v>1327</v>
      </c>
      <c r="L2144" s="152" t="s">
        <v>1327</v>
      </c>
      <c r="M2144" s="152" t="s">
        <v>1327</v>
      </c>
      <c r="N2144" s="152" t="s">
        <v>1327</v>
      </c>
      <c r="O2144" s="152">
        <v>1.668272</v>
      </c>
      <c r="P2144" s="152">
        <v>17.595853000000002</v>
      </c>
      <c r="Q2144" s="152">
        <v>1.668272</v>
      </c>
      <c r="R2144" s="152" t="s">
        <v>1327</v>
      </c>
      <c r="S2144" s="152">
        <v>99.975273000000001</v>
      </c>
      <c r="T2144" s="152">
        <v>0.81295899999999999</v>
      </c>
      <c r="U2144" s="152">
        <v>0.22109899999999999</v>
      </c>
      <c r="V2144" s="152">
        <v>9.7769999999999996E-2</v>
      </c>
      <c r="W2144" s="152">
        <v>1000</v>
      </c>
      <c r="X2144" s="152" t="s">
        <v>23</v>
      </c>
      <c r="Y2144" s="152" t="s">
        <v>1328</v>
      </c>
      <c r="Z2144" s="152" t="s">
        <v>1327</v>
      </c>
    </row>
    <row r="2145" spans="1:26" x14ac:dyDescent="0.2">
      <c r="A2145" s="152" t="s">
        <v>3229</v>
      </c>
      <c r="B2145" s="152">
        <v>1.57</v>
      </c>
      <c r="C2145" s="151">
        <v>43480</v>
      </c>
      <c r="D2145" s="152">
        <v>0.224658</v>
      </c>
      <c r="E2145" s="152" t="s">
        <v>1325</v>
      </c>
      <c r="F2145" s="152" t="s">
        <v>1326</v>
      </c>
      <c r="G2145" s="152"/>
      <c r="H2145" s="152"/>
      <c r="I2145" s="152" t="s">
        <v>1327</v>
      </c>
      <c r="J2145" s="152" t="s">
        <v>1327</v>
      </c>
      <c r="K2145" s="152" t="s">
        <v>1327</v>
      </c>
      <c r="L2145" s="152" t="s">
        <v>1327</v>
      </c>
      <c r="M2145" s="152" t="s">
        <v>1327</v>
      </c>
      <c r="N2145" s="152" t="s">
        <v>1327</v>
      </c>
      <c r="O2145" s="152">
        <v>1.6736800000000001</v>
      </c>
      <c r="P2145" s="152">
        <v>17.730046999999999</v>
      </c>
      <c r="Q2145" s="152">
        <v>1.6736800000000001</v>
      </c>
      <c r="R2145" s="152" t="s">
        <v>1327</v>
      </c>
      <c r="S2145" s="152">
        <v>99.973765</v>
      </c>
      <c r="T2145" s="152">
        <v>0.80865799999999999</v>
      </c>
      <c r="U2145" s="152">
        <v>0.22381599999999999</v>
      </c>
      <c r="V2145" s="152">
        <v>0.100187</v>
      </c>
      <c r="W2145" s="152">
        <v>1000</v>
      </c>
      <c r="X2145" s="152" t="s">
        <v>23</v>
      </c>
      <c r="Y2145" s="152" t="s">
        <v>1328</v>
      </c>
      <c r="Z2145" s="152" t="s">
        <v>1327</v>
      </c>
    </row>
    <row r="2146" spans="1:26" x14ac:dyDescent="0.2">
      <c r="A2146" s="152" t="s">
        <v>3230</v>
      </c>
      <c r="B2146" s="152">
        <v>1.57</v>
      </c>
      <c r="C2146" s="151">
        <v>43482</v>
      </c>
      <c r="D2146" s="152">
        <v>0.23013700000000001</v>
      </c>
      <c r="E2146" s="152" t="s">
        <v>1325</v>
      </c>
      <c r="F2146" s="152" t="s">
        <v>1326</v>
      </c>
      <c r="G2146" s="152"/>
      <c r="H2146" s="152"/>
      <c r="I2146" s="152" t="s">
        <v>1327</v>
      </c>
      <c r="J2146" s="152" t="s">
        <v>1327</v>
      </c>
      <c r="K2146" s="152" t="s">
        <v>1327</v>
      </c>
      <c r="L2146" s="152" t="s">
        <v>1327</v>
      </c>
      <c r="M2146" s="152" t="s">
        <v>1327</v>
      </c>
      <c r="N2146" s="152" t="s">
        <v>1327</v>
      </c>
      <c r="O2146" s="152">
        <v>1.6820550000000001</v>
      </c>
      <c r="P2146" s="152">
        <v>17.761935000000001</v>
      </c>
      <c r="Q2146" s="152">
        <v>1.6820550000000001</v>
      </c>
      <c r="R2146" s="152" t="s">
        <v>1327</v>
      </c>
      <c r="S2146" s="152">
        <v>99.971260000000001</v>
      </c>
      <c r="T2146" s="152">
        <v>0.79145200000000004</v>
      </c>
      <c r="U2146" s="152">
        <v>0.22925000000000001</v>
      </c>
      <c r="V2146" s="152">
        <v>0.105111</v>
      </c>
      <c r="W2146" s="152">
        <v>1000</v>
      </c>
      <c r="X2146" s="152" t="s">
        <v>23</v>
      </c>
      <c r="Y2146" s="152" t="s">
        <v>1328</v>
      </c>
      <c r="Z2146" s="152" t="s">
        <v>1327</v>
      </c>
    </row>
    <row r="2147" spans="1:26" x14ac:dyDescent="0.2">
      <c r="A2147" s="152" t="s">
        <v>3231</v>
      </c>
      <c r="B2147" s="152">
        <v>1.6</v>
      </c>
      <c r="C2147" s="151">
        <v>43482</v>
      </c>
      <c r="D2147" s="152">
        <v>0.23013700000000001</v>
      </c>
      <c r="E2147" s="152" t="s">
        <v>1325</v>
      </c>
      <c r="F2147" s="152" t="s">
        <v>1326</v>
      </c>
      <c r="G2147" s="152"/>
      <c r="H2147" s="152"/>
      <c r="I2147" s="152" t="s">
        <v>1327</v>
      </c>
      <c r="J2147" s="152" t="s">
        <v>1327</v>
      </c>
      <c r="K2147" s="152" t="s">
        <v>1327</v>
      </c>
      <c r="L2147" s="152" t="s">
        <v>1327</v>
      </c>
      <c r="M2147" s="152" t="s">
        <v>1327</v>
      </c>
      <c r="N2147" s="152" t="s">
        <v>1327</v>
      </c>
      <c r="O2147" s="152">
        <v>1.6820550000000001</v>
      </c>
      <c r="P2147" s="152">
        <v>17.761935000000001</v>
      </c>
      <c r="Q2147" s="152">
        <v>1.6820550000000001</v>
      </c>
      <c r="R2147" s="152" t="s">
        <v>1327</v>
      </c>
      <c r="S2147" s="152">
        <v>99.978112999999993</v>
      </c>
      <c r="T2147" s="152">
        <v>0.79780799999999996</v>
      </c>
      <c r="U2147" s="152">
        <v>0.22925000000000001</v>
      </c>
      <c r="V2147" s="152">
        <v>0.105111</v>
      </c>
      <c r="W2147" s="152">
        <v>1000</v>
      </c>
      <c r="X2147" s="152" t="s">
        <v>23</v>
      </c>
      <c r="Y2147" s="152" t="s">
        <v>1328</v>
      </c>
      <c r="Z2147" s="152" t="s">
        <v>1327</v>
      </c>
    </row>
    <row r="2148" spans="1:26" x14ac:dyDescent="0.2">
      <c r="A2148" s="152" t="s">
        <v>209</v>
      </c>
      <c r="B2148" s="152">
        <v>1.6</v>
      </c>
      <c r="C2148" s="151">
        <v>43483</v>
      </c>
      <c r="D2148" s="152">
        <v>0.232877</v>
      </c>
      <c r="E2148" s="152" t="s">
        <v>1325</v>
      </c>
      <c r="F2148" s="152" t="s">
        <v>1326</v>
      </c>
      <c r="G2148" s="152"/>
      <c r="H2148" s="152"/>
      <c r="I2148" s="152" t="s">
        <v>1327</v>
      </c>
      <c r="J2148" s="152" t="s">
        <v>1327</v>
      </c>
      <c r="K2148" s="152" t="s">
        <v>1327</v>
      </c>
      <c r="L2148" s="152" t="s">
        <v>1327</v>
      </c>
      <c r="M2148" s="152" t="s">
        <v>1327</v>
      </c>
      <c r="N2148" s="152" t="s">
        <v>1327</v>
      </c>
      <c r="O2148" s="152">
        <v>1.6850229999999999</v>
      </c>
      <c r="P2148" s="152">
        <v>17.659776999999998</v>
      </c>
      <c r="Q2148" s="152">
        <v>1.6850229999999999</v>
      </c>
      <c r="R2148" s="152" t="s">
        <v>1327</v>
      </c>
      <c r="S2148" s="152">
        <v>99.977125000000001</v>
      </c>
      <c r="T2148" s="152">
        <v>0.80657500000000004</v>
      </c>
      <c r="U2148" s="152">
        <v>0.23196600000000001</v>
      </c>
      <c r="V2148" s="152">
        <v>0.107617</v>
      </c>
      <c r="W2148" s="152">
        <v>1000</v>
      </c>
      <c r="X2148" s="152" t="s">
        <v>23</v>
      </c>
      <c r="Y2148" s="152" t="s">
        <v>1328</v>
      </c>
      <c r="Z2148" s="152" t="s">
        <v>1327</v>
      </c>
    </row>
    <row r="2149" spans="1:26" x14ac:dyDescent="0.2">
      <c r="A2149" s="152" t="s">
        <v>210</v>
      </c>
      <c r="B2149" s="152">
        <v>1.6</v>
      </c>
      <c r="C2149" s="151">
        <v>43483</v>
      </c>
      <c r="D2149" s="152">
        <v>0.232877</v>
      </c>
      <c r="E2149" s="152" t="s">
        <v>1325</v>
      </c>
      <c r="F2149" s="152" t="s">
        <v>1326</v>
      </c>
      <c r="G2149" s="152"/>
      <c r="H2149" s="152"/>
      <c r="I2149" s="152" t="s">
        <v>1327</v>
      </c>
      <c r="J2149" s="152" t="s">
        <v>1327</v>
      </c>
      <c r="K2149" s="152" t="s">
        <v>1327</v>
      </c>
      <c r="L2149" s="152" t="s">
        <v>1327</v>
      </c>
      <c r="M2149" s="152" t="s">
        <v>1327</v>
      </c>
      <c r="N2149" s="152" t="s">
        <v>1327</v>
      </c>
      <c r="O2149" s="152">
        <v>1.6850229999999999</v>
      </c>
      <c r="P2149" s="152">
        <v>17.659776999999998</v>
      </c>
      <c r="Q2149" s="152">
        <v>1.6850229999999999</v>
      </c>
      <c r="R2149" s="152" t="s">
        <v>1327</v>
      </c>
      <c r="S2149" s="152">
        <v>99.977142000000001</v>
      </c>
      <c r="T2149" s="152">
        <v>0.80219200000000002</v>
      </c>
      <c r="U2149" s="152">
        <v>0.23196600000000001</v>
      </c>
      <c r="V2149" s="152">
        <v>0.107617</v>
      </c>
      <c r="W2149" s="152">
        <v>1000</v>
      </c>
      <c r="X2149" s="152" t="s">
        <v>23</v>
      </c>
      <c r="Y2149" s="152" t="s">
        <v>1328</v>
      </c>
      <c r="Z2149" s="152" t="s">
        <v>1327</v>
      </c>
    </row>
    <row r="2150" spans="1:26" x14ac:dyDescent="0.2">
      <c r="A2150" s="152" t="s">
        <v>3232</v>
      </c>
      <c r="B2150" s="152">
        <v>1.69</v>
      </c>
      <c r="C2150" s="151">
        <v>43503</v>
      </c>
      <c r="D2150" s="152">
        <v>0.28767100000000001</v>
      </c>
      <c r="E2150" s="152" t="s">
        <v>1325</v>
      </c>
      <c r="F2150" s="152" t="s">
        <v>1326</v>
      </c>
      <c r="G2150" s="152"/>
      <c r="H2150" s="152"/>
      <c r="I2150" s="152" t="s">
        <v>1327</v>
      </c>
      <c r="J2150" s="152" t="s">
        <v>1327</v>
      </c>
      <c r="K2150" s="152" t="s">
        <v>1327</v>
      </c>
      <c r="L2150" s="152" t="s">
        <v>1327</v>
      </c>
      <c r="M2150" s="152" t="s">
        <v>1327</v>
      </c>
      <c r="N2150" s="152" t="s">
        <v>1327</v>
      </c>
      <c r="O2150" s="152">
        <v>1.7446299999999999</v>
      </c>
      <c r="P2150" s="152">
        <v>16.471765000000001</v>
      </c>
      <c r="Q2150" s="152">
        <v>1.7446299999999999</v>
      </c>
      <c r="R2150" s="152" t="s">
        <v>1327</v>
      </c>
      <c r="S2150" s="152">
        <v>99.980732000000003</v>
      </c>
      <c r="T2150" s="152">
        <v>0.72693200000000002</v>
      </c>
      <c r="U2150" s="152">
        <v>0.28623500000000002</v>
      </c>
      <c r="V2150" s="152">
        <v>0.16386100000000001</v>
      </c>
      <c r="W2150" s="152">
        <v>1000</v>
      </c>
      <c r="X2150" s="152" t="s">
        <v>23</v>
      </c>
      <c r="Y2150" s="152" t="s">
        <v>1328</v>
      </c>
      <c r="Z2150" s="152" t="s">
        <v>1327</v>
      </c>
    </row>
    <row r="2151" spans="1:26" x14ac:dyDescent="0.2">
      <c r="A2151" s="152" t="s">
        <v>3233</v>
      </c>
      <c r="B2151" s="152">
        <v>1.69</v>
      </c>
      <c r="C2151" s="151">
        <v>43508</v>
      </c>
      <c r="D2151" s="152">
        <v>0.30137000000000003</v>
      </c>
      <c r="E2151" s="152" t="s">
        <v>1325</v>
      </c>
      <c r="F2151" s="152" t="s">
        <v>1326</v>
      </c>
      <c r="G2151" s="152"/>
      <c r="H2151" s="152"/>
      <c r="I2151" s="152" t="s">
        <v>1327</v>
      </c>
      <c r="J2151" s="152" t="s">
        <v>1327</v>
      </c>
      <c r="K2151" s="152" t="s">
        <v>1327</v>
      </c>
      <c r="L2151" s="152" t="s">
        <v>1327</v>
      </c>
      <c r="M2151" s="152" t="s">
        <v>1327</v>
      </c>
      <c r="N2151" s="152" t="s">
        <v>1327</v>
      </c>
      <c r="O2151" s="152">
        <v>1.7594879999999999</v>
      </c>
      <c r="P2151" s="152">
        <v>16.411833000000001</v>
      </c>
      <c r="Q2151" s="152">
        <v>1.7594879999999999</v>
      </c>
      <c r="R2151" s="152" t="s">
        <v>1327</v>
      </c>
      <c r="S2151" s="152">
        <v>99.975261000000003</v>
      </c>
      <c r="T2151" s="152">
        <v>0.74082199999999998</v>
      </c>
      <c r="U2151" s="152">
        <v>0.29977999999999999</v>
      </c>
      <c r="V2151" s="152">
        <v>0.17973600000000001</v>
      </c>
      <c r="W2151" s="152">
        <v>1000</v>
      </c>
      <c r="X2151" s="152" t="s">
        <v>23</v>
      </c>
      <c r="Y2151" s="152" t="s">
        <v>1328</v>
      </c>
      <c r="Z2151" s="152" t="s">
        <v>1327</v>
      </c>
    </row>
    <row r="2152" spans="1:26" x14ac:dyDescent="0.2">
      <c r="A2152" s="152" t="s">
        <v>3234</v>
      </c>
      <c r="B2152" s="152">
        <v>1.69</v>
      </c>
      <c r="C2152" s="151">
        <v>43510</v>
      </c>
      <c r="D2152" s="152">
        <v>0.30684899999999998</v>
      </c>
      <c r="E2152" s="152" t="s">
        <v>1325</v>
      </c>
      <c r="F2152" s="152" t="s">
        <v>1326</v>
      </c>
      <c r="G2152" s="152"/>
      <c r="H2152" s="152"/>
      <c r="I2152" s="152" t="s">
        <v>1327</v>
      </c>
      <c r="J2152" s="152" t="s">
        <v>1327</v>
      </c>
      <c r="K2152" s="152" t="s">
        <v>1327</v>
      </c>
      <c r="L2152" s="152" t="s">
        <v>1327</v>
      </c>
      <c r="M2152" s="152" t="s">
        <v>1327</v>
      </c>
      <c r="N2152" s="152" t="s">
        <v>1327</v>
      </c>
      <c r="O2152" s="152">
        <v>1.765422</v>
      </c>
      <c r="P2152" s="152">
        <v>16.412338999999999</v>
      </c>
      <c r="Q2152" s="152">
        <v>1.765422</v>
      </c>
      <c r="R2152" s="152" t="s">
        <v>1327</v>
      </c>
      <c r="S2152" s="152">
        <v>99.973063999999994</v>
      </c>
      <c r="T2152" s="152">
        <v>0.72693200000000002</v>
      </c>
      <c r="U2152" s="152">
        <v>0.30519600000000002</v>
      </c>
      <c r="V2152" s="152">
        <v>0.18628900000000001</v>
      </c>
      <c r="W2152" s="152">
        <v>1000</v>
      </c>
      <c r="X2152" s="152" t="s">
        <v>23</v>
      </c>
      <c r="Y2152" s="152" t="s">
        <v>1328</v>
      </c>
      <c r="Z2152" s="152" t="s">
        <v>1327</v>
      </c>
    </row>
    <row r="2153" spans="1:26" x14ac:dyDescent="0.2">
      <c r="A2153" s="152" t="s">
        <v>3235</v>
      </c>
      <c r="B2153" s="152">
        <v>1.69</v>
      </c>
      <c r="C2153" s="151">
        <v>43511</v>
      </c>
      <c r="D2153" s="152">
        <v>0.309589</v>
      </c>
      <c r="E2153" s="152" t="s">
        <v>1325</v>
      </c>
      <c r="F2153" s="152" t="s">
        <v>1326</v>
      </c>
      <c r="G2153" s="152"/>
      <c r="H2153" s="152"/>
      <c r="I2153" s="152" t="s">
        <v>1327</v>
      </c>
      <c r="J2153" s="152" t="s">
        <v>1327</v>
      </c>
      <c r="K2153" s="152" t="s">
        <v>1327</v>
      </c>
      <c r="L2153" s="152" t="s">
        <v>1327</v>
      </c>
      <c r="M2153" s="152" t="s">
        <v>1327</v>
      </c>
      <c r="N2153" s="152" t="s">
        <v>1327</v>
      </c>
      <c r="O2153" s="152">
        <v>1.7683869999999999</v>
      </c>
      <c r="P2153" s="152">
        <v>16.417717</v>
      </c>
      <c r="Q2153" s="152">
        <v>1.7683869999999999</v>
      </c>
      <c r="R2153" s="152" t="s">
        <v>1327</v>
      </c>
      <c r="S2153" s="152">
        <v>99.971957000000003</v>
      </c>
      <c r="T2153" s="152">
        <v>0.71767099999999995</v>
      </c>
      <c r="U2153" s="152">
        <v>0.30790299999999998</v>
      </c>
      <c r="V2153" s="152">
        <v>0.189609</v>
      </c>
      <c r="W2153" s="152">
        <v>1000</v>
      </c>
      <c r="X2153" s="152" t="s">
        <v>23</v>
      </c>
      <c r="Y2153" s="152" t="s">
        <v>1328</v>
      </c>
      <c r="Z2153" s="152" t="s">
        <v>1327</v>
      </c>
    </row>
    <row r="2154" spans="1:26" x14ac:dyDescent="0.2">
      <c r="A2154" s="152" t="s">
        <v>3236</v>
      </c>
      <c r="B2154" s="152">
        <v>1.69</v>
      </c>
      <c r="C2154" s="151">
        <v>43511</v>
      </c>
      <c r="D2154" s="152">
        <v>0.309589</v>
      </c>
      <c r="E2154" s="152" t="s">
        <v>1325</v>
      </c>
      <c r="F2154" s="152" t="s">
        <v>1326</v>
      </c>
      <c r="G2154" s="152"/>
      <c r="H2154" s="152"/>
      <c r="I2154" s="152" t="s">
        <v>1327</v>
      </c>
      <c r="J2154" s="152" t="s">
        <v>1327</v>
      </c>
      <c r="K2154" s="152" t="s">
        <v>1327</v>
      </c>
      <c r="L2154" s="152" t="s">
        <v>1327</v>
      </c>
      <c r="M2154" s="152" t="s">
        <v>1327</v>
      </c>
      <c r="N2154" s="152" t="s">
        <v>1327</v>
      </c>
      <c r="O2154" s="152">
        <v>1.7683869999999999</v>
      </c>
      <c r="P2154" s="152">
        <v>16.417717</v>
      </c>
      <c r="Q2154" s="152">
        <v>1.7683869999999999</v>
      </c>
      <c r="R2154" s="152" t="s">
        <v>1327</v>
      </c>
      <c r="S2154" s="152">
        <v>99.972007000000005</v>
      </c>
      <c r="T2154" s="152">
        <v>0.70841100000000001</v>
      </c>
      <c r="U2154" s="152">
        <v>0.30790299999999998</v>
      </c>
      <c r="V2154" s="152">
        <v>0.189609</v>
      </c>
      <c r="W2154" s="152">
        <v>1000</v>
      </c>
      <c r="X2154" s="152" t="s">
        <v>23</v>
      </c>
      <c r="Y2154" s="152" t="s">
        <v>1328</v>
      </c>
      <c r="Z2154" s="152" t="s">
        <v>1327</v>
      </c>
    </row>
    <row r="2155" spans="1:26" x14ac:dyDescent="0.2">
      <c r="A2155" s="152" t="s">
        <v>3237</v>
      </c>
      <c r="B2155" s="152">
        <v>1.75</v>
      </c>
      <c r="C2155" s="151">
        <v>43524</v>
      </c>
      <c r="D2155" s="152">
        <v>0.34520499999999998</v>
      </c>
      <c r="E2155" s="152" t="s">
        <v>1325</v>
      </c>
      <c r="F2155" s="152" t="s">
        <v>1326</v>
      </c>
      <c r="G2155" s="152"/>
      <c r="H2155" s="152"/>
      <c r="I2155" s="152" t="s">
        <v>1327</v>
      </c>
      <c r="J2155" s="152" t="s">
        <v>1327</v>
      </c>
      <c r="K2155" s="152" t="s">
        <v>1327</v>
      </c>
      <c r="L2155" s="152" t="s">
        <v>1327</v>
      </c>
      <c r="M2155" s="152" t="s">
        <v>1327</v>
      </c>
      <c r="N2155" s="152" t="s">
        <v>1327</v>
      </c>
      <c r="O2155" s="152">
        <v>1.8068070000000001</v>
      </c>
      <c r="P2155" s="152">
        <v>16.783152000000001</v>
      </c>
      <c r="Q2155" s="152">
        <v>1.8068070000000001</v>
      </c>
      <c r="R2155" s="152" t="s">
        <v>1327</v>
      </c>
      <c r="S2155" s="152">
        <v>99.979440999999994</v>
      </c>
      <c r="T2155" s="152">
        <v>0.17260300000000001</v>
      </c>
      <c r="U2155" s="152">
        <v>0.34306599999999998</v>
      </c>
      <c r="V2155" s="152">
        <v>0.23538799999999999</v>
      </c>
      <c r="W2155" s="152">
        <v>1000</v>
      </c>
      <c r="X2155" s="152" t="s">
        <v>23</v>
      </c>
      <c r="Y2155" s="152" t="s">
        <v>1328</v>
      </c>
      <c r="Z2155" s="152" t="s">
        <v>1327</v>
      </c>
    </row>
    <row r="2156" spans="1:26" x14ac:dyDescent="0.2">
      <c r="A2156" s="152" t="s">
        <v>3238</v>
      </c>
      <c r="B2156" s="152">
        <v>1.69</v>
      </c>
      <c r="C2156" s="151">
        <v>43538</v>
      </c>
      <c r="D2156" s="152">
        <v>0.38356200000000001</v>
      </c>
      <c r="E2156" s="152" t="s">
        <v>1325</v>
      </c>
      <c r="F2156" s="152" t="s">
        <v>1326</v>
      </c>
      <c r="G2156" s="152"/>
      <c r="H2156" s="152"/>
      <c r="I2156" s="152" t="s">
        <v>1327</v>
      </c>
      <c r="J2156" s="152" t="s">
        <v>1327</v>
      </c>
      <c r="K2156" s="152" t="s">
        <v>1327</v>
      </c>
      <c r="L2156" s="152" t="s">
        <v>1327</v>
      </c>
      <c r="M2156" s="152" t="s">
        <v>1327</v>
      </c>
      <c r="N2156" s="152" t="s">
        <v>1327</v>
      </c>
      <c r="O2156" s="152">
        <v>1.8478479999999999</v>
      </c>
      <c r="P2156" s="152">
        <v>17.733170000000001</v>
      </c>
      <c r="Q2156" s="152">
        <v>1.8478479999999999</v>
      </c>
      <c r="R2156" s="152" t="s">
        <v>1327</v>
      </c>
      <c r="S2156" s="152">
        <v>99.935906000000003</v>
      </c>
      <c r="T2156" s="152">
        <v>0.56487699999999996</v>
      </c>
      <c r="U2156" s="152">
        <v>0.38086199999999998</v>
      </c>
      <c r="V2156" s="152">
        <v>0.29011199999999998</v>
      </c>
      <c r="W2156" s="152">
        <v>1000</v>
      </c>
      <c r="X2156" s="152" t="s">
        <v>23</v>
      </c>
      <c r="Y2156" s="152" t="s">
        <v>1328</v>
      </c>
      <c r="Z2156" s="152" t="s">
        <v>1327</v>
      </c>
    </row>
    <row r="2157" spans="1:26" x14ac:dyDescent="0.2">
      <c r="A2157" s="152" t="s">
        <v>3239</v>
      </c>
      <c r="B2157" s="152">
        <v>1.69</v>
      </c>
      <c r="C2157" s="151">
        <v>43538</v>
      </c>
      <c r="D2157" s="152">
        <v>0.38356200000000001</v>
      </c>
      <c r="E2157" s="152" t="s">
        <v>1325</v>
      </c>
      <c r="F2157" s="152" t="s">
        <v>1326</v>
      </c>
      <c r="G2157" s="152"/>
      <c r="H2157" s="152"/>
      <c r="I2157" s="152" t="s">
        <v>1327</v>
      </c>
      <c r="J2157" s="152" t="s">
        <v>1327</v>
      </c>
      <c r="K2157" s="152" t="s">
        <v>1327</v>
      </c>
      <c r="L2157" s="152" t="s">
        <v>1327</v>
      </c>
      <c r="M2157" s="152" t="s">
        <v>1327</v>
      </c>
      <c r="N2157" s="152" t="s">
        <v>1327</v>
      </c>
      <c r="O2157" s="152">
        <v>1.8478479999999999</v>
      </c>
      <c r="P2157" s="152">
        <v>17.733170000000001</v>
      </c>
      <c r="Q2157" s="152">
        <v>1.8478479999999999</v>
      </c>
      <c r="R2157" s="152" t="s">
        <v>1327</v>
      </c>
      <c r="S2157" s="152">
        <v>99.935937999999993</v>
      </c>
      <c r="T2157" s="152">
        <v>0.56024700000000005</v>
      </c>
      <c r="U2157" s="152">
        <v>0.38086199999999998</v>
      </c>
      <c r="V2157" s="152">
        <v>0.29011199999999998</v>
      </c>
      <c r="W2157" s="152">
        <v>1000</v>
      </c>
      <c r="X2157" s="152" t="s">
        <v>23</v>
      </c>
      <c r="Y2157" s="152" t="s">
        <v>1328</v>
      </c>
      <c r="Z2157" s="152" t="s">
        <v>1327</v>
      </c>
    </row>
    <row r="2158" spans="1:26" x14ac:dyDescent="0.2">
      <c r="A2158" s="152" t="s">
        <v>3240</v>
      </c>
      <c r="B2158" s="152">
        <v>1.69</v>
      </c>
      <c r="C2158" s="151">
        <v>43543</v>
      </c>
      <c r="D2158" s="152">
        <v>0.39726</v>
      </c>
      <c r="E2158" s="152" t="s">
        <v>1325</v>
      </c>
      <c r="F2158" s="152" t="s">
        <v>1326</v>
      </c>
      <c r="G2158" s="152"/>
      <c r="H2158" s="152"/>
      <c r="I2158" s="152" t="s">
        <v>1327</v>
      </c>
      <c r="J2158" s="152" t="s">
        <v>1327</v>
      </c>
      <c r="K2158" s="152" t="s">
        <v>1327</v>
      </c>
      <c r="L2158" s="152" t="s">
        <v>1327</v>
      </c>
      <c r="M2158" s="152" t="s">
        <v>1327</v>
      </c>
      <c r="N2158" s="152" t="s">
        <v>1327</v>
      </c>
      <c r="O2158" s="152">
        <v>1.8624039999999999</v>
      </c>
      <c r="P2158" s="152">
        <v>18.196106</v>
      </c>
      <c r="Q2158" s="152">
        <v>1.8624039999999999</v>
      </c>
      <c r="R2158" s="152" t="s">
        <v>1327</v>
      </c>
      <c r="S2158" s="152">
        <v>99.927898999999996</v>
      </c>
      <c r="T2158" s="152">
        <v>0.56024700000000005</v>
      </c>
      <c r="U2158" s="152">
        <v>0.394343</v>
      </c>
      <c r="V2158" s="152">
        <v>0.31101200000000001</v>
      </c>
      <c r="W2158" s="152">
        <v>1000</v>
      </c>
      <c r="X2158" s="152" t="s">
        <v>23</v>
      </c>
      <c r="Y2158" s="152" t="s">
        <v>1328</v>
      </c>
      <c r="Z2158" s="152" t="s">
        <v>1327</v>
      </c>
    </row>
    <row r="2159" spans="1:26" x14ac:dyDescent="0.2">
      <c r="A2159" s="152" t="s">
        <v>3241</v>
      </c>
      <c r="B2159" s="152">
        <v>1.75</v>
      </c>
      <c r="C2159" s="151">
        <v>43543</v>
      </c>
      <c r="D2159" s="152">
        <v>0.39726</v>
      </c>
      <c r="E2159" s="152" t="s">
        <v>1325</v>
      </c>
      <c r="F2159" s="152" t="s">
        <v>1326</v>
      </c>
      <c r="G2159" s="152"/>
      <c r="H2159" s="152"/>
      <c r="I2159" s="152" t="s">
        <v>1327</v>
      </c>
      <c r="J2159" s="152" t="s">
        <v>1327</v>
      </c>
      <c r="K2159" s="152" t="s">
        <v>1327</v>
      </c>
      <c r="L2159" s="152" t="s">
        <v>1327</v>
      </c>
      <c r="M2159" s="152" t="s">
        <v>1327</v>
      </c>
      <c r="N2159" s="152" t="s">
        <v>1327</v>
      </c>
      <c r="O2159" s="152">
        <v>1.8624039999999999</v>
      </c>
      <c r="P2159" s="152">
        <v>18.196106</v>
      </c>
      <c r="Q2159" s="152">
        <v>1.8624039999999999</v>
      </c>
      <c r="R2159" s="152" t="s">
        <v>1327</v>
      </c>
      <c r="S2159" s="152">
        <v>99.954372000000006</v>
      </c>
      <c r="T2159" s="152">
        <v>0.177397</v>
      </c>
      <c r="U2159" s="152">
        <v>0.394343</v>
      </c>
      <c r="V2159" s="152">
        <v>0.31101200000000001</v>
      </c>
      <c r="W2159" s="152">
        <v>1000</v>
      </c>
      <c r="X2159" s="152" t="s">
        <v>23</v>
      </c>
      <c r="Y2159" s="152" t="s">
        <v>1328</v>
      </c>
      <c r="Z2159" s="152" t="s">
        <v>1327</v>
      </c>
    </row>
    <row r="2160" spans="1:26" x14ac:dyDescent="0.2">
      <c r="A2160" s="152" t="s">
        <v>3242</v>
      </c>
      <c r="B2160" s="152">
        <v>1.69</v>
      </c>
      <c r="C2160" s="151">
        <v>43544</v>
      </c>
      <c r="D2160" s="152">
        <v>0.4</v>
      </c>
      <c r="E2160" s="152" t="s">
        <v>1325</v>
      </c>
      <c r="F2160" s="152" t="s">
        <v>1326</v>
      </c>
      <c r="G2160" s="152"/>
      <c r="H2160" s="152"/>
      <c r="I2160" s="152" t="s">
        <v>1327</v>
      </c>
      <c r="J2160" s="152" t="s">
        <v>1327</v>
      </c>
      <c r="K2160" s="152" t="s">
        <v>1327</v>
      </c>
      <c r="L2160" s="152" t="s">
        <v>1327</v>
      </c>
      <c r="M2160" s="152" t="s">
        <v>1327</v>
      </c>
      <c r="N2160" s="152" t="s">
        <v>1327</v>
      </c>
      <c r="O2160" s="152">
        <v>1.865308</v>
      </c>
      <c r="P2160" s="152">
        <v>18.295835</v>
      </c>
      <c r="Q2160" s="152">
        <v>1.865308</v>
      </c>
      <c r="R2160" s="152" t="s">
        <v>1327</v>
      </c>
      <c r="S2160" s="152">
        <v>99.926282</v>
      </c>
      <c r="T2160" s="152">
        <v>0.555616</v>
      </c>
      <c r="U2160" s="152">
        <v>0.397038</v>
      </c>
      <c r="V2160" s="152">
        <v>0.315278</v>
      </c>
      <c r="W2160" s="152">
        <v>1000</v>
      </c>
      <c r="X2160" s="152" t="s">
        <v>23</v>
      </c>
      <c r="Y2160" s="152" t="s">
        <v>1328</v>
      </c>
      <c r="Z2160" s="152" t="s">
        <v>1327</v>
      </c>
    </row>
    <row r="2161" spans="1:26" x14ac:dyDescent="0.2">
      <c r="A2161" s="152" t="s">
        <v>3243</v>
      </c>
      <c r="B2161" s="152">
        <v>1.68</v>
      </c>
      <c r="C2161" s="151">
        <v>43545</v>
      </c>
      <c r="D2161" s="152">
        <v>0.40273999999999999</v>
      </c>
      <c r="E2161" s="152" t="s">
        <v>1325</v>
      </c>
      <c r="F2161" s="152" t="s">
        <v>1326</v>
      </c>
      <c r="G2161" s="152"/>
      <c r="H2161" s="152"/>
      <c r="I2161" s="152" t="s">
        <v>1327</v>
      </c>
      <c r="J2161" s="152" t="s">
        <v>1327</v>
      </c>
      <c r="K2161" s="152" t="s">
        <v>1327</v>
      </c>
      <c r="L2161" s="152" t="s">
        <v>1327</v>
      </c>
      <c r="M2161" s="152" t="s">
        <v>1327</v>
      </c>
      <c r="N2161" s="152" t="s">
        <v>1327</v>
      </c>
      <c r="O2161" s="152">
        <v>1.868209</v>
      </c>
      <c r="P2161" s="152">
        <v>18.397874999999999</v>
      </c>
      <c r="Q2161" s="152">
        <v>1.868209</v>
      </c>
      <c r="R2161" s="152" t="s">
        <v>1327</v>
      </c>
      <c r="S2161" s="152">
        <v>99.920574000000002</v>
      </c>
      <c r="T2161" s="152">
        <v>0.56153399999999998</v>
      </c>
      <c r="U2161" s="152">
        <v>0.39973199999999998</v>
      </c>
      <c r="V2161" s="152">
        <v>0.31957200000000002</v>
      </c>
      <c r="W2161" s="152">
        <v>1000</v>
      </c>
      <c r="X2161" s="152" t="s">
        <v>23</v>
      </c>
      <c r="Y2161" s="152" t="s">
        <v>1328</v>
      </c>
      <c r="Z2161" s="152" t="s">
        <v>1327</v>
      </c>
    </row>
    <row r="2162" spans="1:26" x14ac:dyDescent="0.2">
      <c r="A2162" s="152" t="s">
        <v>3244</v>
      </c>
      <c r="B2162" s="152">
        <v>1.75</v>
      </c>
      <c r="C2162" s="151">
        <v>43545</v>
      </c>
      <c r="D2162" s="152">
        <v>0.40273999999999999</v>
      </c>
      <c r="E2162" s="152" t="s">
        <v>1325</v>
      </c>
      <c r="F2162" s="152" t="s">
        <v>1326</v>
      </c>
      <c r="G2162" s="152"/>
      <c r="H2162" s="152"/>
      <c r="I2162" s="151">
        <v>43370</v>
      </c>
      <c r="J2162" s="152">
        <v>1.75</v>
      </c>
      <c r="K2162" s="152" t="s">
        <v>1327</v>
      </c>
      <c r="L2162" s="152" t="s">
        <v>1327</v>
      </c>
      <c r="M2162" s="152" t="s">
        <v>1327</v>
      </c>
      <c r="N2162" s="152" t="s">
        <v>1327</v>
      </c>
      <c r="O2162" s="152">
        <v>1.868209</v>
      </c>
      <c r="P2162" s="152">
        <v>18.397874999999999</v>
      </c>
      <c r="Q2162" s="152">
        <v>1.868209</v>
      </c>
      <c r="R2162" s="152" t="s">
        <v>1327</v>
      </c>
      <c r="S2162" s="152">
        <v>99.951494999999994</v>
      </c>
      <c r="T2162" s="152">
        <v>0.16780800000000001</v>
      </c>
      <c r="U2162" s="152">
        <v>0.39973199999999998</v>
      </c>
      <c r="V2162" s="152">
        <v>0.31957200000000002</v>
      </c>
      <c r="W2162" s="152">
        <v>1000</v>
      </c>
      <c r="X2162" s="152" t="s">
        <v>23</v>
      </c>
      <c r="Y2162" s="152" t="s">
        <v>1328</v>
      </c>
      <c r="Z2162" s="152" t="s">
        <v>1327</v>
      </c>
    </row>
    <row r="2163" spans="1:26" x14ac:dyDescent="0.2">
      <c r="A2163" s="152" t="s">
        <v>3245</v>
      </c>
      <c r="B2163" s="152">
        <v>1.75</v>
      </c>
      <c r="C2163" s="151">
        <v>43545</v>
      </c>
      <c r="D2163" s="152">
        <v>0.40273999999999999</v>
      </c>
      <c r="E2163" s="152" t="s">
        <v>1325</v>
      </c>
      <c r="F2163" s="152" t="s">
        <v>1326</v>
      </c>
      <c r="G2163" s="152"/>
      <c r="H2163" s="152"/>
      <c r="I2163" s="152" t="s">
        <v>1327</v>
      </c>
      <c r="J2163" s="152" t="s">
        <v>1327</v>
      </c>
      <c r="K2163" s="152" t="s">
        <v>1327</v>
      </c>
      <c r="L2163" s="152" t="s">
        <v>1327</v>
      </c>
      <c r="M2163" s="152" t="s">
        <v>1327</v>
      </c>
      <c r="N2163" s="152" t="s">
        <v>1327</v>
      </c>
      <c r="O2163" s="152">
        <v>1.868209</v>
      </c>
      <c r="P2163" s="152">
        <v>18.397874999999999</v>
      </c>
      <c r="Q2163" s="152">
        <v>1.868209</v>
      </c>
      <c r="R2163" s="152" t="s">
        <v>1327</v>
      </c>
      <c r="S2163" s="152">
        <v>99.951673999999997</v>
      </c>
      <c r="T2163" s="152">
        <v>0.14383599999999999</v>
      </c>
      <c r="U2163" s="152">
        <v>0.39973199999999998</v>
      </c>
      <c r="V2163" s="152">
        <v>0.31957200000000002</v>
      </c>
      <c r="W2163" s="152">
        <v>1000</v>
      </c>
      <c r="X2163" s="152" t="s">
        <v>23</v>
      </c>
      <c r="Y2163" s="152" t="s">
        <v>1328</v>
      </c>
      <c r="Z2163" s="152" t="s">
        <v>1327</v>
      </c>
    </row>
    <row r="2164" spans="1:26" x14ac:dyDescent="0.2">
      <c r="A2164" s="152" t="s">
        <v>3246</v>
      </c>
      <c r="B2164" s="152">
        <v>1.75</v>
      </c>
      <c r="C2164" s="151">
        <v>43545</v>
      </c>
      <c r="D2164" s="152">
        <v>0.40273999999999999</v>
      </c>
      <c r="E2164" s="152" t="s">
        <v>1325</v>
      </c>
      <c r="F2164" s="152" t="s">
        <v>1326</v>
      </c>
      <c r="G2164" s="152"/>
      <c r="H2164" s="152"/>
      <c r="I2164" s="151" t="s">
        <v>1327</v>
      </c>
      <c r="J2164" s="152" t="s">
        <v>1327</v>
      </c>
      <c r="K2164" s="152" t="s">
        <v>1327</v>
      </c>
      <c r="L2164" s="152" t="s">
        <v>1327</v>
      </c>
      <c r="M2164" s="152" t="s">
        <v>1327</v>
      </c>
      <c r="N2164" s="152" t="s">
        <v>1327</v>
      </c>
      <c r="O2164" s="152">
        <v>1.868209</v>
      </c>
      <c r="P2164" s="152">
        <v>18.397874999999999</v>
      </c>
      <c r="Q2164" s="152">
        <v>1.868209</v>
      </c>
      <c r="R2164" s="152" t="s">
        <v>1327</v>
      </c>
      <c r="S2164" s="152">
        <v>99.951459</v>
      </c>
      <c r="T2164" s="152">
        <v>0.17260300000000001</v>
      </c>
      <c r="U2164" s="152">
        <v>0.39973199999999998</v>
      </c>
      <c r="V2164" s="152">
        <v>0.31957200000000002</v>
      </c>
      <c r="W2164" s="152">
        <v>1000</v>
      </c>
      <c r="X2164" s="152" t="s">
        <v>23</v>
      </c>
      <c r="Y2164" s="152" t="s">
        <v>1328</v>
      </c>
      <c r="Z2164" s="152" t="s">
        <v>1327</v>
      </c>
    </row>
    <row r="2165" spans="1:26" x14ac:dyDescent="0.2">
      <c r="A2165" s="152" t="s">
        <v>3247</v>
      </c>
      <c r="B2165" s="152">
        <v>1.69</v>
      </c>
      <c r="C2165" s="151">
        <v>43549</v>
      </c>
      <c r="D2165" s="152">
        <v>0.41369899999999998</v>
      </c>
      <c r="E2165" s="152" t="s">
        <v>1325</v>
      </c>
      <c r="F2165" s="152" t="s">
        <v>1326</v>
      </c>
      <c r="G2165" s="152"/>
      <c r="H2165" s="152"/>
      <c r="I2165" s="152" t="s">
        <v>1327</v>
      </c>
      <c r="J2165" s="152" t="s">
        <v>1327</v>
      </c>
      <c r="K2165" s="152" t="s">
        <v>1327</v>
      </c>
      <c r="L2165" s="152" t="s">
        <v>1327</v>
      </c>
      <c r="M2165" s="152" t="s">
        <v>1327</v>
      </c>
      <c r="N2165" s="152" t="s">
        <v>1327</v>
      </c>
      <c r="O2165" s="152">
        <v>1.8797900000000001</v>
      </c>
      <c r="P2165" s="152">
        <v>18.828513999999998</v>
      </c>
      <c r="Q2165" s="152">
        <v>1.8797900000000001</v>
      </c>
      <c r="R2165" s="152" t="s">
        <v>1327</v>
      </c>
      <c r="S2165" s="152">
        <v>99.917839000000001</v>
      </c>
      <c r="T2165" s="152">
        <v>0.55098599999999998</v>
      </c>
      <c r="U2165" s="152">
        <v>0.41050599999999998</v>
      </c>
      <c r="V2165" s="152">
        <v>0.33703100000000003</v>
      </c>
      <c r="W2165" s="152">
        <v>1000</v>
      </c>
      <c r="X2165" s="152" t="s">
        <v>23</v>
      </c>
      <c r="Y2165" s="152" t="s">
        <v>1328</v>
      </c>
      <c r="Z2165" s="152" t="s">
        <v>1327</v>
      </c>
    </row>
    <row r="2166" spans="1:26" x14ac:dyDescent="0.2">
      <c r="A2166" s="152" t="s">
        <v>3248</v>
      </c>
      <c r="B2166" s="152">
        <v>1.69</v>
      </c>
      <c r="C2166" s="151">
        <v>43550</v>
      </c>
      <c r="D2166" s="152">
        <v>0.41643799999999997</v>
      </c>
      <c r="E2166" s="152" t="s">
        <v>1325</v>
      </c>
      <c r="F2166" s="152" t="s">
        <v>1326</v>
      </c>
      <c r="G2166" s="152"/>
      <c r="H2166" s="152"/>
      <c r="I2166" s="152" t="s">
        <v>1327</v>
      </c>
      <c r="J2166" s="152" t="s">
        <v>1327</v>
      </c>
      <c r="K2166" s="152" t="s">
        <v>1327</v>
      </c>
      <c r="L2166" s="152" t="s">
        <v>1327</v>
      </c>
      <c r="M2166" s="152" t="s">
        <v>1327</v>
      </c>
      <c r="N2166" s="152" t="s">
        <v>1327</v>
      </c>
      <c r="O2166" s="152">
        <v>1.8826799999999999</v>
      </c>
      <c r="P2166" s="152">
        <v>18.941732999999999</v>
      </c>
      <c r="Q2166" s="152">
        <v>1.8826799999999999</v>
      </c>
      <c r="R2166" s="152" t="s">
        <v>1327</v>
      </c>
      <c r="S2166" s="152">
        <v>99.916241999999997</v>
      </c>
      <c r="T2166" s="152">
        <v>0.53246599999999999</v>
      </c>
      <c r="U2166" s="152">
        <v>0.41319899999999998</v>
      </c>
      <c r="V2166" s="152">
        <v>0.34146599999999999</v>
      </c>
      <c r="W2166" s="152">
        <v>1000</v>
      </c>
      <c r="X2166" s="152" t="s">
        <v>23</v>
      </c>
      <c r="Y2166" s="152" t="s">
        <v>1328</v>
      </c>
      <c r="Z2166" s="152" t="s">
        <v>1327</v>
      </c>
    </row>
    <row r="2167" spans="1:26" x14ac:dyDescent="0.2">
      <c r="A2167" s="152" t="s">
        <v>3249</v>
      </c>
      <c r="B2167" s="152">
        <v>1.75</v>
      </c>
      <c r="C2167" s="151">
        <v>43550</v>
      </c>
      <c r="D2167" s="152">
        <v>0.41643799999999997</v>
      </c>
      <c r="E2167" s="152" t="s">
        <v>1325</v>
      </c>
      <c r="F2167" s="152" t="s">
        <v>1326</v>
      </c>
      <c r="G2167" s="152"/>
      <c r="H2167" s="152"/>
      <c r="I2167" s="152" t="s">
        <v>1327</v>
      </c>
      <c r="J2167" s="152" t="s">
        <v>1327</v>
      </c>
      <c r="K2167" s="152" t="s">
        <v>1327</v>
      </c>
      <c r="L2167" s="152" t="s">
        <v>1327</v>
      </c>
      <c r="M2167" s="152" t="s">
        <v>1327</v>
      </c>
      <c r="N2167" s="152" t="s">
        <v>1327</v>
      </c>
      <c r="O2167" s="152">
        <v>1.8826799999999999</v>
      </c>
      <c r="P2167" s="152">
        <v>18.941732999999999</v>
      </c>
      <c r="Q2167" s="152">
        <v>1.8826799999999999</v>
      </c>
      <c r="R2167" s="152" t="s">
        <v>1327</v>
      </c>
      <c r="S2167" s="152">
        <v>99.944095000000004</v>
      </c>
      <c r="T2167" s="152">
        <v>0.139041</v>
      </c>
      <c r="U2167" s="152">
        <v>0.41319899999999998</v>
      </c>
      <c r="V2167" s="152">
        <v>0.34146599999999999</v>
      </c>
      <c r="W2167" s="152">
        <v>1000</v>
      </c>
      <c r="X2167" s="152" t="s">
        <v>23</v>
      </c>
      <c r="Y2167" s="152" t="s">
        <v>1328</v>
      </c>
      <c r="Z2167" s="152" t="s">
        <v>1327</v>
      </c>
    </row>
    <row r="2168" spans="1:26" x14ac:dyDescent="0.2">
      <c r="A2168" s="152" t="s">
        <v>3250</v>
      </c>
      <c r="B2168" s="152">
        <v>1.69</v>
      </c>
      <c r="C2168" s="151">
        <v>43551</v>
      </c>
      <c r="D2168" s="152">
        <v>0.419178</v>
      </c>
      <c r="E2168" s="152" t="s">
        <v>1325</v>
      </c>
      <c r="F2168" s="152" t="s">
        <v>1326</v>
      </c>
      <c r="G2168" s="152"/>
      <c r="H2168" s="152"/>
      <c r="I2168" s="152" t="s">
        <v>1327</v>
      </c>
      <c r="J2168" s="152" t="s">
        <v>1327</v>
      </c>
      <c r="K2168" s="152" t="s">
        <v>1327</v>
      </c>
      <c r="L2168" s="152" t="s">
        <v>1327</v>
      </c>
      <c r="M2168" s="152" t="s">
        <v>1327</v>
      </c>
      <c r="N2168" s="152" t="s">
        <v>1327</v>
      </c>
      <c r="O2168" s="152">
        <v>1.8855660000000001</v>
      </c>
      <c r="P2168" s="152">
        <v>19.056971000000001</v>
      </c>
      <c r="Q2168" s="152">
        <v>1.8855660000000001</v>
      </c>
      <c r="R2168" s="152" t="s">
        <v>1327</v>
      </c>
      <c r="S2168" s="152">
        <v>99.914525999999995</v>
      </c>
      <c r="T2168" s="152">
        <v>0.52783599999999997</v>
      </c>
      <c r="U2168" s="152">
        <v>0.41589100000000001</v>
      </c>
      <c r="V2168" s="152">
        <v>0.34593099999999999</v>
      </c>
      <c r="W2168" s="152">
        <v>1000</v>
      </c>
      <c r="X2168" s="152" t="s">
        <v>23</v>
      </c>
      <c r="Y2168" s="152" t="s">
        <v>1328</v>
      </c>
      <c r="Z2168" s="152" t="s">
        <v>1327</v>
      </c>
    </row>
    <row r="2169" spans="1:26" x14ac:dyDescent="0.2">
      <c r="A2169" s="152" t="s">
        <v>3251</v>
      </c>
      <c r="B2169" s="152">
        <v>1.69</v>
      </c>
      <c r="C2169" s="151">
        <v>43552</v>
      </c>
      <c r="D2169" s="152">
        <v>0.42191800000000002</v>
      </c>
      <c r="E2169" s="152" t="s">
        <v>1325</v>
      </c>
      <c r="F2169" s="152" t="s">
        <v>1326</v>
      </c>
      <c r="G2169" s="152"/>
      <c r="H2169" s="152"/>
      <c r="I2169" s="151" t="s">
        <v>1327</v>
      </c>
      <c r="J2169" s="152" t="s">
        <v>1327</v>
      </c>
      <c r="K2169" s="152" t="s">
        <v>1327</v>
      </c>
      <c r="L2169" s="152" t="s">
        <v>1327</v>
      </c>
      <c r="M2169" s="152" t="s">
        <v>1327</v>
      </c>
      <c r="N2169" s="152" t="s">
        <v>1327</v>
      </c>
      <c r="O2169" s="152">
        <v>1.888449</v>
      </c>
      <c r="P2169" s="152">
        <v>19.174294</v>
      </c>
      <c r="Q2169" s="152">
        <v>1.888449</v>
      </c>
      <c r="R2169" s="152" t="s">
        <v>1327</v>
      </c>
      <c r="S2169" s="152">
        <v>99.912796999999998</v>
      </c>
      <c r="T2169" s="152">
        <v>0.52320500000000003</v>
      </c>
      <c r="U2169" s="152">
        <v>0.41858299999999998</v>
      </c>
      <c r="V2169" s="152">
        <v>0.35042299999999998</v>
      </c>
      <c r="W2169" s="152">
        <v>1000</v>
      </c>
      <c r="X2169" s="152" t="s">
        <v>23</v>
      </c>
      <c r="Y2169" s="152" t="s">
        <v>1328</v>
      </c>
      <c r="Z2169" s="152" t="s">
        <v>1327</v>
      </c>
    </row>
    <row r="2170" spans="1:26" x14ac:dyDescent="0.2">
      <c r="A2170" s="152" t="s">
        <v>3252</v>
      </c>
      <c r="B2170" s="152">
        <v>1.75</v>
      </c>
      <c r="C2170" s="151">
        <v>43552</v>
      </c>
      <c r="D2170" s="152">
        <v>0.42191800000000002</v>
      </c>
      <c r="E2170" s="152" t="s">
        <v>1325</v>
      </c>
      <c r="F2170" s="152" t="s">
        <v>1326</v>
      </c>
      <c r="G2170" s="152"/>
      <c r="H2170" s="152"/>
      <c r="I2170" s="152" t="s">
        <v>1327</v>
      </c>
      <c r="J2170" s="152" t="s">
        <v>1327</v>
      </c>
      <c r="K2170" s="152" t="s">
        <v>1327</v>
      </c>
      <c r="L2170" s="152" t="s">
        <v>1327</v>
      </c>
      <c r="M2170" s="152" t="s">
        <v>1327</v>
      </c>
      <c r="N2170" s="152" t="s">
        <v>1327</v>
      </c>
      <c r="O2170" s="152">
        <v>1.888449</v>
      </c>
      <c r="P2170" s="152">
        <v>19.174294</v>
      </c>
      <c r="Q2170" s="152">
        <v>1.888449</v>
      </c>
      <c r="R2170" s="152" t="s">
        <v>1327</v>
      </c>
      <c r="S2170" s="152">
        <v>99.940985999999995</v>
      </c>
      <c r="T2170" s="152">
        <v>0.13424700000000001</v>
      </c>
      <c r="U2170" s="152">
        <v>0.41858299999999998</v>
      </c>
      <c r="V2170" s="152">
        <v>0.35042299999999998</v>
      </c>
      <c r="W2170" s="152">
        <v>1000</v>
      </c>
      <c r="X2170" s="152" t="s">
        <v>23</v>
      </c>
      <c r="Y2170" s="152" t="s">
        <v>1328</v>
      </c>
      <c r="Z2170" s="152" t="s">
        <v>1327</v>
      </c>
    </row>
    <row r="2171" spans="1:26" x14ac:dyDescent="0.2">
      <c r="A2171" s="152" t="s">
        <v>3253</v>
      </c>
      <c r="B2171" s="152">
        <v>1.9</v>
      </c>
      <c r="C2171" s="151">
        <v>43629</v>
      </c>
      <c r="D2171" s="152">
        <v>0.63287700000000002</v>
      </c>
      <c r="E2171" s="152" t="s">
        <v>1325</v>
      </c>
      <c r="F2171" s="152" t="s">
        <v>1326</v>
      </c>
      <c r="G2171" s="152"/>
      <c r="H2171" s="152"/>
      <c r="I2171" s="152" t="s">
        <v>1327</v>
      </c>
      <c r="J2171" s="152" t="s">
        <v>1327</v>
      </c>
      <c r="K2171" s="152" t="s">
        <v>1327</v>
      </c>
      <c r="L2171" s="152" t="s">
        <v>1327</v>
      </c>
      <c r="M2171" s="152" t="s">
        <v>1327</v>
      </c>
      <c r="N2171" s="152" t="s">
        <v>1327</v>
      </c>
      <c r="O2171" s="152">
        <v>2.0103870000000001</v>
      </c>
      <c r="P2171" s="152">
        <v>23.270478000000001</v>
      </c>
      <c r="Q2171" s="152">
        <v>2.0103870000000001</v>
      </c>
      <c r="R2171" s="152" t="s">
        <v>1327</v>
      </c>
      <c r="S2171" s="152">
        <v>99.928726999999995</v>
      </c>
      <c r="T2171" s="152">
        <v>0.18219199999999999</v>
      </c>
      <c r="U2171" s="152">
        <v>0.62492599999999998</v>
      </c>
      <c r="V2171" s="152">
        <v>0.78106399999999998</v>
      </c>
      <c r="W2171" s="152">
        <v>1000</v>
      </c>
      <c r="X2171" s="152" t="s">
        <v>23</v>
      </c>
      <c r="Y2171" s="152" t="s">
        <v>1328</v>
      </c>
      <c r="Z2171" s="152" t="s">
        <v>1327</v>
      </c>
    </row>
    <row r="2172" spans="1:26" x14ac:dyDescent="0.2">
      <c r="A2172" s="152" t="s">
        <v>3254</v>
      </c>
      <c r="B2172" s="152">
        <v>1.9</v>
      </c>
      <c r="C2172" s="151">
        <v>43629</v>
      </c>
      <c r="D2172" s="152">
        <v>0.63287700000000002</v>
      </c>
      <c r="E2172" s="152" t="s">
        <v>1325</v>
      </c>
      <c r="F2172" s="152" t="s">
        <v>1326</v>
      </c>
      <c r="G2172" s="152"/>
      <c r="H2172" s="152"/>
      <c r="I2172" s="152" t="s">
        <v>1327</v>
      </c>
      <c r="J2172" s="152" t="s">
        <v>1327</v>
      </c>
      <c r="K2172" s="152" t="s">
        <v>1327</v>
      </c>
      <c r="L2172" s="152" t="s">
        <v>1327</v>
      </c>
      <c r="M2172" s="152" t="s">
        <v>1327</v>
      </c>
      <c r="N2172" s="152" t="s">
        <v>1327</v>
      </c>
      <c r="O2172" s="152">
        <v>2.0103870000000001</v>
      </c>
      <c r="P2172" s="152">
        <v>23.270478000000001</v>
      </c>
      <c r="Q2172" s="152">
        <v>2.0103870000000001</v>
      </c>
      <c r="R2172" s="152" t="s">
        <v>1327</v>
      </c>
      <c r="S2172" s="152">
        <v>99.929119999999998</v>
      </c>
      <c r="T2172" s="152">
        <v>0.15095900000000001</v>
      </c>
      <c r="U2172" s="152">
        <v>0.62492599999999998</v>
      </c>
      <c r="V2172" s="152">
        <v>0.78106399999999998</v>
      </c>
      <c r="W2172" s="152">
        <v>1000</v>
      </c>
      <c r="X2172" s="152" t="s">
        <v>23</v>
      </c>
      <c r="Y2172" s="152" t="s">
        <v>1328</v>
      </c>
      <c r="Z2172" s="152" t="s">
        <v>1327</v>
      </c>
    </row>
    <row r="2173" spans="1:26" x14ac:dyDescent="0.2">
      <c r="A2173" s="152" t="s">
        <v>3255</v>
      </c>
      <c r="B2173" s="152">
        <v>1.9</v>
      </c>
      <c r="C2173" s="151">
        <v>43629</v>
      </c>
      <c r="D2173" s="152">
        <v>0.63287700000000002</v>
      </c>
      <c r="E2173" s="152" t="s">
        <v>1325</v>
      </c>
      <c r="F2173" s="152" t="s">
        <v>1326</v>
      </c>
      <c r="G2173" s="152"/>
      <c r="H2173" s="152"/>
      <c r="I2173" s="152" t="s">
        <v>1327</v>
      </c>
      <c r="J2173" s="152" t="s">
        <v>1327</v>
      </c>
      <c r="K2173" s="152" t="s">
        <v>1327</v>
      </c>
      <c r="L2173" s="152" t="s">
        <v>1327</v>
      </c>
      <c r="M2173" s="152" t="s">
        <v>1327</v>
      </c>
      <c r="N2173" s="152" t="s">
        <v>1327</v>
      </c>
      <c r="O2173" s="152">
        <v>2.0103870000000001</v>
      </c>
      <c r="P2173" s="152">
        <v>23.270478000000001</v>
      </c>
      <c r="Q2173" s="152">
        <v>2.0103870000000001</v>
      </c>
      <c r="R2173" s="152" t="s">
        <v>1327</v>
      </c>
      <c r="S2173" s="152">
        <v>99.929186000000001</v>
      </c>
      <c r="T2173" s="152">
        <v>0.14575299999999999</v>
      </c>
      <c r="U2173" s="152">
        <v>0.62492599999999998</v>
      </c>
      <c r="V2173" s="152">
        <v>0.78106399999999998</v>
      </c>
      <c r="W2173" s="152">
        <v>1000</v>
      </c>
      <c r="X2173" s="152" t="s">
        <v>23</v>
      </c>
      <c r="Y2173" s="152" t="s">
        <v>1328</v>
      </c>
      <c r="Z2173" s="152" t="s">
        <v>1327</v>
      </c>
    </row>
    <row r="2174" spans="1:26" x14ac:dyDescent="0.2">
      <c r="A2174" s="152" t="s">
        <v>3256</v>
      </c>
      <c r="B2174" s="152">
        <v>1.9</v>
      </c>
      <c r="C2174" s="151">
        <v>43634</v>
      </c>
      <c r="D2174" s="152">
        <v>0.64657500000000001</v>
      </c>
      <c r="E2174" s="152" t="s">
        <v>1325</v>
      </c>
      <c r="F2174" s="152" t="s">
        <v>1326</v>
      </c>
      <c r="G2174" s="152"/>
      <c r="H2174" s="152"/>
      <c r="I2174" s="152" t="s">
        <v>1327</v>
      </c>
      <c r="J2174" s="152" t="s">
        <v>1327</v>
      </c>
      <c r="K2174" s="152" t="s">
        <v>1327</v>
      </c>
      <c r="L2174" s="152" t="s">
        <v>1327</v>
      </c>
      <c r="M2174" s="152" t="s">
        <v>1327</v>
      </c>
      <c r="N2174" s="152" t="s">
        <v>1327</v>
      </c>
      <c r="O2174" s="152">
        <v>2.0157959999999999</v>
      </c>
      <c r="P2174" s="152">
        <v>23.542248000000001</v>
      </c>
      <c r="Q2174" s="152">
        <v>2.0157959999999999</v>
      </c>
      <c r="R2174" s="152" t="s">
        <v>1327</v>
      </c>
      <c r="S2174" s="152">
        <v>99.923816000000002</v>
      </c>
      <c r="T2174" s="152">
        <v>0.176986</v>
      </c>
      <c r="U2174" s="152">
        <v>0.63825699999999996</v>
      </c>
      <c r="V2174" s="152">
        <v>0.81474299999999999</v>
      </c>
      <c r="W2174" s="152">
        <v>1000</v>
      </c>
      <c r="X2174" s="152" t="s">
        <v>23</v>
      </c>
      <c r="Y2174" s="152" t="s">
        <v>1328</v>
      </c>
      <c r="Z2174" s="152" t="s">
        <v>1327</v>
      </c>
    </row>
    <row r="2175" spans="1:26" x14ac:dyDescent="0.2">
      <c r="A2175" s="152" t="s">
        <v>3257</v>
      </c>
      <c r="B2175" s="152">
        <v>1.9</v>
      </c>
      <c r="C2175" s="151">
        <v>43636</v>
      </c>
      <c r="D2175" s="152">
        <v>0.65205500000000005</v>
      </c>
      <c r="E2175" s="152" t="s">
        <v>1325</v>
      </c>
      <c r="F2175" s="152" t="s">
        <v>1326</v>
      </c>
      <c r="G2175" s="152"/>
      <c r="H2175" s="152"/>
      <c r="I2175" s="152" t="s">
        <v>1327</v>
      </c>
      <c r="J2175" s="152" t="s">
        <v>1327</v>
      </c>
      <c r="K2175" s="152" t="s">
        <v>1327</v>
      </c>
      <c r="L2175" s="152" t="s">
        <v>1327</v>
      </c>
      <c r="M2175" s="152" t="s">
        <v>1327</v>
      </c>
      <c r="N2175" s="152" t="s">
        <v>1327</v>
      </c>
      <c r="O2175" s="152">
        <v>2.0179490000000002</v>
      </c>
      <c r="P2175" s="152">
        <v>23.656196000000001</v>
      </c>
      <c r="Q2175" s="152">
        <v>2.0179490000000002</v>
      </c>
      <c r="R2175" s="152" t="s">
        <v>1327</v>
      </c>
      <c r="S2175" s="152">
        <v>99.921993999999998</v>
      </c>
      <c r="T2175" s="152">
        <v>0.16137000000000001</v>
      </c>
      <c r="U2175" s="152">
        <v>0.64358599999999999</v>
      </c>
      <c r="V2175" s="152">
        <v>0.828407</v>
      </c>
      <c r="W2175" s="152">
        <v>1000</v>
      </c>
      <c r="X2175" s="152" t="s">
        <v>23</v>
      </c>
      <c r="Y2175" s="152" t="s">
        <v>1328</v>
      </c>
      <c r="Z2175" s="152" t="s">
        <v>1327</v>
      </c>
    </row>
    <row r="2176" spans="1:26" x14ac:dyDescent="0.2">
      <c r="A2176" s="152" t="s">
        <v>3258</v>
      </c>
      <c r="B2176" s="152">
        <v>1.9</v>
      </c>
      <c r="C2176" s="151">
        <v>43636</v>
      </c>
      <c r="D2176" s="152">
        <v>0.65205500000000005</v>
      </c>
      <c r="E2176" s="152" t="s">
        <v>1325</v>
      </c>
      <c r="F2176" s="152" t="s">
        <v>1326</v>
      </c>
      <c r="G2176" s="152"/>
      <c r="H2176" s="152"/>
      <c r="I2176" s="152" t="s">
        <v>1327</v>
      </c>
      <c r="J2176" s="152" t="s">
        <v>1327</v>
      </c>
      <c r="K2176" s="152" t="s">
        <v>1327</v>
      </c>
      <c r="L2176" s="152" t="s">
        <v>1327</v>
      </c>
      <c r="M2176" s="152" t="s">
        <v>1327</v>
      </c>
      <c r="N2176" s="152" t="s">
        <v>1327</v>
      </c>
      <c r="O2176" s="152">
        <v>2.0179490000000002</v>
      </c>
      <c r="P2176" s="152">
        <v>23.656196000000001</v>
      </c>
      <c r="Q2176" s="152">
        <v>2.0179490000000002</v>
      </c>
      <c r="R2176" s="152" t="s">
        <v>1327</v>
      </c>
      <c r="S2176" s="152">
        <v>99.922128999999998</v>
      </c>
      <c r="T2176" s="152">
        <v>0.15095900000000001</v>
      </c>
      <c r="U2176" s="152">
        <v>0.64358599999999999</v>
      </c>
      <c r="V2176" s="152">
        <v>0.828407</v>
      </c>
      <c r="W2176" s="152">
        <v>1000</v>
      </c>
      <c r="X2176" s="152" t="s">
        <v>23</v>
      </c>
      <c r="Y2176" s="152" t="s">
        <v>1328</v>
      </c>
      <c r="Z2176" s="152" t="s">
        <v>1327</v>
      </c>
    </row>
    <row r="2177" spans="1:26" x14ac:dyDescent="0.2">
      <c r="A2177" s="152" t="s">
        <v>3259</v>
      </c>
      <c r="B2177" s="152">
        <v>1.9</v>
      </c>
      <c r="C2177" s="151">
        <v>43640</v>
      </c>
      <c r="D2177" s="152">
        <v>0.66301399999999999</v>
      </c>
      <c r="E2177" s="152" t="s">
        <v>1325</v>
      </c>
      <c r="F2177" s="152" t="s">
        <v>1326</v>
      </c>
      <c r="G2177" s="152"/>
      <c r="H2177" s="152"/>
      <c r="I2177" s="152" t="s">
        <v>1327</v>
      </c>
      <c r="J2177" s="152" t="s">
        <v>1327</v>
      </c>
      <c r="K2177" s="152" t="s">
        <v>1327</v>
      </c>
      <c r="L2177" s="152" t="s">
        <v>1327</v>
      </c>
      <c r="M2177" s="152" t="s">
        <v>1327</v>
      </c>
      <c r="N2177" s="152" t="s">
        <v>1327</v>
      </c>
      <c r="O2177" s="152">
        <v>2.0222329999999999</v>
      </c>
      <c r="P2177" s="152">
        <v>23.892447000000001</v>
      </c>
      <c r="Q2177" s="152">
        <v>2.0222329999999999</v>
      </c>
      <c r="R2177" s="152" t="s">
        <v>1327</v>
      </c>
      <c r="S2177" s="152">
        <v>99.918102000000005</v>
      </c>
      <c r="T2177" s="152">
        <v>0.14575299999999999</v>
      </c>
      <c r="U2177" s="152">
        <v>0.65424199999999999</v>
      </c>
      <c r="V2177" s="152">
        <v>0.85606499999999996</v>
      </c>
      <c r="W2177" s="152">
        <v>1000</v>
      </c>
      <c r="X2177" s="152" t="s">
        <v>23</v>
      </c>
      <c r="Y2177" s="152" t="s">
        <v>1328</v>
      </c>
      <c r="Z2177" s="152" t="s">
        <v>1327</v>
      </c>
    </row>
    <row r="2178" spans="1:26" x14ac:dyDescent="0.2">
      <c r="A2178" s="152" t="s">
        <v>3260</v>
      </c>
      <c r="B2178" s="152">
        <v>1.9</v>
      </c>
      <c r="C2178" s="151">
        <v>43643</v>
      </c>
      <c r="D2178" s="152">
        <v>0.67123299999999997</v>
      </c>
      <c r="E2178" s="152" t="s">
        <v>1325</v>
      </c>
      <c r="F2178" s="152" t="s">
        <v>1326</v>
      </c>
      <c r="G2178" s="152"/>
      <c r="H2178" s="152"/>
      <c r="I2178" s="152" t="s">
        <v>1327</v>
      </c>
      <c r="J2178" s="152" t="s">
        <v>1327</v>
      </c>
      <c r="K2178" s="152" t="s">
        <v>1327</v>
      </c>
      <c r="L2178" s="152" t="s">
        <v>1327</v>
      </c>
      <c r="M2178" s="152" t="s">
        <v>1327</v>
      </c>
      <c r="N2178" s="152" t="s">
        <v>1327</v>
      </c>
      <c r="O2178" s="152">
        <v>2.0254310000000002</v>
      </c>
      <c r="P2178" s="152">
        <v>24.076809999999998</v>
      </c>
      <c r="Q2178" s="152">
        <v>2.0254310000000002</v>
      </c>
      <c r="R2178" s="152" t="s">
        <v>1327</v>
      </c>
      <c r="S2178" s="152">
        <v>99.915398999999994</v>
      </c>
      <c r="T2178" s="152">
        <v>0.114521</v>
      </c>
      <c r="U2178" s="152">
        <v>0.66222999999999999</v>
      </c>
      <c r="V2178" s="152">
        <v>0.87709599999999999</v>
      </c>
      <c r="W2178" s="152">
        <v>1000</v>
      </c>
      <c r="X2178" s="152" t="s">
        <v>23</v>
      </c>
      <c r="Y2178" s="152" t="s">
        <v>1328</v>
      </c>
      <c r="Z2178" s="152" t="s">
        <v>1327</v>
      </c>
    </row>
    <row r="2179" spans="1:26" x14ac:dyDescent="0.2">
      <c r="A2179" s="152" t="s">
        <v>3261</v>
      </c>
      <c r="B2179" s="152">
        <v>1.9</v>
      </c>
      <c r="C2179" s="151">
        <v>43643</v>
      </c>
      <c r="D2179" s="152">
        <v>0.67123299999999997</v>
      </c>
      <c r="E2179" s="152" t="s">
        <v>1325</v>
      </c>
      <c r="F2179" s="152" t="s">
        <v>1326</v>
      </c>
      <c r="G2179" s="152"/>
      <c r="H2179" s="152"/>
      <c r="I2179" s="152" t="s">
        <v>1327</v>
      </c>
      <c r="J2179" s="152" t="s">
        <v>1327</v>
      </c>
      <c r="K2179" s="152" t="s">
        <v>1327</v>
      </c>
      <c r="L2179" s="152" t="s">
        <v>1327</v>
      </c>
      <c r="M2179" s="152" t="s">
        <v>1327</v>
      </c>
      <c r="N2179" s="152" t="s">
        <v>1327</v>
      </c>
      <c r="O2179" s="152">
        <v>2.0254310000000002</v>
      </c>
      <c r="P2179" s="152">
        <v>24.076809999999998</v>
      </c>
      <c r="Q2179" s="152">
        <v>2.0254310000000002</v>
      </c>
      <c r="R2179" s="152" t="s">
        <v>1327</v>
      </c>
      <c r="S2179" s="152">
        <v>99.915329999999997</v>
      </c>
      <c r="T2179" s="152">
        <v>0.119726</v>
      </c>
      <c r="U2179" s="152">
        <v>0.66222999999999999</v>
      </c>
      <c r="V2179" s="152">
        <v>0.87709599999999999</v>
      </c>
      <c r="W2179" s="152">
        <v>1000</v>
      </c>
      <c r="X2179" s="152" t="s">
        <v>23</v>
      </c>
      <c r="Y2179" s="152" t="s">
        <v>1328</v>
      </c>
      <c r="Z2179" s="152" t="s">
        <v>1327</v>
      </c>
    </row>
    <row r="2180" spans="1:26" x14ac:dyDescent="0.2">
      <c r="A2180" s="152" t="s">
        <v>3262</v>
      </c>
      <c r="B2180" s="152">
        <v>0</v>
      </c>
      <c r="C2180" s="151">
        <v>43481</v>
      </c>
      <c r="D2180" s="152">
        <v>0.22739699999999999</v>
      </c>
      <c r="E2180" s="152" t="s">
        <v>1325</v>
      </c>
      <c r="F2180" s="152" t="s">
        <v>1326</v>
      </c>
      <c r="G2180" s="152"/>
      <c r="H2180" s="152"/>
      <c r="I2180" s="152">
        <v>43390</v>
      </c>
      <c r="J2180" s="152">
        <v>1.75</v>
      </c>
      <c r="K2180" s="152" t="s">
        <v>1327</v>
      </c>
      <c r="L2180" s="152" t="s">
        <v>1327</v>
      </c>
      <c r="M2180" s="152" t="s">
        <v>1327</v>
      </c>
      <c r="N2180" s="152" t="s">
        <v>1327</v>
      </c>
      <c r="O2180" s="152">
        <v>1.732764</v>
      </c>
      <c r="P2180" s="152">
        <v>23.306457999999999</v>
      </c>
      <c r="Q2180" s="152">
        <v>1.732764</v>
      </c>
      <c r="R2180" s="152" t="s">
        <v>1327</v>
      </c>
      <c r="S2180" s="152">
        <v>99.607521000000006</v>
      </c>
      <c r="T2180" s="152">
        <v>0</v>
      </c>
      <c r="U2180" s="152">
        <v>0.22650500000000001</v>
      </c>
      <c r="V2180" s="152">
        <v>0.10260900000000001</v>
      </c>
      <c r="W2180" s="152">
        <v>1000</v>
      </c>
      <c r="X2180" s="152" t="s">
        <v>23</v>
      </c>
      <c r="Y2180" s="152" t="s">
        <v>1328</v>
      </c>
      <c r="Z2180" s="152" t="s">
        <v>1327</v>
      </c>
    </row>
    <row r="2181" spans="1:26" x14ac:dyDescent="0.2">
      <c r="A2181" s="152" t="s">
        <v>3263</v>
      </c>
      <c r="B2181" s="152">
        <v>0</v>
      </c>
      <c r="C2181" s="151">
        <v>43510</v>
      </c>
      <c r="D2181" s="152">
        <v>0.30684899999999998</v>
      </c>
      <c r="E2181" s="152" t="s">
        <v>1325</v>
      </c>
      <c r="F2181" s="152" t="s">
        <v>1326</v>
      </c>
      <c r="G2181" s="152"/>
      <c r="H2181" s="152"/>
      <c r="I2181" s="152">
        <v>43326</v>
      </c>
      <c r="J2181" s="152">
        <v>1.73</v>
      </c>
      <c r="K2181" s="152" t="s">
        <v>1327</v>
      </c>
      <c r="L2181" s="152" t="s">
        <v>1327</v>
      </c>
      <c r="M2181" s="152" t="s">
        <v>1327</v>
      </c>
      <c r="N2181" s="152" t="s">
        <v>1327</v>
      </c>
      <c r="O2181" s="152">
        <v>1.8466849999999999</v>
      </c>
      <c r="P2181" s="152">
        <v>24.640681000000001</v>
      </c>
      <c r="Q2181" s="152">
        <v>1.8466849999999999</v>
      </c>
      <c r="R2181" s="152" t="s">
        <v>1327</v>
      </c>
      <c r="S2181" s="152">
        <v>99.436538999999996</v>
      </c>
      <c r="T2181" s="152">
        <v>0</v>
      </c>
      <c r="U2181" s="152">
        <v>0.30512</v>
      </c>
      <c r="V2181" s="152">
        <v>0.186197</v>
      </c>
      <c r="W2181" s="152">
        <v>1000</v>
      </c>
      <c r="X2181" s="152" t="s">
        <v>23</v>
      </c>
      <c r="Y2181" s="152" t="s">
        <v>1328</v>
      </c>
      <c r="Z2181" s="152" t="s">
        <v>1327</v>
      </c>
    </row>
    <row r="2182" spans="1:26" x14ac:dyDescent="0.2">
      <c r="A2182" s="152" t="s">
        <v>3264</v>
      </c>
      <c r="B2182" s="152">
        <v>0</v>
      </c>
      <c r="C2182" s="151">
        <v>43493</v>
      </c>
      <c r="D2182" s="152">
        <v>0.26027400000000001</v>
      </c>
      <c r="E2182" s="152" t="s">
        <v>1325</v>
      </c>
      <c r="F2182" s="152" t="s">
        <v>1326</v>
      </c>
      <c r="G2182" s="152"/>
      <c r="H2182" s="152"/>
      <c r="I2182" s="152" t="s">
        <v>1327</v>
      </c>
      <c r="J2182" s="152" t="s">
        <v>1327</v>
      </c>
      <c r="K2182" s="152" t="s">
        <v>1327</v>
      </c>
      <c r="L2182" s="152" t="s">
        <v>1327</v>
      </c>
      <c r="M2182" s="152" t="s">
        <v>1327</v>
      </c>
      <c r="N2182" s="152" t="s">
        <v>1327</v>
      </c>
      <c r="O2182" s="152">
        <v>1.7354750000000001</v>
      </c>
      <c r="P2182" s="152">
        <v>18.957695000000001</v>
      </c>
      <c r="Q2182" s="152">
        <v>1.7354750000000001</v>
      </c>
      <c r="R2182" s="152" t="s">
        <v>1327</v>
      </c>
      <c r="S2182" s="152">
        <v>99.550331999999997</v>
      </c>
      <c r="T2182" s="152">
        <v>0</v>
      </c>
      <c r="U2182" s="152">
        <v>0.259104</v>
      </c>
      <c r="V2182" s="152">
        <v>0.134269</v>
      </c>
      <c r="W2182" s="152">
        <v>1000</v>
      </c>
      <c r="X2182" s="152" t="s">
        <v>23</v>
      </c>
      <c r="Y2182" s="152" t="s">
        <v>1921</v>
      </c>
      <c r="Z2182" s="152" t="s">
        <v>1327</v>
      </c>
    </row>
    <row r="2183" spans="1:26" x14ac:dyDescent="0.2">
      <c r="A2183" s="152" t="s">
        <v>3265</v>
      </c>
      <c r="B2183" s="152">
        <v>0</v>
      </c>
      <c r="C2183" s="151">
        <v>43409</v>
      </c>
      <c r="D2183" s="152">
        <v>3.0137000000000001E-2</v>
      </c>
      <c r="E2183" s="152" t="s">
        <v>1325</v>
      </c>
      <c r="F2183" s="152" t="s">
        <v>1326</v>
      </c>
      <c r="G2183" s="152"/>
      <c r="H2183" s="152"/>
      <c r="I2183" s="152">
        <v>43328</v>
      </c>
      <c r="J2183" s="152">
        <v>1.5</v>
      </c>
      <c r="K2183" s="152" t="s">
        <v>1327</v>
      </c>
      <c r="L2183" s="152" t="s">
        <v>1327</v>
      </c>
      <c r="M2183" s="152" t="s">
        <v>1327</v>
      </c>
      <c r="N2183" s="152" t="s">
        <v>1327</v>
      </c>
      <c r="O2183" s="152">
        <v>1.5378890000000001</v>
      </c>
      <c r="P2183" s="152">
        <v>38.228022000000003</v>
      </c>
      <c r="Q2183" s="152">
        <v>1.5378890000000001</v>
      </c>
      <c r="R2183" s="152" t="s">
        <v>1327</v>
      </c>
      <c r="S2183" s="152">
        <v>99.953674000000007</v>
      </c>
      <c r="T2183" s="152">
        <v>0</v>
      </c>
      <c r="U2183" s="152">
        <v>3.0123E-2</v>
      </c>
      <c r="V2183" s="152">
        <v>1.815E-3</v>
      </c>
      <c r="W2183" s="152">
        <v>1000</v>
      </c>
      <c r="X2183" s="152" t="s">
        <v>23</v>
      </c>
      <c r="Y2183" s="152" t="s">
        <v>1328</v>
      </c>
      <c r="Z2183" s="152" t="s">
        <v>1327</v>
      </c>
    </row>
    <row r="2184" spans="1:26" x14ac:dyDescent="0.2">
      <c r="A2184" s="152" t="s">
        <v>3266</v>
      </c>
      <c r="B2184" s="152">
        <v>0</v>
      </c>
      <c r="C2184" s="151">
        <v>43412</v>
      </c>
      <c r="D2184" s="152">
        <v>3.8356000000000001E-2</v>
      </c>
      <c r="E2184" s="152" t="s">
        <v>1325</v>
      </c>
      <c r="F2184" s="152" t="s">
        <v>1326</v>
      </c>
      <c r="G2184" s="152"/>
      <c r="H2184" s="152"/>
      <c r="I2184" s="152">
        <v>43381</v>
      </c>
      <c r="J2184" s="152">
        <v>1.5</v>
      </c>
      <c r="K2184" s="152" t="s">
        <v>1327</v>
      </c>
      <c r="L2184" s="152" t="s">
        <v>1327</v>
      </c>
      <c r="M2184" s="152" t="s">
        <v>1327</v>
      </c>
      <c r="N2184" s="152" t="s">
        <v>1327</v>
      </c>
      <c r="O2184" s="152">
        <v>1.53752</v>
      </c>
      <c r="P2184" s="152">
        <v>36.691890999999998</v>
      </c>
      <c r="Q2184" s="152">
        <v>1.53752</v>
      </c>
      <c r="R2184" s="152" t="s">
        <v>1327</v>
      </c>
      <c r="S2184" s="152">
        <v>99.941061000000005</v>
      </c>
      <c r="T2184" s="152">
        <v>0</v>
      </c>
      <c r="U2184" s="152">
        <v>3.8334E-2</v>
      </c>
      <c r="V2184" s="152">
        <v>2.9390000000000002E-3</v>
      </c>
      <c r="W2184" s="152">
        <v>1000</v>
      </c>
      <c r="X2184" s="152" t="s">
        <v>23</v>
      </c>
      <c r="Y2184" s="152" t="s">
        <v>1328</v>
      </c>
      <c r="Z2184" s="152" t="s">
        <v>1327</v>
      </c>
    </row>
    <row r="2185" spans="1:26" x14ac:dyDescent="0.2">
      <c r="A2185" s="152" t="s">
        <v>3267</v>
      </c>
      <c r="B2185" s="152">
        <v>0</v>
      </c>
      <c r="C2185" s="151">
        <v>43416</v>
      </c>
      <c r="D2185" s="152">
        <v>4.9314999999999998E-2</v>
      </c>
      <c r="E2185" s="152" t="s">
        <v>1325</v>
      </c>
      <c r="F2185" s="152" t="s">
        <v>1326</v>
      </c>
      <c r="G2185" s="152"/>
      <c r="H2185" s="152"/>
      <c r="I2185" s="152">
        <v>43383</v>
      </c>
      <c r="J2185" s="152">
        <v>1.5</v>
      </c>
      <c r="K2185" s="152" t="s">
        <v>1327</v>
      </c>
      <c r="L2185" s="152" t="s">
        <v>1327</v>
      </c>
      <c r="M2185" s="152" t="s">
        <v>1327</v>
      </c>
      <c r="N2185" s="152" t="s">
        <v>1327</v>
      </c>
      <c r="O2185" s="152">
        <v>1.5370980000000001</v>
      </c>
      <c r="P2185" s="152">
        <v>34.63823</v>
      </c>
      <c r="Q2185" s="152">
        <v>1.5370980000000001</v>
      </c>
      <c r="R2185" s="152" t="s">
        <v>1327</v>
      </c>
      <c r="S2185" s="152">
        <v>99.924255000000002</v>
      </c>
      <c r="T2185" s="152">
        <v>0</v>
      </c>
      <c r="U2185" s="152">
        <v>4.9278000000000002E-2</v>
      </c>
      <c r="V2185" s="152">
        <v>4.8570000000000002E-3</v>
      </c>
      <c r="W2185" s="152">
        <v>1000</v>
      </c>
      <c r="X2185" s="152" t="s">
        <v>23</v>
      </c>
      <c r="Y2185" s="152" t="s">
        <v>1328</v>
      </c>
      <c r="Z2185" s="152" t="s">
        <v>1327</v>
      </c>
    </row>
    <row r="2186" spans="1:26" x14ac:dyDescent="0.2">
      <c r="A2186" s="152" t="s">
        <v>3268</v>
      </c>
      <c r="B2186" s="152">
        <v>0</v>
      </c>
      <c r="C2186" s="151">
        <v>43419</v>
      </c>
      <c r="D2186" s="152">
        <v>5.7534000000000002E-2</v>
      </c>
      <c r="E2186" s="152" t="s">
        <v>1325</v>
      </c>
      <c r="F2186" s="152" t="s">
        <v>1326</v>
      </c>
      <c r="G2186" s="152"/>
      <c r="H2186" s="152"/>
      <c r="I2186" s="152">
        <v>43389</v>
      </c>
      <c r="J2186" s="152">
        <v>1.58</v>
      </c>
      <c r="K2186" s="152" t="s">
        <v>1327</v>
      </c>
      <c r="L2186" s="152" t="s">
        <v>1327</v>
      </c>
      <c r="M2186" s="152" t="s">
        <v>1327</v>
      </c>
      <c r="N2186" s="152" t="s">
        <v>1327</v>
      </c>
      <c r="O2186" s="152">
        <v>1.56087</v>
      </c>
      <c r="P2186" s="152">
        <v>35.534998999999999</v>
      </c>
      <c r="Q2186" s="152">
        <v>1.56087</v>
      </c>
      <c r="R2186" s="152" t="s">
        <v>1327</v>
      </c>
      <c r="S2186" s="152">
        <v>99.910276999999994</v>
      </c>
      <c r="T2186" s="152">
        <v>0</v>
      </c>
      <c r="U2186" s="152">
        <v>5.7482999999999999E-2</v>
      </c>
      <c r="V2186" s="152">
        <v>6.6090000000000003E-3</v>
      </c>
      <c r="W2186" s="152">
        <v>1000</v>
      </c>
      <c r="X2186" s="152" t="s">
        <v>23</v>
      </c>
      <c r="Y2186" s="152" t="s">
        <v>1328</v>
      </c>
      <c r="Z2186" s="152" t="s">
        <v>1327</v>
      </c>
    </row>
    <row r="2187" spans="1:26" x14ac:dyDescent="0.2">
      <c r="A2187" s="152" t="s">
        <v>3269</v>
      </c>
      <c r="B2187" s="152">
        <v>0</v>
      </c>
      <c r="C2187" s="151">
        <v>43419</v>
      </c>
      <c r="D2187" s="152">
        <v>5.7534000000000002E-2</v>
      </c>
      <c r="E2187" s="152" t="s">
        <v>1325</v>
      </c>
      <c r="F2187" s="152" t="s">
        <v>1326</v>
      </c>
      <c r="G2187" s="152"/>
      <c r="H2187" s="152"/>
      <c r="I2187" s="152">
        <v>43390</v>
      </c>
      <c r="J2187" s="152">
        <v>1.58</v>
      </c>
      <c r="K2187" s="152" t="s">
        <v>1327</v>
      </c>
      <c r="L2187" s="152" t="s">
        <v>1327</v>
      </c>
      <c r="M2187" s="152" t="s">
        <v>1327</v>
      </c>
      <c r="N2187" s="152" t="s">
        <v>1327</v>
      </c>
      <c r="O2187" s="152">
        <v>1.5652269999999999</v>
      </c>
      <c r="P2187" s="152">
        <v>35.977215000000001</v>
      </c>
      <c r="Q2187" s="152">
        <v>1.5652269999999999</v>
      </c>
      <c r="R2187" s="152" t="s">
        <v>1327</v>
      </c>
      <c r="S2187" s="152">
        <v>99.910026999999999</v>
      </c>
      <c r="T2187" s="152">
        <v>0</v>
      </c>
      <c r="U2187" s="152">
        <v>5.7481999999999998E-2</v>
      </c>
      <c r="V2187" s="152">
        <v>6.6080000000000002E-3</v>
      </c>
      <c r="W2187" s="152">
        <v>1000</v>
      </c>
      <c r="X2187" s="152" t="s">
        <v>23</v>
      </c>
      <c r="Y2187" s="152" t="s">
        <v>1328</v>
      </c>
      <c r="Z2187" s="152" t="s">
        <v>1327</v>
      </c>
    </row>
    <row r="2188" spans="1:26" x14ac:dyDescent="0.2">
      <c r="A2188" s="152" t="s">
        <v>3270</v>
      </c>
      <c r="B2188" s="152">
        <v>0</v>
      </c>
      <c r="C2188" s="151">
        <v>43424</v>
      </c>
      <c r="D2188" s="152">
        <v>7.1233000000000005E-2</v>
      </c>
      <c r="E2188" s="152" t="s">
        <v>1325</v>
      </c>
      <c r="F2188" s="152" t="s">
        <v>1326</v>
      </c>
      <c r="G2188" s="152"/>
      <c r="H2188" s="152"/>
      <c r="I2188" s="152">
        <v>43391</v>
      </c>
      <c r="J2188" s="152">
        <v>1.58</v>
      </c>
      <c r="K2188" s="152" t="s">
        <v>1327</v>
      </c>
      <c r="L2188" s="152" t="s">
        <v>1327</v>
      </c>
      <c r="M2188" s="152" t="s">
        <v>1327</v>
      </c>
      <c r="N2188" s="152" t="s">
        <v>1327</v>
      </c>
      <c r="O2188" s="152">
        <v>1.564206</v>
      </c>
      <c r="P2188" s="152">
        <v>33.339173000000002</v>
      </c>
      <c r="Q2188" s="152">
        <v>1.564206</v>
      </c>
      <c r="R2188" s="152" t="s">
        <v>1327</v>
      </c>
      <c r="S2188" s="152">
        <v>99.888700999999998</v>
      </c>
      <c r="T2188" s="152">
        <v>0</v>
      </c>
      <c r="U2188" s="152">
        <v>7.1153999999999995E-2</v>
      </c>
      <c r="V2188" s="152">
        <v>1.0126E-2</v>
      </c>
      <c r="W2188" s="152">
        <v>1000</v>
      </c>
      <c r="X2188" s="152" t="s">
        <v>23</v>
      </c>
      <c r="Y2188" s="152" t="s">
        <v>1328</v>
      </c>
      <c r="Z2188" s="152" t="s">
        <v>1327</v>
      </c>
    </row>
    <row r="2189" spans="1:26" x14ac:dyDescent="0.2">
      <c r="A2189" s="152" t="s">
        <v>3271</v>
      </c>
      <c r="B2189" s="152">
        <v>0</v>
      </c>
      <c r="C2189" s="151">
        <v>43399</v>
      </c>
      <c r="D2189" s="152">
        <v>2.7399999999999998E-3</v>
      </c>
      <c r="E2189" s="152" t="s">
        <v>1325</v>
      </c>
      <c r="F2189" s="152" t="s">
        <v>1326</v>
      </c>
      <c r="G2189" s="152"/>
      <c r="H2189" s="152"/>
      <c r="I2189" s="152">
        <v>43383</v>
      </c>
      <c r="J2189" s="152">
        <v>1.5</v>
      </c>
      <c r="K2189" s="152" t="s">
        <v>1327</v>
      </c>
      <c r="L2189" s="152" t="s">
        <v>1327</v>
      </c>
      <c r="M2189" s="152" t="s">
        <v>1327</v>
      </c>
      <c r="N2189" s="152" t="s">
        <v>1327</v>
      </c>
      <c r="O2189" s="152">
        <v>1.5394330000000001</v>
      </c>
      <c r="P2189" s="152">
        <v>43.297504000000004</v>
      </c>
      <c r="Q2189" s="152">
        <v>1.5394330000000001</v>
      </c>
      <c r="R2189" s="152" t="s">
        <v>1327</v>
      </c>
      <c r="S2189" s="152">
        <v>99.995783000000003</v>
      </c>
      <c r="T2189" s="152">
        <v>0</v>
      </c>
      <c r="U2189" s="152">
        <v>2.7399999999999998E-3</v>
      </c>
      <c r="V2189" s="152">
        <v>1.5E-5</v>
      </c>
      <c r="W2189" s="152">
        <v>1000</v>
      </c>
      <c r="X2189" s="152" t="s">
        <v>23</v>
      </c>
      <c r="Y2189" s="152" t="s">
        <v>1328</v>
      </c>
      <c r="Z2189" s="152" t="s">
        <v>1327</v>
      </c>
    </row>
    <row r="2190" spans="1:26" x14ac:dyDescent="0.2">
      <c r="A2190" s="152" t="s">
        <v>3272</v>
      </c>
      <c r="B2190" s="152">
        <v>0</v>
      </c>
      <c r="C2190" s="151">
        <v>43404</v>
      </c>
      <c r="D2190" s="152">
        <v>1.6438000000000001E-2</v>
      </c>
      <c r="E2190" s="152" t="s">
        <v>1325</v>
      </c>
      <c r="F2190" s="152" t="s">
        <v>1326</v>
      </c>
      <c r="G2190" s="152"/>
      <c r="H2190" s="152"/>
      <c r="I2190" s="152">
        <v>43377</v>
      </c>
      <c r="J2190" s="152">
        <v>1.52</v>
      </c>
      <c r="K2190" s="152" t="s">
        <v>1327</v>
      </c>
      <c r="L2190" s="152" t="s">
        <v>1327</v>
      </c>
      <c r="M2190" s="152" t="s">
        <v>1327</v>
      </c>
      <c r="N2190" s="152" t="s">
        <v>1327</v>
      </c>
      <c r="O2190" s="152">
        <v>1.538602</v>
      </c>
      <c r="P2190" s="152">
        <v>40.774867999999998</v>
      </c>
      <c r="Q2190" s="152">
        <v>1.538602</v>
      </c>
      <c r="R2190" s="152" t="s">
        <v>1327</v>
      </c>
      <c r="S2190" s="152">
        <v>99.974714000000006</v>
      </c>
      <c r="T2190" s="152">
        <v>0</v>
      </c>
      <c r="U2190" s="152">
        <v>1.6434000000000001E-2</v>
      </c>
      <c r="V2190" s="152">
        <v>5.4000000000000001E-4</v>
      </c>
      <c r="W2190" s="152">
        <v>1000</v>
      </c>
      <c r="X2190" s="152" t="s">
        <v>23</v>
      </c>
      <c r="Y2190" s="152" t="s">
        <v>1328</v>
      </c>
      <c r="Z2190" s="152" t="s">
        <v>1327</v>
      </c>
    </row>
    <row r="2191" spans="1:26" x14ac:dyDescent="0.2">
      <c r="A2191" s="152" t="s">
        <v>3273</v>
      </c>
      <c r="B2191" s="152">
        <v>0</v>
      </c>
      <c r="C2191" s="151">
        <v>43404</v>
      </c>
      <c r="D2191" s="152">
        <v>1.6438000000000001E-2</v>
      </c>
      <c r="E2191" s="152" t="s">
        <v>1325</v>
      </c>
      <c r="F2191" s="152" t="s">
        <v>1326</v>
      </c>
      <c r="G2191" s="152"/>
      <c r="H2191" s="152"/>
      <c r="I2191" s="152">
        <v>43378</v>
      </c>
      <c r="J2191" s="152">
        <v>1.5</v>
      </c>
      <c r="K2191" s="152" t="s">
        <v>1327</v>
      </c>
      <c r="L2191" s="152" t="s">
        <v>1327</v>
      </c>
      <c r="M2191" s="152" t="s">
        <v>1327</v>
      </c>
      <c r="N2191" s="152" t="s">
        <v>1327</v>
      </c>
      <c r="O2191" s="152">
        <v>1.538602</v>
      </c>
      <c r="P2191" s="152">
        <v>40.774867999999998</v>
      </c>
      <c r="Q2191" s="152">
        <v>1.538602</v>
      </c>
      <c r="R2191" s="152" t="s">
        <v>1327</v>
      </c>
      <c r="S2191" s="152">
        <v>99.974714000000006</v>
      </c>
      <c r="T2191" s="152">
        <v>0</v>
      </c>
      <c r="U2191" s="152">
        <v>1.6434000000000001E-2</v>
      </c>
      <c r="V2191" s="152">
        <v>5.4000000000000001E-4</v>
      </c>
      <c r="W2191" s="152">
        <v>1000</v>
      </c>
      <c r="X2191" s="152" t="s">
        <v>23</v>
      </c>
      <c r="Y2191" s="152" t="s">
        <v>1328</v>
      </c>
      <c r="Z2191" s="152" t="s">
        <v>1327</v>
      </c>
    </row>
    <row r="2192" spans="1:26" x14ac:dyDescent="0.2">
      <c r="A2192" s="152" t="s">
        <v>3274</v>
      </c>
      <c r="B2192" s="152">
        <v>0</v>
      </c>
      <c r="C2192" s="151">
        <v>43480</v>
      </c>
      <c r="D2192" s="152">
        <v>0.224658</v>
      </c>
      <c r="E2192" s="152" t="s">
        <v>1325</v>
      </c>
      <c r="F2192" s="152" t="s">
        <v>1326</v>
      </c>
      <c r="G2192" s="152"/>
      <c r="H2192" s="152"/>
      <c r="I2192" s="152">
        <v>43286</v>
      </c>
      <c r="J2192" s="152">
        <v>1.55</v>
      </c>
      <c r="K2192" s="152" t="s">
        <v>1327</v>
      </c>
      <c r="L2192" s="152" t="s">
        <v>1327</v>
      </c>
      <c r="M2192" s="152" t="s">
        <v>1327</v>
      </c>
      <c r="N2192" s="152" t="s">
        <v>1327</v>
      </c>
      <c r="O2192" s="152">
        <v>1.829102</v>
      </c>
      <c r="P2192" s="152">
        <v>33.484352999999999</v>
      </c>
      <c r="Q2192" s="152">
        <v>1.829102</v>
      </c>
      <c r="R2192" s="152" t="s">
        <v>1327</v>
      </c>
      <c r="S2192" s="152">
        <v>99.590760000000003</v>
      </c>
      <c r="T2192" s="152">
        <v>0</v>
      </c>
      <c r="U2192" s="152">
        <v>0.22373799999999999</v>
      </c>
      <c r="V2192" s="152">
        <v>0.100118</v>
      </c>
      <c r="W2192" s="152">
        <v>1000</v>
      </c>
      <c r="X2192" s="152" t="s">
        <v>23</v>
      </c>
      <c r="Y2192" s="152" t="s">
        <v>1328</v>
      </c>
      <c r="Z2192" s="152" t="s">
        <v>1327</v>
      </c>
    </row>
    <row r="2193" spans="1:26" x14ac:dyDescent="0.2">
      <c r="A2193" s="152" t="s">
        <v>3275</v>
      </c>
      <c r="B2193" s="152">
        <v>0</v>
      </c>
      <c r="C2193" s="151">
        <v>43480</v>
      </c>
      <c r="D2193" s="152">
        <v>0.224658</v>
      </c>
      <c r="E2193" s="152" t="s">
        <v>1325</v>
      </c>
      <c r="F2193" s="152" t="s">
        <v>1326</v>
      </c>
      <c r="G2193" s="152"/>
      <c r="H2193" s="152"/>
      <c r="I2193" s="152">
        <v>43389</v>
      </c>
      <c r="J2193" s="152">
        <v>1.7</v>
      </c>
      <c r="K2193" s="152" t="s">
        <v>1327</v>
      </c>
      <c r="L2193" s="152" t="s">
        <v>1327</v>
      </c>
      <c r="M2193" s="152" t="s">
        <v>1327</v>
      </c>
      <c r="N2193" s="152" t="s">
        <v>1327</v>
      </c>
      <c r="O2193" s="152">
        <v>1.6869149999999999</v>
      </c>
      <c r="P2193" s="152">
        <v>19.070881</v>
      </c>
      <c r="Q2193" s="152">
        <v>1.6869149999999999</v>
      </c>
      <c r="R2193" s="152" t="s">
        <v>1327</v>
      </c>
      <c r="S2193" s="152">
        <v>99.622452999999993</v>
      </c>
      <c r="T2193" s="152">
        <v>0</v>
      </c>
      <c r="U2193" s="152">
        <v>0.22380900000000001</v>
      </c>
      <c r="V2193" s="152">
        <v>0.10018100000000001</v>
      </c>
      <c r="W2193" s="152">
        <v>1000</v>
      </c>
      <c r="X2193" s="152" t="s">
        <v>23</v>
      </c>
      <c r="Y2193" s="152" t="s">
        <v>1328</v>
      </c>
      <c r="Z2193" s="152" t="s">
        <v>1327</v>
      </c>
    </row>
    <row r="2194" spans="1:26" x14ac:dyDescent="0.2">
      <c r="A2194" s="152" t="s">
        <v>3276</v>
      </c>
      <c r="B2194" s="152">
        <v>0</v>
      </c>
      <c r="C2194" s="151">
        <v>43513</v>
      </c>
      <c r="D2194" s="152">
        <v>0.31506800000000001</v>
      </c>
      <c r="E2194" s="152" t="s">
        <v>1325</v>
      </c>
      <c r="F2194" s="152" t="s">
        <v>1326</v>
      </c>
      <c r="G2194" s="152"/>
      <c r="H2194" s="152"/>
      <c r="I2194" s="152" t="s">
        <v>1327</v>
      </c>
      <c r="J2194" s="152" t="s">
        <v>1327</v>
      </c>
      <c r="K2194" s="152" t="s">
        <v>1327</v>
      </c>
      <c r="L2194" s="152" t="s">
        <v>1327</v>
      </c>
      <c r="M2194" s="152" t="s">
        <v>1327</v>
      </c>
      <c r="N2194" s="152" t="s">
        <v>1327</v>
      </c>
      <c r="O2194" s="152">
        <v>1.9749669999999999</v>
      </c>
      <c r="P2194" s="152">
        <v>36.762352</v>
      </c>
      <c r="Q2194" s="152">
        <v>1.9749669999999999</v>
      </c>
      <c r="R2194" s="152" t="s">
        <v>1327</v>
      </c>
      <c r="S2194" s="152">
        <v>99.381597999999997</v>
      </c>
      <c r="T2194" s="152">
        <v>0</v>
      </c>
      <c r="U2194" s="152">
        <v>0.31312000000000001</v>
      </c>
      <c r="V2194" s="152">
        <v>0.19608800000000001</v>
      </c>
      <c r="W2194" s="152">
        <v>1000</v>
      </c>
      <c r="X2194" s="152" t="s">
        <v>23</v>
      </c>
      <c r="Y2194" s="152" t="s">
        <v>1921</v>
      </c>
      <c r="Z2194" s="152" t="s">
        <v>1327</v>
      </c>
    </row>
    <row r="2195" spans="1:26" x14ac:dyDescent="0.2">
      <c r="A2195" s="152" t="s">
        <v>3277</v>
      </c>
      <c r="B2195" s="152">
        <v>0</v>
      </c>
      <c r="C2195" s="151">
        <v>43455</v>
      </c>
      <c r="D2195" s="152">
        <v>0.156164</v>
      </c>
      <c r="E2195" s="152" t="s">
        <v>1325</v>
      </c>
      <c r="F2195" s="152" t="s">
        <v>1326</v>
      </c>
      <c r="G2195" s="152"/>
      <c r="H2195" s="152"/>
      <c r="I2195" s="152">
        <v>43397</v>
      </c>
      <c r="J2195" s="152">
        <v>2</v>
      </c>
      <c r="K2195" s="152" t="s">
        <v>1327</v>
      </c>
      <c r="L2195" s="152" t="s">
        <v>1327</v>
      </c>
      <c r="M2195" s="152" t="s">
        <v>1327</v>
      </c>
      <c r="N2195" s="152" t="s">
        <v>1327</v>
      </c>
      <c r="O2195" s="152">
        <v>2</v>
      </c>
      <c r="P2195" s="152">
        <v>62.109848</v>
      </c>
      <c r="Q2195" s="152">
        <v>2</v>
      </c>
      <c r="R2195" s="152" t="s">
        <v>1327</v>
      </c>
      <c r="S2195" s="152">
        <v>99.688643999999996</v>
      </c>
      <c r="T2195" s="152">
        <v>0</v>
      </c>
      <c r="U2195" s="152">
        <v>0.15567800000000001</v>
      </c>
      <c r="V2195" s="152">
        <v>4.8471E-2</v>
      </c>
      <c r="W2195" s="152">
        <v>1000</v>
      </c>
      <c r="X2195" s="152" t="s">
        <v>23</v>
      </c>
      <c r="Y2195" s="152" t="s">
        <v>1328</v>
      </c>
      <c r="Z2195" s="152" t="s">
        <v>1327</v>
      </c>
    </row>
    <row r="2196" spans="1:26" x14ac:dyDescent="0.2">
      <c r="A2196" s="152" t="s">
        <v>3278</v>
      </c>
      <c r="B2196" s="152">
        <v>0</v>
      </c>
      <c r="C2196" s="151">
        <v>43399</v>
      </c>
      <c r="D2196" s="152">
        <v>2.7399999999999998E-3</v>
      </c>
      <c r="E2196" s="152" t="s">
        <v>1325</v>
      </c>
      <c r="F2196" s="152" t="s">
        <v>1326</v>
      </c>
      <c r="G2196" s="152"/>
      <c r="H2196" s="152"/>
      <c r="I2196" s="151">
        <v>43370</v>
      </c>
      <c r="J2196" s="152">
        <v>2</v>
      </c>
      <c r="K2196" s="152" t="s">
        <v>1327</v>
      </c>
      <c r="L2196" s="152" t="s">
        <v>1327</v>
      </c>
      <c r="M2196" s="152" t="s">
        <v>1327</v>
      </c>
      <c r="N2196" s="152" t="s">
        <v>1327</v>
      </c>
      <c r="O2196" s="152">
        <v>2.0049049999999999</v>
      </c>
      <c r="P2196" s="152">
        <v>90.674637000000004</v>
      </c>
      <c r="Q2196" s="152">
        <v>2.0049049999999999</v>
      </c>
      <c r="R2196" s="152" t="s">
        <v>1327</v>
      </c>
      <c r="S2196" s="152">
        <v>99.994506999999999</v>
      </c>
      <c r="T2196" s="152">
        <v>0</v>
      </c>
      <c r="U2196" s="152">
        <v>2.7399999999999998E-3</v>
      </c>
      <c r="V2196" s="152">
        <v>1.5E-5</v>
      </c>
      <c r="W2196" s="152">
        <v>1000</v>
      </c>
      <c r="X2196" s="152" t="s">
        <v>23</v>
      </c>
      <c r="Y2196" s="152" t="s">
        <v>1328</v>
      </c>
      <c r="Z2196" s="152" t="s">
        <v>1327</v>
      </c>
    </row>
    <row r="2197" spans="1:26" x14ac:dyDescent="0.2">
      <c r="A2197" s="152" t="s">
        <v>3279</v>
      </c>
      <c r="B2197" s="152">
        <v>0</v>
      </c>
      <c r="C2197" s="151">
        <v>43482</v>
      </c>
      <c r="D2197" s="152">
        <v>0.23013700000000001</v>
      </c>
      <c r="E2197" s="152" t="s">
        <v>1325</v>
      </c>
      <c r="F2197" s="152" t="s">
        <v>1326</v>
      </c>
      <c r="G2197" s="152"/>
      <c r="H2197" s="152"/>
      <c r="I2197" s="152" t="s">
        <v>1327</v>
      </c>
      <c r="J2197" s="152" t="s">
        <v>1327</v>
      </c>
      <c r="K2197" s="152" t="s">
        <v>1327</v>
      </c>
      <c r="L2197" s="152" t="s">
        <v>1327</v>
      </c>
      <c r="M2197" s="152" t="s">
        <v>1327</v>
      </c>
      <c r="N2197" s="152" t="s">
        <v>1327</v>
      </c>
      <c r="O2197" s="152">
        <v>1.9694229999999999</v>
      </c>
      <c r="P2197" s="152">
        <v>46.90457</v>
      </c>
      <c r="Q2197" s="152">
        <v>1.9694229999999999</v>
      </c>
      <c r="R2197" s="152" t="s">
        <v>1327</v>
      </c>
      <c r="S2197" s="152">
        <v>99.548807999999994</v>
      </c>
      <c r="T2197" s="152">
        <v>0</v>
      </c>
      <c r="U2197" s="152">
        <v>0.229099</v>
      </c>
      <c r="V2197" s="152">
        <v>0.104972</v>
      </c>
      <c r="W2197" s="152">
        <v>1000</v>
      </c>
      <c r="X2197" s="152" t="s">
        <v>23</v>
      </c>
      <c r="Y2197" s="152" t="s">
        <v>1921</v>
      </c>
      <c r="Z2197" s="152" t="s">
        <v>1327</v>
      </c>
    </row>
    <row r="2198" spans="1:26" x14ac:dyDescent="0.2">
      <c r="A2198" s="152" t="s">
        <v>3280</v>
      </c>
      <c r="B2198" s="152">
        <v>0</v>
      </c>
      <c r="C2198" s="151">
        <v>43440</v>
      </c>
      <c r="D2198" s="152">
        <v>0.115068</v>
      </c>
      <c r="E2198" s="152" t="s">
        <v>1325</v>
      </c>
      <c r="F2198" s="152" t="s">
        <v>1326</v>
      </c>
      <c r="G2198" s="152"/>
      <c r="H2198" s="152"/>
      <c r="I2198" s="151">
        <v>43257</v>
      </c>
      <c r="J2198" s="152">
        <v>2.15</v>
      </c>
      <c r="K2198" s="152" t="s">
        <v>1327</v>
      </c>
      <c r="L2198" s="152" t="s">
        <v>1327</v>
      </c>
      <c r="M2198" s="152" t="s">
        <v>1327</v>
      </c>
      <c r="N2198" s="152" t="s">
        <v>1327</v>
      </c>
      <c r="O2198" s="152">
        <v>2.0642779999999998</v>
      </c>
      <c r="P2198" s="152">
        <v>76.063159999999996</v>
      </c>
      <c r="Q2198" s="152">
        <v>2.0642779999999998</v>
      </c>
      <c r="R2198" s="152" t="s">
        <v>1327</v>
      </c>
      <c r="S2198" s="152">
        <v>99.763030000000001</v>
      </c>
      <c r="T2198" s="152">
        <v>0</v>
      </c>
      <c r="U2198" s="152">
        <v>0.114796</v>
      </c>
      <c r="V2198" s="152">
        <v>2.6356000000000001E-2</v>
      </c>
      <c r="W2198" s="152">
        <v>1000</v>
      </c>
      <c r="X2198" s="152" t="s">
        <v>23</v>
      </c>
      <c r="Y2198" s="152" t="s">
        <v>1328</v>
      </c>
      <c r="Z2198" s="152" t="s">
        <v>1327</v>
      </c>
    </row>
    <row r="2199" spans="1:26" x14ac:dyDescent="0.2">
      <c r="A2199" s="152" t="s">
        <v>3281</v>
      </c>
      <c r="B2199" s="152">
        <v>0</v>
      </c>
      <c r="C2199" s="151">
        <v>43462</v>
      </c>
      <c r="D2199" s="152">
        <v>0.175342</v>
      </c>
      <c r="E2199" s="152" t="s">
        <v>1325</v>
      </c>
      <c r="F2199" s="152" t="s">
        <v>1326</v>
      </c>
      <c r="G2199" s="152"/>
      <c r="H2199" s="152"/>
      <c r="I2199" s="151">
        <v>43395</v>
      </c>
      <c r="J2199" s="152">
        <v>2.2000000000000002</v>
      </c>
      <c r="K2199" s="152" t="s">
        <v>1327</v>
      </c>
      <c r="L2199" s="152" t="s">
        <v>1327</v>
      </c>
      <c r="M2199" s="152" t="s">
        <v>1327</v>
      </c>
      <c r="N2199" s="152" t="s">
        <v>1327</v>
      </c>
      <c r="O2199" s="152">
        <v>2.190706</v>
      </c>
      <c r="P2199" s="152">
        <v>78.188865000000007</v>
      </c>
      <c r="Q2199" s="152">
        <v>2.190706</v>
      </c>
      <c r="R2199" s="152" t="s">
        <v>1327</v>
      </c>
      <c r="S2199" s="152">
        <v>99.617345999999998</v>
      </c>
      <c r="T2199" s="152">
        <v>0</v>
      </c>
      <c r="U2199" s="152">
        <v>0.17467199999999999</v>
      </c>
      <c r="V2199" s="152">
        <v>6.1019999999999998E-2</v>
      </c>
      <c r="W2199" s="152">
        <v>1000</v>
      </c>
      <c r="X2199" s="152" t="s">
        <v>23</v>
      </c>
      <c r="Y2199" s="152" t="s">
        <v>1328</v>
      </c>
      <c r="Z2199" s="152" t="s">
        <v>1327</v>
      </c>
    </row>
    <row r="2200" spans="1:26" x14ac:dyDescent="0.2">
      <c r="A2200" s="152" t="s">
        <v>3282</v>
      </c>
      <c r="B2200" s="152">
        <v>0</v>
      </c>
      <c r="C2200" s="151">
        <v>43412</v>
      </c>
      <c r="D2200" s="152">
        <v>3.8356000000000001E-2</v>
      </c>
      <c r="E2200" s="152" t="s">
        <v>1325</v>
      </c>
      <c r="F2200" s="152" t="s">
        <v>1326</v>
      </c>
      <c r="G2200" s="152"/>
      <c r="H2200" s="152"/>
      <c r="I2200" s="151">
        <v>43230</v>
      </c>
      <c r="J2200" s="152">
        <v>2.2000000000000002</v>
      </c>
      <c r="K2200" s="152" t="s">
        <v>1327</v>
      </c>
      <c r="L2200" s="152" t="s">
        <v>1327</v>
      </c>
      <c r="M2200" s="152" t="s">
        <v>1327</v>
      </c>
      <c r="N2200" s="152" t="s">
        <v>1327</v>
      </c>
      <c r="O2200" s="152">
        <v>1.9144639999999999</v>
      </c>
      <c r="P2200" s="152">
        <v>75.016921999999994</v>
      </c>
      <c r="Q2200" s="152">
        <v>1.9144639999999999</v>
      </c>
      <c r="R2200" s="152" t="s">
        <v>1327</v>
      </c>
      <c r="S2200" s="152">
        <v>99.926621999999995</v>
      </c>
      <c r="T2200" s="152">
        <v>0</v>
      </c>
      <c r="U2200" s="152">
        <v>3.8328000000000001E-2</v>
      </c>
      <c r="V2200" s="152">
        <v>2.9380000000000001E-3</v>
      </c>
      <c r="W2200" s="152">
        <v>1000</v>
      </c>
      <c r="X2200" s="152" t="s">
        <v>23</v>
      </c>
      <c r="Y2200" s="152" t="s">
        <v>1328</v>
      </c>
      <c r="Z2200" s="152" t="s">
        <v>1327</v>
      </c>
    </row>
    <row r="2201" spans="1:26" x14ac:dyDescent="0.2">
      <c r="A2201" s="152" t="s">
        <v>3283</v>
      </c>
      <c r="B2201" s="152">
        <v>0</v>
      </c>
      <c r="C2201" s="151">
        <v>43447</v>
      </c>
      <c r="D2201" s="152">
        <v>0.13424700000000001</v>
      </c>
      <c r="E2201" s="152" t="s">
        <v>1325</v>
      </c>
      <c r="F2201" s="152" t="s">
        <v>1326</v>
      </c>
      <c r="G2201" s="152"/>
      <c r="H2201" s="152"/>
      <c r="I2201" s="151" t="s">
        <v>1327</v>
      </c>
      <c r="J2201" s="152" t="s">
        <v>1327</v>
      </c>
      <c r="K2201" s="152" t="s">
        <v>1327</v>
      </c>
      <c r="L2201" s="152" t="s">
        <v>1327</v>
      </c>
      <c r="M2201" s="152" t="s">
        <v>1327</v>
      </c>
      <c r="N2201" s="152" t="s">
        <v>1327</v>
      </c>
      <c r="O2201" s="152">
        <v>1.526152</v>
      </c>
      <c r="P2201" s="152">
        <v>17.909179000000002</v>
      </c>
      <c r="Q2201" s="152">
        <v>1.526152</v>
      </c>
      <c r="R2201" s="152" t="s">
        <v>1327</v>
      </c>
      <c r="S2201" s="152">
        <v>99.795537999999993</v>
      </c>
      <c r="T2201" s="152">
        <v>0</v>
      </c>
      <c r="U2201" s="152">
        <v>0.13397200000000001</v>
      </c>
      <c r="V2201" s="152">
        <v>3.5896999999999998E-2</v>
      </c>
      <c r="W2201" s="152">
        <v>1000</v>
      </c>
      <c r="X2201" s="152" t="s">
        <v>23</v>
      </c>
      <c r="Y2201" s="152" t="s">
        <v>1328</v>
      </c>
      <c r="Z2201" s="152" t="s">
        <v>1327</v>
      </c>
    </row>
    <row r="2202" spans="1:26" x14ac:dyDescent="0.2">
      <c r="A2202" s="152" t="s">
        <v>3284</v>
      </c>
      <c r="B2202" s="152">
        <v>0</v>
      </c>
      <c r="C2202" s="151">
        <v>43454</v>
      </c>
      <c r="D2202" s="152">
        <v>0.15342500000000001</v>
      </c>
      <c r="E2202" s="152" t="s">
        <v>1325</v>
      </c>
      <c r="F2202" s="152" t="s">
        <v>1326</v>
      </c>
      <c r="G2202" s="152"/>
      <c r="H2202" s="152"/>
      <c r="I2202" s="151" t="s">
        <v>1327</v>
      </c>
      <c r="J2202" s="152" t="s">
        <v>1327</v>
      </c>
      <c r="K2202" s="152" t="s">
        <v>1327</v>
      </c>
      <c r="L2202" s="152" t="s">
        <v>1327</v>
      </c>
      <c r="M2202" s="152" t="s">
        <v>1327</v>
      </c>
      <c r="N2202" s="152" t="s">
        <v>1327</v>
      </c>
      <c r="O2202" s="152">
        <v>1.5591740000000001</v>
      </c>
      <c r="P2202" s="152">
        <v>17.842130000000001</v>
      </c>
      <c r="Q2202" s="152">
        <v>1.5591740000000001</v>
      </c>
      <c r="R2202" s="152" t="s">
        <v>1327</v>
      </c>
      <c r="S2202" s="152">
        <v>99.761354999999995</v>
      </c>
      <c r="T2202" s="152">
        <v>0</v>
      </c>
      <c r="U2202" s="152">
        <v>0.153059</v>
      </c>
      <c r="V2202" s="152">
        <v>4.6854E-2</v>
      </c>
      <c r="W2202" s="152">
        <v>1000</v>
      </c>
      <c r="X2202" s="152" t="s">
        <v>23</v>
      </c>
      <c r="Y2202" s="152" t="s">
        <v>1328</v>
      </c>
      <c r="Z2202" s="152" t="s">
        <v>1327</v>
      </c>
    </row>
    <row r="2203" spans="1:26" x14ac:dyDescent="0.2">
      <c r="A2203" s="152" t="s">
        <v>3285</v>
      </c>
      <c r="B2203" s="152">
        <v>0</v>
      </c>
      <c r="C2203" s="151">
        <v>43462</v>
      </c>
      <c r="D2203" s="152">
        <v>0.175342</v>
      </c>
      <c r="E2203" s="152" t="s">
        <v>1325</v>
      </c>
      <c r="F2203" s="152" t="s">
        <v>1326</v>
      </c>
      <c r="G2203" s="152"/>
      <c r="H2203" s="152"/>
      <c r="I2203" s="151" t="s">
        <v>1327</v>
      </c>
      <c r="J2203" s="152" t="s">
        <v>1327</v>
      </c>
      <c r="K2203" s="152" t="s">
        <v>1327</v>
      </c>
      <c r="L2203" s="152" t="s">
        <v>1327</v>
      </c>
      <c r="M2203" s="152" t="s">
        <v>1327</v>
      </c>
      <c r="N2203" s="152" t="s">
        <v>1327</v>
      </c>
      <c r="O2203" s="152">
        <v>1.5972949999999999</v>
      </c>
      <c r="P2203" s="152">
        <v>17.915099999999999</v>
      </c>
      <c r="Q2203" s="152">
        <v>1.5972949999999999</v>
      </c>
      <c r="R2203" s="152" t="s">
        <v>1327</v>
      </c>
      <c r="S2203" s="152">
        <v>99.720708999999999</v>
      </c>
      <c r="T2203" s="152">
        <v>0</v>
      </c>
      <c r="U2203" s="152">
        <v>0.17485300000000001</v>
      </c>
      <c r="V2203" s="152">
        <v>6.1147E-2</v>
      </c>
      <c r="W2203" s="152">
        <v>1000</v>
      </c>
      <c r="X2203" s="152" t="s">
        <v>23</v>
      </c>
      <c r="Y2203" s="152" t="s">
        <v>1328</v>
      </c>
      <c r="Z2203" s="152" t="s">
        <v>1327</v>
      </c>
    </row>
    <row r="2204" spans="1:26" x14ac:dyDescent="0.2">
      <c r="A2204" s="152" t="s">
        <v>3286</v>
      </c>
      <c r="B2204" s="152">
        <v>0</v>
      </c>
      <c r="C2204" s="151">
        <v>43424</v>
      </c>
      <c r="D2204" s="152">
        <v>7.1233000000000005E-2</v>
      </c>
      <c r="E2204" s="152" t="s">
        <v>1325</v>
      </c>
      <c r="F2204" s="152" t="s">
        <v>1326</v>
      </c>
      <c r="G2204" s="152"/>
      <c r="H2204" s="152"/>
      <c r="I2204" s="151" t="s">
        <v>1327</v>
      </c>
      <c r="J2204" s="152" t="s">
        <v>1327</v>
      </c>
      <c r="K2204" s="152" t="s">
        <v>1327</v>
      </c>
      <c r="L2204" s="152" t="s">
        <v>1327</v>
      </c>
      <c r="M2204" s="152" t="s">
        <v>1327</v>
      </c>
      <c r="N2204" s="152" t="s">
        <v>1327</v>
      </c>
      <c r="O2204" s="152">
        <v>1.4197059999999999</v>
      </c>
      <c r="P2204" s="152">
        <v>18.687615999999998</v>
      </c>
      <c r="Q2204" s="152">
        <v>1.4197059999999999</v>
      </c>
      <c r="R2204" s="152" t="s">
        <v>1327</v>
      </c>
      <c r="S2204" s="152">
        <v>99.898972000000001</v>
      </c>
      <c r="T2204" s="152">
        <v>0</v>
      </c>
      <c r="U2204" s="152">
        <v>7.1161000000000002E-2</v>
      </c>
      <c r="V2204" s="152">
        <v>1.0128E-2</v>
      </c>
      <c r="W2204" s="152">
        <v>1000</v>
      </c>
      <c r="X2204" s="152" t="s">
        <v>23</v>
      </c>
      <c r="Y2204" s="152" t="s">
        <v>1328</v>
      </c>
      <c r="Z2204" s="152" t="s">
        <v>1327</v>
      </c>
    </row>
    <row r="2205" spans="1:26" x14ac:dyDescent="0.2">
      <c r="A2205" s="152" t="s">
        <v>3287</v>
      </c>
      <c r="B2205" s="152">
        <v>0</v>
      </c>
      <c r="C2205" s="151">
        <v>43425</v>
      </c>
      <c r="D2205" s="152">
        <v>7.3972999999999997E-2</v>
      </c>
      <c r="E2205" s="152" t="s">
        <v>1325</v>
      </c>
      <c r="F2205" s="152" t="s">
        <v>1326</v>
      </c>
      <c r="G2205" s="152"/>
      <c r="H2205" s="152"/>
      <c r="I2205" s="151" t="s">
        <v>1327</v>
      </c>
      <c r="J2205" s="152" t="s">
        <v>1327</v>
      </c>
      <c r="K2205" s="152" t="s">
        <v>1327</v>
      </c>
      <c r="L2205" s="152" t="s">
        <v>1327</v>
      </c>
      <c r="M2205" s="152" t="s">
        <v>1327</v>
      </c>
      <c r="N2205" s="152" t="s">
        <v>1327</v>
      </c>
      <c r="O2205" s="152">
        <v>1.424272</v>
      </c>
      <c r="P2205" s="152">
        <v>18.643301000000001</v>
      </c>
      <c r="Q2205" s="152">
        <v>1.424272</v>
      </c>
      <c r="R2205" s="152" t="s">
        <v>1327</v>
      </c>
      <c r="S2205" s="152">
        <v>99.894754000000006</v>
      </c>
      <c r="T2205" s="152">
        <v>0</v>
      </c>
      <c r="U2205" s="152">
        <v>7.3895000000000002E-2</v>
      </c>
      <c r="V2205" s="152">
        <v>1.0921E-2</v>
      </c>
      <c r="W2205" s="152">
        <v>1000</v>
      </c>
      <c r="X2205" s="152" t="s">
        <v>23</v>
      </c>
      <c r="Y2205" s="152" t="s">
        <v>1328</v>
      </c>
      <c r="Z2205" s="152" t="s">
        <v>1327</v>
      </c>
    </row>
    <row r="2206" spans="1:26" x14ac:dyDescent="0.2">
      <c r="A2206" s="152" t="s">
        <v>3288</v>
      </c>
      <c r="B2206" s="152">
        <v>0</v>
      </c>
      <c r="C2206" s="151">
        <v>43432</v>
      </c>
      <c r="D2206" s="152">
        <v>9.3150999999999998E-2</v>
      </c>
      <c r="E2206" s="152" t="s">
        <v>1325</v>
      </c>
      <c r="F2206" s="152" t="s">
        <v>1326</v>
      </c>
      <c r="G2206" s="152"/>
      <c r="H2206" s="152"/>
      <c r="I2206" s="151" t="s">
        <v>1327</v>
      </c>
      <c r="J2206" s="152" t="s">
        <v>1327</v>
      </c>
      <c r="K2206" s="152" t="s">
        <v>1327</v>
      </c>
      <c r="L2206" s="152" t="s">
        <v>1327</v>
      </c>
      <c r="M2206" s="152" t="s">
        <v>1327</v>
      </c>
      <c r="N2206" s="152" t="s">
        <v>1327</v>
      </c>
      <c r="O2206" s="152">
        <v>1.4563870000000001</v>
      </c>
      <c r="P2206" s="152">
        <v>18.350154</v>
      </c>
      <c r="Q2206" s="152">
        <v>1.4563870000000001</v>
      </c>
      <c r="R2206" s="152" t="s">
        <v>1327</v>
      </c>
      <c r="S2206" s="152">
        <v>99.864519999999999</v>
      </c>
      <c r="T2206" s="152">
        <v>0</v>
      </c>
      <c r="U2206" s="152">
        <v>9.3023999999999996E-2</v>
      </c>
      <c r="V2206" s="152">
        <v>1.7306999999999999E-2</v>
      </c>
      <c r="W2206" s="152">
        <v>1000</v>
      </c>
      <c r="X2206" s="152" t="s">
        <v>23</v>
      </c>
      <c r="Y2206" s="152" t="s">
        <v>1328</v>
      </c>
      <c r="Z2206" s="152" t="s">
        <v>1327</v>
      </c>
    </row>
    <row r="2207" spans="1:26" x14ac:dyDescent="0.2">
      <c r="A2207" s="152" t="s">
        <v>3289</v>
      </c>
      <c r="B2207" s="152">
        <v>0</v>
      </c>
      <c r="C2207" s="151">
        <v>43433</v>
      </c>
      <c r="D2207" s="152">
        <v>9.5890000000000003E-2</v>
      </c>
      <c r="E2207" s="152" t="s">
        <v>1325</v>
      </c>
      <c r="F2207" s="152" t="s">
        <v>1326</v>
      </c>
      <c r="G2207" s="152"/>
      <c r="H2207" s="152"/>
      <c r="I2207" s="151" t="s">
        <v>1327</v>
      </c>
      <c r="J2207" s="152" t="s">
        <v>1327</v>
      </c>
      <c r="K2207" s="152" t="s">
        <v>1327</v>
      </c>
      <c r="L2207" s="152" t="s">
        <v>1327</v>
      </c>
      <c r="M2207" s="152" t="s">
        <v>1327</v>
      </c>
      <c r="N2207" s="152" t="s">
        <v>1327</v>
      </c>
      <c r="O2207" s="152">
        <v>1.4609970000000001</v>
      </c>
      <c r="P2207" s="152">
        <v>18.311512</v>
      </c>
      <c r="Q2207" s="152">
        <v>1.4609970000000001</v>
      </c>
      <c r="R2207" s="152" t="s">
        <v>1327</v>
      </c>
      <c r="S2207" s="152">
        <v>99.860100000000003</v>
      </c>
      <c r="T2207" s="152">
        <v>0</v>
      </c>
      <c r="U2207" s="152">
        <v>9.5755999999999994E-2</v>
      </c>
      <c r="V2207" s="152">
        <v>1.8339000000000001E-2</v>
      </c>
      <c r="W2207" s="152">
        <v>1000</v>
      </c>
      <c r="X2207" s="152" t="s">
        <v>23</v>
      </c>
      <c r="Y2207" s="152" t="s">
        <v>1328</v>
      </c>
      <c r="Z2207" s="152" t="s">
        <v>1327</v>
      </c>
    </row>
    <row r="2208" spans="1:26" x14ac:dyDescent="0.2">
      <c r="A2208" s="152" t="s">
        <v>3290</v>
      </c>
      <c r="B2208" s="152">
        <v>0</v>
      </c>
      <c r="C2208" s="151">
        <v>43402</v>
      </c>
      <c r="D2208" s="152">
        <v>1.0959E-2</v>
      </c>
      <c r="E2208" s="152" t="s">
        <v>1325</v>
      </c>
      <c r="F2208" s="152" t="s">
        <v>1326</v>
      </c>
      <c r="G2208" s="152"/>
      <c r="H2208" s="152"/>
      <c r="I2208" s="151" t="s">
        <v>1327</v>
      </c>
      <c r="J2208" s="152" t="s">
        <v>1327</v>
      </c>
      <c r="K2208" s="152" t="s">
        <v>1327</v>
      </c>
      <c r="L2208" s="152" t="s">
        <v>1327</v>
      </c>
      <c r="M2208" s="152" t="s">
        <v>1327</v>
      </c>
      <c r="N2208" s="152" t="s">
        <v>1327</v>
      </c>
      <c r="O2208" s="152">
        <v>1.3944080000000001</v>
      </c>
      <c r="P2208" s="152">
        <v>27.124931</v>
      </c>
      <c r="Q2208" s="152">
        <v>1.3944080000000001</v>
      </c>
      <c r="R2208" s="152" t="s">
        <v>1327</v>
      </c>
      <c r="S2208" s="152">
        <v>99.984720999999993</v>
      </c>
      <c r="T2208" s="152">
        <v>0</v>
      </c>
      <c r="U2208" s="152">
        <v>1.0957E-2</v>
      </c>
      <c r="V2208" s="152">
        <v>2.4000000000000001E-4</v>
      </c>
      <c r="W2208" s="152">
        <v>1000</v>
      </c>
      <c r="X2208" s="152" t="s">
        <v>23</v>
      </c>
      <c r="Y2208" s="152" t="s">
        <v>1328</v>
      </c>
      <c r="Z2208" s="152" t="s">
        <v>1327</v>
      </c>
    </row>
    <row r="2209" spans="1:26" x14ac:dyDescent="0.2">
      <c r="A2209" s="152" t="s">
        <v>3291</v>
      </c>
      <c r="B2209" s="152">
        <v>0</v>
      </c>
      <c r="C2209" s="151">
        <v>43473</v>
      </c>
      <c r="D2209" s="152">
        <v>0.20547899999999999</v>
      </c>
      <c r="E2209" s="152" t="s">
        <v>1325</v>
      </c>
      <c r="F2209" s="152" t="s">
        <v>1326</v>
      </c>
      <c r="G2209" s="152"/>
      <c r="H2209" s="152"/>
      <c r="I2209" s="151" t="s">
        <v>1327</v>
      </c>
      <c r="J2209" s="152" t="s">
        <v>1327</v>
      </c>
      <c r="K2209" s="152" t="s">
        <v>1327</v>
      </c>
      <c r="L2209" s="152" t="s">
        <v>1327</v>
      </c>
      <c r="M2209" s="152" t="s">
        <v>1327</v>
      </c>
      <c r="N2209" s="152" t="s">
        <v>1327</v>
      </c>
      <c r="O2209" s="152">
        <v>1.6504019999999999</v>
      </c>
      <c r="P2209" s="152">
        <v>18.338155</v>
      </c>
      <c r="Q2209" s="152">
        <v>1.6504019999999999</v>
      </c>
      <c r="R2209" s="152" t="s">
        <v>1327</v>
      </c>
      <c r="S2209" s="152">
        <v>99.662021999999993</v>
      </c>
      <c r="T2209" s="152">
        <v>0</v>
      </c>
      <c r="U2209" s="152">
        <v>0.20478499999999999</v>
      </c>
      <c r="V2209" s="152">
        <v>8.3874000000000004E-2</v>
      </c>
      <c r="W2209" s="152">
        <v>1000</v>
      </c>
      <c r="X2209" s="152" t="s">
        <v>23</v>
      </c>
      <c r="Y2209" s="152" t="s">
        <v>1328</v>
      </c>
      <c r="Z2209" s="152" t="s">
        <v>1327</v>
      </c>
    </row>
    <row r="2210" spans="1:26" x14ac:dyDescent="0.2">
      <c r="A2210" s="152" t="s">
        <v>3292</v>
      </c>
      <c r="B2210" s="152">
        <v>0</v>
      </c>
      <c r="C2210" s="151">
        <v>43501</v>
      </c>
      <c r="D2210" s="152">
        <v>0.282192</v>
      </c>
      <c r="E2210" s="152" t="s">
        <v>1325</v>
      </c>
      <c r="F2210" s="152" t="s">
        <v>1326</v>
      </c>
      <c r="G2210" s="152"/>
      <c r="H2210" s="152"/>
      <c r="I2210" s="151" t="s">
        <v>1327</v>
      </c>
      <c r="J2210" s="152" t="s">
        <v>1327</v>
      </c>
      <c r="K2210" s="152" t="s">
        <v>1327</v>
      </c>
      <c r="L2210" s="152" t="s">
        <v>1327</v>
      </c>
      <c r="M2210" s="152" t="s">
        <v>1327</v>
      </c>
      <c r="N2210" s="152" t="s">
        <v>1327</v>
      </c>
      <c r="O2210" s="152">
        <v>1.7600549999999999</v>
      </c>
      <c r="P2210" s="152">
        <v>18.685424000000001</v>
      </c>
      <c r="Q2210" s="152">
        <v>1.7600549999999999</v>
      </c>
      <c r="R2210" s="152" t="s">
        <v>1327</v>
      </c>
      <c r="S2210" s="152">
        <v>99.505781999999996</v>
      </c>
      <c r="T2210" s="152">
        <v>0</v>
      </c>
      <c r="U2210" s="152">
        <v>0.28079700000000002</v>
      </c>
      <c r="V2210" s="152">
        <v>0.157694</v>
      </c>
      <c r="W2210" s="152">
        <v>1000</v>
      </c>
      <c r="X2210" s="152" t="s">
        <v>23</v>
      </c>
      <c r="Y2210" s="152" t="s">
        <v>1328</v>
      </c>
      <c r="Z2210" s="152" t="s">
        <v>1327</v>
      </c>
    </row>
    <row r="2211" spans="1:26" x14ac:dyDescent="0.2">
      <c r="A2211" s="152" t="s">
        <v>3293</v>
      </c>
      <c r="B2211" s="152">
        <v>0</v>
      </c>
      <c r="C2211" s="151">
        <v>43501</v>
      </c>
      <c r="D2211" s="152">
        <v>0.282192</v>
      </c>
      <c r="E2211" s="152" t="s">
        <v>1325</v>
      </c>
      <c r="F2211" s="152" t="s">
        <v>1326</v>
      </c>
      <c r="G2211" s="152"/>
      <c r="H2211" s="152"/>
      <c r="I2211" s="152" t="s">
        <v>1327</v>
      </c>
      <c r="J2211" s="152" t="s">
        <v>1327</v>
      </c>
      <c r="K2211" s="152" t="s">
        <v>1327</v>
      </c>
      <c r="L2211" s="152" t="s">
        <v>1327</v>
      </c>
      <c r="M2211" s="152" t="s">
        <v>1327</v>
      </c>
      <c r="N2211" s="152" t="s">
        <v>1327</v>
      </c>
      <c r="O2211" s="152">
        <v>1.773776</v>
      </c>
      <c r="P2211" s="152">
        <v>20.074956</v>
      </c>
      <c r="Q2211" s="152">
        <v>1.773776</v>
      </c>
      <c r="R2211" s="152" t="s">
        <v>1327</v>
      </c>
      <c r="S2211" s="152">
        <v>99.501947999999999</v>
      </c>
      <c r="T2211" s="152">
        <v>0</v>
      </c>
      <c r="U2211" s="152">
        <v>0.28078599999999998</v>
      </c>
      <c r="V2211" s="152">
        <v>0.15768199999999999</v>
      </c>
      <c r="W2211" s="152">
        <v>1000</v>
      </c>
      <c r="X2211" s="152" t="s">
        <v>23</v>
      </c>
      <c r="Y2211" s="152" t="s">
        <v>1328</v>
      </c>
      <c r="Z2211" s="152" t="s">
        <v>1327</v>
      </c>
    </row>
    <row r="2212" spans="1:26" x14ac:dyDescent="0.2">
      <c r="A2212" s="152" t="s">
        <v>3294</v>
      </c>
      <c r="B2212" s="152">
        <v>0</v>
      </c>
      <c r="C2212" s="151">
        <v>43522</v>
      </c>
      <c r="D2212" s="152">
        <v>0.33972599999999997</v>
      </c>
      <c r="E2212" s="152" t="s">
        <v>1325</v>
      </c>
      <c r="F2212" s="152" t="s">
        <v>1326</v>
      </c>
      <c r="G2212" s="152"/>
      <c r="H2212" s="152"/>
      <c r="I2212" s="152" t="s">
        <v>1327</v>
      </c>
      <c r="J2212" s="152" t="s">
        <v>1327</v>
      </c>
      <c r="K2212" s="152" t="s">
        <v>1327</v>
      </c>
      <c r="L2212" s="152" t="s">
        <v>1327</v>
      </c>
      <c r="M2212" s="152" t="s">
        <v>1327</v>
      </c>
      <c r="N2212" s="152" t="s">
        <v>1327</v>
      </c>
      <c r="O2212" s="152">
        <v>1.7819739999999999</v>
      </c>
      <c r="P2212" s="152">
        <v>14.776139000000001</v>
      </c>
      <c r="Q2212" s="152">
        <v>1.7819739999999999</v>
      </c>
      <c r="R2212" s="152" t="s">
        <v>1327</v>
      </c>
      <c r="S2212" s="152">
        <v>99.398259999999993</v>
      </c>
      <c r="T2212" s="152">
        <v>0</v>
      </c>
      <c r="U2212" s="152">
        <v>0.33768199999999998</v>
      </c>
      <c r="V2212" s="152">
        <v>0.22805800000000001</v>
      </c>
      <c r="W2212" s="152">
        <v>1000</v>
      </c>
      <c r="X2212" s="152" t="s">
        <v>23</v>
      </c>
      <c r="Y2212" s="152" t="s">
        <v>1328</v>
      </c>
      <c r="Z2212" s="152" t="s">
        <v>1327</v>
      </c>
    </row>
    <row r="2213" spans="1:26" x14ac:dyDescent="0.2">
      <c r="A2213" s="152" t="s">
        <v>3295</v>
      </c>
      <c r="B2213" s="152">
        <v>0</v>
      </c>
      <c r="C2213" s="151">
        <v>43522</v>
      </c>
      <c r="D2213" s="152">
        <v>0.33972599999999997</v>
      </c>
      <c r="E2213" s="152" t="s">
        <v>1325</v>
      </c>
      <c r="F2213" s="152" t="s">
        <v>1326</v>
      </c>
      <c r="G2213" s="152"/>
      <c r="H2213" s="152"/>
      <c r="I2213" s="151" t="s">
        <v>1327</v>
      </c>
      <c r="J2213" s="152" t="s">
        <v>1327</v>
      </c>
      <c r="K2213" s="152" t="s">
        <v>1327</v>
      </c>
      <c r="L2213" s="152" t="s">
        <v>1327</v>
      </c>
      <c r="M2213" s="152" t="s">
        <v>1327</v>
      </c>
      <c r="N2213" s="152" t="s">
        <v>1327</v>
      </c>
      <c r="O2213" s="152">
        <v>1.7819739999999999</v>
      </c>
      <c r="P2213" s="152">
        <v>14.776139000000001</v>
      </c>
      <c r="Q2213" s="152">
        <v>1.7819739999999999</v>
      </c>
      <c r="R2213" s="152" t="s">
        <v>1327</v>
      </c>
      <c r="S2213" s="152">
        <v>99.398259999999993</v>
      </c>
      <c r="T2213" s="152">
        <v>0</v>
      </c>
      <c r="U2213" s="152">
        <v>0.33768199999999998</v>
      </c>
      <c r="V2213" s="152">
        <v>0.22805800000000001</v>
      </c>
      <c r="W2213" s="152">
        <v>1000</v>
      </c>
      <c r="X2213" s="152" t="s">
        <v>23</v>
      </c>
      <c r="Y2213" s="152" t="s">
        <v>1328</v>
      </c>
      <c r="Z2213" s="152" t="s">
        <v>1327</v>
      </c>
    </row>
    <row r="2214" spans="1:26" x14ac:dyDescent="0.2">
      <c r="A2214" s="152" t="s">
        <v>3296</v>
      </c>
      <c r="B2214" s="152">
        <v>0</v>
      </c>
      <c r="C2214" s="151">
        <v>43543</v>
      </c>
      <c r="D2214" s="152">
        <v>0.39726</v>
      </c>
      <c r="E2214" s="152" t="s">
        <v>1325</v>
      </c>
      <c r="F2214" s="152" t="s">
        <v>1326</v>
      </c>
      <c r="G2214" s="152"/>
      <c r="H2214" s="152"/>
      <c r="I2214" s="151" t="s">
        <v>1327</v>
      </c>
      <c r="J2214" s="152" t="s">
        <v>1327</v>
      </c>
      <c r="K2214" s="152" t="s">
        <v>1327</v>
      </c>
      <c r="L2214" s="152" t="s">
        <v>1327</v>
      </c>
      <c r="M2214" s="152" t="s">
        <v>1327</v>
      </c>
      <c r="N2214" s="152" t="s">
        <v>1327</v>
      </c>
      <c r="O2214" s="152">
        <v>1.80379</v>
      </c>
      <c r="P2214" s="152">
        <v>12.269864</v>
      </c>
      <c r="Q2214" s="152">
        <v>1.80379</v>
      </c>
      <c r="R2214" s="152" t="s">
        <v>1327</v>
      </c>
      <c r="S2214" s="152">
        <v>99.288523999999995</v>
      </c>
      <c r="T2214" s="152">
        <v>0</v>
      </c>
      <c r="U2214" s="152">
        <v>0.39443400000000001</v>
      </c>
      <c r="V2214" s="152">
        <v>0.31115599999999999</v>
      </c>
      <c r="W2214" s="152">
        <v>1000</v>
      </c>
      <c r="X2214" s="152" t="s">
        <v>23</v>
      </c>
      <c r="Y2214" s="152" t="s">
        <v>1328</v>
      </c>
      <c r="Z2214" s="152" t="s">
        <v>1327</v>
      </c>
    </row>
    <row r="2215" spans="1:26" x14ac:dyDescent="0.2">
      <c r="A2215" s="152" t="s">
        <v>3297</v>
      </c>
      <c r="B2215" s="152">
        <v>0</v>
      </c>
      <c r="C2215" s="151">
        <v>43543</v>
      </c>
      <c r="D2215" s="152">
        <v>0.39726</v>
      </c>
      <c r="E2215" s="152" t="s">
        <v>1325</v>
      </c>
      <c r="F2215" s="152" t="s">
        <v>1326</v>
      </c>
      <c r="G2215" s="152"/>
      <c r="H2215" s="152"/>
      <c r="I2215" s="152" t="s">
        <v>1327</v>
      </c>
      <c r="J2215" s="152" t="s">
        <v>1327</v>
      </c>
      <c r="K2215" s="152" t="s">
        <v>1327</v>
      </c>
      <c r="L2215" s="152" t="s">
        <v>1327</v>
      </c>
      <c r="M2215" s="152" t="s">
        <v>1327</v>
      </c>
      <c r="N2215" s="152" t="s">
        <v>1327</v>
      </c>
      <c r="O2215" s="152">
        <v>1.80379</v>
      </c>
      <c r="P2215" s="152">
        <v>12.269864</v>
      </c>
      <c r="Q2215" s="152">
        <v>1.80379</v>
      </c>
      <c r="R2215" s="152" t="s">
        <v>1327</v>
      </c>
      <c r="S2215" s="152">
        <v>99.288523999999995</v>
      </c>
      <c r="T2215" s="152">
        <v>0</v>
      </c>
      <c r="U2215" s="152">
        <v>0.39443400000000001</v>
      </c>
      <c r="V2215" s="152">
        <v>0.31115599999999999</v>
      </c>
      <c r="W2215" s="152">
        <v>1000</v>
      </c>
      <c r="X2215" s="152" t="s">
        <v>23</v>
      </c>
      <c r="Y2215" s="152" t="s">
        <v>1328</v>
      </c>
      <c r="Z2215" s="152" t="s">
        <v>1327</v>
      </c>
    </row>
    <row r="2216" spans="1:26" x14ac:dyDescent="0.2">
      <c r="A2216" s="152" t="s">
        <v>3298</v>
      </c>
      <c r="B2216" s="152">
        <v>0</v>
      </c>
      <c r="C2216" s="151">
        <v>43543</v>
      </c>
      <c r="D2216" s="152">
        <v>0.39726</v>
      </c>
      <c r="E2216" s="152" t="s">
        <v>1325</v>
      </c>
      <c r="F2216" s="152" t="s">
        <v>1326</v>
      </c>
      <c r="G2216" s="152"/>
      <c r="H2216" s="152"/>
      <c r="I2216" s="151" t="s">
        <v>1327</v>
      </c>
      <c r="J2216" s="152" t="s">
        <v>1327</v>
      </c>
      <c r="K2216" s="152" t="s">
        <v>1327</v>
      </c>
      <c r="L2216" s="152" t="s">
        <v>1327</v>
      </c>
      <c r="M2216" s="152" t="s">
        <v>1327</v>
      </c>
      <c r="N2216" s="152" t="s">
        <v>1327</v>
      </c>
      <c r="O2216" s="152">
        <v>1.80379</v>
      </c>
      <c r="P2216" s="152">
        <v>12.269864</v>
      </c>
      <c r="Q2216" s="152">
        <v>1.80379</v>
      </c>
      <c r="R2216" s="152" t="s">
        <v>1327</v>
      </c>
      <c r="S2216" s="152">
        <v>99.288523999999995</v>
      </c>
      <c r="T2216" s="152">
        <v>0</v>
      </c>
      <c r="U2216" s="152">
        <v>0.39443400000000001</v>
      </c>
      <c r="V2216" s="152">
        <v>0.31115599999999999</v>
      </c>
      <c r="W2216" s="152">
        <v>1000</v>
      </c>
      <c r="X2216" s="152" t="s">
        <v>23</v>
      </c>
      <c r="Y2216" s="152" t="s">
        <v>1328</v>
      </c>
      <c r="Z2216" s="152" t="s">
        <v>1327</v>
      </c>
    </row>
    <row r="2217" spans="1:26" x14ac:dyDescent="0.2">
      <c r="A2217" s="152" t="s">
        <v>3299</v>
      </c>
      <c r="B2217" s="152">
        <v>0</v>
      </c>
      <c r="C2217" s="151">
        <v>43545</v>
      </c>
      <c r="D2217" s="152">
        <v>0.40273999999999999</v>
      </c>
      <c r="E2217" s="152" t="s">
        <v>1325</v>
      </c>
      <c r="F2217" s="152" t="s">
        <v>1326</v>
      </c>
      <c r="G2217" s="152"/>
      <c r="H2217" s="152"/>
      <c r="I2217" s="151" t="s">
        <v>1327</v>
      </c>
      <c r="J2217" s="152" t="s">
        <v>1327</v>
      </c>
      <c r="K2217" s="152" t="s">
        <v>1327</v>
      </c>
      <c r="L2217" s="152" t="s">
        <v>1327</v>
      </c>
      <c r="M2217" s="152" t="s">
        <v>1327</v>
      </c>
      <c r="N2217" s="152" t="s">
        <v>1327</v>
      </c>
      <c r="O2217" s="152">
        <v>1.8086420000000001</v>
      </c>
      <c r="P2217" s="152">
        <v>12.375583000000001</v>
      </c>
      <c r="Q2217" s="152">
        <v>1.8086420000000001</v>
      </c>
      <c r="R2217" s="152" t="s">
        <v>1327</v>
      </c>
      <c r="S2217" s="152">
        <v>99.276854999999998</v>
      </c>
      <c r="T2217" s="152">
        <v>0</v>
      </c>
      <c r="U2217" s="152">
        <v>0.39982699999999999</v>
      </c>
      <c r="V2217" s="152">
        <v>0.31972400000000001</v>
      </c>
      <c r="W2217" s="152">
        <v>1000</v>
      </c>
      <c r="X2217" s="152" t="s">
        <v>23</v>
      </c>
      <c r="Y2217" s="152" t="s">
        <v>1328</v>
      </c>
      <c r="Z2217" s="152" t="s">
        <v>1327</v>
      </c>
    </row>
    <row r="2218" spans="1:26" x14ac:dyDescent="0.2">
      <c r="A2218" s="152" t="s">
        <v>3300</v>
      </c>
      <c r="B2218" s="152">
        <v>0</v>
      </c>
      <c r="C2218" s="151">
        <v>43550</v>
      </c>
      <c r="D2218" s="152">
        <v>0.41643799999999997</v>
      </c>
      <c r="E2218" s="152" t="s">
        <v>1325</v>
      </c>
      <c r="F2218" s="152" t="s">
        <v>1326</v>
      </c>
      <c r="G2218" s="152"/>
      <c r="H2218" s="152"/>
      <c r="I2218" s="152" t="s">
        <v>1327</v>
      </c>
      <c r="J2218" s="152" t="s">
        <v>1327</v>
      </c>
      <c r="K2218" s="152" t="s">
        <v>1327</v>
      </c>
      <c r="L2218" s="152" t="s">
        <v>1327</v>
      </c>
      <c r="M2218" s="152" t="s">
        <v>1327</v>
      </c>
      <c r="N2218" s="152" t="s">
        <v>1327</v>
      </c>
      <c r="O2218" s="152">
        <v>1.8207260000000001</v>
      </c>
      <c r="P2218" s="152">
        <v>12.679288</v>
      </c>
      <c r="Q2218" s="152">
        <v>1.8207260000000001</v>
      </c>
      <c r="R2218" s="152" t="s">
        <v>1327</v>
      </c>
      <c r="S2218" s="152">
        <v>99.247485999999995</v>
      </c>
      <c r="T2218" s="152">
        <v>0</v>
      </c>
      <c r="U2218" s="152">
        <v>0.41330499999999998</v>
      </c>
      <c r="V2218" s="152">
        <v>0.34164099999999997</v>
      </c>
      <c r="W2218" s="152">
        <v>1000</v>
      </c>
      <c r="X2218" s="152" t="s">
        <v>23</v>
      </c>
      <c r="Y2218" s="152" t="s">
        <v>1328</v>
      </c>
      <c r="Z2218" s="152" t="s">
        <v>1327</v>
      </c>
    </row>
    <row r="2219" spans="1:26" x14ac:dyDescent="0.2">
      <c r="A2219" s="152" t="s">
        <v>3301</v>
      </c>
      <c r="B2219" s="152">
        <v>0</v>
      </c>
      <c r="C2219" s="151">
        <v>43550</v>
      </c>
      <c r="D2219" s="152">
        <v>0.41643799999999997</v>
      </c>
      <c r="E2219" s="152" t="s">
        <v>1325</v>
      </c>
      <c r="F2219" s="152" t="s">
        <v>1326</v>
      </c>
      <c r="G2219" s="152"/>
      <c r="H2219" s="152"/>
      <c r="I2219" s="151" t="s">
        <v>1327</v>
      </c>
      <c r="J2219" s="152" t="s">
        <v>1327</v>
      </c>
      <c r="K2219" s="152" t="s">
        <v>1327</v>
      </c>
      <c r="L2219" s="152" t="s">
        <v>1327</v>
      </c>
      <c r="M2219" s="152" t="s">
        <v>1327</v>
      </c>
      <c r="N2219" s="152" t="s">
        <v>1327</v>
      </c>
      <c r="O2219" s="152">
        <v>1.8207260000000001</v>
      </c>
      <c r="P2219" s="152">
        <v>12.679288</v>
      </c>
      <c r="Q2219" s="152">
        <v>1.8207260000000001</v>
      </c>
      <c r="R2219" s="152" t="s">
        <v>1327</v>
      </c>
      <c r="S2219" s="152">
        <v>99.247485999999995</v>
      </c>
      <c r="T2219" s="152">
        <v>0</v>
      </c>
      <c r="U2219" s="152">
        <v>0.41330499999999998</v>
      </c>
      <c r="V2219" s="152">
        <v>0.34164099999999997</v>
      </c>
      <c r="W2219" s="152">
        <v>1000</v>
      </c>
      <c r="X2219" s="152" t="s">
        <v>23</v>
      </c>
      <c r="Y2219" s="152" t="s">
        <v>1328</v>
      </c>
      <c r="Z2219" s="152" t="s">
        <v>1327</v>
      </c>
    </row>
    <row r="2220" spans="1:26" x14ac:dyDescent="0.2">
      <c r="A2220" s="152" t="s">
        <v>3302</v>
      </c>
      <c r="B2220" s="152">
        <v>0</v>
      </c>
      <c r="C2220" s="151">
        <v>43580</v>
      </c>
      <c r="D2220" s="152">
        <v>0.49863000000000002</v>
      </c>
      <c r="E2220" s="152" t="s">
        <v>1325</v>
      </c>
      <c r="F2220" s="152" t="s">
        <v>1326</v>
      </c>
      <c r="G2220" s="152"/>
      <c r="H2220" s="152"/>
      <c r="I2220" s="152" t="s">
        <v>1327</v>
      </c>
      <c r="J2220" s="152" t="s">
        <v>1327</v>
      </c>
      <c r="K2220" s="152" t="s">
        <v>1327</v>
      </c>
      <c r="L2220" s="152" t="s">
        <v>1327</v>
      </c>
      <c r="M2220" s="152" t="s">
        <v>1327</v>
      </c>
      <c r="N2220" s="152" t="s">
        <v>1327</v>
      </c>
      <c r="O2220" s="152">
        <v>1.8503289999999999</v>
      </c>
      <c r="P2220" s="152">
        <v>11.301743</v>
      </c>
      <c r="Q2220" s="152">
        <v>1.8503289999999999</v>
      </c>
      <c r="R2220" s="152" t="s">
        <v>1327</v>
      </c>
      <c r="S2220" s="152">
        <v>99.085804999999993</v>
      </c>
      <c r="T2220" s="152">
        <v>0</v>
      </c>
      <c r="U2220" s="152">
        <v>0.49407200000000001</v>
      </c>
      <c r="V2220" s="152">
        <v>0.48821399999999998</v>
      </c>
      <c r="W2220" s="152">
        <v>1000</v>
      </c>
      <c r="X2220" s="152" t="s">
        <v>23</v>
      </c>
      <c r="Y2220" s="152" t="s">
        <v>1328</v>
      </c>
      <c r="Z2220" s="152" t="s">
        <v>1327</v>
      </c>
    </row>
    <row r="2221" spans="1:26" x14ac:dyDescent="0.2">
      <c r="A2221" s="152" t="s">
        <v>3303</v>
      </c>
      <c r="B2221" s="152">
        <v>0</v>
      </c>
      <c r="C2221" s="151">
        <v>43641</v>
      </c>
      <c r="D2221" s="152">
        <v>0.66575300000000004</v>
      </c>
      <c r="E2221" s="152" t="s">
        <v>1325</v>
      </c>
      <c r="F2221" s="152" t="s">
        <v>1326</v>
      </c>
      <c r="G2221" s="152"/>
      <c r="H2221" s="152"/>
      <c r="I2221" s="152" t="s">
        <v>1327</v>
      </c>
      <c r="J2221" s="152" t="s">
        <v>1327</v>
      </c>
      <c r="K2221" s="152" t="s">
        <v>1327</v>
      </c>
      <c r="L2221" s="152" t="s">
        <v>1327</v>
      </c>
      <c r="M2221" s="152" t="s">
        <v>1327</v>
      </c>
      <c r="N2221" s="152" t="s">
        <v>1327</v>
      </c>
      <c r="O2221" s="152">
        <v>1.897443</v>
      </c>
      <c r="P2221" s="152">
        <v>11.285288</v>
      </c>
      <c r="Q2221" s="152">
        <v>1.897443</v>
      </c>
      <c r="R2221" s="152" t="s">
        <v>1327</v>
      </c>
      <c r="S2221" s="152">
        <v>98.752528999999996</v>
      </c>
      <c r="T2221" s="152">
        <v>0</v>
      </c>
      <c r="U2221" s="152">
        <v>0.65744800000000003</v>
      </c>
      <c r="V2221" s="152">
        <v>0.86447700000000005</v>
      </c>
      <c r="W2221" s="152">
        <v>1000</v>
      </c>
      <c r="X2221" s="152" t="s">
        <v>23</v>
      </c>
      <c r="Y2221" s="152" t="s">
        <v>1328</v>
      </c>
      <c r="Z2221" s="152" t="s">
        <v>1327</v>
      </c>
    </row>
    <row r="2222" spans="1:26" x14ac:dyDescent="0.2">
      <c r="A2222" s="152" t="s">
        <v>3304</v>
      </c>
      <c r="B2222" s="152">
        <v>0</v>
      </c>
      <c r="C2222" s="151">
        <v>43419</v>
      </c>
      <c r="D2222" s="152">
        <v>5.7534000000000002E-2</v>
      </c>
      <c r="E2222" s="152" t="s">
        <v>1325</v>
      </c>
      <c r="F2222" s="152" t="s">
        <v>1326</v>
      </c>
      <c r="G2222" s="152"/>
      <c r="H2222" s="152"/>
      <c r="I2222" s="151">
        <v>43235</v>
      </c>
      <c r="J2222" s="152">
        <v>2.5</v>
      </c>
      <c r="K2222" s="152" t="s">
        <v>1327</v>
      </c>
      <c r="L2222" s="152" t="s">
        <v>1327</v>
      </c>
      <c r="M2222" s="152" t="s">
        <v>1327</v>
      </c>
      <c r="N2222" s="152" t="s">
        <v>1327</v>
      </c>
      <c r="O2222" s="152">
        <v>2.190887</v>
      </c>
      <c r="P2222" s="152">
        <v>99.659940000000006</v>
      </c>
      <c r="Q2222" s="152">
        <v>2.190887</v>
      </c>
      <c r="R2222" s="152" t="s">
        <v>1327</v>
      </c>
      <c r="S2222" s="152">
        <v>99.874108000000007</v>
      </c>
      <c r="T2222" s="152">
        <v>0</v>
      </c>
      <c r="U2222" s="152">
        <v>5.7461999999999999E-2</v>
      </c>
      <c r="V2222" s="152">
        <v>6.6039999999999996E-3</v>
      </c>
      <c r="W2222" s="152">
        <v>1000</v>
      </c>
      <c r="X2222" s="152" t="s">
        <v>23</v>
      </c>
      <c r="Y2222" s="152" t="s">
        <v>1328</v>
      </c>
      <c r="Z2222" s="152" t="s">
        <v>1327</v>
      </c>
    </row>
    <row r="2223" spans="1:26" x14ac:dyDescent="0.2">
      <c r="A2223" s="152" t="s">
        <v>3305</v>
      </c>
      <c r="B2223" s="152">
        <v>0</v>
      </c>
      <c r="C2223" s="151">
        <v>43425</v>
      </c>
      <c r="D2223" s="152">
        <v>7.3972999999999997E-2</v>
      </c>
      <c r="E2223" s="152" t="s">
        <v>1325</v>
      </c>
      <c r="F2223" s="152" t="s">
        <v>1326</v>
      </c>
      <c r="G2223" s="152"/>
      <c r="H2223" s="152"/>
      <c r="I2223" s="151">
        <v>43241</v>
      </c>
      <c r="J2223" s="152">
        <v>2.5</v>
      </c>
      <c r="K2223" s="152" t="s">
        <v>1327</v>
      </c>
      <c r="L2223" s="152" t="s">
        <v>1327</v>
      </c>
      <c r="M2223" s="152" t="s">
        <v>1327</v>
      </c>
      <c r="N2223" s="152" t="s">
        <v>1327</v>
      </c>
      <c r="O2223" s="152">
        <v>2.2313290000000001</v>
      </c>
      <c r="P2223" s="152">
        <v>100.725942</v>
      </c>
      <c r="Q2223" s="152">
        <v>2.2313290000000001</v>
      </c>
      <c r="R2223" s="152" t="s">
        <v>1327</v>
      </c>
      <c r="S2223" s="152">
        <v>99.835215000000005</v>
      </c>
      <c r="T2223" s="152">
        <v>0</v>
      </c>
      <c r="U2223" s="152">
        <v>7.3851E-2</v>
      </c>
      <c r="V2223" s="152">
        <v>1.0907999999999999E-2</v>
      </c>
      <c r="W2223" s="152">
        <v>1000</v>
      </c>
      <c r="X2223" s="152" t="s">
        <v>23</v>
      </c>
      <c r="Y2223" s="152" t="s">
        <v>1328</v>
      </c>
      <c r="Z2223" s="152" t="s">
        <v>1327</v>
      </c>
    </row>
    <row r="2224" spans="1:26" x14ac:dyDescent="0.2">
      <c r="A2224" s="152" t="s">
        <v>3306</v>
      </c>
      <c r="B2224" s="152">
        <v>0</v>
      </c>
      <c r="C2224" s="151">
        <v>43588</v>
      </c>
      <c r="D2224" s="152">
        <v>0.52054800000000001</v>
      </c>
      <c r="E2224" s="152" t="s">
        <v>1325</v>
      </c>
      <c r="F2224" s="152" t="s">
        <v>1326</v>
      </c>
      <c r="G2224" s="152"/>
      <c r="H2224" s="152"/>
      <c r="I2224" s="151">
        <v>43320</v>
      </c>
      <c r="J2224" s="152">
        <v>2.8</v>
      </c>
      <c r="K2224" s="152" t="s">
        <v>1327</v>
      </c>
      <c r="L2224" s="152" t="s">
        <v>1327</v>
      </c>
      <c r="M2224" s="152" t="s">
        <v>1327</v>
      </c>
      <c r="N2224" s="152" t="s">
        <v>1327</v>
      </c>
      <c r="O2224" s="152">
        <v>2.908293</v>
      </c>
      <c r="P2224" s="152">
        <v>117.40893800000001</v>
      </c>
      <c r="Q2224" s="152">
        <v>2.908293</v>
      </c>
      <c r="R2224" s="152" t="s">
        <v>1327</v>
      </c>
      <c r="S2224" s="152">
        <v>98.508671000000007</v>
      </c>
      <c r="T2224" s="152">
        <v>0</v>
      </c>
      <c r="U2224" s="152">
        <v>0.51278500000000005</v>
      </c>
      <c r="V2224" s="152">
        <v>0.52589699999999995</v>
      </c>
      <c r="W2224" s="152">
        <v>1000</v>
      </c>
      <c r="X2224" s="152" t="s">
        <v>23</v>
      </c>
      <c r="Y2224" s="152" t="s">
        <v>1328</v>
      </c>
      <c r="Z2224" s="152" t="s">
        <v>1327</v>
      </c>
    </row>
    <row r="2225" spans="1:26" x14ac:dyDescent="0.2">
      <c r="A2225" s="152" t="s">
        <v>3307</v>
      </c>
      <c r="B2225" s="152">
        <v>0</v>
      </c>
      <c r="C2225" s="151">
        <v>43406</v>
      </c>
      <c r="D2225" s="152">
        <v>2.1918E-2</v>
      </c>
      <c r="E2225" s="152" t="s">
        <v>1325</v>
      </c>
      <c r="F2225" s="152" t="s">
        <v>1326</v>
      </c>
      <c r="G2225" s="152"/>
      <c r="H2225" s="152"/>
      <c r="I2225" s="152" t="s">
        <v>1327</v>
      </c>
      <c r="J2225" s="152" t="s">
        <v>1327</v>
      </c>
      <c r="K2225" s="152" t="s">
        <v>1327</v>
      </c>
      <c r="L2225" s="152" t="s">
        <v>1327</v>
      </c>
      <c r="M2225" s="152" t="s">
        <v>1327</v>
      </c>
      <c r="N2225" s="152" t="s">
        <v>1327</v>
      </c>
      <c r="O2225" s="152">
        <v>1.470596</v>
      </c>
      <c r="P2225" s="152">
        <v>32.887608999999998</v>
      </c>
      <c r="Q2225" s="152">
        <v>1.470596</v>
      </c>
      <c r="R2225" s="152" t="s">
        <v>1327</v>
      </c>
      <c r="S2225" s="152">
        <v>99.967777999999996</v>
      </c>
      <c r="T2225" s="152">
        <v>0</v>
      </c>
      <c r="U2225" s="152">
        <v>2.1911E-2</v>
      </c>
      <c r="V2225" s="152">
        <v>9.6000000000000002E-4</v>
      </c>
      <c r="W2225" s="152">
        <v>1000</v>
      </c>
      <c r="X2225" s="152" t="s">
        <v>23</v>
      </c>
      <c r="Y2225" s="152" t="s">
        <v>1921</v>
      </c>
      <c r="Z2225" s="152" t="s">
        <v>1327</v>
      </c>
    </row>
    <row r="2226" spans="1:26" x14ac:dyDescent="0.2">
      <c r="A2226" s="152" t="s">
        <v>3308</v>
      </c>
      <c r="B2226" s="152">
        <v>0</v>
      </c>
      <c r="C2226" s="151">
        <v>43399</v>
      </c>
      <c r="D2226" s="152">
        <v>2.7399999999999998E-3</v>
      </c>
      <c r="E2226" s="152" t="s">
        <v>1325</v>
      </c>
      <c r="F2226" s="152" t="s">
        <v>1326</v>
      </c>
      <c r="G2226" s="152"/>
      <c r="H2226" s="152"/>
      <c r="I2226" s="151">
        <v>43307</v>
      </c>
      <c r="J2226" s="152">
        <v>1.63</v>
      </c>
      <c r="K2226" s="152" t="s">
        <v>1327</v>
      </c>
      <c r="L2226" s="152" t="s">
        <v>1327</v>
      </c>
      <c r="M2226" s="152" t="s">
        <v>1327</v>
      </c>
      <c r="N2226" s="152" t="s">
        <v>1327</v>
      </c>
      <c r="O2226" s="152">
        <v>1.469579</v>
      </c>
      <c r="P2226" s="152">
        <v>36.206502999999998</v>
      </c>
      <c r="Q2226" s="152">
        <v>1.469579</v>
      </c>
      <c r="R2226" s="152" t="s">
        <v>1327</v>
      </c>
      <c r="S2226" s="152">
        <v>99.995974000000004</v>
      </c>
      <c r="T2226" s="152">
        <v>0</v>
      </c>
      <c r="U2226" s="152">
        <v>2.7399999999999998E-3</v>
      </c>
      <c r="V2226" s="152">
        <v>1.5E-5</v>
      </c>
      <c r="W2226" s="152">
        <v>1000</v>
      </c>
      <c r="X2226" s="152" t="s">
        <v>23</v>
      </c>
      <c r="Y2226" s="152" t="s">
        <v>1328</v>
      </c>
      <c r="Z2226" s="152" t="s">
        <v>1327</v>
      </c>
    </row>
    <row r="2227" spans="1:26" x14ac:dyDescent="0.2">
      <c r="A2227" s="152" t="s">
        <v>3309</v>
      </c>
      <c r="B2227" s="152">
        <v>0</v>
      </c>
      <c r="C2227" s="151">
        <v>43536</v>
      </c>
      <c r="D2227" s="152">
        <v>0.37808199999999997</v>
      </c>
      <c r="E2227" s="152" t="s">
        <v>1325</v>
      </c>
      <c r="F2227" s="152" t="s">
        <v>1326</v>
      </c>
      <c r="G2227" s="152"/>
      <c r="H2227" s="152"/>
      <c r="I2227" s="152">
        <v>43347</v>
      </c>
      <c r="J2227" s="152">
        <v>1.8</v>
      </c>
      <c r="K2227" s="152" t="s">
        <v>1327</v>
      </c>
      <c r="L2227" s="152" t="s">
        <v>1327</v>
      </c>
      <c r="M2227" s="152" t="s">
        <v>1327</v>
      </c>
      <c r="N2227" s="152" t="s">
        <v>1327</v>
      </c>
      <c r="O2227" s="152">
        <v>1.9440839999999999</v>
      </c>
      <c r="P2227" s="152">
        <v>27.893198000000002</v>
      </c>
      <c r="Q2227" s="152">
        <v>1.9440839999999999</v>
      </c>
      <c r="R2227" s="152" t="s">
        <v>1327</v>
      </c>
      <c r="S2227" s="152">
        <v>99.270340000000004</v>
      </c>
      <c r="T2227" s="152">
        <v>0</v>
      </c>
      <c r="U2227" s="152">
        <v>0.37532300000000002</v>
      </c>
      <c r="V2227" s="152">
        <v>0.28173500000000001</v>
      </c>
      <c r="W2227" s="152">
        <v>1000</v>
      </c>
      <c r="X2227" s="152" t="s">
        <v>23</v>
      </c>
      <c r="Y2227" s="152" t="s">
        <v>1328</v>
      </c>
      <c r="Z2227" s="152" t="s">
        <v>1327</v>
      </c>
    </row>
    <row r="2228" spans="1:26" x14ac:dyDescent="0.2">
      <c r="A2228" s="152" t="s">
        <v>3310</v>
      </c>
      <c r="B2228" s="152">
        <v>0</v>
      </c>
      <c r="C2228" s="151">
        <v>43452</v>
      </c>
      <c r="D2228" s="152">
        <v>0.14794499999999999</v>
      </c>
      <c r="E2228" s="152" t="s">
        <v>1325</v>
      </c>
      <c r="F2228" s="152" t="s">
        <v>1326</v>
      </c>
      <c r="G2228" s="152"/>
      <c r="H2228" s="152"/>
      <c r="I2228" s="151" t="s">
        <v>1327</v>
      </c>
      <c r="J2228" s="152" t="s">
        <v>1327</v>
      </c>
      <c r="K2228" s="152" t="s">
        <v>1327</v>
      </c>
      <c r="L2228" s="152" t="s">
        <v>1327</v>
      </c>
      <c r="M2228" s="152" t="s">
        <v>1327</v>
      </c>
      <c r="N2228" s="152" t="s">
        <v>1327</v>
      </c>
      <c r="O2228" s="152">
        <v>1.724448</v>
      </c>
      <c r="P2228" s="152">
        <v>35.569156999999997</v>
      </c>
      <c r="Q2228" s="152">
        <v>1.724448</v>
      </c>
      <c r="R2228" s="152" t="s">
        <v>1327</v>
      </c>
      <c r="S2228" s="152">
        <v>99.745525000000001</v>
      </c>
      <c r="T2228" s="152">
        <v>0</v>
      </c>
      <c r="U2228" s="152">
        <v>0.14756900000000001</v>
      </c>
      <c r="V2228" s="152">
        <v>4.3553000000000001E-2</v>
      </c>
      <c r="W2228" s="152">
        <v>1000</v>
      </c>
      <c r="X2228" s="152" t="s">
        <v>23</v>
      </c>
      <c r="Y2228" s="152" t="s">
        <v>1328</v>
      </c>
      <c r="Z2228" s="152" t="s">
        <v>1327</v>
      </c>
    </row>
    <row r="2229" spans="1:26" x14ac:dyDescent="0.2">
      <c r="A2229" s="152" t="s">
        <v>3311</v>
      </c>
      <c r="B2229" s="152">
        <v>0</v>
      </c>
      <c r="C2229" s="151">
        <v>43452</v>
      </c>
      <c r="D2229" s="152">
        <v>0.14794499999999999</v>
      </c>
      <c r="E2229" s="152" t="s">
        <v>1325</v>
      </c>
      <c r="F2229" s="152" t="s">
        <v>1326</v>
      </c>
      <c r="G2229" s="152"/>
      <c r="H2229" s="152"/>
      <c r="I2229" s="151" t="s">
        <v>1327</v>
      </c>
      <c r="J2229" s="152" t="s">
        <v>1327</v>
      </c>
      <c r="K2229" s="152" t="s">
        <v>1327</v>
      </c>
      <c r="L2229" s="152" t="s">
        <v>1327</v>
      </c>
      <c r="M2229" s="152" t="s">
        <v>1327</v>
      </c>
      <c r="N2229" s="152" t="s">
        <v>1327</v>
      </c>
      <c r="O2229" s="152">
        <v>1.724448</v>
      </c>
      <c r="P2229" s="152">
        <v>35.569156999999997</v>
      </c>
      <c r="Q2229" s="152">
        <v>1.724448</v>
      </c>
      <c r="R2229" s="152" t="s">
        <v>1327</v>
      </c>
      <c r="S2229" s="152">
        <v>99.745525000000001</v>
      </c>
      <c r="T2229" s="152">
        <v>0</v>
      </c>
      <c r="U2229" s="152">
        <v>0.14756900000000001</v>
      </c>
      <c r="V2229" s="152">
        <v>4.3553000000000001E-2</v>
      </c>
      <c r="W2229" s="152">
        <v>1000</v>
      </c>
      <c r="X2229" s="152" t="s">
        <v>23</v>
      </c>
      <c r="Y2229" s="152" t="s">
        <v>1328</v>
      </c>
      <c r="Z2229" s="152" t="s">
        <v>1327</v>
      </c>
    </row>
    <row r="2230" spans="1:26" x14ac:dyDescent="0.2">
      <c r="A2230" s="152" t="s">
        <v>3312</v>
      </c>
      <c r="B2230" s="152">
        <v>0</v>
      </c>
      <c r="C2230" s="151">
        <v>43480</v>
      </c>
      <c r="D2230" s="152">
        <v>0.224658</v>
      </c>
      <c r="E2230" s="152" t="s">
        <v>1325</v>
      </c>
      <c r="F2230" s="152" t="s">
        <v>1326</v>
      </c>
      <c r="G2230" s="152"/>
      <c r="H2230" s="152"/>
      <c r="I2230" s="151" t="s">
        <v>1327</v>
      </c>
      <c r="J2230" s="152" t="s">
        <v>1327</v>
      </c>
      <c r="K2230" s="152" t="s">
        <v>1327</v>
      </c>
      <c r="L2230" s="152" t="s">
        <v>1327</v>
      </c>
      <c r="M2230" s="152" t="s">
        <v>1327</v>
      </c>
      <c r="N2230" s="152" t="s">
        <v>1327</v>
      </c>
      <c r="O2230" s="152">
        <v>1.8906480000000001</v>
      </c>
      <c r="P2230" s="152">
        <v>39.728144999999998</v>
      </c>
      <c r="Q2230" s="152">
        <v>1.8906480000000001</v>
      </c>
      <c r="R2230" s="152" t="s">
        <v>1327</v>
      </c>
      <c r="S2230" s="152">
        <v>99.577048000000005</v>
      </c>
      <c r="T2230" s="152">
        <v>0</v>
      </c>
      <c r="U2230" s="152">
        <v>0.22370699999999999</v>
      </c>
      <c r="V2230" s="152">
        <v>0.10009</v>
      </c>
      <c r="W2230" s="152">
        <v>1000</v>
      </c>
      <c r="X2230" s="152" t="s">
        <v>23</v>
      </c>
      <c r="Y2230" s="152" t="s">
        <v>1328</v>
      </c>
      <c r="Z2230" s="152" t="s">
        <v>1327</v>
      </c>
    </row>
    <row r="2231" spans="1:26" x14ac:dyDescent="0.2">
      <c r="A2231" s="152" t="s">
        <v>3313</v>
      </c>
      <c r="B2231" s="152">
        <v>0</v>
      </c>
      <c r="C2231" s="151">
        <v>43487</v>
      </c>
      <c r="D2231" s="152">
        <v>0.243836</v>
      </c>
      <c r="E2231" s="152" t="s">
        <v>1325</v>
      </c>
      <c r="F2231" s="152" t="s">
        <v>1326</v>
      </c>
      <c r="G2231" s="152"/>
      <c r="H2231" s="152"/>
      <c r="I2231" s="151" t="s">
        <v>1327</v>
      </c>
      <c r="J2231" s="152" t="s">
        <v>1327</v>
      </c>
      <c r="K2231" s="152" t="s">
        <v>1327</v>
      </c>
      <c r="L2231" s="152" t="s">
        <v>1327</v>
      </c>
      <c r="M2231" s="152" t="s">
        <v>1327</v>
      </c>
      <c r="N2231" s="152" t="s">
        <v>1327</v>
      </c>
      <c r="O2231" s="152">
        <v>1.91811</v>
      </c>
      <c r="P2231" s="152">
        <v>39.714427000000001</v>
      </c>
      <c r="Q2231" s="152">
        <v>1.91811</v>
      </c>
      <c r="R2231" s="152" t="s">
        <v>1327</v>
      </c>
      <c r="S2231" s="152">
        <v>99.534474000000003</v>
      </c>
      <c r="T2231" s="152">
        <v>0</v>
      </c>
      <c r="U2231" s="152">
        <v>0.2427</v>
      </c>
      <c r="V2231" s="152">
        <v>0.117807</v>
      </c>
      <c r="W2231" s="152">
        <v>1000</v>
      </c>
      <c r="X2231" s="152" t="s">
        <v>23</v>
      </c>
      <c r="Y2231" s="152" t="s">
        <v>1328</v>
      </c>
      <c r="Z2231" s="152" t="s">
        <v>1327</v>
      </c>
    </row>
    <row r="2232" spans="1:26" x14ac:dyDescent="0.2">
      <c r="A2232" s="152" t="s">
        <v>76</v>
      </c>
      <c r="B2232" s="152">
        <v>0</v>
      </c>
      <c r="C2232" s="151">
        <v>43452</v>
      </c>
      <c r="D2232" s="152">
        <v>0.14794499999999999</v>
      </c>
      <c r="E2232" s="152" t="s">
        <v>1325</v>
      </c>
      <c r="F2232" s="152" t="s">
        <v>1326</v>
      </c>
      <c r="G2232" s="152"/>
      <c r="H2232" s="152"/>
      <c r="I2232" s="152">
        <v>43363</v>
      </c>
      <c r="J2232" s="152">
        <v>1.7</v>
      </c>
      <c r="K2232" s="152" t="s">
        <v>1327</v>
      </c>
      <c r="L2232" s="152" t="s">
        <v>1327</v>
      </c>
      <c r="M2232" s="152" t="s">
        <v>1327</v>
      </c>
      <c r="N2232" s="152" t="s">
        <v>1327</v>
      </c>
      <c r="O2232" s="152">
        <v>1.6414599999999999</v>
      </c>
      <c r="P2232" s="152">
        <v>27.150656000000001</v>
      </c>
      <c r="Q2232" s="152">
        <v>1.6414599999999999</v>
      </c>
      <c r="R2232" s="152" t="s">
        <v>1327</v>
      </c>
      <c r="S2232" s="152">
        <v>99.757741999999993</v>
      </c>
      <c r="T2232" s="152">
        <v>0</v>
      </c>
      <c r="U2232" s="152">
        <v>0.147587</v>
      </c>
      <c r="V2232" s="152">
        <v>4.3563999999999999E-2</v>
      </c>
      <c r="W2232" s="152">
        <v>1000</v>
      </c>
      <c r="X2232" s="152" t="s">
        <v>23</v>
      </c>
      <c r="Y2232" s="152" t="s">
        <v>1328</v>
      </c>
      <c r="Z2232" s="152" t="s">
        <v>1327</v>
      </c>
    </row>
    <row r="2233" spans="1:26" x14ac:dyDescent="0.2">
      <c r="A2233" s="152" t="s">
        <v>3314</v>
      </c>
      <c r="B2233" s="152">
        <v>0</v>
      </c>
      <c r="C2233" s="151">
        <v>43459</v>
      </c>
      <c r="D2233" s="152">
        <v>0.16712299999999999</v>
      </c>
      <c r="E2233" s="152" t="s">
        <v>1325</v>
      </c>
      <c r="F2233" s="152" t="s">
        <v>1326</v>
      </c>
      <c r="G2233" s="152"/>
      <c r="H2233" s="152"/>
      <c r="I2233" s="152">
        <v>43368</v>
      </c>
      <c r="J2233" s="152">
        <v>1.7</v>
      </c>
      <c r="K2233" s="152" t="s">
        <v>1327</v>
      </c>
      <c r="L2233" s="152" t="s">
        <v>1327</v>
      </c>
      <c r="M2233" s="152" t="s">
        <v>1327</v>
      </c>
      <c r="N2233" s="152" t="s">
        <v>1327</v>
      </c>
      <c r="O2233" s="152">
        <v>1.6746970000000001</v>
      </c>
      <c r="P2233" s="152">
        <v>27.166772000000002</v>
      </c>
      <c r="Q2233" s="152">
        <v>1.6746970000000001</v>
      </c>
      <c r="R2233" s="152" t="s">
        <v>1327</v>
      </c>
      <c r="S2233" s="152">
        <v>99.7209</v>
      </c>
      <c r="T2233" s="152">
        <v>0</v>
      </c>
      <c r="U2233" s="152">
        <v>0.166657</v>
      </c>
      <c r="V2233" s="152">
        <v>5.5549000000000001E-2</v>
      </c>
      <c r="W2233" s="152">
        <v>1000</v>
      </c>
      <c r="X2233" s="152" t="s">
        <v>23</v>
      </c>
      <c r="Y2233" s="152" t="s">
        <v>1328</v>
      </c>
      <c r="Z2233" s="152" t="s">
        <v>1327</v>
      </c>
    </row>
    <row r="2234" spans="1:26" x14ac:dyDescent="0.2">
      <c r="A2234" s="152" t="s">
        <v>3315</v>
      </c>
      <c r="B2234" s="152">
        <v>0</v>
      </c>
      <c r="C2234" s="151">
        <v>43462</v>
      </c>
      <c r="D2234" s="152">
        <v>0.175342</v>
      </c>
      <c r="E2234" s="152" t="s">
        <v>1325</v>
      </c>
      <c r="F2234" s="152" t="s">
        <v>1326</v>
      </c>
      <c r="G2234" s="152"/>
      <c r="H2234" s="152"/>
      <c r="I2234" s="152">
        <v>43371</v>
      </c>
      <c r="J2234" s="152">
        <v>1.7</v>
      </c>
      <c r="K2234" s="152" t="s">
        <v>1327</v>
      </c>
      <c r="L2234" s="152" t="s">
        <v>1327</v>
      </c>
      <c r="M2234" s="152" t="s">
        <v>1327</v>
      </c>
      <c r="N2234" s="152" t="s">
        <v>1327</v>
      </c>
      <c r="O2234" s="152">
        <v>1.689038</v>
      </c>
      <c r="P2234" s="152">
        <v>27.214400999999999</v>
      </c>
      <c r="Q2234" s="152">
        <v>1.689038</v>
      </c>
      <c r="R2234" s="152" t="s">
        <v>1327</v>
      </c>
      <c r="S2234" s="152">
        <v>99.704713999999996</v>
      </c>
      <c r="T2234" s="152">
        <v>0</v>
      </c>
      <c r="U2234" s="152">
        <v>0.17482500000000001</v>
      </c>
      <c r="V2234" s="152">
        <v>6.1127000000000001E-2</v>
      </c>
      <c r="W2234" s="152">
        <v>1000</v>
      </c>
      <c r="X2234" s="152" t="s">
        <v>23</v>
      </c>
      <c r="Y2234" s="152" t="s">
        <v>1328</v>
      </c>
      <c r="Z2234" s="152" t="s">
        <v>1327</v>
      </c>
    </row>
    <row r="2235" spans="1:26" x14ac:dyDescent="0.2">
      <c r="A2235" s="152" t="s">
        <v>3316</v>
      </c>
      <c r="B2235" s="152">
        <v>0</v>
      </c>
      <c r="C2235" s="151">
        <v>43420</v>
      </c>
      <c r="D2235" s="152">
        <v>6.0274000000000001E-2</v>
      </c>
      <c r="E2235" s="152" t="s">
        <v>1325</v>
      </c>
      <c r="F2235" s="152" t="s">
        <v>1326</v>
      </c>
      <c r="G2235" s="152"/>
      <c r="H2235" s="152"/>
      <c r="I2235" s="152" t="s">
        <v>1327</v>
      </c>
      <c r="J2235" s="152" t="s">
        <v>1327</v>
      </c>
      <c r="K2235" s="152" t="s">
        <v>1327</v>
      </c>
      <c r="L2235" s="152" t="s">
        <v>1327</v>
      </c>
      <c r="M2235" s="152" t="s">
        <v>1327</v>
      </c>
      <c r="N2235" s="152" t="s">
        <v>1327</v>
      </c>
      <c r="O2235" s="152">
        <v>1.493258</v>
      </c>
      <c r="P2235" s="152">
        <v>28.169920999999999</v>
      </c>
      <c r="Q2235" s="152">
        <v>1.493258</v>
      </c>
      <c r="R2235" s="152" t="s">
        <v>1327</v>
      </c>
      <c r="S2235" s="152">
        <v>99.910076000000004</v>
      </c>
      <c r="T2235" s="152">
        <v>0</v>
      </c>
      <c r="U2235" s="152">
        <v>6.0220000000000003E-2</v>
      </c>
      <c r="V2235" s="152">
        <v>7.2529999999999999E-3</v>
      </c>
      <c r="W2235" s="152">
        <v>1000</v>
      </c>
      <c r="X2235" s="152" t="s">
        <v>23</v>
      </c>
      <c r="Y2235" s="152" t="s">
        <v>1328</v>
      </c>
      <c r="Z2235" s="152" t="s">
        <v>1327</v>
      </c>
    </row>
    <row r="2236" spans="1:26" x14ac:dyDescent="0.2">
      <c r="A2236" s="152" t="s">
        <v>3317</v>
      </c>
      <c r="B2236" s="152">
        <v>0</v>
      </c>
      <c r="C2236" s="151">
        <v>43420</v>
      </c>
      <c r="D2236" s="152">
        <v>6.0274000000000001E-2</v>
      </c>
      <c r="E2236" s="152" t="s">
        <v>1325</v>
      </c>
      <c r="F2236" s="152" t="s">
        <v>1326</v>
      </c>
      <c r="G2236" s="152"/>
      <c r="H2236" s="152"/>
      <c r="I2236" s="152">
        <v>43328</v>
      </c>
      <c r="J2236" s="152">
        <v>1.7</v>
      </c>
      <c r="K2236" s="152" t="s">
        <v>1327</v>
      </c>
      <c r="L2236" s="152" t="s">
        <v>1327</v>
      </c>
      <c r="M2236" s="152" t="s">
        <v>1327</v>
      </c>
      <c r="N2236" s="152" t="s">
        <v>1327</v>
      </c>
      <c r="O2236" s="152">
        <v>1.493258</v>
      </c>
      <c r="P2236" s="152">
        <v>28.169920999999999</v>
      </c>
      <c r="Q2236" s="152">
        <v>1.493258</v>
      </c>
      <c r="R2236" s="152" t="s">
        <v>1327</v>
      </c>
      <c r="S2236" s="152">
        <v>99.910076000000004</v>
      </c>
      <c r="T2236" s="152">
        <v>0</v>
      </c>
      <c r="U2236" s="152">
        <v>6.0220000000000003E-2</v>
      </c>
      <c r="V2236" s="152">
        <v>7.2529999999999999E-3</v>
      </c>
      <c r="W2236" s="152">
        <v>1000</v>
      </c>
      <c r="X2236" s="152" t="s">
        <v>23</v>
      </c>
      <c r="Y2236" s="152" t="s">
        <v>1328</v>
      </c>
      <c r="Z2236" s="152" t="s">
        <v>1327</v>
      </c>
    </row>
    <row r="2237" spans="1:26" x14ac:dyDescent="0.2">
      <c r="A2237" s="152" t="s">
        <v>3318</v>
      </c>
      <c r="B2237" s="152">
        <v>0</v>
      </c>
      <c r="C2237" s="151">
        <v>43420</v>
      </c>
      <c r="D2237" s="152">
        <v>6.0274000000000001E-2</v>
      </c>
      <c r="E2237" s="152" t="s">
        <v>1325</v>
      </c>
      <c r="F2237" s="152" t="s">
        <v>1326</v>
      </c>
      <c r="G2237" s="152"/>
      <c r="H2237" s="152"/>
      <c r="I2237" s="152">
        <v>43328</v>
      </c>
      <c r="J2237" s="152">
        <v>1.75</v>
      </c>
      <c r="K2237" s="152" t="s">
        <v>1327</v>
      </c>
      <c r="L2237" s="152" t="s">
        <v>1327</v>
      </c>
      <c r="M2237" s="152" t="s">
        <v>1327</v>
      </c>
      <c r="N2237" s="152" t="s">
        <v>1327</v>
      </c>
      <c r="O2237" s="152">
        <v>1.493258</v>
      </c>
      <c r="P2237" s="152">
        <v>28.169920999999999</v>
      </c>
      <c r="Q2237" s="152">
        <v>1.493258</v>
      </c>
      <c r="R2237" s="152" t="s">
        <v>1327</v>
      </c>
      <c r="S2237" s="152">
        <v>99.910076000000004</v>
      </c>
      <c r="T2237" s="152">
        <v>0</v>
      </c>
      <c r="U2237" s="152">
        <v>6.0220000000000003E-2</v>
      </c>
      <c r="V2237" s="152">
        <v>7.2529999999999999E-3</v>
      </c>
      <c r="W2237" s="152">
        <v>1000</v>
      </c>
      <c r="X2237" s="152" t="s">
        <v>23</v>
      </c>
      <c r="Y2237" s="152" t="s">
        <v>1328</v>
      </c>
      <c r="Z2237" s="152" t="s">
        <v>1327</v>
      </c>
    </row>
    <row r="2238" spans="1:26" x14ac:dyDescent="0.2">
      <c r="A2238" s="152" t="s">
        <v>3319</v>
      </c>
      <c r="B2238" s="152">
        <v>0</v>
      </c>
      <c r="C2238" s="151">
        <v>43426</v>
      </c>
      <c r="D2238" s="152">
        <v>7.6712000000000002E-2</v>
      </c>
      <c r="E2238" s="152" t="s">
        <v>1325</v>
      </c>
      <c r="F2238" s="152" t="s">
        <v>1326</v>
      </c>
      <c r="G2238" s="152"/>
      <c r="H2238" s="152"/>
      <c r="I2238" s="152">
        <v>43334</v>
      </c>
      <c r="J2238" s="152">
        <v>1.7</v>
      </c>
      <c r="K2238" s="152" t="s">
        <v>1327</v>
      </c>
      <c r="L2238" s="152" t="s">
        <v>1327</v>
      </c>
      <c r="M2238" s="152" t="s">
        <v>1327</v>
      </c>
      <c r="N2238" s="152" t="s">
        <v>1327</v>
      </c>
      <c r="O2238" s="152">
        <v>1.520605</v>
      </c>
      <c r="P2238" s="152">
        <v>27.901405</v>
      </c>
      <c r="Q2238" s="152">
        <v>1.520605</v>
      </c>
      <c r="R2238" s="152" t="s">
        <v>1327</v>
      </c>
      <c r="S2238" s="152">
        <v>99.883487000000002</v>
      </c>
      <c r="T2238" s="152">
        <v>0</v>
      </c>
      <c r="U2238" s="152">
        <v>7.6622999999999997E-2</v>
      </c>
      <c r="V2238" s="152">
        <v>1.1742000000000001E-2</v>
      </c>
      <c r="W2238" s="152">
        <v>1000</v>
      </c>
      <c r="X2238" s="152" t="s">
        <v>23</v>
      </c>
      <c r="Y2238" s="152" t="s">
        <v>1328</v>
      </c>
      <c r="Z2238" s="152" t="s">
        <v>1327</v>
      </c>
    </row>
    <row r="2239" spans="1:26" x14ac:dyDescent="0.2">
      <c r="A2239" s="152" t="s">
        <v>3320</v>
      </c>
      <c r="B2239" s="152">
        <v>0</v>
      </c>
      <c r="C2239" s="151">
        <v>43427</v>
      </c>
      <c r="D2239" s="152">
        <v>7.9451999999999995E-2</v>
      </c>
      <c r="E2239" s="152" t="s">
        <v>1325</v>
      </c>
      <c r="F2239" s="152" t="s">
        <v>1326</v>
      </c>
      <c r="G2239" s="152"/>
      <c r="H2239" s="152"/>
      <c r="I2239" s="152">
        <v>43248</v>
      </c>
      <c r="J2239" s="152">
        <v>1.75</v>
      </c>
      <c r="K2239" s="152" t="s">
        <v>1327</v>
      </c>
      <c r="L2239" s="152" t="s">
        <v>1327</v>
      </c>
      <c r="M2239" s="152" t="s">
        <v>1327</v>
      </c>
      <c r="N2239" s="152" t="s">
        <v>1327</v>
      </c>
      <c r="O2239" s="152">
        <v>1.525182</v>
      </c>
      <c r="P2239" s="152">
        <v>27.858096</v>
      </c>
      <c r="Q2239" s="152">
        <v>1.525182</v>
      </c>
      <c r="R2239" s="152" t="s">
        <v>1327</v>
      </c>
      <c r="S2239" s="152">
        <v>99.878968</v>
      </c>
      <c r="T2239" s="152">
        <v>0</v>
      </c>
      <c r="U2239" s="152">
        <v>7.9355999999999996E-2</v>
      </c>
      <c r="V2239" s="152">
        <v>1.2595E-2</v>
      </c>
      <c r="W2239" s="152">
        <v>1000</v>
      </c>
      <c r="X2239" s="152" t="s">
        <v>23</v>
      </c>
      <c r="Y2239" s="152" t="s">
        <v>1328</v>
      </c>
      <c r="Z2239" s="152" t="s">
        <v>1327</v>
      </c>
    </row>
    <row r="2240" spans="1:26" x14ac:dyDescent="0.2">
      <c r="A2240" s="152" t="s">
        <v>3321</v>
      </c>
      <c r="B2240" s="152">
        <v>0</v>
      </c>
      <c r="C2240" s="151">
        <v>43433</v>
      </c>
      <c r="D2240" s="152">
        <v>9.5890000000000003E-2</v>
      </c>
      <c r="E2240" s="152" t="s">
        <v>1325</v>
      </c>
      <c r="F2240" s="152" t="s">
        <v>1326</v>
      </c>
      <c r="G2240" s="152"/>
      <c r="H2240" s="152"/>
      <c r="I2240" s="152">
        <v>43341</v>
      </c>
      <c r="J2240" s="152">
        <v>1.7</v>
      </c>
      <c r="K2240" s="152" t="s">
        <v>1327</v>
      </c>
      <c r="L2240" s="152" t="s">
        <v>1327</v>
      </c>
      <c r="M2240" s="152" t="s">
        <v>1327</v>
      </c>
      <c r="N2240" s="152" t="s">
        <v>1327</v>
      </c>
      <c r="O2240" s="152">
        <v>1.5527580000000001</v>
      </c>
      <c r="P2240" s="152">
        <v>27.613388</v>
      </c>
      <c r="Q2240" s="152">
        <v>1.5527580000000001</v>
      </c>
      <c r="R2240" s="152" t="s">
        <v>1327</v>
      </c>
      <c r="S2240" s="152">
        <v>99.851326999999998</v>
      </c>
      <c r="T2240" s="152">
        <v>0</v>
      </c>
      <c r="U2240" s="152">
        <v>9.5748E-2</v>
      </c>
      <c r="V2240" s="152">
        <v>1.8335000000000001E-2</v>
      </c>
      <c r="W2240" s="152">
        <v>1000</v>
      </c>
      <c r="X2240" s="152" t="s">
        <v>23</v>
      </c>
      <c r="Y2240" s="152" t="s">
        <v>1328</v>
      </c>
      <c r="Z2240" s="152" t="s">
        <v>1327</v>
      </c>
    </row>
    <row r="2241" spans="1:26" x14ac:dyDescent="0.2">
      <c r="A2241" s="152" t="s">
        <v>3322</v>
      </c>
      <c r="B2241" s="152">
        <v>0</v>
      </c>
      <c r="C2241" s="151">
        <v>43434</v>
      </c>
      <c r="D2241" s="152">
        <v>9.8629999999999995E-2</v>
      </c>
      <c r="E2241" s="152" t="s">
        <v>1325</v>
      </c>
      <c r="F2241" s="152" t="s">
        <v>1326</v>
      </c>
      <c r="G2241" s="152"/>
      <c r="H2241" s="152"/>
      <c r="I2241" s="152" t="s">
        <v>1327</v>
      </c>
      <c r="J2241" s="152" t="s">
        <v>1327</v>
      </c>
      <c r="K2241" s="152" t="s">
        <v>1327</v>
      </c>
      <c r="L2241" s="152" t="s">
        <v>1327</v>
      </c>
      <c r="M2241" s="152" t="s">
        <v>1327</v>
      </c>
      <c r="N2241" s="152" t="s">
        <v>1327</v>
      </c>
      <c r="O2241" s="152">
        <v>1.557374</v>
      </c>
      <c r="P2241" s="152">
        <v>27.575737</v>
      </c>
      <c r="Q2241" s="152">
        <v>1.557374</v>
      </c>
      <c r="R2241" s="152" t="s">
        <v>1327</v>
      </c>
      <c r="S2241" s="152">
        <v>99.846632</v>
      </c>
      <c r="T2241" s="152">
        <v>0</v>
      </c>
      <c r="U2241" s="152">
        <v>9.8478999999999997E-2</v>
      </c>
      <c r="V2241" s="152">
        <v>1.9396E-2</v>
      </c>
      <c r="W2241" s="152">
        <v>1000</v>
      </c>
      <c r="X2241" s="152" t="s">
        <v>23</v>
      </c>
      <c r="Y2241" s="152" t="s">
        <v>1328</v>
      </c>
      <c r="Z2241" s="152" t="s">
        <v>1327</v>
      </c>
    </row>
    <row r="2242" spans="1:26" x14ac:dyDescent="0.2">
      <c r="A2242" s="152" t="s">
        <v>3323</v>
      </c>
      <c r="B2242" s="152">
        <v>0</v>
      </c>
      <c r="C2242" s="151">
        <v>43475</v>
      </c>
      <c r="D2242" s="152">
        <v>0.21095900000000001</v>
      </c>
      <c r="E2242" s="152" t="s">
        <v>1325</v>
      </c>
      <c r="F2242" s="152" t="s">
        <v>1326</v>
      </c>
      <c r="G2242" s="152"/>
      <c r="H2242" s="152"/>
      <c r="I2242" s="152">
        <v>43384</v>
      </c>
      <c r="J2242" s="152">
        <v>1.78</v>
      </c>
      <c r="K2242" s="152" t="s">
        <v>1327</v>
      </c>
      <c r="L2242" s="152" t="s">
        <v>1327</v>
      </c>
      <c r="M2242" s="152" t="s">
        <v>1327</v>
      </c>
      <c r="N2242" s="152" t="s">
        <v>1327</v>
      </c>
      <c r="O2242" s="152">
        <v>1.751878</v>
      </c>
      <c r="P2242" s="152">
        <v>27.758669999999999</v>
      </c>
      <c r="Q2242" s="152">
        <v>1.751878</v>
      </c>
      <c r="R2242" s="152" t="s">
        <v>1327</v>
      </c>
      <c r="S2242" s="152">
        <v>99.631787000000003</v>
      </c>
      <c r="T2242" s="152">
        <v>0</v>
      </c>
      <c r="U2242" s="152">
        <v>0.21018200000000001</v>
      </c>
      <c r="V2242" s="152">
        <v>8.8353000000000001E-2</v>
      </c>
      <c r="W2242" s="152">
        <v>1000</v>
      </c>
      <c r="X2242" s="152" t="s">
        <v>23</v>
      </c>
      <c r="Y2242" s="152" t="s">
        <v>1328</v>
      </c>
      <c r="Z2242" s="152" t="s">
        <v>1327</v>
      </c>
    </row>
    <row r="2243" spans="1:26" x14ac:dyDescent="0.2">
      <c r="A2243" s="152" t="s">
        <v>3324</v>
      </c>
      <c r="B2243" s="152">
        <v>0</v>
      </c>
      <c r="C2243" s="151">
        <v>43480</v>
      </c>
      <c r="D2243" s="152">
        <v>0.224658</v>
      </c>
      <c r="E2243" s="152" t="s">
        <v>1325</v>
      </c>
      <c r="F2243" s="152" t="s">
        <v>1326</v>
      </c>
      <c r="G2243" s="152"/>
      <c r="H2243" s="152"/>
      <c r="I2243" s="152">
        <v>43390</v>
      </c>
      <c r="J2243" s="152">
        <v>1.78</v>
      </c>
      <c r="K2243" s="152" t="s">
        <v>1327</v>
      </c>
      <c r="L2243" s="152" t="s">
        <v>1327</v>
      </c>
      <c r="M2243" s="152" t="s">
        <v>1327</v>
      </c>
      <c r="N2243" s="152" t="s">
        <v>1327</v>
      </c>
      <c r="O2243" s="152">
        <v>1.7625459999999999</v>
      </c>
      <c r="P2243" s="152">
        <v>26.735579000000001</v>
      </c>
      <c r="Q2243" s="152">
        <v>1.7625459999999999</v>
      </c>
      <c r="R2243" s="152" t="s">
        <v>1327</v>
      </c>
      <c r="S2243" s="152">
        <v>99.605592000000001</v>
      </c>
      <c r="T2243" s="152">
        <v>0</v>
      </c>
      <c r="U2243" s="152">
        <v>0.223771</v>
      </c>
      <c r="V2243" s="152">
        <v>0.100147</v>
      </c>
      <c r="W2243" s="152">
        <v>1000</v>
      </c>
      <c r="X2243" s="152" t="s">
        <v>23</v>
      </c>
      <c r="Y2243" s="152" t="s">
        <v>1328</v>
      </c>
      <c r="Z2243" s="152" t="s">
        <v>1327</v>
      </c>
    </row>
    <row r="2244" spans="1:26" x14ac:dyDescent="0.2">
      <c r="A2244" s="152" t="s">
        <v>3325</v>
      </c>
      <c r="B2244" s="152">
        <v>0</v>
      </c>
      <c r="C2244" s="151">
        <v>43489</v>
      </c>
      <c r="D2244" s="152">
        <v>0.24931500000000001</v>
      </c>
      <c r="E2244" s="152" t="s">
        <v>1325</v>
      </c>
      <c r="F2244" s="152" t="s">
        <v>1326</v>
      </c>
      <c r="G2244" s="152"/>
      <c r="H2244" s="152"/>
      <c r="I2244" s="152">
        <v>43397</v>
      </c>
      <c r="J2244" s="152">
        <v>1.78</v>
      </c>
      <c r="K2244" s="152" t="s">
        <v>1327</v>
      </c>
      <c r="L2244" s="152" t="s">
        <v>1327</v>
      </c>
      <c r="M2244" s="152" t="s">
        <v>1327</v>
      </c>
      <c r="N2244" s="152" t="s">
        <v>1327</v>
      </c>
      <c r="O2244" s="152">
        <v>1.78</v>
      </c>
      <c r="P2244" s="152">
        <v>24.945872999999999</v>
      </c>
      <c r="Q2244" s="152">
        <v>1.78</v>
      </c>
      <c r="R2244" s="152" t="s">
        <v>1327</v>
      </c>
      <c r="S2244" s="152">
        <v>99.558179999999993</v>
      </c>
      <c r="T2244" s="152">
        <v>0</v>
      </c>
      <c r="U2244" s="152">
        <v>0.24821399999999999</v>
      </c>
      <c r="V2244" s="152">
        <v>0.12322</v>
      </c>
      <c r="W2244" s="152">
        <v>1000</v>
      </c>
      <c r="X2244" s="152" t="s">
        <v>23</v>
      </c>
      <c r="Y2244" s="152" t="s">
        <v>1328</v>
      </c>
      <c r="Z2244" s="152" t="s">
        <v>1327</v>
      </c>
    </row>
    <row r="2245" spans="1:26" x14ac:dyDescent="0.2">
      <c r="A2245" s="152" t="s">
        <v>3326</v>
      </c>
      <c r="B2245" s="152">
        <v>4.8499999999999996</v>
      </c>
      <c r="C2245" s="151">
        <v>43461</v>
      </c>
      <c r="D2245" s="152">
        <v>0.17260300000000001</v>
      </c>
      <c r="E2245" s="152" t="s">
        <v>1325</v>
      </c>
      <c r="F2245" s="152" t="s">
        <v>1326</v>
      </c>
      <c r="G2245" s="152"/>
      <c r="H2245" s="152"/>
      <c r="I2245" s="152" t="s">
        <v>1327</v>
      </c>
      <c r="J2245" s="152" t="s">
        <v>1327</v>
      </c>
      <c r="K2245" s="152" t="s">
        <v>1327</v>
      </c>
      <c r="L2245" s="152" t="s">
        <v>1327</v>
      </c>
      <c r="M2245" s="152" t="s">
        <v>1327</v>
      </c>
      <c r="N2245" s="152" t="s">
        <v>1327</v>
      </c>
      <c r="O2245" s="152">
        <v>4.8072229999999996</v>
      </c>
      <c r="P2245" s="152">
        <v>347.97614399999998</v>
      </c>
      <c r="Q2245" s="152">
        <v>4.8072229999999996</v>
      </c>
      <c r="R2245" s="152" t="s">
        <v>1327</v>
      </c>
      <c r="S2245" s="152">
        <v>100.004261</v>
      </c>
      <c r="T2245" s="152">
        <v>0.37205500000000002</v>
      </c>
      <c r="U2245" s="152">
        <v>0.171182</v>
      </c>
      <c r="V2245" s="152">
        <v>5.8606999999999999E-2</v>
      </c>
      <c r="W2245" s="152">
        <v>1000</v>
      </c>
      <c r="X2245" s="152" t="s">
        <v>23</v>
      </c>
      <c r="Y2245" s="152" t="s">
        <v>1328</v>
      </c>
      <c r="Z2245" s="152" t="s">
        <v>1327</v>
      </c>
    </row>
    <row r="2246" spans="1:26" x14ac:dyDescent="0.2">
      <c r="A2246" s="152" t="s">
        <v>3327</v>
      </c>
      <c r="B2246" s="152">
        <v>4.75</v>
      </c>
      <c r="C2246" s="151">
        <v>43424</v>
      </c>
      <c r="D2246" s="152">
        <v>7.1233000000000005E-2</v>
      </c>
      <c r="E2246" s="152" t="s">
        <v>1325</v>
      </c>
      <c r="F2246" s="152" t="s">
        <v>1326</v>
      </c>
      <c r="G2246" s="152"/>
      <c r="H2246" s="152"/>
      <c r="I2246" s="152" t="s">
        <v>1327</v>
      </c>
      <c r="J2246" s="152" t="s">
        <v>1327</v>
      </c>
      <c r="K2246" s="152" t="s">
        <v>1327</v>
      </c>
      <c r="L2246" s="152" t="s">
        <v>1327</v>
      </c>
      <c r="M2246" s="152" t="s">
        <v>1327</v>
      </c>
      <c r="N2246" s="152" t="s">
        <v>1327</v>
      </c>
      <c r="O2246" s="152">
        <v>3.968464</v>
      </c>
      <c r="P2246" s="152">
        <v>280.02068000000003</v>
      </c>
      <c r="Q2246" s="152">
        <v>3.968464</v>
      </c>
      <c r="R2246" s="152" t="s">
        <v>1327</v>
      </c>
      <c r="S2246" s="152">
        <v>100.049864</v>
      </c>
      <c r="T2246" s="152">
        <v>2.0041099999999998</v>
      </c>
      <c r="U2246" s="152">
        <v>7.1031999999999998E-2</v>
      </c>
      <c r="V2246" s="152">
        <v>1.0090999999999999E-2</v>
      </c>
      <c r="W2246" s="152">
        <v>1000</v>
      </c>
      <c r="X2246" s="152" t="s">
        <v>23</v>
      </c>
      <c r="Y2246" s="152" t="s">
        <v>1328</v>
      </c>
      <c r="Z2246" s="152" t="s">
        <v>1327</v>
      </c>
    </row>
    <row r="2247" spans="1:26" x14ac:dyDescent="0.2">
      <c r="A2247" s="152" t="s">
        <v>3328</v>
      </c>
      <c r="B2247" s="152">
        <v>5.5</v>
      </c>
      <c r="C2247" s="151">
        <v>43662</v>
      </c>
      <c r="D2247" s="152">
        <v>0.72328800000000004</v>
      </c>
      <c r="E2247" s="152" t="s">
        <v>1325</v>
      </c>
      <c r="F2247" s="152" t="s">
        <v>1326</v>
      </c>
      <c r="G2247" s="152"/>
      <c r="H2247" s="152"/>
      <c r="I2247" s="152" t="s">
        <v>1327</v>
      </c>
      <c r="J2247" s="152" t="s">
        <v>1327</v>
      </c>
      <c r="K2247" s="152" t="s">
        <v>1327</v>
      </c>
      <c r="L2247" s="152" t="s">
        <v>1327</v>
      </c>
      <c r="M2247" s="152" t="s">
        <v>1327</v>
      </c>
      <c r="N2247" s="152" t="s">
        <v>1327</v>
      </c>
      <c r="O2247" s="152">
        <v>5.5087780000000004</v>
      </c>
      <c r="P2247" s="152">
        <v>375.293789</v>
      </c>
      <c r="Q2247" s="152">
        <v>5.5087780000000004</v>
      </c>
      <c r="R2247" s="152" t="s">
        <v>1327</v>
      </c>
      <c r="S2247" s="152">
        <v>99.990430000000003</v>
      </c>
      <c r="T2247" s="152">
        <v>9.0411000000000005E-2</v>
      </c>
      <c r="U2247" s="152">
        <v>0.695573</v>
      </c>
      <c r="V2247" s="152">
        <v>0.96764399999999995</v>
      </c>
      <c r="W2247" s="152">
        <v>1000</v>
      </c>
      <c r="X2247" s="152" t="s">
        <v>23</v>
      </c>
      <c r="Y2247" s="152" t="s">
        <v>1328</v>
      </c>
      <c r="Z2247" s="152" t="s">
        <v>1327</v>
      </c>
    </row>
    <row r="2248" spans="1:26" x14ac:dyDescent="0.2">
      <c r="A2248" s="152" t="s">
        <v>3329</v>
      </c>
      <c r="B2248" s="152">
        <v>0</v>
      </c>
      <c r="C2248" s="151">
        <v>43457</v>
      </c>
      <c r="D2248" s="152">
        <v>0.16164400000000001</v>
      </c>
      <c r="E2248" s="152" t="s">
        <v>1325</v>
      </c>
      <c r="F2248" s="152" t="s">
        <v>1326</v>
      </c>
      <c r="G2248" s="152"/>
      <c r="H2248" s="152"/>
      <c r="I2248" s="152" t="s">
        <v>1327</v>
      </c>
      <c r="J2248" s="152" t="s">
        <v>1327</v>
      </c>
      <c r="K2248" s="152" t="s">
        <v>1327</v>
      </c>
      <c r="L2248" s="152" t="s">
        <v>1327</v>
      </c>
      <c r="M2248" s="152" t="s">
        <v>1327</v>
      </c>
      <c r="N2248" s="152" t="s">
        <v>1327</v>
      </c>
      <c r="O2248" s="152">
        <v>1.7051879999999999</v>
      </c>
      <c r="P2248" s="152">
        <v>31.207901</v>
      </c>
      <c r="Q2248" s="152">
        <v>1.7051879999999999</v>
      </c>
      <c r="R2248" s="152" t="s">
        <v>1327</v>
      </c>
      <c r="S2248" s="152">
        <v>99.725125000000006</v>
      </c>
      <c r="T2248" s="152">
        <v>0</v>
      </c>
      <c r="U2248" s="152">
        <v>0.16120000000000001</v>
      </c>
      <c r="V2248" s="152">
        <v>5.1971000000000003E-2</v>
      </c>
      <c r="W2248" s="152">
        <v>1000</v>
      </c>
      <c r="X2248" s="152" t="s">
        <v>23</v>
      </c>
      <c r="Y2248" s="152" t="s">
        <v>1921</v>
      </c>
      <c r="Z2248" s="152" t="s">
        <v>1327</v>
      </c>
    </row>
    <row r="2249" spans="1:26" x14ac:dyDescent="0.2">
      <c r="A2249" s="152" t="s">
        <v>3330</v>
      </c>
      <c r="B2249" s="152">
        <v>0</v>
      </c>
      <c r="C2249" s="151">
        <v>43462</v>
      </c>
      <c r="D2249" s="152">
        <v>0.175342</v>
      </c>
      <c r="E2249" s="152" t="s">
        <v>1325</v>
      </c>
      <c r="F2249" s="152" t="s">
        <v>1326</v>
      </c>
      <c r="G2249" s="152"/>
      <c r="H2249" s="152"/>
      <c r="I2249" s="152" t="s">
        <v>1327</v>
      </c>
      <c r="J2249" s="152" t="s">
        <v>1327</v>
      </c>
      <c r="K2249" s="152" t="s">
        <v>1327</v>
      </c>
      <c r="L2249" s="152" t="s">
        <v>1327</v>
      </c>
      <c r="M2249" s="152" t="s">
        <v>1327</v>
      </c>
      <c r="N2249" s="152" t="s">
        <v>1327</v>
      </c>
      <c r="O2249" s="152">
        <v>1.729058</v>
      </c>
      <c r="P2249" s="152">
        <v>31.273116999999999</v>
      </c>
      <c r="Q2249" s="152">
        <v>1.729058</v>
      </c>
      <c r="R2249" s="152" t="s">
        <v>1327</v>
      </c>
      <c r="S2249" s="152">
        <v>99.697738999999999</v>
      </c>
      <c r="T2249" s="152">
        <v>0</v>
      </c>
      <c r="U2249" s="152">
        <v>0.174812</v>
      </c>
      <c r="V2249" s="152">
        <v>6.1119E-2</v>
      </c>
      <c r="W2249" s="152">
        <v>1000</v>
      </c>
      <c r="X2249" s="152" t="s">
        <v>23</v>
      </c>
      <c r="Y2249" s="152" t="s">
        <v>1921</v>
      </c>
      <c r="Z2249" s="152" t="s">
        <v>1327</v>
      </c>
    </row>
    <row r="2250" spans="1:26" x14ac:dyDescent="0.2">
      <c r="A2250" s="152" t="s">
        <v>3331</v>
      </c>
      <c r="B2250" s="152">
        <v>0</v>
      </c>
      <c r="C2250" s="151">
        <v>43406</v>
      </c>
      <c r="D2250" s="152">
        <v>2.1918E-2</v>
      </c>
      <c r="E2250" s="152" t="s">
        <v>1325</v>
      </c>
      <c r="F2250" s="152" t="s">
        <v>1326</v>
      </c>
      <c r="G2250" s="152"/>
      <c r="H2250" s="152"/>
      <c r="I2250" s="152" t="s">
        <v>1327</v>
      </c>
      <c r="J2250" s="152" t="s">
        <v>1327</v>
      </c>
      <c r="K2250" s="152" t="s">
        <v>1327</v>
      </c>
      <c r="L2250" s="152" t="s">
        <v>1327</v>
      </c>
      <c r="M2250" s="152" t="s">
        <v>1327</v>
      </c>
      <c r="N2250" s="152" t="s">
        <v>1327</v>
      </c>
      <c r="O2250" s="152">
        <v>1.5255840000000001</v>
      </c>
      <c r="P2250" s="152">
        <v>38.467469000000001</v>
      </c>
      <c r="Q2250" s="152">
        <v>1.5255840000000001</v>
      </c>
      <c r="R2250" s="152" t="s">
        <v>1327</v>
      </c>
      <c r="S2250" s="152">
        <v>99.966573999999994</v>
      </c>
      <c r="T2250" s="152">
        <v>0</v>
      </c>
      <c r="U2250" s="152">
        <v>2.1909999999999999E-2</v>
      </c>
      <c r="V2250" s="152">
        <v>9.6000000000000002E-4</v>
      </c>
      <c r="W2250" s="152">
        <v>1000</v>
      </c>
      <c r="X2250" s="152" t="s">
        <v>23</v>
      </c>
      <c r="Y2250" s="152" t="s">
        <v>1921</v>
      </c>
      <c r="Z2250" s="152" t="s">
        <v>1327</v>
      </c>
    </row>
    <row r="2251" spans="1:26" x14ac:dyDescent="0.2">
      <c r="A2251" s="152" t="s">
        <v>3332</v>
      </c>
      <c r="B2251" s="152">
        <v>0</v>
      </c>
      <c r="C2251" s="151">
        <v>43477</v>
      </c>
      <c r="D2251" s="152">
        <v>0.21643799999999999</v>
      </c>
      <c r="E2251" s="152" t="s">
        <v>1325</v>
      </c>
      <c r="F2251" s="152" t="s">
        <v>1326</v>
      </c>
      <c r="G2251" s="152"/>
      <c r="H2251" s="152"/>
      <c r="I2251" s="152" t="s">
        <v>1327</v>
      </c>
      <c r="J2251" s="152" t="s">
        <v>1327</v>
      </c>
      <c r="K2251" s="152" t="s">
        <v>1327</v>
      </c>
      <c r="L2251" s="152" t="s">
        <v>1327</v>
      </c>
      <c r="M2251" s="152" t="s">
        <v>1327</v>
      </c>
      <c r="N2251" s="152" t="s">
        <v>1327</v>
      </c>
      <c r="O2251" s="152">
        <v>1.801674</v>
      </c>
      <c r="P2251" s="152">
        <v>31.95599</v>
      </c>
      <c r="Q2251" s="152">
        <v>1.801674</v>
      </c>
      <c r="R2251" s="152" t="s">
        <v>1327</v>
      </c>
      <c r="S2251" s="152">
        <v>99.611563000000004</v>
      </c>
      <c r="T2251" s="152">
        <v>0</v>
      </c>
      <c r="U2251" s="152">
        <v>0.21559800000000001</v>
      </c>
      <c r="V2251" s="152">
        <v>9.2965000000000006E-2</v>
      </c>
      <c r="W2251" s="152">
        <v>1000</v>
      </c>
      <c r="X2251" s="152" t="s">
        <v>23</v>
      </c>
      <c r="Y2251" s="152" t="s">
        <v>1921</v>
      </c>
      <c r="Z2251" s="152" t="s">
        <v>1327</v>
      </c>
    </row>
    <row r="2252" spans="1:26" x14ac:dyDescent="0.2">
      <c r="A2252" s="152" t="s">
        <v>3333</v>
      </c>
      <c r="B2252" s="152">
        <v>0</v>
      </c>
      <c r="C2252" s="151">
        <v>43533</v>
      </c>
      <c r="D2252" s="152">
        <v>0.369863</v>
      </c>
      <c r="E2252" s="152" t="s">
        <v>1325</v>
      </c>
      <c r="F2252" s="152" t="s">
        <v>1326</v>
      </c>
      <c r="G2252" s="152"/>
      <c r="H2252" s="152"/>
      <c r="I2252" s="152" t="s">
        <v>1327</v>
      </c>
      <c r="J2252" s="152" t="s">
        <v>1327</v>
      </c>
      <c r="K2252" s="152" t="s">
        <v>1327</v>
      </c>
      <c r="L2252" s="152" t="s">
        <v>1327</v>
      </c>
      <c r="M2252" s="152" t="s">
        <v>1327</v>
      </c>
      <c r="N2252" s="152" t="s">
        <v>1327</v>
      </c>
      <c r="O2252" s="152">
        <v>1.9506239999999999</v>
      </c>
      <c r="P2252" s="152">
        <v>29.212036000000001</v>
      </c>
      <c r="Q2252" s="152">
        <v>1.9506239999999999</v>
      </c>
      <c r="R2252" s="152" t="s">
        <v>1327</v>
      </c>
      <c r="S2252" s="152">
        <v>99.283704</v>
      </c>
      <c r="T2252" s="152">
        <v>0</v>
      </c>
      <c r="U2252" s="152">
        <v>0.36721399999999998</v>
      </c>
      <c r="V2252" s="152">
        <v>0.26969199999999999</v>
      </c>
      <c r="W2252" s="152">
        <v>1000</v>
      </c>
      <c r="X2252" s="152" t="s">
        <v>23</v>
      </c>
      <c r="Y2252" s="152" t="s">
        <v>1921</v>
      </c>
      <c r="Z2252" s="152" t="s">
        <v>1327</v>
      </c>
    </row>
    <row r="2253" spans="1:26" x14ac:dyDescent="0.2">
      <c r="A2253" s="152" t="s">
        <v>3334</v>
      </c>
      <c r="B2253" s="152">
        <v>0</v>
      </c>
      <c r="C2253" s="151">
        <v>43548</v>
      </c>
      <c r="D2253" s="152">
        <v>0.41095900000000002</v>
      </c>
      <c r="E2253" s="152" t="s">
        <v>1325</v>
      </c>
      <c r="F2253" s="152" t="s">
        <v>1326</v>
      </c>
      <c r="G2253" s="152"/>
      <c r="H2253" s="152"/>
      <c r="I2253" s="151" t="s">
        <v>1327</v>
      </c>
      <c r="J2253" s="152" t="s">
        <v>1327</v>
      </c>
      <c r="K2253" s="152" t="s">
        <v>1327</v>
      </c>
      <c r="L2253" s="152" t="s">
        <v>1327</v>
      </c>
      <c r="M2253" s="152" t="s">
        <v>1327</v>
      </c>
      <c r="N2253" s="152" t="s">
        <v>1327</v>
      </c>
      <c r="O2253" s="152">
        <v>1.987131</v>
      </c>
      <c r="P2253" s="152">
        <v>29.866385999999999</v>
      </c>
      <c r="Q2253" s="152">
        <v>1.987131</v>
      </c>
      <c r="R2253" s="152" t="s">
        <v>1327</v>
      </c>
      <c r="S2253" s="152">
        <v>99.189986000000005</v>
      </c>
      <c r="T2253" s="152">
        <v>0</v>
      </c>
      <c r="U2253" s="152">
        <v>0.40762999999999999</v>
      </c>
      <c r="V2253" s="152">
        <v>0.33232499999999998</v>
      </c>
      <c r="W2253" s="152">
        <v>1000</v>
      </c>
      <c r="X2253" s="152" t="s">
        <v>23</v>
      </c>
      <c r="Y2253" s="152" t="s">
        <v>1921</v>
      </c>
      <c r="Z2253" s="152" t="s">
        <v>1327</v>
      </c>
    </row>
    <row r="2254" spans="1:26" x14ac:dyDescent="0.2">
      <c r="A2254" s="152" t="s">
        <v>3335</v>
      </c>
      <c r="B2254" s="152">
        <v>0</v>
      </c>
      <c r="C2254" s="151">
        <v>43554</v>
      </c>
      <c r="D2254" s="152">
        <v>0.42739700000000003</v>
      </c>
      <c r="E2254" s="152" t="s">
        <v>1325</v>
      </c>
      <c r="F2254" s="152" t="s">
        <v>1326</v>
      </c>
      <c r="G2254" s="152"/>
      <c r="H2254" s="152"/>
      <c r="I2254" s="151" t="s">
        <v>1327</v>
      </c>
      <c r="J2254" s="152" t="s">
        <v>1327</v>
      </c>
      <c r="K2254" s="152" t="s">
        <v>1327</v>
      </c>
      <c r="L2254" s="152" t="s">
        <v>1327</v>
      </c>
      <c r="M2254" s="152" t="s">
        <v>1327</v>
      </c>
      <c r="N2254" s="152" t="s">
        <v>1327</v>
      </c>
      <c r="O2254" s="152">
        <v>2.0015770000000002</v>
      </c>
      <c r="P2254" s="152">
        <v>30.271902000000001</v>
      </c>
      <c r="Q2254" s="152">
        <v>2.0015770000000002</v>
      </c>
      <c r="R2254" s="152" t="s">
        <v>1327</v>
      </c>
      <c r="S2254" s="152">
        <v>99.151787999999996</v>
      </c>
      <c r="T2254" s="152">
        <v>0</v>
      </c>
      <c r="U2254" s="152">
        <v>0.42377199999999998</v>
      </c>
      <c r="V2254" s="152">
        <v>0.35916500000000001</v>
      </c>
      <c r="W2254" s="152">
        <v>1000</v>
      </c>
      <c r="X2254" s="152" t="s">
        <v>23</v>
      </c>
      <c r="Y2254" s="152" t="s">
        <v>1921</v>
      </c>
      <c r="Z2254" s="152" t="s">
        <v>1327</v>
      </c>
    </row>
    <row r="2255" spans="1:26" x14ac:dyDescent="0.2">
      <c r="A2255" s="152" t="s">
        <v>3336</v>
      </c>
      <c r="B2255" s="152">
        <v>0</v>
      </c>
      <c r="C2255" s="151">
        <v>43556</v>
      </c>
      <c r="D2255" s="152">
        <v>0.43287700000000001</v>
      </c>
      <c r="E2255" s="152" t="s">
        <v>1325</v>
      </c>
      <c r="F2255" s="152" t="s">
        <v>1326</v>
      </c>
      <c r="G2255" s="152"/>
      <c r="H2255" s="152"/>
      <c r="I2255" s="151" t="s">
        <v>1327</v>
      </c>
      <c r="J2255" s="152" t="s">
        <v>1327</v>
      </c>
      <c r="K2255" s="152" t="s">
        <v>1327</v>
      </c>
      <c r="L2255" s="152" t="s">
        <v>1327</v>
      </c>
      <c r="M2255" s="152" t="s">
        <v>1327</v>
      </c>
      <c r="N2255" s="152" t="s">
        <v>1327</v>
      </c>
      <c r="O2255" s="152">
        <v>2.00637</v>
      </c>
      <c r="P2255" s="152">
        <v>30.423359000000001</v>
      </c>
      <c r="Q2255" s="152">
        <v>2.00637</v>
      </c>
      <c r="R2255" s="152" t="s">
        <v>1327</v>
      </c>
      <c r="S2255" s="152">
        <v>99.138966999999994</v>
      </c>
      <c r="T2255" s="152">
        <v>0</v>
      </c>
      <c r="U2255" s="152">
        <v>0.42914999999999998</v>
      </c>
      <c r="V2255" s="152">
        <v>0.36833900000000003</v>
      </c>
      <c r="W2255" s="152">
        <v>1000</v>
      </c>
      <c r="X2255" s="152" t="s">
        <v>23</v>
      </c>
      <c r="Y2255" s="152" t="s">
        <v>1921</v>
      </c>
      <c r="Z2255" s="152" t="s">
        <v>1327</v>
      </c>
    </row>
    <row r="2256" spans="1:26" x14ac:dyDescent="0.2">
      <c r="A2256" s="152" t="s">
        <v>3337</v>
      </c>
      <c r="B2256" s="152">
        <v>0</v>
      </c>
      <c r="C2256" s="151">
        <v>43561</v>
      </c>
      <c r="D2256" s="152">
        <v>0.446575</v>
      </c>
      <c r="E2256" s="152" t="s">
        <v>1325</v>
      </c>
      <c r="F2256" s="152" t="s">
        <v>1326</v>
      </c>
      <c r="G2256" s="152"/>
      <c r="H2256" s="152"/>
      <c r="I2256" s="151" t="s">
        <v>1327</v>
      </c>
      <c r="J2256" s="152" t="s">
        <v>1327</v>
      </c>
      <c r="K2256" s="152" t="s">
        <v>1327</v>
      </c>
      <c r="L2256" s="152" t="s">
        <v>1327</v>
      </c>
      <c r="M2256" s="152" t="s">
        <v>1327</v>
      </c>
      <c r="N2256" s="152" t="s">
        <v>1327</v>
      </c>
      <c r="O2256" s="152">
        <v>2.0162360000000001</v>
      </c>
      <c r="P2256" s="152">
        <v>30.626180000000002</v>
      </c>
      <c r="Q2256" s="152">
        <v>2.0162360000000001</v>
      </c>
      <c r="R2256" s="152" t="s">
        <v>1327</v>
      </c>
      <c r="S2256" s="152">
        <v>99.107634000000004</v>
      </c>
      <c r="T2256" s="152">
        <v>0</v>
      </c>
      <c r="U2256" s="152">
        <v>0.44258999999999998</v>
      </c>
      <c r="V2256" s="152">
        <v>0.39177200000000001</v>
      </c>
      <c r="W2256" s="152">
        <v>1000</v>
      </c>
      <c r="X2256" s="152" t="s">
        <v>23</v>
      </c>
      <c r="Y2256" s="152" t="s">
        <v>1921</v>
      </c>
      <c r="Z2256" s="152" t="s">
        <v>1327</v>
      </c>
    </row>
    <row r="2257" spans="1:26" x14ac:dyDescent="0.2">
      <c r="A2257" s="152" t="s">
        <v>3338</v>
      </c>
      <c r="B2257" s="152">
        <v>6.35</v>
      </c>
      <c r="C2257" s="151">
        <v>43515</v>
      </c>
      <c r="D2257" s="152">
        <v>0.320548</v>
      </c>
      <c r="E2257" s="152" t="s">
        <v>1325</v>
      </c>
      <c r="F2257" s="152" t="s">
        <v>1326</v>
      </c>
      <c r="G2257" s="152"/>
      <c r="H2257" s="152"/>
      <c r="I2257" s="151" t="s">
        <v>1327</v>
      </c>
      <c r="J2257" s="152" t="s">
        <v>1327</v>
      </c>
      <c r="K2257" s="152" t="s">
        <v>1327</v>
      </c>
      <c r="L2257" s="152" t="s">
        <v>1327</v>
      </c>
      <c r="M2257" s="152" t="s">
        <v>1327</v>
      </c>
      <c r="N2257" s="152" t="s">
        <v>1327</v>
      </c>
      <c r="O2257" s="152">
        <v>5.9522089999999999</v>
      </c>
      <c r="P2257" s="152">
        <v>444.71290900000002</v>
      </c>
      <c r="Q2257" s="152">
        <v>5.9522089999999999</v>
      </c>
      <c r="R2257" s="152" t="s">
        <v>1327</v>
      </c>
      <c r="S2257" s="152">
        <v>100.075289</v>
      </c>
      <c r="T2257" s="152">
        <v>2.661781</v>
      </c>
      <c r="U2257" s="152">
        <v>0.31454599999999999</v>
      </c>
      <c r="V2257" s="152">
        <v>0.197879</v>
      </c>
      <c r="W2257" s="152">
        <v>1000</v>
      </c>
      <c r="X2257" s="152" t="s">
        <v>23</v>
      </c>
      <c r="Y2257" s="152" t="s">
        <v>1328</v>
      </c>
      <c r="Z2257" s="152" t="s">
        <v>1327</v>
      </c>
    </row>
    <row r="2258" spans="1:26" x14ac:dyDescent="0.2">
      <c r="A2258" s="152" t="s">
        <v>3339</v>
      </c>
      <c r="B2258" s="152">
        <v>6.35</v>
      </c>
      <c r="C2258" s="151">
        <v>43536</v>
      </c>
      <c r="D2258" s="152">
        <v>0.37808199999999997</v>
      </c>
      <c r="E2258" s="152" t="s">
        <v>1325</v>
      </c>
      <c r="F2258" s="152" t="s">
        <v>1326</v>
      </c>
      <c r="G2258" s="152"/>
      <c r="H2258" s="152"/>
      <c r="I2258" s="151">
        <v>43266</v>
      </c>
      <c r="J2258" s="152">
        <v>6.35</v>
      </c>
      <c r="K2258" s="152" t="s">
        <v>1327</v>
      </c>
      <c r="L2258" s="152" t="s">
        <v>1327</v>
      </c>
      <c r="M2258" s="152" t="s">
        <v>1327</v>
      </c>
      <c r="N2258" s="152" t="s">
        <v>1327</v>
      </c>
      <c r="O2258" s="152">
        <v>6.0359610000000004</v>
      </c>
      <c r="P2258" s="152">
        <v>447.28840000000002</v>
      </c>
      <c r="Q2258" s="152">
        <v>6.0359610000000004</v>
      </c>
      <c r="R2258" s="152" t="s">
        <v>1327</v>
      </c>
      <c r="S2258" s="152">
        <v>100.064846</v>
      </c>
      <c r="T2258" s="152">
        <v>2.2964380000000002</v>
      </c>
      <c r="U2258" s="152">
        <v>0.369647</v>
      </c>
      <c r="V2258" s="152">
        <v>0.27327699999999999</v>
      </c>
      <c r="W2258" s="152">
        <v>1000</v>
      </c>
      <c r="X2258" s="152" t="s">
        <v>23</v>
      </c>
      <c r="Y2258" s="152" t="s">
        <v>1328</v>
      </c>
      <c r="Z2258" s="152" t="s">
        <v>1327</v>
      </c>
    </row>
    <row r="2259" spans="1:26" x14ac:dyDescent="0.2">
      <c r="A2259" s="152" t="s">
        <v>3340</v>
      </c>
      <c r="B2259" s="152">
        <v>0</v>
      </c>
      <c r="C2259" s="151">
        <v>43440</v>
      </c>
      <c r="D2259" s="152">
        <v>0.115068</v>
      </c>
      <c r="E2259" s="152" t="s">
        <v>1325</v>
      </c>
      <c r="F2259" s="152" t="s">
        <v>1326</v>
      </c>
      <c r="G2259" s="152"/>
      <c r="H2259" s="152"/>
      <c r="I2259" s="151">
        <v>43257</v>
      </c>
      <c r="J2259" s="152">
        <v>2.15</v>
      </c>
      <c r="K2259" s="152" t="s">
        <v>1327</v>
      </c>
      <c r="L2259" s="152" t="s">
        <v>1327</v>
      </c>
      <c r="M2259" s="152" t="s">
        <v>1327</v>
      </c>
      <c r="N2259" s="152" t="s">
        <v>1327</v>
      </c>
      <c r="O2259" s="152">
        <v>1.792624</v>
      </c>
      <c r="P2259" s="152">
        <v>48.430731000000002</v>
      </c>
      <c r="Q2259" s="152">
        <v>1.792624</v>
      </c>
      <c r="R2259" s="152" t="s">
        <v>1327</v>
      </c>
      <c r="S2259" s="152">
        <v>99.794150000000002</v>
      </c>
      <c r="T2259" s="152">
        <v>0</v>
      </c>
      <c r="U2259" s="152">
        <v>0.114832</v>
      </c>
      <c r="V2259" s="152">
        <v>2.6373000000000001E-2</v>
      </c>
      <c r="W2259" s="152">
        <v>1000</v>
      </c>
      <c r="X2259" s="152" t="s">
        <v>23</v>
      </c>
      <c r="Y2259" s="152" t="s">
        <v>1328</v>
      </c>
      <c r="Z2259" s="152" t="s">
        <v>1327</v>
      </c>
    </row>
    <row r="2260" spans="1:26" x14ac:dyDescent="0.2">
      <c r="A2260" s="152" t="s">
        <v>3341</v>
      </c>
      <c r="B2260" s="152">
        <v>0</v>
      </c>
      <c r="C2260" s="151">
        <v>43454</v>
      </c>
      <c r="D2260" s="152">
        <v>0.15342500000000001</v>
      </c>
      <c r="E2260" s="152" t="s">
        <v>1325</v>
      </c>
      <c r="F2260" s="152" t="s">
        <v>1326</v>
      </c>
      <c r="G2260" s="152"/>
      <c r="H2260" s="152"/>
      <c r="I2260" s="152">
        <v>43271</v>
      </c>
      <c r="J2260" s="152">
        <v>2.15</v>
      </c>
      <c r="K2260" s="152" t="s">
        <v>1327</v>
      </c>
      <c r="L2260" s="152" t="s">
        <v>1327</v>
      </c>
      <c r="M2260" s="152" t="s">
        <v>1327</v>
      </c>
      <c r="N2260" s="152" t="s">
        <v>1327</v>
      </c>
      <c r="O2260" s="152">
        <v>2.0280450000000001</v>
      </c>
      <c r="P2260" s="152">
        <v>65.445656999999997</v>
      </c>
      <c r="Q2260" s="152">
        <v>2.0280450000000001</v>
      </c>
      <c r="R2260" s="152" t="s">
        <v>1327</v>
      </c>
      <c r="S2260" s="152">
        <v>99.689813000000001</v>
      </c>
      <c r="T2260" s="152">
        <v>0</v>
      </c>
      <c r="U2260" s="152">
        <v>0.152949</v>
      </c>
      <c r="V2260" s="152">
        <v>4.6787000000000002E-2</v>
      </c>
      <c r="W2260" s="152">
        <v>1000</v>
      </c>
      <c r="X2260" s="152" t="s">
        <v>23</v>
      </c>
      <c r="Y2260" s="152" t="s">
        <v>1328</v>
      </c>
      <c r="Z2260" s="152" t="s">
        <v>1327</v>
      </c>
    </row>
    <row r="2261" spans="1:26" x14ac:dyDescent="0.2">
      <c r="A2261" s="152" t="s">
        <v>3342</v>
      </c>
      <c r="B2261" s="152">
        <v>0</v>
      </c>
      <c r="C2261" s="151">
        <v>43472</v>
      </c>
      <c r="D2261" s="152">
        <v>0.20274</v>
      </c>
      <c r="E2261" s="152" t="s">
        <v>1325</v>
      </c>
      <c r="F2261" s="152" t="s">
        <v>1326</v>
      </c>
      <c r="G2261" s="152"/>
      <c r="H2261" s="152"/>
      <c r="I2261" s="152" t="s">
        <v>1327</v>
      </c>
      <c r="J2261" s="152" t="s">
        <v>1327</v>
      </c>
      <c r="K2261" s="152" t="s">
        <v>1327</v>
      </c>
      <c r="L2261" s="152" t="s">
        <v>1327</v>
      </c>
      <c r="M2261" s="152" t="s">
        <v>1327</v>
      </c>
      <c r="N2261" s="152" t="s">
        <v>1327</v>
      </c>
      <c r="O2261" s="152">
        <v>2.1330390000000001</v>
      </c>
      <c r="P2261" s="152">
        <v>67.770471000000001</v>
      </c>
      <c r="Q2261" s="152">
        <v>2.1330390000000001</v>
      </c>
      <c r="R2261" s="152" t="s">
        <v>1327</v>
      </c>
      <c r="S2261" s="152">
        <v>99.569410000000005</v>
      </c>
      <c r="T2261" s="152">
        <v>0</v>
      </c>
      <c r="U2261" s="152">
        <v>0.20186699999999999</v>
      </c>
      <c r="V2261" s="152">
        <v>8.1500000000000003E-2</v>
      </c>
      <c r="W2261" s="152">
        <v>1000</v>
      </c>
      <c r="X2261" s="152" t="s">
        <v>23</v>
      </c>
      <c r="Y2261" s="152" t="s">
        <v>1328</v>
      </c>
      <c r="Z2261" s="152" t="s">
        <v>1327</v>
      </c>
    </row>
    <row r="2262" spans="1:26" x14ac:dyDescent="0.2">
      <c r="A2262" s="152" t="s">
        <v>3343</v>
      </c>
      <c r="B2262" s="152">
        <v>0</v>
      </c>
      <c r="C2262" s="151">
        <v>43475</v>
      </c>
      <c r="D2262" s="152">
        <v>0.21095900000000001</v>
      </c>
      <c r="E2262" s="152" t="s">
        <v>1325</v>
      </c>
      <c r="F2262" s="152" t="s">
        <v>1326</v>
      </c>
      <c r="G2262" s="152"/>
      <c r="H2262" s="152"/>
      <c r="I2262" s="152">
        <v>43292</v>
      </c>
      <c r="J2262" s="152">
        <v>2.2000000000000002</v>
      </c>
      <c r="K2262" s="152" t="s">
        <v>1327</v>
      </c>
      <c r="L2262" s="152" t="s">
        <v>1327</v>
      </c>
      <c r="M2262" s="152" t="s">
        <v>1327</v>
      </c>
      <c r="N2262" s="152" t="s">
        <v>1327</v>
      </c>
      <c r="O2262" s="152">
        <v>2.1523889999999999</v>
      </c>
      <c r="P2262" s="152">
        <v>68.430195999999995</v>
      </c>
      <c r="Q2262" s="152">
        <v>2.1523889999999999</v>
      </c>
      <c r="R2262" s="152" t="s">
        <v>1327</v>
      </c>
      <c r="S2262" s="152">
        <v>99.547987000000006</v>
      </c>
      <c r="T2262" s="152">
        <v>0</v>
      </c>
      <c r="U2262" s="152">
        <v>0.210005</v>
      </c>
      <c r="V2262" s="152">
        <v>8.8204000000000005E-2</v>
      </c>
      <c r="W2262" s="152">
        <v>1000</v>
      </c>
      <c r="X2262" s="152" t="s">
        <v>23</v>
      </c>
      <c r="Y2262" s="152" t="s">
        <v>1328</v>
      </c>
      <c r="Z2262" s="152" t="s">
        <v>1327</v>
      </c>
    </row>
    <row r="2263" spans="1:26" x14ac:dyDescent="0.2">
      <c r="A2263" s="152" t="s">
        <v>3344</v>
      </c>
      <c r="B2263" s="152">
        <v>0</v>
      </c>
      <c r="C2263" s="151">
        <v>43475</v>
      </c>
      <c r="D2263" s="152">
        <v>0.21095900000000001</v>
      </c>
      <c r="E2263" s="152" t="s">
        <v>1325</v>
      </c>
      <c r="F2263" s="152" t="s">
        <v>1326</v>
      </c>
      <c r="G2263" s="152"/>
      <c r="H2263" s="152"/>
      <c r="I2263" s="151">
        <v>43292</v>
      </c>
      <c r="J2263" s="152">
        <v>2.15</v>
      </c>
      <c r="K2263" s="152" t="s">
        <v>1327</v>
      </c>
      <c r="L2263" s="152" t="s">
        <v>1327</v>
      </c>
      <c r="M2263" s="152" t="s">
        <v>1327</v>
      </c>
      <c r="N2263" s="152" t="s">
        <v>1327</v>
      </c>
      <c r="O2263" s="152">
        <v>2.1523889999999999</v>
      </c>
      <c r="P2263" s="152">
        <v>68.430195999999995</v>
      </c>
      <c r="Q2263" s="152">
        <v>2.1523889999999999</v>
      </c>
      <c r="R2263" s="152" t="s">
        <v>1327</v>
      </c>
      <c r="S2263" s="152">
        <v>99.547987000000006</v>
      </c>
      <c r="T2263" s="152">
        <v>0</v>
      </c>
      <c r="U2263" s="152">
        <v>0.210005</v>
      </c>
      <c r="V2263" s="152">
        <v>8.8204000000000005E-2</v>
      </c>
      <c r="W2263" s="152">
        <v>1000</v>
      </c>
      <c r="X2263" s="152" t="s">
        <v>23</v>
      </c>
      <c r="Y2263" s="152" t="s">
        <v>1328</v>
      </c>
      <c r="Z2263" s="152" t="s">
        <v>1327</v>
      </c>
    </row>
    <row r="2264" spans="1:26" x14ac:dyDescent="0.2">
      <c r="A2264" s="152" t="s">
        <v>3345</v>
      </c>
      <c r="B2264" s="152">
        <v>0</v>
      </c>
      <c r="C2264" s="151">
        <v>43482</v>
      </c>
      <c r="D2264" s="152">
        <v>0.23013700000000001</v>
      </c>
      <c r="E2264" s="152" t="s">
        <v>1325</v>
      </c>
      <c r="F2264" s="152" t="s">
        <v>1326</v>
      </c>
      <c r="G2264" s="152"/>
      <c r="H2264" s="152"/>
      <c r="I2264" s="151" t="s">
        <v>1327</v>
      </c>
      <c r="J2264" s="152" t="s">
        <v>1327</v>
      </c>
      <c r="K2264" s="152" t="s">
        <v>1327</v>
      </c>
      <c r="L2264" s="152" t="s">
        <v>1327</v>
      </c>
      <c r="M2264" s="152" t="s">
        <v>1327</v>
      </c>
      <c r="N2264" s="152" t="s">
        <v>1327</v>
      </c>
      <c r="O2264" s="152">
        <v>2.1551619999999998</v>
      </c>
      <c r="P2264" s="152">
        <v>65.775014999999996</v>
      </c>
      <c r="Q2264" s="152">
        <v>2.1551619999999998</v>
      </c>
      <c r="R2264" s="152" t="s">
        <v>1327</v>
      </c>
      <c r="S2264" s="152">
        <v>99.506465000000006</v>
      </c>
      <c r="T2264" s="152">
        <v>0</v>
      </c>
      <c r="U2264" s="152">
        <v>0.22900100000000001</v>
      </c>
      <c r="V2264" s="152">
        <v>0.104883</v>
      </c>
      <c r="W2264" s="152">
        <v>1000</v>
      </c>
      <c r="X2264" s="152" t="s">
        <v>23</v>
      </c>
      <c r="Y2264" s="152" t="s">
        <v>1328</v>
      </c>
      <c r="Z2264" s="152" t="s">
        <v>1327</v>
      </c>
    </row>
    <row r="2265" spans="1:26" x14ac:dyDescent="0.2">
      <c r="A2265" s="152" t="s">
        <v>3346</v>
      </c>
      <c r="B2265" s="152">
        <v>0</v>
      </c>
      <c r="C2265" s="151">
        <v>43482</v>
      </c>
      <c r="D2265" s="152">
        <v>0.23013700000000001</v>
      </c>
      <c r="E2265" s="152" t="s">
        <v>1325</v>
      </c>
      <c r="F2265" s="152" t="s">
        <v>1326</v>
      </c>
      <c r="G2265" s="152"/>
      <c r="H2265" s="152"/>
      <c r="I2265" s="152" t="s">
        <v>1327</v>
      </c>
      <c r="J2265" s="152" t="s">
        <v>1327</v>
      </c>
      <c r="K2265" s="152" t="s">
        <v>1327</v>
      </c>
      <c r="L2265" s="152" t="s">
        <v>1327</v>
      </c>
      <c r="M2265" s="152" t="s">
        <v>1327</v>
      </c>
      <c r="N2265" s="152" t="s">
        <v>1327</v>
      </c>
      <c r="O2265" s="152">
        <v>2.1551619999999998</v>
      </c>
      <c r="P2265" s="152">
        <v>65.775014999999996</v>
      </c>
      <c r="Q2265" s="152">
        <v>2.1551619999999998</v>
      </c>
      <c r="R2265" s="152" t="s">
        <v>1327</v>
      </c>
      <c r="S2265" s="152">
        <v>99.506465000000006</v>
      </c>
      <c r="T2265" s="152">
        <v>0</v>
      </c>
      <c r="U2265" s="152">
        <v>0.22900100000000001</v>
      </c>
      <c r="V2265" s="152">
        <v>0.104883</v>
      </c>
      <c r="W2265" s="152">
        <v>1000</v>
      </c>
      <c r="X2265" s="152" t="s">
        <v>23</v>
      </c>
      <c r="Y2265" s="152" t="s">
        <v>1328</v>
      </c>
      <c r="Z2265" s="152" t="s">
        <v>1327</v>
      </c>
    </row>
    <row r="2266" spans="1:26" x14ac:dyDescent="0.2">
      <c r="A2266" s="152" t="s">
        <v>3347</v>
      </c>
      <c r="B2266" s="152">
        <v>0</v>
      </c>
      <c r="C2266" s="151">
        <v>43518</v>
      </c>
      <c r="D2266" s="152">
        <v>0.32876699999999998</v>
      </c>
      <c r="E2266" s="152" t="s">
        <v>1325</v>
      </c>
      <c r="F2266" s="152" t="s">
        <v>1326</v>
      </c>
      <c r="G2266" s="152"/>
      <c r="H2266" s="152"/>
      <c r="I2266" s="151" t="s">
        <v>1327</v>
      </c>
      <c r="J2266" s="152" t="s">
        <v>1327</v>
      </c>
      <c r="K2266" s="152" t="s">
        <v>1327</v>
      </c>
      <c r="L2266" s="152" t="s">
        <v>1327</v>
      </c>
      <c r="M2266" s="152" t="s">
        <v>1327</v>
      </c>
      <c r="N2266" s="152" t="s">
        <v>1327</v>
      </c>
      <c r="O2266" s="152">
        <v>2.3206479999999998</v>
      </c>
      <c r="P2266" s="152">
        <v>70.438014999999993</v>
      </c>
      <c r="Q2266" s="152">
        <v>2.3206479999999998</v>
      </c>
      <c r="R2266" s="152" t="s">
        <v>1327</v>
      </c>
      <c r="S2266" s="152">
        <v>99.242823999999999</v>
      </c>
      <c r="T2266" s="152">
        <v>0</v>
      </c>
      <c r="U2266" s="152">
        <v>0.32627800000000001</v>
      </c>
      <c r="V2266" s="152">
        <v>0.21291399999999999</v>
      </c>
      <c r="W2266" s="152">
        <v>1000</v>
      </c>
      <c r="X2266" s="152" t="s">
        <v>23</v>
      </c>
      <c r="Y2266" s="152" t="s">
        <v>1328</v>
      </c>
      <c r="Z2266" s="152" t="s">
        <v>1327</v>
      </c>
    </row>
    <row r="2267" spans="1:26" x14ac:dyDescent="0.2">
      <c r="A2267" s="152" t="s">
        <v>3348</v>
      </c>
      <c r="B2267" s="152">
        <v>0</v>
      </c>
      <c r="C2267" s="151">
        <v>43557</v>
      </c>
      <c r="D2267" s="152">
        <v>0.435616</v>
      </c>
      <c r="E2267" s="152" t="s">
        <v>1325</v>
      </c>
      <c r="F2267" s="152" t="s">
        <v>1326</v>
      </c>
      <c r="G2267" s="152"/>
      <c r="H2267" s="152"/>
      <c r="I2267" s="151" t="s">
        <v>1327</v>
      </c>
      <c r="J2267" s="152" t="s">
        <v>1327</v>
      </c>
      <c r="K2267" s="152" t="s">
        <v>1327</v>
      </c>
      <c r="L2267" s="152" t="s">
        <v>1327</v>
      </c>
      <c r="M2267" s="152" t="s">
        <v>1327</v>
      </c>
      <c r="N2267" s="152" t="s">
        <v>1327</v>
      </c>
      <c r="O2267" s="152">
        <v>2.4937680000000002</v>
      </c>
      <c r="P2267" s="152">
        <v>79.619664999999998</v>
      </c>
      <c r="Q2267" s="152">
        <v>2.4937680000000002</v>
      </c>
      <c r="R2267" s="152" t="s">
        <v>1327</v>
      </c>
      <c r="S2267" s="152">
        <v>98.925348</v>
      </c>
      <c r="T2267" s="152">
        <v>0</v>
      </c>
      <c r="U2267" s="152">
        <v>0.43093500000000001</v>
      </c>
      <c r="V2267" s="152">
        <v>0.37141000000000002</v>
      </c>
      <c r="W2267" s="152">
        <v>1000</v>
      </c>
      <c r="X2267" s="152" t="s">
        <v>23</v>
      </c>
      <c r="Y2267" s="152" t="s">
        <v>1328</v>
      </c>
      <c r="Z2267" s="152" t="s">
        <v>1327</v>
      </c>
    </row>
    <row r="2268" spans="1:26" x14ac:dyDescent="0.2">
      <c r="A2268" s="152" t="s">
        <v>3349</v>
      </c>
      <c r="B2268" s="152">
        <v>0</v>
      </c>
      <c r="C2268" s="151">
        <v>43573</v>
      </c>
      <c r="D2268" s="152">
        <v>0.47945199999999999</v>
      </c>
      <c r="E2268" s="152" t="s">
        <v>1325</v>
      </c>
      <c r="F2268" s="152" t="s">
        <v>1326</v>
      </c>
      <c r="G2268" s="152"/>
      <c r="H2268" s="152"/>
      <c r="I2268" s="152">
        <v>43391</v>
      </c>
      <c r="J2268" s="152">
        <v>2.29</v>
      </c>
      <c r="K2268" s="152" t="s">
        <v>1327</v>
      </c>
      <c r="L2268" s="152" t="s">
        <v>1327</v>
      </c>
      <c r="M2268" s="152" t="s">
        <v>1327</v>
      </c>
      <c r="N2268" s="152" t="s">
        <v>1327</v>
      </c>
      <c r="O2268" s="152">
        <v>2.2966700000000002</v>
      </c>
      <c r="P2268" s="152">
        <v>57.283740999999999</v>
      </c>
      <c r="Q2268" s="152">
        <v>2.2966700000000002</v>
      </c>
      <c r="R2268" s="152" t="s">
        <v>1327</v>
      </c>
      <c r="S2268" s="152">
        <v>98.910849999999996</v>
      </c>
      <c r="T2268" s="152">
        <v>0</v>
      </c>
      <c r="U2268" s="152">
        <v>0.47422999999999998</v>
      </c>
      <c r="V2268" s="152">
        <v>0.44978800000000002</v>
      </c>
      <c r="W2268" s="152">
        <v>1000</v>
      </c>
      <c r="X2268" s="152" t="s">
        <v>23</v>
      </c>
      <c r="Y2268" s="152" t="s">
        <v>1328</v>
      </c>
      <c r="Z2268" s="152" t="s">
        <v>1327</v>
      </c>
    </row>
    <row r="2269" spans="1:26" x14ac:dyDescent="0.2">
      <c r="A2269" s="152" t="s">
        <v>3350</v>
      </c>
      <c r="B2269" s="152">
        <v>0</v>
      </c>
      <c r="C2269" s="151">
        <v>43573</v>
      </c>
      <c r="D2269" s="152">
        <v>0.47945199999999999</v>
      </c>
      <c r="E2269" s="152" t="s">
        <v>1325</v>
      </c>
      <c r="F2269" s="152" t="s">
        <v>1326</v>
      </c>
      <c r="G2269" s="152"/>
      <c r="H2269" s="152"/>
      <c r="I2269" s="152">
        <v>43391</v>
      </c>
      <c r="J2269" s="152">
        <v>2.2999999999999998</v>
      </c>
      <c r="K2269" s="152" t="s">
        <v>1327</v>
      </c>
      <c r="L2269" s="152" t="s">
        <v>1327</v>
      </c>
      <c r="M2269" s="152" t="s">
        <v>1327</v>
      </c>
      <c r="N2269" s="152" t="s">
        <v>1327</v>
      </c>
      <c r="O2269" s="152">
        <v>2.3066659999999999</v>
      </c>
      <c r="P2269" s="152">
        <v>58.295326000000003</v>
      </c>
      <c r="Q2269" s="152">
        <v>2.3066659999999999</v>
      </c>
      <c r="R2269" s="152" t="s">
        <v>1327</v>
      </c>
      <c r="S2269" s="152">
        <v>98.906160999999997</v>
      </c>
      <c r="T2269" s="152">
        <v>0</v>
      </c>
      <c r="U2269" s="152">
        <v>0.47420800000000002</v>
      </c>
      <c r="V2269" s="152">
        <v>0.44974599999999998</v>
      </c>
      <c r="W2269" s="152">
        <v>1000</v>
      </c>
      <c r="X2269" s="152" t="s">
        <v>23</v>
      </c>
      <c r="Y2269" s="152" t="s">
        <v>1328</v>
      </c>
      <c r="Z2269" s="152" t="s">
        <v>1327</v>
      </c>
    </row>
    <row r="2270" spans="1:26" x14ac:dyDescent="0.2">
      <c r="A2270" s="152" t="s">
        <v>3351</v>
      </c>
      <c r="B2270" s="152">
        <v>0</v>
      </c>
      <c r="C2270" s="151">
        <v>43608</v>
      </c>
      <c r="D2270" s="152">
        <v>0.57534200000000002</v>
      </c>
      <c r="E2270" s="152" t="s">
        <v>1325</v>
      </c>
      <c r="F2270" s="152" t="s">
        <v>1326</v>
      </c>
      <c r="G2270" s="152"/>
      <c r="H2270" s="152"/>
      <c r="I2270" s="152" t="s">
        <v>1327</v>
      </c>
      <c r="J2270" s="152" t="s">
        <v>1327</v>
      </c>
      <c r="K2270" s="152" t="s">
        <v>1327</v>
      </c>
      <c r="L2270" s="152" t="s">
        <v>1327</v>
      </c>
      <c r="M2270" s="152" t="s">
        <v>1327</v>
      </c>
      <c r="N2270" s="152" t="s">
        <v>1327</v>
      </c>
      <c r="O2270" s="152">
        <v>2.7837770000000002</v>
      </c>
      <c r="P2270" s="152">
        <v>102.82458099999999</v>
      </c>
      <c r="Q2270" s="152">
        <v>2.7837770000000002</v>
      </c>
      <c r="R2270" s="152" t="s">
        <v>1327</v>
      </c>
      <c r="S2270" s="152">
        <v>98.423623000000006</v>
      </c>
      <c r="T2270" s="152">
        <v>0</v>
      </c>
      <c r="U2270" s="152">
        <v>0.56627300000000003</v>
      </c>
      <c r="V2270" s="152">
        <v>0.64132999999999996</v>
      </c>
      <c r="W2270" s="152">
        <v>1000</v>
      </c>
      <c r="X2270" s="152" t="s">
        <v>23</v>
      </c>
      <c r="Y2270" s="152" t="s">
        <v>1328</v>
      </c>
      <c r="Z2270" s="152" t="s">
        <v>1327</v>
      </c>
    </row>
    <row r="2271" spans="1:26" x14ac:dyDescent="0.2">
      <c r="A2271" s="152" t="s">
        <v>3352</v>
      </c>
      <c r="B2271" s="152">
        <v>3.05</v>
      </c>
      <c r="C2271" s="151">
        <v>43621</v>
      </c>
      <c r="D2271" s="152">
        <v>0.61095900000000003</v>
      </c>
      <c r="E2271" s="152" t="s">
        <v>1325</v>
      </c>
      <c r="F2271" s="152" t="s">
        <v>1326</v>
      </c>
      <c r="G2271" s="152"/>
      <c r="H2271" s="152"/>
      <c r="I2271" s="152" t="s">
        <v>1327</v>
      </c>
      <c r="J2271" s="152" t="s">
        <v>1327</v>
      </c>
      <c r="K2271" s="152" t="s">
        <v>1327</v>
      </c>
      <c r="L2271" s="152" t="s">
        <v>1327</v>
      </c>
      <c r="M2271" s="152" t="s">
        <v>1327</v>
      </c>
      <c r="N2271" s="152" t="s">
        <v>1327</v>
      </c>
      <c r="O2271" s="152">
        <v>2.8069600000000001</v>
      </c>
      <c r="P2271" s="152">
        <v>104.16018699999999</v>
      </c>
      <c r="Q2271" s="152">
        <v>2.8069600000000001</v>
      </c>
      <c r="R2271" s="152" t="s">
        <v>1327</v>
      </c>
      <c r="S2271" s="152">
        <v>100.139926</v>
      </c>
      <c r="T2271" s="152">
        <v>0.359315</v>
      </c>
      <c r="U2271" s="152">
        <v>0.60065800000000003</v>
      </c>
      <c r="V2271" s="152">
        <v>0.72158</v>
      </c>
      <c r="W2271" s="152">
        <v>1000</v>
      </c>
      <c r="X2271" s="152" t="s">
        <v>23</v>
      </c>
      <c r="Y2271" s="152" t="s">
        <v>1328</v>
      </c>
      <c r="Z2271" s="152" t="s">
        <v>1327</v>
      </c>
    </row>
    <row r="2272" spans="1:26" x14ac:dyDescent="0.2">
      <c r="A2272" s="152" t="s">
        <v>837</v>
      </c>
      <c r="B2272" s="152">
        <v>0</v>
      </c>
      <c r="C2272" s="151">
        <v>43438</v>
      </c>
      <c r="D2272" s="152">
        <v>0.10958900000000001</v>
      </c>
      <c r="E2272" s="152" t="s">
        <v>1325</v>
      </c>
      <c r="F2272" s="152" t="s">
        <v>1326</v>
      </c>
      <c r="G2272" s="152"/>
      <c r="H2272" s="152"/>
      <c r="I2272" s="152">
        <v>43382</v>
      </c>
      <c r="J2272" s="152">
        <v>1.64</v>
      </c>
      <c r="K2272" s="152" t="s">
        <v>1327</v>
      </c>
      <c r="L2272" s="152" t="s">
        <v>1327</v>
      </c>
      <c r="M2272" s="152" t="s">
        <v>1327</v>
      </c>
      <c r="N2272" s="152" t="s">
        <v>1327</v>
      </c>
      <c r="O2272" s="152">
        <v>1.6362840000000001</v>
      </c>
      <c r="P2272" s="152">
        <v>33.562707000000003</v>
      </c>
      <c r="Q2272" s="152">
        <v>1.6362840000000001</v>
      </c>
      <c r="R2272" s="152" t="s">
        <v>1327</v>
      </c>
      <c r="S2272" s="152">
        <v>99.821001999999993</v>
      </c>
      <c r="T2272" s="152">
        <v>0</v>
      </c>
      <c r="U2272" s="152">
        <v>0.109393</v>
      </c>
      <c r="V2272" s="152">
        <v>2.3934E-2</v>
      </c>
      <c r="W2272" s="152">
        <v>1000</v>
      </c>
      <c r="X2272" s="152" t="s">
        <v>23</v>
      </c>
      <c r="Y2272" s="152" t="s">
        <v>1328</v>
      </c>
      <c r="Z2272" s="152" t="s">
        <v>1327</v>
      </c>
    </row>
    <row r="2273" spans="1:26" x14ac:dyDescent="0.2">
      <c r="A2273" s="152" t="s">
        <v>3353</v>
      </c>
      <c r="B2273" s="152">
        <v>0</v>
      </c>
      <c r="C2273" s="151">
        <v>43445</v>
      </c>
      <c r="D2273" s="152">
        <v>0.12876699999999999</v>
      </c>
      <c r="E2273" s="152" t="s">
        <v>1325</v>
      </c>
      <c r="F2273" s="152" t="s">
        <v>1326</v>
      </c>
      <c r="G2273" s="152"/>
      <c r="H2273" s="152"/>
      <c r="I2273" s="152">
        <v>43353</v>
      </c>
      <c r="J2273" s="152">
        <v>1.6</v>
      </c>
      <c r="K2273" s="152" t="s">
        <v>1327</v>
      </c>
      <c r="L2273" s="152" t="s">
        <v>1327</v>
      </c>
      <c r="M2273" s="152" t="s">
        <v>1327</v>
      </c>
      <c r="N2273" s="152" t="s">
        <v>1327</v>
      </c>
      <c r="O2273" s="152">
        <v>1.673157</v>
      </c>
      <c r="P2273" s="152">
        <v>33.804307000000001</v>
      </c>
      <c r="Q2273" s="152">
        <v>1.673157</v>
      </c>
      <c r="R2273" s="152" t="s">
        <v>1327</v>
      </c>
      <c r="S2273" s="152">
        <v>99.785015999999999</v>
      </c>
      <c r="T2273" s="152">
        <v>0</v>
      </c>
      <c r="U2273" s="152">
        <v>0.12848999999999999</v>
      </c>
      <c r="V2273" s="152">
        <v>3.3020000000000001E-2</v>
      </c>
      <c r="W2273" s="152">
        <v>1000</v>
      </c>
      <c r="X2273" s="152" t="s">
        <v>23</v>
      </c>
      <c r="Y2273" s="152" t="s">
        <v>1328</v>
      </c>
      <c r="Z2273" s="152" t="s">
        <v>1327</v>
      </c>
    </row>
    <row r="2274" spans="1:26" x14ac:dyDescent="0.2">
      <c r="A2274" s="152" t="s">
        <v>3354</v>
      </c>
      <c r="B2274" s="152">
        <v>2.7</v>
      </c>
      <c r="C2274" s="151">
        <v>43404</v>
      </c>
      <c r="D2274" s="152">
        <v>1.6438000000000001E-2</v>
      </c>
      <c r="E2274" s="152" t="s">
        <v>1325</v>
      </c>
      <c r="F2274" s="152" t="s">
        <v>1326</v>
      </c>
      <c r="G2274" s="152"/>
      <c r="H2274" s="152"/>
      <c r="I2274" s="151" t="s">
        <v>1327</v>
      </c>
      <c r="J2274" s="152" t="s">
        <v>1327</v>
      </c>
      <c r="K2274" s="152" t="s">
        <v>1327</v>
      </c>
      <c r="L2274" s="152" t="s">
        <v>1327</v>
      </c>
      <c r="M2274" s="152" t="s">
        <v>1327</v>
      </c>
      <c r="N2274" s="152" t="s">
        <v>1327</v>
      </c>
      <c r="O2274" s="152">
        <v>2.4558879999999998</v>
      </c>
      <c r="P2274" s="152">
        <v>134.323172</v>
      </c>
      <c r="Q2274" s="152">
        <v>2.4558879999999998</v>
      </c>
      <c r="R2274" s="152" t="s">
        <v>1327</v>
      </c>
      <c r="S2274" s="152">
        <v>100.003755</v>
      </c>
      <c r="T2274" s="152">
        <v>0.63616399999999995</v>
      </c>
      <c r="U2274" s="152">
        <v>1.6431999999999999E-2</v>
      </c>
      <c r="V2274" s="152">
        <v>5.4000000000000001E-4</v>
      </c>
      <c r="W2274" s="152">
        <v>1000</v>
      </c>
      <c r="X2274" s="152" t="s">
        <v>23</v>
      </c>
      <c r="Y2274" s="152" t="s">
        <v>1328</v>
      </c>
      <c r="Z2274" s="152" t="s">
        <v>1327</v>
      </c>
    </row>
    <row r="2275" spans="1:26" x14ac:dyDescent="0.2">
      <c r="A2275" s="152" t="s">
        <v>3355</v>
      </c>
      <c r="B2275" s="152">
        <v>6.35</v>
      </c>
      <c r="C2275" s="151">
        <v>43458</v>
      </c>
      <c r="D2275" s="152">
        <v>0.164384</v>
      </c>
      <c r="E2275" s="152" t="s">
        <v>1325</v>
      </c>
      <c r="F2275" s="152" t="s">
        <v>1326</v>
      </c>
      <c r="G2275" s="152"/>
      <c r="H2275" s="152"/>
      <c r="I2275" s="151" t="s">
        <v>1327</v>
      </c>
      <c r="J2275" s="152" t="s">
        <v>1327</v>
      </c>
      <c r="K2275" s="152" t="s">
        <v>1327</v>
      </c>
      <c r="L2275" s="152" t="s">
        <v>1327</v>
      </c>
      <c r="M2275" s="152" t="s">
        <v>1327</v>
      </c>
      <c r="N2275" s="152" t="s">
        <v>1327</v>
      </c>
      <c r="O2275" s="152">
        <v>5.9334740000000004</v>
      </c>
      <c r="P2275" s="152">
        <v>465.674892</v>
      </c>
      <c r="Q2275" s="152">
        <v>5.9334740000000004</v>
      </c>
      <c r="R2275" s="152" t="s">
        <v>1327</v>
      </c>
      <c r="S2275" s="152">
        <v>100.06935900000001</v>
      </c>
      <c r="T2275" s="152">
        <v>0.53931499999999999</v>
      </c>
      <c r="U2275" s="152">
        <v>0.16198100000000001</v>
      </c>
      <c r="V2275" s="152">
        <v>6.6141000000000005E-2</v>
      </c>
      <c r="W2275" s="152">
        <v>1000</v>
      </c>
      <c r="X2275" s="152" t="s">
        <v>23</v>
      </c>
      <c r="Y2275" s="152" t="s">
        <v>1328</v>
      </c>
      <c r="Z2275" s="152" t="s">
        <v>1327</v>
      </c>
    </row>
    <row r="2276" spans="1:26" x14ac:dyDescent="0.2">
      <c r="A2276" s="152" t="s">
        <v>3356</v>
      </c>
      <c r="B2276" s="152">
        <v>6.35</v>
      </c>
      <c r="C2276" s="151">
        <v>43515</v>
      </c>
      <c r="D2276" s="152">
        <v>0.320548</v>
      </c>
      <c r="E2276" s="152" t="s">
        <v>1325</v>
      </c>
      <c r="F2276" s="152" t="s">
        <v>1326</v>
      </c>
      <c r="G2276" s="152"/>
      <c r="H2276" s="152"/>
      <c r="I2276" s="151" t="s">
        <v>1327</v>
      </c>
      <c r="J2276" s="152" t="s">
        <v>1327</v>
      </c>
      <c r="K2276" s="152" t="s">
        <v>1327</v>
      </c>
      <c r="L2276" s="152" t="s">
        <v>1327</v>
      </c>
      <c r="M2276" s="152" t="s">
        <v>1327</v>
      </c>
      <c r="N2276" s="152" t="s">
        <v>1327</v>
      </c>
      <c r="O2276" s="152">
        <v>6.1942870000000001</v>
      </c>
      <c r="P2276" s="152">
        <v>467.29307699999998</v>
      </c>
      <c r="Q2276" s="152">
        <v>6.1942870000000001</v>
      </c>
      <c r="R2276" s="152" t="s">
        <v>1327</v>
      </c>
      <c r="S2276" s="152">
        <v>100.033258</v>
      </c>
      <c r="T2276" s="152">
        <v>1.165616</v>
      </c>
      <c r="U2276" s="152">
        <v>0.30979099999999998</v>
      </c>
      <c r="V2276" s="152">
        <v>0.17316899999999999</v>
      </c>
      <c r="W2276" s="152">
        <v>1000</v>
      </c>
      <c r="X2276" s="152" t="s">
        <v>23</v>
      </c>
      <c r="Y2276" s="152" t="s">
        <v>1328</v>
      </c>
      <c r="Z2276" s="152" t="s">
        <v>1327</v>
      </c>
    </row>
    <row r="2277" spans="1:26" x14ac:dyDescent="0.2">
      <c r="A2277" s="152" t="s">
        <v>3357</v>
      </c>
      <c r="B2277" s="152">
        <v>6.35</v>
      </c>
      <c r="C2277" s="151">
        <v>43569</v>
      </c>
      <c r="D2277" s="152">
        <v>0.46849299999999999</v>
      </c>
      <c r="E2277" s="152" t="s">
        <v>1325</v>
      </c>
      <c r="F2277" s="152" t="s">
        <v>1326</v>
      </c>
      <c r="G2277" s="152"/>
      <c r="H2277" s="152"/>
      <c r="I2277" s="152" t="s">
        <v>1327</v>
      </c>
      <c r="J2277" s="152" t="s">
        <v>1327</v>
      </c>
      <c r="K2277" s="152" t="s">
        <v>1327</v>
      </c>
      <c r="L2277" s="152" t="s">
        <v>1327</v>
      </c>
      <c r="M2277" s="152" t="s">
        <v>1327</v>
      </c>
      <c r="N2277" s="152" t="s">
        <v>1327</v>
      </c>
      <c r="O2277" s="152">
        <v>6.0935180000000004</v>
      </c>
      <c r="P2277" s="152">
        <v>455.00886100000002</v>
      </c>
      <c r="Q2277" s="152">
        <v>6.0935180000000004</v>
      </c>
      <c r="R2277" s="152" t="s">
        <v>1327</v>
      </c>
      <c r="S2277" s="152">
        <v>100.104185</v>
      </c>
      <c r="T2277" s="152">
        <v>0.19137000000000001</v>
      </c>
      <c r="U2277" s="152">
        <v>0.46099099999999998</v>
      </c>
      <c r="V2277" s="152">
        <v>0.326963</v>
      </c>
      <c r="W2277" s="152">
        <v>1000</v>
      </c>
      <c r="X2277" s="152" t="s">
        <v>23</v>
      </c>
      <c r="Y2277" s="152" t="s">
        <v>1328</v>
      </c>
      <c r="Z2277" s="152" t="s">
        <v>1327</v>
      </c>
    </row>
    <row r="2278" spans="1:26" x14ac:dyDescent="0.2">
      <c r="A2278" s="152" t="s">
        <v>3358</v>
      </c>
      <c r="B2278" s="152">
        <v>0</v>
      </c>
      <c r="C2278" s="151">
        <v>43436</v>
      </c>
      <c r="D2278" s="152">
        <v>0.10410999999999999</v>
      </c>
      <c r="E2278" s="152" t="s">
        <v>1325</v>
      </c>
      <c r="F2278" s="152" t="s">
        <v>1326</v>
      </c>
      <c r="G2278" s="152"/>
      <c r="H2278" s="152"/>
      <c r="I2278" s="151" t="s">
        <v>1327</v>
      </c>
      <c r="J2278" s="152" t="s">
        <v>1327</v>
      </c>
      <c r="K2278" s="152" t="s">
        <v>1327</v>
      </c>
      <c r="L2278" s="152" t="s">
        <v>1327</v>
      </c>
      <c r="M2278" s="152" t="s">
        <v>1327</v>
      </c>
      <c r="N2278" s="152" t="s">
        <v>1327</v>
      </c>
      <c r="O2278" s="152">
        <v>1.600919</v>
      </c>
      <c r="P2278" s="152">
        <v>30.982424000000002</v>
      </c>
      <c r="Q2278" s="152">
        <v>1.600919</v>
      </c>
      <c r="R2278" s="152" t="s">
        <v>1327</v>
      </c>
      <c r="S2278" s="152">
        <v>99.833606000000003</v>
      </c>
      <c r="T2278" s="152">
        <v>0</v>
      </c>
      <c r="U2278" s="152">
        <v>0.103936</v>
      </c>
      <c r="V2278" s="152">
        <v>2.1606E-2</v>
      </c>
      <c r="W2278" s="152">
        <v>1000</v>
      </c>
      <c r="X2278" s="152" t="s">
        <v>23</v>
      </c>
      <c r="Y2278" s="152" t="s">
        <v>1921</v>
      </c>
      <c r="Z2278" s="152" t="s">
        <v>1327</v>
      </c>
    </row>
    <row r="2279" spans="1:26" x14ac:dyDescent="0.2">
      <c r="A2279" s="152" t="s">
        <v>3359</v>
      </c>
      <c r="B2279" s="152">
        <v>0</v>
      </c>
      <c r="C2279" s="151">
        <v>43414</v>
      </c>
      <c r="D2279" s="152">
        <v>4.3836E-2</v>
      </c>
      <c r="E2279" s="152" t="s">
        <v>1325</v>
      </c>
      <c r="F2279" s="152" t="s">
        <v>1326</v>
      </c>
      <c r="G2279" s="152"/>
      <c r="H2279" s="152"/>
      <c r="I2279" s="152" t="s">
        <v>1327</v>
      </c>
      <c r="J2279" s="152" t="s">
        <v>1327</v>
      </c>
      <c r="K2279" s="152" t="s">
        <v>1327</v>
      </c>
      <c r="L2279" s="152" t="s">
        <v>1327</v>
      </c>
      <c r="M2279" s="152" t="s">
        <v>1327</v>
      </c>
      <c r="N2279" s="152" t="s">
        <v>1327</v>
      </c>
      <c r="O2279" s="152">
        <v>1.506826</v>
      </c>
      <c r="P2279" s="152">
        <v>32.573647999999999</v>
      </c>
      <c r="Q2279" s="152">
        <v>1.506826</v>
      </c>
      <c r="R2279" s="152" t="s">
        <v>1327</v>
      </c>
      <c r="S2279" s="152">
        <v>99.933991000000006</v>
      </c>
      <c r="T2279" s="152">
        <v>0</v>
      </c>
      <c r="U2279" s="152">
        <v>4.3806999999999999E-2</v>
      </c>
      <c r="V2279" s="152">
        <v>3.8379999999999998E-3</v>
      </c>
      <c r="W2279" s="152">
        <v>1000</v>
      </c>
      <c r="X2279" s="152" t="s">
        <v>23</v>
      </c>
      <c r="Y2279" s="152" t="s">
        <v>1921</v>
      </c>
      <c r="Z2279" s="152" t="s">
        <v>1327</v>
      </c>
    </row>
    <row r="2280" spans="1:26" x14ac:dyDescent="0.2">
      <c r="A2280" s="152" t="s">
        <v>3360</v>
      </c>
      <c r="B2280" s="152">
        <v>0</v>
      </c>
      <c r="C2280" s="151">
        <v>43422</v>
      </c>
      <c r="D2280" s="152">
        <v>6.5753000000000006E-2</v>
      </c>
      <c r="E2280" s="152" t="s">
        <v>1325</v>
      </c>
      <c r="F2280" s="152" t="s">
        <v>1326</v>
      </c>
      <c r="G2280" s="152"/>
      <c r="H2280" s="152"/>
      <c r="I2280" s="151" t="s">
        <v>1327</v>
      </c>
      <c r="J2280" s="152" t="s">
        <v>1327</v>
      </c>
      <c r="K2280" s="152" t="s">
        <v>1327</v>
      </c>
      <c r="L2280" s="152" t="s">
        <v>1327</v>
      </c>
      <c r="M2280" s="152" t="s">
        <v>1327</v>
      </c>
      <c r="N2280" s="152" t="s">
        <v>1327</v>
      </c>
      <c r="O2280" s="152">
        <v>1.527288</v>
      </c>
      <c r="P2280" s="152">
        <v>30.608281999999999</v>
      </c>
      <c r="Q2280" s="152">
        <v>1.527288</v>
      </c>
      <c r="R2280" s="152" t="s">
        <v>1327</v>
      </c>
      <c r="S2280" s="152">
        <v>99.899675999999999</v>
      </c>
      <c r="T2280" s="152">
        <v>0</v>
      </c>
      <c r="U2280" s="152">
        <v>6.5686999999999995E-2</v>
      </c>
      <c r="V2280" s="152">
        <v>8.6300000000000005E-3</v>
      </c>
      <c r="W2280" s="152">
        <v>1000</v>
      </c>
      <c r="X2280" s="152" t="s">
        <v>23</v>
      </c>
      <c r="Y2280" s="152" t="s">
        <v>1921</v>
      </c>
      <c r="Z2280" s="152" t="s">
        <v>1327</v>
      </c>
    </row>
    <row r="2281" spans="1:26" x14ac:dyDescent="0.2">
      <c r="A2281" s="152" t="s">
        <v>3361</v>
      </c>
      <c r="B2281" s="152">
        <v>0</v>
      </c>
      <c r="C2281" s="151">
        <v>43429</v>
      </c>
      <c r="D2281" s="152">
        <v>8.4931999999999994E-2</v>
      </c>
      <c r="E2281" s="152" t="s">
        <v>1325</v>
      </c>
      <c r="F2281" s="152" t="s">
        <v>1326</v>
      </c>
      <c r="G2281" s="152"/>
      <c r="H2281" s="152"/>
      <c r="I2281" s="151" t="s">
        <v>1327</v>
      </c>
      <c r="J2281" s="152" t="s">
        <v>1327</v>
      </c>
      <c r="K2281" s="152" t="s">
        <v>1327</v>
      </c>
      <c r="L2281" s="152" t="s">
        <v>1327</v>
      </c>
      <c r="M2281" s="152" t="s">
        <v>1327</v>
      </c>
      <c r="N2281" s="152" t="s">
        <v>1327</v>
      </c>
      <c r="O2281" s="152">
        <v>1.563968</v>
      </c>
      <c r="P2281" s="152">
        <v>30.777228999999998</v>
      </c>
      <c r="Q2281" s="152">
        <v>1.563968</v>
      </c>
      <c r="R2281" s="152" t="s">
        <v>1327</v>
      </c>
      <c r="S2281" s="152">
        <v>99.867345999999998</v>
      </c>
      <c r="T2281" s="152">
        <v>0</v>
      </c>
      <c r="U2281" s="152">
        <v>8.4819000000000006E-2</v>
      </c>
      <c r="V2281" s="152">
        <v>1.4388E-2</v>
      </c>
      <c r="W2281" s="152">
        <v>1000</v>
      </c>
      <c r="X2281" s="152" t="s">
        <v>23</v>
      </c>
      <c r="Y2281" s="152" t="s">
        <v>1921</v>
      </c>
      <c r="Z2281" s="152" t="s">
        <v>1327</v>
      </c>
    </row>
    <row r="2282" spans="1:26" x14ac:dyDescent="0.2">
      <c r="A2282" s="152" t="s">
        <v>3362</v>
      </c>
      <c r="B2282" s="152">
        <v>0</v>
      </c>
      <c r="C2282" s="151">
        <v>43511</v>
      </c>
      <c r="D2282" s="152">
        <v>0.309589</v>
      </c>
      <c r="E2282" s="152" t="s">
        <v>1325</v>
      </c>
      <c r="F2282" s="152" t="s">
        <v>1326</v>
      </c>
      <c r="G2282" s="152"/>
      <c r="H2282" s="152"/>
      <c r="I2282" s="151" t="s">
        <v>1327</v>
      </c>
      <c r="J2282" s="152" t="s">
        <v>1327</v>
      </c>
      <c r="K2282" s="152" t="s">
        <v>1327</v>
      </c>
      <c r="L2282" s="152" t="s">
        <v>1327</v>
      </c>
      <c r="M2282" s="152" t="s">
        <v>1327</v>
      </c>
      <c r="N2282" s="152" t="s">
        <v>1327</v>
      </c>
      <c r="O2282" s="152">
        <v>1.9242710000000001</v>
      </c>
      <c r="P2282" s="152">
        <v>32.205517</v>
      </c>
      <c r="Q2282" s="152">
        <v>1.9242710000000001</v>
      </c>
      <c r="R2282" s="152" t="s">
        <v>1327</v>
      </c>
      <c r="S2282" s="152">
        <v>99.407794999999993</v>
      </c>
      <c r="T2282" s="152">
        <v>0</v>
      </c>
      <c r="U2282" s="152">
        <v>0.30775599999999997</v>
      </c>
      <c r="V2282" s="152">
        <v>0.18942700000000001</v>
      </c>
      <c r="W2282" s="152">
        <v>1000</v>
      </c>
      <c r="X2282" s="152" t="s">
        <v>23</v>
      </c>
      <c r="Y2282" s="152" t="s">
        <v>1921</v>
      </c>
      <c r="Z2282" s="152" t="s">
        <v>1327</v>
      </c>
    </row>
    <row r="2283" spans="1:26" x14ac:dyDescent="0.2">
      <c r="A2283" s="152" t="s">
        <v>3363</v>
      </c>
      <c r="B2283" s="152">
        <v>0</v>
      </c>
      <c r="C2283" s="151">
        <v>43546</v>
      </c>
      <c r="D2283" s="152">
        <v>0.40547899999999998</v>
      </c>
      <c r="E2283" s="152" t="s">
        <v>1325</v>
      </c>
      <c r="F2283" s="152" t="s">
        <v>1326</v>
      </c>
      <c r="G2283" s="152"/>
      <c r="H2283" s="152"/>
      <c r="I2283" s="152" t="s">
        <v>1327</v>
      </c>
      <c r="J2283" s="152" t="s">
        <v>1327</v>
      </c>
      <c r="K2283" s="152" t="s">
        <v>1327</v>
      </c>
      <c r="L2283" s="152" t="s">
        <v>1327</v>
      </c>
      <c r="M2283" s="152" t="s">
        <v>1327</v>
      </c>
      <c r="N2283" s="152" t="s">
        <v>1327</v>
      </c>
      <c r="O2283" s="152">
        <v>2.0145249999999999</v>
      </c>
      <c r="P2283" s="152">
        <v>33.009784000000003</v>
      </c>
      <c r="Q2283" s="152">
        <v>2.0145249999999999</v>
      </c>
      <c r="R2283" s="152" t="s">
        <v>1327</v>
      </c>
      <c r="S2283" s="152">
        <v>99.189769999999996</v>
      </c>
      <c r="T2283" s="152">
        <v>0</v>
      </c>
      <c r="U2283" s="152">
        <v>0.402194</v>
      </c>
      <c r="V2283" s="152">
        <v>0.32351999999999997</v>
      </c>
      <c r="W2283" s="152">
        <v>1000</v>
      </c>
      <c r="X2283" s="152" t="s">
        <v>23</v>
      </c>
      <c r="Y2283" s="152" t="s">
        <v>1921</v>
      </c>
      <c r="Z2283" s="152" t="s">
        <v>1327</v>
      </c>
    </row>
    <row r="2284" spans="1:26" x14ac:dyDescent="0.2">
      <c r="A2284" s="152" t="s">
        <v>3364</v>
      </c>
      <c r="B2284" s="152">
        <v>0</v>
      </c>
      <c r="C2284" s="151">
        <v>43546</v>
      </c>
      <c r="D2284" s="152">
        <v>0.40547899999999998</v>
      </c>
      <c r="E2284" s="152" t="s">
        <v>1325</v>
      </c>
      <c r="F2284" s="152" t="s">
        <v>1326</v>
      </c>
      <c r="G2284" s="152"/>
      <c r="H2284" s="152"/>
      <c r="I2284" s="152" t="s">
        <v>1327</v>
      </c>
      <c r="J2284" s="152" t="s">
        <v>1327</v>
      </c>
      <c r="K2284" s="152" t="s">
        <v>1327</v>
      </c>
      <c r="L2284" s="152" t="s">
        <v>1327</v>
      </c>
      <c r="M2284" s="152" t="s">
        <v>1327</v>
      </c>
      <c r="N2284" s="152" t="s">
        <v>1327</v>
      </c>
      <c r="O2284" s="152">
        <v>2.0121989999999998</v>
      </c>
      <c r="P2284" s="152">
        <v>32.774400999999997</v>
      </c>
      <c r="Q2284" s="152">
        <v>2.0121989999999998</v>
      </c>
      <c r="R2284" s="152" t="s">
        <v>1327</v>
      </c>
      <c r="S2284" s="152">
        <v>99.190697999999998</v>
      </c>
      <c r="T2284" s="152">
        <v>0</v>
      </c>
      <c r="U2284" s="152">
        <v>0.402198</v>
      </c>
      <c r="V2284" s="152">
        <v>0.32352599999999998</v>
      </c>
      <c r="W2284" s="152">
        <v>1000</v>
      </c>
      <c r="X2284" s="152" t="s">
        <v>23</v>
      </c>
      <c r="Y2284" s="152" t="s">
        <v>1921</v>
      </c>
      <c r="Z2284" s="152" t="s">
        <v>1327</v>
      </c>
    </row>
    <row r="2285" spans="1:26" x14ac:dyDescent="0.2">
      <c r="A2285" s="152" t="s">
        <v>3365</v>
      </c>
      <c r="B2285" s="152">
        <v>0</v>
      </c>
      <c r="C2285" s="151">
        <v>43437</v>
      </c>
      <c r="D2285" s="152">
        <v>0.106849</v>
      </c>
      <c r="E2285" s="152" t="s">
        <v>1325</v>
      </c>
      <c r="F2285" s="152" t="s">
        <v>1326</v>
      </c>
      <c r="G2285" s="152"/>
      <c r="H2285" s="152"/>
      <c r="I2285" s="152">
        <v>43252</v>
      </c>
      <c r="J2285" s="152">
        <v>2.12</v>
      </c>
      <c r="K2285" s="152" t="s">
        <v>1327</v>
      </c>
      <c r="L2285" s="152" t="s">
        <v>1327</v>
      </c>
      <c r="M2285" s="152" t="s">
        <v>1327</v>
      </c>
      <c r="N2285" s="152" t="s">
        <v>1327</v>
      </c>
      <c r="O2285" s="152">
        <v>1.9868589999999999</v>
      </c>
      <c r="P2285" s="152">
        <v>69.695041000000003</v>
      </c>
      <c r="Q2285" s="152">
        <v>1.9868589999999999</v>
      </c>
      <c r="R2285" s="152" t="s">
        <v>1327</v>
      </c>
      <c r="S2285" s="152">
        <v>99.788155000000003</v>
      </c>
      <c r="T2285" s="152">
        <v>0</v>
      </c>
      <c r="U2285" s="152">
        <v>0.106623</v>
      </c>
      <c r="V2285" s="152">
        <v>2.2737E-2</v>
      </c>
      <c r="W2285" s="152">
        <v>1000</v>
      </c>
      <c r="X2285" s="152" t="s">
        <v>23</v>
      </c>
      <c r="Y2285" s="152" t="s">
        <v>1328</v>
      </c>
      <c r="Z2285" s="152" t="s">
        <v>1327</v>
      </c>
    </row>
    <row r="2286" spans="1:26" x14ac:dyDescent="0.2">
      <c r="A2286" s="152" t="s">
        <v>3366</v>
      </c>
      <c r="B2286" s="152">
        <v>0</v>
      </c>
      <c r="C2286" s="151">
        <v>43453</v>
      </c>
      <c r="D2286" s="152">
        <v>0.15068500000000001</v>
      </c>
      <c r="E2286" s="152" t="s">
        <v>1325</v>
      </c>
      <c r="F2286" s="152" t="s">
        <v>1326</v>
      </c>
      <c r="G2286" s="152"/>
      <c r="H2286" s="152"/>
      <c r="I2286" s="152">
        <v>43363</v>
      </c>
      <c r="J2286" s="152">
        <v>2</v>
      </c>
      <c r="K2286" s="152" t="s">
        <v>1327</v>
      </c>
      <c r="L2286" s="152" t="s">
        <v>1327</v>
      </c>
      <c r="M2286" s="152" t="s">
        <v>1327</v>
      </c>
      <c r="N2286" s="152" t="s">
        <v>1327</v>
      </c>
      <c r="O2286" s="152">
        <v>2.0617830000000001</v>
      </c>
      <c r="P2286" s="152">
        <v>69.363506000000001</v>
      </c>
      <c r="Q2286" s="152">
        <v>2.0617830000000001</v>
      </c>
      <c r="R2286" s="152" t="s">
        <v>1327</v>
      </c>
      <c r="S2286" s="152">
        <v>99.690282999999994</v>
      </c>
      <c r="T2286" s="152">
        <v>0</v>
      </c>
      <c r="U2286" s="152">
        <v>0.15021799999999999</v>
      </c>
      <c r="V2286" s="152">
        <v>4.5130999999999998E-2</v>
      </c>
      <c r="W2286" s="152">
        <v>1000</v>
      </c>
      <c r="X2286" s="152" t="s">
        <v>23</v>
      </c>
      <c r="Y2286" s="152" t="s">
        <v>1328</v>
      </c>
      <c r="Z2286" s="152" t="s">
        <v>1327</v>
      </c>
    </row>
    <row r="2287" spans="1:26" x14ac:dyDescent="0.2">
      <c r="A2287" s="152" t="s">
        <v>3367</v>
      </c>
      <c r="B2287" s="152">
        <v>0</v>
      </c>
      <c r="C2287" s="151">
        <v>43454</v>
      </c>
      <c r="D2287" s="152">
        <v>0.15342500000000001</v>
      </c>
      <c r="E2287" s="152" t="s">
        <v>1325</v>
      </c>
      <c r="F2287" s="152" t="s">
        <v>1326</v>
      </c>
      <c r="G2287" s="152"/>
      <c r="H2287" s="152"/>
      <c r="I2287" s="152" t="s">
        <v>1327</v>
      </c>
      <c r="J2287" s="152" t="s">
        <v>1327</v>
      </c>
      <c r="K2287" s="152" t="s">
        <v>1327</v>
      </c>
      <c r="L2287" s="152" t="s">
        <v>1327</v>
      </c>
      <c r="M2287" s="152" t="s">
        <v>1327</v>
      </c>
      <c r="N2287" s="152" t="s">
        <v>1327</v>
      </c>
      <c r="O2287" s="152">
        <v>2.0665179999999999</v>
      </c>
      <c r="P2287" s="152">
        <v>69.360113999999996</v>
      </c>
      <c r="Q2287" s="152">
        <v>2.0665179999999999</v>
      </c>
      <c r="R2287" s="152" t="s">
        <v>1327</v>
      </c>
      <c r="S2287" s="152">
        <v>99.683947000000003</v>
      </c>
      <c r="T2287" s="152">
        <v>0</v>
      </c>
      <c r="U2287" s="152">
        <v>0.15293999999999999</v>
      </c>
      <c r="V2287" s="152">
        <v>4.6781000000000003E-2</v>
      </c>
      <c r="W2287" s="152">
        <v>1000</v>
      </c>
      <c r="X2287" s="152" t="s">
        <v>23</v>
      </c>
      <c r="Y2287" s="152" t="s">
        <v>1328</v>
      </c>
      <c r="Z2287" s="152" t="s">
        <v>1327</v>
      </c>
    </row>
    <row r="2288" spans="1:26" x14ac:dyDescent="0.2">
      <c r="A2288" s="152" t="s">
        <v>3368</v>
      </c>
      <c r="B2288" s="152">
        <v>0</v>
      </c>
      <c r="C2288" s="151">
        <v>43405</v>
      </c>
      <c r="D2288" s="152">
        <v>1.9178000000000001E-2</v>
      </c>
      <c r="E2288" s="152" t="s">
        <v>1325</v>
      </c>
      <c r="F2288" s="152" t="s">
        <v>1326</v>
      </c>
      <c r="G2288" s="152"/>
      <c r="H2288" s="152"/>
      <c r="I2288" s="152">
        <v>43313</v>
      </c>
      <c r="J2288" s="152">
        <v>2.0299999999999998</v>
      </c>
      <c r="K2288" s="152" t="s">
        <v>1327</v>
      </c>
      <c r="L2288" s="152" t="s">
        <v>1327</v>
      </c>
      <c r="M2288" s="152" t="s">
        <v>1327</v>
      </c>
      <c r="N2288" s="152" t="s">
        <v>1327</v>
      </c>
      <c r="O2288" s="152">
        <v>1.9013260000000001</v>
      </c>
      <c r="P2288" s="152">
        <v>77.172016999999997</v>
      </c>
      <c r="Q2288" s="152">
        <v>1.9013260000000001</v>
      </c>
      <c r="R2288" s="152" t="s">
        <v>1327</v>
      </c>
      <c r="S2288" s="152">
        <v>99.963549999999998</v>
      </c>
      <c r="T2288" s="152">
        <v>0</v>
      </c>
      <c r="U2288" s="152">
        <v>1.9171000000000001E-2</v>
      </c>
      <c r="V2288" s="152">
        <v>7.3499999999999998E-4</v>
      </c>
      <c r="W2288" s="152">
        <v>1000</v>
      </c>
      <c r="X2288" s="152" t="s">
        <v>23</v>
      </c>
      <c r="Y2288" s="152" t="s">
        <v>1328</v>
      </c>
      <c r="Z2288" s="152" t="s">
        <v>1327</v>
      </c>
    </row>
    <row r="2289" spans="1:26" x14ac:dyDescent="0.2">
      <c r="A2289" s="152" t="s">
        <v>3369</v>
      </c>
      <c r="B2289" s="152">
        <v>0</v>
      </c>
      <c r="C2289" s="151">
        <v>43406</v>
      </c>
      <c r="D2289" s="152">
        <v>2.1918E-2</v>
      </c>
      <c r="E2289" s="152" t="s">
        <v>1325</v>
      </c>
      <c r="F2289" s="152" t="s">
        <v>1326</v>
      </c>
      <c r="G2289" s="152"/>
      <c r="H2289" s="152"/>
      <c r="I2289" s="151">
        <v>43273</v>
      </c>
      <c r="J2289" s="152">
        <v>2.1</v>
      </c>
      <c r="K2289" s="152" t="s">
        <v>1327</v>
      </c>
      <c r="L2289" s="152" t="s">
        <v>1327</v>
      </c>
      <c r="M2289" s="152" t="s">
        <v>1327</v>
      </c>
      <c r="N2289" s="152" t="s">
        <v>1327</v>
      </c>
      <c r="O2289" s="152">
        <v>1.901179</v>
      </c>
      <c r="P2289" s="152">
        <v>76.661637999999996</v>
      </c>
      <c r="Q2289" s="152">
        <v>1.901179</v>
      </c>
      <c r="R2289" s="152" t="s">
        <v>1327</v>
      </c>
      <c r="S2289" s="152">
        <v>99.958348000000001</v>
      </c>
      <c r="T2289" s="152">
        <v>0</v>
      </c>
      <c r="U2289" s="152">
        <v>2.1909000000000001E-2</v>
      </c>
      <c r="V2289" s="152">
        <v>9.6000000000000002E-4</v>
      </c>
      <c r="W2289" s="152">
        <v>1000</v>
      </c>
      <c r="X2289" s="152" t="s">
        <v>23</v>
      </c>
      <c r="Y2289" s="152" t="s">
        <v>1328</v>
      </c>
      <c r="Z2289" s="152" t="s">
        <v>1327</v>
      </c>
    </row>
    <row r="2290" spans="1:26" x14ac:dyDescent="0.2">
      <c r="A2290" s="152" t="s">
        <v>3370</v>
      </c>
      <c r="B2290" s="152">
        <v>0</v>
      </c>
      <c r="C2290" s="151">
        <v>43406</v>
      </c>
      <c r="D2290" s="152">
        <v>2.1918E-2</v>
      </c>
      <c r="E2290" s="152" t="s">
        <v>1325</v>
      </c>
      <c r="F2290" s="152" t="s">
        <v>1326</v>
      </c>
      <c r="G2290" s="152"/>
      <c r="H2290" s="152"/>
      <c r="I2290" s="152">
        <v>43315</v>
      </c>
      <c r="J2290" s="152">
        <v>2.0299999999999998</v>
      </c>
      <c r="K2290" s="152" t="s">
        <v>1327</v>
      </c>
      <c r="L2290" s="152" t="s">
        <v>1327</v>
      </c>
      <c r="M2290" s="152" t="s">
        <v>1327</v>
      </c>
      <c r="N2290" s="152" t="s">
        <v>1327</v>
      </c>
      <c r="O2290" s="152">
        <v>1.901179</v>
      </c>
      <c r="P2290" s="152">
        <v>76.661637999999996</v>
      </c>
      <c r="Q2290" s="152">
        <v>1.901179</v>
      </c>
      <c r="R2290" s="152" t="s">
        <v>1327</v>
      </c>
      <c r="S2290" s="152">
        <v>99.958348000000001</v>
      </c>
      <c r="T2290" s="152">
        <v>0</v>
      </c>
      <c r="U2290" s="152">
        <v>2.1909000000000001E-2</v>
      </c>
      <c r="V2290" s="152">
        <v>9.6000000000000002E-4</v>
      </c>
      <c r="W2290" s="152">
        <v>1000</v>
      </c>
      <c r="X2290" s="152" t="s">
        <v>23</v>
      </c>
      <c r="Y2290" s="152" t="s">
        <v>1328</v>
      </c>
      <c r="Z2290" s="152" t="s">
        <v>1327</v>
      </c>
    </row>
    <row r="2291" spans="1:26" x14ac:dyDescent="0.2">
      <c r="A2291" s="152" t="s">
        <v>3371</v>
      </c>
      <c r="B2291" s="152">
        <v>0</v>
      </c>
      <c r="C2291" s="151">
        <v>43409</v>
      </c>
      <c r="D2291" s="152">
        <v>3.0137000000000001E-2</v>
      </c>
      <c r="E2291" s="152" t="s">
        <v>1325</v>
      </c>
      <c r="F2291" s="152" t="s">
        <v>1326</v>
      </c>
      <c r="G2291" s="152"/>
      <c r="H2291" s="152"/>
      <c r="I2291" s="151">
        <v>43314</v>
      </c>
      <c r="J2291" s="152">
        <v>2</v>
      </c>
      <c r="K2291" s="152" t="s">
        <v>1327</v>
      </c>
      <c r="L2291" s="152" t="s">
        <v>1327</v>
      </c>
      <c r="M2291" s="152" t="s">
        <v>1327</v>
      </c>
      <c r="N2291" s="152" t="s">
        <v>1327</v>
      </c>
      <c r="O2291" s="152">
        <v>1.9007670000000001</v>
      </c>
      <c r="P2291" s="152">
        <v>75.125798000000003</v>
      </c>
      <c r="Q2291" s="152">
        <v>1.9007670000000001</v>
      </c>
      <c r="R2291" s="152" t="s">
        <v>1327</v>
      </c>
      <c r="S2291" s="152">
        <v>99.942749000000006</v>
      </c>
      <c r="T2291" s="152">
        <v>0</v>
      </c>
      <c r="U2291" s="152">
        <v>3.0120000000000001E-2</v>
      </c>
      <c r="V2291" s="152">
        <v>1.8140000000000001E-3</v>
      </c>
      <c r="W2291" s="152">
        <v>1000</v>
      </c>
      <c r="X2291" s="152" t="s">
        <v>23</v>
      </c>
      <c r="Y2291" s="152" t="s">
        <v>1328</v>
      </c>
      <c r="Z2291" s="152" t="s">
        <v>1327</v>
      </c>
    </row>
    <row r="2292" spans="1:26" x14ac:dyDescent="0.2">
      <c r="A2292" s="152" t="s">
        <v>3372</v>
      </c>
      <c r="B2292" s="152">
        <v>0</v>
      </c>
      <c r="C2292" s="151">
        <v>43411</v>
      </c>
      <c r="D2292" s="152">
        <v>3.5616000000000002E-2</v>
      </c>
      <c r="E2292" s="152" t="s">
        <v>1325</v>
      </c>
      <c r="F2292" s="152" t="s">
        <v>1326</v>
      </c>
      <c r="G2292" s="152"/>
      <c r="H2292" s="152"/>
      <c r="I2292" s="151">
        <v>43346</v>
      </c>
      <c r="J2292" s="152">
        <v>2.04</v>
      </c>
      <c r="K2292" s="152" t="s">
        <v>1327</v>
      </c>
      <c r="L2292" s="152" t="s">
        <v>1327</v>
      </c>
      <c r="M2292" s="152" t="s">
        <v>1327</v>
      </c>
      <c r="N2292" s="152" t="s">
        <v>1327</v>
      </c>
      <c r="O2292" s="152">
        <v>1.9005160000000001</v>
      </c>
      <c r="P2292" s="152">
        <v>74.098676999999995</v>
      </c>
      <c r="Q2292" s="152">
        <v>1.9005160000000001</v>
      </c>
      <c r="R2292" s="152" t="s">
        <v>1327</v>
      </c>
      <c r="S2292" s="152">
        <v>99.932355999999999</v>
      </c>
      <c r="T2292" s="152">
        <v>0</v>
      </c>
      <c r="U2292" s="152">
        <v>3.5591999999999999E-2</v>
      </c>
      <c r="V2292" s="152">
        <v>2.5339999999999998E-3</v>
      </c>
      <c r="W2292" s="152">
        <v>1000</v>
      </c>
      <c r="X2292" s="152" t="s">
        <v>23</v>
      </c>
      <c r="Y2292" s="152" t="s">
        <v>1328</v>
      </c>
      <c r="Z2292" s="152" t="s">
        <v>1327</v>
      </c>
    </row>
    <row r="2293" spans="1:26" x14ac:dyDescent="0.2">
      <c r="A2293" s="152" t="s">
        <v>3373</v>
      </c>
      <c r="B2293" s="152">
        <v>0</v>
      </c>
      <c r="C2293" s="151">
        <v>43413</v>
      </c>
      <c r="D2293" s="152">
        <v>4.1096000000000001E-2</v>
      </c>
      <c r="E2293" s="152" t="s">
        <v>1325</v>
      </c>
      <c r="F2293" s="152" t="s">
        <v>1326</v>
      </c>
      <c r="G2293" s="152"/>
      <c r="H2293" s="152"/>
      <c r="I2293" s="151">
        <v>43321</v>
      </c>
      <c r="J2293" s="152">
        <v>2</v>
      </c>
      <c r="K2293" s="152" t="s">
        <v>1327</v>
      </c>
      <c r="L2293" s="152" t="s">
        <v>1327</v>
      </c>
      <c r="M2293" s="152" t="s">
        <v>1327</v>
      </c>
      <c r="N2293" s="152" t="s">
        <v>1327</v>
      </c>
      <c r="O2293" s="152">
        <v>1.9002859999999999</v>
      </c>
      <c r="P2293" s="152">
        <v>73.069620999999998</v>
      </c>
      <c r="Q2293" s="152">
        <v>1.9002859999999999</v>
      </c>
      <c r="R2293" s="152" t="s">
        <v>1327</v>
      </c>
      <c r="S2293" s="152">
        <v>99.921966999999995</v>
      </c>
      <c r="T2293" s="152">
        <v>0</v>
      </c>
      <c r="U2293" s="152">
        <v>4.1064000000000003E-2</v>
      </c>
      <c r="V2293" s="152">
        <v>3.372E-3</v>
      </c>
      <c r="W2293" s="152">
        <v>1000</v>
      </c>
      <c r="X2293" s="152" t="s">
        <v>23</v>
      </c>
      <c r="Y2293" s="152" t="s">
        <v>1328</v>
      </c>
      <c r="Z2293" s="152" t="s">
        <v>1327</v>
      </c>
    </row>
    <row r="2294" spans="1:26" x14ac:dyDescent="0.2">
      <c r="A2294" s="152" t="s">
        <v>3374</v>
      </c>
      <c r="B2294" s="152">
        <v>0</v>
      </c>
      <c r="C2294" s="151">
        <v>43416</v>
      </c>
      <c r="D2294" s="152">
        <v>4.9314999999999998E-2</v>
      </c>
      <c r="E2294" s="152" t="s">
        <v>1325</v>
      </c>
      <c r="F2294" s="152" t="s">
        <v>1326</v>
      </c>
      <c r="G2294" s="152"/>
      <c r="H2294" s="152"/>
      <c r="I2294" s="151">
        <v>43230</v>
      </c>
      <c r="J2294" s="152">
        <v>2.12</v>
      </c>
      <c r="K2294" s="152" t="s">
        <v>1327</v>
      </c>
      <c r="L2294" s="152" t="s">
        <v>1327</v>
      </c>
      <c r="M2294" s="152" t="s">
        <v>1327</v>
      </c>
      <c r="N2294" s="152" t="s">
        <v>1327</v>
      </c>
      <c r="O2294" s="152">
        <v>1.899977</v>
      </c>
      <c r="P2294" s="152">
        <v>71.523617999999999</v>
      </c>
      <c r="Q2294" s="152">
        <v>1.899977</v>
      </c>
      <c r="R2294" s="152" t="s">
        <v>1327</v>
      </c>
      <c r="S2294" s="152">
        <v>99.906390000000002</v>
      </c>
      <c r="T2294" s="152">
        <v>0</v>
      </c>
      <c r="U2294" s="152">
        <v>4.9269E-2</v>
      </c>
      <c r="V2294" s="152">
        <v>4.8549999999999999E-3</v>
      </c>
      <c r="W2294" s="152">
        <v>1000</v>
      </c>
      <c r="X2294" s="152" t="s">
        <v>23</v>
      </c>
      <c r="Y2294" s="152" t="s">
        <v>1328</v>
      </c>
      <c r="Z2294" s="152" t="s">
        <v>1327</v>
      </c>
    </row>
    <row r="2295" spans="1:26" x14ac:dyDescent="0.2">
      <c r="A2295" s="152" t="s">
        <v>3375</v>
      </c>
      <c r="B2295" s="152">
        <v>0</v>
      </c>
      <c r="C2295" s="151">
        <v>43417</v>
      </c>
      <c r="D2295" s="152">
        <v>5.2054999999999997E-2</v>
      </c>
      <c r="E2295" s="152" t="s">
        <v>1325</v>
      </c>
      <c r="F2295" s="152" t="s">
        <v>1326</v>
      </c>
      <c r="G2295" s="152"/>
      <c r="H2295" s="152"/>
      <c r="I2295" s="151">
        <v>43255</v>
      </c>
      <c r="J2295" s="152">
        <v>2.1</v>
      </c>
      <c r="K2295" s="152" t="s">
        <v>1327</v>
      </c>
      <c r="L2295" s="152" t="s">
        <v>1327</v>
      </c>
      <c r="M2295" s="152" t="s">
        <v>1327</v>
      </c>
      <c r="N2295" s="152" t="s">
        <v>1327</v>
      </c>
      <c r="O2295" s="152">
        <v>1.899885</v>
      </c>
      <c r="P2295" s="152">
        <v>71.007915999999994</v>
      </c>
      <c r="Q2295" s="152">
        <v>1.899885</v>
      </c>
      <c r="R2295" s="152" t="s">
        <v>1327</v>
      </c>
      <c r="S2295" s="152">
        <v>99.901200000000003</v>
      </c>
      <c r="T2295" s="152">
        <v>0</v>
      </c>
      <c r="U2295" s="152">
        <v>5.2003000000000001E-2</v>
      </c>
      <c r="V2295" s="152">
        <v>5.4089999999999997E-3</v>
      </c>
      <c r="W2295" s="152">
        <v>1000</v>
      </c>
      <c r="X2295" s="152" t="s">
        <v>23</v>
      </c>
      <c r="Y2295" s="152" t="s">
        <v>1328</v>
      </c>
      <c r="Z2295" s="152" t="s">
        <v>1327</v>
      </c>
    </row>
    <row r="2296" spans="1:26" x14ac:dyDescent="0.2">
      <c r="A2296" s="152" t="s">
        <v>3376</v>
      </c>
      <c r="B2296" s="152">
        <v>0</v>
      </c>
      <c r="C2296" s="151">
        <v>43417</v>
      </c>
      <c r="D2296" s="152">
        <v>5.2054999999999997E-2</v>
      </c>
      <c r="E2296" s="152" t="s">
        <v>1325</v>
      </c>
      <c r="F2296" s="152" t="s">
        <v>1326</v>
      </c>
      <c r="G2296" s="152"/>
      <c r="H2296" s="152"/>
      <c r="I2296" s="152">
        <v>43327</v>
      </c>
      <c r="J2296" s="152">
        <v>2</v>
      </c>
      <c r="K2296" s="152" t="s">
        <v>1327</v>
      </c>
      <c r="L2296" s="152" t="s">
        <v>1327</v>
      </c>
      <c r="M2296" s="152" t="s">
        <v>1327</v>
      </c>
      <c r="N2296" s="152" t="s">
        <v>1327</v>
      </c>
      <c r="O2296" s="152">
        <v>1.899885</v>
      </c>
      <c r="P2296" s="152">
        <v>71.007915999999994</v>
      </c>
      <c r="Q2296" s="152">
        <v>1.899885</v>
      </c>
      <c r="R2296" s="152" t="s">
        <v>1327</v>
      </c>
      <c r="S2296" s="152">
        <v>99.901200000000003</v>
      </c>
      <c r="T2296" s="152">
        <v>0</v>
      </c>
      <c r="U2296" s="152">
        <v>5.2003000000000001E-2</v>
      </c>
      <c r="V2296" s="152">
        <v>5.4089999999999997E-3</v>
      </c>
      <c r="W2296" s="152">
        <v>1000</v>
      </c>
      <c r="X2296" s="152" t="s">
        <v>23</v>
      </c>
      <c r="Y2296" s="152" t="s">
        <v>1328</v>
      </c>
      <c r="Z2296" s="152" t="s">
        <v>1327</v>
      </c>
    </row>
    <row r="2297" spans="1:26" x14ac:dyDescent="0.2">
      <c r="A2297" s="152" t="s">
        <v>3377</v>
      </c>
      <c r="B2297" s="152">
        <v>0</v>
      </c>
      <c r="C2297" s="151">
        <v>43419</v>
      </c>
      <c r="D2297" s="152">
        <v>5.7534000000000002E-2</v>
      </c>
      <c r="E2297" s="152" t="s">
        <v>1325</v>
      </c>
      <c r="F2297" s="152" t="s">
        <v>1326</v>
      </c>
      <c r="G2297" s="152"/>
      <c r="H2297" s="152"/>
      <c r="I2297" s="151">
        <v>43326</v>
      </c>
      <c r="J2297" s="152">
        <v>2</v>
      </c>
      <c r="K2297" s="152" t="s">
        <v>1327</v>
      </c>
      <c r="L2297" s="152" t="s">
        <v>1327</v>
      </c>
      <c r="M2297" s="152" t="s">
        <v>1327</v>
      </c>
      <c r="N2297" s="152" t="s">
        <v>1327</v>
      </c>
      <c r="O2297" s="152">
        <v>1.904331</v>
      </c>
      <c r="P2297" s="152">
        <v>70.446304999999995</v>
      </c>
      <c r="Q2297" s="152">
        <v>1.904331</v>
      </c>
      <c r="R2297" s="152" t="s">
        <v>1327</v>
      </c>
      <c r="S2297" s="152">
        <v>99.890556000000004</v>
      </c>
      <c r="T2297" s="152">
        <v>0</v>
      </c>
      <c r="U2297" s="152">
        <v>5.7471000000000001E-2</v>
      </c>
      <c r="V2297" s="152">
        <v>6.6059999999999999E-3</v>
      </c>
      <c r="W2297" s="152">
        <v>1000</v>
      </c>
      <c r="X2297" s="152" t="s">
        <v>23</v>
      </c>
      <c r="Y2297" s="152" t="s">
        <v>1328</v>
      </c>
      <c r="Z2297" s="152" t="s">
        <v>1327</v>
      </c>
    </row>
    <row r="2298" spans="1:26" x14ac:dyDescent="0.2">
      <c r="A2298" s="152" t="s">
        <v>3378</v>
      </c>
      <c r="B2298" s="152">
        <v>0</v>
      </c>
      <c r="C2298" s="151">
        <v>43426</v>
      </c>
      <c r="D2298" s="152">
        <v>7.6712000000000002E-2</v>
      </c>
      <c r="E2298" s="152" t="s">
        <v>1325</v>
      </c>
      <c r="F2298" s="152" t="s">
        <v>1326</v>
      </c>
      <c r="G2298" s="152"/>
      <c r="H2298" s="152"/>
      <c r="I2298" s="151">
        <v>43326</v>
      </c>
      <c r="J2298" s="152">
        <v>2</v>
      </c>
      <c r="K2298" s="152" t="s">
        <v>1327</v>
      </c>
      <c r="L2298" s="152" t="s">
        <v>1327</v>
      </c>
      <c r="M2298" s="152" t="s">
        <v>1327</v>
      </c>
      <c r="N2298" s="152" t="s">
        <v>1327</v>
      </c>
      <c r="O2298" s="152">
        <v>1.936215</v>
      </c>
      <c r="P2298" s="152">
        <v>70.130504999999999</v>
      </c>
      <c r="Q2298" s="152">
        <v>1.936215</v>
      </c>
      <c r="R2298" s="152" t="s">
        <v>1327</v>
      </c>
      <c r="S2298" s="152">
        <v>99.851688999999993</v>
      </c>
      <c r="T2298" s="152">
        <v>0</v>
      </c>
      <c r="U2298" s="152">
        <v>7.6599E-2</v>
      </c>
      <c r="V2298" s="152">
        <v>1.1735000000000001E-2</v>
      </c>
      <c r="W2298" s="152">
        <v>1000</v>
      </c>
      <c r="X2298" s="152" t="s">
        <v>23</v>
      </c>
      <c r="Y2298" s="152" t="s">
        <v>1328</v>
      </c>
      <c r="Z2298" s="152" t="s">
        <v>1327</v>
      </c>
    </row>
    <row r="2299" spans="1:26" x14ac:dyDescent="0.2">
      <c r="A2299" s="152" t="s">
        <v>3379</v>
      </c>
      <c r="B2299" s="152">
        <v>0</v>
      </c>
      <c r="C2299" s="151">
        <v>43426</v>
      </c>
      <c r="D2299" s="152">
        <v>7.6712000000000002E-2</v>
      </c>
      <c r="E2299" s="152" t="s">
        <v>1325</v>
      </c>
      <c r="F2299" s="152" t="s">
        <v>1326</v>
      </c>
      <c r="G2299" s="152"/>
      <c r="H2299" s="152"/>
      <c r="I2299" s="152" t="s">
        <v>1327</v>
      </c>
      <c r="J2299" s="152" t="s">
        <v>1327</v>
      </c>
      <c r="K2299" s="152" t="s">
        <v>1327</v>
      </c>
      <c r="L2299" s="152" t="s">
        <v>1327</v>
      </c>
      <c r="M2299" s="152" t="s">
        <v>1327</v>
      </c>
      <c r="N2299" s="152" t="s">
        <v>1327</v>
      </c>
      <c r="O2299" s="152">
        <v>1.936215</v>
      </c>
      <c r="P2299" s="152">
        <v>70.130504999999999</v>
      </c>
      <c r="Q2299" s="152">
        <v>1.936215</v>
      </c>
      <c r="R2299" s="152" t="s">
        <v>1327</v>
      </c>
      <c r="S2299" s="152">
        <v>99.851688999999993</v>
      </c>
      <c r="T2299" s="152">
        <v>0</v>
      </c>
      <c r="U2299" s="152">
        <v>7.6599E-2</v>
      </c>
      <c r="V2299" s="152">
        <v>1.1735000000000001E-2</v>
      </c>
      <c r="W2299" s="152">
        <v>1000</v>
      </c>
      <c r="X2299" s="152" t="s">
        <v>23</v>
      </c>
      <c r="Y2299" s="152" t="s">
        <v>1328</v>
      </c>
      <c r="Z2299" s="152" t="s">
        <v>1327</v>
      </c>
    </row>
    <row r="2300" spans="1:26" x14ac:dyDescent="0.2">
      <c r="A2300" s="152" t="s">
        <v>3380</v>
      </c>
      <c r="B2300" s="152">
        <v>0</v>
      </c>
      <c r="C2300" s="151">
        <v>43433</v>
      </c>
      <c r="D2300" s="152">
        <v>9.5890000000000003E-2</v>
      </c>
      <c r="E2300" s="152" t="s">
        <v>1325</v>
      </c>
      <c r="F2300" s="152" t="s">
        <v>1326</v>
      </c>
      <c r="G2300" s="152"/>
      <c r="H2300" s="152"/>
      <c r="I2300" s="152">
        <v>43255</v>
      </c>
      <c r="J2300" s="152">
        <v>2.1</v>
      </c>
      <c r="K2300" s="152" t="s">
        <v>1327</v>
      </c>
      <c r="L2300" s="152" t="s">
        <v>1327</v>
      </c>
      <c r="M2300" s="152" t="s">
        <v>1327</v>
      </c>
      <c r="N2300" s="152" t="s">
        <v>1327</v>
      </c>
      <c r="O2300" s="152">
        <v>1.9683649999999999</v>
      </c>
      <c r="P2300" s="152">
        <v>69.840314000000006</v>
      </c>
      <c r="Q2300" s="152">
        <v>1.9683649999999999</v>
      </c>
      <c r="R2300" s="152" t="s">
        <v>1327</v>
      </c>
      <c r="S2300" s="152">
        <v>99.811608000000007</v>
      </c>
      <c r="T2300" s="152">
        <v>0</v>
      </c>
      <c r="U2300" s="152">
        <v>9.5710000000000003E-2</v>
      </c>
      <c r="V2300" s="152">
        <v>1.8321E-2</v>
      </c>
      <c r="W2300" s="152">
        <v>1000</v>
      </c>
      <c r="X2300" s="152" t="s">
        <v>23</v>
      </c>
      <c r="Y2300" s="152" t="s">
        <v>1328</v>
      </c>
      <c r="Z2300" s="152" t="s">
        <v>1327</v>
      </c>
    </row>
    <row r="2301" spans="1:26" x14ac:dyDescent="0.2">
      <c r="A2301" s="152" t="s">
        <v>3381</v>
      </c>
      <c r="B2301" s="152">
        <v>0</v>
      </c>
      <c r="C2301" s="151">
        <v>43510</v>
      </c>
      <c r="D2301" s="152">
        <v>0.30684899999999998</v>
      </c>
      <c r="E2301" s="152" t="s">
        <v>1325</v>
      </c>
      <c r="F2301" s="152" t="s">
        <v>1326</v>
      </c>
      <c r="G2301" s="152"/>
      <c r="H2301" s="152"/>
      <c r="I2301" s="152">
        <v>43320</v>
      </c>
      <c r="J2301" s="152">
        <v>2.1</v>
      </c>
      <c r="K2301" s="152" t="s">
        <v>1327</v>
      </c>
      <c r="L2301" s="152" t="s">
        <v>1327</v>
      </c>
      <c r="M2301" s="152" t="s">
        <v>1327</v>
      </c>
      <c r="N2301" s="152" t="s">
        <v>1327</v>
      </c>
      <c r="O2301" s="152">
        <v>2.2692969999999999</v>
      </c>
      <c r="P2301" s="152">
        <v>67.507193999999998</v>
      </c>
      <c r="Q2301" s="152">
        <v>2.2692969999999999</v>
      </c>
      <c r="R2301" s="152" t="s">
        <v>1327</v>
      </c>
      <c r="S2301" s="152">
        <v>99.308482999999995</v>
      </c>
      <c r="T2301" s="152">
        <v>0</v>
      </c>
      <c r="U2301" s="152">
        <v>0.30472700000000003</v>
      </c>
      <c r="V2301" s="152">
        <v>0.18571799999999999</v>
      </c>
      <c r="W2301" s="152">
        <v>1000</v>
      </c>
      <c r="X2301" s="152" t="s">
        <v>23</v>
      </c>
      <c r="Y2301" s="152" t="s">
        <v>1328</v>
      </c>
      <c r="Z2301" s="152" t="s">
        <v>1327</v>
      </c>
    </row>
    <row r="2302" spans="1:26" x14ac:dyDescent="0.2">
      <c r="A2302" s="152" t="s">
        <v>3382</v>
      </c>
      <c r="B2302" s="152">
        <v>0</v>
      </c>
      <c r="C2302" s="151">
        <v>43516</v>
      </c>
      <c r="D2302" s="152">
        <v>0.32328800000000002</v>
      </c>
      <c r="E2302" s="152" t="s">
        <v>1325</v>
      </c>
      <c r="F2302" s="152" t="s">
        <v>1326</v>
      </c>
      <c r="G2302" s="152"/>
      <c r="H2302" s="152"/>
      <c r="I2302" s="152">
        <v>43332</v>
      </c>
      <c r="J2302" s="152">
        <v>2.1</v>
      </c>
      <c r="K2302" s="152" t="s">
        <v>1327</v>
      </c>
      <c r="L2302" s="152" t="s">
        <v>1327</v>
      </c>
      <c r="M2302" s="152" t="s">
        <v>1327</v>
      </c>
      <c r="N2302" s="152" t="s">
        <v>1327</v>
      </c>
      <c r="O2302" s="152">
        <v>2.2841999999999998</v>
      </c>
      <c r="P2302" s="152">
        <v>67.287186000000005</v>
      </c>
      <c r="Q2302" s="152">
        <v>2.2841999999999998</v>
      </c>
      <c r="R2302" s="152" t="s">
        <v>1327</v>
      </c>
      <c r="S2302" s="152">
        <v>99.266959</v>
      </c>
      <c r="T2302" s="152">
        <v>0</v>
      </c>
      <c r="U2302" s="152">
        <v>0.32091799999999998</v>
      </c>
      <c r="V2302" s="152">
        <v>0.20597699999999999</v>
      </c>
      <c r="W2302" s="152">
        <v>1000</v>
      </c>
      <c r="X2302" s="152" t="s">
        <v>23</v>
      </c>
      <c r="Y2302" s="152" t="s">
        <v>1328</v>
      </c>
      <c r="Z2302" s="152" t="s">
        <v>1327</v>
      </c>
    </row>
    <row r="2303" spans="1:26" x14ac:dyDescent="0.2">
      <c r="A2303" s="152" t="s">
        <v>3383</v>
      </c>
      <c r="B2303" s="152">
        <v>0</v>
      </c>
      <c r="C2303" s="151">
        <v>43528</v>
      </c>
      <c r="D2303" s="152">
        <v>0.35616399999999998</v>
      </c>
      <c r="E2303" s="152" t="s">
        <v>1325</v>
      </c>
      <c r="F2303" s="152" t="s">
        <v>1326</v>
      </c>
      <c r="G2303" s="152"/>
      <c r="H2303" s="152"/>
      <c r="I2303" s="151">
        <v>43346</v>
      </c>
      <c r="J2303" s="152">
        <v>2.1</v>
      </c>
      <c r="K2303" s="152" t="s">
        <v>1327</v>
      </c>
      <c r="L2303" s="152" t="s">
        <v>1327</v>
      </c>
      <c r="M2303" s="152" t="s">
        <v>1327</v>
      </c>
      <c r="N2303" s="152" t="s">
        <v>1327</v>
      </c>
      <c r="O2303" s="152">
        <v>2.3138399999999999</v>
      </c>
      <c r="P2303" s="152">
        <v>67.186953000000003</v>
      </c>
      <c r="Q2303" s="152">
        <v>2.3138399999999999</v>
      </c>
      <c r="R2303" s="152" t="s">
        <v>1327</v>
      </c>
      <c r="S2303" s="152">
        <v>99.182629000000006</v>
      </c>
      <c r="T2303" s="152">
        <v>0</v>
      </c>
      <c r="U2303" s="152">
        <v>0.35325299999999998</v>
      </c>
      <c r="V2303" s="152">
        <v>0.24957599999999999</v>
      </c>
      <c r="W2303" s="152">
        <v>1000</v>
      </c>
      <c r="X2303" s="152" t="s">
        <v>23</v>
      </c>
      <c r="Y2303" s="152" t="s">
        <v>1328</v>
      </c>
      <c r="Z2303" s="152" t="s">
        <v>1327</v>
      </c>
    </row>
    <row r="2304" spans="1:26" x14ac:dyDescent="0.2">
      <c r="A2304" s="152" t="s">
        <v>3384</v>
      </c>
      <c r="B2304" s="152">
        <v>0</v>
      </c>
      <c r="C2304" s="151">
        <v>43528</v>
      </c>
      <c r="D2304" s="152">
        <v>0.35616399999999998</v>
      </c>
      <c r="E2304" s="152" t="s">
        <v>1325</v>
      </c>
      <c r="F2304" s="152" t="s">
        <v>1326</v>
      </c>
      <c r="G2304" s="152"/>
      <c r="H2304" s="152"/>
      <c r="I2304" s="152">
        <v>43347</v>
      </c>
      <c r="J2304" s="152">
        <v>2.1</v>
      </c>
      <c r="K2304" s="152" t="s">
        <v>1327</v>
      </c>
      <c r="L2304" s="152" t="s">
        <v>1327</v>
      </c>
      <c r="M2304" s="152" t="s">
        <v>1327</v>
      </c>
      <c r="N2304" s="152" t="s">
        <v>1327</v>
      </c>
      <c r="O2304" s="152">
        <v>2.3138399999999999</v>
      </c>
      <c r="P2304" s="152">
        <v>67.186953000000003</v>
      </c>
      <c r="Q2304" s="152">
        <v>2.3138399999999999</v>
      </c>
      <c r="R2304" s="152" t="s">
        <v>1327</v>
      </c>
      <c r="S2304" s="152">
        <v>99.182629000000006</v>
      </c>
      <c r="T2304" s="152">
        <v>0</v>
      </c>
      <c r="U2304" s="152">
        <v>0.35325299999999998</v>
      </c>
      <c r="V2304" s="152">
        <v>0.24957599999999999</v>
      </c>
      <c r="W2304" s="152">
        <v>1000</v>
      </c>
      <c r="X2304" s="152" t="s">
        <v>23</v>
      </c>
      <c r="Y2304" s="152" t="s">
        <v>1328</v>
      </c>
      <c r="Z2304" s="152" t="s">
        <v>1327</v>
      </c>
    </row>
    <row r="2305" spans="1:26" x14ac:dyDescent="0.2">
      <c r="A2305" s="152" t="s">
        <v>3385</v>
      </c>
      <c r="B2305" s="152">
        <v>0</v>
      </c>
      <c r="C2305" s="151">
        <v>43529</v>
      </c>
      <c r="D2305" s="152">
        <v>0.358904</v>
      </c>
      <c r="E2305" s="152" t="s">
        <v>1325</v>
      </c>
      <c r="F2305" s="152" t="s">
        <v>1326</v>
      </c>
      <c r="G2305" s="152"/>
      <c r="H2305" s="152"/>
      <c r="I2305" s="151">
        <v>43349</v>
      </c>
      <c r="J2305" s="152">
        <v>2.1</v>
      </c>
      <c r="K2305" s="152" t="s">
        <v>1327</v>
      </c>
      <c r="L2305" s="152" t="s">
        <v>1327</v>
      </c>
      <c r="M2305" s="152" t="s">
        <v>1327</v>
      </c>
      <c r="N2305" s="152" t="s">
        <v>1327</v>
      </c>
      <c r="O2305" s="152">
        <v>2.3162989999999999</v>
      </c>
      <c r="P2305" s="152">
        <v>67.197726000000003</v>
      </c>
      <c r="Q2305" s="152">
        <v>2.3162989999999999</v>
      </c>
      <c r="R2305" s="152" t="s">
        <v>1327</v>
      </c>
      <c r="S2305" s="152">
        <v>99.175524999999993</v>
      </c>
      <c r="T2305" s="152">
        <v>0</v>
      </c>
      <c r="U2305" s="152">
        <v>0.35594500000000001</v>
      </c>
      <c r="V2305" s="152">
        <v>0.25339400000000001</v>
      </c>
      <c r="W2305" s="152">
        <v>1000</v>
      </c>
      <c r="X2305" s="152" t="s">
        <v>23</v>
      </c>
      <c r="Y2305" s="152" t="s">
        <v>1328</v>
      </c>
      <c r="Z2305" s="152" t="s">
        <v>1327</v>
      </c>
    </row>
    <row r="2306" spans="1:26" x14ac:dyDescent="0.2">
      <c r="A2306" s="152" t="s">
        <v>3386</v>
      </c>
      <c r="B2306" s="152">
        <v>0</v>
      </c>
      <c r="C2306" s="151">
        <v>43531</v>
      </c>
      <c r="D2306" s="152">
        <v>0.36438399999999999</v>
      </c>
      <c r="E2306" s="152" t="s">
        <v>1325</v>
      </c>
      <c r="F2306" s="152" t="s">
        <v>1326</v>
      </c>
      <c r="G2306" s="152"/>
      <c r="H2306" s="152"/>
      <c r="I2306" s="151">
        <v>43349</v>
      </c>
      <c r="J2306" s="152">
        <v>2.1</v>
      </c>
      <c r="K2306" s="152" t="s">
        <v>1327</v>
      </c>
      <c r="L2306" s="152" t="s">
        <v>1327</v>
      </c>
      <c r="M2306" s="152" t="s">
        <v>1327</v>
      </c>
      <c r="N2306" s="152" t="s">
        <v>1327</v>
      </c>
      <c r="O2306" s="152">
        <v>2.3212109999999999</v>
      </c>
      <c r="P2306" s="152">
        <v>67.227616999999995</v>
      </c>
      <c r="Q2306" s="152">
        <v>2.3212109999999999</v>
      </c>
      <c r="R2306" s="152" t="s">
        <v>1327</v>
      </c>
      <c r="S2306" s="152">
        <v>99.161282999999997</v>
      </c>
      <c r="T2306" s="152">
        <v>0</v>
      </c>
      <c r="U2306" s="152">
        <v>0.36132700000000001</v>
      </c>
      <c r="V2306" s="152">
        <v>0.26111499999999999</v>
      </c>
      <c r="W2306" s="152">
        <v>1000</v>
      </c>
      <c r="X2306" s="152" t="s">
        <v>23</v>
      </c>
      <c r="Y2306" s="152" t="s">
        <v>1328</v>
      </c>
      <c r="Z2306" s="152" t="s">
        <v>1327</v>
      </c>
    </row>
    <row r="2307" spans="1:26" x14ac:dyDescent="0.2">
      <c r="A2307" s="152" t="s">
        <v>3387</v>
      </c>
      <c r="B2307" s="152">
        <v>0</v>
      </c>
      <c r="C2307" s="151">
        <v>43531</v>
      </c>
      <c r="D2307" s="152">
        <v>0.36438399999999999</v>
      </c>
      <c r="E2307" s="152" t="s">
        <v>1325</v>
      </c>
      <c r="F2307" s="152" t="s">
        <v>1326</v>
      </c>
      <c r="G2307" s="152"/>
      <c r="H2307" s="152"/>
      <c r="I2307" s="151">
        <v>43350</v>
      </c>
      <c r="J2307" s="152">
        <v>2.1</v>
      </c>
      <c r="K2307" s="152" t="s">
        <v>1327</v>
      </c>
      <c r="L2307" s="152" t="s">
        <v>1327</v>
      </c>
      <c r="M2307" s="152" t="s">
        <v>1327</v>
      </c>
      <c r="N2307" s="152" t="s">
        <v>1327</v>
      </c>
      <c r="O2307" s="152">
        <v>2.3212109999999999</v>
      </c>
      <c r="P2307" s="152">
        <v>67.227616999999995</v>
      </c>
      <c r="Q2307" s="152">
        <v>2.3212109999999999</v>
      </c>
      <c r="R2307" s="152" t="s">
        <v>1327</v>
      </c>
      <c r="S2307" s="152">
        <v>99.161282999999997</v>
      </c>
      <c r="T2307" s="152">
        <v>0</v>
      </c>
      <c r="U2307" s="152">
        <v>0.36132700000000001</v>
      </c>
      <c r="V2307" s="152">
        <v>0.26111499999999999</v>
      </c>
      <c r="W2307" s="152">
        <v>1000</v>
      </c>
      <c r="X2307" s="152" t="s">
        <v>23</v>
      </c>
      <c r="Y2307" s="152" t="s">
        <v>1328</v>
      </c>
      <c r="Z2307" s="152" t="s">
        <v>1327</v>
      </c>
    </row>
    <row r="2308" spans="1:26" x14ac:dyDescent="0.2">
      <c r="A2308" s="152" t="s">
        <v>3388</v>
      </c>
      <c r="B2308" s="152">
        <v>0</v>
      </c>
      <c r="C2308" s="151">
        <v>43531</v>
      </c>
      <c r="D2308" s="152">
        <v>0.36438399999999999</v>
      </c>
      <c r="E2308" s="152" t="s">
        <v>1325</v>
      </c>
      <c r="F2308" s="152" t="s">
        <v>1326</v>
      </c>
      <c r="G2308" s="152"/>
      <c r="H2308" s="152"/>
      <c r="I2308" s="151">
        <v>43349</v>
      </c>
      <c r="J2308" s="152">
        <v>2.1</v>
      </c>
      <c r="K2308" s="152" t="s">
        <v>1327</v>
      </c>
      <c r="L2308" s="152" t="s">
        <v>1327</v>
      </c>
      <c r="M2308" s="152" t="s">
        <v>1327</v>
      </c>
      <c r="N2308" s="152" t="s">
        <v>1327</v>
      </c>
      <c r="O2308" s="152">
        <v>2.3212109999999999</v>
      </c>
      <c r="P2308" s="152">
        <v>67.227616999999995</v>
      </c>
      <c r="Q2308" s="152">
        <v>2.3212109999999999</v>
      </c>
      <c r="R2308" s="152" t="s">
        <v>1327</v>
      </c>
      <c r="S2308" s="152">
        <v>99.161282999999997</v>
      </c>
      <c r="T2308" s="152">
        <v>0</v>
      </c>
      <c r="U2308" s="152">
        <v>0.36132700000000001</v>
      </c>
      <c r="V2308" s="152">
        <v>0.26111499999999999</v>
      </c>
      <c r="W2308" s="152">
        <v>1000</v>
      </c>
      <c r="X2308" s="152" t="s">
        <v>23</v>
      </c>
      <c r="Y2308" s="152" t="s">
        <v>1328</v>
      </c>
      <c r="Z2308" s="152" t="s">
        <v>1327</v>
      </c>
    </row>
    <row r="2309" spans="1:26" x14ac:dyDescent="0.2">
      <c r="A2309" s="152" t="s">
        <v>3389</v>
      </c>
      <c r="B2309" s="152">
        <v>0</v>
      </c>
      <c r="C2309" s="151">
        <v>43538</v>
      </c>
      <c r="D2309" s="152">
        <v>0.38356200000000001</v>
      </c>
      <c r="E2309" s="152" t="s">
        <v>1325</v>
      </c>
      <c r="F2309" s="152" t="s">
        <v>1326</v>
      </c>
      <c r="G2309" s="152"/>
      <c r="H2309" s="152"/>
      <c r="I2309" s="151">
        <v>43357</v>
      </c>
      <c r="J2309" s="152">
        <v>2.1</v>
      </c>
      <c r="K2309" s="152" t="s">
        <v>1327</v>
      </c>
      <c r="L2309" s="152" t="s">
        <v>1327</v>
      </c>
      <c r="M2309" s="152" t="s">
        <v>1327</v>
      </c>
      <c r="N2309" s="152" t="s">
        <v>1327</v>
      </c>
      <c r="O2309" s="152">
        <v>2.3383370000000001</v>
      </c>
      <c r="P2309" s="152">
        <v>67.416482000000002</v>
      </c>
      <c r="Q2309" s="152">
        <v>2.3383370000000001</v>
      </c>
      <c r="R2309" s="152" t="s">
        <v>1327</v>
      </c>
      <c r="S2309" s="152">
        <v>99.111075999999997</v>
      </c>
      <c r="T2309" s="152">
        <v>0</v>
      </c>
      <c r="U2309" s="152">
        <v>0.38015199999999999</v>
      </c>
      <c r="V2309" s="152">
        <v>0.28903099999999998</v>
      </c>
      <c r="W2309" s="152">
        <v>1000</v>
      </c>
      <c r="X2309" s="152" t="s">
        <v>23</v>
      </c>
      <c r="Y2309" s="152" t="s">
        <v>1328</v>
      </c>
      <c r="Z2309" s="152" t="s">
        <v>1327</v>
      </c>
    </row>
    <row r="2310" spans="1:26" x14ac:dyDescent="0.2">
      <c r="A2310" s="152" t="s">
        <v>3390</v>
      </c>
      <c r="B2310" s="152">
        <v>0</v>
      </c>
      <c r="C2310" s="151">
        <v>43545</v>
      </c>
      <c r="D2310" s="152">
        <v>0.40273999999999999</v>
      </c>
      <c r="E2310" s="152" t="s">
        <v>1325</v>
      </c>
      <c r="F2310" s="152" t="s">
        <v>1326</v>
      </c>
      <c r="G2310" s="152"/>
      <c r="H2310" s="152"/>
      <c r="I2310" s="151">
        <v>43361</v>
      </c>
      <c r="J2310" s="152">
        <v>2.125</v>
      </c>
      <c r="K2310" s="152" t="s">
        <v>1327</v>
      </c>
      <c r="L2310" s="152" t="s">
        <v>1327</v>
      </c>
      <c r="M2310" s="152" t="s">
        <v>1327</v>
      </c>
      <c r="N2310" s="152" t="s">
        <v>1327</v>
      </c>
      <c r="O2310" s="152">
        <v>2.3553540000000002</v>
      </c>
      <c r="P2310" s="152">
        <v>67.727990000000005</v>
      </c>
      <c r="Q2310" s="152">
        <v>2.3553540000000002</v>
      </c>
      <c r="R2310" s="152" t="s">
        <v>1327</v>
      </c>
      <c r="S2310" s="152">
        <v>99.060319000000007</v>
      </c>
      <c r="T2310" s="152">
        <v>0</v>
      </c>
      <c r="U2310" s="152">
        <v>0.398955</v>
      </c>
      <c r="V2310" s="152">
        <v>0.31833099999999998</v>
      </c>
      <c r="W2310" s="152">
        <v>1000</v>
      </c>
      <c r="X2310" s="152" t="s">
        <v>23</v>
      </c>
      <c r="Y2310" s="152" t="s">
        <v>1328</v>
      </c>
      <c r="Z2310" s="152" t="s">
        <v>1327</v>
      </c>
    </row>
    <row r="2311" spans="1:26" x14ac:dyDescent="0.2">
      <c r="A2311" s="152" t="s">
        <v>3391</v>
      </c>
      <c r="B2311" s="152">
        <v>0</v>
      </c>
      <c r="C2311" s="151">
        <v>43545</v>
      </c>
      <c r="D2311" s="152">
        <v>0.40273999999999999</v>
      </c>
      <c r="E2311" s="152" t="s">
        <v>1325</v>
      </c>
      <c r="F2311" s="152" t="s">
        <v>1326</v>
      </c>
      <c r="G2311" s="152"/>
      <c r="H2311" s="152"/>
      <c r="I2311" s="151">
        <v>43361</v>
      </c>
      <c r="J2311" s="152">
        <v>2.12</v>
      </c>
      <c r="K2311" s="152" t="s">
        <v>1327</v>
      </c>
      <c r="L2311" s="152" t="s">
        <v>1327</v>
      </c>
      <c r="M2311" s="152" t="s">
        <v>1327</v>
      </c>
      <c r="N2311" s="152" t="s">
        <v>1327</v>
      </c>
      <c r="O2311" s="152">
        <v>2.3553540000000002</v>
      </c>
      <c r="P2311" s="152">
        <v>67.727990000000005</v>
      </c>
      <c r="Q2311" s="152">
        <v>2.3553540000000002</v>
      </c>
      <c r="R2311" s="152" t="s">
        <v>1327</v>
      </c>
      <c r="S2311" s="152">
        <v>99.060319000000007</v>
      </c>
      <c r="T2311" s="152">
        <v>0</v>
      </c>
      <c r="U2311" s="152">
        <v>0.398955</v>
      </c>
      <c r="V2311" s="152">
        <v>0.31833099999999998</v>
      </c>
      <c r="W2311" s="152">
        <v>1000</v>
      </c>
      <c r="X2311" s="152" t="s">
        <v>23</v>
      </c>
      <c r="Y2311" s="152" t="s">
        <v>1328</v>
      </c>
      <c r="Z2311" s="152" t="s">
        <v>1327</v>
      </c>
    </row>
    <row r="2312" spans="1:26" x14ac:dyDescent="0.2">
      <c r="A2312" s="152" t="s">
        <v>3392</v>
      </c>
      <c r="B2312" s="152">
        <v>0</v>
      </c>
      <c r="C2312" s="151">
        <v>43545</v>
      </c>
      <c r="D2312" s="152">
        <v>0.40273999999999999</v>
      </c>
      <c r="E2312" s="152" t="s">
        <v>1325</v>
      </c>
      <c r="F2312" s="152" t="s">
        <v>1326</v>
      </c>
      <c r="G2312" s="152"/>
      <c r="H2312" s="152"/>
      <c r="I2312" s="151">
        <v>43362</v>
      </c>
      <c r="J2312" s="152">
        <v>2.1</v>
      </c>
      <c r="K2312" s="152" t="s">
        <v>1327</v>
      </c>
      <c r="L2312" s="152" t="s">
        <v>1327</v>
      </c>
      <c r="M2312" s="152" t="s">
        <v>1327</v>
      </c>
      <c r="N2312" s="152" t="s">
        <v>1327</v>
      </c>
      <c r="O2312" s="152">
        <v>2.3553540000000002</v>
      </c>
      <c r="P2312" s="152">
        <v>67.727990000000005</v>
      </c>
      <c r="Q2312" s="152">
        <v>2.3553540000000002</v>
      </c>
      <c r="R2312" s="152" t="s">
        <v>1327</v>
      </c>
      <c r="S2312" s="152">
        <v>99.060319000000007</v>
      </c>
      <c r="T2312" s="152">
        <v>0</v>
      </c>
      <c r="U2312" s="152">
        <v>0.398955</v>
      </c>
      <c r="V2312" s="152">
        <v>0.31833099999999998</v>
      </c>
      <c r="W2312" s="152">
        <v>1000</v>
      </c>
      <c r="X2312" s="152" t="s">
        <v>23</v>
      </c>
      <c r="Y2312" s="152" t="s">
        <v>1328</v>
      </c>
      <c r="Z2312" s="152" t="s">
        <v>1327</v>
      </c>
    </row>
    <row r="2313" spans="1:26" x14ac:dyDescent="0.2">
      <c r="A2313" s="152" t="s">
        <v>3393</v>
      </c>
      <c r="B2313" s="152">
        <v>5</v>
      </c>
      <c r="C2313" s="151">
        <v>43476</v>
      </c>
      <c r="D2313" s="152">
        <v>0.213699</v>
      </c>
      <c r="E2313" s="152" t="s">
        <v>1325</v>
      </c>
      <c r="F2313" s="152" t="s">
        <v>1326</v>
      </c>
      <c r="G2313" s="152"/>
      <c r="H2313" s="152"/>
      <c r="I2313" s="151" t="s">
        <v>1327</v>
      </c>
      <c r="J2313" s="152" t="s">
        <v>1327</v>
      </c>
      <c r="K2313" s="152" t="s">
        <v>1327</v>
      </c>
      <c r="L2313" s="152" t="s">
        <v>1327</v>
      </c>
      <c r="M2313" s="152" t="s">
        <v>1327</v>
      </c>
      <c r="N2313" s="152" t="s">
        <v>1327</v>
      </c>
      <c r="O2313" s="152">
        <v>4.8413399999999998</v>
      </c>
      <c r="P2313" s="152">
        <v>344.36699900000002</v>
      </c>
      <c r="Q2313" s="152">
        <v>4.8413399999999998</v>
      </c>
      <c r="R2313" s="152" t="s">
        <v>1327</v>
      </c>
      <c r="S2313" s="152">
        <v>100.018969</v>
      </c>
      <c r="T2313" s="152">
        <v>1.424658</v>
      </c>
      <c r="U2313" s="152">
        <v>0.21151</v>
      </c>
      <c r="V2313" s="152">
        <v>8.9472999999999997E-2</v>
      </c>
      <c r="W2313" s="152">
        <v>1000</v>
      </c>
      <c r="X2313" s="152" t="s">
        <v>23</v>
      </c>
      <c r="Y2313" s="152" t="s">
        <v>1328</v>
      </c>
      <c r="Z2313" s="152" t="s">
        <v>1327</v>
      </c>
    </row>
    <row r="2314" spans="1:26" x14ac:dyDescent="0.2">
      <c r="A2314" s="152" t="s">
        <v>3394</v>
      </c>
      <c r="B2314" s="152">
        <v>0</v>
      </c>
      <c r="C2314" s="151">
        <v>43454</v>
      </c>
      <c r="D2314" s="152">
        <v>0.15342500000000001</v>
      </c>
      <c r="E2314" s="152" t="s">
        <v>1325</v>
      </c>
      <c r="F2314" s="152" t="s">
        <v>1326</v>
      </c>
      <c r="G2314" s="152"/>
      <c r="H2314" s="152"/>
      <c r="I2314" s="151" t="s">
        <v>1327</v>
      </c>
      <c r="J2314" s="152" t="s">
        <v>1327</v>
      </c>
      <c r="K2314" s="152" t="s">
        <v>1327</v>
      </c>
      <c r="L2314" s="152" t="s">
        <v>1327</v>
      </c>
      <c r="M2314" s="152" t="s">
        <v>1327</v>
      </c>
      <c r="N2314" s="152" t="s">
        <v>1327</v>
      </c>
      <c r="O2314" s="152">
        <v>1.5440039999999999</v>
      </c>
      <c r="P2314" s="152">
        <v>16.305149</v>
      </c>
      <c r="Q2314" s="152">
        <v>1.5440039999999999</v>
      </c>
      <c r="R2314" s="152" t="s">
        <v>1327</v>
      </c>
      <c r="S2314" s="152">
        <v>99.763672</v>
      </c>
      <c r="T2314" s="152">
        <v>0</v>
      </c>
      <c r="U2314" s="152">
        <v>0.153062</v>
      </c>
      <c r="V2314" s="152">
        <v>4.6856000000000002E-2</v>
      </c>
      <c r="W2314" s="152">
        <v>1000</v>
      </c>
      <c r="X2314" s="152" t="s">
        <v>23</v>
      </c>
      <c r="Y2314" s="152" t="s">
        <v>1921</v>
      </c>
      <c r="Z2314" s="152" t="s">
        <v>1327</v>
      </c>
    </row>
    <row r="2315" spans="1:26" x14ac:dyDescent="0.2">
      <c r="A2315" s="152" t="s">
        <v>3395</v>
      </c>
      <c r="B2315" s="152">
        <v>0</v>
      </c>
      <c r="C2315" s="151">
        <v>43413</v>
      </c>
      <c r="D2315" s="152">
        <v>4.1096000000000001E-2</v>
      </c>
      <c r="E2315" s="152" t="s">
        <v>1325</v>
      </c>
      <c r="F2315" s="152" t="s">
        <v>1326</v>
      </c>
      <c r="G2315" s="152"/>
      <c r="H2315" s="152"/>
      <c r="I2315" s="152" t="s">
        <v>1327</v>
      </c>
      <c r="J2315" s="152" t="s">
        <v>1327</v>
      </c>
      <c r="K2315" s="152" t="s">
        <v>1327</v>
      </c>
      <c r="L2315" s="152" t="s">
        <v>1327</v>
      </c>
      <c r="M2315" s="152" t="s">
        <v>1327</v>
      </c>
      <c r="N2315" s="152" t="s">
        <v>1327</v>
      </c>
      <c r="O2315" s="152">
        <v>3.5653649999999999</v>
      </c>
      <c r="P2315" s="152">
        <v>243.99787599999999</v>
      </c>
      <c r="Q2315" s="152">
        <v>3.5653649999999999</v>
      </c>
      <c r="R2315" s="152" t="s">
        <v>1327</v>
      </c>
      <c r="S2315" s="152">
        <v>99.853693000000007</v>
      </c>
      <c r="T2315" s="152">
        <v>0</v>
      </c>
      <c r="U2315" s="152">
        <v>4.1036000000000003E-2</v>
      </c>
      <c r="V2315" s="152">
        <v>3.3679999999999999E-3</v>
      </c>
      <c r="W2315" s="152">
        <v>1000</v>
      </c>
      <c r="X2315" s="152" t="s">
        <v>23</v>
      </c>
      <c r="Y2315" s="152" t="s">
        <v>1328</v>
      </c>
      <c r="Z2315" s="152" t="s">
        <v>1327</v>
      </c>
    </row>
    <row r="2316" spans="1:26" x14ac:dyDescent="0.2">
      <c r="A2316" s="152" t="s">
        <v>3396</v>
      </c>
      <c r="B2316" s="152">
        <v>0</v>
      </c>
      <c r="C2316" s="151">
        <v>43427</v>
      </c>
      <c r="D2316" s="152">
        <v>7.9451999999999995E-2</v>
      </c>
      <c r="E2316" s="152" t="s">
        <v>1325</v>
      </c>
      <c r="F2316" s="152" t="s">
        <v>1326</v>
      </c>
      <c r="G2316" s="152"/>
      <c r="H2316" s="152"/>
      <c r="I2316" s="152" t="s">
        <v>1327</v>
      </c>
      <c r="J2316" s="152" t="s">
        <v>1327</v>
      </c>
      <c r="K2316" s="152" t="s">
        <v>1327</v>
      </c>
      <c r="L2316" s="152" t="s">
        <v>1327</v>
      </c>
      <c r="M2316" s="152" t="s">
        <v>1327</v>
      </c>
      <c r="N2316" s="152" t="s">
        <v>1327</v>
      </c>
      <c r="O2316" s="152">
        <v>3.6058599999999998</v>
      </c>
      <c r="P2316" s="152">
        <v>240.896173</v>
      </c>
      <c r="Q2316" s="152">
        <v>3.6058599999999998</v>
      </c>
      <c r="R2316" s="152" t="s">
        <v>1327</v>
      </c>
      <c r="S2316" s="152">
        <v>99.714325000000002</v>
      </c>
      <c r="T2316" s="152">
        <v>0</v>
      </c>
      <c r="U2316" s="152">
        <v>7.9225000000000004E-2</v>
      </c>
      <c r="V2316" s="152">
        <v>1.2553E-2</v>
      </c>
      <c r="W2316" s="152">
        <v>1000</v>
      </c>
      <c r="X2316" s="152" t="s">
        <v>23</v>
      </c>
      <c r="Y2316" s="152" t="s">
        <v>1328</v>
      </c>
      <c r="Z2316" s="152" t="s">
        <v>1327</v>
      </c>
    </row>
    <row r="2317" spans="1:26" x14ac:dyDescent="0.2">
      <c r="A2317" s="152" t="s">
        <v>3397</v>
      </c>
      <c r="B2317" s="152">
        <v>0</v>
      </c>
      <c r="C2317" s="151">
        <v>43516</v>
      </c>
      <c r="D2317" s="152">
        <v>0.32328800000000002</v>
      </c>
      <c r="E2317" s="152" t="s">
        <v>1325</v>
      </c>
      <c r="F2317" s="152" t="s">
        <v>1326</v>
      </c>
      <c r="G2317" s="152"/>
      <c r="H2317" s="152"/>
      <c r="I2317" s="152" t="s">
        <v>1327</v>
      </c>
      <c r="J2317" s="152" t="s">
        <v>1327</v>
      </c>
      <c r="K2317" s="152" t="s">
        <v>1327</v>
      </c>
      <c r="L2317" s="152" t="s">
        <v>1327</v>
      </c>
      <c r="M2317" s="152" t="s">
        <v>1327</v>
      </c>
      <c r="N2317" s="152" t="s">
        <v>1327</v>
      </c>
      <c r="O2317" s="152">
        <v>3.948877</v>
      </c>
      <c r="P2317" s="152">
        <v>237.28549699999999</v>
      </c>
      <c r="Q2317" s="152">
        <v>3.948877</v>
      </c>
      <c r="R2317" s="152" t="s">
        <v>1327</v>
      </c>
      <c r="S2317" s="152">
        <v>98.739469</v>
      </c>
      <c r="T2317" s="152">
        <v>0</v>
      </c>
      <c r="U2317" s="152">
        <v>0.31921300000000002</v>
      </c>
      <c r="V2317" s="152">
        <v>0.203793</v>
      </c>
      <c r="W2317" s="152">
        <v>1000</v>
      </c>
      <c r="X2317" s="152" t="s">
        <v>23</v>
      </c>
      <c r="Y2317" s="152" t="s">
        <v>1328</v>
      </c>
      <c r="Z2317" s="152" t="s">
        <v>1327</v>
      </c>
    </row>
    <row r="2318" spans="1:26" x14ac:dyDescent="0.2">
      <c r="A2318" s="152" t="s">
        <v>3398</v>
      </c>
      <c r="B2318" s="152">
        <v>0</v>
      </c>
      <c r="C2318" s="151">
        <v>43546</v>
      </c>
      <c r="D2318" s="152">
        <v>0.40547899999999998</v>
      </c>
      <c r="E2318" s="152" t="s">
        <v>1325</v>
      </c>
      <c r="F2318" s="152" t="s">
        <v>1326</v>
      </c>
      <c r="G2318" s="152"/>
      <c r="H2318" s="152"/>
      <c r="I2318" s="151" t="s">
        <v>1327</v>
      </c>
      <c r="J2318" s="152" t="s">
        <v>1327</v>
      </c>
      <c r="K2318" s="152" t="s">
        <v>1327</v>
      </c>
      <c r="L2318" s="152" t="s">
        <v>1327</v>
      </c>
      <c r="M2318" s="152" t="s">
        <v>1327</v>
      </c>
      <c r="N2318" s="152" t="s">
        <v>1327</v>
      </c>
      <c r="O2318" s="152">
        <v>4.0223469999999999</v>
      </c>
      <c r="P2318" s="152">
        <v>237.40566899999999</v>
      </c>
      <c r="Q2318" s="152">
        <v>4.0223469999999999</v>
      </c>
      <c r="R2318" s="152" t="s">
        <v>1327</v>
      </c>
      <c r="S2318" s="152">
        <v>98.395195000000001</v>
      </c>
      <c r="T2318" s="152">
        <v>0</v>
      </c>
      <c r="U2318" s="152">
        <v>0.39897199999999999</v>
      </c>
      <c r="V2318" s="152">
        <v>0.31835799999999997</v>
      </c>
      <c r="W2318" s="152">
        <v>1000</v>
      </c>
      <c r="X2318" s="152" t="s">
        <v>23</v>
      </c>
      <c r="Y2318" s="152" t="s">
        <v>1328</v>
      </c>
      <c r="Z2318" s="152" t="s">
        <v>1327</v>
      </c>
    </row>
    <row r="2319" spans="1:26" x14ac:dyDescent="0.2">
      <c r="A2319" s="152" t="s">
        <v>3399</v>
      </c>
      <c r="B2319" s="152">
        <v>4</v>
      </c>
      <c r="C2319" s="151">
        <v>43575</v>
      </c>
      <c r="D2319" s="152">
        <v>0.48493199999999997</v>
      </c>
      <c r="E2319" s="152" t="s">
        <v>1325</v>
      </c>
      <c r="F2319" s="152" t="s">
        <v>1326</v>
      </c>
      <c r="G2319" s="152"/>
      <c r="H2319" s="152"/>
      <c r="I2319" s="151" t="s">
        <v>1327</v>
      </c>
      <c r="J2319" s="152" t="s">
        <v>1327</v>
      </c>
      <c r="K2319" s="152" t="s">
        <v>1327</v>
      </c>
      <c r="L2319" s="152" t="s">
        <v>1327</v>
      </c>
      <c r="M2319" s="152" t="s">
        <v>1327</v>
      </c>
      <c r="N2319" s="152" t="s">
        <v>1327</v>
      </c>
      <c r="O2319" s="152">
        <v>4.0859550000000002</v>
      </c>
      <c r="P2319" s="152">
        <v>238.893947</v>
      </c>
      <c r="Q2319" s="152">
        <v>4.0859550000000002</v>
      </c>
      <c r="R2319" s="152" t="s">
        <v>1327</v>
      </c>
      <c r="S2319" s="152">
        <v>99.939325999999994</v>
      </c>
      <c r="T2319" s="152">
        <v>1.0191779999999999</v>
      </c>
      <c r="U2319" s="152">
        <v>0.47550999999999999</v>
      </c>
      <c r="V2319" s="152">
        <v>0.45221899999999998</v>
      </c>
      <c r="W2319" s="152">
        <v>1000</v>
      </c>
      <c r="X2319" s="152" t="s">
        <v>23</v>
      </c>
      <c r="Y2319" s="152" t="s">
        <v>1328</v>
      </c>
      <c r="Z2319" s="152" t="s">
        <v>1327</v>
      </c>
    </row>
    <row r="2320" spans="1:26" x14ac:dyDescent="0.2">
      <c r="A2320" s="152" t="s">
        <v>3400</v>
      </c>
      <c r="B2320" s="152">
        <v>0</v>
      </c>
      <c r="C2320" s="151">
        <v>43623</v>
      </c>
      <c r="D2320" s="152">
        <v>0.61643800000000004</v>
      </c>
      <c r="E2320" s="152" t="s">
        <v>1325</v>
      </c>
      <c r="F2320" s="152" t="s">
        <v>1326</v>
      </c>
      <c r="G2320" s="152"/>
      <c r="H2320" s="152"/>
      <c r="I2320" s="151" t="s">
        <v>1327</v>
      </c>
      <c r="J2320" s="152" t="s">
        <v>1327</v>
      </c>
      <c r="K2320" s="152" t="s">
        <v>1327</v>
      </c>
      <c r="L2320" s="152" t="s">
        <v>1327</v>
      </c>
      <c r="M2320" s="152" t="s">
        <v>1327</v>
      </c>
      <c r="N2320" s="152" t="s">
        <v>1327</v>
      </c>
      <c r="O2320" s="152">
        <v>4.1104849999999997</v>
      </c>
      <c r="P2320" s="152">
        <v>236.096281</v>
      </c>
      <c r="Q2320" s="152">
        <v>4.1104849999999997</v>
      </c>
      <c r="R2320" s="152" t="s">
        <v>1327</v>
      </c>
      <c r="S2320" s="152">
        <v>97.528756999999999</v>
      </c>
      <c r="T2320" s="152">
        <v>0</v>
      </c>
      <c r="U2320" s="152">
        <v>0.60120499999999999</v>
      </c>
      <c r="V2320" s="152">
        <v>0.72289400000000004</v>
      </c>
      <c r="W2320" s="152">
        <v>1000</v>
      </c>
      <c r="X2320" s="152" t="s">
        <v>23</v>
      </c>
      <c r="Y2320" s="152" t="s">
        <v>1328</v>
      </c>
      <c r="Z2320" s="152" t="s">
        <v>1327</v>
      </c>
    </row>
    <row r="2321" spans="1:26" x14ac:dyDescent="0.2">
      <c r="A2321" s="152" t="s">
        <v>3401</v>
      </c>
      <c r="B2321" s="152">
        <v>0</v>
      </c>
      <c r="C2321" s="151">
        <v>43434</v>
      </c>
      <c r="D2321" s="152">
        <v>9.8629999999999995E-2</v>
      </c>
      <c r="E2321" s="152" t="s">
        <v>1325</v>
      </c>
      <c r="F2321" s="152" t="s">
        <v>1326</v>
      </c>
      <c r="G2321" s="152"/>
      <c r="H2321" s="152"/>
      <c r="I2321" s="151" t="s">
        <v>1327</v>
      </c>
      <c r="J2321" s="152" t="s">
        <v>1327</v>
      </c>
      <c r="K2321" s="152" t="s">
        <v>1327</v>
      </c>
      <c r="L2321" s="152" t="s">
        <v>1327</v>
      </c>
      <c r="M2321" s="152" t="s">
        <v>1327</v>
      </c>
      <c r="N2321" s="152" t="s">
        <v>1327</v>
      </c>
      <c r="O2321" s="152">
        <v>1.4787680000000001</v>
      </c>
      <c r="P2321" s="152">
        <v>19.606964000000001</v>
      </c>
      <c r="Q2321" s="152">
        <v>1.4787680000000001</v>
      </c>
      <c r="R2321" s="152" t="s">
        <v>1327</v>
      </c>
      <c r="S2321" s="152">
        <v>99.854360999999997</v>
      </c>
      <c r="T2321" s="152">
        <v>0</v>
      </c>
      <c r="U2321" s="152">
        <v>9.8486000000000004E-2</v>
      </c>
      <c r="V2321" s="152">
        <v>1.9399E-2</v>
      </c>
      <c r="W2321" s="152">
        <v>1000</v>
      </c>
      <c r="X2321" s="152" t="s">
        <v>23</v>
      </c>
      <c r="Y2321" s="152" t="s">
        <v>1921</v>
      </c>
      <c r="Z2321" s="152" t="s">
        <v>1327</v>
      </c>
    </row>
    <row r="2322" spans="1:26" x14ac:dyDescent="0.2">
      <c r="A2322" s="152" t="s">
        <v>3402</v>
      </c>
      <c r="B2322" s="152">
        <v>0</v>
      </c>
      <c r="C2322" s="151">
        <v>43438</v>
      </c>
      <c r="D2322" s="152">
        <v>0.10958900000000001</v>
      </c>
      <c r="E2322" s="152" t="s">
        <v>1325</v>
      </c>
      <c r="F2322" s="152" t="s">
        <v>1326</v>
      </c>
      <c r="G2322" s="152"/>
      <c r="H2322" s="152"/>
      <c r="I2322" s="151" t="s">
        <v>1327</v>
      </c>
      <c r="J2322" s="152" t="s">
        <v>1327</v>
      </c>
      <c r="K2322" s="152" t="s">
        <v>1327</v>
      </c>
      <c r="L2322" s="152" t="s">
        <v>1327</v>
      </c>
      <c r="M2322" s="152" t="s">
        <v>1327</v>
      </c>
      <c r="N2322" s="152" t="s">
        <v>1327</v>
      </c>
      <c r="O2322" s="152">
        <v>1.5833699999999999</v>
      </c>
      <c r="P2322" s="152">
        <v>28.194956999999999</v>
      </c>
      <c r="Q2322" s="152">
        <v>1.5833699999999999</v>
      </c>
      <c r="R2322" s="152" t="s">
        <v>1327</v>
      </c>
      <c r="S2322" s="152">
        <v>99.826780999999997</v>
      </c>
      <c r="T2322" s="152">
        <v>0</v>
      </c>
      <c r="U2322" s="152">
        <v>0.109399</v>
      </c>
      <c r="V2322" s="152">
        <v>2.3935999999999999E-2</v>
      </c>
      <c r="W2322" s="152">
        <v>1000</v>
      </c>
      <c r="X2322" s="152" t="s">
        <v>23</v>
      </c>
      <c r="Y2322" s="152" t="s">
        <v>1921</v>
      </c>
      <c r="Z2322" s="152" t="s">
        <v>1327</v>
      </c>
    </row>
    <row r="2323" spans="1:26" x14ac:dyDescent="0.2">
      <c r="A2323" s="152" t="s">
        <v>3403</v>
      </c>
      <c r="B2323" s="152">
        <v>0</v>
      </c>
      <c r="C2323" s="151">
        <v>43453</v>
      </c>
      <c r="D2323" s="152">
        <v>0.15068500000000001</v>
      </c>
      <c r="E2323" s="152" t="s">
        <v>1325</v>
      </c>
      <c r="F2323" s="152" t="s">
        <v>1326</v>
      </c>
      <c r="G2323" s="152"/>
      <c r="H2323" s="152"/>
      <c r="I2323" s="151" t="s">
        <v>1327</v>
      </c>
      <c r="J2323" s="152" t="s">
        <v>1327</v>
      </c>
      <c r="K2323" s="152" t="s">
        <v>1327</v>
      </c>
      <c r="L2323" s="152" t="s">
        <v>1327</v>
      </c>
      <c r="M2323" s="152" t="s">
        <v>1327</v>
      </c>
      <c r="N2323" s="152" t="s">
        <v>1327</v>
      </c>
      <c r="O2323" s="152">
        <v>1.662792</v>
      </c>
      <c r="P2323" s="152">
        <v>28.829141</v>
      </c>
      <c r="Q2323" s="152">
        <v>1.662792</v>
      </c>
      <c r="R2323" s="152" t="s">
        <v>1327</v>
      </c>
      <c r="S2323" s="152">
        <v>99.750068999999996</v>
      </c>
      <c r="T2323" s="152">
        <v>0</v>
      </c>
      <c r="U2323" s="152">
        <v>0.150308</v>
      </c>
      <c r="V2323" s="152">
        <v>4.5185000000000003E-2</v>
      </c>
      <c r="W2323" s="152">
        <v>1000</v>
      </c>
      <c r="X2323" s="152" t="s">
        <v>23</v>
      </c>
      <c r="Y2323" s="152" t="s">
        <v>1921</v>
      </c>
      <c r="Z2323" s="152" t="s">
        <v>1327</v>
      </c>
    </row>
    <row r="2324" spans="1:26" x14ac:dyDescent="0.2">
      <c r="A2324" s="152" t="s">
        <v>3404</v>
      </c>
      <c r="B2324" s="152">
        <v>0</v>
      </c>
      <c r="C2324" s="151">
        <v>43466</v>
      </c>
      <c r="D2324" s="152">
        <v>0.18630099999999999</v>
      </c>
      <c r="E2324" s="152" t="s">
        <v>1325</v>
      </c>
      <c r="F2324" s="152" t="s">
        <v>1326</v>
      </c>
      <c r="G2324" s="152"/>
      <c r="H2324" s="152"/>
      <c r="I2324" s="151" t="s">
        <v>1327</v>
      </c>
      <c r="J2324" s="152" t="s">
        <v>1327</v>
      </c>
      <c r="K2324" s="152" t="s">
        <v>1327</v>
      </c>
      <c r="L2324" s="152" t="s">
        <v>1327</v>
      </c>
      <c r="M2324" s="152" t="s">
        <v>1327</v>
      </c>
      <c r="N2324" s="152" t="s">
        <v>1327</v>
      </c>
      <c r="O2324" s="152">
        <v>1.7327650000000001</v>
      </c>
      <c r="P2324" s="152">
        <v>29.806387000000001</v>
      </c>
      <c r="Q2324" s="152">
        <v>1.7327650000000001</v>
      </c>
      <c r="R2324" s="152" t="s">
        <v>1327</v>
      </c>
      <c r="S2324" s="152">
        <v>99.678222000000005</v>
      </c>
      <c r="T2324" s="152">
        <v>0</v>
      </c>
      <c r="U2324" s="152">
        <v>0.18570200000000001</v>
      </c>
      <c r="V2324" s="152">
        <v>6.8970000000000004E-2</v>
      </c>
      <c r="W2324" s="152">
        <v>1000</v>
      </c>
      <c r="X2324" s="152" t="s">
        <v>23</v>
      </c>
      <c r="Y2324" s="152" t="s">
        <v>1921</v>
      </c>
      <c r="Z2324" s="152" t="s">
        <v>1327</v>
      </c>
    </row>
    <row r="2325" spans="1:26" x14ac:dyDescent="0.2">
      <c r="A2325" s="152" t="s">
        <v>3405</v>
      </c>
      <c r="B2325" s="152">
        <v>0</v>
      </c>
      <c r="C2325" s="151">
        <v>43405</v>
      </c>
      <c r="D2325" s="152">
        <v>1.9178000000000001E-2</v>
      </c>
      <c r="E2325" s="152" t="s">
        <v>1325</v>
      </c>
      <c r="F2325" s="152" t="s">
        <v>1326</v>
      </c>
      <c r="G2325" s="152"/>
      <c r="H2325" s="152"/>
      <c r="I2325" s="151" t="s">
        <v>1327</v>
      </c>
      <c r="J2325" s="152" t="s">
        <v>1327</v>
      </c>
      <c r="K2325" s="152" t="s">
        <v>1327</v>
      </c>
      <c r="L2325" s="152" t="s">
        <v>1327</v>
      </c>
      <c r="M2325" s="152" t="s">
        <v>1327</v>
      </c>
      <c r="N2325" s="152" t="s">
        <v>1327</v>
      </c>
      <c r="O2325" s="152">
        <v>1.4653400000000001</v>
      </c>
      <c r="P2325" s="152">
        <v>32.847676999999997</v>
      </c>
      <c r="Q2325" s="152">
        <v>1.4653400000000001</v>
      </c>
      <c r="R2325" s="152" t="s">
        <v>1327</v>
      </c>
      <c r="S2325" s="152">
        <v>99.971905000000007</v>
      </c>
      <c r="T2325" s="152">
        <v>0</v>
      </c>
      <c r="U2325" s="152">
        <v>1.9172999999999999E-2</v>
      </c>
      <c r="V2325" s="152">
        <v>7.3499999999999998E-4</v>
      </c>
      <c r="W2325" s="152">
        <v>1000</v>
      </c>
      <c r="X2325" s="152" t="s">
        <v>23</v>
      </c>
      <c r="Y2325" s="152" t="s">
        <v>1921</v>
      </c>
      <c r="Z2325" s="152" t="s">
        <v>1327</v>
      </c>
    </row>
    <row r="2326" spans="1:26" x14ac:dyDescent="0.2">
      <c r="A2326" s="152" t="s">
        <v>3406</v>
      </c>
      <c r="B2326" s="152">
        <v>0</v>
      </c>
      <c r="C2326" s="151">
        <v>43415</v>
      </c>
      <c r="D2326" s="152">
        <v>4.6574999999999998E-2</v>
      </c>
      <c r="E2326" s="152" t="s">
        <v>1325</v>
      </c>
      <c r="F2326" s="152" t="s">
        <v>1326</v>
      </c>
      <c r="G2326" s="152"/>
      <c r="H2326" s="152"/>
      <c r="I2326" s="151" t="s">
        <v>1327</v>
      </c>
      <c r="J2326" s="152" t="s">
        <v>1327</v>
      </c>
      <c r="K2326" s="152" t="s">
        <v>1327</v>
      </c>
      <c r="L2326" s="152" t="s">
        <v>1327</v>
      </c>
      <c r="M2326" s="152" t="s">
        <v>1327</v>
      </c>
      <c r="N2326" s="152" t="s">
        <v>1327</v>
      </c>
      <c r="O2326" s="152">
        <v>1.464086</v>
      </c>
      <c r="P2326" s="152">
        <v>27.735652000000002</v>
      </c>
      <c r="Q2326" s="152">
        <v>1.464086</v>
      </c>
      <c r="R2326" s="152" t="s">
        <v>1327</v>
      </c>
      <c r="S2326" s="152">
        <v>99.931855999999996</v>
      </c>
      <c r="T2326" s="152">
        <v>0</v>
      </c>
      <c r="U2326" s="152">
        <v>4.6544000000000002E-2</v>
      </c>
      <c r="V2326" s="152">
        <v>4.333E-3</v>
      </c>
      <c r="W2326" s="152">
        <v>1000</v>
      </c>
      <c r="X2326" s="152" t="s">
        <v>23</v>
      </c>
      <c r="Y2326" s="152" t="s">
        <v>1921</v>
      </c>
      <c r="Z2326" s="152" t="s">
        <v>1327</v>
      </c>
    </row>
    <row r="2327" spans="1:26" x14ac:dyDescent="0.2">
      <c r="A2327" s="152" t="s">
        <v>3407</v>
      </c>
      <c r="B2327" s="152">
        <v>0</v>
      </c>
      <c r="C2327" s="151">
        <v>43438</v>
      </c>
      <c r="D2327" s="152">
        <v>0.10958900000000001</v>
      </c>
      <c r="E2327" s="152" t="s">
        <v>1325</v>
      </c>
      <c r="F2327" s="152" t="s">
        <v>1326</v>
      </c>
      <c r="G2327" s="152"/>
      <c r="H2327" s="152"/>
      <c r="I2327" s="151" t="s">
        <v>1327</v>
      </c>
      <c r="J2327" s="152" t="s">
        <v>1327</v>
      </c>
      <c r="K2327" s="152" t="s">
        <v>1327</v>
      </c>
      <c r="L2327" s="152" t="s">
        <v>1327</v>
      </c>
      <c r="M2327" s="152" t="s">
        <v>1327</v>
      </c>
      <c r="N2327" s="152" t="s">
        <v>1327</v>
      </c>
      <c r="O2327" s="152">
        <v>3.2317420000000001</v>
      </c>
      <c r="P2327" s="152">
        <v>196.600506</v>
      </c>
      <c r="Q2327" s="152">
        <v>3.2317420000000001</v>
      </c>
      <c r="R2327" s="152" t="s">
        <v>1327</v>
      </c>
      <c r="S2327" s="152">
        <v>99.647086000000002</v>
      </c>
      <c r="T2327" s="152">
        <v>0</v>
      </c>
      <c r="U2327" s="152">
        <v>0.10920199999999999</v>
      </c>
      <c r="V2327" s="152">
        <v>2.385E-2</v>
      </c>
      <c r="W2327" s="152">
        <v>1000</v>
      </c>
      <c r="X2327" s="152" t="s">
        <v>23</v>
      </c>
      <c r="Y2327" s="152" t="s">
        <v>1328</v>
      </c>
      <c r="Z2327" s="152" t="s">
        <v>1327</v>
      </c>
    </row>
    <row r="2328" spans="1:26" x14ac:dyDescent="0.2">
      <c r="A2328" s="152" t="s">
        <v>3408</v>
      </c>
      <c r="B2328" s="152">
        <v>0</v>
      </c>
      <c r="C2328" s="151">
        <v>43440</v>
      </c>
      <c r="D2328" s="152">
        <v>0.115068</v>
      </c>
      <c r="E2328" s="152" t="s">
        <v>1325</v>
      </c>
      <c r="F2328" s="152" t="s">
        <v>1326</v>
      </c>
      <c r="G2328" s="152"/>
      <c r="H2328" s="152"/>
      <c r="I2328" s="151" t="s">
        <v>1327</v>
      </c>
      <c r="J2328" s="152" t="s">
        <v>1327</v>
      </c>
      <c r="K2328" s="152" t="s">
        <v>1327</v>
      </c>
      <c r="L2328" s="152" t="s">
        <v>1327</v>
      </c>
      <c r="M2328" s="152" t="s">
        <v>1327</v>
      </c>
      <c r="N2328" s="152" t="s">
        <v>1327</v>
      </c>
      <c r="O2328" s="152">
        <v>3.2486790000000001</v>
      </c>
      <c r="P2328" s="152">
        <v>197.316723</v>
      </c>
      <c r="Q2328" s="152">
        <v>3.2486790000000001</v>
      </c>
      <c r="R2328" s="152" t="s">
        <v>1327</v>
      </c>
      <c r="S2328" s="152">
        <v>99.627572000000001</v>
      </c>
      <c r="T2328" s="152">
        <v>0</v>
      </c>
      <c r="U2328" s="152">
        <v>0.11464000000000001</v>
      </c>
      <c r="V2328" s="152">
        <v>2.6284999999999999E-2</v>
      </c>
      <c r="W2328" s="152">
        <v>1000</v>
      </c>
      <c r="X2328" s="152" t="s">
        <v>23</v>
      </c>
      <c r="Y2328" s="152" t="s">
        <v>1328</v>
      </c>
      <c r="Z2328" s="152" t="s">
        <v>1327</v>
      </c>
    </row>
    <row r="2329" spans="1:26" x14ac:dyDescent="0.2">
      <c r="A2329" s="152" t="s">
        <v>3409</v>
      </c>
      <c r="B2329" s="152">
        <v>0</v>
      </c>
      <c r="C2329" s="151">
        <v>43446</v>
      </c>
      <c r="D2329" s="152">
        <v>0.13150700000000001</v>
      </c>
      <c r="E2329" s="152" t="s">
        <v>1325</v>
      </c>
      <c r="F2329" s="152" t="s">
        <v>1326</v>
      </c>
      <c r="G2329" s="152"/>
      <c r="H2329" s="152"/>
      <c r="I2329" s="151">
        <v>43266</v>
      </c>
      <c r="J2329" s="152">
        <v>3.4</v>
      </c>
      <c r="K2329" s="152" t="s">
        <v>1327</v>
      </c>
      <c r="L2329" s="152" t="s">
        <v>1327</v>
      </c>
      <c r="M2329" s="152" t="s">
        <v>1327</v>
      </c>
      <c r="N2329" s="152" t="s">
        <v>1327</v>
      </c>
      <c r="O2329" s="152">
        <v>3.2996340000000002</v>
      </c>
      <c r="P2329" s="152">
        <v>199.50215600000001</v>
      </c>
      <c r="Q2329" s="152">
        <v>3.2996340000000002</v>
      </c>
      <c r="R2329" s="152" t="s">
        <v>1327</v>
      </c>
      <c r="S2329" s="152">
        <v>99.567949999999996</v>
      </c>
      <c r="T2329" s="152">
        <v>0</v>
      </c>
      <c r="U2329" s="152">
        <v>0.130939</v>
      </c>
      <c r="V2329" s="152">
        <v>3.4290000000000001E-2</v>
      </c>
      <c r="W2329" s="152">
        <v>1000</v>
      </c>
      <c r="X2329" s="152" t="s">
        <v>23</v>
      </c>
      <c r="Y2329" s="152" t="s">
        <v>1328</v>
      </c>
      <c r="Z2329" s="152" t="s">
        <v>1327</v>
      </c>
    </row>
    <row r="2330" spans="1:26" x14ac:dyDescent="0.2">
      <c r="A2330" s="152" t="s">
        <v>3410</v>
      </c>
      <c r="B2330" s="152">
        <v>0</v>
      </c>
      <c r="C2330" s="151">
        <v>43416</v>
      </c>
      <c r="D2330" s="152">
        <v>4.9314999999999998E-2</v>
      </c>
      <c r="E2330" s="152" t="s">
        <v>1325</v>
      </c>
      <c r="F2330" s="152" t="s">
        <v>1326</v>
      </c>
      <c r="G2330" s="152"/>
      <c r="H2330" s="152"/>
      <c r="I2330" s="152">
        <v>43236</v>
      </c>
      <c r="J2330" s="152">
        <v>3.45</v>
      </c>
      <c r="K2330" s="152" t="s">
        <v>1327</v>
      </c>
      <c r="L2330" s="152" t="s">
        <v>1327</v>
      </c>
      <c r="M2330" s="152" t="s">
        <v>1327</v>
      </c>
      <c r="N2330" s="152" t="s">
        <v>1327</v>
      </c>
      <c r="O2330" s="152">
        <v>3.1220129999999999</v>
      </c>
      <c r="P2330" s="152">
        <v>196.67828600000001</v>
      </c>
      <c r="Q2330" s="152">
        <v>3.1220129999999999</v>
      </c>
      <c r="R2330" s="152" t="s">
        <v>1327</v>
      </c>
      <c r="S2330" s="152">
        <v>99.846273999999994</v>
      </c>
      <c r="T2330" s="152">
        <v>0</v>
      </c>
      <c r="U2330" s="152">
        <v>4.9238999999999998E-2</v>
      </c>
      <c r="V2330" s="152">
        <v>4.849E-3</v>
      </c>
      <c r="W2330" s="152">
        <v>1000</v>
      </c>
      <c r="X2330" s="152" t="s">
        <v>23</v>
      </c>
      <c r="Y2330" s="152" t="s">
        <v>1328</v>
      </c>
      <c r="Z2330" s="152" t="s">
        <v>1327</v>
      </c>
    </row>
    <row r="2331" spans="1:26" x14ac:dyDescent="0.2">
      <c r="A2331" s="152" t="s">
        <v>3411</v>
      </c>
      <c r="B2331" s="152">
        <v>0</v>
      </c>
      <c r="C2331" s="151">
        <v>43481</v>
      </c>
      <c r="D2331" s="152">
        <v>0.22739699999999999</v>
      </c>
      <c r="E2331" s="152" t="s">
        <v>1325</v>
      </c>
      <c r="F2331" s="152" t="s">
        <v>1326</v>
      </c>
      <c r="G2331" s="152"/>
      <c r="H2331" s="152"/>
      <c r="I2331" s="151">
        <v>43383</v>
      </c>
      <c r="J2331" s="152">
        <v>3.3</v>
      </c>
      <c r="K2331" s="152" t="s">
        <v>1327</v>
      </c>
      <c r="L2331" s="152" t="s">
        <v>1327</v>
      </c>
      <c r="M2331" s="152" t="s">
        <v>1327</v>
      </c>
      <c r="N2331" s="152" t="s">
        <v>1327</v>
      </c>
      <c r="O2331" s="152">
        <v>3.270362</v>
      </c>
      <c r="P2331" s="152">
        <v>180.05900800000001</v>
      </c>
      <c r="Q2331" s="152">
        <v>3.270362</v>
      </c>
      <c r="R2331" s="152" t="s">
        <v>1327</v>
      </c>
      <c r="S2331" s="152">
        <v>99.261818000000005</v>
      </c>
      <c r="T2331" s="152">
        <v>0</v>
      </c>
      <c r="U2331" s="152">
        <v>0.225719</v>
      </c>
      <c r="V2331" s="152">
        <v>0.101898</v>
      </c>
      <c r="W2331" s="152">
        <v>1000</v>
      </c>
      <c r="X2331" s="152" t="s">
        <v>23</v>
      </c>
      <c r="Y2331" s="152" t="s">
        <v>1328</v>
      </c>
      <c r="Z2331" s="152" t="s">
        <v>1327</v>
      </c>
    </row>
    <row r="2332" spans="1:26" x14ac:dyDescent="0.2">
      <c r="A2332" s="152" t="s">
        <v>3412</v>
      </c>
      <c r="B2332" s="152">
        <v>0</v>
      </c>
      <c r="C2332" s="151">
        <v>43487</v>
      </c>
      <c r="D2332" s="152">
        <v>0.243836</v>
      </c>
      <c r="E2332" s="152" t="s">
        <v>1325</v>
      </c>
      <c r="F2332" s="152" t="s">
        <v>1326</v>
      </c>
      <c r="G2332" s="152"/>
      <c r="H2332" s="152"/>
      <c r="I2332" s="151">
        <v>43307</v>
      </c>
      <c r="J2332" s="152">
        <v>3.4</v>
      </c>
      <c r="K2332" s="152" t="s">
        <v>1327</v>
      </c>
      <c r="L2332" s="152" t="s">
        <v>1327</v>
      </c>
      <c r="M2332" s="152" t="s">
        <v>1327</v>
      </c>
      <c r="N2332" s="152" t="s">
        <v>1327</v>
      </c>
      <c r="O2332" s="152">
        <v>3.2906029999999999</v>
      </c>
      <c r="P2332" s="152">
        <v>179.685171</v>
      </c>
      <c r="Q2332" s="152">
        <v>3.2906029999999999</v>
      </c>
      <c r="R2332" s="152" t="s">
        <v>1327</v>
      </c>
      <c r="S2332" s="152">
        <v>99.20402</v>
      </c>
      <c r="T2332" s="152">
        <v>0</v>
      </c>
      <c r="U2332" s="152">
        <v>0.241895</v>
      </c>
      <c r="V2332" s="152">
        <v>0.11702600000000001</v>
      </c>
      <c r="W2332" s="152">
        <v>1000</v>
      </c>
      <c r="X2332" s="152" t="s">
        <v>23</v>
      </c>
      <c r="Y2332" s="152" t="s">
        <v>1328</v>
      </c>
      <c r="Z2332" s="152" t="s">
        <v>1327</v>
      </c>
    </row>
    <row r="2333" spans="1:26" x14ac:dyDescent="0.2">
      <c r="A2333" s="152" t="s">
        <v>3413</v>
      </c>
      <c r="B2333" s="152">
        <v>0</v>
      </c>
      <c r="C2333" s="151">
        <v>43496</v>
      </c>
      <c r="D2333" s="152">
        <v>0.26849299999999998</v>
      </c>
      <c r="E2333" s="152" t="s">
        <v>1325</v>
      </c>
      <c r="F2333" s="152" t="s">
        <v>1326</v>
      </c>
      <c r="G2333" s="152"/>
      <c r="H2333" s="152"/>
      <c r="I2333" s="151">
        <v>43312</v>
      </c>
      <c r="J2333" s="152">
        <v>3.2</v>
      </c>
      <c r="K2333" s="152" t="s">
        <v>1327</v>
      </c>
      <c r="L2333" s="152" t="s">
        <v>1327</v>
      </c>
      <c r="M2333" s="152" t="s">
        <v>1327</v>
      </c>
      <c r="N2333" s="152" t="s">
        <v>1327</v>
      </c>
      <c r="O2333" s="152">
        <v>3.3210470000000001</v>
      </c>
      <c r="P2333" s="152">
        <v>179.400091</v>
      </c>
      <c r="Q2333" s="152">
        <v>3.3210470000000001</v>
      </c>
      <c r="R2333" s="152" t="s">
        <v>1327</v>
      </c>
      <c r="S2333" s="152">
        <v>99.116202000000001</v>
      </c>
      <c r="T2333" s="152">
        <v>0</v>
      </c>
      <c r="U2333" s="152">
        <v>0.26612000000000002</v>
      </c>
      <c r="V2333" s="152">
        <v>0.14163999999999999</v>
      </c>
      <c r="W2333" s="152">
        <v>1000</v>
      </c>
      <c r="X2333" s="152" t="s">
        <v>23</v>
      </c>
      <c r="Y2333" s="152" t="s">
        <v>1328</v>
      </c>
      <c r="Z2333" s="152" t="s">
        <v>1327</v>
      </c>
    </row>
    <row r="2334" spans="1:26" x14ac:dyDescent="0.2">
      <c r="A2334" s="152" t="s">
        <v>3414</v>
      </c>
      <c r="B2334" s="152">
        <v>0</v>
      </c>
      <c r="C2334" s="151">
        <v>43510</v>
      </c>
      <c r="D2334" s="152">
        <v>0.30684899999999998</v>
      </c>
      <c r="E2334" s="152" t="s">
        <v>1325</v>
      </c>
      <c r="F2334" s="152" t="s">
        <v>1326</v>
      </c>
      <c r="G2334" s="152"/>
      <c r="H2334" s="152"/>
      <c r="I2334" s="151">
        <v>43319</v>
      </c>
      <c r="J2334" s="152">
        <v>3.32</v>
      </c>
      <c r="K2334" s="152" t="s">
        <v>1327</v>
      </c>
      <c r="L2334" s="152" t="s">
        <v>1327</v>
      </c>
      <c r="M2334" s="152" t="s">
        <v>1327</v>
      </c>
      <c r="N2334" s="152" t="s">
        <v>1327</v>
      </c>
      <c r="O2334" s="152">
        <v>3.3682780000000001</v>
      </c>
      <c r="P2334" s="152">
        <v>179.56437199999999</v>
      </c>
      <c r="Q2334" s="152">
        <v>3.3682780000000001</v>
      </c>
      <c r="R2334" s="152" t="s">
        <v>1327</v>
      </c>
      <c r="S2334" s="152">
        <v>98.977018999999999</v>
      </c>
      <c r="T2334" s="152">
        <v>0</v>
      </c>
      <c r="U2334" s="152">
        <v>0.30370999999999998</v>
      </c>
      <c r="V2334" s="152">
        <v>0.18448000000000001</v>
      </c>
      <c r="W2334" s="152">
        <v>1000</v>
      </c>
      <c r="X2334" s="152" t="s">
        <v>23</v>
      </c>
      <c r="Y2334" s="152" t="s">
        <v>1328</v>
      </c>
      <c r="Z2334" s="152" t="s">
        <v>1327</v>
      </c>
    </row>
    <row r="2335" spans="1:26" x14ac:dyDescent="0.2">
      <c r="A2335" s="152" t="s">
        <v>3415</v>
      </c>
      <c r="B2335" s="152">
        <v>0</v>
      </c>
      <c r="C2335" s="151">
        <v>43510</v>
      </c>
      <c r="D2335" s="152">
        <v>0.30684899999999998</v>
      </c>
      <c r="E2335" s="152" t="s">
        <v>1325</v>
      </c>
      <c r="F2335" s="152" t="s">
        <v>1326</v>
      </c>
      <c r="G2335" s="152"/>
      <c r="H2335" s="152"/>
      <c r="I2335" s="151" t="s">
        <v>1327</v>
      </c>
      <c r="J2335" s="152" t="s">
        <v>1327</v>
      </c>
      <c r="K2335" s="152" t="s">
        <v>1327</v>
      </c>
      <c r="L2335" s="152" t="s">
        <v>1327</v>
      </c>
      <c r="M2335" s="152" t="s">
        <v>1327</v>
      </c>
      <c r="N2335" s="152" t="s">
        <v>1327</v>
      </c>
      <c r="O2335" s="152">
        <v>3.3682780000000001</v>
      </c>
      <c r="P2335" s="152">
        <v>179.56437199999999</v>
      </c>
      <c r="Q2335" s="152">
        <v>3.3682780000000001</v>
      </c>
      <c r="R2335" s="152" t="s">
        <v>1327</v>
      </c>
      <c r="S2335" s="152">
        <v>98.977018999999999</v>
      </c>
      <c r="T2335" s="152">
        <v>0</v>
      </c>
      <c r="U2335" s="152">
        <v>0.30370999999999998</v>
      </c>
      <c r="V2335" s="152">
        <v>0.18448000000000001</v>
      </c>
      <c r="W2335" s="152">
        <v>1000</v>
      </c>
      <c r="X2335" s="152" t="s">
        <v>23</v>
      </c>
      <c r="Y2335" s="152" t="s">
        <v>1328</v>
      </c>
      <c r="Z2335" s="152" t="s">
        <v>1327</v>
      </c>
    </row>
    <row r="2336" spans="1:26" x14ac:dyDescent="0.2">
      <c r="A2336" s="152" t="s">
        <v>3416</v>
      </c>
      <c r="B2336" s="152">
        <v>0</v>
      </c>
      <c r="C2336" s="151">
        <v>43531</v>
      </c>
      <c r="D2336" s="152">
        <v>0.36438399999999999</v>
      </c>
      <c r="E2336" s="152" t="s">
        <v>1325</v>
      </c>
      <c r="F2336" s="152" t="s">
        <v>1326</v>
      </c>
      <c r="G2336" s="152"/>
      <c r="H2336" s="152"/>
      <c r="I2336" s="151" t="s">
        <v>1327</v>
      </c>
      <c r="J2336" s="152" t="s">
        <v>1327</v>
      </c>
      <c r="K2336" s="152" t="s">
        <v>1327</v>
      </c>
      <c r="L2336" s="152" t="s">
        <v>1327</v>
      </c>
      <c r="M2336" s="152" t="s">
        <v>1327</v>
      </c>
      <c r="N2336" s="152" t="s">
        <v>1327</v>
      </c>
      <c r="O2336" s="152">
        <v>3.4386429999999999</v>
      </c>
      <c r="P2336" s="152">
        <v>181.02444</v>
      </c>
      <c r="Q2336" s="152">
        <v>3.4386429999999999</v>
      </c>
      <c r="R2336" s="152" t="s">
        <v>1327</v>
      </c>
      <c r="S2336" s="152">
        <v>98.762519999999995</v>
      </c>
      <c r="T2336" s="152">
        <v>0</v>
      </c>
      <c r="U2336" s="152">
        <v>0.35987400000000003</v>
      </c>
      <c r="V2336" s="152">
        <v>0.259019</v>
      </c>
      <c r="W2336" s="152">
        <v>1000</v>
      </c>
      <c r="X2336" s="152" t="s">
        <v>23</v>
      </c>
      <c r="Y2336" s="152" t="s">
        <v>1328</v>
      </c>
      <c r="Z2336" s="152" t="s">
        <v>1327</v>
      </c>
    </row>
    <row r="2337" spans="1:26" x14ac:dyDescent="0.2">
      <c r="A2337" s="152" t="s">
        <v>3417</v>
      </c>
      <c r="B2337" s="152">
        <v>0</v>
      </c>
      <c r="C2337" s="151">
        <v>43557</v>
      </c>
      <c r="D2337" s="152">
        <v>0.435616</v>
      </c>
      <c r="E2337" s="152" t="s">
        <v>1325</v>
      </c>
      <c r="F2337" s="152" t="s">
        <v>1326</v>
      </c>
      <c r="G2337" s="152"/>
      <c r="H2337" s="152"/>
      <c r="I2337" s="151">
        <v>43376</v>
      </c>
      <c r="J2337" s="152">
        <v>3.5</v>
      </c>
      <c r="K2337" s="152" t="s">
        <v>1327</v>
      </c>
      <c r="L2337" s="152" t="s">
        <v>1327</v>
      </c>
      <c r="M2337" s="152" t="s">
        <v>1327</v>
      </c>
      <c r="N2337" s="152" t="s">
        <v>1327</v>
      </c>
      <c r="O2337" s="152">
        <v>3.5245299999999999</v>
      </c>
      <c r="P2337" s="152">
        <v>184.44986700000001</v>
      </c>
      <c r="Q2337" s="152">
        <v>3.5245299999999999</v>
      </c>
      <c r="R2337" s="152" t="s">
        <v>1327</v>
      </c>
      <c r="S2337" s="152">
        <v>98.487872999999993</v>
      </c>
      <c r="T2337" s="152">
        <v>0</v>
      </c>
      <c r="U2337" s="152">
        <v>0.42902899999999999</v>
      </c>
      <c r="V2337" s="152">
        <v>0.36813200000000001</v>
      </c>
      <c r="W2337" s="152">
        <v>1000</v>
      </c>
      <c r="X2337" s="152" t="s">
        <v>23</v>
      </c>
      <c r="Y2337" s="152" t="s">
        <v>1328</v>
      </c>
      <c r="Z2337" s="152" t="s">
        <v>1327</v>
      </c>
    </row>
    <row r="2338" spans="1:26" x14ac:dyDescent="0.2">
      <c r="A2338" s="152" t="s">
        <v>3418</v>
      </c>
      <c r="B2338" s="152">
        <v>3.6</v>
      </c>
      <c r="C2338" s="151">
        <v>43427</v>
      </c>
      <c r="D2338" s="152">
        <v>7.9451999999999995E-2</v>
      </c>
      <c r="E2338" s="152" t="s">
        <v>1325</v>
      </c>
      <c r="F2338" s="152" t="s">
        <v>1326</v>
      </c>
      <c r="G2338" s="152"/>
      <c r="H2338" s="152"/>
      <c r="I2338" s="151" t="s">
        <v>1327</v>
      </c>
      <c r="J2338" s="152" t="s">
        <v>1327</v>
      </c>
      <c r="K2338" s="152" t="s">
        <v>1327</v>
      </c>
      <c r="L2338" s="152" t="s">
        <v>1327</v>
      </c>
      <c r="M2338" s="152" t="s">
        <v>1327</v>
      </c>
      <c r="N2338" s="152" t="s">
        <v>1327</v>
      </c>
      <c r="O2338" s="152">
        <v>3.075933</v>
      </c>
      <c r="P2338" s="152">
        <v>186.250595</v>
      </c>
      <c r="Q2338" s="152">
        <v>3.075933</v>
      </c>
      <c r="R2338" s="152" t="s">
        <v>1327</v>
      </c>
      <c r="S2338" s="152">
        <v>100.03780999999999</v>
      </c>
      <c r="T2338" s="152">
        <v>1.528767</v>
      </c>
      <c r="U2338" s="152">
        <v>7.9257999999999995E-2</v>
      </c>
      <c r="V2338" s="152">
        <v>1.2564000000000001E-2</v>
      </c>
      <c r="W2338" s="152">
        <v>1000</v>
      </c>
      <c r="X2338" s="152" t="s">
        <v>23</v>
      </c>
      <c r="Y2338" s="152" t="s">
        <v>1328</v>
      </c>
      <c r="Z2338" s="152" t="s">
        <v>1327</v>
      </c>
    </row>
    <row r="2339" spans="1:26" x14ac:dyDescent="0.2">
      <c r="A2339" s="152" t="s">
        <v>3419</v>
      </c>
      <c r="B2339" s="152">
        <v>4.5999999999999996</v>
      </c>
      <c r="C2339" s="151">
        <v>43497</v>
      </c>
      <c r="D2339" s="152">
        <v>0.271233</v>
      </c>
      <c r="E2339" s="152" t="s">
        <v>1325</v>
      </c>
      <c r="F2339" s="152" t="s">
        <v>1326</v>
      </c>
      <c r="G2339" s="152"/>
      <c r="H2339" s="152"/>
      <c r="I2339" s="151" t="s">
        <v>1327</v>
      </c>
      <c r="J2339" s="152" t="s">
        <v>1327</v>
      </c>
      <c r="K2339" s="152" t="s">
        <v>1327</v>
      </c>
      <c r="L2339" s="152" t="s">
        <v>1327</v>
      </c>
      <c r="M2339" s="152" t="s">
        <v>1327</v>
      </c>
      <c r="N2339" s="152" t="s">
        <v>1327</v>
      </c>
      <c r="O2339" s="152">
        <v>4.5629340000000003</v>
      </c>
      <c r="P2339" s="152">
        <v>307.11393299999997</v>
      </c>
      <c r="Q2339" s="152">
        <v>4.5629340000000003</v>
      </c>
      <c r="R2339" s="152" t="s">
        <v>1327</v>
      </c>
      <c r="S2339" s="152">
        <v>100.000024</v>
      </c>
      <c r="T2339" s="152">
        <v>1.008219</v>
      </c>
      <c r="U2339" s="152">
        <v>0.26549499999999998</v>
      </c>
      <c r="V2339" s="152">
        <v>0.136737</v>
      </c>
      <c r="W2339" s="152">
        <v>1000</v>
      </c>
      <c r="X2339" s="152" t="s">
        <v>23</v>
      </c>
      <c r="Y2339" s="152" t="s">
        <v>1328</v>
      </c>
      <c r="Z2339" s="152" t="s">
        <v>1327</v>
      </c>
    </row>
    <row r="2340" spans="1:26" x14ac:dyDescent="0.2">
      <c r="A2340" s="152" t="s">
        <v>3420</v>
      </c>
      <c r="B2340" s="152">
        <v>4.5999999999999996</v>
      </c>
      <c r="C2340" s="151">
        <v>43545</v>
      </c>
      <c r="D2340" s="152">
        <v>0.40273999999999999</v>
      </c>
      <c r="E2340" s="152" t="s">
        <v>1325</v>
      </c>
      <c r="F2340" s="152" t="s">
        <v>1326</v>
      </c>
      <c r="G2340" s="152"/>
      <c r="H2340" s="152"/>
      <c r="I2340" s="151" t="s">
        <v>1327</v>
      </c>
      <c r="J2340" s="152" t="s">
        <v>1327</v>
      </c>
      <c r="K2340" s="152" t="s">
        <v>1327</v>
      </c>
      <c r="L2340" s="152" t="s">
        <v>1327</v>
      </c>
      <c r="M2340" s="152" t="s">
        <v>1327</v>
      </c>
      <c r="N2340" s="152" t="s">
        <v>1327</v>
      </c>
      <c r="O2340" s="152">
        <v>4.7300240000000002</v>
      </c>
      <c r="P2340" s="152">
        <v>316.29824400000001</v>
      </c>
      <c r="Q2340" s="152">
        <v>4.7300240000000002</v>
      </c>
      <c r="R2340" s="152" t="s">
        <v>1327</v>
      </c>
      <c r="S2340" s="152">
        <v>99.949563999999995</v>
      </c>
      <c r="T2340" s="152">
        <v>0.42849300000000001</v>
      </c>
      <c r="U2340" s="152">
        <v>0.39860800000000002</v>
      </c>
      <c r="V2340" s="152">
        <v>0.25806200000000001</v>
      </c>
      <c r="W2340" s="152">
        <v>1000</v>
      </c>
      <c r="X2340" s="152" t="s">
        <v>23</v>
      </c>
      <c r="Y2340" s="152" t="s">
        <v>1328</v>
      </c>
      <c r="Z2340" s="152" t="s">
        <v>1327</v>
      </c>
    </row>
    <row r="2341" spans="1:26" x14ac:dyDescent="0.2">
      <c r="A2341" s="152" t="s">
        <v>3421</v>
      </c>
      <c r="B2341" s="152">
        <v>0</v>
      </c>
      <c r="C2341" s="151">
        <v>43448</v>
      </c>
      <c r="D2341" s="152">
        <v>0.136986</v>
      </c>
      <c r="E2341" s="152" t="s">
        <v>1325</v>
      </c>
      <c r="F2341" s="152" t="s">
        <v>1326</v>
      </c>
      <c r="G2341" s="152"/>
      <c r="H2341" s="152"/>
      <c r="I2341" s="151">
        <v>43360</v>
      </c>
      <c r="J2341" s="152">
        <v>3.8</v>
      </c>
      <c r="K2341" s="152" t="s">
        <v>1327</v>
      </c>
      <c r="L2341" s="152" t="s">
        <v>1327</v>
      </c>
      <c r="M2341" s="152" t="s">
        <v>1327</v>
      </c>
      <c r="N2341" s="152" t="s">
        <v>1327</v>
      </c>
      <c r="O2341" s="152">
        <v>3.8174589999999999</v>
      </c>
      <c r="P2341" s="152">
        <v>251.885761</v>
      </c>
      <c r="Q2341" s="152">
        <v>3.8174589999999999</v>
      </c>
      <c r="R2341" s="152" t="s">
        <v>1327</v>
      </c>
      <c r="S2341" s="152">
        <v>99.479781000000003</v>
      </c>
      <c r="T2341" s="152">
        <v>0</v>
      </c>
      <c r="U2341" s="152">
        <v>0.13627400000000001</v>
      </c>
      <c r="V2341" s="152">
        <v>3.7141E-2</v>
      </c>
      <c r="W2341" s="152">
        <v>1000</v>
      </c>
      <c r="X2341" s="152" t="s">
        <v>23</v>
      </c>
      <c r="Y2341" s="152" t="s">
        <v>1328</v>
      </c>
      <c r="Z2341" s="152" t="s">
        <v>1327</v>
      </c>
    </row>
    <row r="2342" spans="1:26" x14ac:dyDescent="0.2">
      <c r="A2342" s="152" t="s">
        <v>3422</v>
      </c>
      <c r="B2342" s="152">
        <v>0</v>
      </c>
      <c r="C2342" s="151">
        <v>43481</v>
      </c>
      <c r="D2342" s="152">
        <v>0.22739699999999999</v>
      </c>
      <c r="E2342" s="152" t="s">
        <v>1325</v>
      </c>
      <c r="F2342" s="152" t="s">
        <v>1326</v>
      </c>
      <c r="G2342" s="152"/>
      <c r="H2342" s="152"/>
      <c r="I2342" s="151">
        <v>43385</v>
      </c>
      <c r="J2342" s="152">
        <v>3.99</v>
      </c>
      <c r="K2342" s="152" t="s">
        <v>1327</v>
      </c>
      <c r="L2342" s="152" t="s">
        <v>1327</v>
      </c>
      <c r="M2342" s="152" t="s">
        <v>1327</v>
      </c>
      <c r="N2342" s="152" t="s">
        <v>1327</v>
      </c>
      <c r="O2342" s="152">
        <v>3.9768289999999999</v>
      </c>
      <c r="P2342" s="152">
        <v>252.703171</v>
      </c>
      <c r="Q2342" s="152">
        <v>3.9768289999999999</v>
      </c>
      <c r="R2342" s="152" t="s">
        <v>1327</v>
      </c>
      <c r="S2342" s="152">
        <v>99.103785000000002</v>
      </c>
      <c r="T2342" s="152">
        <v>0</v>
      </c>
      <c r="U2342" s="152">
        <v>0.225359</v>
      </c>
      <c r="V2342" s="152">
        <v>0.101574</v>
      </c>
      <c r="W2342" s="152">
        <v>1000</v>
      </c>
      <c r="X2342" s="152" t="s">
        <v>23</v>
      </c>
      <c r="Y2342" s="152" t="s">
        <v>1328</v>
      </c>
      <c r="Z2342" s="152" t="s">
        <v>1327</v>
      </c>
    </row>
    <row r="2343" spans="1:26" x14ac:dyDescent="0.2">
      <c r="A2343" s="152" t="s">
        <v>3423</v>
      </c>
      <c r="B2343" s="152">
        <v>0</v>
      </c>
      <c r="C2343" s="151">
        <v>43405</v>
      </c>
      <c r="D2343" s="152">
        <v>1.9178000000000001E-2</v>
      </c>
      <c r="E2343" s="152" t="s">
        <v>1325</v>
      </c>
      <c r="F2343" s="152" t="s">
        <v>1326</v>
      </c>
      <c r="G2343" s="152"/>
      <c r="H2343" s="152"/>
      <c r="I2343" s="151">
        <v>43193</v>
      </c>
      <c r="J2343" s="152">
        <v>1.52</v>
      </c>
      <c r="K2343" s="152" t="s">
        <v>1327</v>
      </c>
      <c r="L2343" s="152" t="s">
        <v>1327</v>
      </c>
      <c r="M2343" s="152" t="s">
        <v>1327</v>
      </c>
      <c r="N2343" s="152" t="s">
        <v>1327</v>
      </c>
      <c r="O2343" s="152">
        <v>1.465549</v>
      </c>
      <c r="P2343" s="152">
        <v>32.868876</v>
      </c>
      <c r="Q2343" s="152">
        <v>1.465549</v>
      </c>
      <c r="R2343" s="152" t="s">
        <v>1327</v>
      </c>
      <c r="S2343" s="152">
        <v>99.971901000000003</v>
      </c>
      <c r="T2343" s="152">
        <v>0</v>
      </c>
      <c r="U2343" s="152">
        <v>1.9172999999999999E-2</v>
      </c>
      <c r="V2343" s="152">
        <v>7.3499999999999998E-4</v>
      </c>
      <c r="W2343" s="152">
        <v>1000</v>
      </c>
      <c r="X2343" s="152" t="s">
        <v>23</v>
      </c>
      <c r="Y2343" s="152" t="s">
        <v>1328</v>
      </c>
      <c r="Z2343" s="152" t="s">
        <v>1327</v>
      </c>
    </row>
    <row r="2344" spans="1:26" x14ac:dyDescent="0.2">
      <c r="A2344" s="152" t="s">
        <v>3424</v>
      </c>
      <c r="B2344" s="152">
        <v>0</v>
      </c>
      <c r="C2344" s="151">
        <v>43431</v>
      </c>
      <c r="D2344" s="152">
        <v>9.0411000000000005E-2</v>
      </c>
      <c r="E2344" s="152" t="s">
        <v>1325</v>
      </c>
      <c r="F2344" s="152" t="s">
        <v>1326</v>
      </c>
      <c r="G2344" s="152"/>
      <c r="H2344" s="152"/>
      <c r="I2344" s="152">
        <v>43339</v>
      </c>
      <c r="J2344" s="152">
        <v>1.61</v>
      </c>
      <c r="K2344" s="152" t="s">
        <v>1327</v>
      </c>
      <c r="L2344" s="152" t="s">
        <v>1327</v>
      </c>
      <c r="M2344" s="152" t="s">
        <v>1327</v>
      </c>
      <c r="N2344" s="152" t="s">
        <v>1327</v>
      </c>
      <c r="O2344" s="152">
        <v>1.534959</v>
      </c>
      <c r="P2344" s="152">
        <v>26.821047</v>
      </c>
      <c r="Q2344" s="152">
        <v>1.534959</v>
      </c>
      <c r="R2344" s="152" t="s">
        <v>1327</v>
      </c>
      <c r="S2344" s="152">
        <v>99.861414999999994</v>
      </c>
      <c r="T2344" s="152">
        <v>0</v>
      </c>
      <c r="U2344" s="152">
        <v>9.0286000000000005E-2</v>
      </c>
      <c r="V2344" s="152">
        <v>1.6303000000000002E-2</v>
      </c>
      <c r="W2344" s="152">
        <v>1000</v>
      </c>
      <c r="X2344" s="152" t="s">
        <v>23</v>
      </c>
      <c r="Y2344" s="152" t="s">
        <v>1328</v>
      </c>
      <c r="Z2344" s="152" t="s">
        <v>1327</v>
      </c>
    </row>
    <row r="2345" spans="1:26" x14ac:dyDescent="0.2">
      <c r="A2345" s="152" t="s">
        <v>3425</v>
      </c>
      <c r="B2345" s="152">
        <v>0</v>
      </c>
      <c r="C2345" s="151">
        <v>43472</v>
      </c>
      <c r="D2345" s="152">
        <v>0.20274</v>
      </c>
      <c r="E2345" s="152" t="s">
        <v>1325</v>
      </c>
      <c r="F2345" s="152" t="s">
        <v>1326</v>
      </c>
      <c r="G2345" s="152"/>
      <c r="H2345" s="152"/>
      <c r="I2345" s="152" t="s">
        <v>1327</v>
      </c>
      <c r="J2345" s="152" t="s">
        <v>1327</v>
      </c>
      <c r="K2345" s="152" t="s">
        <v>1327</v>
      </c>
      <c r="L2345" s="152" t="s">
        <v>1327</v>
      </c>
      <c r="M2345" s="152" t="s">
        <v>1327</v>
      </c>
      <c r="N2345" s="152" t="s">
        <v>1327</v>
      </c>
      <c r="O2345" s="152">
        <v>1.765225</v>
      </c>
      <c r="P2345" s="152">
        <v>30.414225999999999</v>
      </c>
      <c r="Q2345" s="152">
        <v>1.765225</v>
      </c>
      <c r="R2345" s="152" t="s">
        <v>1327</v>
      </c>
      <c r="S2345" s="152">
        <v>99.643394999999998</v>
      </c>
      <c r="T2345" s="152">
        <v>0</v>
      </c>
      <c r="U2345" s="152">
        <v>0.202017</v>
      </c>
      <c r="V2345" s="152">
        <v>8.1622E-2</v>
      </c>
      <c r="W2345" s="152">
        <v>1000</v>
      </c>
      <c r="X2345" s="152" t="s">
        <v>23</v>
      </c>
      <c r="Y2345" s="152" t="s">
        <v>1328</v>
      </c>
      <c r="Z2345" s="152" t="s">
        <v>1327</v>
      </c>
    </row>
    <row r="2346" spans="1:26" x14ac:dyDescent="0.2">
      <c r="A2346" s="152" t="s">
        <v>3426</v>
      </c>
      <c r="B2346" s="152">
        <v>0</v>
      </c>
      <c r="C2346" s="151">
        <v>43522</v>
      </c>
      <c r="D2346" s="152">
        <v>0.33972599999999997</v>
      </c>
      <c r="E2346" s="152" t="s">
        <v>1325</v>
      </c>
      <c r="F2346" s="152" t="s">
        <v>1326</v>
      </c>
      <c r="G2346" s="152"/>
      <c r="H2346" s="152"/>
      <c r="I2346" s="151">
        <v>43342</v>
      </c>
      <c r="J2346" s="152">
        <v>1.85</v>
      </c>
      <c r="K2346" s="152" t="s">
        <v>1327</v>
      </c>
      <c r="L2346" s="152" t="s">
        <v>1327</v>
      </c>
      <c r="M2346" s="152" t="s">
        <v>1327</v>
      </c>
      <c r="N2346" s="152" t="s">
        <v>1327</v>
      </c>
      <c r="O2346" s="152">
        <v>1.95461</v>
      </c>
      <c r="P2346" s="152">
        <v>32.253345000000003</v>
      </c>
      <c r="Q2346" s="152">
        <v>1.95461</v>
      </c>
      <c r="R2346" s="152" t="s">
        <v>1327</v>
      </c>
      <c r="S2346" s="152">
        <v>99.340348000000006</v>
      </c>
      <c r="T2346" s="152">
        <v>0</v>
      </c>
      <c r="U2346" s="152">
        <v>0.33748499999999998</v>
      </c>
      <c r="V2346" s="152">
        <v>0.22779199999999999</v>
      </c>
      <c r="W2346" s="152">
        <v>1000</v>
      </c>
      <c r="X2346" s="152" t="s">
        <v>23</v>
      </c>
      <c r="Y2346" s="152" t="s">
        <v>1328</v>
      </c>
      <c r="Z2346" s="152" t="s">
        <v>1327</v>
      </c>
    </row>
    <row r="2347" spans="1:26" x14ac:dyDescent="0.2">
      <c r="A2347" s="152" t="s">
        <v>3427</v>
      </c>
      <c r="B2347" s="152">
        <v>0</v>
      </c>
      <c r="C2347" s="151">
        <v>43529</v>
      </c>
      <c r="D2347" s="152">
        <v>0.358904</v>
      </c>
      <c r="E2347" s="152" t="s">
        <v>1325</v>
      </c>
      <c r="F2347" s="152" t="s">
        <v>1326</v>
      </c>
      <c r="G2347" s="152"/>
      <c r="H2347" s="152"/>
      <c r="I2347" s="151">
        <v>43353</v>
      </c>
      <c r="J2347" s="152">
        <v>1.85</v>
      </c>
      <c r="K2347" s="152" t="s">
        <v>1327</v>
      </c>
      <c r="L2347" s="152" t="s">
        <v>1327</v>
      </c>
      <c r="M2347" s="152" t="s">
        <v>1327</v>
      </c>
      <c r="N2347" s="152" t="s">
        <v>1327</v>
      </c>
      <c r="O2347" s="152">
        <v>1.977859</v>
      </c>
      <c r="P2347" s="152">
        <v>32.886474999999997</v>
      </c>
      <c r="Q2347" s="152">
        <v>1.977859</v>
      </c>
      <c r="R2347" s="152" t="s">
        <v>1327</v>
      </c>
      <c r="S2347" s="152">
        <v>99.295141999999998</v>
      </c>
      <c r="T2347" s="152">
        <v>0</v>
      </c>
      <c r="U2347" s="152">
        <v>0.35637400000000002</v>
      </c>
      <c r="V2347" s="152">
        <v>0.25400499999999998</v>
      </c>
      <c r="W2347" s="152">
        <v>1000</v>
      </c>
      <c r="X2347" s="152" t="s">
        <v>23</v>
      </c>
      <c r="Y2347" s="152" t="s">
        <v>1328</v>
      </c>
      <c r="Z2347" s="152" t="s">
        <v>1327</v>
      </c>
    </row>
    <row r="2348" spans="1:26" x14ac:dyDescent="0.2">
      <c r="A2348" s="152" t="s">
        <v>3428</v>
      </c>
      <c r="B2348" s="152">
        <v>0</v>
      </c>
      <c r="C2348" s="151">
        <v>43531</v>
      </c>
      <c r="D2348" s="152">
        <v>0.36438399999999999</v>
      </c>
      <c r="E2348" s="152" t="s">
        <v>1325</v>
      </c>
      <c r="F2348" s="152" t="s">
        <v>1326</v>
      </c>
      <c r="G2348" s="152"/>
      <c r="H2348" s="152"/>
      <c r="I2348" s="151">
        <v>43347</v>
      </c>
      <c r="J2348" s="152">
        <v>1.85</v>
      </c>
      <c r="K2348" s="152" t="s">
        <v>1327</v>
      </c>
      <c r="L2348" s="152" t="s">
        <v>1327</v>
      </c>
      <c r="M2348" s="152" t="s">
        <v>1327</v>
      </c>
      <c r="N2348" s="152" t="s">
        <v>1327</v>
      </c>
      <c r="O2348" s="152">
        <v>1.9844850000000001</v>
      </c>
      <c r="P2348" s="152">
        <v>33.092886999999997</v>
      </c>
      <c r="Q2348" s="152">
        <v>1.9844850000000001</v>
      </c>
      <c r="R2348" s="152" t="s">
        <v>1327</v>
      </c>
      <c r="S2348" s="152">
        <v>99.282077999999998</v>
      </c>
      <c r="T2348" s="152">
        <v>0</v>
      </c>
      <c r="U2348" s="152">
        <v>0.36176799999999998</v>
      </c>
      <c r="V2348" s="152">
        <v>0.26175199999999998</v>
      </c>
      <c r="W2348" s="152">
        <v>1000</v>
      </c>
      <c r="X2348" s="152" t="s">
        <v>23</v>
      </c>
      <c r="Y2348" s="152" t="s">
        <v>1328</v>
      </c>
      <c r="Z2348" s="152" t="s">
        <v>1327</v>
      </c>
    </row>
    <row r="2349" spans="1:26" x14ac:dyDescent="0.2">
      <c r="A2349" s="152" t="s">
        <v>3429</v>
      </c>
      <c r="B2349" s="152">
        <v>0</v>
      </c>
      <c r="C2349" s="151">
        <v>43445</v>
      </c>
      <c r="D2349" s="152">
        <v>0.12876699999999999</v>
      </c>
      <c r="E2349" s="152" t="s">
        <v>1325</v>
      </c>
      <c r="F2349" s="152" t="s">
        <v>1326</v>
      </c>
      <c r="G2349" s="152"/>
      <c r="H2349" s="152"/>
      <c r="I2349" s="152" t="s">
        <v>1327</v>
      </c>
      <c r="J2349" s="152" t="s">
        <v>1327</v>
      </c>
      <c r="K2349" s="152" t="s">
        <v>1327</v>
      </c>
      <c r="L2349" s="152" t="s">
        <v>1327</v>
      </c>
      <c r="M2349" s="152" t="s">
        <v>1327</v>
      </c>
      <c r="N2349" s="152" t="s">
        <v>1327</v>
      </c>
      <c r="O2349" s="152">
        <v>1.6556839999999999</v>
      </c>
      <c r="P2349" s="152">
        <v>32.031466999999999</v>
      </c>
      <c r="Q2349" s="152">
        <v>1.6556839999999999</v>
      </c>
      <c r="R2349" s="152" t="s">
        <v>1327</v>
      </c>
      <c r="S2349" s="152">
        <v>99.787255999999999</v>
      </c>
      <c r="T2349" s="152">
        <v>0</v>
      </c>
      <c r="U2349" s="152">
        <v>0.128493</v>
      </c>
      <c r="V2349" s="152">
        <v>3.3021000000000002E-2</v>
      </c>
      <c r="W2349" s="152">
        <v>1000</v>
      </c>
      <c r="X2349" s="152" t="s">
        <v>23</v>
      </c>
      <c r="Y2349" s="152" t="s">
        <v>1921</v>
      </c>
      <c r="Z2349" s="152" t="s">
        <v>1327</v>
      </c>
    </row>
    <row r="2350" spans="1:26" x14ac:dyDescent="0.2">
      <c r="A2350" s="152" t="s">
        <v>3430</v>
      </c>
      <c r="B2350" s="152">
        <v>0</v>
      </c>
      <c r="C2350" s="151">
        <v>43447</v>
      </c>
      <c r="D2350" s="152">
        <v>0.13424700000000001</v>
      </c>
      <c r="E2350" s="152" t="s">
        <v>1325</v>
      </c>
      <c r="F2350" s="152" t="s">
        <v>1326</v>
      </c>
      <c r="G2350" s="152"/>
      <c r="H2350" s="152"/>
      <c r="I2350" s="152" t="s">
        <v>1327</v>
      </c>
      <c r="J2350" s="152" t="s">
        <v>1327</v>
      </c>
      <c r="K2350" s="152" t="s">
        <v>1327</v>
      </c>
      <c r="L2350" s="152" t="s">
        <v>1327</v>
      </c>
      <c r="M2350" s="152" t="s">
        <v>1327</v>
      </c>
      <c r="N2350" s="152" t="s">
        <v>1327</v>
      </c>
      <c r="O2350" s="152">
        <v>1.665062</v>
      </c>
      <c r="P2350" s="152">
        <v>31.993205</v>
      </c>
      <c r="Q2350" s="152">
        <v>1.665062</v>
      </c>
      <c r="R2350" s="152" t="s">
        <v>1327</v>
      </c>
      <c r="S2350" s="152">
        <v>99.776970000000006</v>
      </c>
      <c r="T2350" s="152">
        <v>0</v>
      </c>
      <c r="U2350" s="152">
        <v>0.13394700000000001</v>
      </c>
      <c r="V2350" s="152">
        <v>3.5883999999999999E-2</v>
      </c>
      <c r="W2350" s="152">
        <v>1000</v>
      </c>
      <c r="X2350" s="152" t="s">
        <v>23</v>
      </c>
      <c r="Y2350" s="152" t="s">
        <v>1921</v>
      </c>
      <c r="Z2350" s="152" t="s">
        <v>1327</v>
      </c>
    </row>
    <row r="2351" spans="1:26" x14ac:dyDescent="0.2">
      <c r="A2351" s="152" t="s">
        <v>3431</v>
      </c>
      <c r="B2351" s="152">
        <v>0</v>
      </c>
      <c r="C2351" s="151">
        <v>43472</v>
      </c>
      <c r="D2351" s="152">
        <v>0.20274</v>
      </c>
      <c r="E2351" s="152" t="s">
        <v>1325</v>
      </c>
      <c r="F2351" s="152" t="s">
        <v>1326</v>
      </c>
      <c r="G2351" s="152"/>
      <c r="H2351" s="152"/>
      <c r="I2351" s="152" t="s">
        <v>1327</v>
      </c>
      <c r="J2351" s="152" t="s">
        <v>1327</v>
      </c>
      <c r="K2351" s="152" t="s">
        <v>1327</v>
      </c>
      <c r="L2351" s="152" t="s">
        <v>1327</v>
      </c>
      <c r="M2351" s="152" t="s">
        <v>1327</v>
      </c>
      <c r="N2351" s="152" t="s">
        <v>1327</v>
      </c>
      <c r="O2351" s="152">
        <v>1.7844359999999999</v>
      </c>
      <c r="P2351" s="152">
        <v>32.362628999999998</v>
      </c>
      <c r="Q2351" s="152">
        <v>1.7844359999999999</v>
      </c>
      <c r="R2351" s="152" t="s">
        <v>1327</v>
      </c>
      <c r="S2351" s="152">
        <v>99.639527999999999</v>
      </c>
      <c r="T2351" s="152">
        <v>0</v>
      </c>
      <c r="U2351" s="152">
        <v>0.20200899999999999</v>
      </c>
      <c r="V2351" s="152">
        <v>8.1614999999999993E-2</v>
      </c>
      <c r="W2351" s="152">
        <v>1000</v>
      </c>
      <c r="X2351" s="152" t="s">
        <v>23</v>
      </c>
      <c r="Y2351" s="152" t="s">
        <v>1921</v>
      </c>
      <c r="Z2351" s="152" t="s">
        <v>1327</v>
      </c>
    </row>
    <row r="2352" spans="1:26" x14ac:dyDescent="0.2">
      <c r="A2352" s="152" t="s">
        <v>3432</v>
      </c>
      <c r="B2352" s="152">
        <v>0</v>
      </c>
      <c r="C2352" s="151">
        <v>43480</v>
      </c>
      <c r="D2352" s="152">
        <v>0.224658</v>
      </c>
      <c r="E2352" s="152" t="s">
        <v>1325</v>
      </c>
      <c r="F2352" s="152" t="s">
        <v>1326</v>
      </c>
      <c r="G2352" s="152"/>
      <c r="H2352" s="152"/>
      <c r="I2352" s="152" t="s">
        <v>1327</v>
      </c>
      <c r="J2352" s="152" t="s">
        <v>1327</v>
      </c>
      <c r="K2352" s="152" t="s">
        <v>1327</v>
      </c>
      <c r="L2352" s="152" t="s">
        <v>1327</v>
      </c>
      <c r="M2352" s="152" t="s">
        <v>1327</v>
      </c>
      <c r="N2352" s="152" t="s">
        <v>1327</v>
      </c>
      <c r="O2352" s="152">
        <v>1.823523</v>
      </c>
      <c r="P2352" s="152">
        <v>32.918481999999997</v>
      </c>
      <c r="Q2352" s="152">
        <v>1.823523</v>
      </c>
      <c r="R2352" s="152" t="s">
        <v>1327</v>
      </c>
      <c r="S2352" s="152">
        <v>99.592003000000005</v>
      </c>
      <c r="T2352" s="152">
        <v>0</v>
      </c>
      <c r="U2352" s="152">
        <v>0.223741</v>
      </c>
      <c r="V2352" s="152">
        <v>0.10012</v>
      </c>
      <c r="W2352" s="152">
        <v>1000</v>
      </c>
      <c r="X2352" s="152" t="s">
        <v>23</v>
      </c>
      <c r="Y2352" s="152" t="s">
        <v>1921</v>
      </c>
      <c r="Z2352" s="152" t="s">
        <v>1327</v>
      </c>
    </row>
    <row r="2353" spans="1:26" x14ac:dyDescent="0.2">
      <c r="A2353" s="152" t="s">
        <v>3433</v>
      </c>
      <c r="B2353" s="152">
        <v>0</v>
      </c>
      <c r="C2353" s="151">
        <v>43493</v>
      </c>
      <c r="D2353" s="152">
        <v>0.26027400000000001</v>
      </c>
      <c r="E2353" s="152" t="s">
        <v>1325</v>
      </c>
      <c r="F2353" s="152" t="s">
        <v>1326</v>
      </c>
      <c r="G2353" s="152"/>
      <c r="H2353" s="152"/>
      <c r="I2353" s="152" t="s">
        <v>1327</v>
      </c>
      <c r="J2353" s="152" t="s">
        <v>1327</v>
      </c>
      <c r="K2353" s="152" t="s">
        <v>1327</v>
      </c>
      <c r="L2353" s="152" t="s">
        <v>1327</v>
      </c>
      <c r="M2353" s="152" t="s">
        <v>1327</v>
      </c>
      <c r="N2353" s="152" t="s">
        <v>1327</v>
      </c>
      <c r="O2353" s="152">
        <v>1.8584609999999999</v>
      </c>
      <c r="P2353" s="152">
        <v>31.420499</v>
      </c>
      <c r="Q2353" s="152">
        <v>1.8584609999999999</v>
      </c>
      <c r="R2353" s="152" t="s">
        <v>1327</v>
      </c>
      <c r="S2353" s="152">
        <v>99.518619000000001</v>
      </c>
      <c r="T2353" s="152">
        <v>0</v>
      </c>
      <c r="U2353" s="152">
        <v>0.259021</v>
      </c>
      <c r="V2353" s="152">
        <v>0.134184</v>
      </c>
      <c r="W2353" s="152">
        <v>1000</v>
      </c>
      <c r="X2353" s="152" t="s">
        <v>23</v>
      </c>
      <c r="Y2353" s="152" t="s">
        <v>1921</v>
      </c>
      <c r="Z2353" s="152" t="s">
        <v>1327</v>
      </c>
    </row>
    <row r="2354" spans="1:26" x14ac:dyDescent="0.2">
      <c r="A2354" s="152" t="s">
        <v>3434</v>
      </c>
      <c r="B2354" s="152">
        <v>0</v>
      </c>
      <c r="C2354" s="151">
        <v>43494</v>
      </c>
      <c r="D2354" s="152">
        <v>0.26301400000000003</v>
      </c>
      <c r="E2354" s="152" t="s">
        <v>1325</v>
      </c>
      <c r="F2354" s="152" t="s">
        <v>1326</v>
      </c>
      <c r="G2354" s="152"/>
      <c r="H2354" s="152"/>
      <c r="I2354" s="152" t="s">
        <v>1327</v>
      </c>
      <c r="J2354" s="152" t="s">
        <v>1327</v>
      </c>
      <c r="K2354" s="152" t="s">
        <v>1327</v>
      </c>
      <c r="L2354" s="152" t="s">
        <v>1327</v>
      </c>
      <c r="M2354" s="152" t="s">
        <v>1327</v>
      </c>
      <c r="N2354" s="152" t="s">
        <v>1327</v>
      </c>
      <c r="O2354" s="152">
        <v>1.8609659999999999</v>
      </c>
      <c r="P2354" s="152">
        <v>31.314810999999999</v>
      </c>
      <c r="Q2354" s="152">
        <v>1.8609659999999999</v>
      </c>
      <c r="R2354" s="152" t="s">
        <v>1327</v>
      </c>
      <c r="S2354" s="152">
        <v>99.512923999999998</v>
      </c>
      <c r="T2354" s="152">
        <v>0</v>
      </c>
      <c r="U2354" s="152">
        <v>0.26173299999999999</v>
      </c>
      <c r="V2354" s="152">
        <v>0.13700799999999999</v>
      </c>
      <c r="W2354" s="152">
        <v>1000</v>
      </c>
      <c r="X2354" s="152" t="s">
        <v>23</v>
      </c>
      <c r="Y2354" s="152" t="s">
        <v>1921</v>
      </c>
      <c r="Z2354" s="152" t="s">
        <v>1327</v>
      </c>
    </row>
    <row r="2355" spans="1:26" x14ac:dyDescent="0.2">
      <c r="A2355" s="152" t="s">
        <v>3435</v>
      </c>
      <c r="B2355" s="152">
        <v>0</v>
      </c>
      <c r="C2355" s="151">
        <v>43497</v>
      </c>
      <c r="D2355" s="152">
        <v>0.271233</v>
      </c>
      <c r="E2355" s="152" t="s">
        <v>1325</v>
      </c>
      <c r="F2355" s="152" t="s">
        <v>1326</v>
      </c>
      <c r="G2355" s="152"/>
      <c r="H2355" s="152"/>
      <c r="I2355" s="152" t="s">
        <v>1327</v>
      </c>
      <c r="J2355" s="152" t="s">
        <v>1327</v>
      </c>
      <c r="K2355" s="152" t="s">
        <v>1327</v>
      </c>
      <c r="L2355" s="152" t="s">
        <v>1327</v>
      </c>
      <c r="M2355" s="152" t="s">
        <v>1327</v>
      </c>
      <c r="N2355" s="152" t="s">
        <v>1327</v>
      </c>
      <c r="O2355" s="152">
        <v>1.8684769999999999</v>
      </c>
      <c r="P2355" s="152">
        <v>31.021153999999999</v>
      </c>
      <c r="Q2355" s="152">
        <v>1.8684769999999999</v>
      </c>
      <c r="R2355" s="152" t="s">
        <v>1327</v>
      </c>
      <c r="S2355" s="152">
        <v>99.495762999999997</v>
      </c>
      <c r="T2355" s="152">
        <v>0</v>
      </c>
      <c r="U2355" s="152">
        <v>0.26986500000000002</v>
      </c>
      <c r="V2355" s="152">
        <v>0.14565400000000001</v>
      </c>
      <c r="W2355" s="152">
        <v>1000</v>
      </c>
      <c r="X2355" s="152" t="s">
        <v>23</v>
      </c>
      <c r="Y2355" s="152" t="s">
        <v>1921</v>
      </c>
      <c r="Z2355" s="152" t="s">
        <v>1327</v>
      </c>
    </row>
    <row r="2356" spans="1:26" x14ac:dyDescent="0.2">
      <c r="A2356" s="152" t="s">
        <v>3436</v>
      </c>
      <c r="B2356" s="152">
        <v>0</v>
      </c>
      <c r="C2356" s="151">
        <v>43500</v>
      </c>
      <c r="D2356" s="152">
        <v>0.27945199999999998</v>
      </c>
      <c r="E2356" s="152" t="s">
        <v>1325</v>
      </c>
      <c r="F2356" s="152" t="s">
        <v>1326</v>
      </c>
      <c r="G2356" s="152"/>
      <c r="H2356" s="152"/>
      <c r="I2356" s="152" t="s">
        <v>1327</v>
      </c>
      <c r="J2356" s="152" t="s">
        <v>1327</v>
      </c>
      <c r="K2356" s="152" t="s">
        <v>1327</v>
      </c>
      <c r="L2356" s="152" t="s">
        <v>1327</v>
      </c>
      <c r="M2356" s="152" t="s">
        <v>1327</v>
      </c>
      <c r="N2356" s="152" t="s">
        <v>1327</v>
      </c>
      <c r="O2356" s="152">
        <v>1.8759790000000001</v>
      </c>
      <c r="P2356" s="152">
        <v>30.761928999999999</v>
      </c>
      <c r="Q2356" s="152">
        <v>1.8759790000000001</v>
      </c>
      <c r="R2356" s="152" t="s">
        <v>1327</v>
      </c>
      <c r="S2356" s="152">
        <v>99.478487999999999</v>
      </c>
      <c r="T2356" s="152">
        <v>0</v>
      </c>
      <c r="U2356" s="152">
        <v>0.27799499999999999</v>
      </c>
      <c r="V2356" s="152">
        <v>0.154562</v>
      </c>
      <c r="W2356" s="152">
        <v>1000</v>
      </c>
      <c r="X2356" s="152" t="s">
        <v>23</v>
      </c>
      <c r="Y2356" s="152" t="s">
        <v>1921</v>
      </c>
      <c r="Z2356" s="152" t="s">
        <v>1327</v>
      </c>
    </row>
    <row r="2357" spans="1:26" x14ac:dyDescent="0.2">
      <c r="A2357" s="152" t="s">
        <v>3437</v>
      </c>
      <c r="B2357" s="152">
        <v>0</v>
      </c>
      <c r="C2357" s="151">
        <v>43501</v>
      </c>
      <c r="D2357" s="152">
        <v>0.282192</v>
      </c>
      <c r="E2357" s="152" t="s">
        <v>1325</v>
      </c>
      <c r="F2357" s="152" t="s">
        <v>1326</v>
      </c>
      <c r="G2357" s="152"/>
      <c r="H2357" s="152"/>
      <c r="I2357" s="152" t="s">
        <v>1327</v>
      </c>
      <c r="J2357" s="152" t="s">
        <v>1327</v>
      </c>
      <c r="K2357" s="152" t="s">
        <v>1327</v>
      </c>
      <c r="L2357" s="152" t="s">
        <v>1327</v>
      </c>
      <c r="M2357" s="152" t="s">
        <v>1327</v>
      </c>
      <c r="N2357" s="152" t="s">
        <v>1327</v>
      </c>
      <c r="O2357" s="152">
        <v>1.878479</v>
      </c>
      <c r="P2357" s="152">
        <v>30.683022000000001</v>
      </c>
      <c r="Q2357" s="152">
        <v>1.878479</v>
      </c>
      <c r="R2357" s="152" t="s">
        <v>1327</v>
      </c>
      <c r="S2357" s="152">
        <v>99.472703999999993</v>
      </c>
      <c r="T2357" s="152">
        <v>0</v>
      </c>
      <c r="U2357" s="152">
        <v>0.28070400000000001</v>
      </c>
      <c r="V2357" s="152">
        <v>0.15758900000000001</v>
      </c>
      <c r="W2357" s="152">
        <v>1000</v>
      </c>
      <c r="X2357" s="152" t="s">
        <v>23</v>
      </c>
      <c r="Y2357" s="152" t="s">
        <v>1921</v>
      </c>
      <c r="Z2357" s="152" t="s">
        <v>1327</v>
      </c>
    </row>
    <row r="2358" spans="1:26" x14ac:dyDescent="0.2">
      <c r="A2358" s="152" t="s">
        <v>3438</v>
      </c>
      <c r="B2358" s="152">
        <v>0</v>
      </c>
      <c r="C2358" s="151">
        <v>43504</v>
      </c>
      <c r="D2358" s="152">
        <v>0.29041099999999997</v>
      </c>
      <c r="E2358" s="152" t="s">
        <v>1325</v>
      </c>
      <c r="F2358" s="152" t="s">
        <v>1326</v>
      </c>
      <c r="G2358" s="152"/>
      <c r="H2358" s="152"/>
      <c r="I2358" s="152" t="s">
        <v>1327</v>
      </c>
      <c r="J2358" s="152" t="s">
        <v>1327</v>
      </c>
      <c r="K2358" s="152" t="s">
        <v>1327</v>
      </c>
      <c r="L2358" s="152" t="s">
        <v>1327</v>
      </c>
      <c r="M2358" s="152" t="s">
        <v>1327</v>
      </c>
      <c r="N2358" s="152" t="s">
        <v>1327</v>
      </c>
      <c r="O2358" s="152">
        <v>1.8859699999999999</v>
      </c>
      <c r="P2358" s="152">
        <v>30.468356</v>
      </c>
      <c r="Q2358" s="152">
        <v>1.8859699999999999</v>
      </c>
      <c r="R2358" s="152" t="s">
        <v>1327</v>
      </c>
      <c r="S2358" s="152">
        <v>99.455276999999995</v>
      </c>
      <c r="T2358" s="152">
        <v>0</v>
      </c>
      <c r="U2358" s="152">
        <v>0.288829</v>
      </c>
      <c r="V2358" s="152">
        <v>0.16684399999999999</v>
      </c>
      <c r="W2358" s="152">
        <v>1000</v>
      </c>
      <c r="X2358" s="152" t="s">
        <v>23</v>
      </c>
      <c r="Y2358" s="152" t="s">
        <v>1921</v>
      </c>
      <c r="Z2358" s="152" t="s">
        <v>1327</v>
      </c>
    </row>
    <row r="2359" spans="1:26" x14ac:dyDescent="0.2">
      <c r="A2359" s="152" t="s">
        <v>3439</v>
      </c>
      <c r="B2359" s="152">
        <v>0</v>
      </c>
      <c r="C2359" s="151">
        <v>43508</v>
      </c>
      <c r="D2359" s="152">
        <v>0.30137000000000003</v>
      </c>
      <c r="E2359" s="152" t="s">
        <v>1325</v>
      </c>
      <c r="F2359" s="152" t="s">
        <v>1326</v>
      </c>
      <c r="G2359" s="152"/>
      <c r="H2359" s="152"/>
      <c r="I2359" s="152" t="s">
        <v>1327</v>
      </c>
      <c r="J2359" s="152" t="s">
        <v>1327</v>
      </c>
      <c r="K2359" s="152" t="s">
        <v>1327</v>
      </c>
      <c r="L2359" s="152" t="s">
        <v>1327</v>
      </c>
      <c r="M2359" s="152" t="s">
        <v>1327</v>
      </c>
      <c r="N2359" s="152" t="s">
        <v>1327</v>
      </c>
      <c r="O2359" s="152">
        <v>1.8959440000000001</v>
      </c>
      <c r="P2359" s="152">
        <v>30.232392999999998</v>
      </c>
      <c r="Q2359" s="152">
        <v>1.8959440000000001</v>
      </c>
      <c r="R2359" s="152" t="s">
        <v>1327</v>
      </c>
      <c r="S2359" s="152">
        <v>99.431865999999999</v>
      </c>
      <c r="T2359" s="152">
        <v>0</v>
      </c>
      <c r="U2359" s="152">
        <v>0.29965799999999998</v>
      </c>
      <c r="V2359" s="152">
        <v>0.179589</v>
      </c>
      <c r="W2359" s="152">
        <v>1000</v>
      </c>
      <c r="X2359" s="152" t="s">
        <v>23</v>
      </c>
      <c r="Y2359" s="152" t="s">
        <v>1921</v>
      </c>
      <c r="Z2359" s="152" t="s">
        <v>1327</v>
      </c>
    </row>
    <row r="2360" spans="1:26" x14ac:dyDescent="0.2">
      <c r="A2360" s="152" t="s">
        <v>3440</v>
      </c>
      <c r="B2360" s="152">
        <v>0</v>
      </c>
      <c r="C2360" s="151">
        <v>43529</v>
      </c>
      <c r="D2360" s="152">
        <v>0.358904</v>
      </c>
      <c r="E2360" s="152" t="s">
        <v>1325</v>
      </c>
      <c r="F2360" s="152" t="s">
        <v>1326</v>
      </c>
      <c r="G2360" s="152"/>
      <c r="H2360" s="152"/>
      <c r="I2360" s="151" t="s">
        <v>1327</v>
      </c>
      <c r="J2360" s="152" t="s">
        <v>1327</v>
      </c>
      <c r="K2360" s="152" t="s">
        <v>1327</v>
      </c>
      <c r="L2360" s="152" t="s">
        <v>1327</v>
      </c>
      <c r="M2360" s="152" t="s">
        <v>1327</v>
      </c>
      <c r="N2360" s="152" t="s">
        <v>1327</v>
      </c>
      <c r="O2360" s="152">
        <v>1.947943</v>
      </c>
      <c r="P2360" s="152">
        <v>29.857054999999999</v>
      </c>
      <c r="Q2360" s="152">
        <v>1.947943</v>
      </c>
      <c r="R2360" s="152" t="s">
        <v>1327</v>
      </c>
      <c r="S2360" s="152">
        <v>99.305728999999999</v>
      </c>
      <c r="T2360" s="152">
        <v>0</v>
      </c>
      <c r="U2360" s="152">
        <v>0.35641200000000001</v>
      </c>
      <c r="V2360" s="152">
        <v>0.25406000000000001</v>
      </c>
      <c r="W2360" s="152">
        <v>1000</v>
      </c>
      <c r="X2360" s="152" t="s">
        <v>23</v>
      </c>
      <c r="Y2360" s="152" t="s">
        <v>1921</v>
      </c>
      <c r="Z2360" s="152" t="s">
        <v>1327</v>
      </c>
    </row>
    <row r="2361" spans="1:26" x14ac:dyDescent="0.2">
      <c r="A2361" s="152" t="s">
        <v>3441</v>
      </c>
      <c r="B2361" s="152">
        <v>0</v>
      </c>
      <c r="C2361" s="151">
        <v>43532</v>
      </c>
      <c r="D2361" s="152">
        <v>0.36712299999999998</v>
      </c>
      <c r="E2361" s="152" t="s">
        <v>1325</v>
      </c>
      <c r="F2361" s="152" t="s">
        <v>1326</v>
      </c>
      <c r="G2361" s="152"/>
      <c r="H2361" s="152"/>
      <c r="I2361" s="151" t="s">
        <v>1327</v>
      </c>
      <c r="J2361" s="152" t="s">
        <v>1327</v>
      </c>
      <c r="K2361" s="152" t="s">
        <v>1327</v>
      </c>
      <c r="L2361" s="152" t="s">
        <v>1327</v>
      </c>
      <c r="M2361" s="152" t="s">
        <v>1327</v>
      </c>
      <c r="N2361" s="152" t="s">
        <v>1327</v>
      </c>
      <c r="O2361" s="152">
        <v>1.955309</v>
      </c>
      <c r="P2361" s="152">
        <v>29.911075</v>
      </c>
      <c r="Q2361" s="152">
        <v>1.955309</v>
      </c>
      <c r="R2361" s="152" t="s">
        <v>1327</v>
      </c>
      <c r="S2361" s="152">
        <v>99.287277000000003</v>
      </c>
      <c r="T2361" s="152">
        <v>0</v>
      </c>
      <c r="U2361" s="152">
        <v>0.36450700000000003</v>
      </c>
      <c r="V2361" s="152">
        <v>0.26573000000000002</v>
      </c>
      <c r="W2361" s="152">
        <v>1000</v>
      </c>
      <c r="X2361" s="152" t="s">
        <v>23</v>
      </c>
      <c r="Y2361" s="152" t="s">
        <v>1921</v>
      </c>
      <c r="Z2361" s="152" t="s">
        <v>1327</v>
      </c>
    </row>
    <row r="2362" spans="1:26" x14ac:dyDescent="0.2">
      <c r="A2362" s="152" t="s">
        <v>3442</v>
      </c>
      <c r="B2362" s="152">
        <v>0</v>
      </c>
      <c r="C2362" s="151">
        <v>43549</v>
      </c>
      <c r="D2362" s="152">
        <v>0.41369899999999998</v>
      </c>
      <c r="E2362" s="152" t="s">
        <v>1325</v>
      </c>
      <c r="F2362" s="152" t="s">
        <v>1326</v>
      </c>
      <c r="G2362" s="152"/>
      <c r="H2362" s="152"/>
      <c r="I2362" s="151" t="s">
        <v>1327</v>
      </c>
      <c r="J2362" s="152" t="s">
        <v>1327</v>
      </c>
      <c r="K2362" s="152" t="s">
        <v>1327</v>
      </c>
      <c r="L2362" s="152" t="s">
        <v>1327</v>
      </c>
      <c r="M2362" s="152" t="s">
        <v>1327</v>
      </c>
      <c r="N2362" s="152" t="s">
        <v>1327</v>
      </c>
      <c r="O2362" s="152">
        <v>1.9966820000000001</v>
      </c>
      <c r="P2362" s="152">
        <v>30.650707000000001</v>
      </c>
      <c r="Q2362" s="152">
        <v>1.9966820000000001</v>
      </c>
      <c r="R2362" s="152" t="s">
        <v>1327</v>
      </c>
      <c r="S2362" s="152">
        <v>99.180743000000007</v>
      </c>
      <c r="T2362" s="152">
        <v>0</v>
      </c>
      <c r="U2362" s="152">
        <v>0.41030899999999998</v>
      </c>
      <c r="V2362" s="152">
        <v>0.33670800000000001</v>
      </c>
      <c r="W2362" s="152">
        <v>1000</v>
      </c>
      <c r="X2362" s="152" t="s">
        <v>23</v>
      </c>
      <c r="Y2362" s="152" t="s">
        <v>1921</v>
      </c>
      <c r="Z2362" s="152" t="s">
        <v>1327</v>
      </c>
    </row>
    <row r="2363" spans="1:26" x14ac:dyDescent="0.2">
      <c r="A2363" s="152" t="s">
        <v>3443</v>
      </c>
      <c r="B2363" s="152">
        <v>0</v>
      </c>
      <c r="C2363" s="151">
        <v>43441</v>
      </c>
      <c r="D2363" s="152">
        <v>0.117808</v>
      </c>
      <c r="E2363" s="152" t="s">
        <v>1325</v>
      </c>
      <c r="F2363" s="152" t="s">
        <v>1326</v>
      </c>
      <c r="G2363" s="152"/>
      <c r="H2363" s="152"/>
      <c r="I2363" s="152" t="s">
        <v>1327</v>
      </c>
      <c r="J2363" s="152" t="s">
        <v>1327</v>
      </c>
      <c r="K2363" s="152" t="s">
        <v>1327</v>
      </c>
      <c r="L2363" s="152" t="s">
        <v>1327</v>
      </c>
      <c r="M2363" s="152" t="s">
        <v>1327</v>
      </c>
      <c r="N2363" s="152" t="s">
        <v>1327</v>
      </c>
      <c r="O2363" s="152">
        <v>1.5409569999999999</v>
      </c>
      <c r="P2363" s="152">
        <v>22.389859999999999</v>
      </c>
      <c r="Q2363" s="152">
        <v>1.5409569999999999</v>
      </c>
      <c r="R2363" s="152" t="s">
        <v>1327</v>
      </c>
      <c r="S2363" s="152">
        <v>99.818792000000002</v>
      </c>
      <c r="T2363" s="152">
        <v>0</v>
      </c>
      <c r="U2363" s="152">
        <v>0.11759500000000001</v>
      </c>
      <c r="V2363" s="152">
        <v>2.7657000000000001E-2</v>
      </c>
      <c r="W2363" s="152">
        <v>1000</v>
      </c>
      <c r="X2363" s="152" t="s">
        <v>23</v>
      </c>
      <c r="Y2363" s="152" t="s">
        <v>1921</v>
      </c>
      <c r="Z2363" s="152" t="s">
        <v>1327</v>
      </c>
    </row>
    <row r="2364" spans="1:26" x14ac:dyDescent="0.2">
      <c r="A2364" s="152" t="s">
        <v>3444</v>
      </c>
      <c r="B2364" s="152">
        <v>0</v>
      </c>
      <c r="C2364" s="151">
        <v>43490</v>
      </c>
      <c r="D2364" s="152">
        <v>0.25205499999999997</v>
      </c>
      <c r="E2364" s="152" t="s">
        <v>1325</v>
      </c>
      <c r="F2364" s="152" t="s">
        <v>1326</v>
      </c>
      <c r="G2364" s="152"/>
      <c r="H2364" s="152"/>
      <c r="I2364" s="151">
        <v>43265</v>
      </c>
      <c r="J2364" s="152">
        <v>1.9</v>
      </c>
      <c r="K2364" s="152" t="s">
        <v>1327</v>
      </c>
      <c r="L2364" s="152" t="s">
        <v>1327</v>
      </c>
      <c r="M2364" s="152" t="s">
        <v>1327</v>
      </c>
      <c r="N2364" s="152" t="s">
        <v>1327</v>
      </c>
      <c r="O2364" s="152">
        <v>1.9578439999999999</v>
      </c>
      <c r="P2364" s="152">
        <v>42.604486999999999</v>
      </c>
      <c r="Q2364" s="152">
        <v>1.9578439999999999</v>
      </c>
      <c r="R2364" s="152" t="s">
        <v>1327</v>
      </c>
      <c r="S2364" s="152">
        <v>99.508938999999998</v>
      </c>
      <c r="T2364" s="152">
        <v>0</v>
      </c>
      <c r="U2364" s="152">
        <v>0.25081700000000001</v>
      </c>
      <c r="V2364" s="152">
        <v>0.12581800000000001</v>
      </c>
      <c r="W2364" s="152">
        <v>8800004</v>
      </c>
      <c r="X2364" s="152" t="s">
        <v>23</v>
      </c>
      <c r="Y2364" s="152" t="s">
        <v>1921</v>
      </c>
      <c r="Z2364" s="152" t="s">
        <v>1327</v>
      </c>
    </row>
    <row r="2365" spans="1:26" x14ac:dyDescent="0.2">
      <c r="A2365" s="152" t="s">
        <v>3445</v>
      </c>
      <c r="B2365" s="152">
        <v>0</v>
      </c>
      <c r="C2365" s="151">
        <v>43446</v>
      </c>
      <c r="D2365" s="152">
        <v>0.13150700000000001</v>
      </c>
      <c r="E2365" s="152" t="s">
        <v>1325</v>
      </c>
      <c r="F2365" s="152" t="s">
        <v>1326</v>
      </c>
      <c r="G2365" s="152"/>
      <c r="H2365" s="152"/>
      <c r="I2365" s="151" t="s">
        <v>1327</v>
      </c>
      <c r="J2365" s="152" t="s">
        <v>1327</v>
      </c>
      <c r="K2365" s="152" t="s">
        <v>1327</v>
      </c>
      <c r="L2365" s="152" t="s">
        <v>1327</v>
      </c>
      <c r="M2365" s="152" t="s">
        <v>1327</v>
      </c>
      <c r="N2365" s="152" t="s">
        <v>1327</v>
      </c>
      <c r="O2365" s="152">
        <v>1.6092759999999999</v>
      </c>
      <c r="P2365" s="152">
        <v>26.829006</v>
      </c>
      <c r="Q2365" s="152">
        <v>1.6092759999999999</v>
      </c>
      <c r="R2365" s="152" t="s">
        <v>1327</v>
      </c>
      <c r="S2365" s="152">
        <v>99.788815999999997</v>
      </c>
      <c r="T2365" s="152">
        <v>0</v>
      </c>
      <c r="U2365" s="152">
        <v>0.13122900000000001</v>
      </c>
      <c r="V2365" s="152">
        <v>3.4442E-2</v>
      </c>
      <c r="W2365" s="152">
        <v>1000</v>
      </c>
      <c r="X2365" s="152" t="s">
        <v>23</v>
      </c>
      <c r="Y2365" s="152" t="s">
        <v>1328</v>
      </c>
      <c r="Z2365" s="152" t="s">
        <v>1327</v>
      </c>
    </row>
    <row r="2366" spans="1:26" x14ac:dyDescent="0.2">
      <c r="A2366" s="152" t="s">
        <v>3446</v>
      </c>
      <c r="B2366" s="152">
        <v>0</v>
      </c>
      <c r="C2366" s="151">
        <v>43419</v>
      </c>
      <c r="D2366" s="152">
        <v>5.7534000000000002E-2</v>
      </c>
      <c r="E2366" s="152" t="s">
        <v>1325</v>
      </c>
      <c r="F2366" s="152" t="s">
        <v>1326</v>
      </c>
      <c r="G2366" s="152"/>
      <c r="H2366" s="152"/>
      <c r="I2366" s="151" t="s">
        <v>1327</v>
      </c>
      <c r="J2366" s="152" t="s">
        <v>1327</v>
      </c>
      <c r="K2366" s="152" t="s">
        <v>1327</v>
      </c>
      <c r="L2366" s="152" t="s">
        <v>1327</v>
      </c>
      <c r="M2366" s="152" t="s">
        <v>1327</v>
      </c>
      <c r="N2366" s="152" t="s">
        <v>1327</v>
      </c>
      <c r="O2366" s="152">
        <v>1.461468</v>
      </c>
      <c r="P2366" s="152">
        <v>25.452362999999998</v>
      </c>
      <c r="Q2366" s="152">
        <v>1.461468</v>
      </c>
      <c r="R2366" s="152" t="s">
        <v>1327</v>
      </c>
      <c r="S2366" s="152">
        <v>99.915986000000004</v>
      </c>
      <c r="T2366" s="152">
        <v>0</v>
      </c>
      <c r="U2366" s="152">
        <v>5.7486000000000002E-2</v>
      </c>
      <c r="V2366" s="152">
        <v>6.6090000000000003E-3</v>
      </c>
      <c r="W2366" s="152">
        <v>1000</v>
      </c>
      <c r="X2366" s="152" t="s">
        <v>23</v>
      </c>
      <c r="Y2366" s="152" t="s">
        <v>1328</v>
      </c>
      <c r="Z2366" s="152" t="s">
        <v>1327</v>
      </c>
    </row>
    <row r="2367" spans="1:26" x14ac:dyDescent="0.2">
      <c r="A2367" s="152" t="s">
        <v>3447</v>
      </c>
      <c r="B2367" s="152">
        <v>0</v>
      </c>
      <c r="C2367" s="151">
        <v>43419</v>
      </c>
      <c r="D2367" s="152">
        <v>5.7534000000000002E-2</v>
      </c>
      <c r="E2367" s="152" t="s">
        <v>1325</v>
      </c>
      <c r="F2367" s="152" t="s">
        <v>1326</v>
      </c>
      <c r="G2367" s="152"/>
      <c r="H2367" s="152"/>
      <c r="I2367" s="151" t="s">
        <v>1327</v>
      </c>
      <c r="J2367" s="152" t="s">
        <v>1327</v>
      </c>
      <c r="K2367" s="152" t="s">
        <v>1327</v>
      </c>
      <c r="L2367" s="152" t="s">
        <v>1327</v>
      </c>
      <c r="M2367" s="152" t="s">
        <v>1327</v>
      </c>
      <c r="N2367" s="152" t="s">
        <v>1327</v>
      </c>
      <c r="O2367" s="152">
        <v>1.461468</v>
      </c>
      <c r="P2367" s="152">
        <v>25.452362999999998</v>
      </c>
      <c r="Q2367" s="152">
        <v>1.461468</v>
      </c>
      <c r="R2367" s="152" t="s">
        <v>1327</v>
      </c>
      <c r="S2367" s="152">
        <v>99.915986000000004</v>
      </c>
      <c r="T2367" s="152">
        <v>0</v>
      </c>
      <c r="U2367" s="152">
        <v>5.7486000000000002E-2</v>
      </c>
      <c r="V2367" s="152">
        <v>6.6090000000000003E-3</v>
      </c>
      <c r="W2367" s="152">
        <v>1000</v>
      </c>
      <c r="X2367" s="152" t="s">
        <v>23</v>
      </c>
      <c r="Y2367" s="152" t="s">
        <v>1328</v>
      </c>
      <c r="Z2367" s="152" t="s">
        <v>1327</v>
      </c>
    </row>
    <row r="2368" spans="1:26" x14ac:dyDescent="0.2">
      <c r="A2368" s="152" t="s">
        <v>3448</v>
      </c>
      <c r="B2368" s="152">
        <v>0</v>
      </c>
      <c r="C2368" s="151">
        <v>43420</v>
      </c>
      <c r="D2368" s="152">
        <v>6.0274000000000001E-2</v>
      </c>
      <c r="E2368" s="152" t="s">
        <v>1325</v>
      </c>
      <c r="F2368" s="152" t="s">
        <v>1326</v>
      </c>
      <c r="G2368" s="152"/>
      <c r="H2368" s="152"/>
      <c r="I2368" s="151" t="s">
        <v>1327</v>
      </c>
      <c r="J2368" s="152" t="s">
        <v>1327</v>
      </c>
      <c r="K2368" s="152" t="s">
        <v>1327</v>
      </c>
      <c r="L2368" s="152" t="s">
        <v>1327</v>
      </c>
      <c r="M2368" s="152" t="s">
        <v>1327</v>
      </c>
      <c r="N2368" s="152" t="s">
        <v>1327</v>
      </c>
      <c r="O2368" s="152">
        <v>1.466872</v>
      </c>
      <c r="P2368" s="152">
        <v>25.494357999999998</v>
      </c>
      <c r="Q2368" s="152">
        <v>1.466872</v>
      </c>
      <c r="R2368" s="152" t="s">
        <v>1327</v>
      </c>
      <c r="S2368" s="152">
        <v>99.911664000000002</v>
      </c>
      <c r="T2368" s="152">
        <v>0</v>
      </c>
      <c r="U2368" s="152">
        <v>6.0220999999999997E-2</v>
      </c>
      <c r="V2368" s="152">
        <v>7.2529999999999999E-3</v>
      </c>
      <c r="W2368" s="152">
        <v>1000</v>
      </c>
      <c r="X2368" s="152" t="s">
        <v>23</v>
      </c>
      <c r="Y2368" s="152" t="s">
        <v>1328</v>
      </c>
      <c r="Z2368" s="152" t="s">
        <v>1327</v>
      </c>
    </row>
    <row r="2369" spans="1:26" x14ac:dyDescent="0.2">
      <c r="A2369" s="152" t="s">
        <v>3449</v>
      </c>
      <c r="B2369" s="152">
        <v>0</v>
      </c>
      <c r="C2369" s="151">
        <v>43426</v>
      </c>
      <c r="D2369" s="152">
        <v>7.6712000000000002E-2</v>
      </c>
      <c r="E2369" s="152" t="s">
        <v>1325</v>
      </c>
      <c r="F2369" s="152" t="s">
        <v>1326</v>
      </c>
      <c r="G2369" s="152"/>
      <c r="H2369" s="152"/>
      <c r="I2369" s="152" t="s">
        <v>1327</v>
      </c>
      <c r="J2369" s="152" t="s">
        <v>1327</v>
      </c>
      <c r="K2369" s="152" t="s">
        <v>1327</v>
      </c>
      <c r="L2369" s="152" t="s">
        <v>1327</v>
      </c>
      <c r="M2369" s="152" t="s">
        <v>1327</v>
      </c>
      <c r="N2369" s="152" t="s">
        <v>1327</v>
      </c>
      <c r="O2369" s="152">
        <v>1.4993970000000001</v>
      </c>
      <c r="P2369" s="152">
        <v>25.750876000000002</v>
      </c>
      <c r="Q2369" s="152">
        <v>1.4993970000000001</v>
      </c>
      <c r="R2369" s="152" t="s">
        <v>1327</v>
      </c>
      <c r="S2369" s="152">
        <v>99.885109999999997</v>
      </c>
      <c r="T2369" s="152">
        <v>0</v>
      </c>
      <c r="U2369" s="152">
        <v>7.6623999999999998E-2</v>
      </c>
      <c r="V2369" s="152">
        <v>1.1743E-2</v>
      </c>
      <c r="W2369" s="152">
        <v>1000</v>
      </c>
      <c r="X2369" s="152" t="s">
        <v>23</v>
      </c>
      <c r="Y2369" s="152" t="s">
        <v>1328</v>
      </c>
      <c r="Z2369" s="152" t="s">
        <v>1327</v>
      </c>
    </row>
    <row r="2370" spans="1:26" x14ac:dyDescent="0.2">
      <c r="A2370" s="152" t="s">
        <v>3450</v>
      </c>
      <c r="B2370" s="152">
        <v>0</v>
      </c>
      <c r="C2370" s="151">
        <v>43447</v>
      </c>
      <c r="D2370" s="152">
        <v>0.13424700000000001</v>
      </c>
      <c r="E2370" s="152" t="s">
        <v>1325</v>
      </c>
      <c r="F2370" s="152" t="s">
        <v>1326</v>
      </c>
      <c r="G2370" s="152"/>
      <c r="H2370" s="152"/>
      <c r="I2370" s="152">
        <v>43356</v>
      </c>
      <c r="J2370" s="152">
        <v>1.62</v>
      </c>
      <c r="K2370" s="152" t="s">
        <v>1327</v>
      </c>
      <c r="L2370" s="152" t="s">
        <v>1327</v>
      </c>
      <c r="M2370" s="152" t="s">
        <v>1327</v>
      </c>
      <c r="N2370" s="152" t="s">
        <v>1327</v>
      </c>
      <c r="O2370" s="152">
        <v>1.633467</v>
      </c>
      <c r="P2370" s="152">
        <v>28.788357000000001</v>
      </c>
      <c r="Q2370" s="152">
        <v>1.633467</v>
      </c>
      <c r="R2370" s="152" t="s">
        <v>1327</v>
      </c>
      <c r="S2370" s="152">
        <v>99.781192000000004</v>
      </c>
      <c r="T2370" s="152">
        <v>0</v>
      </c>
      <c r="U2370" s="152">
        <v>0.13395299999999999</v>
      </c>
      <c r="V2370" s="152">
        <v>3.5887000000000002E-2</v>
      </c>
      <c r="W2370" s="152">
        <v>1000</v>
      </c>
      <c r="X2370" s="152" t="s">
        <v>23</v>
      </c>
      <c r="Y2370" s="152" t="s">
        <v>1328</v>
      </c>
      <c r="Z2370" s="152" t="s">
        <v>1327</v>
      </c>
    </row>
    <row r="2371" spans="1:26" x14ac:dyDescent="0.2">
      <c r="A2371" s="152" t="s">
        <v>3451</v>
      </c>
      <c r="B2371" s="152">
        <v>0</v>
      </c>
      <c r="C2371" s="151">
        <v>43454</v>
      </c>
      <c r="D2371" s="152">
        <v>0.15342500000000001</v>
      </c>
      <c r="E2371" s="152" t="s">
        <v>1325</v>
      </c>
      <c r="F2371" s="152" t="s">
        <v>1326</v>
      </c>
      <c r="G2371" s="152"/>
      <c r="H2371" s="152"/>
      <c r="I2371" s="152">
        <v>43363</v>
      </c>
      <c r="J2371" s="152">
        <v>1.62</v>
      </c>
      <c r="K2371" s="152" t="s">
        <v>1327</v>
      </c>
      <c r="L2371" s="152" t="s">
        <v>1327</v>
      </c>
      <c r="M2371" s="152" t="s">
        <v>1327</v>
      </c>
      <c r="N2371" s="152" t="s">
        <v>1327</v>
      </c>
      <c r="O2371" s="152">
        <v>1.6729419999999999</v>
      </c>
      <c r="P2371" s="152">
        <v>29.375496999999999</v>
      </c>
      <c r="Q2371" s="152">
        <v>1.6729419999999999</v>
      </c>
      <c r="R2371" s="152" t="s">
        <v>1327</v>
      </c>
      <c r="S2371" s="152">
        <v>99.743987000000004</v>
      </c>
      <c r="T2371" s="152">
        <v>0</v>
      </c>
      <c r="U2371" s="152">
        <v>0.153032</v>
      </c>
      <c r="V2371" s="152">
        <v>4.6837999999999998E-2</v>
      </c>
      <c r="W2371" s="152">
        <v>1000</v>
      </c>
      <c r="X2371" s="152" t="s">
        <v>23</v>
      </c>
      <c r="Y2371" s="152" t="s">
        <v>1328</v>
      </c>
      <c r="Z2371" s="152" t="s">
        <v>1327</v>
      </c>
    </row>
    <row r="2372" spans="1:26" x14ac:dyDescent="0.2">
      <c r="A2372" s="152" t="s">
        <v>3452</v>
      </c>
      <c r="B2372" s="152">
        <v>0</v>
      </c>
      <c r="C2372" s="151">
        <v>43410</v>
      </c>
      <c r="D2372" s="152">
        <v>3.2877000000000003E-2</v>
      </c>
      <c r="E2372" s="152" t="s">
        <v>1325</v>
      </c>
      <c r="F2372" s="152" t="s">
        <v>1326</v>
      </c>
      <c r="G2372" s="152"/>
      <c r="H2372" s="152"/>
      <c r="I2372" s="152">
        <v>43315</v>
      </c>
      <c r="J2372" s="152">
        <v>1.62</v>
      </c>
      <c r="K2372" s="152" t="s">
        <v>1327</v>
      </c>
      <c r="L2372" s="152" t="s">
        <v>1327</v>
      </c>
      <c r="M2372" s="152" t="s">
        <v>1327</v>
      </c>
      <c r="N2372" s="152" t="s">
        <v>1327</v>
      </c>
      <c r="O2372" s="152">
        <v>1.4738420000000001</v>
      </c>
      <c r="P2372" s="152">
        <v>31.230791</v>
      </c>
      <c r="Q2372" s="152">
        <v>1.4738420000000001</v>
      </c>
      <c r="R2372" s="152" t="s">
        <v>1327</v>
      </c>
      <c r="S2372" s="152">
        <v>99.951567999999995</v>
      </c>
      <c r="T2372" s="152">
        <v>0</v>
      </c>
      <c r="U2372" s="152">
        <v>3.2861000000000001E-2</v>
      </c>
      <c r="V2372" s="152">
        <v>2.16E-3</v>
      </c>
      <c r="W2372" s="152">
        <v>1000</v>
      </c>
      <c r="X2372" s="152" t="s">
        <v>23</v>
      </c>
      <c r="Y2372" s="152" t="s">
        <v>1328</v>
      </c>
      <c r="Z2372" s="152" t="s">
        <v>1327</v>
      </c>
    </row>
    <row r="2373" spans="1:26" x14ac:dyDescent="0.2">
      <c r="A2373" s="152" t="s">
        <v>3453</v>
      </c>
      <c r="B2373" s="152">
        <v>3.25</v>
      </c>
      <c r="C2373" s="151">
        <v>43427</v>
      </c>
      <c r="D2373" s="152">
        <v>7.9451999999999995E-2</v>
      </c>
      <c r="E2373" s="152" t="s">
        <v>1325</v>
      </c>
      <c r="F2373" s="152" t="s">
        <v>1326</v>
      </c>
      <c r="G2373" s="152"/>
      <c r="H2373" s="152"/>
      <c r="I2373" s="151" t="s">
        <v>1327</v>
      </c>
      <c r="J2373" s="152" t="s">
        <v>1327</v>
      </c>
      <c r="K2373" s="152" t="s">
        <v>1327</v>
      </c>
      <c r="L2373" s="152" t="s">
        <v>1327</v>
      </c>
      <c r="M2373" s="152" t="s">
        <v>1327</v>
      </c>
      <c r="N2373" s="152" t="s">
        <v>1327</v>
      </c>
      <c r="O2373" s="152">
        <v>2.7733880000000002</v>
      </c>
      <c r="P2373" s="152">
        <v>155.17145099999999</v>
      </c>
      <c r="Q2373" s="152">
        <v>2.7733880000000002</v>
      </c>
      <c r="R2373" s="152" t="s">
        <v>1327</v>
      </c>
      <c r="S2373" s="152">
        <v>100.03475</v>
      </c>
      <c r="T2373" s="152">
        <v>1.3801369999999999</v>
      </c>
      <c r="U2373" s="152">
        <v>7.9277E-2</v>
      </c>
      <c r="V2373" s="152">
        <v>1.257E-2</v>
      </c>
      <c r="W2373" s="152">
        <v>1000</v>
      </c>
      <c r="X2373" s="152" t="s">
        <v>23</v>
      </c>
      <c r="Y2373" s="152" t="s">
        <v>1328</v>
      </c>
      <c r="Z2373" s="152" t="s">
        <v>1327</v>
      </c>
    </row>
    <row r="2374" spans="1:26" x14ac:dyDescent="0.2">
      <c r="A2374" s="152" t="s">
        <v>3454</v>
      </c>
      <c r="B2374" s="152">
        <v>0</v>
      </c>
      <c r="C2374" s="151">
        <v>43441</v>
      </c>
      <c r="D2374" s="152">
        <v>0.117808</v>
      </c>
      <c r="E2374" s="152" t="s">
        <v>1325</v>
      </c>
      <c r="F2374" s="152" t="s">
        <v>1326</v>
      </c>
      <c r="G2374" s="152"/>
      <c r="H2374" s="152"/>
      <c r="I2374" s="151" t="s">
        <v>1327</v>
      </c>
      <c r="J2374" s="152" t="s">
        <v>1327</v>
      </c>
      <c r="K2374" s="152" t="s">
        <v>1327</v>
      </c>
      <c r="L2374" s="152" t="s">
        <v>1327</v>
      </c>
      <c r="M2374" s="152" t="s">
        <v>1327</v>
      </c>
      <c r="N2374" s="152" t="s">
        <v>1327</v>
      </c>
      <c r="O2374" s="152">
        <v>1.5966640000000001</v>
      </c>
      <c r="P2374" s="152">
        <v>28.038131</v>
      </c>
      <c r="Q2374" s="152">
        <v>1.5966640000000001</v>
      </c>
      <c r="R2374" s="152" t="s">
        <v>1327</v>
      </c>
      <c r="S2374" s="152">
        <v>99.812252999999998</v>
      </c>
      <c r="T2374" s="152">
        <v>0</v>
      </c>
      <c r="U2374" s="152">
        <v>0.117587</v>
      </c>
      <c r="V2374" s="152">
        <v>2.7653E-2</v>
      </c>
      <c r="W2374" s="152">
        <v>1000</v>
      </c>
      <c r="X2374" s="152" t="s">
        <v>23</v>
      </c>
      <c r="Y2374" s="152" t="s">
        <v>1921</v>
      </c>
      <c r="Z2374" s="152" t="s">
        <v>1327</v>
      </c>
    </row>
    <row r="2375" spans="1:26" x14ac:dyDescent="0.2">
      <c r="A2375" s="152" t="s">
        <v>3455</v>
      </c>
      <c r="B2375" s="152">
        <v>0</v>
      </c>
      <c r="C2375" s="151">
        <v>43419</v>
      </c>
      <c r="D2375" s="152">
        <v>5.7534000000000002E-2</v>
      </c>
      <c r="E2375" s="152" t="s">
        <v>1325</v>
      </c>
      <c r="F2375" s="152" t="s">
        <v>1326</v>
      </c>
      <c r="G2375" s="152"/>
      <c r="H2375" s="152"/>
      <c r="I2375" s="151" t="s">
        <v>1327</v>
      </c>
      <c r="J2375" s="152" t="s">
        <v>1327</v>
      </c>
      <c r="K2375" s="152" t="s">
        <v>1327</v>
      </c>
      <c r="L2375" s="152" t="s">
        <v>1327</v>
      </c>
      <c r="M2375" s="152" t="s">
        <v>1327</v>
      </c>
      <c r="N2375" s="152" t="s">
        <v>1327</v>
      </c>
      <c r="O2375" s="152">
        <v>1.4881500000000001</v>
      </c>
      <c r="P2375" s="152">
        <v>28.157893999999999</v>
      </c>
      <c r="Q2375" s="152">
        <v>1.4881500000000001</v>
      </c>
      <c r="R2375" s="152" t="s">
        <v>1327</v>
      </c>
      <c r="S2375" s="152">
        <v>99.914454000000006</v>
      </c>
      <c r="T2375" s="152">
        <v>0</v>
      </c>
      <c r="U2375" s="152">
        <v>5.7485000000000001E-2</v>
      </c>
      <c r="V2375" s="152">
        <v>6.6090000000000003E-3</v>
      </c>
      <c r="W2375" s="152">
        <v>1000</v>
      </c>
      <c r="X2375" s="152" t="s">
        <v>23</v>
      </c>
      <c r="Y2375" s="152" t="s">
        <v>1921</v>
      </c>
      <c r="Z2375" s="152" t="s">
        <v>1327</v>
      </c>
    </row>
    <row r="2376" spans="1:26" x14ac:dyDescent="0.2">
      <c r="A2376" s="152" t="s">
        <v>3456</v>
      </c>
      <c r="B2376" s="152">
        <v>0</v>
      </c>
      <c r="C2376" s="151">
        <v>43420</v>
      </c>
      <c r="D2376" s="152">
        <v>6.0274000000000001E-2</v>
      </c>
      <c r="E2376" s="152" t="s">
        <v>1325</v>
      </c>
      <c r="F2376" s="152" t="s">
        <v>1326</v>
      </c>
      <c r="G2376" s="152"/>
      <c r="H2376" s="152"/>
      <c r="I2376" s="151" t="s">
        <v>1327</v>
      </c>
      <c r="J2376" s="152" t="s">
        <v>1327</v>
      </c>
      <c r="K2376" s="152" t="s">
        <v>1327</v>
      </c>
      <c r="L2376" s="152" t="s">
        <v>1327</v>
      </c>
      <c r="M2376" s="152" t="s">
        <v>1327</v>
      </c>
      <c r="N2376" s="152" t="s">
        <v>1327</v>
      </c>
      <c r="O2376" s="152">
        <v>1.493026</v>
      </c>
      <c r="P2376" s="152">
        <v>28.146376</v>
      </c>
      <c r="Q2376" s="152">
        <v>1.493026</v>
      </c>
      <c r="R2376" s="152" t="s">
        <v>1327</v>
      </c>
      <c r="S2376" s="152">
        <v>99.910089999999997</v>
      </c>
      <c r="T2376" s="152">
        <v>0</v>
      </c>
      <c r="U2376" s="152">
        <v>6.0220000000000003E-2</v>
      </c>
      <c r="V2376" s="152">
        <v>7.2529999999999999E-3</v>
      </c>
      <c r="W2376" s="152">
        <v>1000</v>
      </c>
      <c r="X2376" s="152" t="s">
        <v>23</v>
      </c>
      <c r="Y2376" s="152" t="s">
        <v>1921</v>
      </c>
      <c r="Z2376" s="152" t="s">
        <v>1327</v>
      </c>
    </row>
    <row r="2377" spans="1:26" x14ac:dyDescent="0.2">
      <c r="A2377" s="152" t="s">
        <v>3457</v>
      </c>
      <c r="B2377" s="152">
        <v>0</v>
      </c>
      <c r="C2377" s="151">
        <v>43481</v>
      </c>
      <c r="D2377" s="152">
        <v>0.22739699999999999</v>
      </c>
      <c r="E2377" s="152" t="s">
        <v>1325</v>
      </c>
      <c r="F2377" s="152" t="s">
        <v>1326</v>
      </c>
      <c r="G2377" s="152"/>
      <c r="H2377" s="152"/>
      <c r="I2377" s="151" t="s">
        <v>1327</v>
      </c>
      <c r="J2377" s="152" t="s">
        <v>1327</v>
      </c>
      <c r="K2377" s="152" t="s">
        <v>1327</v>
      </c>
      <c r="L2377" s="152" t="s">
        <v>1327</v>
      </c>
      <c r="M2377" s="152" t="s">
        <v>1327</v>
      </c>
      <c r="N2377" s="152" t="s">
        <v>1327</v>
      </c>
      <c r="O2377" s="152">
        <v>1.8015380000000001</v>
      </c>
      <c r="P2377" s="152">
        <v>30.278196999999999</v>
      </c>
      <c r="Q2377" s="152">
        <v>1.8015380000000001</v>
      </c>
      <c r="R2377" s="152" t="s">
        <v>1327</v>
      </c>
      <c r="S2377" s="152">
        <v>99.592006999999995</v>
      </c>
      <c r="T2377" s="152">
        <v>0</v>
      </c>
      <c r="U2377" s="152">
        <v>0.226469</v>
      </c>
      <c r="V2377" s="152">
        <v>0.102577</v>
      </c>
      <c r="W2377" s="152">
        <v>1000</v>
      </c>
      <c r="X2377" s="152" t="s">
        <v>23</v>
      </c>
      <c r="Y2377" s="152" t="s">
        <v>1921</v>
      </c>
      <c r="Z2377" s="152" t="s">
        <v>1327</v>
      </c>
    </row>
    <row r="2378" spans="1:26" x14ac:dyDescent="0.2">
      <c r="A2378" s="152" t="s">
        <v>3458</v>
      </c>
      <c r="B2378" s="152">
        <v>0</v>
      </c>
      <c r="C2378" s="151">
        <v>43489</v>
      </c>
      <c r="D2378" s="152">
        <v>0.24931500000000001</v>
      </c>
      <c r="E2378" s="152" t="s">
        <v>1325</v>
      </c>
      <c r="F2378" s="152" t="s">
        <v>1326</v>
      </c>
      <c r="G2378" s="152"/>
      <c r="H2378" s="152"/>
      <c r="I2378" s="151" t="s">
        <v>1327</v>
      </c>
      <c r="J2378" s="152" t="s">
        <v>1327</v>
      </c>
      <c r="K2378" s="152" t="s">
        <v>1327</v>
      </c>
      <c r="L2378" s="152" t="s">
        <v>1327</v>
      </c>
      <c r="M2378" s="152" t="s">
        <v>1327</v>
      </c>
      <c r="N2378" s="152" t="s">
        <v>1327</v>
      </c>
      <c r="O2378" s="152">
        <v>1.825251</v>
      </c>
      <c r="P2378" s="152">
        <v>29.532564000000001</v>
      </c>
      <c r="Q2378" s="152">
        <v>1.825251</v>
      </c>
      <c r="R2378" s="152" t="s">
        <v>1327</v>
      </c>
      <c r="S2378" s="152">
        <v>99.546999</v>
      </c>
      <c r="T2378" s="152">
        <v>0</v>
      </c>
      <c r="U2378" s="152">
        <v>0.24818599999999999</v>
      </c>
      <c r="V2378" s="152">
        <v>0.123192</v>
      </c>
      <c r="W2378" s="152">
        <v>1000</v>
      </c>
      <c r="X2378" s="152" t="s">
        <v>23</v>
      </c>
      <c r="Y2378" s="152" t="s">
        <v>1921</v>
      </c>
      <c r="Z2378" s="152" t="s">
        <v>1327</v>
      </c>
    </row>
    <row r="2379" spans="1:26" x14ac:dyDescent="0.2">
      <c r="A2379" s="152" t="s">
        <v>3459</v>
      </c>
      <c r="B2379" s="152">
        <v>0</v>
      </c>
      <c r="C2379" s="151">
        <v>43497</v>
      </c>
      <c r="D2379" s="152">
        <v>0.271233</v>
      </c>
      <c r="E2379" s="152" t="s">
        <v>1325</v>
      </c>
      <c r="F2379" s="152" t="s">
        <v>1326</v>
      </c>
      <c r="G2379" s="152"/>
      <c r="H2379" s="152"/>
      <c r="I2379" s="151" t="s">
        <v>1327</v>
      </c>
      <c r="J2379" s="152" t="s">
        <v>1327</v>
      </c>
      <c r="K2379" s="152" t="s">
        <v>1327</v>
      </c>
      <c r="L2379" s="152" t="s">
        <v>1327</v>
      </c>
      <c r="M2379" s="152" t="s">
        <v>1327</v>
      </c>
      <c r="N2379" s="152" t="s">
        <v>1327</v>
      </c>
      <c r="O2379" s="152">
        <v>1.849011</v>
      </c>
      <c r="P2379" s="152">
        <v>29.048166999999999</v>
      </c>
      <c r="Q2379" s="152">
        <v>1.849011</v>
      </c>
      <c r="R2379" s="152" t="s">
        <v>1327</v>
      </c>
      <c r="S2379" s="152">
        <v>99.500990000000002</v>
      </c>
      <c r="T2379" s="152">
        <v>0</v>
      </c>
      <c r="U2379" s="152">
        <v>0.26987899999999998</v>
      </c>
      <c r="V2379" s="152">
        <v>0.14566999999999999</v>
      </c>
      <c r="W2379" s="152">
        <v>1000</v>
      </c>
      <c r="X2379" s="152" t="s">
        <v>23</v>
      </c>
      <c r="Y2379" s="152" t="s">
        <v>1921</v>
      </c>
      <c r="Z2379" s="152" t="s">
        <v>1327</v>
      </c>
    </row>
    <row r="2380" spans="1:26" x14ac:dyDescent="0.2">
      <c r="A2380" s="152" t="s">
        <v>3460</v>
      </c>
      <c r="B2380" s="152">
        <v>0</v>
      </c>
      <c r="C2380" s="151">
        <v>43518</v>
      </c>
      <c r="D2380" s="152">
        <v>0.32876699999999998</v>
      </c>
      <c r="E2380" s="152" t="s">
        <v>1325</v>
      </c>
      <c r="F2380" s="152" t="s">
        <v>1326</v>
      </c>
      <c r="G2380" s="152"/>
      <c r="H2380" s="152"/>
      <c r="I2380" s="151" t="s">
        <v>1327</v>
      </c>
      <c r="J2380" s="152" t="s">
        <v>1327</v>
      </c>
      <c r="K2380" s="152" t="s">
        <v>1327</v>
      </c>
      <c r="L2380" s="152" t="s">
        <v>1327</v>
      </c>
      <c r="M2380" s="152" t="s">
        <v>1327</v>
      </c>
      <c r="N2380" s="152" t="s">
        <v>1327</v>
      </c>
      <c r="O2380" s="152">
        <v>1.9110860000000001</v>
      </c>
      <c r="P2380" s="152">
        <v>28.898005999999999</v>
      </c>
      <c r="Q2380" s="152">
        <v>1.9110860000000001</v>
      </c>
      <c r="R2380" s="152" t="s">
        <v>1327</v>
      </c>
      <c r="S2380" s="152">
        <v>99.375620999999995</v>
      </c>
      <c r="T2380" s="152">
        <v>0</v>
      </c>
      <c r="U2380" s="152">
        <v>0.326714</v>
      </c>
      <c r="V2380" s="152">
        <v>0.21348500000000001</v>
      </c>
      <c r="W2380" s="152">
        <v>1000</v>
      </c>
      <c r="X2380" s="152" t="s">
        <v>23</v>
      </c>
      <c r="Y2380" s="152" t="s">
        <v>1921</v>
      </c>
      <c r="Z2380" s="152" t="s">
        <v>1327</v>
      </c>
    </row>
    <row r="2381" spans="1:26" x14ac:dyDescent="0.2">
      <c r="A2381" s="152" t="s">
        <v>3461</v>
      </c>
      <c r="B2381" s="152">
        <v>0</v>
      </c>
      <c r="C2381" s="151">
        <v>43553</v>
      </c>
      <c r="D2381" s="152">
        <v>0.42465799999999998</v>
      </c>
      <c r="E2381" s="152" t="s">
        <v>1325</v>
      </c>
      <c r="F2381" s="152" t="s">
        <v>1326</v>
      </c>
      <c r="G2381" s="152"/>
      <c r="H2381" s="152"/>
      <c r="I2381" s="151" t="s">
        <v>1327</v>
      </c>
      <c r="J2381" s="152" t="s">
        <v>1327</v>
      </c>
      <c r="K2381" s="152" t="s">
        <v>1327</v>
      </c>
      <c r="L2381" s="152" t="s">
        <v>1327</v>
      </c>
      <c r="M2381" s="152" t="s">
        <v>1327</v>
      </c>
      <c r="N2381" s="152" t="s">
        <v>1327</v>
      </c>
      <c r="O2381" s="152">
        <v>2.0098560000000001</v>
      </c>
      <c r="P2381" s="152">
        <v>31.279456</v>
      </c>
      <c r="Q2381" s="152">
        <v>2.0098560000000001</v>
      </c>
      <c r="R2381" s="152" t="s">
        <v>1327</v>
      </c>
      <c r="S2381" s="152">
        <v>99.153722000000002</v>
      </c>
      <c r="T2381" s="152">
        <v>0</v>
      </c>
      <c r="U2381" s="152">
        <v>0.42106399999999999</v>
      </c>
      <c r="V2381" s="152">
        <v>0.35458899999999999</v>
      </c>
      <c r="W2381" s="152">
        <v>1000</v>
      </c>
      <c r="X2381" s="152" t="s">
        <v>23</v>
      </c>
      <c r="Y2381" s="152" t="s">
        <v>1921</v>
      </c>
      <c r="Z2381" s="152" t="s">
        <v>1327</v>
      </c>
    </row>
    <row r="2382" spans="1:26" x14ac:dyDescent="0.2">
      <c r="A2382" s="152" t="s">
        <v>3462</v>
      </c>
      <c r="B2382" s="152">
        <v>0</v>
      </c>
      <c r="C2382" s="151">
        <v>43438</v>
      </c>
      <c r="D2382" s="152">
        <v>0.10958900000000001</v>
      </c>
      <c r="E2382" s="152" t="s">
        <v>1325</v>
      </c>
      <c r="F2382" s="152" t="s">
        <v>1326</v>
      </c>
      <c r="G2382" s="152"/>
      <c r="H2382" s="152"/>
      <c r="I2382" s="152">
        <v>43347</v>
      </c>
      <c r="J2382" s="152">
        <v>2.2000000000000002</v>
      </c>
      <c r="K2382" s="152" t="s">
        <v>1327</v>
      </c>
      <c r="L2382" s="152" t="s">
        <v>1327</v>
      </c>
      <c r="M2382" s="152" t="s">
        <v>1327</v>
      </c>
      <c r="N2382" s="152" t="s">
        <v>1327</v>
      </c>
      <c r="O2382" s="152">
        <v>2.0494880000000002</v>
      </c>
      <c r="P2382" s="152">
        <v>75.566016000000005</v>
      </c>
      <c r="Q2382" s="152">
        <v>2.0494880000000002</v>
      </c>
      <c r="R2382" s="152" t="s">
        <v>1327</v>
      </c>
      <c r="S2382" s="152">
        <v>99.775902000000002</v>
      </c>
      <c r="T2382" s="152">
        <v>0</v>
      </c>
      <c r="U2382" s="152">
        <v>0.109343</v>
      </c>
      <c r="V2382" s="152">
        <v>2.3911999999999999E-2</v>
      </c>
      <c r="W2382" s="152">
        <v>1000</v>
      </c>
      <c r="X2382" s="152" t="s">
        <v>23</v>
      </c>
      <c r="Y2382" s="152" t="s">
        <v>1328</v>
      </c>
      <c r="Z2382" s="152" t="s">
        <v>1327</v>
      </c>
    </row>
    <row r="2383" spans="1:26" x14ac:dyDescent="0.2">
      <c r="A2383" s="152" t="s">
        <v>3463</v>
      </c>
      <c r="B2383" s="152">
        <v>0</v>
      </c>
      <c r="C2383" s="151">
        <v>43440</v>
      </c>
      <c r="D2383" s="152">
        <v>0.115068</v>
      </c>
      <c r="E2383" s="152" t="s">
        <v>1325</v>
      </c>
      <c r="F2383" s="152" t="s">
        <v>1326</v>
      </c>
      <c r="G2383" s="152"/>
      <c r="H2383" s="152"/>
      <c r="I2383" s="152">
        <v>43257</v>
      </c>
      <c r="J2383" s="152">
        <v>2.31</v>
      </c>
      <c r="K2383" s="152" t="s">
        <v>1327</v>
      </c>
      <c r="L2383" s="152" t="s">
        <v>1327</v>
      </c>
      <c r="M2383" s="152" t="s">
        <v>1327</v>
      </c>
      <c r="N2383" s="152" t="s">
        <v>1327</v>
      </c>
      <c r="O2383" s="152">
        <v>2.0587819999999999</v>
      </c>
      <c r="P2383" s="152">
        <v>75.503469999999993</v>
      </c>
      <c r="Q2383" s="152">
        <v>2.0587819999999999</v>
      </c>
      <c r="R2383" s="152" t="s">
        <v>1327</v>
      </c>
      <c r="S2383" s="152">
        <v>99.763659000000004</v>
      </c>
      <c r="T2383" s="152">
        <v>0</v>
      </c>
      <c r="U2383" s="152">
        <v>0.114797</v>
      </c>
      <c r="V2383" s="152">
        <v>2.6356000000000001E-2</v>
      </c>
      <c r="W2383" s="152">
        <v>1000</v>
      </c>
      <c r="X2383" s="152" t="s">
        <v>23</v>
      </c>
      <c r="Y2383" s="152" t="s">
        <v>1328</v>
      </c>
      <c r="Z2383" s="152" t="s">
        <v>1327</v>
      </c>
    </row>
    <row r="2384" spans="1:26" x14ac:dyDescent="0.2">
      <c r="A2384" s="152" t="s">
        <v>3464</v>
      </c>
      <c r="B2384" s="152">
        <v>0</v>
      </c>
      <c r="C2384" s="151">
        <v>43440</v>
      </c>
      <c r="D2384" s="152">
        <v>0.115068</v>
      </c>
      <c r="E2384" s="152" t="s">
        <v>1325</v>
      </c>
      <c r="F2384" s="152" t="s">
        <v>1326</v>
      </c>
      <c r="G2384" s="152"/>
      <c r="H2384" s="152"/>
      <c r="I2384" s="152">
        <v>43349</v>
      </c>
      <c r="J2384" s="152">
        <v>2.23</v>
      </c>
      <c r="K2384" s="152" t="s">
        <v>1327</v>
      </c>
      <c r="L2384" s="152" t="s">
        <v>1327</v>
      </c>
      <c r="M2384" s="152" t="s">
        <v>1327</v>
      </c>
      <c r="N2384" s="152" t="s">
        <v>1327</v>
      </c>
      <c r="O2384" s="152">
        <v>2.0587819999999999</v>
      </c>
      <c r="P2384" s="152">
        <v>75.503469999999993</v>
      </c>
      <c r="Q2384" s="152">
        <v>2.0587819999999999</v>
      </c>
      <c r="R2384" s="152" t="s">
        <v>1327</v>
      </c>
      <c r="S2384" s="152">
        <v>99.763659000000004</v>
      </c>
      <c r="T2384" s="152">
        <v>0</v>
      </c>
      <c r="U2384" s="152">
        <v>0.114797</v>
      </c>
      <c r="V2384" s="152">
        <v>2.6356000000000001E-2</v>
      </c>
      <c r="W2384" s="152">
        <v>1000</v>
      </c>
      <c r="X2384" s="152" t="s">
        <v>23</v>
      </c>
      <c r="Y2384" s="152" t="s">
        <v>1328</v>
      </c>
      <c r="Z2384" s="152" t="s">
        <v>1327</v>
      </c>
    </row>
    <row r="2385" spans="1:26" x14ac:dyDescent="0.2">
      <c r="A2385" s="152" t="s">
        <v>3465</v>
      </c>
      <c r="B2385" s="152">
        <v>0</v>
      </c>
      <c r="C2385" s="151">
        <v>43452</v>
      </c>
      <c r="D2385" s="152">
        <v>0.14794499999999999</v>
      </c>
      <c r="E2385" s="152" t="s">
        <v>1325</v>
      </c>
      <c r="F2385" s="152" t="s">
        <v>1326</v>
      </c>
      <c r="G2385" s="152"/>
      <c r="H2385" s="152"/>
      <c r="I2385" s="152">
        <v>43270</v>
      </c>
      <c r="J2385" s="152">
        <v>2.3199999999999998</v>
      </c>
      <c r="K2385" s="152" t="s">
        <v>1327</v>
      </c>
      <c r="L2385" s="152" t="s">
        <v>1327</v>
      </c>
      <c r="M2385" s="152" t="s">
        <v>1327</v>
      </c>
      <c r="N2385" s="152" t="s">
        <v>1327</v>
      </c>
      <c r="O2385" s="152">
        <v>2.115043</v>
      </c>
      <c r="P2385" s="152">
        <v>75.271947999999995</v>
      </c>
      <c r="Q2385" s="152">
        <v>2.115043</v>
      </c>
      <c r="R2385" s="152" t="s">
        <v>1327</v>
      </c>
      <c r="S2385" s="152">
        <v>99.688066000000006</v>
      </c>
      <c r="T2385" s="152">
        <v>0</v>
      </c>
      <c r="U2385" s="152">
        <v>0.147484</v>
      </c>
      <c r="V2385" s="152">
        <v>4.3503E-2</v>
      </c>
      <c r="W2385" s="152">
        <v>1000</v>
      </c>
      <c r="X2385" s="152" t="s">
        <v>23</v>
      </c>
      <c r="Y2385" s="152" t="s">
        <v>1328</v>
      </c>
      <c r="Z2385" s="152" t="s">
        <v>1327</v>
      </c>
    </row>
    <row r="2386" spans="1:26" x14ac:dyDescent="0.2">
      <c r="A2386" s="152" t="s">
        <v>3466</v>
      </c>
      <c r="B2386" s="152">
        <v>0</v>
      </c>
      <c r="C2386" s="151">
        <v>43452</v>
      </c>
      <c r="D2386" s="152">
        <v>0.14794499999999999</v>
      </c>
      <c r="E2386" s="152" t="s">
        <v>1325</v>
      </c>
      <c r="F2386" s="152" t="s">
        <v>1326</v>
      </c>
      <c r="G2386" s="152"/>
      <c r="H2386" s="152"/>
      <c r="I2386" s="152">
        <v>43278</v>
      </c>
      <c r="J2386" s="152">
        <v>2.3199999999999998</v>
      </c>
      <c r="K2386" s="152" t="s">
        <v>1327</v>
      </c>
      <c r="L2386" s="152" t="s">
        <v>1327</v>
      </c>
      <c r="M2386" s="152" t="s">
        <v>1327</v>
      </c>
      <c r="N2386" s="152" t="s">
        <v>1327</v>
      </c>
      <c r="O2386" s="152">
        <v>2.115043</v>
      </c>
      <c r="P2386" s="152">
        <v>75.271947999999995</v>
      </c>
      <c r="Q2386" s="152">
        <v>2.115043</v>
      </c>
      <c r="R2386" s="152" t="s">
        <v>1327</v>
      </c>
      <c r="S2386" s="152">
        <v>99.688066000000006</v>
      </c>
      <c r="T2386" s="152">
        <v>0</v>
      </c>
      <c r="U2386" s="152">
        <v>0.147484</v>
      </c>
      <c r="V2386" s="152">
        <v>4.3503E-2</v>
      </c>
      <c r="W2386" s="152">
        <v>1000</v>
      </c>
      <c r="X2386" s="152" t="s">
        <v>23</v>
      </c>
      <c r="Y2386" s="152" t="s">
        <v>1328</v>
      </c>
      <c r="Z2386" s="152" t="s">
        <v>1327</v>
      </c>
    </row>
    <row r="2387" spans="1:26" x14ac:dyDescent="0.2">
      <c r="A2387" s="152" t="s">
        <v>3467</v>
      </c>
      <c r="B2387" s="152">
        <v>0</v>
      </c>
      <c r="C2387" s="151">
        <v>43452</v>
      </c>
      <c r="D2387" s="152">
        <v>0.14794499999999999</v>
      </c>
      <c r="E2387" s="152" t="s">
        <v>1325</v>
      </c>
      <c r="F2387" s="152" t="s">
        <v>1326</v>
      </c>
      <c r="G2387" s="152"/>
      <c r="H2387" s="152"/>
      <c r="I2387" s="152">
        <v>43361</v>
      </c>
      <c r="J2387" s="152">
        <v>2.2000000000000002</v>
      </c>
      <c r="K2387" s="152" t="s">
        <v>1327</v>
      </c>
      <c r="L2387" s="152" t="s">
        <v>1327</v>
      </c>
      <c r="M2387" s="152" t="s">
        <v>1327</v>
      </c>
      <c r="N2387" s="152" t="s">
        <v>1327</v>
      </c>
      <c r="O2387" s="152">
        <v>2.115043</v>
      </c>
      <c r="P2387" s="152">
        <v>75.271947999999995</v>
      </c>
      <c r="Q2387" s="152">
        <v>2.115043</v>
      </c>
      <c r="R2387" s="152" t="s">
        <v>1327</v>
      </c>
      <c r="S2387" s="152">
        <v>99.688066000000006</v>
      </c>
      <c r="T2387" s="152">
        <v>0</v>
      </c>
      <c r="U2387" s="152">
        <v>0.147484</v>
      </c>
      <c r="V2387" s="152">
        <v>4.3503E-2</v>
      </c>
      <c r="W2387" s="152">
        <v>1000</v>
      </c>
      <c r="X2387" s="152" t="s">
        <v>23</v>
      </c>
      <c r="Y2387" s="152" t="s">
        <v>1328</v>
      </c>
      <c r="Z2387" s="152" t="s">
        <v>1327</v>
      </c>
    </row>
    <row r="2388" spans="1:26" x14ac:dyDescent="0.2">
      <c r="A2388" s="152" t="s">
        <v>3468</v>
      </c>
      <c r="B2388" s="152">
        <v>0</v>
      </c>
      <c r="C2388" s="151">
        <v>43454</v>
      </c>
      <c r="D2388" s="152">
        <v>0.15342500000000001</v>
      </c>
      <c r="E2388" s="152" t="s">
        <v>1325</v>
      </c>
      <c r="F2388" s="152" t="s">
        <v>1326</v>
      </c>
      <c r="G2388" s="152"/>
      <c r="H2388" s="152"/>
      <c r="I2388" s="152">
        <v>43271</v>
      </c>
      <c r="J2388" s="152">
        <v>2.2999999999999998</v>
      </c>
      <c r="K2388" s="152" t="s">
        <v>1327</v>
      </c>
      <c r="L2388" s="152" t="s">
        <v>1327</v>
      </c>
      <c r="M2388" s="152" t="s">
        <v>1327</v>
      </c>
      <c r="N2388" s="152" t="s">
        <v>1327</v>
      </c>
      <c r="O2388" s="152">
        <v>2.1245069999999999</v>
      </c>
      <c r="P2388" s="152">
        <v>75.262642</v>
      </c>
      <c r="Q2388" s="152">
        <v>2.1245069999999999</v>
      </c>
      <c r="R2388" s="152" t="s">
        <v>1327</v>
      </c>
      <c r="S2388" s="152">
        <v>99.675106999999997</v>
      </c>
      <c r="T2388" s="152">
        <v>0</v>
      </c>
      <c r="U2388" s="152">
        <v>0.15292600000000001</v>
      </c>
      <c r="V2388" s="152">
        <v>4.6773000000000002E-2</v>
      </c>
      <c r="W2388" s="152">
        <v>1000</v>
      </c>
      <c r="X2388" s="152" t="s">
        <v>23</v>
      </c>
      <c r="Y2388" s="152" t="s">
        <v>1328</v>
      </c>
      <c r="Z2388" s="152" t="s">
        <v>1327</v>
      </c>
    </row>
    <row r="2389" spans="1:26" x14ac:dyDescent="0.2">
      <c r="A2389" s="152" t="s">
        <v>3469</v>
      </c>
      <c r="B2389" s="152">
        <v>0</v>
      </c>
      <c r="C2389" s="151">
        <v>43455</v>
      </c>
      <c r="D2389" s="152">
        <v>0.156164</v>
      </c>
      <c r="E2389" s="152" t="s">
        <v>1325</v>
      </c>
      <c r="F2389" s="152" t="s">
        <v>1326</v>
      </c>
      <c r="G2389" s="152"/>
      <c r="H2389" s="152"/>
      <c r="I2389" s="152">
        <v>43273</v>
      </c>
      <c r="J2389" s="152">
        <v>2.2999999999999998</v>
      </c>
      <c r="K2389" s="152" t="s">
        <v>1327</v>
      </c>
      <c r="L2389" s="152" t="s">
        <v>1327</v>
      </c>
      <c r="M2389" s="152" t="s">
        <v>1327</v>
      </c>
      <c r="N2389" s="152" t="s">
        <v>1327</v>
      </c>
      <c r="O2389" s="152">
        <v>2.129248</v>
      </c>
      <c r="P2389" s="152">
        <v>75.261583999999999</v>
      </c>
      <c r="Q2389" s="152">
        <v>2.129248</v>
      </c>
      <c r="R2389" s="152" t="s">
        <v>1327</v>
      </c>
      <c r="S2389" s="152">
        <v>99.668588999999997</v>
      </c>
      <c r="T2389" s="152">
        <v>0</v>
      </c>
      <c r="U2389" s="152">
        <v>0.15564700000000001</v>
      </c>
      <c r="V2389" s="152">
        <v>4.8452000000000002E-2</v>
      </c>
      <c r="W2389" s="152">
        <v>1000</v>
      </c>
      <c r="X2389" s="152" t="s">
        <v>23</v>
      </c>
      <c r="Y2389" s="152" t="s">
        <v>1328</v>
      </c>
      <c r="Z2389" s="152" t="s">
        <v>1327</v>
      </c>
    </row>
    <row r="2390" spans="1:26" x14ac:dyDescent="0.2">
      <c r="A2390" s="152" t="s">
        <v>3470</v>
      </c>
      <c r="B2390" s="152">
        <v>0</v>
      </c>
      <c r="C2390" s="151">
        <v>43411</v>
      </c>
      <c r="D2390" s="152">
        <v>3.5616000000000002E-2</v>
      </c>
      <c r="E2390" s="152" t="s">
        <v>1325</v>
      </c>
      <c r="F2390" s="152" t="s">
        <v>1326</v>
      </c>
      <c r="G2390" s="152"/>
      <c r="H2390" s="152"/>
      <c r="I2390" s="152" t="s">
        <v>1327</v>
      </c>
      <c r="J2390" s="152" t="s">
        <v>1327</v>
      </c>
      <c r="K2390" s="152" t="s">
        <v>1327</v>
      </c>
      <c r="L2390" s="152" t="s">
        <v>1327</v>
      </c>
      <c r="M2390" s="152" t="s">
        <v>1327</v>
      </c>
      <c r="N2390" s="152" t="s">
        <v>1327</v>
      </c>
      <c r="O2390" s="152">
        <v>1.9585079999999999</v>
      </c>
      <c r="P2390" s="152">
        <v>80.006792000000004</v>
      </c>
      <c r="Q2390" s="152">
        <v>1.9585079999999999</v>
      </c>
      <c r="R2390" s="152" t="s">
        <v>1327</v>
      </c>
      <c r="S2390" s="152">
        <v>99.930294000000004</v>
      </c>
      <c r="T2390" s="152">
        <v>0</v>
      </c>
      <c r="U2390" s="152">
        <v>3.5591999999999999E-2</v>
      </c>
      <c r="V2390" s="152">
        <v>2.5339999999999998E-3</v>
      </c>
      <c r="W2390" s="152">
        <v>1000</v>
      </c>
      <c r="X2390" s="152" t="s">
        <v>23</v>
      </c>
      <c r="Y2390" s="152" t="s">
        <v>1328</v>
      </c>
      <c r="Z2390" s="152" t="s">
        <v>1327</v>
      </c>
    </row>
    <row r="2391" spans="1:26" x14ac:dyDescent="0.2">
      <c r="A2391" s="152" t="s">
        <v>3471</v>
      </c>
      <c r="B2391" s="152">
        <v>0</v>
      </c>
      <c r="C2391" s="151">
        <v>43412</v>
      </c>
      <c r="D2391" s="152">
        <v>3.8356000000000001E-2</v>
      </c>
      <c r="E2391" s="152" t="s">
        <v>1325</v>
      </c>
      <c r="F2391" s="152" t="s">
        <v>1326</v>
      </c>
      <c r="G2391" s="152"/>
      <c r="H2391" s="152"/>
      <c r="I2391" s="152">
        <v>43231</v>
      </c>
      <c r="J2391" s="152">
        <v>2.2999999999999998</v>
      </c>
      <c r="K2391" s="152" t="s">
        <v>1327</v>
      </c>
      <c r="L2391" s="152" t="s">
        <v>1327</v>
      </c>
      <c r="M2391" s="152" t="s">
        <v>1327</v>
      </c>
      <c r="N2391" s="152" t="s">
        <v>1327</v>
      </c>
      <c r="O2391" s="152">
        <v>1.958391</v>
      </c>
      <c r="P2391" s="152">
        <v>79.492153999999999</v>
      </c>
      <c r="Q2391" s="152">
        <v>1.958391</v>
      </c>
      <c r="R2391" s="152" t="s">
        <v>1327</v>
      </c>
      <c r="S2391" s="152">
        <v>99.924940000000007</v>
      </c>
      <c r="T2391" s="152">
        <v>0</v>
      </c>
      <c r="U2391" s="152">
        <v>3.8327E-2</v>
      </c>
      <c r="V2391" s="152">
        <v>2.9380000000000001E-3</v>
      </c>
      <c r="W2391" s="152">
        <v>1000</v>
      </c>
      <c r="X2391" s="152" t="s">
        <v>23</v>
      </c>
      <c r="Y2391" s="152" t="s">
        <v>1328</v>
      </c>
      <c r="Z2391" s="152" t="s">
        <v>1327</v>
      </c>
    </row>
    <row r="2392" spans="1:26" x14ac:dyDescent="0.2">
      <c r="A2392" s="152" t="s">
        <v>3472</v>
      </c>
      <c r="B2392" s="152">
        <v>0</v>
      </c>
      <c r="C2392" s="151">
        <v>43412</v>
      </c>
      <c r="D2392" s="152">
        <v>3.8356000000000001E-2</v>
      </c>
      <c r="E2392" s="152" t="s">
        <v>1325</v>
      </c>
      <c r="F2392" s="152" t="s">
        <v>1326</v>
      </c>
      <c r="G2392" s="152"/>
      <c r="H2392" s="152"/>
      <c r="I2392" s="151">
        <v>43230</v>
      </c>
      <c r="J2392" s="152">
        <v>2.3199999999999998</v>
      </c>
      <c r="K2392" s="152" t="s">
        <v>1327</v>
      </c>
      <c r="L2392" s="152" t="s">
        <v>1327</v>
      </c>
      <c r="M2392" s="152" t="s">
        <v>1327</v>
      </c>
      <c r="N2392" s="152" t="s">
        <v>1327</v>
      </c>
      <c r="O2392" s="152">
        <v>1.958391</v>
      </c>
      <c r="P2392" s="152">
        <v>79.492153999999999</v>
      </c>
      <c r="Q2392" s="152">
        <v>1.958391</v>
      </c>
      <c r="R2392" s="152" t="s">
        <v>1327</v>
      </c>
      <c r="S2392" s="152">
        <v>99.924940000000007</v>
      </c>
      <c r="T2392" s="152">
        <v>0</v>
      </c>
      <c r="U2392" s="152">
        <v>3.8327E-2</v>
      </c>
      <c r="V2392" s="152">
        <v>2.9380000000000001E-3</v>
      </c>
      <c r="W2392" s="152">
        <v>1000</v>
      </c>
      <c r="X2392" s="152" t="s">
        <v>23</v>
      </c>
      <c r="Y2392" s="152" t="s">
        <v>1328</v>
      </c>
      <c r="Z2392" s="152" t="s">
        <v>1327</v>
      </c>
    </row>
    <row r="2393" spans="1:26" x14ac:dyDescent="0.2">
      <c r="A2393" s="152" t="s">
        <v>3473</v>
      </c>
      <c r="B2393" s="152">
        <v>0</v>
      </c>
      <c r="C2393" s="151">
        <v>43417</v>
      </c>
      <c r="D2393" s="152">
        <v>5.2054999999999997E-2</v>
      </c>
      <c r="E2393" s="152" t="s">
        <v>1325</v>
      </c>
      <c r="F2393" s="152" t="s">
        <v>1326</v>
      </c>
      <c r="G2393" s="152"/>
      <c r="H2393" s="152"/>
      <c r="I2393" s="152">
        <v>43235</v>
      </c>
      <c r="J2393" s="152">
        <v>2.3199999999999998</v>
      </c>
      <c r="K2393" s="152" t="s">
        <v>1327</v>
      </c>
      <c r="L2393" s="152" t="s">
        <v>1327</v>
      </c>
      <c r="M2393" s="152" t="s">
        <v>1327</v>
      </c>
      <c r="N2393" s="152" t="s">
        <v>1327</v>
      </c>
      <c r="O2393" s="152">
        <v>1.9578770000000001</v>
      </c>
      <c r="P2393" s="152">
        <v>76.914123000000004</v>
      </c>
      <c r="Q2393" s="152">
        <v>1.9578770000000001</v>
      </c>
      <c r="R2393" s="152" t="s">
        <v>1327</v>
      </c>
      <c r="S2393" s="152">
        <v>99.898186999999993</v>
      </c>
      <c r="T2393" s="152">
        <v>0</v>
      </c>
      <c r="U2393" s="152">
        <v>5.2002E-2</v>
      </c>
      <c r="V2393" s="152">
        <v>5.4079999999999996E-3</v>
      </c>
      <c r="W2393" s="152">
        <v>1000</v>
      </c>
      <c r="X2393" s="152" t="s">
        <v>23</v>
      </c>
      <c r="Y2393" s="152" t="s">
        <v>1328</v>
      </c>
      <c r="Z2393" s="152" t="s">
        <v>1327</v>
      </c>
    </row>
    <row r="2394" spans="1:26" x14ac:dyDescent="0.2">
      <c r="A2394" s="152" t="s">
        <v>3474</v>
      </c>
      <c r="B2394" s="152">
        <v>0</v>
      </c>
      <c r="C2394" s="151">
        <v>43424</v>
      </c>
      <c r="D2394" s="152">
        <v>7.1233000000000005E-2</v>
      </c>
      <c r="E2394" s="152" t="s">
        <v>1325</v>
      </c>
      <c r="F2394" s="152" t="s">
        <v>1326</v>
      </c>
      <c r="G2394" s="152"/>
      <c r="H2394" s="152"/>
      <c r="I2394" s="152">
        <v>43242</v>
      </c>
      <c r="J2394" s="152">
        <v>2.3199999999999998</v>
      </c>
      <c r="K2394" s="152" t="s">
        <v>1327</v>
      </c>
      <c r="L2394" s="152" t="s">
        <v>1327</v>
      </c>
      <c r="M2394" s="152" t="s">
        <v>1327</v>
      </c>
      <c r="N2394" s="152" t="s">
        <v>1327</v>
      </c>
      <c r="O2394" s="152">
        <v>1.9850699999999999</v>
      </c>
      <c r="P2394" s="152">
        <v>76.124547000000007</v>
      </c>
      <c r="Q2394" s="152">
        <v>1.9850699999999999</v>
      </c>
      <c r="R2394" s="152" t="s">
        <v>1327</v>
      </c>
      <c r="S2394" s="152">
        <v>99.858796999999996</v>
      </c>
      <c r="T2394" s="152">
        <v>0</v>
      </c>
      <c r="U2394" s="152">
        <v>7.1132000000000001E-2</v>
      </c>
      <c r="V2394" s="152">
        <v>1.0120000000000001E-2</v>
      </c>
      <c r="W2394" s="152">
        <v>1000</v>
      </c>
      <c r="X2394" s="152" t="s">
        <v>23</v>
      </c>
      <c r="Y2394" s="152" t="s">
        <v>1328</v>
      </c>
      <c r="Z2394" s="152" t="s">
        <v>1327</v>
      </c>
    </row>
    <row r="2395" spans="1:26" x14ac:dyDescent="0.2">
      <c r="A2395" s="152" t="s">
        <v>3475</v>
      </c>
      <c r="B2395" s="152">
        <v>0</v>
      </c>
      <c r="C2395" s="151">
        <v>43424</v>
      </c>
      <c r="D2395" s="152">
        <v>7.1233000000000005E-2</v>
      </c>
      <c r="E2395" s="152" t="s">
        <v>1325</v>
      </c>
      <c r="F2395" s="152" t="s">
        <v>1326</v>
      </c>
      <c r="G2395" s="152"/>
      <c r="H2395" s="152"/>
      <c r="I2395" s="152">
        <v>43248</v>
      </c>
      <c r="J2395" s="152">
        <v>2.3199999999999998</v>
      </c>
      <c r="K2395" s="152" t="s">
        <v>1327</v>
      </c>
      <c r="L2395" s="152" t="s">
        <v>1327</v>
      </c>
      <c r="M2395" s="152" t="s">
        <v>1327</v>
      </c>
      <c r="N2395" s="152" t="s">
        <v>1327</v>
      </c>
      <c r="O2395" s="152">
        <v>1.9850699999999999</v>
      </c>
      <c r="P2395" s="152">
        <v>76.124547000000007</v>
      </c>
      <c r="Q2395" s="152">
        <v>1.9850699999999999</v>
      </c>
      <c r="R2395" s="152" t="s">
        <v>1327</v>
      </c>
      <c r="S2395" s="152">
        <v>99.858796999999996</v>
      </c>
      <c r="T2395" s="152">
        <v>0</v>
      </c>
      <c r="U2395" s="152">
        <v>7.1132000000000001E-2</v>
      </c>
      <c r="V2395" s="152">
        <v>1.0120000000000001E-2</v>
      </c>
      <c r="W2395" s="152">
        <v>1000</v>
      </c>
      <c r="X2395" s="152" t="s">
        <v>23</v>
      </c>
      <c r="Y2395" s="152" t="s">
        <v>1328</v>
      </c>
      <c r="Z2395" s="152" t="s">
        <v>1327</v>
      </c>
    </row>
    <row r="2396" spans="1:26" x14ac:dyDescent="0.2">
      <c r="A2396" s="152" t="s">
        <v>3476</v>
      </c>
      <c r="B2396" s="152">
        <v>0</v>
      </c>
      <c r="C2396" s="151">
        <v>43432</v>
      </c>
      <c r="D2396" s="152">
        <v>9.3150999999999998E-2</v>
      </c>
      <c r="E2396" s="152" t="s">
        <v>1325</v>
      </c>
      <c r="F2396" s="152" t="s">
        <v>1326</v>
      </c>
      <c r="G2396" s="152"/>
      <c r="H2396" s="152"/>
      <c r="I2396" s="152" t="s">
        <v>1327</v>
      </c>
      <c r="J2396" s="152" t="s">
        <v>1327</v>
      </c>
      <c r="K2396" s="152" t="s">
        <v>1327</v>
      </c>
      <c r="L2396" s="152" t="s">
        <v>1327</v>
      </c>
      <c r="M2396" s="152" t="s">
        <v>1327</v>
      </c>
      <c r="N2396" s="152" t="s">
        <v>1327</v>
      </c>
      <c r="O2396" s="152">
        <v>2.021747</v>
      </c>
      <c r="P2396" s="152">
        <v>75.784132</v>
      </c>
      <c r="Q2396" s="152">
        <v>2.021747</v>
      </c>
      <c r="R2396" s="152" t="s">
        <v>1327</v>
      </c>
      <c r="S2396" s="152">
        <v>99.812027</v>
      </c>
      <c r="T2396" s="152">
        <v>0</v>
      </c>
      <c r="U2396" s="152">
        <v>9.2976000000000003E-2</v>
      </c>
      <c r="V2396" s="152">
        <v>1.7288999999999999E-2</v>
      </c>
      <c r="W2396" s="152">
        <v>1000</v>
      </c>
      <c r="X2396" s="152" t="s">
        <v>23</v>
      </c>
      <c r="Y2396" s="152" t="s">
        <v>1328</v>
      </c>
      <c r="Z2396" s="152" t="s">
        <v>1327</v>
      </c>
    </row>
    <row r="2397" spans="1:26" x14ac:dyDescent="0.2">
      <c r="A2397" s="152" t="s">
        <v>3477</v>
      </c>
      <c r="B2397" s="152">
        <v>0</v>
      </c>
      <c r="C2397" s="151">
        <v>43433</v>
      </c>
      <c r="D2397" s="152">
        <v>9.5890000000000003E-2</v>
      </c>
      <c r="E2397" s="152" t="s">
        <v>1325</v>
      </c>
      <c r="F2397" s="152" t="s">
        <v>1326</v>
      </c>
      <c r="G2397" s="152"/>
      <c r="H2397" s="152"/>
      <c r="I2397" s="152">
        <v>43342</v>
      </c>
      <c r="J2397" s="152">
        <v>2.2000000000000002</v>
      </c>
      <c r="K2397" s="152" t="s">
        <v>1327</v>
      </c>
      <c r="L2397" s="152" t="s">
        <v>1327</v>
      </c>
      <c r="M2397" s="152" t="s">
        <v>1327</v>
      </c>
      <c r="N2397" s="152" t="s">
        <v>1327</v>
      </c>
      <c r="O2397" s="152">
        <v>2.0263559999999998</v>
      </c>
      <c r="P2397" s="152">
        <v>75.745039000000006</v>
      </c>
      <c r="Q2397" s="152">
        <v>2.0263559999999998</v>
      </c>
      <c r="R2397" s="152" t="s">
        <v>1327</v>
      </c>
      <c r="S2397" s="152">
        <v>99.806068999999994</v>
      </c>
      <c r="T2397" s="152">
        <v>0</v>
      </c>
      <c r="U2397" s="152">
        <v>9.5703999999999997E-2</v>
      </c>
      <c r="V2397" s="152">
        <v>1.8318999999999998E-2</v>
      </c>
      <c r="W2397" s="152">
        <v>1000</v>
      </c>
      <c r="X2397" s="152" t="s">
        <v>23</v>
      </c>
      <c r="Y2397" s="152" t="s">
        <v>1328</v>
      </c>
      <c r="Z2397" s="152" t="s">
        <v>1327</v>
      </c>
    </row>
    <row r="2398" spans="1:26" x14ac:dyDescent="0.2">
      <c r="A2398" s="152" t="s">
        <v>3478</v>
      </c>
      <c r="B2398" s="152">
        <v>0</v>
      </c>
      <c r="C2398" s="151">
        <v>43473</v>
      </c>
      <c r="D2398" s="152">
        <v>0.20547899999999999</v>
      </c>
      <c r="E2398" s="152" t="s">
        <v>1325</v>
      </c>
      <c r="F2398" s="152" t="s">
        <v>1326</v>
      </c>
      <c r="G2398" s="152"/>
      <c r="H2398" s="152"/>
      <c r="I2398" s="152">
        <v>43377</v>
      </c>
      <c r="J2398" s="152">
        <v>2.2200000000000002</v>
      </c>
      <c r="K2398" s="152" t="s">
        <v>1327</v>
      </c>
      <c r="L2398" s="152" t="s">
        <v>1327</v>
      </c>
      <c r="M2398" s="152" t="s">
        <v>1327</v>
      </c>
      <c r="N2398" s="152" t="s">
        <v>1327</v>
      </c>
      <c r="O2398" s="152">
        <v>2.2156989999999999</v>
      </c>
      <c r="P2398" s="152">
        <v>75.740969000000007</v>
      </c>
      <c r="Q2398" s="152">
        <v>2.2156989999999999</v>
      </c>
      <c r="R2398" s="152" t="s">
        <v>1327</v>
      </c>
      <c r="S2398" s="152">
        <v>99.546783000000005</v>
      </c>
      <c r="T2398" s="152">
        <v>0</v>
      </c>
      <c r="U2398" s="152">
        <v>0.20454800000000001</v>
      </c>
      <c r="V2398" s="152">
        <v>8.3680000000000004E-2</v>
      </c>
      <c r="W2398" s="152">
        <v>1000</v>
      </c>
      <c r="X2398" s="152" t="s">
        <v>23</v>
      </c>
      <c r="Y2398" s="152" t="s">
        <v>1328</v>
      </c>
      <c r="Z2398" s="152" t="s">
        <v>1327</v>
      </c>
    </row>
    <row r="2399" spans="1:26" x14ac:dyDescent="0.2">
      <c r="A2399" s="152" t="s">
        <v>3479</v>
      </c>
      <c r="B2399" s="152">
        <v>0</v>
      </c>
      <c r="C2399" s="151">
        <v>43475</v>
      </c>
      <c r="D2399" s="152">
        <v>0.21095900000000001</v>
      </c>
      <c r="E2399" s="152" t="s">
        <v>1325</v>
      </c>
      <c r="F2399" s="152" t="s">
        <v>1326</v>
      </c>
      <c r="G2399" s="152"/>
      <c r="H2399" s="152"/>
      <c r="I2399" s="152">
        <v>43292</v>
      </c>
      <c r="J2399" s="152">
        <v>2.2999999999999998</v>
      </c>
      <c r="K2399" s="152" t="s">
        <v>1327</v>
      </c>
      <c r="L2399" s="152" t="s">
        <v>1327</v>
      </c>
      <c r="M2399" s="152" t="s">
        <v>1327</v>
      </c>
      <c r="N2399" s="152" t="s">
        <v>1327</v>
      </c>
      <c r="O2399" s="152">
        <v>2.2254399999999999</v>
      </c>
      <c r="P2399" s="152">
        <v>75.862246999999996</v>
      </c>
      <c r="Q2399" s="152">
        <v>2.2254399999999999</v>
      </c>
      <c r="R2399" s="152" t="s">
        <v>1327</v>
      </c>
      <c r="S2399" s="152">
        <v>99.532717000000005</v>
      </c>
      <c r="T2399" s="152">
        <v>0</v>
      </c>
      <c r="U2399" s="152">
        <v>0.20997299999999999</v>
      </c>
      <c r="V2399" s="152">
        <v>8.8177000000000005E-2</v>
      </c>
      <c r="W2399" s="152">
        <v>1000</v>
      </c>
      <c r="X2399" s="152" t="s">
        <v>23</v>
      </c>
      <c r="Y2399" s="152" t="s">
        <v>1328</v>
      </c>
      <c r="Z2399" s="152" t="s">
        <v>1327</v>
      </c>
    </row>
    <row r="2400" spans="1:26" x14ac:dyDescent="0.2">
      <c r="A2400" s="152" t="s">
        <v>3480</v>
      </c>
      <c r="B2400" s="152">
        <v>0</v>
      </c>
      <c r="C2400" s="151">
        <v>43476</v>
      </c>
      <c r="D2400" s="152">
        <v>0.213699</v>
      </c>
      <c r="E2400" s="152" t="s">
        <v>1325</v>
      </c>
      <c r="F2400" s="152" t="s">
        <v>1326</v>
      </c>
      <c r="G2400" s="152"/>
      <c r="H2400" s="152"/>
      <c r="I2400" s="152">
        <v>43384</v>
      </c>
      <c r="J2400" s="152">
        <v>2.2200000000000002</v>
      </c>
      <c r="K2400" s="152" t="s">
        <v>1327</v>
      </c>
      <c r="L2400" s="152" t="s">
        <v>1327</v>
      </c>
      <c r="M2400" s="152" t="s">
        <v>1327</v>
      </c>
      <c r="N2400" s="152" t="s">
        <v>1327</v>
      </c>
      <c r="O2400" s="152">
        <v>2.230321</v>
      </c>
      <c r="P2400" s="152">
        <v>75.928655000000006</v>
      </c>
      <c r="Q2400" s="152">
        <v>2.230321</v>
      </c>
      <c r="R2400" s="152" t="s">
        <v>1327</v>
      </c>
      <c r="S2400" s="152">
        <v>99.525644</v>
      </c>
      <c r="T2400" s="152">
        <v>0</v>
      </c>
      <c r="U2400" s="152">
        <v>0.21268500000000001</v>
      </c>
      <c r="V2400" s="152">
        <v>9.0469999999999995E-2</v>
      </c>
      <c r="W2400" s="152">
        <v>1000</v>
      </c>
      <c r="X2400" s="152" t="s">
        <v>23</v>
      </c>
      <c r="Y2400" s="152" t="s">
        <v>1328</v>
      </c>
      <c r="Z2400" s="152" t="s">
        <v>1327</v>
      </c>
    </row>
    <row r="2401" spans="1:26" x14ac:dyDescent="0.2">
      <c r="A2401" s="152" t="s">
        <v>3481</v>
      </c>
      <c r="B2401" s="152">
        <v>0</v>
      </c>
      <c r="C2401" s="151">
        <v>43510</v>
      </c>
      <c r="D2401" s="152">
        <v>0.30684899999999998</v>
      </c>
      <c r="E2401" s="152" t="s">
        <v>1325</v>
      </c>
      <c r="F2401" s="152" t="s">
        <v>1326</v>
      </c>
      <c r="G2401" s="152"/>
      <c r="H2401" s="152"/>
      <c r="I2401" s="151">
        <v>43326</v>
      </c>
      <c r="J2401" s="152">
        <v>2.3199999999999998</v>
      </c>
      <c r="K2401" s="152" t="s">
        <v>1327</v>
      </c>
      <c r="L2401" s="152" t="s">
        <v>1327</v>
      </c>
      <c r="M2401" s="152" t="s">
        <v>1327</v>
      </c>
      <c r="N2401" s="152" t="s">
        <v>1327</v>
      </c>
      <c r="O2401" s="152">
        <v>2.3272759999999999</v>
      </c>
      <c r="P2401" s="152">
        <v>73.397874000000002</v>
      </c>
      <c r="Q2401" s="152">
        <v>2.3272759999999999</v>
      </c>
      <c r="R2401" s="152" t="s">
        <v>1327</v>
      </c>
      <c r="S2401" s="152">
        <v>99.290941000000004</v>
      </c>
      <c r="T2401" s="152">
        <v>0</v>
      </c>
      <c r="U2401" s="152">
        <v>0.304674</v>
      </c>
      <c r="V2401" s="152">
        <v>0.18565200000000001</v>
      </c>
      <c r="W2401" s="152">
        <v>1000</v>
      </c>
      <c r="X2401" s="152" t="s">
        <v>23</v>
      </c>
      <c r="Y2401" s="152" t="s">
        <v>1328</v>
      </c>
      <c r="Z2401" s="152" t="s">
        <v>1327</v>
      </c>
    </row>
    <row r="2402" spans="1:26" x14ac:dyDescent="0.2">
      <c r="A2402" s="152" t="s">
        <v>3482</v>
      </c>
      <c r="B2402" s="152">
        <v>0</v>
      </c>
      <c r="C2402" s="151">
        <v>43510</v>
      </c>
      <c r="D2402" s="152">
        <v>0.30684899999999998</v>
      </c>
      <c r="E2402" s="152" t="s">
        <v>1325</v>
      </c>
      <c r="F2402" s="152" t="s">
        <v>1326</v>
      </c>
      <c r="G2402" s="152"/>
      <c r="H2402" s="152"/>
      <c r="I2402" s="151">
        <v>43327</v>
      </c>
      <c r="J2402" s="152">
        <v>2.3199999999999998</v>
      </c>
      <c r="K2402" s="152" t="s">
        <v>1327</v>
      </c>
      <c r="L2402" s="152" t="s">
        <v>1327</v>
      </c>
      <c r="M2402" s="152" t="s">
        <v>1327</v>
      </c>
      <c r="N2402" s="152" t="s">
        <v>1327</v>
      </c>
      <c r="O2402" s="152">
        <v>2.3272759999999999</v>
      </c>
      <c r="P2402" s="152">
        <v>73.397874000000002</v>
      </c>
      <c r="Q2402" s="152">
        <v>2.3272759999999999</v>
      </c>
      <c r="R2402" s="152" t="s">
        <v>1327</v>
      </c>
      <c r="S2402" s="152">
        <v>99.290941000000004</v>
      </c>
      <c r="T2402" s="152">
        <v>0</v>
      </c>
      <c r="U2402" s="152">
        <v>0.304674</v>
      </c>
      <c r="V2402" s="152">
        <v>0.18565200000000001</v>
      </c>
      <c r="W2402" s="152">
        <v>1000</v>
      </c>
      <c r="X2402" s="152" t="s">
        <v>23</v>
      </c>
      <c r="Y2402" s="152" t="s">
        <v>1328</v>
      </c>
      <c r="Z2402" s="152" t="s">
        <v>1327</v>
      </c>
    </row>
    <row r="2403" spans="1:26" x14ac:dyDescent="0.2">
      <c r="A2403" s="152" t="s">
        <v>3483</v>
      </c>
      <c r="B2403" s="152">
        <v>0</v>
      </c>
      <c r="C2403" s="151">
        <v>43517</v>
      </c>
      <c r="D2403" s="152">
        <v>0.32602700000000001</v>
      </c>
      <c r="E2403" s="152" t="s">
        <v>1325</v>
      </c>
      <c r="F2403" s="152" t="s">
        <v>1326</v>
      </c>
      <c r="G2403" s="152"/>
      <c r="H2403" s="152"/>
      <c r="I2403" s="151">
        <v>43335</v>
      </c>
      <c r="J2403" s="152">
        <v>2.3199999999999998</v>
      </c>
      <c r="K2403" s="152" t="s">
        <v>1327</v>
      </c>
      <c r="L2403" s="152" t="s">
        <v>1327</v>
      </c>
      <c r="M2403" s="152" t="s">
        <v>1327</v>
      </c>
      <c r="N2403" s="152" t="s">
        <v>1327</v>
      </c>
      <c r="O2403" s="152">
        <v>2.3446570000000002</v>
      </c>
      <c r="P2403" s="152">
        <v>73.150593999999998</v>
      </c>
      <c r="Q2403" s="152">
        <v>2.3446570000000002</v>
      </c>
      <c r="R2403" s="152" t="s">
        <v>1327</v>
      </c>
      <c r="S2403" s="152">
        <v>99.241377</v>
      </c>
      <c r="T2403" s="152">
        <v>0</v>
      </c>
      <c r="U2403" s="152">
        <v>0.32355400000000001</v>
      </c>
      <c r="V2403" s="152">
        <v>0.209374</v>
      </c>
      <c r="W2403" s="152">
        <v>1000</v>
      </c>
      <c r="X2403" s="152" t="s">
        <v>23</v>
      </c>
      <c r="Y2403" s="152" t="s">
        <v>1328</v>
      </c>
      <c r="Z2403" s="152" t="s">
        <v>1327</v>
      </c>
    </row>
    <row r="2404" spans="1:26" x14ac:dyDescent="0.2">
      <c r="A2404" s="152" t="s">
        <v>3484</v>
      </c>
      <c r="B2404" s="152">
        <v>0</v>
      </c>
      <c r="C2404" s="151">
        <v>43531</v>
      </c>
      <c r="D2404" s="152">
        <v>0.36438399999999999</v>
      </c>
      <c r="E2404" s="152" t="s">
        <v>1325</v>
      </c>
      <c r="F2404" s="152" t="s">
        <v>1326</v>
      </c>
      <c r="G2404" s="152"/>
      <c r="H2404" s="152"/>
      <c r="I2404" s="152">
        <v>43342</v>
      </c>
      <c r="J2404" s="152">
        <v>2.2999999999999998</v>
      </c>
      <c r="K2404" s="152" t="s">
        <v>1327</v>
      </c>
      <c r="L2404" s="152" t="s">
        <v>1327</v>
      </c>
      <c r="M2404" s="152" t="s">
        <v>1327</v>
      </c>
      <c r="N2404" s="152" t="s">
        <v>1327</v>
      </c>
      <c r="O2404" s="152">
        <v>2.3791869999999999</v>
      </c>
      <c r="P2404" s="152">
        <v>73.112111999999996</v>
      </c>
      <c r="Q2404" s="152">
        <v>2.3791869999999999</v>
      </c>
      <c r="R2404" s="152" t="s">
        <v>1327</v>
      </c>
      <c r="S2404" s="152">
        <v>99.140514999999994</v>
      </c>
      <c r="T2404" s="152">
        <v>0</v>
      </c>
      <c r="U2404" s="152">
        <v>0.36125200000000002</v>
      </c>
      <c r="V2404" s="152">
        <v>0.26100600000000002</v>
      </c>
      <c r="W2404" s="152">
        <v>1000</v>
      </c>
      <c r="X2404" s="152" t="s">
        <v>23</v>
      </c>
      <c r="Y2404" s="152" t="s">
        <v>1328</v>
      </c>
      <c r="Z2404" s="152" t="s">
        <v>1327</v>
      </c>
    </row>
    <row r="2405" spans="1:26" x14ac:dyDescent="0.2">
      <c r="A2405" s="152" t="s">
        <v>3485</v>
      </c>
      <c r="B2405" s="152">
        <v>0</v>
      </c>
      <c r="C2405" s="151">
        <v>43545</v>
      </c>
      <c r="D2405" s="152">
        <v>0.40273999999999999</v>
      </c>
      <c r="E2405" s="152" t="s">
        <v>1325</v>
      </c>
      <c r="F2405" s="152" t="s">
        <v>1326</v>
      </c>
      <c r="G2405" s="152"/>
      <c r="H2405" s="152"/>
      <c r="I2405" s="152">
        <v>43362</v>
      </c>
      <c r="J2405" s="152">
        <v>2.2999999999999998</v>
      </c>
      <c r="K2405" s="152" t="s">
        <v>1327</v>
      </c>
      <c r="L2405" s="152" t="s">
        <v>1327</v>
      </c>
      <c r="M2405" s="152" t="s">
        <v>1327</v>
      </c>
      <c r="N2405" s="152" t="s">
        <v>1327</v>
      </c>
      <c r="O2405" s="152">
        <v>2.4133279999999999</v>
      </c>
      <c r="P2405" s="152">
        <v>73.608198000000002</v>
      </c>
      <c r="Q2405" s="152">
        <v>2.4133279999999999</v>
      </c>
      <c r="R2405" s="152" t="s">
        <v>1327</v>
      </c>
      <c r="S2405" s="152">
        <v>99.037413000000001</v>
      </c>
      <c r="T2405" s="152">
        <v>0</v>
      </c>
      <c r="U2405" s="152">
        <v>0.39886300000000002</v>
      </c>
      <c r="V2405" s="152">
        <v>0.31818299999999999</v>
      </c>
      <c r="W2405" s="152">
        <v>1000</v>
      </c>
      <c r="X2405" s="152" t="s">
        <v>23</v>
      </c>
      <c r="Y2405" s="152" t="s">
        <v>1328</v>
      </c>
      <c r="Z2405" s="152" t="s">
        <v>1327</v>
      </c>
    </row>
    <row r="2406" spans="1:26" x14ac:dyDescent="0.2">
      <c r="A2406" s="152" t="s">
        <v>3486</v>
      </c>
      <c r="B2406" s="152">
        <v>0</v>
      </c>
      <c r="C2406" s="151">
        <v>43552</v>
      </c>
      <c r="D2406" s="152">
        <v>0.42191800000000002</v>
      </c>
      <c r="E2406" s="152" t="s">
        <v>1325</v>
      </c>
      <c r="F2406" s="152" t="s">
        <v>1326</v>
      </c>
      <c r="G2406" s="152"/>
      <c r="H2406" s="152"/>
      <c r="I2406" s="152">
        <v>43371</v>
      </c>
      <c r="J2406" s="152">
        <v>2.2000000000000002</v>
      </c>
      <c r="K2406" s="152" t="s">
        <v>1327</v>
      </c>
      <c r="L2406" s="152" t="s">
        <v>1327</v>
      </c>
      <c r="M2406" s="152" t="s">
        <v>1327</v>
      </c>
      <c r="N2406" s="152" t="s">
        <v>1327</v>
      </c>
      <c r="O2406" s="152">
        <v>2.4302229999999998</v>
      </c>
      <c r="P2406" s="152">
        <v>74.029128</v>
      </c>
      <c r="Q2406" s="152">
        <v>2.4302229999999998</v>
      </c>
      <c r="R2406" s="152" t="s">
        <v>1327</v>
      </c>
      <c r="S2406" s="152">
        <v>98.985051999999996</v>
      </c>
      <c r="T2406" s="152">
        <v>0</v>
      </c>
      <c r="U2406" s="152">
        <v>0.41763600000000001</v>
      </c>
      <c r="V2406" s="152">
        <v>0.34883900000000001</v>
      </c>
      <c r="W2406" s="152">
        <v>1000</v>
      </c>
      <c r="X2406" s="152" t="s">
        <v>23</v>
      </c>
      <c r="Y2406" s="152" t="s">
        <v>1328</v>
      </c>
      <c r="Z2406" s="152" t="s">
        <v>1327</v>
      </c>
    </row>
    <row r="2407" spans="1:26" x14ac:dyDescent="0.2">
      <c r="A2407" s="152" t="s">
        <v>3487</v>
      </c>
      <c r="B2407" s="152">
        <v>0</v>
      </c>
      <c r="C2407" s="151">
        <v>43566</v>
      </c>
      <c r="D2407" s="152">
        <v>0.46027400000000002</v>
      </c>
      <c r="E2407" s="152" t="s">
        <v>1325</v>
      </c>
      <c r="F2407" s="152" t="s">
        <v>1326</v>
      </c>
      <c r="G2407" s="152"/>
      <c r="H2407" s="152"/>
      <c r="I2407" s="152">
        <v>43384</v>
      </c>
      <c r="J2407" s="152">
        <v>2.2000000000000002</v>
      </c>
      <c r="K2407" s="152" t="s">
        <v>1327</v>
      </c>
      <c r="L2407" s="152" t="s">
        <v>1327</v>
      </c>
      <c r="M2407" s="152" t="s">
        <v>1327</v>
      </c>
      <c r="N2407" s="152" t="s">
        <v>1327</v>
      </c>
      <c r="O2407" s="152">
        <v>2.2661250000000002</v>
      </c>
      <c r="P2407" s="152">
        <v>55.161610000000003</v>
      </c>
      <c r="Q2407" s="152">
        <v>2.2661250000000002</v>
      </c>
      <c r="R2407" s="152" t="s">
        <v>1327</v>
      </c>
      <c r="S2407" s="152">
        <v>98.967729000000006</v>
      </c>
      <c r="T2407" s="152">
        <v>0</v>
      </c>
      <c r="U2407" s="152">
        <v>0.45552300000000001</v>
      </c>
      <c r="V2407" s="152">
        <v>0.41500199999999998</v>
      </c>
      <c r="W2407" s="152">
        <v>1000</v>
      </c>
      <c r="X2407" s="152" t="s">
        <v>23</v>
      </c>
      <c r="Y2407" s="152" t="s">
        <v>1328</v>
      </c>
      <c r="Z2407" s="152" t="s">
        <v>1327</v>
      </c>
    </row>
    <row r="2408" spans="1:26" x14ac:dyDescent="0.2">
      <c r="A2408" s="152" t="s">
        <v>3488</v>
      </c>
      <c r="B2408" s="152">
        <v>0</v>
      </c>
      <c r="C2408" s="151">
        <v>43573</v>
      </c>
      <c r="D2408" s="152">
        <v>0.47945199999999999</v>
      </c>
      <c r="E2408" s="152" t="s">
        <v>1325</v>
      </c>
      <c r="F2408" s="152" t="s">
        <v>1326</v>
      </c>
      <c r="G2408" s="152"/>
      <c r="H2408" s="152"/>
      <c r="I2408" s="152" t="s">
        <v>1327</v>
      </c>
      <c r="J2408" s="152" t="s">
        <v>1327</v>
      </c>
      <c r="K2408" s="152" t="s">
        <v>1327</v>
      </c>
      <c r="L2408" s="152" t="s">
        <v>1327</v>
      </c>
      <c r="M2408" s="152" t="s">
        <v>1327</v>
      </c>
      <c r="N2408" s="152" t="s">
        <v>1327</v>
      </c>
      <c r="O2408" s="152">
        <v>2.478288</v>
      </c>
      <c r="P2408" s="152">
        <v>75.671420999999995</v>
      </c>
      <c r="Q2408" s="152">
        <v>2.478288</v>
      </c>
      <c r="R2408" s="152" t="s">
        <v>1327</v>
      </c>
      <c r="S2408" s="152">
        <v>98.825733</v>
      </c>
      <c r="T2408" s="152">
        <v>0</v>
      </c>
      <c r="U2408" s="152">
        <v>0.47382200000000002</v>
      </c>
      <c r="V2408" s="152">
        <v>0.449015</v>
      </c>
      <c r="W2408" s="152">
        <v>1000</v>
      </c>
      <c r="X2408" s="152" t="s">
        <v>23</v>
      </c>
      <c r="Y2408" s="152" t="s">
        <v>1328</v>
      </c>
      <c r="Z2408" s="152" t="s">
        <v>1327</v>
      </c>
    </row>
    <row r="2409" spans="1:26" x14ac:dyDescent="0.2">
      <c r="A2409" s="152" t="s">
        <v>3489</v>
      </c>
      <c r="B2409" s="152">
        <v>2.1</v>
      </c>
      <c r="C2409" s="151">
        <v>43406</v>
      </c>
      <c r="D2409" s="152">
        <v>2.1918E-2</v>
      </c>
      <c r="E2409" s="152" t="s">
        <v>1325</v>
      </c>
      <c r="F2409" s="152" t="s">
        <v>1326</v>
      </c>
      <c r="G2409" s="152"/>
      <c r="H2409" s="152"/>
      <c r="I2409" s="151" t="s">
        <v>1327</v>
      </c>
      <c r="J2409" s="152" t="s">
        <v>1327</v>
      </c>
      <c r="K2409" s="152" t="s">
        <v>1327</v>
      </c>
      <c r="L2409" s="152" t="s">
        <v>1327</v>
      </c>
      <c r="M2409" s="152" t="s">
        <v>1327</v>
      </c>
      <c r="N2409" s="152" t="s">
        <v>1327</v>
      </c>
      <c r="O2409" s="152">
        <v>1.8525659999999999</v>
      </c>
      <c r="P2409" s="152">
        <v>71.710284999999999</v>
      </c>
      <c r="Q2409" s="152">
        <v>1.8525659999999999</v>
      </c>
      <c r="R2409" s="152" t="s">
        <v>1327</v>
      </c>
      <c r="S2409" s="152">
        <v>100.005225</v>
      </c>
      <c r="T2409" s="152">
        <v>0.483288</v>
      </c>
      <c r="U2409" s="152">
        <v>2.1909000000000001E-2</v>
      </c>
      <c r="V2409" s="152">
        <v>9.6000000000000002E-4</v>
      </c>
      <c r="W2409" s="152">
        <v>1000</v>
      </c>
      <c r="X2409" s="152" t="s">
        <v>23</v>
      </c>
      <c r="Y2409" s="152" t="s">
        <v>1328</v>
      </c>
      <c r="Z2409" s="152" t="s">
        <v>1327</v>
      </c>
    </row>
    <row r="2410" spans="1:26" x14ac:dyDescent="0.2">
      <c r="A2410" s="152" t="s">
        <v>3490</v>
      </c>
      <c r="B2410" s="152">
        <v>2.15</v>
      </c>
      <c r="C2410" s="151">
        <v>43433</v>
      </c>
      <c r="D2410" s="152">
        <v>9.5890000000000003E-2</v>
      </c>
      <c r="E2410" s="152" t="s">
        <v>1325</v>
      </c>
      <c r="F2410" s="152" t="s">
        <v>1326</v>
      </c>
      <c r="G2410" s="152"/>
      <c r="H2410" s="152"/>
      <c r="I2410" s="152" t="s">
        <v>1327</v>
      </c>
      <c r="J2410" s="152" t="s">
        <v>1327</v>
      </c>
      <c r="K2410" s="152" t="s">
        <v>1327</v>
      </c>
      <c r="L2410" s="152" t="s">
        <v>1327</v>
      </c>
      <c r="M2410" s="152" t="s">
        <v>1327</v>
      </c>
      <c r="N2410" s="152" t="s">
        <v>1327</v>
      </c>
      <c r="O2410" s="152">
        <v>1.9537629999999999</v>
      </c>
      <c r="P2410" s="152">
        <v>68.354097999999993</v>
      </c>
      <c r="Q2410" s="152">
        <v>1.9537629999999999</v>
      </c>
      <c r="R2410" s="152" t="s">
        <v>1327</v>
      </c>
      <c r="S2410" s="152">
        <v>100.017163</v>
      </c>
      <c r="T2410" s="152">
        <v>0.86589000000000005</v>
      </c>
      <c r="U2410" s="152">
        <v>9.5711000000000004E-2</v>
      </c>
      <c r="V2410" s="152">
        <v>1.8321E-2</v>
      </c>
      <c r="W2410" s="152">
        <v>1000</v>
      </c>
      <c r="X2410" s="152" t="s">
        <v>23</v>
      </c>
      <c r="Y2410" s="152" t="s">
        <v>1328</v>
      </c>
      <c r="Z2410" s="152" t="s">
        <v>1327</v>
      </c>
    </row>
    <row r="2411" spans="1:26" x14ac:dyDescent="0.2">
      <c r="A2411" s="152" t="s">
        <v>3491</v>
      </c>
      <c r="B2411" s="152">
        <v>0</v>
      </c>
      <c r="C2411" s="151">
        <v>43524</v>
      </c>
      <c r="D2411" s="152">
        <v>0.34520499999999998</v>
      </c>
      <c r="E2411" s="152" t="s">
        <v>1325</v>
      </c>
      <c r="F2411" s="152" t="s">
        <v>1326</v>
      </c>
      <c r="G2411" s="152"/>
      <c r="H2411" s="152"/>
      <c r="I2411" s="151" t="s">
        <v>1327</v>
      </c>
      <c r="J2411" s="152" t="s">
        <v>1327</v>
      </c>
      <c r="K2411" s="152" t="s">
        <v>1327</v>
      </c>
      <c r="L2411" s="152" t="s">
        <v>1327</v>
      </c>
      <c r="M2411" s="152" t="s">
        <v>1327</v>
      </c>
      <c r="N2411" s="152" t="s">
        <v>1327</v>
      </c>
      <c r="O2411" s="152">
        <v>2.0129630000000001</v>
      </c>
      <c r="P2411" s="152">
        <v>37.657291000000001</v>
      </c>
      <c r="Q2411" s="152">
        <v>2.0129630000000001</v>
      </c>
      <c r="R2411" s="152" t="s">
        <v>1327</v>
      </c>
      <c r="S2411" s="152">
        <v>99.309909000000005</v>
      </c>
      <c r="T2411" s="152">
        <v>0</v>
      </c>
      <c r="U2411" s="152">
        <v>0.34282299999999999</v>
      </c>
      <c r="V2411" s="152">
        <v>0.23505599999999999</v>
      </c>
      <c r="W2411" s="152">
        <v>1000</v>
      </c>
      <c r="X2411" s="152" t="s">
        <v>23</v>
      </c>
      <c r="Y2411" s="152" t="s">
        <v>1921</v>
      </c>
      <c r="Z2411" s="152" t="s">
        <v>1327</v>
      </c>
    </row>
    <row r="2412" spans="1:26" x14ac:dyDescent="0.2">
      <c r="A2412" s="152" t="s">
        <v>3492</v>
      </c>
      <c r="B2412" s="152">
        <v>0</v>
      </c>
      <c r="C2412" s="151">
        <v>43438</v>
      </c>
      <c r="D2412" s="152">
        <v>0.10958900000000001</v>
      </c>
      <c r="E2412" s="152" t="s">
        <v>1325</v>
      </c>
      <c r="F2412" s="152" t="s">
        <v>1326</v>
      </c>
      <c r="G2412" s="152"/>
      <c r="H2412" s="152"/>
      <c r="I2412" s="151" t="s">
        <v>1327</v>
      </c>
      <c r="J2412" s="152" t="s">
        <v>1327</v>
      </c>
      <c r="K2412" s="152" t="s">
        <v>1327</v>
      </c>
      <c r="L2412" s="152" t="s">
        <v>1327</v>
      </c>
      <c r="M2412" s="152" t="s">
        <v>1327</v>
      </c>
      <c r="N2412" s="152" t="s">
        <v>1327</v>
      </c>
      <c r="O2412" s="152">
        <v>2.0399229999999999</v>
      </c>
      <c r="P2412" s="152">
        <v>74.591930000000005</v>
      </c>
      <c r="Q2412" s="152">
        <v>2.0399229999999999</v>
      </c>
      <c r="R2412" s="152" t="s">
        <v>1327</v>
      </c>
      <c r="S2412" s="152">
        <v>99.776944999999998</v>
      </c>
      <c r="T2412" s="152">
        <v>0</v>
      </c>
      <c r="U2412" s="152">
        <v>0.109345</v>
      </c>
      <c r="V2412" s="152">
        <v>2.3911999999999999E-2</v>
      </c>
      <c r="W2412" s="152">
        <v>1000</v>
      </c>
      <c r="X2412" s="152" t="s">
        <v>23</v>
      </c>
      <c r="Y2412" s="152" t="s">
        <v>1328</v>
      </c>
      <c r="Z2412" s="152" t="s">
        <v>1327</v>
      </c>
    </row>
    <row r="2413" spans="1:26" x14ac:dyDescent="0.2">
      <c r="A2413" s="152" t="s">
        <v>3493</v>
      </c>
      <c r="B2413" s="152">
        <v>0</v>
      </c>
      <c r="C2413" s="151">
        <v>43440</v>
      </c>
      <c r="D2413" s="152">
        <v>0.115068</v>
      </c>
      <c r="E2413" s="152" t="s">
        <v>1325</v>
      </c>
      <c r="F2413" s="152" t="s">
        <v>1326</v>
      </c>
      <c r="G2413" s="152"/>
      <c r="H2413" s="152"/>
      <c r="I2413" s="151">
        <v>43257</v>
      </c>
      <c r="J2413" s="152">
        <v>2.14</v>
      </c>
      <c r="K2413" s="152" t="s">
        <v>1327</v>
      </c>
      <c r="L2413" s="152" t="s">
        <v>1327</v>
      </c>
      <c r="M2413" s="152" t="s">
        <v>1327</v>
      </c>
      <c r="N2413" s="152" t="s">
        <v>1327</v>
      </c>
      <c r="O2413" s="152">
        <v>2.0492159999999999</v>
      </c>
      <c r="P2413" s="152">
        <v>74.529315999999994</v>
      </c>
      <c r="Q2413" s="152">
        <v>2.0492159999999999</v>
      </c>
      <c r="R2413" s="152" t="s">
        <v>1327</v>
      </c>
      <c r="S2413" s="152">
        <v>99.764754999999994</v>
      </c>
      <c r="T2413" s="152">
        <v>0</v>
      </c>
      <c r="U2413" s="152">
        <v>0.114798</v>
      </c>
      <c r="V2413" s="152">
        <v>2.6356999999999998E-2</v>
      </c>
      <c r="W2413" s="152">
        <v>1000</v>
      </c>
      <c r="X2413" s="152" t="s">
        <v>23</v>
      </c>
      <c r="Y2413" s="152" t="s">
        <v>1328</v>
      </c>
      <c r="Z2413" s="152" t="s">
        <v>1327</v>
      </c>
    </row>
    <row r="2414" spans="1:26" x14ac:dyDescent="0.2">
      <c r="A2414" s="152" t="s">
        <v>3494</v>
      </c>
      <c r="B2414" s="152">
        <v>0</v>
      </c>
      <c r="C2414" s="151">
        <v>43447</v>
      </c>
      <c r="D2414" s="152">
        <v>0.13424700000000001</v>
      </c>
      <c r="E2414" s="152" t="s">
        <v>1325</v>
      </c>
      <c r="F2414" s="152" t="s">
        <v>1326</v>
      </c>
      <c r="G2414" s="152"/>
      <c r="H2414" s="152"/>
      <c r="I2414" s="151">
        <v>43356</v>
      </c>
      <c r="J2414" s="152">
        <v>2.0499999999999998</v>
      </c>
      <c r="K2414" s="152" t="s">
        <v>1327</v>
      </c>
      <c r="L2414" s="152" t="s">
        <v>1327</v>
      </c>
      <c r="M2414" s="152" t="s">
        <v>1327</v>
      </c>
      <c r="N2414" s="152" t="s">
        <v>1327</v>
      </c>
      <c r="O2414" s="152">
        <v>2.0819290000000001</v>
      </c>
      <c r="P2414" s="152">
        <v>74.360752000000005</v>
      </c>
      <c r="Q2414" s="152">
        <v>2.0819290000000001</v>
      </c>
      <c r="R2414" s="152" t="s">
        <v>1327</v>
      </c>
      <c r="S2414" s="152">
        <v>99.721287000000004</v>
      </c>
      <c r="T2414" s="152">
        <v>0</v>
      </c>
      <c r="U2414" s="152">
        <v>0.13387199999999999</v>
      </c>
      <c r="V2414" s="152">
        <v>3.5844000000000001E-2</v>
      </c>
      <c r="W2414" s="152">
        <v>1000</v>
      </c>
      <c r="X2414" s="152" t="s">
        <v>23</v>
      </c>
      <c r="Y2414" s="152" t="s">
        <v>1328</v>
      </c>
      <c r="Z2414" s="152" t="s">
        <v>1327</v>
      </c>
    </row>
    <row r="2415" spans="1:26" x14ac:dyDescent="0.2">
      <c r="A2415" s="152" t="s">
        <v>3495</v>
      </c>
      <c r="B2415" s="152">
        <v>0</v>
      </c>
      <c r="C2415" s="151">
        <v>43454</v>
      </c>
      <c r="D2415" s="152">
        <v>0.15342500000000001</v>
      </c>
      <c r="E2415" s="152" t="s">
        <v>1325</v>
      </c>
      <c r="F2415" s="152" t="s">
        <v>1326</v>
      </c>
      <c r="G2415" s="152"/>
      <c r="H2415" s="152"/>
      <c r="I2415" s="152">
        <v>43363</v>
      </c>
      <c r="J2415" s="152">
        <v>2.0499999999999998</v>
      </c>
      <c r="K2415" s="152" t="s">
        <v>1327</v>
      </c>
      <c r="L2415" s="152" t="s">
        <v>1327</v>
      </c>
      <c r="M2415" s="152" t="s">
        <v>1327</v>
      </c>
      <c r="N2415" s="152" t="s">
        <v>1327</v>
      </c>
      <c r="O2415" s="152">
        <v>2.114941</v>
      </c>
      <c r="P2415" s="152">
        <v>74.288749999999993</v>
      </c>
      <c r="Q2415" s="152">
        <v>2.114941</v>
      </c>
      <c r="R2415" s="152" t="s">
        <v>1327</v>
      </c>
      <c r="S2415" s="152">
        <v>99.676564999999997</v>
      </c>
      <c r="T2415" s="152">
        <v>0</v>
      </c>
      <c r="U2415" s="152">
        <v>0.15292800000000001</v>
      </c>
      <c r="V2415" s="152">
        <v>4.6774000000000003E-2</v>
      </c>
      <c r="W2415" s="152">
        <v>1000</v>
      </c>
      <c r="X2415" s="152" t="s">
        <v>23</v>
      </c>
      <c r="Y2415" s="152" t="s">
        <v>1328</v>
      </c>
      <c r="Z2415" s="152" t="s">
        <v>1327</v>
      </c>
    </row>
    <row r="2416" spans="1:26" x14ac:dyDescent="0.2">
      <c r="A2416" s="152" t="s">
        <v>3496</v>
      </c>
      <c r="B2416" s="152">
        <v>0</v>
      </c>
      <c r="C2416" s="151">
        <v>43545</v>
      </c>
      <c r="D2416" s="152">
        <v>0.40273999999999999</v>
      </c>
      <c r="E2416" s="152" t="s">
        <v>1325</v>
      </c>
      <c r="F2416" s="152" t="s">
        <v>1326</v>
      </c>
      <c r="G2416" s="152"/>
      <c r="H2416" s="152"/>
      <c r="I2416" s="152">
        <v>43362</v>
      </c>
      <c r="J2416" s="152">
        <v>2.1</v>
      </c>
      <c r="K2416" s="152" t="s">
        <v>1327</v>
      </c>
      <c r="L2416" s="152" t="s">
        <v>1327</v>
      </c>
      <c r="M2416" s="152" t="s">
        <v>1327</v>
      </c>
      <c r="N2416" s="152" t="s">
        <v>1327</v>
      </c>
      <c r="O2416" s="152">
        <v>2.4037649999999999</v>
      </c>
      <c r="P2416" s="152">
        <v>72.638047999999998</v>
      </c>
      <c r="Q2416" s="152">
        <v>2.4037649999999999</v>
      </c>
      <c r="R2416" s="152" t="s">
        <v>1327</v>
      </c>
      <c r="S2416" s="152">
        <v>99.04119</v>
      </c>
      <c r="T2416" s="152">
        <v>0</v>
      </c>
      <c r="U2416" s="152">
        <v>0.39887800000000001</v>
      </c>
      <c r="V2416" s="152">
        <v>0.31820799999999999</v>
      </c>
      <c r="W2416" s="152">
        <v>1000</v>
      </c>
      <c r="X2416" s="152" t="s">
        <v>23</v>
      </c>
      <c r="Y2416" s="152" t="s">
        <v>1328</v>
      </c>
      <c r="Z2416" s="152" t="s">
        <v>1327</v>
      </c>
    </row>
    <row r="2417" spans="1:26" x14ac:dyDescent="0.2">
      <c r="A2417" s="152" t="s">
        <v>3497</v>
      </c>
      <c r="B2417" s="152">
        <v>0</v>
      </c>
      <c r="C2417" s="151">
        <v>43437</v>
      </c>
      <c r="D2417" s="152">
        <v>0.106849</v>
      </c>
      <c r="E2417" s="152" t="s">
        <v>1325</v>
      </c>
      <c r="F2417" s="152" t="s">
        <v>1326</v>
      </c>
      <c r="G2417" s="152"/>
      <c r="H2417" s="152"/>
      <c r="I2417" s="151">
        <v>43259</v>
      </c>
      <c r="J2417" s="152">
        <v>2.1</v>
      </c>
      <c r="K2417" s="152" t="s">
        <v>1327</v>
      </c>
      <c r="L2417" s="152" t="s">
        <v>1327</v>
      </c>
      <c r="M2417" s="152" t="s">
        <v>1327</v>
      </c>
      <c r="N2417" s="152" t="s">
        <v>1327</v>
      </c>
      <c r="O2417" s="152">
        <v>1.70868</v>
      </c>
      <c r="P2417" s="152">
        <v>41.414684999999999</v>
      </c>
      <c r="Q2417" s="152">
        <v>1.70868</v>
      </c>
      <c r="R2417" s="152" t="s">
        <v>1327</v>
      </c>
      <c r="S2417" s="152">
        <v>99.817761000000004</v>
      </c>
      <c r="T2417" s="152">
        <v>0</v>
      </c>
      <c r="U2417" s="152">
        <v>0.106655</v>
      </c>
      <c r="V2417" s="152">
        <v>2.2749999999999999E-2</v>
      </c>
      <c r="W2417" s="152">
        <v>1000</v>
      </c>
      <c r="X2417" s="152" t="s">
        <v>23</v>
      </c>
      <c r="Y2417" s="152" t="s">
        <v>1328</v>
      </c>
      <c r="Z2417" s="152" t="s">
        <v>1327</v>
      </c>
    </row>
    <row r="2418" spans="1:26" x14ac:dyDescent="0.2">
      <c r="A2418" s="152" t="s">
        <v>3498</v>
      </c>
      <c r="B2418" s="152">
        <v>0</v>
      </c>
      <c r="C2418" s="151">
        <v>43440</v>
      </c>
      <c r="D2418" s="152">
        <v>0.115068</v>
      </c>
      <c r="E2418" s="152" t="s">
        <v>1325</v>
      </c>
      <c r="F2418" s="152" t="s">
        <v>1326</v>
      </c>
      <c r="G2418" s="152"/>
      <c r="H2418" s="152"/>
      <c r="I2418" s="151">
        <v>43257</v>
      </c>
      <c r="J2418" s="152">
        <v>2.1</v>
      </c>
      <c r="K2418" s="152" t="s">
        <v>1327</v>
      </c>
      <c r="L2418" s="152" t="s">
        <v>1327</v>
      </c>
      <c r="M2418" s="152" t="s">
        <v>1327</v>
      </c>
      <c r="N2418" s="152" t="s">
        <v>1327</v>
      </c>
      <c r="O2418" s="152">
        <v>1.7226079999999999</v>
      </c>
      <c r="P2418" s="152">
        <v>41.319496999999998</v>
      </c>
      <c r="Q2418" s="152">
        <v>1.7226079999999999</v>
      </c>
      <c r="R2418" s="152" t="s">
        <v>1327</v>
      </c>
      <c r="S2418" s="152">
        <v>99.802173999999994</v>
      </c>
      <c r="T2418" s="152">
        <v>0</v>
      </c>
      <c r="U2418" s="152">
        <v>0.114841</v>
      </c>
      <c r="V2418" s="152">
        <v>2.6377000000000001E-2</v>
      </c>
      <c r="W2418" s="152">
        <v>1000</v>
      </c>
      <c r="X2418" s="152" t="s">
        <v>23</v>
      </c>
      <c r="Y2418" s="152" t="s">
        <v>1328</v>
      </c>
      <c r="Z2418" s="152" t="s">
        <v>1327</v>
      </c>
    </row>
    <row r="2419" spans="1:26" x14ac:dyDescent="0.2">
      <c r="A2419" s="152" t="s">
        <v>3499</v>
      </c>
      <c r="B2419" s="152">
        <v>0</v>
      </c>
      <c r="C2419" s="151">
        <v>43412</v>
      </c>
      <c r="D2419" s="152">
        <v>3.8356000000000001E-2</v>
      </c>
      <c r="E2419" s="152" t="s">
        <v>1325</v>
      </c>
      <c r="F2419" s="152" t="s">
        <v>1326</v>
      </c>
      <c r="G2419" s="152"/>
      <c r="H2419" s="152"/>
      <c r="I2419" s="151">
        <v>43230</v>
      </c>
      <c r="J2419" s="152">
        <v>2.1</v>
      </c>
      <c r="K2419" s="152" t="s">
        <v>1327</v>
      </c>
      <c r="L2419" s="152" t="s">
        <v>1327</v>
      </c>
      <c r="M2419" s="152" t="s">
        <v>1327</v>
      </c>
      <c r="N2419" s="152" t="s">
        <v>1327</v>
      </c>
      <c r="O2419" s="152">
        <v>1.6222749999999999</v>
      </c>
      <c r="P2419" s="152">
        <v>45.297035000000001</v>
      </c>
      <c r="Q2419" s="152">
        <v>1.6222749999999999</v>
      </c>
      <c r="R2419" s="152" t="s">
        <v>1327</v>
      </c>
      <c r="S2419" s="152">
        <v>99.937814000000003</v>
      </c>
      <c r="T2419" s="152">
        <v>0</v>
      </c>
      <c r="U2419" s="152">
        <v>3.8331999999999998E-2</v>
      </c>
      <c r="V2419" s="152">
        <v>2.9390000000000002E-3</v>
      </c>
      <c r="W2419" s="152">
        <v>1000</v>
      </c>
      <c r="X2419" s="152" t="s">
        <v>23</v>
      </c>
      <c r="Y2419" s="152" t="s">
        <v>1328</v>
      </c>
      <c r="Z2419" s="152" t="s">
        <v>1327</v>
      </c>
    </row>
    <row r="2420" spans="1:26" x14ac:dyDescent="0.2">
      <c r="A2420" s="152" t="s">
        <v>3500</v>
      </c>
      <c r="B2420" s="152">
        <v>0</v>
      </c>
      <c r="C2420" s="151">
        <v>43417</v>
      </c>
      <c r="D2420" s="152">
        <v>5.2054999999999997E-2</v>
      </c>
      <c r="E2420" s="152" t="s">
        <v>1325</v>
      </c>
      <c r="F2420" s="152" t="s">
        <v>1326</v>
      </c>
      <c r="G2420" s="152"/>
      <c r="H2420" s="152"/>
      <c r="I2420" s="151">
        <v>43223</v>
      </c>
      <c r="J2420" s="152">
        <v>2.1</v>
      </c>
      <c r="K2420" s="152" t="s">
        <v>1327</v>
      </c>
      <c r="L2420" s="152" t="s">
        <v>1327</v>
      </c>
      <c r="M2420" s="152" t="s">
        <v>1327</v>
      </c>
      <c r="N2420" s="152" t="s">
        <v>1327</v>
      </c>
      <c r="O2420" s="152">
        <v>1.6217250000000001</v>
      </c>
      <c r="P2420" s="152">
        <v>42.723995000000002</v>
      </c>
      <c r="Q2420" s="152">
        <v>1.6217250000000001</v>
      </c>
      <c r="R2420" s="152" t="s">
        <v>1327</v>
      </c>
      <c r="S2420" s="152">
        <v>99.915653000000006</v>
      </c>
      <c r="T2420" s="152">
        <v>0</v>
      </c>
      <c r="U2420" s="152">
        <v>5.2011000000000002E-2</v>
      </c>
      <c r="V2420" s="152">
        <v>5.4099999999999999E-3</v>
      </c>
      <c r="W2420" s="152">
        <v>1000</v>
      </c>
      <c r="X2420" s="152" t="s">
        <v>23</v>
      </c>
      <c r="Y2420" s="152" t="s">
        <v>1328</v>
      </c>
      <c r="Z2420" s="152" t="s">
        <v>1327</v>
      </c>
    </row>
    <row r="2421" spans="1:26" x14ac:dyDescent="0.2">
      <c r="A2421" s="152" t="s">
        <v>3501</v>
      </c>
      <c r="B2421" s="152">
        <v>0</v>
      </c>
      <c r="C2421" s="151">
        <v>43417</v>
      </c>
      <c r="D2421" s="152">
        <v>5.2054999999999997E-2</v>
      </c>
      <c r="E2421" s="152" t="s">
        <v>1325</v>
      </c>
      <c r="F2421" s="152" t="s">
        <v>1326</v>
      </c>
      <c r="G2421" s="152"/>
      <c r="H2421" s="152"/>
      <c r="I2421" s="151">
        <v>43237</v>
      </c>
      <c r="J2421" s="152">
        <v>2.1</v>
      </c>
      <c r="K2421" s="152" t="s">
        <v>1327</v>
      </c>
      <c r="L2421" s="152" t="s">
        <v>1327</v>
      </c>
      <c r="M2421" s="152" t="s">
        <v>1327</v>
      </c>
      <c r="N2421" s="152" t="s">
        <v>1327</v>
      </c>
      <c r="O2421" s="152">
        <v>1.6217250000000001</v>
      </c>
      <c r="P2421" s="152">
        <v>42.723995000000002</v>
      </c>
      <c r="Q2421" s="152">
        <v>1.6217250000000001</v>
      </c>
      <c r="R2421" s="152" t="s">
        <v>1327</v>
      </c>
      <c r="S2421" s="152">
        <v>99.915653000000006</v>
      </c>
      <c r="T2421" s="152">
        <v>0</v>
      </c>
      <c r="U2421" s="152">
        <v>5.2011000000000002E-2</v>
      </c>
      <c r="V2421" s="152">
        <v>5.4099999999999999E-3</v>
      </c>
      <c r="W2421" s="152">
        <v>1000</v>
      </c>
      <c r="X2421" s="152" t="s">
        <v>23</v>
      </c>
      <c r="Y2421" s="152" t="s">
        <v>1328</v>
      </c>
      <c r="Z2421" s="152" t="s">
        <v>1327</v>
      </c>
    </row>
    <row r="2422" spans="1:26" x14ac:dyDescent="0.2">
      <c r="A2422" s="152" t="s">
        <v>3502</v>
      </c>
      <c r="B2422" s="152">
        <v>0</v>
      </c>
      <c r="C2422" s="151">
        <v>43431</v>
      </c>
      <c r="D2422" s="152">
        <v>9.0411000000000005E-2</v>
      </c>
      <c r="E2422" s="152" t="s">
        <v>1325</v>
      </c>
      <c r="F2422" s="152" t="s">
        <v>1326</v>
      </c>
      <c r="G2422" s="152"/>
      <c r="H2422" s="152"/>
      <c r="I2422" s="151" t="s">
        <v>1327</v>
      </c>
      <c r="J2422" s="152" t="s">
        <v>1327</v>
      </c>
      <c r="K2422" s="152" t="s">
        <v>1327</v>
      </c>
      <c r="L2422" s="152" t="s">
        <v>1327</v>
      </c>
      <c r="M2422" s="152" t="s">
        <v>1327</v>
      </c>
      <c r="N2422" s="152" t="s">
        <v>1327</v>
      </c>
      <c r="O2422" s="152">
        <v>1.6809769999999999</v>
      </c>
      <c r="P2422" s="152">
        <v>41.637793000000002</v>
      </c>
      <c r="Q2422" s="152">
        <v>1.6809769999999999</v>
      </c>
      <c r="R2422" s="152" t="s">
        <v>1327</v>
      </c>
      <c r="S2422" s="152">
        <v>99.848252000000002</v>
      </c>
      <c r="T2422" s="152">
        <v>0</v>
      </c>
      <c r="U2422" s="152">
        <v>9.0273999999999993E-2</v>
      </c>
      <c r="V2422" s="152">
        <v>1.6299000000000001E-2</v>
      </c>
      <c r="W2422" s="152">
        <v>1000</v>
      </c>
      <c r="X2422" s="152" t="s">
        <v>23</v>
      </c>
      <c r="Y2422" s="152" t="s">
        <v>1328</v>
      </c>
      <c r="Z2422" s="152" t="s">
        <v>1327</v>
      </c>
    </row>
    <row r="2423" spans="1:26" x14ac:dyDescent="0.2">
      <c r="A2423" s="152" t="s">
        <v>3503</v>
      </c>
      <c r="B2423" s="152">
        <v>0</v>
      </c>
      <c r="C2423" s="151">
        <v>43475</v>
      </c>
      <c r="D2423" s="152">
        <v>0.21095900000000001</v>
      </c>
      <c r="E2423" s="152" t="s">
        <v>1325</v>
      </c>
      <c r="F2423" s="152" t="s">
        <v>1326</v>
      </c>
      <c r="G2423" s="152"/>
      <c r="H2423" s="152"/>
      <c r="I2423" s="151">
        <v>43292</v>
      </c>
      <c r="J2423" s="152">
        <v>2.1</v>
      </c>
      <c r="K2423" s="152" t="s">
        <v>1327</v>
      </c>
      <c r="L2423" s="152" t="s">
        <v>1327</v>
      </c>
      <c r="M2423" s="152" t="s">
        <v>1327</v>
      </c>
      <c r="N2423" s="152" t="s">
        <v>1327</v>
      </c>
      <c r="O2423" s="152">
        <v>1.889221</v>
      </c>
      <c r="P2423" s="152">
        <v>41.691330000000001</v>
      </c>
      <c r="Q2423" s="152">
        <v>1.889221</v>
      </c>
      <c r="R2423" s="152" t="s">
        <v>1327</v>
      </c>
      <c r="S2423" s="152">
        <v>99.603033999999994</v>
      </c>
      <c r="T2423" s="152">
        <v>0</v>
      </c>
      <c r="U2423" s="152">
        <v>0.210121</v>
      </c>
      <c r="V2423" s="152">
        <v>8.8302000000000005E-2</v>
      </c>
      <c r="W2423" s="152">
        <v>1000</v>
      </c>
      <c r="X2423" s="152" t="s">
        <v>23</v>
      </c>
      <c r="Y2423" s="152" t="s">
        <v>1328</v>
      </c>
      <c r="Z2423" s="152" t="s">
        <v>1327</v>
      </c>
    </row>
    <row r="2424" spans="1:26" x14ac:dyDescent="0.2">
      <c r="A2424" s="152" t="s">
        <v>3504</v>
      </c>
      <c r="B2424" s="152">
        <v>0</v>
      </c>
      <c r="C2424" s="151">
        <v>43489</v>
      </c>
      <c r="D2424" s="152">
        <v>0.24931500000000001</v>
      </c>
      <c r="E2424" s="152" t="s">
        <v>1325</v>
      </c>
      <c r="F2424" s="152" t="s">
        <v>1326</v>
      </c>
      <c r="G2424" s="152"/>
      <c r="H2424" s="152"/>
      <c r="I2424" s="152">
        <v>43307</v>
      </c>
      <c r="J2424" s="152">
        <v>2.1</v>
      </c>
      <c r="K2424" s="152" t="s">
        <v>1327</v>
      </c>
      <c r="L2424" s="152" t="s">
        <v>1327</v>
      </c>
      <c r="M2424" s="152" t="s">
        <v>1327</v>
      </c>
      <c r="N2424" s="152" t="s">
        <v>1327</v>
      </c>
      <c r="O2424" s="152">
        <v>1.9385479999999999</v>
      </c>
      <c r="P2424" s="152">
        <v>41.023020000000002</v>
      </c>
      <c r="Q2424" s="152">
        <v>1.9385479999999999</v>
      </c>
      <c r="R2424" s="152" t="s">
        <v>1327</v>
      </c>
      <c r="S2424" s="152">
        <v>99.519014999999996</v>
      </c>
      <c r="T2424" s="152">
        <v>0</v>
      </c>
      <c r="U2424" s="152">
        <v>0.248116</v>
      </c>
      <c r="V2424" s="152">
        <v>0.123123</v>
      </c>
      <c r="W2424" s="152">
        <v>1000</v>
      </c>
      <c r="X2424" s="152" t="s">
        <v>23</v>
      </c>
      <c r="Y2424" s="152" t="s">
        <v>1328</v>
      </c>
      <c r="Z2424" s="152" t="s">
        <v>1327</v>
      </c>
    </row>
    <row r="2425" spans="1:26" x14ac:dyDescent="0.2">
      <c r="A2425" s="152" t="s">
        <v>3505</v>
      </c>
      <c r="B2425" s="152">
        <v>0</v>
      </c>
      <c r="C2425" s="151">
        <v>43494</v>
      </c>
      <c r="D2425" s="152">
        <v>0.26301400000000003</v>
      </c>
      <c r="E2425" s="152" t="s">
        <v>1325</v>
      </c>
      <c r="F2425" s="152" t="s">
        <v>1326</v>
      </c>
      <c r="G2425" s="152"/>
      <c r="H2425" s="152"/>
      <c r="I2425" s="151">
        <v>43304</v>
      </c>
      <c r="J2425" s="152">
        <v>2.1</v>
      </c>
      <c r="K2425" s="152" t="s">
        <v>1327</v>
      </c>
      <c r="L2425" s="152" t="s">
        <v>1327</v>
      </c>
      <c r="M2425" s="152" t="s">
        <v>1327</v>
      </c>
      <c r="N2425" s="152" t="s">
        <v>1327</v>
      </c>
      <c r="O2425" s="152">
        <v>1.951047</v>
      </c>
      <c r="P2425" s="152">
        <v>40.450015999999998</v>
      </c>
      <c r="Q2425" s="152">
        <v>1.951047</v>
      </c>
      <c r="R2425" s="152" t="s">
        <v>1327</v>
      </c>
      <c r="S2425" s="152">
        <v>99.489468000000002</v>
      </c>
      <c r="T2425" s="152">
        <v>0</v>
      </c>
      <c r="U2425" s="152">
        <v>0.26167099999999999</v>
      </c>
      <c r="V2425" s="152">
        <v>0.13694300000000001</v>
      </c>
      <c r="W2425" s="152">
        <v>1000</v>
      </c>
      <c r="X2425" s="152" t="s">
        <v>23</v>
      </c>
      <c r="Y2425" s="152" t="s">
        <v>1328</v>
      </c>
      <c r="Z2425" s="152" t="s">
        <v>1327</v>
      </c>
    </row>
    <row r="2426" spans="1:26" x14ac:dyDescent="0.2">
      <c r="A2426" s="152" t="s">
        <v>3506</v>
      </c>
      <c r="B2426" s="152">
        <v>0</v>
      </c>
      <c r="C2426" s="151">
        <v>43496</v>
      </c>
      <c r="D2426" s="152">
        <v>0.26849299999999998</v>
      </c>
      <c r="E2426" s="152" t="s">
        <v>1325</v>
      </c>
      <c r="F2426" s="152" t="s">
        <v>1326</v>
      </c>
      <c r="G2426" s="152"/>
      <c r="H2426" s="152"/>
      <c r="I2426" s="151">
        <v>43314</v>
      </c>
      <c r="J2426" s="152">
        <v>2.1</v>
      </c>
      <c r="K2426" s="152" t="s">
        <v>1327</v>
      </c>
      <c r="L2426" s="152" t="s">
        <v>1327</v>
      </c>
      <c r="M2426" s="152" t="s">
        <v>1327</v>
      </c>
      <c r="N2426" s="152" t="s">
        <v>1327</v>
      </c>
      <c r="O2426" s="152">
        <v>1.9560420000000001</v>
      </c>
      <c r="P2426" s="152">
        <v>40.248475999999997</v>
      </c>
      <c r="Q2426" s="152">
        <v>1.9560420000000001</v>
      </c>
      <c r="R2426" s="152" t="s">
        <v>1327</v>
      </c>
      <c r="S2426" s="152">
        <v>99.477559999999997</v>
      </c>
      <c r="T2426" s="152">
        <v>0</v>
      </c>
      <c r="U2426" s="152">
        <v>0.26708999999999999</v>
      </c>
      <c r="V2426" s="152">
        <v>0.142675</v>
      </c>
      <c r="W2426" s="152">
        <v>1000</v>
      </c>
      <c r="X2426" s="152" t="s">
        <v>23</v>
      </c>
      <c r="Y2426" s="152" t="s">
        <v>1328</v>
      </c>
      <c r="Z2426" s="152" t="s">
        <v>1327</v>
      </c>
    </row>
    <row r="2427" spans="1:26" x14ac:dyDescent="0.2">
      <c r="A2427" s="152" t="s">
        <v>3507</v>
      </c>
      <c r="B2427" s="152">
        <v>0</v>
      </c>
      <c r="C2427" s="151">
        <v>43529</v>
      </c>
      <c r="D2427" s="152">
        <v>0.358904</v>
      </c>
      <c r="E2427" s="152" t="s">
        <v>1325</v>
      </c>
      <c r="F2427" s="152" t="s">
        <v>1326</v>
      </c>
      <c r="G2427" s="152"/>
      <c r="H2427" s="152"/>
      <c r="I2427" s="151">
        <v>43342</v>
      </c>
      <c r="J2427" s="152">
        <v>2.1</v>
      </c>
      <c r="K2427" s="152" t="s">
        <v>1327</v>
      </c>
      <c r="L2427" s="152" t="s">
        <v>1327</v>
      </c>
      <c r="M2427" s="152" t="s">
        <v>1327</v>
      </c>
      <c r="N2427" s="152" t="s">
        <v>1327</v>
      </c>
      <c r="O2427" s="152">
        <v>2.037795</v>
      </c>
      <c r="P2427" s="152">
        <v>38.957405999999999</v>
      </c>
      <c r="Q2427" s="152">
        <v>2.037795</v>
      </c>
      <c r="R2427" s="152" t="s">
        <v>1327</v>
      </c>
      <c r="S2427" s="152">
        <v>99.273937000000004</v>
      </c>
      <c r="T2427" s="152">
        <v>0</v>
      </c>
      <c r="U2427" s="152">
        <v>0.356298</v>
      </c>
      <c r="V2427" s="152">
        <v>0.25389699999999998</v>
      </c>
      <c r="W2427" s="152">
        <v>1000</v>
      </c>
      <c r="X2427" s="152" t="s">
        <v>23</v>
      </c>
      <c r="Y2427" s="152" t="s">
        <v>1328</v>
      </c>
      <c r="Z2427" s="152" t="s">
        <v>1327</v>
      </c>
    </row>
    <row r="2428" spans="1:26" x14ac:dyDescent="0.2">
      <c r="A2428" s="152" t="s">
        <v>3508</v>
      </c>
      <c r="B2428" s="152">
        <v>0</v>
      </c>
      <c r="C2428" s="151">
        <v>43536</v>
      </c>
      <c r="D2428" s="152">
        <v>0.37808199999999997</v>
      </c>
      <c r="E2428" s="152" t="s">
        <v>1325</v>
      </c>
      <c r="F2428" s="152" t="s">
        <v>1326</v>
      </c>
      <c r="G2428" s="152"/>
      <c r="H2428" s="152"/>
      <c r="I2428" s="151">
        <v>43356</v>
      </c>
      <c r="J2428" s="152">
        <v>2.1</v>
      </c>
      <c r="K2428" s="152" t="s">
        <v>1327</v>
      </c>
      <c r="L2428" s="152" t="s">
        <v>1327</v>
      </c>
      <c r="M2428" s="152" t="s">
        <v>1327</v>
      </c>
      <c r="N2428" s="152" t="s">
        <v>1327</v>
      </c>
      <c r="O2428" s="152">
        <v>2.054907</v>
      </c>
      <c r="P2428" s="152">
        <v>39.113728000000002</v>
      </c>
      <c r="Q2428" s="152">
        <v>2.054907</v>
      </c>
      <c r="R2428" s="152" t="s">
        <v>1327</v>
      </c>
      <c r="S2428" s="152">
        <v>99.229066000000003</v>
      </c>
      <c r="T2428" s="152">
        <v>0</v>
      </c>
      <c r="U2428" s="152">
        <v>0.37516699999999997</v>
      </c>
      <c r="V2428" s="152">
        <v>0.281501</v>
      </c>
      <c r="W2428" s="152">
        <v>1000</v>
      </c>
      <c r="X2428" s="152" t="s">
        <v>23</v>
      </c>
      <c r="Y2428" s="152" t="s">
        <v>1328</v>
      </c>
      <c r="Z2428" s="152" t="s">
        <v>1327</v>
      </c>
    </row>
    <row r="2429" spans="1:26" x14ac:dyDescent="0.2">
      <c r="A2429" s="152" t="s">
        <v>3509</v>
      </c>
      <c r="B2429" s="152">
        <v>0</v>
      </c>
      <c r="C2429" s="151">
        <v>43542</v>
      </c>
      <c r="D2429" s="152">
        <v>0.39452100000000001</v>
      </c>
      <c r="E2429" s="152" t="s">
        <v>1325</v>
      </c>
      <c r="F2429" s="152" t="s">
        <v>1326</v>
      </c>
      <c r="G2429" s="152"/>
      <c r="H2429" s="152"/>
      <c r="I2429" s="151" t="s">
        <v>1327</v>
      </c>
      <c r="J2429" s="152" t="s">
        <v>1327</v>
      </c>
      <c r="K2429" s="152" t="s">
        <v>1327</v>
      </c>
      <c r="L2429" s="152" t="s">
        <v>1327</v>
      </c>
      <c r="M2429" s="152" t="s">
        <v>1327</v>
      </c>
      <c r="N2429" s="152" t="s">
        <v>1327</v>
      </c>
      <c r="O2429" s="152">
        <v>2.0694910000000002</v>
      </c>
      <c r="P2429" s="152">
        <v>39.348317999999999</v>
      </c>
      <c r="Q2429" s="152">
        <v>2.0694910000000002</v>
      </c>
      <c r="R2429" s="152" t="s">
        <v>1327</v>
      </c>
      <c r="S2429" s="152">
        <v>99.190155000000004</v>
      </c>
      <c r="T2429" s="152">
        <v>0</v>
      </c>
      <c r="U2429" s="152">
        <v>0.39132600000000001</v>
      </c>
      <c r="V2429" s="152">
        <v>0.30627100000000002</v>
      </c>
      <c r="W2429" s="152">
        <v>1000</v>
      </c>
      <c r="X2429" s="152" t="s">
        <v>23</v>
      </c>
      <c r="Y2429" s="152" t="s">
        <v>1328</v>
      </c>
      <c r="Z2429" s="152" t="s">
        <v>1327</v>
      </c>
    </row>
    <row r="2430" spans="1:26" x14ac:dyDescent="0.2">
      <c r="A2430" s="152" t="s">
        <v>3510</v>
      </c>
      <c r="B2430" s="152">
        <v>0</v>
      </c>
      <c r="C2430" s="151">
        <v>43545</v>
      </c>
      <c r="D2430" s="152">
        <v>0.40273999999999999</v>
      </c>
      <c r="E2430" s="152" t="s">
        <v>1325</v>
      </c>
      <c r="F2430" s="152" t="s">
        <v>1326</v>
      </c>
      <c r="G2430" s="152"/>
      <c r="H2430" s="152"/>
      <c r="I2430" s="151">
        <v>43362</v>
      </c>
      <c r="J2430" s="152">
        <v>2.1</v>
      </c>
      <c r="K2430" s="152" t="s">
        <v>1327</v>
      </c>
      <c r="L2430" s="152" t="s">
        <v>1327</v>
      </c>
      <c r="M2430" s="152" t="s">
        <v>1327</v>
      </c>
      <c r="N2430" s="152" t="s">
        <v>1327</v>
      </c>
      <c r="O2430" s="152">
        <v>2.0767500000000001</v>
      </c>
      <c r="P2430" s="152">
        <v>39.49812</v>
      </c>
      <c r="Q2430" s="152">
        <v>2.0767500000000001</v>
      </c>
      <c r="R2430" s="152" t="s">
        <v>1327</v>
      </c>
      <c r="S2430" s="152">
        <v>99.170547999999997</v>
      </c>
      <c r="T2430" s="152">
        <v>0</v>
      </c>
      <c r="U2430" s="152">
        <v>0.399399</v>
      </c>
      <c r="V2430" s="152">
        <v>0.31903900000000002</v>
      </c>
      <c r="W2430" s="152">
        <v>1000</v>
      </c>
      <c r="X2430" s="152" t="s">
        <v>23</v>
      </c>
      <c r="Y2430" s="152" t="s">
        <v>1328</v>
      </c>
      <c r="Z2430" s="152" t="s">
        <v>1327</v>
      </c>
    </row>
    <row r="2431" spans="1:26" x14ac:dyDescent="0.2">
      <c r="A2431" s="152" t="s">
        <v>3511</v>
      </c>
      <c r="B2431" s="152">
        <v>0</v>
      </c>
      <c r="C2431" s="151">
        <v>43545</v>
      </c>
      <c r="D2431" s="152">
        <v>0.40273999999999999</v>
      </c>
      <c r="E2431" s="152" t="s">
        <v>1325</v>
      </c>
      <c r="F2431" s="152" t="s">
        <v>1326</v>
      </c>
      <c r="G2431" s="152"/>
      <c r="H2431" s="152"/>
      <c r="I2431" s="151">
        <v>43349</v>
      </c>
      <c r="J2431" s="152">
        <v>2.1</v>
      </c>
      <c r="K2431" s="152" t="s">
        <v>1327</v>
      </c>
      <c r="L2431" s="152" t="s">
        <v>1327</v>
      </c>
      <c r="M2431" s="152" t="s">
        <v>1327</v>
      </c>
      <c r="N2431" s="152" t="s">
        <v>1327</v>
      </c>
      <c r="O2431" s="152">
        <v>2.0767500000000001</v>
      </c>
      <c r="P2431" s="152">
        <v>39.49812</v>
      </c>
      <c r="Q2431" s="152">
        <v>2.0767500000000001</v>
      </c>
      <c r="R2431" s="152" t="s">
        <v>1327</v>
      </c>
      <c r="S2431" s="152">
        <v>99.170547999999997</v>
      </c>
      <c r="T2431" s="152">
        <v>0</v>
      </c>
      <c r="U2431" s="152">
        <v>0.399399</v>
      </c>
      <c r="V2431" s="152">
        <v>0.31903900000000002</v>
      </c>
      <c r="W2431" s="152">
        <v>1000</v>
      </c>
      <c r="X2431" s="152" t="s">
        <v>23</v>
      </c>
      <c r="Y2431" s="152" t="s">
        <v>1328</v>
      </c>
      <c r="Z2431" s="152" t="s">
        <v>1327</v>
      </c>
    </row>
    <row r="2432" spans="1:26" x14ac:dyDescent="0.2">
      <c r="A2432" s="152" t="s">
        <v>3512</v>
      </c>
      <c r="B2432" s="152">
        <v>0</v>
      </c>
      <c r="C2432" s="151">
        <v>43545</v>
      </c>
      <c r="D2432" s="152">
        <v>0.40273999999999999</v>
      </c>
      <c r="E2432" s="152" t="s">
        <v>1325</v>
      </c>
      <c r="F2432" s="152" t="s">
        <v>1326</v>
      </c>
      <c r="G2432" s="152"/>
      <c r="H2432" s="152"/>
      <c r="I2432" s="151">
        <v>43370</v>
      </c>
      <c r="J2432" s="152">
        <v>2.1</v>
      </c>
      <c r="K2432" s="152" t="s">
        <v>1327</v>
      </c>
      <c r="L2432" s="152" t="s">
        <v>1327</v>
      </c>
      <c r="M2432" s="152" t="s">
        <v>1327</v>
      </c>
      <c r="N2432" s="152" t="s">
        <v>1327</v>
      </c>
      <c r="O2432" s="152">
        <v>2.0767500000000001</v>
      </c>
      <c r="P2432" s="152">
        <v>39.49812</v>
      </c>
      <c r="Q2432" s="152">
        <v>2.0767500000000001</v>
      </c>
      <c r="R2432" s="152" t="s">
        <v>1327</v>
      </c>
      <c r="S2432" s="152">
        <v>99.170547999999997</v>
      </c>
      <c r="T2432" s="152">
        <v>0</v>
      </c>
      <c r="U2432" s="152">
        <v>0.399399</v>
      </c>
      <c r="V2432" s="152">
        <v>0.31903900000000002</v>
      </c>
      <c r="W2432" s="152">
        <v>1000</v>
      </c>
      <c r="X2432" s="152" t="s">
        <v>23</v>
      </c>
      <c r="Y2432" s="152" t="s">
        <v>1328</v>
      </c>
      <c r="Z2432" s="152" t="s">
        <v>1327</v>
      </c>
    </row>
    <row r="2433" spans="1:26" x14ac:dyDescent="0.2">
      <c r="A2433" s="152" t="s">
        <v>3513</v>
      </c>
      <c r="B2433" s="152">
        <v>0</v>
      </c>
      <c r="C2433" s="151">
        <v>43545</v>
      </c>
      <c r="D2433" s="152">
        <v>0.40273999999999999</v>
      </c>
      <c r="E2433" s="152" t="s">
        <v>1325</v>
      </c>
      <c r="F2433" s="152" t="s">
        <v>1326</v>
      </c>
      <c r="G2433" s="152"/>
      <c r="H2433" s="152"/>
      <c r="I2433" s="151">
        <v>43364</v>
      </c>
      <c r="J2433" s="152">
        <v>2.1</v>
      </c>
      <c r="K2433" s="152" t="s">
        <v>1327</v>
      </c>
      <c r="L2433" s="152" t="s">
        <v>1327</v>
      </c>
      <c r="M2433" s="152" t="s">
        <v>1327</v>
      </c>
      <c r="N2433" s="152" t="s">
        <v>1327</v>
      </c>
      <c r="O2433" s="152">
        <v>2.0767500000000001</v>
      </c>
      <c r="P2433" s="152">
        <v>39.49812</v>
      </c>
      <c r="Q2433" s="152">
        <v>2.0767500000000001</v>
      </c>
      <c r="R2433" s="152" t="s">
        <v>1327</v>
      </c>
      <c r="S2433" s="152">
        <v>99.170547999999997</v>
      </c>
      <c r="T2433" s="152">
        <v>0</v>
      </c>
      <c r="U2433" s="152">
        <v>0.399399</v>
      </c>
      <c r="V2433" s="152">
        <v>0.31903900000000002</v>
      </c>
      <c r="W2433" s="152">
        <v>1000</v>
      </c>
      <c r="X2433" s="152" t="s">
        <v>23</v>
      </c>
      <c r="Y2433" s="152" t="s">
        <v>1328</v>
      </c>
      <c r="Z2433" s="152" t="s">
        <v>1327</v>
      </c>
    </row>
    <row r="2434" spans="1:26" x14ac:dyDescent="0.2">
      <c r="A2434" s="152" t="s">
        <v>3514</v>
      </c>
      <c r="B2434" s="152">
        <v>0</v>
      </c>
      <c r="C2434" s="151">
        <v>43552</v>
      </c>
      <c r="D2434" s="152">
        <v>0.42191800000000002</v>
      </c>
      <c r="E2434" s="152" t="s">
        <v>1325</v>
      </c>
      <c r="F2434" s="152" t="s">
        <v>1326</v>
      </c>
      <c r="G2434" s="152"/>
      <c r="H2434" s="152"/>
      <c r="I2434" s="151">
        <v>43371</v>
      </c>
      <c r="J2434" s="152">
        <v>2.1</v>
      </c>
      <c r="K2434" s="152" t="s">
        <v>1327</v>
      </c>
      <c r="L2434" s="152" t="s">
        <v>1327</v>
      </c>
      <c r="M2434" s="152" t="s">
        <v>1327</v>
      </c>
      <c r="N2434" s="152" t="s">
        <v>1327</v>
      </c>
      <c r="O2434" s="152">
        <v>2.093601</v>
      </c>
      <c r="P2434" s="152">
        <v>39.925935000000003</v>
      </c>
      <c r="Q2434" s="152">
        <v>2.093601</v>
      </c>
      <c r="R2434" s="152" t="s">
        <v>1327</v>
      </c>
      <c r="S2434" s="152">
        <v>99.124407000000005</v>
      </c>
      <c r="T2434" s="152">
        <v>0</v>
      </c>
      <c r="U2434" s="152">
        <v>0.41822399999999998</v>
      </c>
      <c r="V2434" s="152">
        <v>0.34982200000000002</v>
      </c>
      <c r="W2434" s="152">
        <v>1000</v>
      </c>
      <c r="X2434" s="152" t="s">
        <v>23</v>
      </c>
      <c r="Y2434" s="152" t="s">
        <v>1328</v>
      </c>
      <c r="Z2434" s="152" t="s">
        <v>1327</v>
      </c>
    </row>
    <row r="2435" spans="1:26" x14ac:dyDescent="0.2">
      <c r="A2435" s="152" t="s">
        <v>3515</v>
      </c>
      <c r="B2435" s="152">
        <v>0</v>
      </c>
      <c r="C2435" s="151">
        <v>43573</v>
      </c>
      <c r="D2435" s="152">
        <v>0.47945199999999999</v>
      </c>
      <c r="E2435" s="152" t="s">
        <v>1325</v>
      </c>
      <c r="F2435" s="152" t="s">
        <v>1326</v>
      </c>
      <c r="G2435" s="152"/>
      <c r="H2435" s="152"/>
      <c r="I2435" s="151">
        <v>43391</v>
      </c>
      <c r="J2435" s="152">
        <v>2.1</v>
      </c>
      <c r="K2435" s="152" t="s">
        <v>1327</v>
      </c>
      <c r="L2435" s="152" t="s">
        <v>1327</v>
      </c>
      <c r="M2435" s="152" t="s">
        <v>1327</v>
      </c>
      <c r="N2435" s="152" t="s">
        <v>1327</v>
      </c>
      <c r="O2435" s="152">
        <v>2.1067450000000001</v>
      </c>
      <c r="P2435" s="152">
        <v>38.073503000000002</v>
      </c>
      <c r="Q2435" s="152">
        <v>2.1067450000000001</v>
      </c>
      <c r="R2435" s="152" t="s">
        <v>1327</v>
      </c>
      <c r="S2435" s="152">
        <v>99.000017</v>
      </c>
      <c r="T2435" s="152">
        <v>0</v>
      </c>
      <c r="U2435" s="152">
        <v>0.47465800000000002</v>
      </c>
      <c r="V2435" s="152">
        <v>0.4506</v>
      </c>
      <c r="W2435" s="152">
        <v>1000</v>
      </c>
      <c r="X2435" s="152" t="s">
        <v>23</v>
      </c>
      <c r="Y2435" s="152" t="s">
        <v>1328</v>
      </c>
      <c r="Z2435" s="152" t="s">
        <v>1327</v>
      </c>
    </row>
    <row r="2436" spans="1:26" x14ac:dyDescent="0.2">
      <c r="A2436" s="152" t="s">
        <v>3516</v>
      </c>
      <c r="B2436" s="152">
        <v>0</v>
      </c>
      <c r="C2436" s="151">
        <v>43634</v>
      </c>
      <c r="D2436" s="152">
        <v>0.64657500000000001</v>
      </c>
      <c r="E2436" s="152" t="s">
        <v>1325</v>
      </c>
      <c r="F2436" s="152" t="s">
        <v>1326</v>
      </c>
      <c r="G2436" s="152"/>
      <c r="H2436" s="152"/>
      <c r="I2436" s="151" t="s">
        <v>1327</v>
      </c>
      <c r="J2436" s="152" t="s">
        <v>1327</v>
      </c>
      <c r="K2436" s="152" t="s">
        <v>1327</v>
      </c>
      <c r="L2436" s="152" t="s">
        <v>1327</v>
      </c>
      <c r="M2436" s="152" t="s">
        <v>1327</v>
      </c>
      <c r="N2436" s="152" t="s">
        <v>1327</v>
      </c>
      <c r="O2436" s="152">
        <v>2.1716890000000002</v>
      </c>
      <c r="P2436" s="152">
        <v>39.246532999999999</v>
      </c>
      <c r="Q2436" s="152">
        <v>2.1716890000000002</v>
      </c>
      <c r="R2436" s="152" t="s">
        <v>1327</v>
      </c>
      <c r="S2436" s="152">
        <v>98.615283000000005</v>
      </c>
      <c r="T2436" s="152">
        <v>0</v>
      </c>
      <c r="U2436" s="152">
        <v>0.63762200000000002</v>
      </c>
      <c r="V2436" s="152">
        <v>0.81312399999999996</v>
      </c>
      <c r="W2436" s="152">
        <v>1000</v>
      </c>
      <c r="X2436" s="152" t="s">
        <v>23</v>
      </c>
      <c r="Y2436" s="152" t="s">
        <v>1328</v>
      </c>
      <c r="Z2436" s="152" t="s">
        <v>1327</v>
      </c>
    </row>
    <row r="2437" spans="1:26" x14ac:dyDescent="0.2">
      <c r="A2437" s="152" t="s">
        <v>219</v>
      </c>
      <c r="B2437" s="152">
        <v>1.6</v>
      </c>
      <c r="C2437" s="151">
        <v>43514</v>
      </c>
      <c r="D2437" s="152">
        <v>0.31780799999999998</v>
      </c>
      <c r="E2437" s="152" t="s">
        <v>1325</v>
      </c>
      <c r="F2437" s="152" t="s">
        <v>1326</v>
      </c>
      <c r="G2437" s="152"/>
      <c r="H2437" s="152" t="s">
        <v>1276</v>
      </c>
      <c r="I2437" s="151" t="s">
        <v>1327</v>
      </c>
      <c r="J2437" s="152" t="s">
        <v>1327</v>
      </c>
      <c r="K2437" s="152" t="s">
        <v>1327</v>
      </c>
      <c r="L2437" s="152" t="s">
        <v>1327</v>
      </c>
      <c r="M2437" s="152" t="s">
        <v>1327</v>
      </c>
      <c r="N2437" s="152" t="s">
        <v>1327</v>
      </c>
      <c r="O2437" s="152">
        <v>1.685079</v>
      </c>
      <c r="P2437" s="152">
        <v>7.1251189999999998</v>
      </c>
      <c r="Q2437" s="152">
        <v>1.685079</v>
      </c>
      <c r="R2437" s="152" t="s">
        <v>1327</v>
      </c>
      <c r="S2437" s="152">
        <v>99.971494000000007</v>
      </c>
      <c r="T2437" s="152">
        <v>0.30246600000000001</v>
      </c>
      <c r="U2437" s="152">
        <v>0.31611499999999998</v>
      </c>
      <c r="V2437" s="152">
        <v>0.19985800000000001</v>
      </c>
      <c r="W2437" s="152">
        <v>1000</v>
      </c>
      <c r="X2437" s="152" t="s">
        <v>23</v>
      </c>
      <c r="Y2437" s="152" t="s">
        <v>1328</v>
      </c>
      <c r="Z2437" s="152" t="s">
        <v>1327</v>
      </c>
    </row>
    <row r="2438" spans="1:26" x14ac:dyDescent="0.2">
      <c r="A2438" s="152" t="s">
        <v>3517</v>
      </c>
      <c r="B2438" s="152">
        <v>1.63</v>
      </c>
      <c r="C2438" s="151">
        <v>43551</v>
      </c>
      <c r="D2438" s="152">
        <v>0.419178</v>
      </c>
      <c r="E2438" s="152" t="s">
        <v>1325</v>
      </c>
      <c r="F2438" s="152" t="s">
        <v>1326</v>
      </c>
      <c r="G2438" s="152"/>
      <c r="H2438" s="152"/>
      <c r="I2438" s="151" t="s">
        <v>1327</v>
      </c>
      <c r="J2438" s="152" t="s">
        <v>1327</v>
      </c>
      <c r="K2438" s="152" t="s">
        <v>1327</v>
      </c>
      <c r="L2438" s="152" t="s">
        <v>1327</v>
      </c>
      <c r="M2438" s="152" t="s">
        <v>1327</v>
      </c>
      <c r="N2438" s="152" t="s">
        <v>1327</v>
      </c>
      <c r="O2438" s="152">
        <v>1.7782260000000001</v>
      </c>
      <c r="P2438" s="152">
        <v>8.2085840000000001</v>
      </c>
      <c r="Q2438" s="152">
        <v>1.7782260000000001</v>
      </c>
      <c r="R2438" s="152" t="s">
        <v>1327</v>
      </c>
      <c r="S2438" s="152">
        <v>99.937402000000006</v>
      </c>
      <c r="T2438" s="152">
        <v>0.12504100000000001</v>
      </c>
      <c r="U2438" s="152">
        <v>0.41607699999999997</v>
      </c>
      <c r="V2438" s="152">
        <v>0.34623999999999999</v>
      </c>
      <c r="W2438" s="152">
        <v>1000</v>
      </c>
      <c r="X2438" s="152" t="s">
        <v>23</v>
      </c>
      <c r="Y2438" s="152" t="s">
        <v>1328</v>
      </c>
      <c r="Z2438" s="152" t="s">
        <v>1327</v>
      </c>
    </row>
    <row r="2439" spans="1:26" x14ac:dyDescent="0.2">
      <c r="A2439" s="152" t="s">
        <v>3518</v>
      </c>
      <c r="B2439" s="152">
        <v>0</v>
      </c>
      <c r="C2439" s="151">
        <v>43447</v>
      </c>
      <c r="D2439" s="152">
        <v>0.13424700000000001</v>
      </c>
      <c r="E2439" s="152" t="s">
        <v>1325</v>
      </c>
      <c r="F2439" s="152" t="s">
        <v>1326</v>
      </c>
      <c r="G2439" s="152"/>
      <c r="H2439" s="152"/>
      <c r="I2439" s="152" t="s">
        <v>1327</v>
      </c>
      <c r="J2439" s="152" t="s">
        <v>1327</v>
      </c>
      <c r="K2439" s="152" t="s">
        <v>1327</v>
      </c>
      <c r="L2439" s="152" t="s">
        <v>1327</v>
      </c>
      <c r="M2439" s="152" t="s">
        <v>1327</v>
      </c>
      <c r="N2439" s="152" t="s">
        <v>1327</v>
      </c>
      <c r="O2439" s="152">
        <v>1.6892929999999999</v>
      </c>
      <c r="P2439" s="152">
        <v>34.451701</v>
      </c>
      <c r="Q2439" s="152">
        <v>1.6892929999999999</v>
      </c>
      <c r="R2439" s="152" t="s">
        <v>1327</v>
      </c>
      <c r="S2439" s="152">
        <v>99.773730999999998</v>
      </c>
      <c r="T2439" s="152">
        <v>0</v>
      </c>
      <c r="U2439" s="152">
        <v>0.13394300000000001</v>
      </c>
      <c r="V2439" s="152">
        <v>3.5881000000000003E-2</v>
      </c>
      <c r="W2439" s="152">
        <v>1000</v>
      </c>
      <c r="X2439" s="152" t="s">
        <v>23</v>
      </c>
      <c r="Y2439" s="152" t="s">
        <v>1921</v>
      </c>
      <c r="Z2439" s="152" t="s">
        <v>1327</v>
      </c>
    </row>
    <row r="2440" spans="1:26" x14ac:dyDescent="0.2">
      <c r="A2440" s="152" t="s">
        <v>3519</v>
      </c>
      <c r="B2440" s="152">
        <v>0</v>
      </c>
      <c r="C2440" s="151">
        <v>43448</v>
      </c>
      <c r="D2440" s="152">
        <v>0.136986</v>
      </c>
      <c r="E2440" s="152" t="s">
        <v>1325</v>
      </c>
      <c r="F2440" s="152" t="s">
        <v>1326</v>
      </c>
      <c r="G2440" s="152"/>
      <c r="H2440" s="152"/>
      <c r="I2440" s="152" t="s">
        <v>1327</v>
      </c>
      <c r="J2440" s="152" t="s">
        <v>1327</v>
      </c>
      <c r="K2440" s="152" t="s">
        <v>1327</v>
      </c>
      <c r="L2440" s="152" t="s">
        <v>1327</v>
      </c>
      <c r="M2440" s="152" t="s">
        <v>1327</v>
      </c>
      <c r="N2440" s="152" t="s">
        <v>1327</v>
      </c>
      <c r="O2440" s="152">
        <v>1.6947220000000001</v>
      </c>
      <c r="P2440" s="152">
        <v>34.509647000000001</v>
      </c>
      <c r="Q2440" s="152">
        <v>1.6947220000000001</v>
      </c>
      <c r="R2440" s="152" t="s">
        <v>1327</v>
      </c>
      <c r="S2440" s="152">
        <v>99.768383999999998</v>
      </c>
      <c r="T2440" s="152">
        <v>0</v>
      </c>
      <c r="U2440" s="152">
        <v>0.13666900000000001</v>
      </c>
      <c r="V2440" s="152">
        <v>3.7357000000000001E-2</v>
      </c>
      <c r="W2440" s="152">
        <v>1000</v>
      </c>
      <c r="X2440" s="152" t="s">
        <v>23</v>
      </c>
      <c r="Y2440" s="152" t="s">
        <v>1921</v>
      </c>
      <c r="Z2440" s="152" t="s">
        <v>1327</v>
      </c>
    </row>
    <row r="2441" spans="1:26" x14ac:dyDescent="0.2">
      <c r="A2441" s="152" t="s">
        <v>3520</v>
      </c>
      <c r="B2441" s="152">
        <v>0</v>
      </c>
      <c r="C2441" s="151">
        <v>43451</v>
      </c>
      <c r="D2441" s="152">
        <v>0.145205</v>
      </c>
      <c r="E2441" s="152" t="s">
        <v>1325</v>
      </c>
      <c r="F2441" s="152" t="s">
        <v>1326</v>
      </c>
      <c r="G2441" s="152"/>
      <c r="H2441" s="152"/>
      <c r="I2441" s="151" t="s">
        <v>1327</v>
      </c>
      <c r="J2441" s="152" t="s">
        <v>1327</v>
      </c>
      <c r="K2441" s="152" t="s">
        <v>1327</v>
      </c>
      <c r="L2441" s="152" t="s">
        <v>1327</v>
      </c>
      <c r="M2441" s="152" t="s">
        <v>1327</v>
      </c>
      <c r="N2441" s="152" t="s">
        <v>1327</v>
      </c>
      <c r="O2441" s="152">
        <v>1.7110479999999999</v>
      </c>
      <c r="P2441" s="152">
        <v>34.696260000000002</v>
      </c>
      <c r="Q2441" s="152">
        <v>1.7110479999999999</v>
      </c>
      <c r="R2441" s="152" t="s">
        <v>1327</v>
      </c>
      <c r="S2441" s="152">
        <v>99.752161999999998</v>
      </c>
      <c r="T2441" s="152">
        <v>0</v>
      </c>
      <c r="U2441" s="152">
        <v>0.144846</v>
      </c>
      <c r="V2441" s="152">
        <v>4.1959999999999997E-2</v>
      </c>
      <c r="W2441" s="152">
        <v>1000</v>
      </c>
      <c r="X2441" s="152" t="s">
        <v>23</v>
      </c>
      <c r="Y2441" s="152" t="s">
        <v>1921</v>
      </c>
      <c r="Z2441" s="152" t="s">
        <v>1327</v>
      </c>
    </row>
    <row r="2442" spans="1:26" x14ac:dyDescent="0.2">
      <c r="A2442" s="152" t="s">
        <v>3521</v>
      </c>
      <c r="B2442" s="152">
        <v>0</v>
      </c>
      <c r="C2442" s="151">
        <v>43452</v>
      </c>
      <c r="D2442" s="152">
        <v>0.14794499999999999</v>
      </c>
      <c r="E2442" s="152" t="s">
        <v>1325</v>
      </c>
      <c r="F2442" s="152" t="s">
        <v>1326</v>
      </c>
      <c r="G2442" s="152"/>
      <c r="H2442" s="152"/>
      <c r="I2442" s="151" t="s">
        <v>1327</v>
      </c>
      <c r="J2442" s="152" t="s">
        <v>1327</v>
      </c>
      <c r="K2442" s="152" t="s">
        <v>1327</v>
      </c>
      <c r="L2442" s="152" t="s">
        <v>1327</v>
      </c>
      <c r="M2442" s="152" t="s">
        <v>1327</v>
      </c>
      <c r="N2442" s="152" t="s">
        <v>1327</v>
      </c>
      <c r="O2442" s="152">
        <v>1.716502</v>
      </c>
      <c r="P2442" s="152">
        <v>34.762816000000001</v>
      </c>
      <c r="Q2442" s="152">
        <v>1.716502</v>
      </c>
      <c r="R2442" s="152" t="s">
        <v>1327</v>
      </c>
      <c r="S2442" s="152">
        <v>99.746695000000003</v>
      </c>
      <c r="T2442" s="152">
        <v>0</v>
      </c>
      <c r="U2442" s="152">
        <v>0.14757000000000001</v>
      </c>
      <c r="V2442" s="152">
        <v>4.3554000000000002E-2</v>
      </c>
      <c r="W2442" s="152">
        <v>1000</v>
      </c>
      <c r="X2442" s="152" t="s">
        <v>23</v>
      </c>
      <c r="Y2442" s="152" t="s">
        <v>1921</v>
      </c>
      <c r="Z2442" s="152" t="s">
        <v>1327</v>
      </c>
    </row>
    <row r="2443" spans="1:26" x14ac:dyDescent="0.2">
      <c r="A2443" s="152" t="s">
        <v>3522</v>
      </c>
      <c r="B2443" s="152">
        <v>0</v>
      </c>
      <c r="C2443" s="151">
        <v>43453</v>
      </c>
      <c r="D2443" s="152">
        <v>0.15068500000000001</v>
      </c>
      <c r="E2443" s="152" t="s">
        <v>1325</v>
      </c>
      <c r="F2443" s="152" t="s">
        <v>1326</v>
      </c>
      <c r="G2443" s="152"/>
      <c r="H2443" s="152"/>
      <c r="I2443" s="151" t="s">
        <v>1327</v>
      </c>
      <c r="J2443" s="152" t="s">
        <v>1327</v>
      </c>
      <c r="K2443" s="152" t="s">
        <v>1327</v>
      </c>
      <c r="L2443" s="152" t="s">
        <v>1327</v>
      </c>
      <c r="M2443" s="152" t="s">
        <v>1327</v>
      </c>
      <c r="N2443" s="152" t="s">
        <v>1327</v>
      </c>
      <c r="O2443" s="152">
        <v>1.7219629999999999</v>
      </c>
      <c r="P2443" s="152">
        <v>34.831797999999999</v>
      </c>
      <c r="Q2443" s="152">
        <v>1.7219629999999999</v>
      </c>
      <c r="R2443" s="152" t="s">
        <v>1327</v>
      </c>
      <c r="S2443" s="152">
        <v>99.741197999999997</v>
      </c>
      <c r="T2443" s="152">
        <v>0</v>
      </c>
      <c r="U2443" s="152">
        <v>0.15029500000000001</v>
      </c>
      <c r="V2443" s="152">
        <v>4.5177000000000002E-2</v>
      </c>
      <c r="W2443" s="152">
        <v>1000</v>
      </c>
      <c r="X2443" s="152" t="s">
        <v>23</v>
      </c>
      <c r="Y2443" s="152" t="s">
        <v>1921</v>
      </c>
      <c r="Z2443" s="152" t="s">
        <v>1327</v>
      </c>
    </row>
    <row r="2444" spans="1:26" x14ac:dyDescent="0.2">
      <c r="A2444" s="152" t="s">
        <v>3523</v>
      </c>
      <c r="B2444" s="152">
        <v>0</v>
      </c>
      <c r="C2444" s="151">
        <v>43454</v>
      </c>
      <c r="D2444" s="152">
        <v>0.15342500000000001</v>
      </c>
      <c r="E2444" s="152" t="s">
        <v>1325</v>
      </c>
      <c r="F2444" s="152" t="s">
        <v>1326</v>
      </c>
      <c r="G2444" s="152"/>
      <c r="H2444" s="152"/>
      <c r="I2444" s="151" t="s">
        <v>1327</v>
      </c>
      <c r="J2444" s="152" t="s">
        <v>1327</v>
      </c>
      <c r="K2444" s="152" t="s">
        <v>1327</v>
      </c>
      <c r="L2444" s="152" t="s">
        <v>1327</v>
      </c>
      <c r="M2444" s="152" t="s">
        <v>1327</v>
      </c>
      <c r="N2444" s="152" t="s">
        <v>1327</v>
      </c>
      <c r="O2444" s="152">
        <v>1.7274290000000001</v>
      </c>
      <c r="P2444" s="152">
        <v>34.903072999999999</v>
      </c>
      <c r="Q2444" s="152">
        <v>1.7274290000000001</v>
      </c>
      <c r="R2444" s="152" t="s">
        <v>1327</v>
      </c>
      <c r="S2444" s="152">
        <v>99.735669999999999</v>
      </c>
      <c r="T2444" s="152">
        <v>0</v>
      </c>
      <c r="U2444" s="152">
        <v>0.15301899999999999</v>
      </c>
      <c r="V2444" s="152">
        <v>4.6829999999999997E-2</v>
      </c>
      <c r="W2444" s="152">
        <v>1000</v>
      </c>
      <c r="X2444" s="152" t="s">
        <v>23</v>
      </c>
      <c r="Y2444" s="152" t="s">
        <v>1921</v>
      </c>
      <c r="Z2444" s="152" t="s">
        <v>1327</v>
      </c>
    </row>
    <row r="2445" spans="1:26" x14ac:dyDescent="0.2">
      <c r="A2445" s="152" t="s">
        <v>3524</v>
      </c>
      <c r="B2445" s="152">
        <v>0</v>
      </c>
      <c r="C2445" s="151">
        <v>43455</v>
      </c>
      <c r="D2445" s="152">
        <v>0.156164</v>
      </c>
      <c r="E2445" s="152" t="s">
        <v>1325</v>
      </c>
      <c r="F2445" s="152" t="s">
        <v>1326</v>
      </c>
      <c r="G2445" s="152"/>
      <c r="H2445" s="152"/>
      <c r="I2445" s="152" t="s">
        <v>1327</v>
      </c>
      <c r="J2445" s="152" t="s">
        <v>1327</v>
      </c>
      <c r="K2445" s="152" t="s">
        <v>1327</v>
      </c>
      <c r="L2445" s="152" t="s">
        <v>1327</v>
      </c>
      <c r="M2445" s="152" t="s">
        <v>1327</v>
      </c>
      <c r="N2445" s="152" t="s">
        <v>1327</v>
      </c>
      <c r="O2445" s="152">
        <v>1.7329019999999999</v>
      </c>
      <c r="P2445" s="152">
        <v>34.976911000000001</v>
      </c>
      <c r="Q2445" s="152">
        <v>1.7329019999999999</v>
      </c>
      <c r="R2445" s="152" t="s">
        <v>1327</v>
      </c>
      <c r="S2445" s="152">
        <v>99.730113000000003</v>
      </c>
      <c r="T2445" s="152">
        <v>0</v>
      </c>
      <c r="U2445" s="152">
        <v>0.15574299999999999</v>
      </c>
      <c r="V2445" s="152">
        <v>4.8512E-2</v>
      </c>
      <c r="W2445" s="152">
        <v>1000</v>
      </c>
      <c r="X2445" s="152" t="s">
        <v>23</v>
      </c>
      <c r="Y2445" s="152" t="s">
        <v>1921</v>
      </c>
      <c r="Z2445" s="152" t="s">
        <v>1327</v>
      </c>
    </row>
    <row r="2446" spans="1:26" x14ac:dyDescent="0.2">
      <c r="A2446" s="152" t="s">
        <v>3525</v>
      </c>
      <c r="B2446" s="152">
        <v>0</v>
      </c>
      <c r="C2446" s="151">
        <v>43458</v>
      </c>
      <c r="D2446" s="152">
        <v>0.164384</v>
      </c>
      <c r="E2446" s="152" t="s">
        <v>1325</v>
      </c>
      <c r="F2446" s="152" t="s">
        <v>1326</v>
      </c>
      <c r="G2446" s="152"/>
      <c r="H2446" s="152"/>
      <c r="I2446" s="151" t="s">
        <v>1327</v>
      </c>
      <c r="J2446" s="152" t="s">
        <v>1327</v>
      </c>
      <c r="K2446" s="152" t="s">
        <v>1327</v>
      </c>
      <c r="L2446" s="152" t="s">
        <v>1327</v>
      </c>
      <c r="M2446" s="152" t="s">
        <v>1327</v>
      </c>
      <c r="N2446" s="152" t="s">
        <v>1327</v>
      </c>
      <c r="O2446" s="152">
        <v>1.74936</v>
      </c>
      <c r="P2446" s="152">
        <v>35.21369</v>
      </c>
      <c r="Q2446" s="152">
        <v>1.74936</v>
      </c>
      <c r="R2446" s="152" t="s">
        <v>1327</v>
      </c>
      <c r="S2446" s="152">
        <v>99.713258999999994</v>
      </c>
      <c r="T2446" s="152">
        <v>0</v>
      </c>
      <c r="U2446" s="152">
        <v>0.163912</v>
      </c>
      <c r="V2446" s="152">
        <v>5.3733999999999997E-2</v>
      </c>
      <c r="W2446" s="152">
        <v>1000</v>
      </c>
      <c r="X2446" s="152" t="s">
        <v>23</v>
      </c>
      <c r="Y2446" s="152" t="s">
        <v>1921</v>
      </c>
      <c r="Z2446" s="152" t="s">
        <v>1327</v>
      </c>
    </row>
    <row r="2447" spans="1:26" x14ac:dyDescent="0.2">
      <c r="A2447" s="152" t="s">
        <v>3526</v>
      </c>
      <c r="B2447" s="152">
        <v>0</v>
      </c>
      <c r="C2447" s="151">
        <v>43459</v>
      </c>
      <c r="D2447" s="152">
        <v>0.16712299999999999</v>
      </c>
      <c r="E2447" s="152" t="s">
        <v>1325</v>
      </c>
      <c r="F2447" s="152" t="s">
        <v>1326</v>
      </c>
      <c r="G2447" s="152"/>
      <c r="H2447" s="152"/>
      <c r="I2447" s="151" t="s">
        <v>1327</v>
      </c>
      <c r="J2447" s="152" t="s">
        <v>1327</v>
      </c>
      <c r="K2447" s="152" t="s">
        <v>1327</v>
      </c>
      <c r="L2447" s="152" t="s">
        <v>1327</v>
      </c>
      <c r="M2447" s="152" t="s">
        <v>1327</v>
      </c>
      <c r="N2447" s="152" t="s">
        <v>1327</v>
      </c>
      <c r="O2447" s="152">
        <v>1.7548589999999999</v>
      </c>
      <c r="P2447" s="152">
        <v>35.298068999999998</v>
      </c>
      <c r="Q2447" s="152">
        <v>1.7548589999999999</v>
      </c>
      <c r="R2447" s="152" t="s">
        <v>1327</v>
      </c>
      <c r="S2447" s="152">
        <v>99.707579999999993</v>
      </c>
      <c r="T2447" s="152">
        <v>0</v>
      </c>
      <c r="U2447" s="152">
        <v>0.16663500000000001</v>
      </c>
      <c r="V2447" s="152">
        <v>5.5534E-2</v>
      </c>
      <c r="W2447" s="152">
        <v>1000</v>
      </c>
      <c r="X2447" s="152" t="s">
        <v>23</v>
      </c>
      <c r="Y2447" s="152" t="s">
        <v>1921</v>
      </c>
      <c r="Z2447" s="152" t="s">
        <v>1327</v>
      </c>
    </row>
    <row r="2448" spans="1:26" x14ac:dyDescent="0.2">
      <c r="A2448" s="152" t="s">
        <v>3527</v>
      </c>
      <c r="B2448" s="152">
        <v>0</v>
      </c>
      <c r="C2448" s="151">
        <v>43460</v>
      </c>
      <c r="D2448" s="152">
        <v>0.16986299999999999</v>
      </c>
      <c r="E2448" s="152" t="s">
        <v>1325</v>
      </c>
      <c r="F2448" s="152" t="s">
        <v>1326</v>
      </c>
      <c r="G2448" s="152"/>
      <c r="H2448" s="152"/>
      <c r="I2448" s="151" t="s">
        <v>1327</v>
      </c>
      <c r="J2448" s="152" t="s">
        <v>1327</v>
      </c>
      <c r="K2448" s="152" t="s">
        <v>1327</v>
      </c>
      <c r="L2448" s="152" t="s">
        <v>1327</v>
      </c>
      <c r="M2448" s="152" t="s">
        <v>1327</v>
      </c>
      <c r="N2448" s="152" t="s">
        <v>1327</v>
      </c>
      <c r="O2448" s="152">
        <v>1.760364</v>
      </c>
      <c r="P2448" s="152">
        <v>35.385154</v>
      </c>
      <c r="Q2448" s="152">
        <v>1.760364</v>
      </c>
      <c r="R2448" s="152" t="s">
        <v>1327</v>
      </c>
      <c r="S2448" s="152">
        <v>99.701870999999997</v>
      </c>
      <c r="T2448" s="152">
        <v>0</v>
      </c>
      <c r="U2448" s="152">
        <v>0.16935700000000001</v>
      </c>
      <c r="V2448" s="152">
        <v>5.7362999999999997E-2</v>
      </c>
      <c r="W2448" s="152">
        <v>1000</v>
      </c>
      <c r="X2448" s="152" t="s">
        <v>23</v>
      </c>
      <c r="Y2448" s="152" t="s">
        <v>1921</v>
      </c>
      <c r="Z2448" s="152" t="s">
        <v>1327</v>
      </c>
    </row>
    <row r="2449" spans="1:26" x14ac:dyDescent="0.2">
      <c r="A2449" s="152" t="s">
        <v>3528</v>
      </c>
      <c r="B2449" s="152">
        <v>0</v>
      </c>
      <c r="C2449" s="151">
        <v>43461</v>
      </c>
      <c r="D2449" s="152">
        <v>0.17260300000000001</v>
      </c>
      <c r="E2449" s="152" t="s">
        <v>1325</v>
      </c>
      <c r="F2449" s="152" t="s">
        <v>1326</v>
      </c>
      <c r="G2449" s="152"/>
      <c r="H2449" s="152"/>
      <c r="I2449" s="151" t="s">
        <v>1327</v>
      </c>
      <c r="J2449" s="152" t="s">
        <v>1327</v>
      </c>
      <c r="K2449" s="152" t="s">
        <v>1327</v>
      </c>
      <c r="L2449" s="152" t="s">
        <v>1327</v>
      </c>
      <c r="M2449" s="152" t="s">
        <v>1327</v>
      </c>
      <c r="N2449" s="152" t="s">
        <v>1327</v>
      </c>
      <c r="O2449" s="152">
        <v>1.765876</v>
      </c>
      <c r="P2449" s="152">
        <v>35.475217000000001</v>
      </c>
      <c r="Q2449" s="152">
        <v>1.765876</v>
      </c>
      <c r="R2449" s="152" t="s">
        <v>1327</v>
      </c>
      <c r="S2449" s="152">
        <v>99.696130999999994</v>
      </c>
      <c r="T2449" s="152">
        <v>0</v>
      </c>
      <c r="U2449" s="152">
        <v>0.17207800000000001</v>
      </c>
      <c r="V2449" s="152">
        <v>5.9221999999999997E-2</v>
      </c>
      <c r="W2449" s="152">
        <v>1000</v>
      </c>
      <c r="X2449" s="152" t="s">
        <v>23</v>
      </c>
      <c r="Y2449" s="152" t="s">
        <v>1921</v>
      </c>
      <c r="Z2449" s="152" t="s">
        <v>1327</v>
      </c>
    </row>
    <row r="2450" spans="1:26" x14ac:dyDescent="0.2">
      <c r="A2450" s="152" t="s">
        <v>3529</v>
      </c>
      <c r="B2450" s="152">
        <v>0</v>
      </c>
      <c r="C2450" s="151">
        <v>43423</v>
      </c>
      <c r="D2450" s="152">
        <v>6.8492999999999998E-2</v>
      </c>
      <c r="E2450" s="152" t="s">
        <v>1325</v>
      </c>
      <c r="F2450" s="152" t="s">
        <v>1326</v>
      </c>
      <c r="G2450" s="152"/>
      <c r="H2450" s="152"/>
      <c r="I2450" s="151" t="s">
        <v>1327</v>
      </c>
      <c r="J2450" s="152" t="s">
        <v>1327</v>
      </c>
      <c r="K2450" s="152" t="s">
        <v>1327</v>
      </c>
      <c r="L2450" s="152" t="s">
        <v>1327</v>
      </c>
      <c r="M2450" s="152" t="s">
        <v>1327</v>
      </c>
      <c r="N2450" s="152" t="s">
        <v>1327</v>
      </c>
      <c r="O2450" s="152">
        <v>1.5607420000000001</v>
      </c>
      <c r="P2450" s="152">
        <v>33.495086999999998</v>
      </c>
      <c r="Q2450" s="152">
        <v>1.5607420000000001</v>
      </c>
      <c r="R2450" s="152" t="s">
        <v>1327</v>
      </c>
      <c r="S2450" s="152">
        <v>99.893214</v>
      </c>
      <c r="T2450" s="152">
        <v>0</v>
      </c>
      <c r="U2450" s="152">
        <v>6.8419999999999995E-2</v>
      </c>
      <c r="V2450" s="152">
        <v>9.3629999999999998E-3</v>
      </c>
      <c r="W2450" s="152">
        <v>1000</v>
      </c>
      <c r="X2450" s="152" t="s">
        <v>23</v>
      </c>
      <c r="Y2450" s="152" t="s">
        <v>1921</v>
      </c>
      <c r="Z2450" s="152" t="s">
        <v>1327</v>
      </c>
    </row>
    <row r="2451" spans="1:26" x14ac:dyDescent="0.2">
      <c r="A2451" s="152" t="s">
        <v>3530</v>
      </c>
      <c r="B2451" s="152">
        <v>0</v>
      </c>
      <c r="C2451" s="151">
        <v>43426</v>
      </c>
      <c r="D2451" s="152">
        <v>7.6712000000000002E-2</v>
      </c>
      <c r="E2451" s="152" t="s">
        <v>1325</v>
      </c>
      <c r="F2451" s="152" t="s">
        <v>1326</v>
      </c>
      <c r="G2451" s="152"/>
      <c r="H2451" s="152"/>
      <c r="I2451" s="151" t="s">
        <v>1327</v>
      </c>
      <c r="J2451" s="152" t="s">
        <v>1327</v>
      </c>
      <c r="K2451" s="152" t="s">
        <v>1327</v>
      </c>
      <c r="L2451" s="152" t="s">
        <v>1327</v>
      </c>
      <c r="M2451" s="152" t="s">
        <v>1327</v>
      </c>
      <c r="N2451" s="152" t="s">
        <v>1327</v>
      </c>
      <c r="O2451" s="152">
        <v>1.576633</v>
      </c>
      <c r="P2451" s="152">
        <v>33.584809</v>
      </c>
      <c r="Q2451" s="152">
        <v>1.576633</v>
      </c>
      <c r="R2451" s="152" t="s">
        <v>1327</v>
      </c>
      <c r="S2451" s="152">
        <v>99.879199</v>
      </c>
      <c r="T2451" s="152">
        <v>0</v>
      </c>
      <c r="U2451" s="152">
        <v>7.6619999999999994E-2</v>
      </c>
      <c r="V2451" s="152">
        <v>1.1741E-2</v>
      </c>
      <c r="W2451" s="152">
        <v>1000</v>
      </c>
      <c r="X2451" s="152" t="s">
        <v>23</v>
      </c>
      <c r="Y2451" s="152" t="s">
        <v>1921</v>
      </c>
      <c r="Z2451" s="152" t="s">
        <v>1327</v>
      </c>
    </row>
    <row r="2452" spans="1:26" x14ac:dyDescent="0.2">
      <c r="A2452" s="152" t="s">
        <v>3531</v>
      </c>
      <c r="B2452" s="152">
        <v>0</v>
      </c>
      <c r="C2452" s="151">
        <v>43431</v>
      </c>
      <c r="D2452" s="152">
        <v>9.0411000000000005E-2</v>
      </c>
      <c r="E2452" s="152" t="s">
        <v>1325</v>
      </c>
      <c r="F2452" s="152" t="s">
        <v>1326</v>
      </c>
      <c r="G2452" s="152"/>
      <c r="H2452" s="152"/>
      <c r="I2452" s="152" t="s">
        <v>1327</v>
      </c>
      <c r="J2452" s="152" t="s">
        <v>1327</v>
      </c>
      <c r="K2452" s="152" t="s">
        <v>1327</v>
      </c>
      <c r="L2452" s="152" t="s">
        <v>1327</v>
      </c>
      <c r="M2452" s="152" t="s">
        <v>1327</v>
      </c>
      <c r="N2452" s="152" t="s">
        <v>1327</v>
      </c>
      <c r="O2452" s="152">
        <v>1.6032280000000001</v>
      </c>
      <c r="P2452" s="152">
        <v>33.746040999999998</v>
      </c>
      <c r="Q2452" s="152">
        <v>1.6032280000000001</v>
      </c>
      <c r="R2452" s="152" t="s">
        <v>1327</v>
      </c>
      <c r="S2452" s="152">
        <v>99.855260000000001</v>
      </c>
      <c r="T2452" s="152">
        <v>0</v>
      </c>
      <c r="U2452" s="152">
        <v>9.0279999999999999E-2</v>
      </c>
      <c r="V2452" s="152">
        <v>1.6301E-2</v>
      </c>
      <c r="W2452" s="152">
        <v>1000</v>
      </c>
      <c r="X2452" s="152" t="s">
        <v>23</v>
      </c>
      <c r="Y2452" s="152" t="s">
        <v>1921</v>
      </c>
      <c r="Z2452" s="152" t="s">
        <v>1327</v>
      </c>
    </row>
    <row r="2453" spans="1:26" x14ac:dyDescent="0.2">
      <c r="A2453" s="152" t="s">
        <v>3532</v>
      </c>
      <c r="B2453" s="152">
        <v>0</v>
      </c>
      <c r="C2453" s="151">
        <v>43483</v>
      </c>
      <c r="D2453" s="152">
        <v>0.232877</v>
      </c>
      <c r="E2453" s="152" t="s">
        <v>1325</v>
      </c>
      <c r="F2453" s="152" t="s">
        <v>1326</v>
      </c>
      <c r="G2453" s="152"/>
      <c r="H2453" s="152"/>
      <c r="I2453" s="151" t="s">
        <v>1327</v>
      </c>
      <c r="J2453" s="152" t="s">
        <v>1327</v>
      </c>
      <c r="K2453" s="152" t="s">
        <v>1327</v>
      </c>
      <c r="L2453" s="152" t="s">
        <v>1327</v>
      </c>
      <c r="M2453" s="152" t="s">
        <v>1327</v>
      </c>
      <c r="N2453" s="152" t="s">
        <v>1327</v>
      </c>
      <c r="O2453" s="152">
        <v>1.885626</v>
      </c>
      <c r="P2453" s="152">
        <v>37.996136999999997</v>
      </c>
      <c r="Q2453" s="152">
        <v>1.885626</v>
      </c>
      <c r="R2453" s="152" t="s">
        <v>1327</v>
      </c>
      <c r="S2453" s="152">
        <v>99.562800999999993</v>
      </c>
      <c r="T2453" s="152">
        <v>0</v>
      </c>
      <c r="U2453" s="152">
        <v>0.23185900000000001</v>
      </c>
      <c r="V2453" s="152">
        <v>0.107517</v>
      </c>
      <c r="W2453" s="152">
        <v>1000</v>
      </c>
      <c r="X2453" s="152" t="s">
        <v>23</v>
      </c>
      <c r="Y2453" s="152" t="s">
        <v>1921</v>
      </c>
      <c r="Z2453" s="152" t="s">
        <v>1327</v>
      </c>
    </row>
    <row r="2454" spans="1:26" x14ac:dyDescent="0.2">
      <c r="A2454" s="152" t="s">
        <v>3533</v>
      </c>
      <c r="B2454" s="152">
        <v>0</v>
      </c>
      <c r="C2454" s="151">
        <v>43486</v>
      </c>
      <c r="D2454" s="152">
        <v>0.241096</v>
      </c>
      <c r="E2454" s="152" t="s">
        <v>1325</v>
      </c>
      <c r="F2454" s="152" t="s">
        <v>1326</v>
      </c>
      <c r="G2454" s="152"/>
      <c r="H2454" s="152"/>
      <c r="I2454" s="151" t="s">
        <v>1327</v>
      </c>
      <c r="J2454" s="152" t="s">
        <v>1327</v>
      </c>
      <c r="K2454" s="152" t="s">
        <v>1327</v>
      </c>
      <c r="L2454" s="152" t="s">
        <v>1327</v>
      </c>
      <c r="M2454" s="152" t="s">
        <v>1327</v>
      </c>
      <c r="N2454" s="152" t="s">
        <v>1327</v>
      </c>
      <c r="O2454" s="152">
        <v>1.892908</v>
      </c>
      <c r="P2454" s="152">
        <v>37.546208999999998</v>
      </c>
      <c r="Q2454" s="152">
        <v>1.892908</v>
      </c>
      <c r="R2454" s="152" t="s">
        <v>1327</v>
      </c>
      <c r="S2454" s="152">
        <v>99.545700999999994</v>
      </c>
      <c r="T2454" s="152">
        <v>0</v>
      </c>
      <c r="U2454" s="152">
        <v>0.24000099999999999</v>
      </c>
      <c r="V2454" s="152">
        <v>0.115201</v>
      </c>
      <c r="W2454" s="152">
        <v>1000</v>
      </c>
      <c r="X2454" s="152" t="s">
        <v>23</v>
      </c>
      <c r="Y2454" s="152" t="s">
        <v>1921</v>
      </c>
      <c r="Z2454" s="152" t="s">
        <v>1327</v>
      </c>
    </row>
    <row r="2455" spans="1:26" x14ac:dyDescent="0.2">
      <c r="A2455" s="152" t="s">
        <v>3534</v>
      </c>
      <c r="B2455" s="152">
        <v>0</v>
      </c>
      <c r="C2455" s="151">
        <v>43487</v>
      </c>
      <c r="D2455" s="152">
        <v>0.243836</v>
      </c>
      <c r="E2455" s="152" t="s">
        <v>1325</v>
      </c>
      <c r="F2455" s="152" t="s">
        <v>1326</v>
      </c>
      <c r="G2455" s="152"/>
      <c r="H2455" s="152"/>
      <c r="I2455" s="151" t="s">
        <v>1327</v>
      </c>
      <c r="J2455" s="152" t="s">
        <v>1327</v>
      </c>
      <c r="K2455" s="152" t="s">
        <v>1327</v>
      </c>
      <c r="L2455" s="152" t="s">
        <v>1327</v>
      </c>
      <c r="M2455" s="152" t="s">
        <v>1327</v>
      </c>
      <c r="N2455" s="152" t="s">
        <v>1327</v>
      </c>
      <c r="O2455" s="152">
        <v>1.8953530000000001</v>
      </c>
      <c r="P2455" s="152">
        <v>37.405766</v>
      </c>
      <c r="Q2455" s="152">
        <v>1.8953530000000001</v>
      </c>
      <c r="R2455" s="152" t="s">
        <v>1327</v>
      </c>
      <c r="S2455" s="152">
        <v>99.539970999999994</v>
      </c>
      <c r="T2455" s="152">
        <v>0</v>
      </c>
      <c r="U2455" s="152">
        <v>0.24271400000000001</v>
      </c>
      <c r="V2455" s="152">
        <v>0.11781999999999999</v>
      </c>
      <c r="W2455" s="152">
        <v>1000</v>
      </c>
      <c r="X2455" s="152" t="s">
        <v>23</v>
      </c>
      <c r="Y2455" s="152" t="s">
        <v>1921</v>
      </c>
      <c r="Z2455" s="152" t="s">
        <v>1327</v>
      </c>
    </row>
    <row r="2456" spans="1:26" x14ac:dyDescent="0.2">
      <c r="A2456" s="152" t="s">
        <v>3535</v>
      </c>
      <c r="B2456" s="152">
        <v>0</v>
      </c>
      <c r="C2456" s="151">
        <v>43489</v>
      </c>
      <c r="D2456" s="152">
        <v>0.24931500000000001</v>
      </c>
      <c r="E2456" s="152" t="s">
        <v>1325</v>
      </c>
      <c r="F2456" s="152" t="s">
        <v>1326</v>
      </c>
      <c r="G2456" s="152"/>
      <c r="H2456" s="152"/>
      <c r="I2456" s="151" t="s">
        <v>1327</v>
      </c>
      <c r="J2456" s="152" t="s">
        <v>1327</v>
      </c>
      <c r="K2456" s="152" t="s">
        <v>1327</v>
      </c>
      <c r="L2456" s="152" t="s">
        <v>1327</v>
      </c>
      <c r="M2456" s="152" t="s">
        <v>1327</v>
      </c>
      <c r="N2456" s="152" t="s">
        <v>1327</v>
      </c>
      <c r="O2456" s="152">
        <v>1.893327</v>
      </c>
      <c r="P2456" s="152">
        <v>36.435623999999997</v>
      </c>
      <c r="Q2456" s="152">
        <v>1.893327</v>
      </c>
      <c r="R2456" s="152" t="s">
        <v>1327</v>
      </c>
      <c r="S2456" s="152">
        <v>99.530182999999994</v>
      </c>
      <c r="T2456" s="152">
        <v>0</v>
      </c>
      <c r="U2456" s="152">
        <v>0.248144</v>
      </c>
      <c r="V2456" s="152">
        <v>0.123151</v>
      </c>
      <c r="W2456" s="152">
        <v>1000</v>
      </c>
      <c r="X2456" s="152" t="s">
        <v>23</v>
      </c>
      <c r="Y2456" s="152" t="s">
        <v>1921</v>
      </c>
      <c r="Z2456" s="152" t="s">
        <v>1327</v>
      </c>
    </row>
    <row r="2457" spans="1:26" x14ac:dyDescent="0.2">
      <c r="A2457" s="152" t="s">
        <v>3536</v>
      </c>
      <c r="B2457" s="152">
        <v>0</v>
      </c>
      <c r="C2457" s="151">
        <v>43494</v>
      </c>
      <c r="D2457" s="152">
        <v>0.26301400000000003</v>
      </c>
      <c r="E2457" s="152" t="s">
        <v>1325</v>
      </c>
      <c r="F2457" s="152" t="s">
        <v>1326</v>
      </c>
      <c r="G2457" s="152"/>
      <c r="H2457" s="152"/>
      <c r="I2457" s="151" t="s">
        <v>1327</v>
      </c>
      <c r="J2457" s="152" t="s">
        <v>1327</v>
      </c>
      <c r="K2457" s="152" t="s">
        <v>1327</v>
      </c>
      <c r="L2457" s="152" t="s">
        <v>1327</v>
      </c>
      <c r="M2457" s="152" t="s">
        <v>1327</v>
      </c>
      <c r="N2457" s="152" t="s">
        <v>1327</v>
      </c>
      <c r="O2457" s="152">
        <v>1.895192</v>
      </c>
      <c r="P2457" s="152">
        <v>34.784928999999998</v>
      </c>
      <c r="Q2457" s="152">
        <v>1.895192</v>
      </c>
      <c r="R2457" s="152" t="s">
        <v>1327</v>
      </c>
      <c r="S2457" s="152">
        <v>99.504011000000006</v>
      </c>
      <c r="T2457" s="152">
        <v>0</v>
      </c>
      <c r="U2457" s="152">
        <v>0.26170900000000002</v>
      </c>
      <c r="V2457" s="152">
        <v>0.13698299999999999</v>
      </c>
      <c r="W2457" s="152">
        <v>1000</v>
      </c>
      <c r="X2457" s="152" t="s">
        <v>23</v>
      </c>
      <c r="Y2457" s="152" t="s">
        <v>1921</v>
      </c>
      <c r="Z2457" s="152" t="s">
        <v>1327</v>
      </c>
    </row>
    <row r="2458" spans="1:26" x14ac:dyDescent="0.2">
      <c r="A2458" s="152" t="s">
        <v>3537</v>
      </c>
      <c r="B2458" s="152">
        <v>0</v>
      </c>
      <c r="C2458" s="151">
        <v>43497</v>
      </c>
      <c r="D2458" s="152">
        <v>0.271233</v>
      </c>
      <c r="E2458" s="152" t="s">
        <v>1325</v>
      </c>
      <c r="F2458" s="152" t="s">
        <v>1326</v>
      </c>
      <c r="G2458" s="152"/>
      <c r="H2458" s="152"/>
      <c r="I2458" s="151" t="s">
        <v>1327</v>
      </c>
      <c r="J2458" s="152" t="s">
        <v>1327</v>
      </c>
      <c r="K2458" s="152" t="s">
        <v>1327</v>
      </c>
      <c r="L2458" s="152" t="s">
        <v>1327</v>
      </c>
      <c r="M2458" s="152" t="s">
        <v>1327</v>
      </c>
      <c r="N2458" s="152" t="s">
        <v>1327</v>
      </c>
      <c r="O2458" s="152">
        <v>1.8923970000000001</v>
      </c>
      <c r="P2458" s="152">
        <v>33.446145999999999</v>
      </c>
      <c r="Q2458" s="152">
        <v>1.8923970000000001</v>
      </c>
      <c r="R2458" s="152" t="s">
        <v>1327</v>
      </c>
      <c r="S2458" s="152">
        <v>99.489340999999996</v>
      </c>
      <c r="T2458" s="152">
        <v>0</v>
      </c>
      <c r="U2458" s="152">
        <v>0.26984799999999998</v>
      </c>
      <c r="V2458" s="152">
        <v>0.14563599999999999</v>
      </c>
      <c r="W2458" s="152">
        <v>1000</v>
      </c>
      <c r="X2458" s="152" t="s">
        <v>23</v>
      </c>
      <c r="Y2458" s="152" t="s">
        <v>1921</v>
      </c>
      <c r="Z2458" s="152" t="s">
        <v>1327</v>
      </c>
    </row>
    <row r="2459" spans="1:26" x14ac:dyDescent="0.2">
      <c r="A2459" s="152" t="s">
        <v>3538</v>
      </c>
      <c r="B2459" s="152">
        <v>0</v>
      </c>
      <c r="C2459" s="151">
        <v>43501</v>
      </c>
      <c r="D2459" s="152">
        <v>0.282192</v>
      </c>
      <c r="E2459" s="152" t="s">
        <v>1325</v>
      </c>
      <c r="F2459" s="152" t="s">
        <v>1326</v>
      </c>
      <c r="G2459" s="152"/>
      <c r="H2459" s="152"/>
      <c r="I2459" s="151" t="s">
        <v>1327</v>
      </c>
      <c r="J2459" s="152" t="s">
        <v>1327</v>
      </c>
      <c r="K2459" s="152" t="s">
        <v>1327</v>
      </c>
      <c r="L2459" s="152" t="s">
        <v>1327</v>
      </c>
      <c r="M2459" s="152" t="s">
        <v>1327</v>
      </c>
      <c r="N2459" s="152" t="s">
        <v>1327</v>
      </c>
      <c r="O2459" s="152">
        <v>1.9018600000000001</v>
      </c>
      <c r="P2459" s="152">
        <v>33.052999</v>
      </c>
      <c r="Q2459" s="152">
        <v>1.9018600000000001</v>
      </c>
      <c r="R2459" s="152" t="s">
        <v>1327</v>
      </c>
      <c r="S2459" s="152">
        <v>99.466176000000004</v>
      </c>
      <c r="T2459" s="152">
        <v>0</v>
      </c>
      <c r="U2459" s="152">
        <v>0.28068500000000002</v>
      </c>
      <c r="V2459" s="152">
        <v>0.15756899999999999</v>
      </c>
      <c r="W2459" s="152">
        <v>1000</v>
      </c>
      <c r="X2459" s="152" t="s">
        <v>23</v>
      </c>
      <c r="Y2459" s="152" t="s">
        <v>1921</v>
      </c>
      <c r="Z2459" s="152" t="s">
        <v>1327</v>
      </c>
    </row>
    <row r="2460" spans="1:26" x14ac:dyDescent="0.2">
      <c r="A2460" s="152" t="s">
        <v>3539</v>
      </c>
      <c r="B2460" s="152">
        <v>0</v>
      </c>
      <c r="C2460" s="151">
        <v>43438</v>
      </c>
      <c r="D2460" s="152">
        <v>0.10958900000000001</v>
      </c>
      <c r="E2460" s="152" t="s">
        <v>1325</v>
      </c>
      <c r="F2460" s="152" t="s">
        <v>1326</v>
      </c>
      <c r="G2460" s="152"/>
      <c r="H2460" s="152"/>
      <c r="I2460" s="151" t="s">
        <v>1327</v>
      </c>
      <c r="J2460" s="152" t="s">
        <v>1327</v>
      </c>
      <c r="K2460" s="152" t="s">
        <v>1327</v>
      </c>
      <c r="L2460" s="152" t="s">
        <v>1327</v>
      </c>
      <c r="M2460" s="152" t="s">
        <v>1327</v>
      </c>
      <c r="N2460" s="152" t="s">
        <v>1327</v>
      </c>
      <c r="O2460" s="152">
        <v>1.680393</v>
      </c>
      <c r="P2460" s="152">
        <v>38.039154000000003</v>
      </c>
      <c r="Q2460" s="152">
        <v>1.680393</v>
      </c>
      <c r="R2460" s="152" t="s">
        <v>1327</v>
      </c>
      <c r="S2460" s="152">
        <v>99.816186000000002</v>
      </c>
      <c r="T2460" s="152">
        <v>0</v>
      </c>
      <c r="U2460" s="152">
        <v>0.109388</v>
      </c>
      <c r="V2460" s="152">
        <v>2.3931000000000001E-2</v>
      </c>
      <c r="W2460" s="152">
        <v>1000</v>
      </c>
      <c r="X2460" s="152" t="s">
        <v>23</v>
      </c>
      <c r="Y2460" s="152" t="s">
        <v>1921</v>
      </c>
      <c r="Z2460" s="152" t="s">
        <v>1327</v>
      </c>
    </row>
    <row r="2461" spans="1:26" x14ac:dyDescent="0.2">
      <c r="A2461" s="152" t="s">
        <v>3540</v>
      </c>
      <c r="B2461" s="152">
        <v>0</v>
      </c>
      <c r="C2461" s="151">
        <v>43448</v>
      </c>
      <c r="D2461" s="152">
        <v>0.136986</v>
      </c>
      <c r="E2461" s="152" t="s">
        <v>1325</v>
      </c>
      <c r="F2461" s="152" t="s">
        <v>1326</v>
      </c>
      <c r="G2461" s="152"/>
      <c r="H2461" s="152"/>
      <c r="I2461" s="152" t="s">
        <v>1327</v>
      </c>
      <c r="J2461" s="152" t="s">
        <v>1327</v>
      </c>
      <c r="K2461" s="152" t="s">
        <v>1327</v>
      </c>
      <c r="L2461" s="152" t="s">
        <v>1327</v>
      </c>
      <c r="M2461" s="152" t="s">
        <v>1327</v>
      </c>
      <c r="N2461" s="152" t="s">
        <v>1327</v>
      </c>
      <c r="O2461" s="152">
        <v>1.727101</v>
      </c>
      <c r="P2461" s="152">
        <v>37.795672000000003</v>
      </c>
      <c r="Q2461" s="152">
        <v>1.727101</v>
      </c>
      <c r="R2461" s="152" t="s">
        <v>1327</v>
      </c>
      <c r="S2461" s="152">
        <v>99.763969000000003</v>
      </c>
      <c r="T2461" s="152">
        <v>0</v>
      </c>
      <c r="U2461" s="152">
        <v>0.13666300000000001</v>
      </c>
      <c r="V2461" s="152">
        <v>3.7353999999999998E-2</v>
      </c>
      <c r="W2461" s="152">
        <v>1000</v>
      </c>
      <c r="X2461" s="152" t="s">
        <v>23</v>
      </c>
      <c r="Y2461" s="152" t="s">
        <v>1921</v>
      </c>
      <c r="Z2461" s="152" t="s">
        <v>1327</v>
      </c>
    </row>
    <row r="2462" spans="1:26" x14ac:dyDescent="0.2">
      <c r="A2462" s="152" t="s">
        <v>3541</v>
      </c>
      <c r="B2462" s="152">
        <v>0</v>
      </c>
      <c r="C2462" s="151">
        <v>43448</v>
      </c>
      <c r="D2462" s="152">
        <v>0.136986</v>
      </c>
      <c r="E2462" s="152" t="s">
        <v>1325</v>
      </c>
      <c r="F2462" s="152" t="s">
        <v>1326</v>
      </c>
      <c r="G2462" s="152"/>
      <c r="H2462" s="152"/>
      <c r="I2462" s="151" t="s">
        <v>1327</v>
      </c>
      <c r="J2462" s="152" t="s">
        <v>1327</v>
      </c>
      <c r="K2462" s="152" t="s">
        <v>1327</v>
      </c>
      <c r="L2462" s="152" t="s">
        <v>1327</v>
      </c>
      <c r="M2462" s="152" t="s">
        <v>1327</v>
      </c>
      <c r="N2462" s="152" t="s">
        <v>1327</v>
      </c>
      <c r="O2462" s="152">
        <v>1.727101</v>
      </c>
      <c r="P2462" s="152">
        <v>37.795672000000003</v>
      </c>
      <c r="Q2462" s="152">
        <v>1.727101</v>
      </c>
      <c r="R2462" s="152" t="s">
        <v>1327</v>
      </c>
      <c r="S2462" s="152">
        <v>99.763969000000003</v>
      </c>
      <c r="T2462" s="152">
        <v>0</v>
      </c>
      <c r="U2462" s="152">
        <v>0.13666300000000001</v>
      </c>
      <c r="V2462" s="152">
        <v>3.7353999999999998E-2</v>
      </c>
      <c r="W2462" s="152">
        <v>1000</v>
      </c>
      <c r="X2462" s="152" t="s">
        <v>23</v>
      </c>
      <c r="Y2462" s="152" t="s">
        <v>1921</v>
      </c>
      <c r="Z2462" s="152" t="s">
        <v>1327</v>
      </c>
    </row>
    <row r="2463" spans="1:26" x14ac:dyDescent="0.2">
      <c r="A2463" s="152" t="s">
        <v>3542</v>
      </c>
      <c r="B2463" s="152">
        <v>0</v>
      </c>
      <c r="C2463" s="151">
        <v>43451</v>
      </c>
      <c r="D2463" s="152">
        <v>0.145205</v>
      </c>
      <c r="E2463" s="152" t="s">
        <v>1325</v>
      </c>
      <c r="F2463" s="152" t="s">
        <v>1326</v>
      </c>
      <c r="G2463" s="152"/>
      <c r="H2463" s="152"/>
      <c r="I2463" s="151" t="s">
        <v>1327</v>
      </c>
      <c r="J2463" s="152" t="s">
        <v>1327</v>
      </c>
      <c r="K2463" s="152" t="s">
        <v>1327</v>
      </c>
      <c r="L2463" s="152" t="s">
        <v>1327</v>
      </c>
      <c r="M2463" s="152" t="s">
        <v>1327</v>
      </c>
      <c r="N2463" s="152" t="s">
        <v>1327</v>
      </c>
      <c r="O2463" s="152">
        <v>1.741231</v>
      </c>
      <c r="P2463" s="152">
        <v>37.759355999999997</v>
      </c>
      <c r="Q2463" s="152">
        <v>1.741231</v>
      </c>
      <c r="R2463" s="152" t="s">
        <v>1327</v>
      </c>
      <c r="S2463" s="152">
        <v>99.747800999999995</v>
      </c>
      <c r="T2463" s="152">
        <v>0</v>
      </c>
      <c r="U2463" s="152">
        <v>0.144839</v>
      </c>
      <c r="V2463" s="152">
        <v>4.1957000000000001E-2</v>
      </c>
      <c r="W2463" s="152">
        <v>1000</v>
      </c>
      <c r="X2463" s="152" t="s">
        <v>23</v>
      </c>
      <c r="Y2463" s="152" t="s">
        <v>1921</v>
      </c>
      <c r="Z2463" s="152" t="s">
        <v>1327</v>
      </c>
    </row>
    <row r="2464" spans="1:26" x14ac:dyDescent="0.2">
      <c r="A2464" s="152" t="s">
        <v>3543</v>
      </c>
      <c r="B2464" s="152">
        <v>0</v>
      </c>
      <c r="C2464" s="151">
        <v>43452</v>
      </c>
      <c r="D2464" s="152">
        <v>0.14794499999999999</v>
      </c>
      <c r="E2464" s="152" t="s">
        <v>1325</v>
      </c>
      <c r="F2464" s="152" t="s">
        <v>1326</v>
      </c>
      <c r="G2464" s="152"/>
      <c r="H2464" s="152"/>
      <c r="I2464" s="151" t="s">
        <v>1327</v>
      </c>
      <c r="J2464" s="152" t="s">
        <v>1327</v>
      </c>
      <c r="K2464" s="152" t="s">
        <v>1327</v>
      </c>
      <c r="L2464" s="152" t="s">
        <v>1327</v>
      </c>
      <c r="M2464" s="152" t="s">
        <v>1327</v>
      </c>
      <c r="N2464" s="152" t="s">
        <v>1327</v>
      </c>
      <c r="O2464" s="152">
        <v>1.7459530000000001</v>
      </c>
      <c r="P2464" s="152">
        <v>37.751669</v>
      </c>
      <c r="Q2464" s="152">
        <v>1.7459530000000001</v>
      </c>
      <c r="R2464" s="152" t="s">
        <v>1327</v>
      </c>
      <c r="S2464" s="152">
        <v>99.742360000000005</v>
      </c>
      <c r="T2464" s="152">
        <v>0</v>
      </c>
      <c r="U2464" s="152">
        <v>0.147564</v>
      </c>
      <c r="V2464" s="152">
        <v>4.3549999999999998E-2</v>
      </c>
      <c r="W2464" s="152">
        <v>1000</v>
      </c>
      <c r="X2464" s="152" t="s">
        <v>23</v>
      </c>
      <c r="Y2464" s="152" t="s">
        <v>1921</v>
      </c>
      <c r="Z2464" s="152" t="s">
        <v>1327</v>
      </c>
    </row>
    <row r="2465" spans="1:26" x14ac:dyDescent="0.2">
      <c r="A2465" s="152" t="s">
        <v>3544</v>
      </c>
      <c r="B2465" s="152">
        <v>0</v>
      </c>
      <c r="C2465" s="151">
        <v>43452</v>
      </c>
      <c r="D2465" s="152">
        <v>0.14794499999999999</v>
      </c>
      <c r="E2465" s="152" t="s">
        <v>1325</v>
      </c>
      <c r="F2465" s="152" t="s">
        <v>1326</v>
      </c>
      <c r="G2465" s="152"/>
      <c r="H2465" s="152"/>
      <c r="I2465" s="151" t="s">
        <v>1327</v>
      </c>
      <c r="J2465" s="152" t="s">
        <v>1327</v>
      </c>
      <c r="K2465" s="152" t="s">
        <v>1327</v>
      </c>
      <c r="L2465" s="152" t="s">
        <v>1327</v>
      </c>
      <c r="M2465" s="152" t="s">
        <v>1327</v>
      </c>
      <c r="N2465" s="152" t="s">
        <v>1327</v>
      </c>
      <c r="O2465" s="152">
        <v>1.7459530000000001</v>
      </c>
      <c r="P2465" s="152">
        <v>37.751669</v>
      </c>
      <c r="Q2465" s="152">
        <v>1.7459530000000001</v>
      </c>
      <c r="R2465" s="152" t="s">
        <v>1327</v>
      </c>
      <c r="S2465" s="152">
        <v>99.742360000000005</v>
      </c>
      <c r="T2465" s="152">
        <v>0</v>
      </c>
      <c r="U2465" s="152">
        <v>0.147564</v>
      </c>
      <c r="V2465" s="152">
        <v>4.3549999999999998E-2</v>
      </c>
      <c r="W2465" s="152">
        <v>1000</v>
      </c>
      <c r="X2465" s="152" t="s">
        <v>23</v>
      </c>
      <c r="Y2465" s="152" t="s">
        <v>1921</v>
      </c>
      <c r="Z2465" s="152" t="s">
        <v>1327</v>
      </c>
    </row>
    <row r="2466" spans="1:26" x14ac:dyDescent="0.2">
      <c r="A2466" s="152" t="s">
        <v>3545</v>
      </c>
      <c r="B2466" s="152">
        <v>0</v>
      </c>
      <c r="C2466" s="151">
        <v>43452</v>
      </c>
      <c r="D2466" s="152">
        <v>0.14794499999999999</v>
      </c>
      <c r="E2466" s="152" t="s">
        <v>1325</v>
      </c>
      <c r="F2466" s="152" t="s">
        <v>1326</v>
      </c>
      <c r="G2466" s="152"/>
      <c r="H2466" s="152"/>
      <c r="I2466" s="152" t="s">
        <v>1327</v>
      </c>
      <c r="J2466" s="152" t="s">
        <v>1327</v>
      </c>
      <c r="K2466" s="152" t="s">
        <v>1327</v>
      </c>
      <c r="L2466" s="152" t="s">
        <v>1327</v>
      </c>
      <c r="M2466" s="152" t="s">
        <v>1327</v>
      </c>
      <c r="N2466" s="152" t="s">
        <v>1327</v>
      </c>
      <c r="O2466" s="152">
        <v>1.7459530000000001</v>
      </c>
      <c r="P2466" s="152">
        <v>37.751669</v>
      </c>
      <c r="Q2466" s="152">
        <v>1.7459530000000001</v>
      </c>
      <c r="R2466" s="152" t="s">
        <v>1327</v>
      </c>
      <c r="S2466" s="152">
        <v>99.742360000000005</v>
      </c>
      <c r="T2466" s="152">
        <v>0</v>
      </c>
      <c r="U2466" s="152">
        <v>0.147564</v>
      </c>
      <c r="V2466" s="152">
        <v>4.3549999999999998E-2</v>
      </c>
      <c r="W2466" s="152">
        <v>1000</v>
      </c>
      <c r="X2466" s="152" t="s">
        <v>23</v>
      </c>
      <c r="Y2466" s="152" t="s">
        <v>1921</v>
      </c>
      <c r="Z2466" s="152" t="s">
        <v>1327</v>
      </c>
    </row>
    <row r="2467" spans="1:26" x14ac:dyDescent="0.2">
      <c r="A2467" s="152" t="s">
        <v>3546</v>
      </c>
      <c r="B2467" s="152">
        <v>0</v>
      </c>
      <c r="C2467" s="151">
        <v>43453</v>
      </c>
      <c r="D2467" s="152">
        <v>0.15068500000000001</v>
      </c>
      <c r="E2467" s="152" t="s">
        <v>1325</v>
      </c>
      <c r="F2467" s="152" t="s">
        <v>1326</v>
      </c>
      <c r="G2467" s="152"/>
      <c r="H2467" s="152"/>
      <c r="I2467" s="152" t="s">
        <v>1327</v>
      </c>
      <c r="J2467" s="152" t="s">
        <v>1327</v>
      </c>
      <c r="K2467" s="152" t="s">
        <v>1327</v>
      </c>
      <c r="L2467" s="152" t="s">
        <v>1327</v>
      </c>
      <c r="M2467" s="152" t="s">
        <v>1327</v>
      </c>
      <c r="N2467" s="152" t="s">
        <v>1327</v>
      </c>
      <c r="O2467" s="152">
        <v>1.750683</v>
      </c>
      <c r="P2467" s="152">
        <v>37.746406</v>
      </c>
      <c r="Q2467" s="152">
        <v>1.750683</v>
      </c>
      <c r="R2467" s="152" t="s">
        <v>1327</v>
      </c>
      <c r="S2467" s="152">
        <v>99.736892999999995</v>
      </c>
      <c r="T2467" s="152">
        <v>0</v>
      </c>
      <c r="U2467" s="152">
        <v>0.150288</v>
      </c>
      <c r="V2467" s="152">
        <v>4.5172999999999998E-2</v>
      </c>
      <c r="W2467" s="152">
        <v>1000</v>
      </c>
      <c r="X2467" s="152" t="s">
        <v>23</v>
      </c>
      <c r="Y2467" s="152" t="s">
        <v>1921</v>
      </c>
      <c r="Z2467" s="152" t="s">
        <v>1327</v>
      </c>
    </row>
    <row r="2468" spans="1:26" x14ac:dyDescent="0.2">
      <c r="A2468" s="152" t="s">
        <v>3547</v>
      </c>
      <c r="B2468" s="152">
        <v>0</v>
      </c>
      <c r="C2468" s="151">
        <v>43454</v>
      </c>
      <c r="D2468" s="152">
        <v>0.15342500000000001</v>
      </c>
      <c r="E2468" s="152" t="s">
        <v>1325</v>
      </c>
      <c r="F2468" s="152" t="s">
        <v>1326</v>
      </c>
      <c r="G2468" s="152"/>
      <c r="H2468" s="152"/>
      <c r="I2468" s="152" t="s">
        <v>1327</v>
      </c>
      <c r="J2468" s="152" t="s">
        <v>1327</v>
      </c>
      <c r="K2468" s="152" t="s">
        <v>1327</v>
      </c>
      <c r="L2468" s="152" t="s">
        <v>1327</v>
      </c>
      <c r="M2468" s="152" t="s">
        <v>1327</v>
      </c>
      <c r="N2468" s="152" t="s">
        <v>1327</v>
      </c>
      <c r="O2468" s="152">
        <v>1.755417</v>
      </c>
      <c r="P2468" s="152">
        <v>37.743434999999998</v>
      </c>
      <c r="Q2468" s="152">
        <v>1.755417</v>
      </c>
      <c r="R2468" s="152" t="s">
        <v>1327</v>
      </c>
      <c r="S2468" s="152">
        <v>99.731398999999996</v>
      </c>
      <c r="T2468" s="152">
        <v>0</v>
      </c>
      <c r="U2468" s="152">
        <v>0.15301300000000001</v>
      </c>
      <c r="V2468" s="152">
        <v>4.6826E-2</v>
      </c>
      <c r="W2468" s="152">
        <v>1000</v>
      </c>
      <c r="X2468" s="152" t="s">
        <v>23</v>
      </c>
      <c r="Y2468" s="152" t="s">
        <v>1921</v>
      </c>
      <c r="Z2468" s="152" t="s">
        <v>1327</v>
      </c>
    </row>
    <row r="2469" spans="1:26" x14ac:dyDescent="0.2">
      <c r="A2469" s="152" t="s">
        <v>3548</v>
      </c>
      <c r="B2469" s="152">
        <v>0</v>
      </c>
      <c r="C2469" s="151">
        <v>43454</v>
      </c>
      <c r="D2469" s="152">
        <v>0.15342500000000001</v>
      </c>
      <c r="E2469" s="152" t="s">
        <v>1325</v>
      </c>
      <c r="F2469" s="152" t="s">
        <v>1326</v>
      </c>
      <c r="G2469" s="152"/>
      <c r="H2469" s="152"/>
      <c r="I2469" s="152" t="s">
        <v>1327</v>
      </c>
      <c r="J2469" s="152" t="s">
        <v>1327</v>
      </c>
      <c r="K2469" s="152" t="s">
        <v>1327</v>
      </c>
      <c r="L2469" s="152" t="s">
        <v>1327</v>
      </c>
      <c r="M2469" s="152" t="s">
        <v>1327</v>
      </c>
      <c r="N2469" s="152" t="s">
        <v>1327</v>
      </c>
      <c r="O2469" s="152">
        <v>1.755417</v>
      </c>
      <c r="P2469" s="152">
        <v>37.743434999999998</v>
      </c>
      <c r="Q2469" s="152">
        <v>1.755417</v>
      </c>
      <c r="R2469" s="152" t="s">
        <v>1327</v>
      </c>
      <c r="S2469" s="152">
        <v>99.731398999999996</v>
      </c>
      <c r="T2469" s="152">
        <v>0</v>
      </c>
      <c r="U2469" s="152">
        <v>0.15301300000000001</v>
      </c>
      <c r="V2469" s="152">
        <v>4.6826E-2</v>
      </c>
      <c r="W2469" s="152">
        <v>1000</v>
      </c>
      <c r="X2469" s="152" t="s">
        <v>23</v>
      </c>
      <c r="Y2469" s="152" t="s">
        <v>1921</v>
      </c>
      <c r="Z2469" s="152" t="s">
        <v>1327</v>
      </c>
    </row>
    <row r="2470" spans="1:26" x14ac:dyDescent="0.2">
      <c r="A2470" s="152" t="s">
        <v>3549</v>
      </c>
      <c r="B2470" s="152">
        <v>0</v>
      </c>
      <c r="C2470" s="151">
        <v>43455</v>
      </c>
      <c r="D2470" s="152">
        <v>0.156164</v>
      </c>
      <c r="E2470" s="152" t="s">
        <v>1325</v>
      </c>
      <c r="F2470" s="152" t="s">
        <v>1326</v>
      </c>
      <c r="G2470" s="152"/>
      <c r="H2470" s="152"/>
      <c r="I2470" s="152" t="s">
        <v>1327</v>
      </c>
      <c r="J2470" s="152" t="s">
        <v>1327</v>
      </c>
      <c r="K2470" s="152" t="s">
        <v>1327</v>
      </c>
      <c r="L2470" s="152" t="s">
        <v>1327</v>
      </c>
      <c r="M2470" s="152" t="s">
        <v>1327</v>
      </c>
      <c r="N2470" s="152" t="s">
        <v>1327</v>
      </c>
      <c r="O2470" s="152">
        <v>1.7601579999999999</v>
      </c>
      <c r="P2470" s="152">
        <v>37.742925</v>
      </c>
      <c r="Q2470" s="152">
        <v>1.7601579999999999</v>
      </c>
      <c r="R2470" s="152" t="s">
        <v>1327</v>
      </c>
      <c r="S2470" s="152">
        <v>99.725879000000006</v>
      </c>
      <c r="T2470" s="152">
        <v>0</v>
      </c>
      <c r="U2470" s="152">
        <v>0.15573600000000001</v>
      </c>
      <c r="V2470" s="152">
        <v>4.8508000000000003E-2</v>
      </c>
      <c r="W2470" s="152">
        <v>1000</v>
      </c>
      <c r="X2470" s="152" t="s">
        <v>23</v>
      </c>
      <c r="Y2470" s="152" t="s">
        <v>1921</v>
      </c>
      <c r="Z2470" s="152" t="s">
        <v>1327</v>
      </c>
    </row>
    <row r="2471" spans="1:26" x14ac:dyDescent="0.2">
      <c r="A2471" s="152" t="s">
        <v>3550</v>
      </c>
      <c r="B2471" s="152">
        <v>0</v>
      </c>
      <c r="C2471" s="151">
        <v>43458</v>
      </c>
      <c r="D2471" s="152">
        <v>0.164384</v>
      </c>
      <c r="E2471" s="152" t="s">
        <v>1325</v>
      </c>
      <c r="F2471" s="152" t="s">
        <v>1326</v>
      </c>
      <c r="G2471" s="152"/>
      <c r="H2471" s="152"/>
      <c r="I2471" s="152" t="s">
        <v>1327</v>
      </c>
      <c r="J2471" s="152" t="s">
        <v>1327</v>
      </c>
      <c r="K2471" s="152" t="s">
        <v>1327</v>
      </c>
      <c r="L2471" s="152" t="s">
        <v>1327</v>
      </c>
      <c r="M2471" s="152" t="s">
        <v>1327</v>
      </c>
      <c r="N2471" s="152" t="s">
        <v>1327</v>
      </c>
      <c r="O2471" s="152">
        <v>1.7744200000000001</v>
      </c>
      <c r="P2471" s="152">
        <v>37.756856999999997</v>
      </c>
      <c r="Q2471" s="152">
        <v>1.7744200000000001</v>
      </c>
      <c r="R2471" s="152" t="s">
        <v>1327</v>
      </c>
      <c r="S2471" s="152">
        <v>99.709163000000004</v>
      </c>
      <c r="T2471" s="152">
        <v>0</v>
      </c>
      <c r="U2471" s="152">
        <v>0.163905</v>
      </c>
      <c r="V2471" s="152">
        <v>5.373E-2</v>
      </c>
      <c r="W2471" s="152">
        <v>1000</v>
      </c>
      <c r="X2471" s="152" t="s">
        <v>23</v>
      </c>
      <c r="Y2471" s="152" t="s">
        <v>1921</v>
      </c>
      <c r="Z2471" s="152" t="s">
        <v>1327</v>
      </c>
    </row>
    <row r="2472" spans="1:26" x14ac:dyDescent="0.2">
      <c r="A2472" s="152" t="s">
        <v>3551</v>
      </c>
      <c r="B2472" s="152">
        <v>0</v>
      </c>
      <c r="C2472" s="151">
        <v>43458</v>
      </c>
      <c r="D2472" s="152">
        <v>0.164384</v>
      </c>
      <c r="E2472" s="152" t="s">
        <v>1325</v>
      </c>
      <c r="F2472" s="152" t="s">
        <v>1326</v>
      </c>
      <c r="G2472" s="152"/>
      <c r="H2472" s="152"/>
      <c r="I2472" s="152" t="s">
        <v>1327</v>
      </c>
      <c r="J2472" s="152" t="s">
        <v>1327</v>
      </c>
      <c r="K2472" s="152" t="s">
        <v>1327</v>
      </c>
      <c r="L2472" s="152" t="s">
        <v>1327</v>
      </c>
      <c r="M2472" s="152" t="s">
        <v>1327</v>
      </c>
      <c r="N2472" s="152" t="s">
        <v>1327</v>
      </c>
      <c r="O2472" s="152">
        <v>1.7744200000000001</v>
      </c>
      <c r="P2472" s="152">
        <v>37.756856999999997</v>
      </c>
      <c r="Q2472" s="152">
        <v>1.7744200000000001</v>
      </c>
      <c r="R2472" s="152" t="s">
        <v>1327</v>
      </c>
      <c r="S2472" s="152">
        <v>99.709163000000004</v>
      </c>
      <c r="T2472" s="152">
        <v>0</v>
      </c>
      <c r="U2472" s="152">
        <v>0.163905</v>
      </c>
      <c r="V2472" s="152">
        <v>5.373E-2</v>
      </c>
      <c r="W2472" s="152">
        <v>1000</v>
      </c>
      <c r="X2472" s="152" t="s">
        <v>23</v>
      </c>
      <c r="Y2472" s="152" t="s">
        <v>1921</v>
      </c>
      <c r="Z2472" s="152" t="s">
        <v>1327</v>
      </c>
    </row>
    <row r="2473" spans="1:26" x14ac:dyDescent="0.2">
      <c r="A2473" s="152" t="s">
        <v>3552</v>
      </c>
      <c r="B2473" s="152">
        <v>0</v>
      </c>
      <c r="C2473" s="151">
        <v>43460</v>
      </c>
      <c r="D2473" s="152">
        <v>0.16986299999999999</v>
      </c>
      <c r="E2473" s="152" t="s">
        <v>1325</v>
      </c>
      <c r="F2473" s="152" t="s">
        <v>1326</v>
      </c>
      <c r="G2473" s="152"/>
      <c r="H2473" s="152"/>
      <c r="I2473" s="152" t="s">
        <v>1327</v>
      </c>
      <c r="J2473" s="152" t="s">
        <v>1327</v>
      </c>
      <c r="K2473" s="152" t="s">
        <v>1327</v>
      </c>
      <c r="L2473" s="152" t="s">
        <v>1327</v>
      </c>
      <c r="M2473" s="152" t="s">
        <v>1327</v>
      </c>
      <c r="N2473" s="152" t="s">
        <v>1327</v>
      </c>
      <c r="O2473" s="152">
        <v>1.7839609999999999</v>
      </c>
      <c r="P2473" s="152">
        <v>37.779820000000001</v>
      </c>
      <c r="Q2473" s="152">
        <v>1.7839609999999999</v>
      </c>
      <c r="R2473" s="152" t="s">
        <v>1327</v>
      </c>
      <c r="S2473" s="152">
        <v>99.697885999999997</v>
      </c>
      <c r="T2473" s="152">
        <v>0</v>
      </c>
      <c r="U2473" s="152">
        <v>0.16935</v>
      </c>
      <c r="V2473" s="152">
        <v>5.7359E-2</v>
      </c>
      <c r="W2473" s="152">
        <v>1000</v>
      </c>
      <c r="X2473" s="152" t="s">
        <v>23</v>
      </c>
      <c r="Y2473" s="152" t="s">
        <v>1921</v>
      </c>
      <c r="Z2473" s="152" t="s">
        <v>1327</v>
      </c>
    </row>
    <row r="2474" spans="1:26" x14ac:dyDescent="0.2">
      <c r="A2474" s="152" t="s">
        <v>3553</v>
      </c>
      <c r="B2474" s="152">
        <v>0</v>
      </c>
      <c r="C2474" s="151">
        <v>43462</v>
      </c>
      <c r="D2474" s="152">
        <v>0.175342</v>
      </c>
      <c r="E2474" s="152" t="s">
        <v>1325</v>
      </c>
      <c r="F2474" s="152" t="s">
        <v>1326</v>
      </c>
      <c r="G2474" s="152"/>
      <c r="H2474" s="152"/>
      <c r="I2474" s="152" t="s">
        <v>1327</v>
      </c>
      <c r="J2474" s="152" t="s">
        <v>1327</v>
      </c>
      <c r="K2474" s="152" t="s">
        <v>1327</v>
      </c>
      <c r="L2474" s="152" t="s">
        <v>1327</v>
      </c>
      <c r="M2474" s="152" t="s">
        <v>1327</v>
      </c>
      <c r="N2474" s="152" t="s">
        <v>1327</v>
      </c>
      <c r="O2474" s="152">
        <v>1.7935270000000001</v>
      </c>
      <c r="P2474" s="152">
        <v>37.814185999999999</v>
      </c>
      <c r="Q2474" s="152">
        <v>1.7935270000000001</v>
      </c>
      <c r="R2474" s="152" t="s">
        <v>1327</v>
      </c>
      <c r="S2474" s="152">
        <v>99.686503999999999</v>
      </c>
      <c r="T2474" s="152">
        <v>0</v>
      </c>
      <c r="U2474" s="152">
        <v>0.174793</v>
      </c>
      <c r="V2474" s="152">
        <v>6.1105E-2</v>
      </c>
      <c r="W2474" s="152">
        <v>1000</v>
      </c>
      <c r="X2474" s="152" t="s">
        <v>23</v>
      </c>
      <c r="Y2474" s="152" t="s">
        <v>1921</v>
      </c>
      <c r="Z2474" s="152" t="s">
        <v>1327</v>
      </c>
    </row>
    <row r="2475" spans="1:26" x14ac:dyDescent="0.2">
      <c r="A2475" s="152" t="s">
        <v>3554</v>
      </c>
      <c r="B2475" s="152">
        <v>0</v>
      </c>
      <c r="C2475" s="151">
        <v>43423</v>
      </c>
      <c r="D2475" s="152">
        <v>6.8492999999999998E-2</v>
      </c>
      <c r="E2475" s="152" t="s">
        <v>1325</v>
      </c>
      <c r="F2475" s="152" t="s">
        <v>1326</v>
      </c>
      <c r="G2475" s="152"/>
      <c r="H2475" s="152"/>
      <c r="I2475" s="152" t="s">
        <v>1327</v>
      </c>
      <c r="J2475" s="152" t="s">
        <v>1327</v>
      </c>
      <c r="K2475" s="152" t="s">
        <v>1327</v>
      </c>
      <c r="L2475" s="152" t="s">
        <v>1327</v>
      </c>
      <c r="M2475" s="152" t="s">
        <v>1327</v>
      </c>
      <c r="N2475" s="152" t="s">
        <v>1327</v>
      </c>
      <c r="O2475" s="152">
        <v>1.6114120000000001</v>
      </c>
      <c r="P2475" s="152">
        <v>38.637453000000001</v>
      </c>
      <c r="Q2475" s="152">
        <v>1.6114120000000001</v>
      </c>
      <c r="R2475" s="152" t="s">
        <v>1327</v>
      </c>
      <c r="S2475" s="152">
        <v>99.889751000000004</v>
      </c>
      <c r="T2475" s="152">
        <v>0</v>
      </c>
      <c r="U2475" s="152">
        <v>6.8418000000000007E-2</v>
      </c>
      <c r="V2475" s="152">
        <v>9.3620000000000005E-3</v>
      </c>
      <c r="W2475" s="152">
        <v>1000</v>
      </c>
      <c r="X2475" s="152" t="s">
        <v>23</v>
      </c>
      <c r="Y2475" s="152" t="s">
        <v>1921</v>
      </c>
      <c r="Z2475" s="152" t="s">
        <v>1327</v>
      </c>
    </row>
    <row r="2476" spans="1:26" x14ac:dyDescent="0.2">
      <c r="A2476" s="152" t="s">
        <v>3555</v>
      </c>
      <c r="B2476" s="152">
        <v>0</v>
      </c>
      <c r="C2476" s="151">
        <v>43425</v>
      </c>
      <c r="D2476" s="152">
        <v>7.3972999999999997E-2</v>
      </c>
      <c r="E2476" s="152" t="s">
        <v>1325</v>
      </c>
      <c r="F2476" s="152" t="s">
        <v>1326</v>
      </c>
      <c r="G2476" s="152"/>
      <c r="H2476" s="152"/>
      <c r="I2476" s="152" t="s">
        <v>1327</v>
      </c>
      <c r="J2476" s="152" t="s">
        <v>1327</v>
      </c>
      <c r="K2476" s="152" t="s">
        <v>1327</v>
      </c>
      <c r="L2476" s="152" t="s">
        <v>1327</v>
      </c>
      <c r="M2476" s="152" t="s">
        <v>1327</v>
      </c>
      <c r="N2476" s="152" t="s">
        <v>1327</v>
      </c>
      <c r="O2476" s="152">
        <v>1.620538</v>
      </c>
      <c r="P2476" s="152">
        <v>38.548479999999998</v>
      </c>
      <c r="Q2476" s="152">
        <v>1.620538</v>
      </c>
      <c r="R2476" s="152" t="s">
        <v>1327</v>
      </c>
      <c r="S2476" s="152">
        <v>99.880268000000001</v>
      </c>
      <c r="T2476" s="152">
        <v>0</v>
      </c>
      <c r="U2476" s="152">
        <v>7.3884000000000005E-2</v>
      </c>
      <c r="V2476" s="152">
        <v>1.0918000000000001E-2</v>
      </c>
      <c r="W2476" s="152">
        <v>1000</v>
      </c>
      <c r="X2476" s="152" t="s">
        <v>23</v>
      </c>
      <c r="Y2476" s="152" t="s">
        <v>1921</v>
      </c>
      <c r="Z2476" s="152" t="s">
        <v>1327</v>
      </c>
    </row>
    <row r="2477" spans="1:26" x14ac:dyDescent="0.2">
      <c r="A2477" s="152" t="s">
        <v>3556</v>
      </c>
      <c r="B2477" s="152">
        <v>0</v>
      </c>
      <c r="C2477" s="151">
        <v>43427</v>
      </c>
      <c r="D2477" s="152">
        <v>7.9451999999999995E-2</v>
      </c>
      <c r="E2477" s="152" t="s">
        <v>1325</v>
      </c>
      <c r="F2477" s="152" t="s">
        <v>1326</v>
      </c>
      <c r="G2477" s="152"/>
      <c r="H2477" s="152"/>
      <c r="I2477" s="152" t="s">
        <v>1327</v>
      </c>
      <c r="J2477" s="152" t="s">
        <v>1327</v>
      </c>
      <c r="K2477" s="152" t="s">
        <v>1327</v>
      </c>
      <c r="L2477" s="152" t="s">
        <v>1327</v>
      </c>
      <c r="M2477" s="152" t="s">
        <v>1327</v>
      </c>
      <c r="N2477" s="152" t="s">
        <v>1327</v>
      </c>
      <c r="O2477" s="152">
        <v>1.629686</v>
      </c>
      <c r="P2477" s="152">
        <v>38.461246000000003</v>
      </c>
      <c r="Q2477" s="152">
        <v>1.629686</v>
      </c>
      <c r="R2477" s="152" t="s">
        <v>1327</v>
      </c>
      <c r="S2477" s="152">
        <v>99.870686000000006</v>
      </c>
      <c r="T2477" s="152">
        <v>0</v>
      </c>
      <c r="U2477" s="152">
        <v>7.9349000000000003E-2</v>
      </c>
      <c r="V2477" s="152">
        <v>1.2593E-2</v>
      </c>
      <c r="W2477" s="152">
        <v>1000</v>
      </c>
      <c r="X2477" s="152" t="s">
        <v>23</v>
      </c>
      <c r="Y2477" s="152" t="s">
        <v>1921</v>
      </c>
      <c r="Z2477" s="152" t="s">
        <v>1327</v>
      </c>
    </row>
    <row r="2478" spans="1:26" x14ac:dyDescent="0.2">
      <c r="A2478" s="152" t="s">
        <v>3557</v>
      </c>
      <c r="B2478" s="152">
        <v>0</v>
      </c>
      <c r="C2478" s="151">
        <v>43431</v>
      </c>
      <c r="D2478" s="152">
        <v>9.0411000000000005E-2</v>
      </c>
      <c r="E2478" s="152" t="s">
        <v>1325</v>
      </c>
      <c r="F2478" s="152" t="s">
        <v>1326</v>
      </c>
      <c r="G2478" s="152"/>
      <c r="H2478" s="152"/>
      <c r="I2478" s="152" t="s">
        <v>1327</v>
      </c>
      <c r="J2478" s="152" t="s">
        <v>1327</v>
      </c>
      <c r="K2478" s="152" t="s">
        <v>1327</v>
      </c>
      <c r="L2478" s="152" t="s">
        <v>1327</v>
      </c>
      <c r="M2478" s="152" t="s">
        <v>1327</v>
      </c>
      <c r="N2478" s="152" t="s">
        <v>1327</v>
      </c>
      <c r="O2478" s="152">
        <v>1.6480459999999999</v>
      </c>
      <c r="P2478" s="152">
        <v>38.294511999999997</v>
      </c>
      <c r="Q2478" s="152">
        <v>1.6480459999999999</v>
      </c>
      <c r="R2478" s="152" t="s">
        <v>1327</v>
      </c>
      <c r="S2478" s="152">
        <v>99.851219999999998</v>
      </c>
      <c r="T2478" s="152">
        <v>0</v>
      </c>
      <c r="U2478" s="152">
        <v>9.0275999999999995E-2</v>
      </c>
      <c r="V2478" s="152">
        <v>1.6299999999999999E-2</v>
      </c>
      <c r="W2478" s="152">
        <v>1000</v>
      </c>
      <c r="X2478" s="152" t="s">
        <v>23</v>
      </c>
      <c r="Y2478" s="152" t="s">
        <v>1921</v>
      </c>
      <c r="Z2478" s="152" t="s">
        <v>1327</v>
      </c>
    </row>
    <row r="2479" spans="1:26" x14ac:dyDescent="0.2">
      <c r="A2479" s="152" t="s">
        <v>3558</v>
      </c>
      <c r="B2479" s="152">
        <v>0</v>
      </c>
      <c r="C2479" s="151">
        <v>43432</v>
      </c>
      <c r="D2479" s="152">
        <v>9.3150999999999998E-2</v>
      </c>
      <c r="E2479" s="152" t="s">
        <v>1325</v>
      </c>
      <c r="F2479" s="152" t="s">
        <v>1326</v>
      </c>
      <c r="G2479" s="152"/>
      <c r="H2479" s="152"/>
      <c r="I2479" s="152" t="s">
        <v>1327</v>
      </c>
      <c r="J2479" s="152" t="s">
        <v>1327</v>
      </c>
      <c r="K2479" s="152" t="s">
        <v>1327</v>
      </c>
      <c r="L2479" s="152" t="s">
        <v>1327</v>
      </c>
      <c r="M2479" s="152" t="s">
        <v>1327</v>
      </c>
      <c r="N2479" s="152" t="s">
        <v>1327</v>
      </c>
      <c r="O2479" s="152">
        <v>1.6526510000000001</v>
      </c>
      <c r="P2479" s="152">
        <v>38.254944000000002</v>
      </c>
      <c r="Q2479" s="152">
        <v>1.6526510000000001</v>
      </c>
      <c r="R2479" s="152" t="s">
        <v>1327</v>
      </c>
      <c r="S2479" s="152">
        <v>99.846290999999994</v>
      </c>
      <c r="T2479" s="152">
        <v>0</v>
      </c>
      <c r="U2479" s="152">
        <v>9.3007999999999993E-2</v>
      </c>
      <c r="V2479" s="152">
        <v>1.7301E-2</v>
      </c>
      <c r="W2479" s="152">
        <v>1000</v>
      </c>
      <c r="X2479" s="152" t="s">
        <v>23</v>
      </c>
      <c r="Y2479" s="152" t="s">
        <v>1921</v>
      </c>
      <c r="Z2479" s="152" t="s">
        <v>1327</v>
      </c>
    </row>
    <row r="2480" spans="1:26" x14ac:dyDescent="0.2">
      <c r="A2480" s="152" t="s">
        <v>3559</v>
      </c>
      <c r="B2480" s="152">
        <v>0</v>
      </c>
      <c r="C2480" s="151">
        <v>43434</v>
      </c>
      <c r="D2480" s="152">
        <v>9.8629999999999995E-2</v>
      </c>
      <c r="E2480" s="152" t="s">
        <v>1325</v>
      </c>
      <c r="F2480" s="152" t="s">
        <v>1326</v>
      </c>
      <c r="G2480" s="152"/>
      <c r="H2480" s="152"/>
      <c r="I2480" s="152" t="s">
        <v>1327</v>
      </c>
      <c r="J2480" s="152" t="s">
        <v>1327</v>
      </c>
      <c r="K2480" s="152" t="s">
        <v>1327</v>
      </c>
      <c r="L2480" s="152" t="s">
        <v>1327</v>
      </c>
      <c r="M2480" s="152" t="s">
        <v>1327</v>
      </c>
      <c r="N2480" s="152" t="s">
        <v>1327</v>
      </c>
      <c r="O2480" s="152">
        <v>1.661875</v>
      </c>
      <c r="P2480" s="152">
        <v>38.178503999999997</v>
      </c>
      <c r="Q2480" s="152">
        <v>1.661875</v>
      </c>
      <c r="R2480" s="152" t="s">
        <v>1327</v>
      </c>
      <c r="S2480" s="152">
        <v>99.836357000000007</v>
      </c>
      <c r="T2480" s="152">
        <v>0</v>
      </c>
      <c r="U2480" s="152">
        <v>9.8469000000000001E-2</v>
      </c>
      <c r="V2480" s="152">
        <v>1.9392E-2</v>
      </c>
      <c r="W2480" s="152">
        <v>1000</v>
      </c>
      <c r="X2480" s="152" t="s">
        <v>23</v>
      </c>
      <c r="Y2480" s="152" t="s">
        <v>1921</v>
      </c>
      <c r="Z2480" s="152" t="s">
        <v>1327</v>
      </c>
    </row>
    <row r="2481" spans="1:26" x14ac:dyDescent="0.2">
      <c r="A2481" s="152" t="s">
        <v>3560</v>
      </c>
      <c r="B2481" s="152">
        <v>0</v>
      </c>
      <c r="C2481" s="151">
        <v>43472</v>
      </c>
      <c r="D2481" s="152">
        <v>0.20274</v>
      </c>
      <c r="E2481" s="152" t="s">
        <v>1325</v>
      </c>
      <c r="F2481" s="152" t="s">
        <v>1326</v>
      </c>
      <c r="G2481" s="152"/>
      <c r="H2481" s="152"/>
      <c r="I2481" s="152" t="s">
        <v>1327</v>
      </c>
      <c r="J2481" s="152" t="s">
        <v>1327</v>
      </c>
      <c r="K2481" s="152" t="s">
        <v>1327</v>
      </c>
      <c r="L2481" s="152" t="s">
        <v>1327</v>
      </c>
      <c r="M2481" s="152" t="s">
        <v>1327</v>
      </c>
      <c r="N2481" s="152" t="s">
        <v>1327</v>
      </c>
      <c r="O2481" s="152">
        <v>1.8417570000000001</v>
      </c>
      <c r="P2481" s="152">
        <v>38.177987000000002</v>
      </c>
      <c r="Q2481" s="152">
        <v>1.8417570000000001</v>
      </c>
      <c r="R2481" s="152" t="s">
        <v>1327</v>
      </c>
      <c r="S2481" s="152">
        <v>99.627992000000006</v>
      </c>
      <c r="T2481" s="152">
        <v>0</v>
      </c>
      <c r="U2481" s="152">
        <v>0.201986</v>
      </c>
      <c r="V2481" s="152">
        <v>8.1596000000000002E-2</v>
      </c>
      <c r="W2481" s="152">
        <v>1000</v>
      </c>
      <c r="X2481" s="152" t="s">
        <v>23</v>
      </c>
      <c r="Y2481" s="152" t="s">
        <v>1921</v>
      </c>
      <c r="Z2481" s="152" t="s">
        <v>1327</v>
      </c>
    </row>
    <row r="2482" spans="1:26" x14ac:dyDescent="0.2">
      <c r="A2482" s="152" t="s">
        <v>3561</v>
      </c>
      <c r="B2482" s="152">
        <v>0</v>
      </c>
      <c r="C2482" s="151">
        <v>43473</v>
      </c>
      <c r="D2482" s="152">
        <v>0.20547899999999999</v>
      </c>
      <c r="E2482" s="152" t="s">
        <v>1325</v>
      </c>
      <c r="F2482" s="152" t="s">
        <v>1326</v>
      </c>
      <c r="G2482" s="152"/>
      <c r="H2482" s="152"/>
      <c r="I2482" s="152" t="s">
        <v>1327</v>
      </c>
      <c r="J2482" s="152" t="s">
        <v>1327</v>
      </c>
      <c r="K2482" s="152" t="s">
        <v>1327</v>
      </c>
      <c r="L2482" s="152" t="s">
        <v>1327</v>
      </c>
      <c r="M2482" s="152" t="s">
        <v>1327</v>
      </c>
      <c r="N2482" s="152" t="s">
        <v>1327</v>
      </c>
      <c r="O2482" s="152">
        <v>1.846617</v>
      </c>
      <c r="P2482" s="152">
        <v>38.23359</v>
      </c>
      <c r="Q2482" s="152">
        <v>1.846617</v>
      </c>
      <c r="R2482" s="152" t="s">
        <v>1327</v>
      </c>
      <c r="S2482" s="152">
        <v>99.621992000000006</v>
      </c>
      <c r="T2482" s="152">
        <v>0</v>
      </c>
      <c r="U2482" s="152">
        <v>0.204703</v>
      </c>
      <c r="V2482" s="152">
        <v>8.3806000000000005E-2</v>
      </c>
      <c r="W2482" s="152">
        <v>1000</v>
      </c>
      <c r="X2482" s="152" t="s">
        <v>23</v>
      </c>
      <c r="Y2482" s="152" t="s">
        <v>1921</v>
      </c>
      <c r="Z2482" s="152" t="s">
        <v>1327</v>
      </c>
    </row>
    <row r="2483" spans="1:26" x14ac:dyDescent="0.2">
      <c r="A2483" s="152" t="s">
        <v>3562</v>
      </c>
      <c r="B2483" s="152">
        <v>0</v>
      </c>
      <c r="C2483" s="151">
        <v>43474</v>
      </c>
      <c r="D2483" s="152">
        <v>0.20821899999999999</v>
      </c>
      <c r="E2483" s="152" t="s">
        <v>1325</v>
      </c>
      <c r="F2483" s="152" t="s">
        <v>1326</v>
      </c>
      <c r="G2483" s="152"/>
      <c r="H2483" s="152"/>
      <c r="I2483" s="151" t="s">
        <v>1327</v>
      </c>
      <c r="J2483" s="152" t="s">
        <v>1327</v>
      </c>
      <c r="K2483" s="152" t="s">
        <v>1327</v>
      </c>
      <c r="L2483" s="152" t="s">
        <v>1327</v>
      </c>
      <c r="M2483" s="152" t="s">
        <v>1327</v>
      </c>
      <c r="N2483" s="152" t="s">
        <v>1327</v>
      </c>
      <c r="O2483" s="152">
        <v>1.851485</v>
      </c>
      <c r="P2483" s="152">
        <v>38.293067000000001</v>
      </c>
      <c r="Q2483" s="152">
        <v>1.851485</v>
      </c>
      <c r="R2483" s="152" t="s">
        <v>1327</v>
      </c>
      <c r="S2483" s="152">
        <v>99.615966</v>
      </c>
      <c r="T2483" s="152">
        <v>0</v>
      </c>
      <c r="U2483" s="152">
        <v>0.20741999999999999</v>
      </c>
      <c r="V2483" s="152">
        <v>8.6045999999999997E-2</v>
      </c>
      <c r="W2483" s="152">
        <v>1000</v>
      </c>
      <c r="X2483" s="152" t="s">
        <v>23</v>
      </c>
      <c r="Y2483" s="152" t="s">
        <v>1921</v>
      </c>
      <c r="Z2483" s="152" t="s">
        <v>1327</v>
      </c>
    </row>
    <row r="2484" spans="1:26" x14ac:dyDescent="0.2">
      <c r="A2484" s="152" t="s">
        <v>3563</v>
      </c>
      <c r="B2484" s="152">
        <v>0</v>
      </c>
      <c r="C2484" s="151">
        <v>43475</v>
      </c>
      <c r="D2484" s="152">
        <v>0.21095900000000001</v>
      </c>
      <c r="E2484" s="152" t="s">
        <v>1325</v>
      </c>
      <c r="F2484" s="152" t="s">
        <v>1326</v>
      </c>
      <c r="G2484" s="152"/>
      <c r="H2484" s="152"/>
      <c r="I2484" s="151" t="s">
        <v>1327</v>
      </c>
      <c r="J2484" s="152" t="s">
        <v>1327</v>
      </c>
      <c r="K2484" s="152" t="s">
        <v>1327</v>
      </c>
      <c r="L2484" s="152" t="s">
        <v>1327</v>
      </c>
      <c r="M2484" s="152" t="s">
        <v>1327</v>
      </c>
      <c r="N2484" s="152" t="s">
        <v>1327</v>
      </c>
      <c r="O2484" s="152">
        <v>1.8563590000000001</v>
      </c>
      <c r="P2484" s="152">
        <v>38.356285999999997</v>
      </c>
      <c r="Q2484" s="152">
        <v>1.8563590000000001</v>
      </c>
      <c r="R2484" s="152" t="s">
        <v>1327</v>
      </c>
      <c r="S2484" s="152">
        <v>99.609911999999994</v>
      </c>
      <c r="T2484" s="152">
        <v>0</v>
      </c>
      <c r="U2484" s="152">
        <v>0.21013599999999999</v>
      </c>
      <c r="V2484" s="152">
        <v>8.8314000000000004E-2</v>
      </c>
      <c r="W2484" s="152">
        <v>1000</v>
      </c>
      <c r="X2484" s="152" t="s">
        <v>23</v>
      </c>
      <c r="Y2484" s="152" t="s">
        <v>1921</v>
      </c>
      <c r="Z2484" s="152" t="s">
        <v>1327</v>
      </c>
    </row>
    <row r="2485" spans="1:26" x14ac:dyDescent="0.2">
      <c r="A2485" s="152" t="s">
        <v>3564</v>
      </c>
      <c r="B2485" s="152">
        <v>0</v>
      </c>
      <c r="C2485" s="151">
        <v>43476</v>
      </c>
      <c r="D2485" s="152">
        <v>0.213699</v>
      </c>
      <c r="E2485" s="152" t="s">
        <v>1325</v>
      </c>
      <c r="F2485" s="152" t="s">
        <v>1326</v>
      </c>
      <c r="G2485" s="152"/>
      <c r="H2485" s="152"/>
      <c r="I2485" s="151" t="s">
        <v>1327</v>
      </c>
      <c r="J2485" s="152" t="s">
        <v>1327</v>
      </c>
      <c r="K2485" s="152" t="s">
        <v>1327</v>
      </c>
      <c r="L2485" s="152" t="s">
        <v>1327</v>
      </c>
      <c r="M2485" s="152" t="s">
        <v>1327</v>
      </c>
      <c r="N2485" s="152" t="s">
        <v>1327</v>
      </c>
      <c r="O2485" s="152">
        <v>1.86124</v>
      </c>
      <c r="P2485" s="152">
        <v>38.423414999999999</v>
      </c>
      <c r="Q2485" s="152">
        <v>1.86124</v>
      </c>
      <c r="R2485" s="152" t="s">
        <v>1327</v>
      </c>
      <c r="S2485" s="152">
        <v>99.603831</v>
      </c>
      <c r="T2485" s="152">
        <v>0</v>
      </c>
      <c r="U2485" s="152">
        <v>0.21285200000000001</v>
      </c>
      <c r="V2485" s="152">
        <v>9.0611999999999998E-2</v>
      </c>
      <c r="W2485" s="152">
        <v>1000</v>
      </c>
      <c r="X2485" s="152" t="s">
        <v>23</v>
      </c>
      <c r="Y2485" s="152" t="s">
        <v>1921</v>
      </c>
      <c r="Z2485" s="152" t="s">
        <v>1327</v>
      </c>
    </row>
    <row r="2486" spans="1:26" x14ac:dyDescent="0.2">
      <c r="A2486" s="152" t="s">
        <v>3565</v>
      </c>
      <c r="B2486" s="152">
        <v>0</v>
      </c>
      <c r="C2486" s="151">
        <v>43479</v>
      </c>
      <c r="D2486" s="152">
        <v>0.221918</v>
      </c>
      <c r="E2486" s="152" t="s">
        <v>1325</v>
      </c>
      <c r="F2486" s="152" t="s">
        <v>1326</v>
      </c>
      <c r="G2486" s="152"/>
      <c r="H2486" s="152"/>
      <c r="I2486" s="151" t="s">
        <v>1327</v>
      </c>
      <c r="J2486" s="152" t="s">
        <v>1327</v>
      </c>
      <c r="K2486" s="152" t="s">
        <v>1327</v>
      </c>
      <c r="L2486" s="152" t="s">
        <v>1327</v>
      </c>
      <c r="M2486" s="152" t="s">
        <v>1327</v>
      </c>
      <c r="N2486" s="152" t="s">
        <v>1327</v>
      </c>
      <c r="O2486" s="152">
        <v>1.875926</v>
      </c>
      <c r="P2486" s="152">
        <v>38.648958999999998</v>
      </c>
      <c r="Q2486" s="152">
        <v>1.875926</v>
      </c>
      <c r="R2486" s="152" t="s">
        <v>1327</v>
      </c>
      <c r="S2486" s="152">
        <v>99.585424000000003</v>
      </c>
      <c r="T2486" s="152">
        <v>0</v>
      </c>
      <c r="U2486" s="152">
        <v>0.220998</v>
      </c>
      <c r="V2486" s="152">
        <v>9.7680000000000003E-2</v>
      </c>
      <c r="W2486" s="152">
        <v>1000</v>
      </c>
      <c r="X2486" s="152" t="s">
        <v>23</v>
      </c>
      <c r="Y2486" s="152" t="s">
        <v>1921</v>
      </c>
      <c r="Z2486" s="152" t="s">
        <v>1327</v>
      </c>
    </row>
    <row r="2487" spans="1:26" x14ac:dyDescent="0.2">
      <c r="A2487" s="152" t="s">
        <v>3566</v>
      </c>
      <c r="B2487" s="152">
        <v>0</v>
      </c>
      <c r="C2487" s="151">
        <v>43480</v>
      </c>
      <c r="D2487" s="152">
        <v>0.224658</v>
      </c>
      <c r="E2487" s="152" t="s">
        <v>1325</v>
      </c>
      <c r="F2487" s="152" t="s">
        <v>1326</v>
      </c>
      <c r="G2487" s="152"/>
      <c r="H2487" s="152"/>
      <c r="I2487" s="151" t="s">
        <v>1327</v>
      </c>
      <c r="J2487" s="152" t="s">
        <v>1327</v>
      </c>
      <c r="K2487" s="152" t="s">
        <v>1327</v>
      </c>
      <c r="L2487" s="152" t="s">
        <v>1327</v>
      </c>
      <c r="M2487" s="152" t="s">
        <v>1327</v>
      </c>
      <c r="N2487" s="152" t="s">
        <v>1327</v>
      </c>
      <c r="O2487" s="152">
        <v>1.880835</v>
      </c>
      <c r="P2487" s="152">
        <v>38.732422</v>
      </c>
      <c r="Q2487" s="152">
        <v>1.880835</v>
      </c>
      <c r="R2487" s="152" t="s">
        <v>1327</v>
      </c>
      <c r="S2487" s="152">
        <v>99.579234</v>
      </c>
      <c r="T2487" s="152">
        <v>0</v>
      </c>
      <c r="U2487" s="152">
        <v>0.22371199999999999</v>
      </c>
      <c r="V2487" s="152">
        <v>0.100094</v>
      </c>
      <c r="W2487" s="152">
        <v>1000</v>
      </c>
      <c r="X2487" s="152" t="s">
        <v>23</v>
      </c>
      <c r="Y2487" s="152" t="s">
        <v>1921</v>
      </c>
      <c r="Z2487" s="152" t="s">
        <v>1327</v>
      </c>
    </row>
    <row r="2488" spans="1:26" x14ac:dyDescent="0.2">
      <c r="A2488" s="152" t="s">
        <v>3567</v>
      </c>
      <c r="B2488" s="152">
        <v>0</v>
      </c>
      <c r="C2488" s="151">
        <v>43486</v>
      </c>
      <c r="D2488" s="152">
        <v>0.241096</v>
      </c>
      <c r="E2488" s="152" t="s">
        <v>1325</v>
      </c>
      <c r="F2488" s="152" t="s">
        <v>1326</v>
      </c>
      <c r="G2488" s="152"/>
      <c r="H2488" s="152"/>
      <c r="I2488" s="151" t="s">
        <v>1327</v>
      </c>
      <c r="J2488" s="152" t="s">
        <v>1327</v>
      </c>
      <c r="K2488" s="152" t="s">
        <v>1327</v>
      </c>
      <c r="L2488" s="152" t="s">
        <v>1327</v>
      </c>
      <c r="M2488" s="152" t="s">
        <v>1327</v>
      </c>
      <c r="N2488" s="152" t="s">
        <v>1327</v>
      </c>
      <c r="O2488" s="152">
        <v>1.900736</v>
      </c>
      <c r="P2488" s="152">
        <v>38.340302000000001</v>
      </c>
      <c r="Q2488" s="152">
        <v>1.900736</v>
      </c>
      <c r="R2488" s="152" t="s">
        <v>1327</v>
      </c>
      <c r="S2488" s="152">
        <v>99.543830999999997</v>
      </c>
      <c r="T2488" s="152">
        <v>0</v>
      </c>
      <c r="U2488" s="152">
        <v>0.23999599999999999</v>
      </c>
      <c r="V2488" s="152">
        <v>0.11519600000000001</v>
      </c>
      <c r="W2488" s="152">
        <v>1000</v>
      </c>
      <c r="X2488" s="152" t="s">
        <v>23</v>
      </c>
      <c r="Y2488" s="152" t="s">
        <v>1921</v>
      </c>
      <c r="Z2488" s="152" t="s">
        <v>1327</v>
      </c>
    </row>
    <row r="2489" spans="1:26" x14ac:dyDescent="0.2">
      <c r="A2489" s="152" t="s">
        <v>3568</v>
      </c>
      <c r="B2489" s="152">
        <v>0</v>
      </c>
      <c r="C2489" s="151">
        <v>43489</v>
      </c>
      <c r="D2489" s="152">
        <v>0.24931500000000001</v>
      </c>
      <c r="E2489" s="152" t="s">
        <v>1325</v>
      </c>
      <c r="F2489" s="152" t="s">
        <v>1326</v>
      </c>
      <c r="G2489" s="152"/>
      <c r="H2489" s="152"/>
      <c r="I2489" s="151" t="s">
        <v>1327</v>
      </c>
      <c r="J2489" s="152" t="s">
        <v>1327</v>
      </c>
      <c r="K2489" s="152" t="s">
        <v>1327</v>
      </c>
      <c r="L2489" s="152" t="s">
        <v>1327</v>
      </c>
      <c r="M2489" s="152" t="s">
        <v>1327</v>
      </c>
      <c r="N2489" s="152" t="s">
        <v>1327</v>
      </c>
      <c r="O2489" s="152">
        <v>1.907686</v>
      </c>
      <c r="P2489" s="152">
        <v>37.892110000000002</v>
      </c>
      <c r="Q2489" s="152">
        <v>1.907686</v>
      </c>
      <c r="R2489" s="152" t="s">
        <v>1327</v>
      </c>
      <c r="S2489" s="152">
        <v>99.526636999999994</v>
      </c>
      <c r="T2489" s="152">
        <v>0</v>
      </c>
      <c r="U2489" s="152">
        <v>0.24813499999999999</v>
      </c>
      <c r="V2489" s="152">
        <v>0.123142</v>
      </c>
      <c r="W2489" s="152">
        <v>1000</v>
      </c>
      <c r="X2489" s="152" t="s">
        <v>23</v>
      </c>
      <c r="Y2489" s="152" t="s">
        <v>1921</v>
      </c>
      <c r="Z2489" s="152" t="s">
        <v>1327</v>
      </c>
    </row>
    <row r="2490" spans="1:26" x14ac:dyDescent="0.2">
      <c r="A2490" s="152" t="s">
        <v>3569</v>
      </c>
      <c r="B2490" s="152">
        <v>0</v>
      </c>
      <c r="C2490" s="151">
        <v>43461</v>
      </c>
      <c r="D2490" s="152">
        <v>0.17260300000000001</v>
      </c>
      <c r="E2490" s="152" t="s">
        <v>1325</v>
      </c>
      <c r="F2490" s="152" t="s">
        <v>1326</v>
      </c>
      <c r="G2490" s="152"/>
      <c r="H2490" s="152"/>
      <c r="I2490" s="151" t="s">
        <v>1327</v>
      </c>
      <c r="J2490" s="152" t="s">
        <v>1327</v>
      </c>
      <c r="K2490" s="152" t="s">
        <v>1327</v>
      </c>
      <c r="L2490" s="152" t="s">
        <v>1327</v>
      </c>
      <c r="M2490" s="152" t="s">
        <v>1327</v>
      </c>
      <c r="N2490" s="152" t="s">
        <v>1327</v>
      </c>
      <c r="O2490" s="152">
        <v>1.791682</v>
      </c>
      <c r="P2490" s="152">
        <v>38.094071</v>
      </c>
      <c r="Q2490" s="152">
        <v>1.791682</v>
      </c>
      <c r="R2490" s="152" t="s">
        <v>1327</v>
      </c>
      <c r="S2490" s="152">
        <v>99.691704000000001</v>
      </c>
      <c r="T2490" s="152">
        <v>0</v>
      </c>
      <c r="U2490" s="152">
        <v>0.172071</v>
      </c>
      <c r="V2490" s="152">
        <v>5.9216999999999999E-2</v>
      </c>
      <c r="W2490" s="152">
        <v>1000</v>
      </c>
      <c r="X2490" s="152" t="s">
        <v>23</v>
      </c>
      <c r="Y2490" s="152" t="s">
        <v>1921</v>
      </c>
      <c r="Z2490" s="152" t="s">
        <v>1327</v>
      </c>
    </row>
    <row r="2491" spans="1:26" x14ac:dyDescent="0.2">
      <c r="A2491" s="152" t="s">
        <v>3570</v>
      </c>
      <c r="B2491" s="152">
        <v>0</v>
      </c>
      <c r="C2491" s="151">
        <v>43426</v>
      </c>
      <c r="D2491" s="152">
        <v>7.6712000000000002E-2</v>
      </c>
      <c r="E2491" s="152" t="s">
        <v>1325</v>
      </c>
      <c r="F2491" s="152" t="s">
        <v>1326</v>
      </c>
      <c r="G2491" s="152"/>
      <c r="H2491" s="152"/>
      <c r="I2491" s="151" t="s">
        <v>1327</v>
      </c>
      <c r="J2491" s="152" t="s">
        <v>1327</v>
      </c>
      <c r="K2491" s="152" t="s">
        <v>1327</v>
      </c>
      <c r="L2491" s="152" t="s">
        <v>1327</v>
      </c>
      <c r="M2491" s="152" t="s">
        <v>1327</v>
      </c>
      <c r="N2491" s="152" t="s">
        <v>1327</v>
      </c>
      <c r="O2491" s="152">
        <v>1.600595</v>
      </c>
      <c r="P2491" s="152">
        <v>36.016373999999999</v>
      </c>
      <c r="Q2491" s="152">
        <v>1.600595</v>
      </c>
      <c r="R2491" s="152" t="s">
        <v>1327</v>
      </c>
      <c r="S2491" s="152">
        <v>99.877364999999998</v>
      </c>
      <c r="T2491" s="152">
        <v>0</v>
      </c>
      <c r="U2491" s="152">
        <v>7.6618000000000006E-2</v>
      </c>
      <c r="V2491" s="152">
        <v>1.1741E-2</v>
      </c>
      <c r="W2491" s="152">
        <v>1000</v>
      </c>
      <c r="X2491" s="152" t="s">
        <v>23</v>
      </c>
      <c r="Y2491" s="152" t="s">
        <v>1921</v>
      </c>
      <c r="Z2491" s="152" t="s">
        <v>1327</v>
      </c>
    </row>
    <row r="2492" spans="1:26" x14ac:dyDescent="0.2">
      <c r="A2492" s="152" t="s">
        <v>3571</v>
      </c>
      <c r="B2492" s="152">
        <v>0</v>
      </c>
      <c r="C2492" s="151">
        <v>43488</v>
      </c>
      <c r="D2492" s="152">
        <v>0.24657499999999999</v>
      </c>
      <c r="E2492" s="152" t="s">
        <v>1325</v>
      </c>
      <c r="F2492" s="152" t="s">
        <v>1326</v>
      </c>
      <c r="G2492" s="152"/>
      <c r="H2492" s="152"/>
      <c r="I2492" s="151" t="s">
        <v>1327</v>
      </c>
      <c r="J2492" s="152" t="s">
        <v>1327</v>
      </c>
      <c r="K2492" s="152" t="s">
        <v>1327</v>
      </c>
      <c r="L2492" s="152" t="s">
        <v>1327</v>
      </c>
      <c r="M2492" s="152" t="s">
        <v>1327</v>
      </c>
      <c r="N2492" s="152" t="s">
        <v>1327</v>
      </c>
      <c r="O2492" s="152">
        <v>1.922868</v>
      </c>
      <c r="P2492" s="152">
        <v>39.812654000000002</v>
      </c>
      <c r="Q2492" s="152">
        <v>1.922868</v>
      </c>
      <c r="R2492" s="152" t="s">
        <v>1327</v>
      </c>
      <c r="S2492" s="152">
        <v>99.528105999999994</v>
      </c>
      <c r="T2492" s="152">
        <v>0</v>
      </c>
      <c r="U2492" s="152">
        <v>0.24541199999999999</v>
      </c>
      <c r="V2492" s="152">
        <v>0.12045400000000001</v>
      </c>
      <c r="W2492" s="152">
        <v>1000</v>
      </c>
      <c r="X2492" s="152" t="s">
        <v>23</v>
      </c>
      <c r="Y2492" s="152" t="s">
        <v>1921</v>
      </c>
      <c r="Z2492" s="152" t="s">
        <v>1327</v>
      </c>
    </row>
    <row r="2493" spans="1:26" x14ac:dyDescent="0.2">
      <c r="A2493" s="152" t="s">
        <v>3572</v>
      </c>
      <c r="B2493" s="152">
        <v>0</v>
      </c>
      <c r="C2493" s="151">
        <v>43411</v>
      </c>
      <c r="D2493" s="152">
        <v>3.5616000000000002E-2</v>
      </c>
      <c r="E2493" s="152" t="s">
        <v>1325</v>
      </c>
      <c r="F2493" s="152" t="s">
        <v>1326</v>
      </c>
      <c r="G2493" s="152"/>
      <c r="H2493" s="152"/>
      <c r="I2493" s="151" t="s">
        <v>1327</v>
      </c>
      <c r="J2493" s="152" t="s">
        <v>1327</v>
      </c>
      <c r="K2493" s="152" t="s">
        <v>1327</v>
      </c>
      <c r="L2493" s="152" t="s">
        <v>1327</v>
      </c>
      <c r="M2493" s="152" t="s">
        <v>1327</v>
      </c>
      <c r="N2493" s="152" t="s">
        <v>1327</v>
      </c>
      <c r="O2493" s="152">
        <v>1.428315</v>
      </c>
      <c r="P2493" s="152">
        <v>26.114702000000001</v>
      </c>
      <c r="Q2493" s="152">
        <v>1.428315</v>
      </c>
      <c r="R2493" s="152" t="s">
        <v>1327</v>
      </c>
      <c r="S2493" s="152">
        <v>99.949153999999993</v>
      </c>
      <c r="T2493" s="152">
        <v>0</v>
      </c>
      <c r="U2493" s="152">
        <v>3.5597999999999998E-2</v>
      </c>
      <c r="V2493" s="152">
        <v>2.5339999999999998E-3</v>
      </c>
      <c r="W2493" s="152">
        <v>1000</v>
      </c>
      <c r="X2493" s="152" t="s">
        <v>23</v>
      </c>
      <c r="Y2493" s="152" t="s">
        <v>1921</v>
      </c>
      <c r="Z2493" s="152" t="s">
        <v>1327</v>
      </c>
    </row>
    <row r="2494" spans="1:26" x14ac:dyDescent="0.2">
      <c r="A2494" s="152" t="s">
        <v>3573</v>
      </c>
      <c r="B2494" s="152">
        <v>0</v>
      </c>
      <c r="C2494" s="151">
        <v>43454</v>
      </c>
      <c r="D2494" s="152">
        <v>0.15342500000000001</v>
      </c>
      <c r="E2494" s="152" t="s">
        <v>1325</v>
      </c>
      <c r="F2494" s="152" t="s">
        <v>1326</v>
      </c>
      <c r="G2494" s="152"/>
      <c r="H2494" s="152"/>
      <c r="I2494" s="151">
        <v>43271</v>
      </c>
      <c r="J2494" s="152">
        <v>2.2999999999999998</v>
      </c>
      <c r="K2494" s="152" t="s">
        <v>1327</v>
      </c>
      <c r="L2494" s="152" t="s">
        <v>1327</v>
      </c>
      <c r="M2494" s="152" t="s">
        <v>1327</v>
      </c>
      <c r="N2494" s="152" t="s">
        <v>1327</v>
      </c>
      <c r="O2494" s="152">
        <v>2.1531760000000002</v>
      </c>
      <c r="P2494" s="152">
        <v>78.181822999999994</v>
      </c>
      <c r="Q2494" s="152">
        <v>2.1531760000000002</v>
      </c>
      <c r="R2494" s="152" t="s">
        <v>1327</v>
      </c>
      <c r="S2494" s="152">
        <v>99.670737000000003</v>
      </c>
      <c r="T2494" s="152">
        <v>0</v>
      </c>
      <c r="U2494" s="152">
        <v>0.152919</v>
      </c>
      <c r="V2494" s="152">
        <v>4.6768999999999998E-2</v>
      </c>
      <c r="W2494" s="152">
        <v>1000</v>
      </c>
      <c r="X2494" s="152" t="s">
        <v>23</v>
      </c>
      <c r="Y2494" s="152" t="s">
        <v>1328</v>
      </c>
      <c r="Z2494" s="152" t="s">
        <v>1327</v>
      </c>
    </row>
    <row r="2495" spans="1:26" x14ac:dyDescent="0.2">
      <c r="A2495" s="152" t="s">
        <v>3574</v>
      </c>
      <c r="B2495" s="152">
        <v>0</v>
      </c>
      <c r="C2495" s="151">
        <v>43433</v>
      </c>
      <c r="D2495" s="152">
        <v>9.5890000000000003E-2</v>
      </c>
      <c r="E2495" s="152" t="s">
        <v>1325</v>
      </c>
      <c r="F2495" s="152" t="s">
        <v>1326</v>
      </c>
      <c r="G2495" s="152"/>
      <c r="H2495" s="152"/>
      <c r="I2495" s="151">
        <v>43269</v>
      </c>
      <c r="J2495" s="152">
        <v>2.2999999999999998</v>
      </c>
      <c r="K2495" s="152" t="s">
        <v>1327</v>
      </c>
      <c r="L2495" s="152" t="s">
        <v>1327</v>
      </c>
      <c r="M2495" s="152" t="s">
        <v>1327</v>
      </c>
      <c r="N2495" s="152" t="s">
        <v>1327</v>
      </c>
      <c r="O2495" s="152">
        <v>2.0283540000000002</v>
      </c>
      <c r="P2495" s="152">
        <v>75.948499999999996</v>
      </c>
      <c r="Q2495" s="152">
        <v>2.0283540000000002</v>
      </c>
      <c r="R2495" s="152" t="s">
        <v>1327</v>
      </c>
      <c r="S2495" s="152">
        <v>99.805878000000007</v>
      </c>
      <c r="T2495" s="152">
        <v>0</v>
      </c>
      <c r="U2495" s="152">
        <v>9.5703999999999997E-2</v>
      </c>
      <c r="V2495" s="152">
        <v>1.8318999999999998E-2</v>
      </c>
      <c r="W2495" s="152">
        <v>1000</v>
      </c>
      <c r="X2495" s="152" t="s">
        <v>23</v>
      </c>
      <c r="Y2495" s="152" t="s">
        <v>1328</v>
      </c>
      <c r="Z2495" s="152" t="s">
        <v>1327</v>
      </c>
    </row>
    <row r="2496" spans="1:26" x14ac:dyDescent="0.2">
      <c r="A2496" s="152" t="s">
        <v>3575</v>
      </c>
      <c r="B2496" s="152">
        <v>0</v>
      </c>
      <c r="C2496" s="151">
        <v>43475</v>
      </c>
      <c r="D2496" s="152">
        <v>0.21095900000000001</v>
      </c>
      <c r="E2496" s="152" t="s">
        <v>1325</v>
      </c>
      <c r="F2496" s="152" t="s">
        <v>1326</v>
      </c>
      <c r="G2496" s="152"/>
      <c r="H2496" s="152"/>
      <c r="I2496" s="151">
        <v>43292</v>
      </c>
      <c r="J2496" s="152">
        <v>2.2999999999999998</v>
      </c>
      <c r="K2496" s="152" t="s">
        <v>1327</v>
      </c>
      <c r="L2496" s="152" t="s">
        <v>1327</v>
      </c>
      <c r="M2496" s="152" t="s">
        <v>1327</v>
      </c>
      <c r="N2496" s="152" t="s">
        <v>1327</v>
      </c>
      <c r="O2496" s="152">
        <v>2.2808079999999999</v>
      </c>
      <c r="P2496" s="152">
        <v>81.498095000000006</v>
      </c>
      <c r="Q2496" s="152">
        <v>2.2808079999999999</v>
      </c>
      <c r="R2496" s="152" t="s">
        <v>1327</v>
      </c>
      <c r="S2496" s="152">
        <v>99.521146999999999</v>
      </c>
      <c r="T2496" s="152">
        <v>0</v>
      </c>
      <c r="U2496" s="152">
        <v>0.209949</v>
      </c>
      <c r="V2496" s="152">
        <v>8.8156999999999999E-2</v>
      </c>
      <c r="W2496" s="152">
        <v>1000</v>
      </c>
      <c r="X2496" s="152" t="s">
        <v>23</v>
      </c>
      <c r="Y2496" s="152" t="s">
        <v>1328</v>
      </c>
      <c r="Z2496" s="152" t="s">
        <v>1327</v>
      </c>
    </row>
    <row r="2497" spans="1:26" x14ac:dyDescent="0.2">
      <c r="A2497" s="152" t="s">
        <v>3576</v>
      </c>
      <c r="B2497" s="152">
        <v>0</v>
      </c>
      <c r="C2497" s="151">
        <v>43476</v>
      </c>
      <c r="D2497" s="152">
        <v>0.213699</v>
      </c>
      <c r="E2497" s="152" t="s">
        <v>1325</v>
      </c>
      <c r="F2497" s="152" t="s">
        <v>1326</v>
      </c>
      <c r="G2497" s="152"/>
      <c r="H2497" s="152"/>
      <c r="I2497" s="151">
        <v>43298</v>
      </c>
      <c r="J2497" s="152">
        <v>2.2999999999999998</v>
      </c>
      <c r="K2497" s="152" t="s">
        <v>1327</v>
      </c>
      <c r="L2497" s="152" t="s">
        <v>1327</v>
      </c>
      <c r="M2497" s="152" t="s">
        <v>1327</v>
      </c>
      <c r="N2497" s="152" t="s">
        <v>1327</v>
      </c>
      <c r="O2497" s="152">
        <v>2.2869600000000001</v>
      </c>
      <c r="P2497" s="152">
        <v>81.693848000000003</v>
      </c>
      <c r="Q2497" s="152">
        <v>2.2869600000000001</v>
      </c>
      <c r="R2497" s="152" t="s">
        <v>1327</v>
      </c>
      <c r="S2497" s="152">
        <v>99.513656999999995</v>
      </c>
      <c r="T2497" s="152">
        <v>0</v>
      </c>
      <c r="U2497" s="152">
        <v>0.21265899999999999</v>
      </c>
      <c r="V2497" s="152">
        <v>9.0448000000000001E-2</v>
      </c>
      <c r="W2497" s="152">
        <v>1000</v>
      </c>
      <c r="X2497" s="152" t="s">
        <v>23</v>
      </c>
      <c r="Y2497" s="152" t="s">
        <v>1328</v>
      </c>
      <c r="Z2497" s="152" t="s">
        <v>1327</v>
      </c>
    </row>
    <row r="2498" spans="1:26" x14ac:dyDescent="0.2">
      <c r="A2498" s="152" t="s">
        <v>3577</v>
      </c>
      <c r="B2498" s="152">
        <v>0</v>
      </c>
      <c r="C2498" s="151">
        <v>43560</v>
      </c>
      <c r="D2498" s="152">
        <v>0.44383600000000001</v>
      </c>
      <c r="E2498" s="152" t="s">
        <v>1325</v>
      </c>
      <c r="F2498" s="152" t="s">
        <v>1326</v>
      </c>
      <c r="G2498" s="152"/>
      <c r="H2498" s="152"/>
      <c r="I2498" s="151">
        <v>43382</v>
      </c>
      <c r="J2498" s="152">
        <v>2.2999999999999998</v>
      </c>
      <c r="K2498" s="152" t="s">
        <v>1327</v>
      </c>
      <c r="L2498" s="152" t="s">
        <v>1327</v>
      </c>
      <c r="M2498" s="152" t="s">
        <v>1327</v>
      </c>
      <c r="N2498" s="152" t="s">
        <v>1327</v>
      </c>
      <c r="O2498" s="152">
        <v>2.3094030000000001</v>
      </c>
      <c r="P2498" s="152">
        <v>60.450629999999997</v>
      </c>
      <c r="Q2498" s="152">
        <v>2.3094030000000001</v>
      </c>
      <c r="R2498" s="152" t="s">
        <v>1327</v>
      </c>
      <c r="S2498" s="152">
        <v>98.985404000000003</v>
      </c>
      <c r="T2498" s="152">
        <v>0</v>
      </c>
      <c r="U2498" s="152">
        <v>0.439332</v>
      </c>
      <c r="V2498" s="152">
        <v>0.38602599999999998</v>
      </c>
      <c r="W2498" s="152">
        <v>1000</v>
      </c>
      <c r="X2498" s="152" t="s">
        <v>23</v>
      </c>
      <c r="Y2498" s="152" t="s">
        <v>1328</v>
      </c>
      <c r="Z2498" s="152" t="s">
        <v>1327</v>
      </c>
    </row>
    <row r="2499" spans="1:26" x14ac:dyDescent="0.2">
      <c r="A2499" s="152" t="s">
        <v>3578</v>
      </c>
      <c r="B2499" s="152">
        <v>0</v>
      </c>
      <c r="C2499" s="151">
        <v>43483</v>
      </c>
      <c r="D2499" s="152">
        <v>0.232877</v>
      </c>
      <c r="E2499" s="152" t="s">
        <v>1325</v>
      </c>
      <c r="F2499" s="152" t="s">
        <v>1326</v>
      </c>
      <c r="G2499" s="152"/>
      <c r="H2499" s="152"/>
      <c r="I2499" s="151">
        <v>43300</v>
      </c>
      <c r="J2499" s="152">
        <v>2.2999999999999998</v>
      </c>
      <c r="K2499" s="152" t="s">
        <v>1327</v>
      </c>
      <c r="L2499" s="152" t="s">
        <v>1327</v>
      </c>
      <c r="M2499" s="152" t="s">
        <v>1327</v>
      </c>
      <c r="N2499" s="152" t="s">
        <v>1327</v>
      </c>
      <c r="O2499" s="152">
        <v>2.2618330000000002</v>
      </c>
      <c r="P2499" s="152">
        <v>76.218592999999998</v>
      </c>
      <c r="Q2499" s="152">
        <v>2.2618330000000002</v>
      </c>
      <c r="R2499" s="152" t="s">
        <v>1327</v>
      </c>
      <c r="S2499" s="152">
        <v>99.476032000000004</v>
      </c>
      <c r="T2499" s="152">
        <v>0</v>
      </c>
      <c r="U2499" s="152">
        <v>0.231657</v>
      </c>
      <c r="V2499" s="152">
        <v>0.10732899999999999</v>
      </c>
      <c r="W2499" s="152">
        <v>1000</v>
      </c>
      <c r="X2499" s="152" t="s">
        <v>23</v>
      </c>
      <c r="Y2499" s="152" t="s">
        <v>1328</v>
      </c>
      <c r="Z2499" s="152" t="s">
        <v>1327</v>
      </c>
    </row>
    <row r="2500" spans="1:26" x14ac:dyDescent="0.2">
      <c r="A2500" s="152" t="s">
        <v>3579</v>
      </c>
      <c r="B2500" s="152">
        <v>0</v>
      </c>
      <c r="C2500" s="151">
        <v>43455</v>
      </c>
      <c r="D2500" s="152">
        <v>0.156164</v>
      </c>
      <c r="E2500" s="152" t="s">
        <v>1325</v>
      </c>
      <c r="F2500" s="152" t="s">
        <v>1326</v>
      </c>
      <c r="G2500" s="152"/>
      <c r="H2500" s="152"/>
      <c r="I2500" s="152">
        <v>43273</v>
      </c>
      <c r="J2500" s="152">
        <v>3.38</v>
      </c>
      <c r="K2500" s="152" t="s">
        <v>1327</v>
      </c>
      <c r="L2500" s="152" t="s">
        <v>1327</v>
      </c>
      <c r="M2500" s="152" t="s">
        <v>1327</v>
      </c>
      <c r="N2500" s="152" t="s">
        <v>1327</v>
      </c>
      <c r="O2500" s="152">
        <v>3.114058</v>
      </c>
      <c r="P2500" s="152">
        <v>175.94120799999999</v>
      </c>
      <c r="Q2500" s="152">
        <v>3.114058</v>
      </c>
      <c r="R2500" s="152" t="s">
        <v>1327</v>
      </c>
      <c r="S2500" s="152">
        <v>99.516048999999995</v>
      </c>
      <c r="T2500" s="152">
        <v>0</v>
      </c>
      <c r="U2500" s="152">
        <v>0.15540899999999999</v>
      </c>
      <c r="V2500" s="152">
        <v>4.8304E-2</v>
      </c>
      <c r="W2500" s="152">
        <v>1000</v>
      </c>
      <c r="X2500" s="152" t="s">
        <v>23</v>
      </c>
      <c r="Y2500" s="152" t="s">
        <v>1328</v>
      </c>
      <c r="Z2500" s="152" t="s">
        <v>1327</v>
      </c>
    </row>
    <row r="2501" spans="1:26" x14ac:dyDescent="0.2">
      <c r="A2501" s="152" t="s">
        <v>3580</v>
      </c>
      <c r="B2501" s="152">
        <v>0</v>
      </c>
      <c r="C2501" s="151">
        <v>43410</v>
      </c>
      <c r="D2501" s="152">
        <v>3.2877000000000003E-2</v>
      </c>
      <c r="E2501" s="152" t="s">
        <v>1325</v>
      </c>
      <c r="F2501" s="152" t="s">
        <v>1326</v>
      </c>
      <c r="G2501" s="152"/>
      <c r="H2501" s="152"/>
      <c r="I2501" s="152">
        <v>43320</v>
      </c>
      <c r="J2501" s="152">
        <v>3.2</v>
      </c>
      <c r="K2501" s="152" t="s">
        <v>1327</v>
      </c>
      <c r="L2501" s="152" t="s">
        <v>1327</v>
      </c>
      <c r="M2501" s="152" t="s">
        <v>1327</v>
      </c>
      <c r="N2501" s="152" t="s">
        <v>1327</v>
      </c>
      <c r="O2501" s="152">
        <v>2.88808</v>
      </c>
      <c r="P2501" s="152">
        <v>175.66926699999999</v>
      </c>
      <c r="Q2501" s="152">
        <v>2.88808</v>
      </c>
      <c r="R2501" s="152" t="s">
        <v>1327</v>
      </c>
      <c r="S2501" s="152">
        <v>99.905139000000005</v>
      </c>
      <c r="T2501" s="152">
        <v>0</v>
      </c>
      <c r="U2501" s="152">
        <v>3.2846E-2</v>
      </c>
      <c r="V2501" s="152">
        <v>2.1580000000000002E-3</v>
      </c>
      <c r="W2501" s="152">
        <v>1000</v>
      </c>
      <c r="X2501" s="152" t="s">
        <v>23</v>
      </c>
      <c r="Y2501" s="152" t="s">
        <v>1328</v>
      </c>
      <c r="Z2501" s="152" t="s">
        <v>1327</v>
      </c>
    </row>
    <row r="2502" spans="1:26" x14ac:dyDescent="0.2">
      <c r="A2502" s="152" t="s">
        <v>3581</v>
      </c>
      <c r="B2502" s="152">
        <v>0</v>
      </c>
      <c r="C2502" s="151">
        <v>43475</v>
      </c>
      <c r="D2502" s="152">
        <v>0.21095900000000001</v>
      </c>
      <c r="E2502" s="152" t="s">
        <v>1325</v>
      </c>
      <c r="F2502" s="152" t="s">
        <v>1326</v>
      </c>
      <c r="G2502" s="152"/>
      <c r="H2502" s="152"/>
      <c r="I2502" s="152">
        <v>43299</v>
      </c>
      <c r="J2502" s="152">
        <v>3.4</v>
      </c>
      <c r="K2502" s="152" t="s">
        <v>1327</v>
      </c>
      <c r="L2502" s="152" t="s">
        <v>1327</v>
      </c>
      <c r="M2502" s="152" t="s">
        <v>1327</v>
      </c>
      <c r="N2502" s="152" t="s">
        <v>1327</v>
      </c>
      <c r="O2502" s="152">
        <v>3.1164170000000002</v>
      </c>
      <c r="P2502" s="152">
        <v>166.852373</v>
      </c>
      <c r="Q2502" s="152">
        <v>3.1164170000000002</v>
      </c>
      <c r="R2502" s="152" t="s">
        <v>1327</v>
      </c>
      <c r="S2502" s="152">
        <v>99.346857999999997</v>
      </c>
      <c r="T2502" s="152">
        <v>0</v>
      </c>
      <c r="U2502" s="152">
        <v>0.20958099999999999</v>
      </c>
      <c r="V2502" s="152">
        <v>8.7847999999999996E-2</v>
      </c>
      <c r="W2502" s="152">
        <v>1000</v>
      </c>
      <c r="X2502" s="152" t="s">
        <v>23</v>
      </c>
      <c r="Y2502" s="152" t="s">
        <v>1328</v>
      </c>
      <c r="Z2502" s="152" t="s">
        <v>1327</v>
      </c>
    </row>
    <row r="2503" spans="1:26" x14ac:dyDescent="0.2">
      <c r="A2503" s="152" t="s">
        <v>3582</v>
      </c>
      <c r="B2503" s="152">
        <v>0</v>
      </c>
      <c r="C2503" s="151">
        <v>43480</v>
      </c>
      <c r="D2503" s="152">
        <v>0.224658</v>
      </c>
      <c r="E2503" s="152" t="s">
        <v>1325</v>
      </c>
      <c r="F2503" s="152" t="s">
        <v>1326</v>
      </c>
      <c r="G2503" s="152"/>
      <c r="H2503" s="152"/>
      <c r="I2503" s="152">
        <v>43390</v>
      </c>
      <c r="J2503" s="152">
        <v>3.2</v>
      </c>
      <c r="K2503" s="152" t="s">
        <v>1327</v>
      </c>
      <c r="L2503" s="152" t="s">
        <v>1327</v>
      </c>
      <c r="M2503" s="152" t="s">
        <v>1327</v>
      </c>
      <c r="N2503" s="152" t="s">
        <v>1327</v>
      </c>
      <c r="O2503" s="152">
        <v>3.1820560000000002</v>
      </c>
      <c r="P2503" s="152">
        <v>171.42674299999999</v>
      </c>
      <c r="Q2503" s="152">
        <v>3.1820560000000002</v>
      </c>
      <c r="R2503" s="152" t="s">
        <v>1327</v>
      </c>
      <c r="S2503" s="152">
        <v>99.290200999999996</v>
      </c>
      <c r="T2503" s="152">
        <v>0</v>
      </c>
      <c r="U2503" s="152">
        <v>0.22306300000000001</v>
      </c>
      <c r="V2503" s="152">
        <v>9.9514000000000005E-2</v>
      </c>
      <c r="W2503" s="152">
        <v>1000</v>
      </c>
      <c r="X2503" s="152" t="s">
        <v>23</v>
      </c>
      <c r="Y2503" s="152" t="s">
        <v>1328</v>
      </c>
      <c r="Z2503" s="152" t="s">
        <v>1327</v>
      </c>
    </row>
    <row r="2504" spans="1:26" x14ac:dyDescent="0.2">
      <c r="A2504" s="152" t="s">
        <v>3583</v>
      </c>
      <c r="B2504" s="152">
        <v>0</v>
      </c>
      <c r="C2504" s="151">
        <v>43481</v>
      </c>
      <c r="D2504" s="152">
        <v>0.22739699999999999</v>
      </c>
      <c r="E2504" s="152" t="s">
        <v>1325</v>
      </c>
      <c r="F2504" s="152" t="s">
        <v>1326</v>
      </c>
      <c r="G2504" s="152"/>
      <c r="H2504" s="152"/>
      <c r="I2504" s="152">
        <v>43383</v>
      </c>
      <c r="J2504" s="152">
        <v>3.18</v>
      </c>
      <c r="K2504" s="152" t="s">
        <v>1327</v>
      </c>
      <c r="L2504" s="152" t="s">
        <v>1327</v>
      </c>
      <c r="M2504" s="152" t="s">
        <v>1327</v>
      </c>
      <c r="N2504" s="152" t="s">
        <v>1327</v>
      </c>
      <c r="O2504" s="152">
        <v>3.1966420000000002</v>
      </c>
      <c r="P2504" s="152">
        <v>172.50121200000001</v>
      </c>
      <c r="Q2504" s="152">
        <v>3.1966420000000002</v>
      </c>
      <c r="R2504" s="152" t="s">
        <v>1327</v>
      </c>
      <c r="S2504" s="152">
        <v>99.278338000000005</v>
      </c>
      <c r="T2504" s="152">
        <v>0</v>
      </c>
      <c r="U2504" s="152">
        <v>0.22575600000000001</v>
      </c>
      <c r="V2504" s="152">
        <v>0.10193199999999999</v>
      </c>
      <c r="W2504" s="152">
        <v>1000</v>
      </c>
      <c r="X2504" s="152" t="s">
        <v>23</v>
      </c>
      <c r="Y2504" s="152" t="s">
        <v>1328</v>
      </c>
      <c r="Z2504" s="152" t="s">
        <v>1327</v>
      </c>
    </row>
    <row r="2505" spans="1:26" x14ac:dyDescent="0.2">
      <c r="A2505" s="152" t="s">
        <v>3584</v>
      </c>
      <c r="B2505" s="152">
        <v>0</v>
      </c>
      <c r="C2505" s="151">
        <v>43483</v>
      </c>
      <c r="D2505" s="152">
        <v>0.232877</v>
      </c>
      <c r="E2505" s="152" t="s">
        <v>1325</v>
      </c>
      <c r="F2505" s="152" t="s">
        <v>1326</v>
      </c>
      <c r="G2505" s="152"/>
      <c r="H2505" s="152"/>
      <c r="I2505" s="152">
        <v>43299</v>
      </c>
      <c r="J2505" s="152">
        <v>3.35</v>
      </c>
      <c r="K2505" s="152" t="s">
        <v>1327</v>
      </c>
      <c r="L2505" s="152" t="s">
        <v>1327</v>
      </c>
      <c r="M2505" s="152" t="s">
        <v>1327</v>
      </c>
      <c r="N2505" s="152" t="s">
        <v>1327</v>
      </c>
      <c r="O2505" s="152">
        <v>3.2032720000000001</v>
      </c>
      <c r="P2505" s="152">
        <v>172.350561</v>
      </c>
      <c r="Q2505" s="152">
        <v>3.2032720000000001</v>
      </c>
      <c r="R2505" s="152" t="s">
        <v>1327</v>
      </c>
      <c r="S2505" s="152">
        <v>99.259556000000003</v>
      </c>
      <c r="T2505" s="152">
        <v>0</v>
      </c>
      <c r="U2505" s="152">
        <v>0.231152</v>
      </c>
      <c r="V2505" s="152">
        <v>0.106863</v>
      </c>
      <c r="W2505" s="152">
        <v>1000</v>
      </c>
      <c r="X2505" s="152" t="s">
        <v>23</v>
      </c>
      <c r="Y2505" s="152" t="s">
        <v>1328</v>
      </c>
      <c r="Z2505" s="152" t="s">
        <v>1327</v>
      </c>
    </row>
    <row r="2506" spans="1:26" x14ac:dyDescent="0.2">
      <c r="A2506" s="152" t="s">
        <v>3585</v>
      </c>
      <c r="B2506" s="152">
        <v>0</v>
      </c>
      <c r="C2506" s="151">
        <v>43510</v>
      </c>
      <c r="D2506" s="152">
        <v>0.30684899999999998</v>
      </c>
      <c r="E2506" s="152" t="s">
        <v>1325</v>
      </c>
      <c r="F2506" s="152" t="s">
        <v>1326</v>
      </c>
      <c r="G2506" s="152"/>
      <c r="H2506" s="152"/>
      <c r="I2506" s="152">
        <v>43326</v>
      </c>
      <c r="J2506" s="152">
        <v>3.35</v>
      </c>
      <c r="K2506" s="152" t="s">
        <v>1327</v>
      </c>
      <c r="L2506" s="152" t="s">
        <v>1327</v>
      </c>
      <c r="M2506" s="152" t="s">
        <v>1327</v>
      </c>
      <c r="N2506" s="152" t="s">
        <v>1327</v>
      </c>
      <c r="O2506" s="152">
        <v>3.263801</v>
      </c>
      <c r="P2506" s="152">
        <v>168.87504000000001</v>
      </c>
      <c r="Q2506" s="152">
        <v>3.263801</v>
      </c>
      <c r="R2506" s="152" t="s">
        <v>1327</v>
      </c>
      <c r="S2506" s="152">
        <v>99.008435000000006</v>
      </c>
      <c r="T2506" s="152">
        <v>0</v>
      </c>
      <c r="U2506" s="152">
        <v>0.30380699999999999</v>
      </c>
      <c r="V2506" s="152">
        <v>0.18459700000000001</v>
      </c>
      <c r="W2506" s="152">
        <v>1000</v>
      </c>
      <c r="X2506" s="152" t="s">
        <v>23</v>
      </c>
      <c r="Y2506" s="152" t="s">
        <v>1328</v>
      </c>
      <c r="Z2506" s="152" t="s">
        <v>1327</v>
      </c>
    </row>
    <row r="2507" spans="1:26" x14ac:dyDescent="0.2">
      <c r="A2507" s="152" t="s">
        <v>3586</v>
      </c>
      <c r="B2507" s="152">
        <v>0</v>
      </c>
      <c r="C2507" s="151">
        <v>43518</v>
      </c>
      <c r="D2507" s="152">
        <v>0.32876699999999998</v>
      </c>
      <c r="E2507" s="152" t="s">
        <v>1325</v>
      </c>
      <c r="F2507" s="152" t="s">
        <v>1326</v>
      </c>
      <c r="G2507" s="152"/>
      <c r="H2507" s="152"/>
      <c r="I2507" s="152">
        <v>43336</v>
      </c>
      <c r="J2507" s="152">
        <v>3.375</v>
      </c>
      <c r="K2507" s="152" t="s">
        <v>1327</v>
      </c>
      <c r="L2507" s="152" t="s">
        <v>1327</v>
      </c>
      <c r="M2507" s="152" t="s">
        <v>1327</v>
      </c>
      <c r="N2507" s="152" t="s">
        <v>1327</v>
      </c>
      <c r="O2507" s="152">
        <v>3.290279</v>
      </c>
      <c r="P2507" s="152">
        <v>169.235905</v>
      </c>
      <c r="Q2507" s="152">
        <v>3.290279</v>
      </c>
      <c r="R2507" s="152" t="s">
        <v>1327</v>
      </c>
      <c r="S2507" s="152">
        <v>98.929840999999996</v>
      </c>
      <c r="T2507" s="152">
        <v>0</v>
      </c>
      <c r="U2507" s="152">
        <v>0.32524900000000001</v>
      </c>
      <c r="V2507" s="152">
        <v>0.21157400000000001</v>
      </c>
      <c r="W2507" s="152">
        <v>1000</v>
      </c>
      <c r="X2507" s="152" t="s">
        <v>23</v>
      </c>
      <c r="Y2507" s="152" t="s">
        <v>1328</v>
      </c>
      <c r="Z2507" s="152" t="s">
        <v>1327</v>
      </c>
    </row>
    <row r="2508" spans="1:26" x14ac:dyDescent="0.2">
      <c r="A2508" s="152" t="s">
        <v>3587</v>
      </c>
      <c r="B2508" s="152">
        <v>0</v>
      </c>
      <c r="C2508" s="151">
        <v>43529</v>
      </c>
      <c r="D2508" s="152">
        <v>0.358904</v>
      </c>
      <c r="E2508" s="152" t="s">
        <v>1325</v>
      </c>
      <c r="F2508" s="152" t="s">
        <v>1326</v>
      </c>
      <c r="G2508" s="152"/>
      <c r="H2508" s="152"/>
      <c r="I2508" s="152">
        <v>43347</v>
      </c>
      <c r="J2508" s="152">
        <v>3.35</v>
      </c>
      <c r="K2508" s="152" t="s">
        <v>1327</v>
      </c>
      <c r="L2508" s="152" t="s">
        <v>1327</v>
      </c>
      <c r="M2508" s="152" t="s">
        <v>1327</v>
      </c>
      <c r="N2508" s="152" t="s">
        <v>1327</v>
      </c>
      <c r="O2508" s="152">
        <v>3.3265250000000002</v>
      </c>
      <c r="P2508" s="152">
        <v>170.05496099999999</v>
      </c>
      <c r="Q2508" s="152">
        <v>3.3265250000000002</v>
      </c>
      <c r="R2508" s="152" t="s">
        <v>1327</v>
      </c>
      <c r="S2508" s="152">
        <v>98.820182000000003</v>
      </c>
      <c r="T2508" s="152">
        <v>0</v>
      </c>
      <c r="U2508" s="152">
        <v>0.35466999999999999</v>
      </c>
      <c r="V2508" s="152">
        <v>0.251581</v>
      </c>
      <c r="W2508" s="152">
        <v>1000</v>
      </c>
      <c r="X2508" s="152" t="s">
        <v>23</v>
      </c>
      <c r="Y2508" s="152" t="s">
        <v>1328</v>
      </c>
      <c r="Z2508" s="152" t="s">
        <v>1327</v>
      </c>
    </row>
    <row r="2509" spans="1:26" x14ac:dyDescent="0.2">
      <c r="A2509" s="152" t="s">
        <v>3588</v>
      </c>
      <c r="B2509" s="152">
        <v>0</v>
      </c>
      <c r="C2509" s="151">
        <v>43538</v>
      </c>
      <c r="D2509" s="152">
        <v>0.38356200000000001</v>
      </c>
      <c r="E2509" s="152" t="s">
        <v>1325</v>
      </c>
      <c r="F2509" s="152" t="s">
        <v>1326</v>
      </c>
      <c r="G2509" s="152"/>
      <c r="H2509" s="152"/>
      <c r="I2509" s="152">
        <v>43357</v>
      </c>
      <c r="J2509" s="152">
        <v>3.35</v>
      </c>
      <c r="K2509" s="152" t="s">
        <v>1327</v>
      </c>
      <c r="L2509" s="152" t="s">
        <v>1327</v>
      </c>
      <c r="M2509" s="152" t="s">
        <v>1327</v>
      </c>
      <c r="N2509" s="152" t="s">
        <v>1327</v>
      </c>
      <c r="O2509" s="152">
        <v>3.3560120000000002</v>
      </c>
      <c r="P2509" s="152">
        <v>170.97616199999999</v>
      </c>
      <c r="Q2509" s="152">
        <v>3.3560120000000002</v>
      </c>
      <c r="R2509" s="152" t="s">
        <v>1327</v>
      </c>
      <c r="S2509" s="152">
        <v>98.729122000000004</v>
      </c>
      <c r="T2509" s="152">
        <v>0</v>
      </c>
      <c r="U2509" s="152">
        <v>0.378687</v>
      </c>
      <c r="V2509" s="152">
        <v>0.28680800000000001</v>
      </c>
      <c r="W2509" s="152">
        <v>1000</v>
      </c>
      <c r="X2509" s="152" t="s">
        <v>23</v>
      </c>
      <c r="Y2509" s="152" t="s">
        <v>1328</v>
      </c>
      <c r="Z2509" s="152" t="s">
        <v>1327</v>
      </c>
    </row>
    <row r="2510" spans="1:26" x14ac:dyDescent="0.2">
      <c r="A2510" s="152" t="s">
        <v>3589</v>
      </c>
      <c r="B2510" s="152">
        <v>0</v>
      </c>
      <c r="C2510" s="151">
        <v>43566</v>
      </c>
      <c r="D2510" s="152">
        <v>0.46027400000000002</v>
      </c>
      <c r="E2510" s="152" t="s">
        <v>1325</v>
      </c>
      <c r="F2510" s="152" t="s">
        <v>1326</v>
      </c>
      <c r="G2510" s="152"/>
      <c r="H2510" s="152"/>
      <c r="I2510" s="152">
        <v>43299</v>
      </c>
      <c r="J2510" s="152">
        <v>3.55</v>
      </c>
      <c r="K2510" s="152" t="s">
        <v>1327</v>
      </c>
      <c r="L2510" s="152" t="s">
        <v>1327</v>
      </c>
      <c r="M2510" s="152" t="s">
        <v>1327</v>
      </c>
      <c r="N2510" s="152" t="s">
        <v>1327</v>
      </c>
      <c r="O2510" s="152">
        <v>3.3974039999999999</v>
      </c>
      <c r="P2510" s="152">
        <v>170.02048500000001</v>
      </c>
      <c r="Q2510" s="152">
        <v>3.3974039999999999</v>
      </c>
      <c r="R2510" s="152" t="s">
        <v>1327</v>
      </c>
      <c r="S2510" s="152">
        <v>98.460340000000002</v>
      </c>
      <c r="T2510" s="152">
        <v>0</v>
      </c>
      <c r="U2510" s="152">
        <v>0.45318700000000001</v>
      </c>
      <c r="V2510" s="152">
        <v>0.41075699999999998</v>
      </c>
      <c r="W2510" s="152">
        <v>1000</v>
      </c>
      <c r="X2510" s="152" t="s">
        <v>23</v>
      </c>
      <c r="Y2510" s="152" t="s">
        <v>1328</v>
      </c>
      <c r="Z2510" s="152" t="s">
        <v>1327</v>
      </c>
    </row>
    <row r="2511" spans="1:26" x14ac:dyDescent="0.2">
      <c r="A2511" s="152" t="s">
        <v>3590</v>
      </c>
      <c r="B2511" s="152">
        <v>0</v>
      </c>
      <c r="C2511" s="151">
        <v>43573</v>
      </c>
      <c r="D2511" s="152">
        <v>0.47945199999999999</v>
      </c>
      <c r="E2511" s="152" t="s">
        <v>1325</v>
      </c>
      <c r="F2511" s="152" t="s">
        <v>1326</v>
      </c>
      <c r="G2511" s="152"/>
      <c r="H2511" s="152"/>
      <c r="I2511" s="152">
        <v>43391</v>
      </c>
      <c r="J2511" s="152">
        <v>3.38</v>
      </c>
      <c r="K2511" s="152" t="s">
        <v>1327</v>
      </c>
      <c r="L2511" s="152" t="s">
        <v>1327</v>
      </c>
      <c r="M2511" s="152" t="s">
        <v>1327</v>
      </c>
      <c r="N2511" s="152" t="s">
        <v>1327</v>
      </c>
      <c r="O2511" s="152">
        <v>3.386126</v>
      </c>
      <c r="P2511" s="152">
        <v>167.84168600000001</v>
      </c>
      <c r="Q2511" s="152">
        <v>3.386126</v>
      </c>
      <c r="R2511" s="152" t="s">
        <v>1327</v>
      </c>
      <c r="S2511" s="152">
        <v>98.402450999999999</v>
      </c>
      <c r="T2511" s="152">
        <v>0</v>
      </c>
      <c r="U2511" s="152">
        <v>0.47179300000000002</v>
      </c>
      <c r="V2511" s="152">
        <v>0.44517600000000002</v>
      </c>
      <c r="W2511" s="152">
        <v>1000</v>
      </c>
      <c r="X2511" s="152" t="s">
        <v>23</v>
      </c>
      <c r="Y2511" s="152" t="s">
        <v>1328</v>
      </c>
      <c r="Z2511" s="152" t="s">
        <v>1327</v>
      </c>
    </row>
    <row r="2512" spans="1:26" x14ac:dyDescent="0.2">
      <c r="A2512" s="152" t="s">
        <v>3591</v>
      </c>
      <c r="B2512" s="152">
        <v>0</v>
      </c>
      <c r="C2512" s="151">
        <v>43455</v>
      </c>
      <c r="D2512" s="152">
        <v>0.156164</v>
      </c>
      <c r="E2512" s="152" t="s">
        <v>1325</v>
      </c>
      <c r="F2512" s="152" t="s">
        <v>1326</v>
      </c>
      <c r="G2512" s="152"/>
      <c r="H2512" s="152"/>
      <c r="I2512" s="152" t="s">
        <v>1327</v>
      </c>
      <c r="J2512" s="152" t="s">
        <v>1327</v>
      </c>
      <c r="K2512" s="152" t="s">
        <v>1327</v>
      </c>
      <c r="L2512" s="152" t="s">
        <v>1327</v>
      </c>
      <c r="M2512" s="152" t="s">
        <v>1327</v>
      </c>
      <c r="N2512" s="152" t="s">
        <v>1327</v>
      </c>
      <c r="O2512" s="152">
        <v>1.7375769999999999</v>
      </c>
      <c r="P2512" s="152">
        <v>35.451289000000003</v>
      </c>
      <c r="Q2512" s="152">
        <v>1.7375769999999999</v>
      </c>
      <c r="R2512" s="152" t="s">
        <v>1327</v>
      </c>
      <c r="S2512" s="152">
        <v>99.729387000000003</v>
      </c>
      <c r="T2512" s="152">
        <v>0</v>
      </c>
      <c r="U2512" s="152">
        <v>0.15574199999999999</v>
      </c>
      <c r="V2512" s="152">
        <v>4.8510999999999999E-2</v>
      </c>
      <c r="W2512" s="152">
        <v>1000</v>
      </c>
      <c r="X2512" s="152" t="s">
        <v>23</v>
      </c>
      <c r="Y2512" s="152" t="s">
        <v>1921</v>
      </c>
      <c r="Z2512" s="152" t="s">
        <v>1327</v>
      </c>
    </row>
    <row r="2513" spans="1:26" x14ac:dyDescent="0.2">
      <c r="A2513" s="152" t="s">
        <v>3592</v>
      </c>
      <c r="B2513" s="152">
        <v>0</v>
      </c>
      <c r="C2513" s="151">
        <v>43458</v>
      </c>
      <c r="D2513" s="152">
        <v>0.164384</v>
      </c>
      <c r="E2513" s="152" t="s">
        <v>1325</v>
      </c>
      <c r="F2513" s="152" t="s">
        <v>1326</v>
      </c>
      <c r="G2513" s="152"/>
      <c r="H2513" s="152"/>
      <c r="I2513" s="152" t="s">
        <v>1327</v>
      </c>
      <c r="J2513" s="152" t="s">
        <v>1327</v>
      </c>
      <c r="K2513" s="152" t="s">
        <v>1327</v>
      </c>
      <c r="L2513" s="152" t="s">
        <v>1327</v>
      </c>
      <c r="M2513" s="152" t="s">
        <v>1327</v>
      </c>
      <c r="N2513" s="152" t="s">
        <v>1327</v>
      </c>
      <c r="O2513" s="152">
        <v>1.7518419999999999</v>
      </c>
      <c r="P2513" s="152">
        <v>35.465584</v>
      </c>
      <c r="Q2513" s="152">
        <v>1.7518419999999999</v>
      </c>
      <c r="R2513" s="152" t="s">
        <v>1327</v>
      </c>
      <c r="S2513" s="152">
        <v>99.712852999999996</v>
      </c>
      <c r="T2513" s="152">
        <v>0</v>
      </c>
      <c r="U2513" s="152">
        <v>0.163912</v>
      </c>
      <c r="V2513" s="152">
        <v>5.3733999999999997E-2</v>
      </c>
      <c r="W2513" s="152">
        <v>1000</v>
      </c>
      <c r="X2513" s="152" t="s">
        <v>23</v>
      </c>
      <c r="Y2513" s="152" t="s">
        <v>1921</v>
      </c>
      <c r="Z2513" s="152" t="s">
        <v>1327</v>
      </c>
    </row>
    <row r="2514" spans="1:26" x14ac:dyDescent="0.2">
      <c r="A2514" s="152" t="s">
        <v>3593</v>
      </c>
      <c r="B2514" s="152">
        <v>0</v>
      </c>
      <c r="C2514" s="151">
        <v>43409</v>
      </c>
      <c r="D2514" s="152">
        <v>3.0137000000000001E-2</v>
      </c>
      <c r="E2514" s="152" t="s">
        <v>1325</v>
      </c>
      <c r="F2514" s="152" t="s">
        <v>1326</v>
      </c>
      <c r="G2514" s="152"/>
      <c r="H2514" s="152"/>
      <c r="I2514" s="152" t="s">
        <v>1327</v>
      </c>
      <c r="J2514" s="152" t="s">
        <v>1327</v>
      </c>
      <c r="K2514" s="152" t="s">
        <v>1327</v>
      </c>
      <c r="L2514" s="152" t="s">
        <v>1327</v>
      </c>
      <c r="M2514" s="152" t="s">
        <v>1327</v>
      </c>
      <c r="N2514" s="152" t="s">
        <v>1327</v>
      </c>
      <c r="O2514" s="152">
        <v>1.5670660000000001</v>
      </c>
      <c r="P2514" s="152">
        <v>41.189974999999997</v>
      </c>
      <c r="Q2514" s="152">
        <v>1.5670660000000001</v>
      </c>
      <c r="R2514" s="152" t="s">
        <v>1327</v>
      </c>
      <c r="S2514" s="152">
        <v>99.952796000000006</v>
      </c>
      <c r="T2514" s="152">
        <v>0</v>
      </c>
      <c r="U2514" s="152">
        <v>3.0123E-2</v>
      </c>
      <c r="V2514" s="152">
        <v>1.815E-3</v>
      </c>
      <c r="W2514" s="152">
        <v>1000</v>
      </c>
      <c r="X2514" s="152" t="s">
        <v>23</v>
      </c>
      <c r="Y2514" s="152" t="s">
        <v>1921</v>
      </c>
      <c r="Z2514" s="152" t="s">
        <v>1327</v>
      </c>
    </row>
    <row r="2515" spans="1:26" x14ac:dyDescent="0.2">
      <c r="A2515" s="152" t="s">
        <v>3594</v>
      </c>
      <c r="B2515" s="152">
        <v>0</v>
      </c>
      <c r="C2515" s="151">
        <v>43411</v>
      </c>
      <c r="D2515" s="152">
        <v>3.5616000000000002E-2</v>
      </c>
      <c r="E2515" s="152" t="s">
        <v>1325</v>
      </c>
      <c r="F2515" s="152" t="s">
        <v>1326</v>
      </c>
      <c r="G2515" s="152"/>
      <c r="H2515" s="152"/>
      <c r="I2515" s="152" t="s">
        <v>1327</v>
      </c>
      <c r="J2515" s="152" t="s">
        <v>1327</v>
      </c>
      <c r="K2515" s="152" t="s">
        <v>1327</v>
      </c>
      <c r="L2515" s="152" t="s">
        <v>1327</v>
      </c>
      <c r="M2515" s="152" t="s">
        <v>1327</v>
      </c>
      <c r="N2515" s="152" t="s">
        <v>1327</v>
      </c>
      <c r="O2515" s="152">
        <v>1.5668150000000001</v>
      </c>
      <c r="P2515" s="152">
        <v>40.166139000000001</v>
      </c>
      <c r="Q2515" s="152">
        <v>1.5668150000000001</v>
      </c>
      <c r="R2515" s="152" t="s">
        <v>1327</v>
      </c>
      <c r="S2515" s="152">
        <v>99.944226999999998</v>
      </c>
      <c r="T2515" s="152">
        <v>0</v>
      </c>
      <c r="U2515" s="152">
        <v>3.5596999999999997E-2</v>
      </c>
      <c r="V2515" s="152">
        <v>2.5339999999999998E-3</v>
      </c>
      <c r="W2515" s="152">
        <v>1000</v>
      </c>
      <c r="X2515" s="152" t="s">
        <v>23</v>
      </c>
      <c r="Y2515" s="152" t="s">
        <v>1921</v>
      </c>
      <c r="Z2515" s="152" t="s">
        <v>1327</v>
      </c>
    </row>
    <row r="2516" spans="1:26" x14ac:dyDescent="0.2">
      <c r="A2516" s="152" t="s">
        <v>3595</v>
      </c>
      <c r="B2516" s="152">
        <v>0</v>
      </c>
      <c r="C2516" s="151">
        <v>43425</v>
      </c>
      <c r="D2516" s="152">
        <v>7.3972999999999997E-2</v>
      </c>
      <c r="E2516" s="152" t="s">
        <v>1325</v>
      </c>
      <c r="F2516" s="152" t="s">
        <v>1326</v>
      </c>
      <c r="G2516" s="152"/>
      <c r="H2516" s="152"/>
      <c r="I2516" s="152" t="s">
        <v>1327</v>
      </c>
      <c r="J2516" s="152" t="s">
        <v>1327</v>
      </c>
      <c r="K2516" s="152" t="s">
        <v>1327</v>
      </c>
      <c r="L2516" s="152" t="s">
        <v>1327</v>
      </c>
      <c r="M2516" s="152" t="s">
        <v>1327</v>
      </c>
      <c r="N2516" s="152" t="s">
        <v>1327</v>
      </c>
      <c r="O2516" s="152">
        <v>1.597944</v>
      </c>
      <c r="P2516" s="152">
        <v>36.255150999999998</v>
      </c>
      <c r="Q2516" s="152">
        <v>1.597944</v>
      </c>
      <c r="R2516" s="152" t="s">
        <v>1327</v>
      </c>
      <c r="S2516" s="152">
        <v>99.881934999999999</v>
      </c>
      <c r="T2516" s="152">
        <v>0</v>
      </c>
      <c r="U2516" s="152">
        <v>7.3885000000000006E-2</v>
      </c>
      <c r="V2516" s="152">
        <v>1.0918000000000001E-2</v>
      </c>
      <c r="W2516" s="152">
        <v>1000</v>
      </c>
      <c r="X2516" s="152" t="s">
        <v>23</v>
      </c>
      <c r="Y2516" s="152" t="s">
        <v>1921</v>
      </c>
      <c r="Z2516" s="152" t="s">
        <v>1327</v>
      </c>
    </row>
    <row r="2517" spans="1:26" x14ac:dyDescent="0.2">
      <c r="A2517" s="152" t="s">
        <v>3596</v>
      </c>
      <c r="B2517" s="152">
        <v>0</v>
      </c>
      <c r="C2517" s="151">
        <v>43430</v>
      </c>
      <c r="D2517" s="152">
        <v>8.7670999999999999E-2</v>
      </c>
      <c r="E2517" s="152" t="s">
        <v>1325</v>
      </c>
      <c r="F2517" s="152" t="s">
        <v>1326</v>
      </c>
      <c r="G2517" s="152"/>
      <c r="H2517" s="152"/>
      <c r="I2517" s="151" t="s">
        <v>1327</v>
      </c>
      <c r="J2517" s="152" t="s">
        <v>1327</v>
      </c>
      <c r="K2517" s="152" t="s">
        <v>1327</v>
      </c>
      <c r="L2517" s="152" t="s">
        <v>1327</v>
      </c>
      <c r="M2517" s="152" t="s">
        <v>1327</v>
      </c>
      <c r="N2517" s="152" t="s">
        <v>1327</v>
      </c>
      <c r="O2517" s="152">
        <v>1.6208549999999999</v>
      </c>
      <c r="P2517" s="152">
        <v>36.041995999999997</v>
      </c>
      <c r="Q2517" s="152">
        <v>1.6208549999999999</v>
      </c>
      <c r="R2517" s="152" t="s">
        <v>1327</v>
      </c>
      <c r="S2517" s="152">
        <v>99.858098999999996</v>
      </c>
      <c r="T2517" s="152">
        <v>0</v>
      </c>
      <c r="U2517" s="152">
        <v>8.7547E-2</v>
      </c>
      <c r="V2517" s="152">
        <v>1.5329000000000001E-2</v>
      </c>
      <c r="W2517" s="152">
        <v>1000</v>
      </c>
      <c r="X2517" s="152" t="s">
        <v>23</v>
      </c>
      <c r="Y2517" s="152" t="s">
        <v>1921</v>
      </c>
      <c r="Z2517" s="152" t="s">
        <v>1327</v>
      </c>
    </row>
    <row r="2518" spans="1:26" x14ac:dyDescent="0.2">
      <c r="A2518" s="152" t="s">
        <v>3597</v>
      </c>
      <c r="B2518" s="152">
        <v>0</v>
      </c>
      <c r="C2518" s="151">
        <v>43432</v>
      </c>
      <c r="D2518" s="152">
        <v>9.3150999999999998E-2</v>
      </c>
      <c r="E2518" s="152" t="s">
        <v>1325</v>
      </c>
      <c r="F2518" s="152" t="s">
        <v>1326</v>
      </c>
      <c r="G2518" s="152"/>
      <c r="H2518" s="152"/>
      <c r="I2518" s="151" t="s">
        <v>1327</v>
      </c>
      <c r="J2518" s="152" t="s">
        <v>1327</v>
      </c>
      <c r="K2518" s="152" t="s">
        <v>1327</v>
      </c>
      <c r="L2518" s="152" t="s">
        <v>1327</v>
      </c>
      <c r="M2518" s="152" t="s">
        <v>1327</v>
      </c>
      <c r="N2518" s="152" t="s">
        <v>1327</v>
      </c>
      <c r="O2518" s="152">
        <v>1.630058</v>
      </c>
      <c r="P2518" s="152">
        <v>35.961860999999999</v>
      </c>
      <c r="Q2518" s="152">
        <v>1.630058</v>
      </c>
      <c r="R2518" s="152" t="s">
        <v>1327</v>
      </c>
      <c r="S2518" s="152">
        <v>99.848388999999997</v>
      </c>
      <c r="T2518" s="152">
        <v>0</v>
      </c>
      <c r="U2518" s="152">
        <v>9.3008999999999994E-2</v>
      </c>
      <c r="V2518" s="152">
        <v>1.7302000000000001E-2</v>
      </c>
      <c r="W2518" s="152">
        <v>1000</v>
      </c>
      <c r="X2518" s="152" t="s">
        <v>23</v>
      </c>
      <c r="Y2518" s="152" t="s">
        <v>1921</v>
      </c>
      <c r="Z2518" s="152" t="s">
        <v>1327</v>
      </c>
    </row>
    <row r="2519" spans="1:26" x14ac:dyDescent="0.2">
      <c r="A2519" s="152" t="s">
        <v>3598</v>
      </c>
      <c r="B2519" s="152">
        <v>0</v>
      </c>
      <c r="C2519" s="151">
        <v>43472</v>
      </c>
      <c r="D2519" s="152">
        <v>0.20274</v>
      </c>
      <c r="E2519" s="152" t="s">
        <v>1325</v>
      </c>
      <c r="F2519" s="152" t="s">
        <v>1326</v>
      </c>
      <c r="G2519" s="152"/>
      <c r="H2519" s="152"/>
      <c r="I2519" s="152" t="s">
        <v>1327</v>
      </c>
      <c r="J2519" s="152" t="s">
        <v>1327</v>
      </c>
      <c r="K2519" s="152" t="s">
        <v>1327</v>
      </c>
      <c r="L2519" s="152" t="s">
        <v>1327</v>
      </c>
      <c r="M2519" s="152" t="s">
        <v>1327</v>
      </c>
      <c r="N2519" s="152" t="s">
        <v>1327</v>
      </c>
      <c r="O2519" s="152">
        <v>1.8191889999999999</v>
      </c>
      <c r="P2519" s="152">
        <v>35.888151000000001</v>
      </c>
      <c r="Q2519" s="152">
        <v>1.8191889999999999</v>
      </c>
      <c r="R2519" s="152" t="s">
        <v>1327</v>
      </c>
      <c r="S2519" s="152">
        <v>99.632532999999995</v>
      </c>
      <c r="T2519" s="152">
        <v>0</v>
      </c>
      <c r="U2519" s="152">
        <v>0.20199500000000001</v>
      </c>
      <c r="V2519" s="152">
        <v>8.1603999999999996E-2</v>
      </c>
      <c r="W2519" s="152">
        <v>1000</v>
      </c>
      <c r="X2519" s="152" t="s">
        <v>23</v>
      </c>
      <c r="Y2519" s="152" t="s">
        <v>1921</v>
      </c>
      <c r="Z2519" s="152" t="s">
        <v>1327</v>
      </c>
    </row>
    <row r="2520" spans="1:26" x14ac:dyDescent="0.2">
      <c r="A2520" s="152" t="s">
        <v>3599</v>
      </c>
      <c r="B2520" s="152">
        <v>0</v>
      </c>
      <c r="C2520" s="151">
        <v>43473</v>
      </c>
      <c r="D2520" s="152">
        <v>0.20547899999999999</v>
      </c>
      <c r="E2520" s="152" t="s">
        <v>1325</v>
      </c>
      <c r="F2520" s="152" t="s">
        <v>1326</v>
      </c>
      <c r="G2520" s="152"/>
      <c r="H2520" s="152"/>
      <c r="I2520" s="151" t="s">
        <v>1327</v>
      </c>
      <c r="J2520" s="152" t="s">
        <v>1327</v>
      </c>
      <c r="K2520" s="152" t="s">
        <v>1327</v>
      </c>
      <c r="L2520" s="152" t="s">
        <v>1327</v>
      </c>
      <c r="M2520" s="152" t="s">
        <v>1327</v>
      </c>
      <c r="N2520" s="152" t="s">
        <v>1327</v>
      </c>
      <c r="O2520" s="152">
        <v>1.8240510000000001</v>
      </c>
      <c r="P2520" s="152">
        <v>35.943869999999997</v>
      </c>
      <c r="Q2520" s="152">
        <v>1.8240510000000001</v>
      </c>
      <c r="R2520" s="152" t="s">
        <v>1327</v>
      </c>
      <c r="S2520" s="152">
        <v>99.626594999999995</v>
      </c>
      <c r="T2520" s="152">
        <v>0</v>
      </c>
      <c r="U2520" s="152">
        <v>0.20471200000000001</v>
      </c>
      <c r="V2520" s="152">
        <v>8.3814E-2</v>
      </c>
      <c r="W2520" s="152">
        <v>1000</v>
      </c>
      <c r="X2520" s="152" t="s">
        <v>23</v>
      </c>
      <c r="Y2520" s="152" t="s">
        <v>1921</v>
      </c>
      <c r="Z2520" s="152" t="s">
        <v>1327</v>
      </c>
    </row>
    <row r="2521" spans="1:26" x14ac:dyDescent="0.2">
      <c r="A2521" s="152" t="s">
        <v>3600</v>
      </c>
      <c r="B2521" s="152">
        <v>0</v>
      </c>
      <c r="C2521" s="151">
        <v>43485</v>
      </c>
      <c r="D2521" s="152">
        <v>0.23835600000000001</v>
      </c>
      <c r="E2521" s="152" t="s">
        <v>1325</v>
      </c>
      <c r="F2521" s="152" t="s">
        <v>1326</v>
      </c>
      <c r="G2521" s="152"/>
      <c r="H2521" s="152"/>
      <c r="I2521" s="152" t="s">
        <v>1327</v>
      </c>
      <c r="J2521" s="152" t="s">
        <v>1327</v>
      </c>
      <c r="K2521" s="152" t="s">
        <v>1327</v>
      </c>
      <c r="L2521" s="152" t="s">
        <v>1327</v>
      </c>
      <c r="M2521" s="152" t="s">
        <v>1327</v>
      </c>
      <c r="N2521" s="152" t="s">
        <v>1327</v>
      </c>
      <c r="O2521" s="152">
        <v>1.8731629999999999</v>
      </c>
      <c r="P2521" s="152">
        <v>35.935592999999997</v>
      </c>
      <c r="Q2521" s="152">
        <v>1.8731629999999999</v>
      </c>
      <c r="R2521" s="152" t="s">
        <v>1327</v>
      </c>
      <c r="S2521" s="152">
        <v>99.555504999999997</v>
      </c>
      <c r="T2521" s="152">
        <v>0</v>
      </c>
      <c r="U2521" s="152">
        <v>0.23729700000000001</v>
      </c>
      <c r="V2521" s="152">
        <v>0.112619</v>
      </c>
      <c r="W2521" s="152">
        <v>1000</v>
      </c>
      <c r="X2521" s="152" t="s">
        <v>23</v>
      </c>
      <c r="Y2521" s="152" t="s">
        <v>1921</v>
      </c>
      <c r="Z2521" s="152" t="s">
        <v>1327</v>
      </c>
    </row>
    <row r="2522" spans="1:26" x14ac:dyDescent="0.2">
      <c r="A2522" s="152" t="s">
        <v>3601</v>
      </c>
      <c r="B2522" s="152">
        <v>0</v>
      </c>
      <c r="C2522" s="151">
        <v>43495</v>
      </c>
      <c r="D2522" s="152">
        <v>0.26575300000000002</v>
      </c>
      <c r="E2522" s="152" t="s">
        <v>1325</v>
      </c>
      <c r="F2522" s="152" t="s">
        <v>1326</v>
      </c>
      <c r="G2522" s="152"/>
      <c r="H2522" s="152"/>
      <c r="I2522" s="151" t="s">
        <v>1327</v>
      </c>
      <c r="J2522" s="152" t="s">
        <v>1327</v>
      </c>
      <c r="K2522" s="152" t="s">
        <v>1327</v>
      </c>
      <c r="L2522" s="152" t="s">
        <v>1327</v>
      </c>
      <c r="M2522" s="152" t="s">
        <v>1327</v>
      </c>
      <c r="N2522" s="152" t="s">
        <v>1327</v>
      </c>
      <c r="O2522" s="152">
        <v>1.8982209999999999</v>
      </c>
      <c r="P2522" s="152">
        <v>34.736313000000003</v>
      </c>
      <c r="Q2522" s="152">
        <v>1.8982209999999999</v>
      </c>
      <c r="R2522" s="152" t="s">
        <v>1327</v>
      </c>
      <c r="S2522" s="152">
        <v>99.498073000000005</v>
      </c>
      <c r="T2522" s="152">
        <v>0</v>
      </c>
      <c r="U2522" s="152">
        <v>0.26441999999999999</v>
      </c>
      <c r="V2522" s="152">
        <v>0.13983499999999999</v>
      </c>
      <c r="W2522" s="152">
        <v>1000</v>
      </c>
      <c r="X2522" s="152" t="s">
        <v>23</v>
      </c>
      <c r="Y2522" s="152" t="s">
        <v>1921</v>
      </c>
      <c r="Z2522" s="152" t="s">
        <v>1327</v>
      </c>
    </row>
    <row r="2523" spans="1:26" x14ac:dyDescent="0.2">
      <c r="A2523" s="152" t="s">
        <v>3602</v>
      </c>
      <c r="B2523" s="152">
        <v>0</v>
      </c>
      <c r="C2523" s="151">
        <v>43519</v>
      </c>
      <c r="D2523" s="152">
        <v>0.331507</v>
      </c>
      <c r="E2523" s="152" t="s">
        <v>1325</v>
      </c>
      <c r="F2523" s="152" t="s">
        <v>1326</v>
      </c>
      <c r="G2523" s="152"/>
      <c r="H2523" s="152"/>
      <c r="I2523" s="152" t="s">
        <v>1327</v>
      </c>
      <c r="J2523" s="152" t="s">
        <v>1327</v>
      </c>
      <c r="K2523" s="152" t="s">
        <v>1327</v>
      </c>
      <c r="L2523" s="152" t="s">
        <v>1327</v>
      </c>
      <c r="M2523" s="152" t="s">
        <v>1327</v>
      </c>
      <c r="N2523" s="152" t="s">
        <v>1327</v>
      </c>
      <c r="O2523" s="152">
        <v>1.958016</v>
      </c>
      <c r="P2523" s="152">
        <v>33.383806</v>
      </c>
      <c r="Q2523" s="152">
        <v>1.958016</v>
      </c>
      <c r="R2523" s="152" t="s">
        <v>1327</v>
      </c>
      <c r="S2523" s="152">
        <v>99.355090000000004</v>
      </c>
      <c r="T2523" s="152">
        <v>0</v>
      </c>
      <c r="U2523" s="152">
        <v>0.32936900000000002</v>
      </c>
      <c r="V2523" s="152">
        <v>0.21696799999999999</v>
      </c>
      <c r="W2523" s="152">
        <v>1000</v>
      </c>
      <c r="X2523" s="152" t="s">
        <v>23</v>
      </c>
      <c r="Y2523" s="152" t="s">
        <v>1921</v>
      </c>
      <c r="Z2523" s="152" t="s">
        <v>1327</v>
      </c>
    </row>
    <row r="2524" spans="1:26" x14ac:dyDescent="0.2">
      <c r="A2524" s="152" t="s">
        <v>3603</v>
      </c>
      <c r="B2524" s="152">
        <v>0</v>
      </c>
      <c r="C2524" s="151">
        <v>43520</v>
      </c>
      <c r="D2524" s="152">
        <v>0.33424700000000002</v>
      </c>
      <c r="E2524" s="152" t="s">
        <v>1325</v>
      </c>
      <c r="F2524" s="152" t="s">
        <v>1326</v>
      </c>
      <c r="G2524" s="152"/>
      <c r="H2524" s="152"/>
      <c r="I2524" s="152" t="s">
        <v>1327</v>
      </c>
      <c r="J2524" s="152" t="s">
        <v>1327</v>
      </c>
      <c r="K2524" s="152" t="s">
        <v>1327</v>
      </c>
      <c r="L2524" s="152" t="s">
        <v>1327</v>
      </c>
      <c r="M2524" s="152" t="s">
        <v>1327</v>
      </c>
      <c r="N2524" s="152" t="s">
        <v>1327</v>
      </c>
      <c r="O2524" s="152">
        <v>1.9604919999999999</v>
      </c>
      <c r="P2524" s="152">
        <v>33.369506999999999</v>
      </c>
      <c r="Q2524" s="152">
        <v>1.9604919999999999</v>
      </c>
      <c r="R2524" s="152" t="s">
        <v>1327</v>
      </c>
      <c r="S2524" s="152">
        <v>99.348978000000002</v>
      </c>
      <c r="T2524" s="152">
        <v>0</v>
      </c>
      <c r="U2524" s="152">
        <v>0.33207100000000001</v>
      </c>
      <c r="V2524" s="152">
        <v>0.22054199999999999</v>
      </c>
      <c r="W2524" s="152">
        <v>1000</v>
      </c>
      <c r="X2524" s="152" t="s">
        <v>23</v>
      </c>
      <c r="Y2524" s="152" t="s">
        <v>1921</v>
      </c>
      <c r="Z2524" s="152" t="s">
        <v>1327</v>
      </c>
    </row>
    <row r="2525" spans="1:26" x14ac:dyDescent="0.2">
      <c r="A2525" s="152" t="s">
        <v>3604</v>
      </c>
      <c r="B2525" s="152">
        <v>0</v>
      </c>
      <c r="C2525" s="151">
        <v>43542</v>
      </c>
      <c r="D2525" s="152">
        <v>0.39452100000000001</v>
      </c>
      <c r="E2525" s="152" t="s">
        <v>1325</v>
      </c>
      <c r="F2525" s="152" t="s">
        <v>1326</v>
      </c>
      <c r="G2525" s="152"/>
      <c r="H2525" s="152"/>
      <c r="I2525" s="151" t="s">
        <v>1327</v>
      </c>
      <c r="J2525" s="152" t="s">
        <v>1327</v>
      </c>
      <c r="K2525" s="152" t="s">
        <v>1327</v>
      </c>
      <c r="L2525" s="152" t="s">
        <v>1327</v>
      </c>
      <c r="M2525" s="152" t="s">
        <v>1327</v>
      </c>
      <c r="N2525" s="152" t="s">
        <v>1327</v>
      </c>
      <c r="O2525" s="152">
        <v>2.014475</v>
      </c>
      <c r="P2525" s="152">
        <v>33.778542000000002</v>
      </c>
      <c r="Q2525" s="152">
        <v>2.014475</v>
      </c>
      <c r="R2525" s="152" t="s">
        <v>1327</v>
      </c>
      <c r="S2525" s="152">
        <v>99.211515000000006</v>
      </c>
      <c r="T2525" s="152">
        <v>0</v>
      </c>
      <c r="U2525" s="152">
        <v>0.39140999999999998</v>
      </c>
      <c r="V2525" s="152">
        <v>0.30640299999999998</v>
      </c>
      <c r="W2525" s="152">
        <v>1000</v>
      </c>
      <c r="X2525" s="152" t="s">
        <v>23</v>
      </c>
      <c r="Y2525" s="152" t="s">
        <v>1921</v>
      </c>
      <c r="Z2525" s="152" t="s">
        <v>1327</v>
      </c>
    </row>
    <row r="2526" spans="1:26" x14ac:dyDescent="0.2">
      <c r="A2526" s="152" t="s">
        <v>3605</v>
      </c>
      <c r="B2526" s="152">
        <v>0</v>
      </c>
      <c r="C2526" s="151">
        <v>43548</v>
      </c>
      <c r="D2526" s="152">
        <v>0.41095900000000002</v>
      </c>
      <c r="E2526" s="152" t="s">
        <v>1325</v>
      </c>
      <c r="F2526" s="152" t="s">
        <v>1326</v>
      </c>
      <c r="G2526" s="152"/>
      <c r="H2526" s="152"/>
      <c r="I2526" s="152" t="s">
        <v>1327</v>
      </c>
      <c r="J2526" s="152" t="s">
        <v>1327</v>
      </c>
      <c r="K2526" s="152" t="s">
        <v>1327</v>
      </c>
      <c r="L2526" s="152" t="s">
        <v>1327</v>
      </c>
      <c r="M2526" s="152" t="s">
        <v>1327</v>
      </c>
      <c r="N2526" s="152" t="s">
        <v>1327</v>
      </c>
      <c r="O2526" s="152">
        <v>2.0290140000000001</v>
      </c>
      <c r="P2526" s="152">
        <v>34.104298</v>
      </c>
      <c r="Q2526" s="152">
        <v>2.0290140000000001</v>
      </c>
      <c r="R2526" s="152" t="s">
        <v>1327</v>
      </c>
      <c r="S2526" s="152">
        <v>99.173053999999993</v>
      </c>
      <c r="T2526" s="152">
        <v>0</v>
      </c>
      <c r="U2526" s="152">
        <v>0.40755999999999998</v>
      </c>
      <c r="V2526" s="152">
        <v>0.33221099999999998</v>
      </c>
      <c r="W2526" s="152">
        <v>1000</v>
      </c>
      <c r="X2526" s="152" t="s">
        <v>23</v>
      </c>
      <c r="Y2526" s="152" t="s">
        <v>1921</v>
      </c>
      <c r="Z2526" s="152" t="s">
        <v>1327</v>
      </c>
    </row>
    <row r="2527" spans="1:26" x14ac:dyDescent="0.2">
      <c r="A2527" s="152" t="s">
        <v>3606</v>
      </c>
      <c r="B2527" s="152">
        <v>0</v>
      </c>
      <c r="C2527" s="151">
        <v>43548</v>
      </c>
      <c r="D2527" s="152">
        <v>0.41095900000000002</v>
      </c>
      <c r="E2527" s="152" t="s">
        <v>1325</v>
      </c>
      <c r="F2527" s="152" t="s">
        <v>1326</v>
      </c>
      <c r="G2527" s="152"/>
      <c r="H2527" s="152"/>
      <c r="I2527" s="151" t="s">
        <v>1327</v>
      </c>
      <c r="J2527" s="152" t="s">
        <v>1327</v>
      </c>
      <c r="K2527" s="152" t="s">
        <v>1327</v>
      </c>
      <c r="L2527" s="152" t="s">
        <v>1327</v>
      </c>
      <c r="M2527" s="152" t="s">
        <v>1327</v>
      </c>
      <c r="N2527" s="152" t="s">
        <v>1327</v>
      </c>
      <c r="O2527" s="152">
        <v>2.0290140000000001</v>
      </c>
      <c r="P2527" s="152">
        <v>34.104298</v>
      </c>
      <c r="Q2527" s="152">
        <v>2.0290140000000001</v>
      </c>
      <c r="R2527" s="152" t="s">
        <v>1327</v>
      </c>
      <c r="S2527" s="152">
        <v>99.173053999999993</v>
      </c>
      <c r="T2527" s="152">
        <v>0</v>
      </c>
      <c r="U2527" s="152">
        <v>0.40755999999999998</v>
      </c>
      <c r="V2527" s="152">
        <v>0.33221099999999998</v>
      </c>
      <c r="W2527" s="152">
        <v>1000</v>
      </c>
      <c r="X2527" s="152" t="s">
        <v>23</v>
      </c>
      <c r="Y2527" s="152" t="s">
        <v>1921</v>
      </c>
      <c r="Z2527" s="152" t="s">
        <v>1327</v>
      </c>
    </row>
    <row r="2528" spans="1:26" x14ac:dyDescent="0.2">
      <c r="A2528" s="152" t="s">
        <v>3607</v>
      </c>
      <c r="B2528" s="152">
        <v>0</v>
      </c>
      <c r="C2528" s="151">
        <v>43549</v>
      </c>
      <c r="D2528" s="152">
        <v>0.41369899999999998</v>
      </c>
      <c r="E2528" s="152" t="s">
        <v>1325</v>
      </c>
      <c r="F2528" s="152" t="s">
        <v>1326</v>
      </c>
      <c r="G2528" s="152"/>
      <c r="H2528" s="152"/>
      <c r="I2528" s="151" t="s">
        <v>1327</v>
      </c>
      <c r="J2528" s="152" t="s">
        <v>1327</v>
      </c>
      <c r="K2528" s="152" t="s">
        <v>1327</v>
      </c>
      <c r="L2528" s="152" t="s">
        <v>1327</v>
      </c>
      <c r="M2528" s="152" t="s">
        <v>1327</v>
      </c>
      <c r="N2528" s="152" t="s">
        <v>1327</v>
      </c>
      <c r="O2528" s="152">
        <v>2.031428</v>
      </c>
      <c r="P2528" s="152">
        <v>34.166426999999999</v>
      </c>
      <c r="Q2528" s="152">
        <v>2.031428</v>
      </c>
      <c r="R2528" s="152" t="s">
        <v>1327</v>
      </c>
      <c r="S2528" s="152">
        <v>99.166605000000004</v>
      </c>
      <c r="T2528" s="152">
        <v>0</v>
      </c>
      <c r="U2528" s="152">
        <v>0.41025099999999998</v>
      </c>
      <c r="V2528" s="152">
        <v>0.33661200000000002</v>
      </c>
      <c r="W2528" s="152">
        <v>1000</v>
      </c>
      <c r="X2528" s="152" t="s">
        <v>23</v>
      </c>
      <c r="Y2528" s="152" t="s">
        <v>1921</v>
      </c>
      <c r="Z2528" s="152" t="s">
        <v>1327</v>
      </c>
    </row>
    <row r="2529" spans="1:26" x14ac:dyDescent="0.2">
      <c r="A2529" s="152" t="s">
        <v>3608</v>
      </c>
      <c r="B2529" s="152">
        <v>0</v>
      </c>
      <c r="C2529" s="151">
        <v>43550</v>
      </c>
      <c r="D2529" s="152">
        <v>0.41643799999999997</v>
      </c>
      <c r="E2529" s="152" t="s">
        <v>1325</v>
      </c>
      <c r="F2529" s="152" t="s">
        <v>1326</v>
      </c>
      <c r="G2529" s="152"/>
      <c r="H2529" s="152"/>
      <c r="I2529" s="151" t="s">
        <v>1327</v>
      </c>
      <c r="J2529" s="152" t="s">
        <v>1327</v>
      </c>
      <c r="K2529" s="152" t="s">
        <v>1327</v>
      </c>
      <c r="L2529" s="152" t="s">
        <v>1327</v>
      </c>
      <c r="M2529" s="152" t="s">
        <v>1327</v>
      </c>
      <c r="N2529" s="152" t="s">
        <v>1327</v>
      </c>
      <c r="O2529" s="152">
        <v>2.033839</v>
      </c>
      <c r="P2529" s="152">
        <v>34.230708</v>
      </c>
      <c r="Q2529" s="152">
        <v>2.033839</v>
      </c>
      <c r="R2529" s="152" t="s">
        <v>1327</v>
      </c>
      <c r="S2529" s="152">
        <v>99.160145</v>
      </c>
      <c r="T2529" s="152">
        <v>0</v>
      </c>
      <c r="U2529" s="152">
        <v>0.412941</v>
      </c>
      <c r="V2529" s="152">
        <v>0.34104000000000001</v>
      </c>
      <c r="W2529" s="152">
        <v>1000</v>
      </c>
      <c r="X2529" s="152" t="s">
        <v>23</v>
      </c>
      <c r="Y2529" s="152" t="s">
        <v>1921</v>
      </c>
      <c r="Z2529" s="152" t="s">
        <v>1327</v>
      </c>
    </row>
    <row r="2530" spans="1:26" x14ac:dyDescent="0.2">
      <c r="A2530" s="152" t="s">
        <v>3609</v>
      </c>
      <c r="B2530" s="152">
        <v>0</v>
      </c>
      <c r="C2530" s="151">
        <v>43551</v>
      </c>
      <c r="D2530" s="152">
        <v>0.419178</v>
      </c>
      <c r="E2530" s="152" t="s">
        <v>1325</v>
      </c>
      <c r="F2530" s="152" t="s">
        <v>1326</v>
      </c>
      <c r="G2530" s="152"/>
      <c r="H2530" s="152"/>
      <c r="I2530" s="151" t="s">
        <v>1327</v>
      </c>
      <c r="J2530" s="152" t="s">
        <v>1327</v>
      </c>
      <c r="K2530" s="152" t="s">
        <v>1327</v>
      </c>
      <c r="L2530" s="152" t="s">
        <v>1327</v>
      </c>
      <c r="M2530" s="152" t="s">
        <v>1327</v>
      </c>
      <c r="N2530" s="152" t="s">
        <v>1327</v>
      </c>
      <c r="O2530" s="152">
        <v>2.0362490000000002</v>
      </c>
      <c r="P2530" s="152">
        <v>34.297111000000001</v>
      </c>
      <c r="Q2530" s="152">
        <v>2.0362490000000002</v>
      </c>
      <c r="R2530" s="152" t="s">
        <v>1327</v>
      </c>
      <c r="S2530" s="152">
        <v>99.153672999999998</v>
      </c>
      <c r="T2530" s="152">
        <v>0</v>
      </c>
      <c r="U2530" s="152">
        <v>0.41563</v>
      </c>
      <c r="V2530" s="152">
        <v>0.345497</v>
      </c>
      <c r="W2530" s="152">
        <v>1000</v>
      </c>
      <c r="X2530" s="152" t="s">
        <v>23</v>
      </c>
      <c r="Y2530" s="152" t="s">
        <v>1921</v>
      </c>
      <c r="Z2530" s="152" t="s">
        <v>1327</v>
      </c>
    </row>
    <row r="2531" spans="1:26" x14ac:dyDescent="0.2">
      <c r="A2531" s="152" t="s">
        <v>3610</v>
      </c>
      <c r="B2531" s="152">
        <v>0</v>
      </c>
      <c r="C2531" s="151">
        <v>43554</v>
      </c>
      <c r="D2531" s="152">
        <v>0.42739700000000003</v>
      </c>
      <c r="E2531" s="152" t="s">
        <v>1325</v>
      </c>
      <c r="F2531" s="152" t="s">
        <v>1326</v>
      </c>
      <c r="G2531" s="152"/>
      <c r="H2531" s="152"/>
      <c r="I2531" s="152" t="s">
        <v>1327</v>
      </c>
      <c r="J2531" s="152" t="s">
        <v>1327</v>
      </c>
      <c r="K2531" s="152" t="s">
        <v>1327</v>
      </c>
      <c r="L2531" s="152" t="s">
        <v>1327</v>
      </c>
      <c r="M2531" s="152" t="s">
        <v>1327</v>
      </c>
      <c r="N2531" s="152" t="s">
        <v>1327</v>
      </c>
      <c r="O2531" s="152">
        <v>2.0434589999999999</v>
      </c>
      <c r="P2531" s="152">
        <v>34.508721999999999</v>
      </c>
      <c r="Q2531" s="152">
        <v>2.0434589999999999</v>
      </c>
      <c r="R2531" s="152" t="s">
        <v>1327</v>
      </c>
      <c r="S2531" s="152">
        <v>99.134192999999996</v>
      </c>
      <c r="T2531" s="152">
        <v>0</v>
      </c>
      <c r="U2531" s="152">
        <v>0.42369699999999999</v>
      </c>
      <c r="V2531" s="152">
        <v>0.35903800000000002</v>
      </c>
      <c r="W2531" s="152">
        <v>1000</v>
      </c>
      <c r="X2531" s="152" t="s">
        <v>23</v>
      </c>
      <c r="Y2531" s="152" t="s">
        <v>1921</v>
      </c>
      <c r="Z2531" s="152" t="s">
        <v>1327</v>
      </c>
    </row>
    <row r="2532" spans="1:26" x14ac:dyDescent="0.2">
      <c r="A2532" s="152" t="s">
        <v>3611</v>
      </c>
      <c r="B2532" s="152">
        <v>0</v>
      </c>
      <c r="C2532" s="151">
        <v>43445</v>
      </c>
      <c r="D2532" s="152">
        <v>0.12876699999999999</v>
      </c>
      <c r="E2532" s="152" t="s">
        <v>1325</v>
      </c>
      <c r="F2532" s="152" t="s">
        <v>1326</v>
      </c>
      <c r="G2532" s="152"/>
      <c r="H2532" s="152"/>
      <c r="I2532" s="152" t="s">
        <v>1327</v>
      </c>
      <c r="J2532" s="152" t="s">
        <v>1327</v>
      </c>
      <c r="K2532" s="152" t="s">
        <v>1327</v>
      </c>
      <c r="L2532" s="152" t="s">
        <v>1327</v>
      </c>
      <c r="M2532" s="152" t="s">
        <v>1327</v>
      </c>
      <c r="N2532" s="152" t="s">
        <v>1327</v>
      </c>
      <c r="O2532" s="152">
        <v>2.049544</v>
      </c>
      <c r="P2532" s="152">
        <v>72.057606000000007</v>
      </c>
      <c r="Q2532" s="152">
        <v>2.049544</v>
      </c>
      <c r="R2532" s="152" t="s">
        <v>1327</v>
      </c>
      <c r="S2532" s="152">
        <v>99.736780999999993</v>
      </c>
      <c r="T2532" s="152">
        <v>0</v>
      </c>
      <c r="U2532" s="152">
        <v>0.12842799999999999</v>
      </c>
      <c r="V2532" s="152">
        <v>3.2988000000000003E-2</v>
      </c>
      <c r="W2532" s="152">
        <v>1000</v>
      </c>
      <c r="X2532" s="152" t="s">
        <v>23</v>
      </c>
      <c r="Y2532" s="152" t="s">
        <v>1328</v>
      </c>
      <c r="Z2532" s="152" t="s">
        <v>1327</v>
      </c>
    </row>
    <row r="2533" spans="1:26" x14ac:dyDescent="0.2">
      <c r="A2533" s="152" t="s">
        <v>3612</v>
      </c>
      <c r="B2533" s="152">
        <v>0</v>
      </c>
      <c r="C2533" s="151">
        <v>43445</v>
      </c>
      <c r="D2533" s="152">
        <v>0.12876699999999999</v>
      </c>
      <c r="E2533" s="152" t="s">
        <v>1325</v>
      </c>
      <c r="F2533" s="152" t="s">
        <v>1326</v>
      </c>
      <c r="G2533" s="152"/>
      <c r="H2533" s="152"/>
      <c r="I2533" s="152">
        <v>43263</v>
      </c>
      <c r="J2533" s="152">
        <v>2.1</v>
      </c>
      <c r="K2533" s="152" t="s">
        <v>1327</v>
      </c>
      <c r="L2533" s="152" t="s">
        <v>1327</v>
      </c>
      <c r="M2533" s="152" t="s">
        <v>1327</v>
      </c>
      <c r="N2533" s="152" t="s">
        <v>1327</v>
      </c>
      <c r="O2533" s="152">
        <v>2.049544</v>
      </c>
      <c r="P2533" s="152">
        <v>72.057606000000007</v>
      </c>
      <c r="Q2533" s="152">
        <v>2.049544</v>
      </c>
      <c r="R2533" s="152" t="s">
        <v>1327</v>
      </c>
      <c r="S2533" s="152">
        <v>99.736780999999993</v>
      </c>
      <c r="T2533" s="152">
        <v>0</v>
      </c>
      <c r="U2533" s="152">
        <v>0.12842799999999999</v>
      </c>
      <c r="V2533" s="152">
        <v>3.2988000000000003E-2</v>
      </c>
      <c r="W2533" s="152">
        <v>1000</v>
      </c>
      <c r="X2533" s="152" t="s">
        <v>23</v>
      </c>
      <c r="Y2533" s="152" t="s">
        <v>1328</v>
      </c>
      <c r="Z2533" s="152" t="s">
        <v>1327</v>
      </c>
    </row>
    <row r="2534" spans="1:26" x14ac:dyDescent="0.2">
      <c r="A2534" s="152" t="s">
        <v>3613</v>
      </c>
      <c r="B2534" s="152">
        <v>0</v>
      </c>
      <c r="C2534" s="151">
        <v>43452</v>
      </c>
      <c r="D2534" s="152">
        <v>0.14794499999999999</v>
      </c>
      <c r="E2534" s="152" t="s">
        <v>1325</v>
      </c>
      <c r="F2534" s="152" t="s">
        <v>1326</v>
      </c>
      <c r="G2534" s="152"/>
      <c r="H2534" s="152"/>
      <c r="I2534" s="152">
        <v>43265</v>
      </c>
      <c r="J2534" s="152">
        <v>2.1</v>
      </c>
      <c r="K2534" s="152" t="s">
        <v>1327</v>
      </c>
      <c r="L2534" s="152" t="s">
        <v>1327</v>
      </c>
      <c r="M2534" s="152" t="s">
        <v>1327</v>
      </c>
      <c r="N2534" s="152" t="s">
        <v>1327</v>
      </c>
      <c r="O2534" s="152">
        <v>2.0824669999999998</v>
      </c>
      <c r="P2534" s="152">
        <v>71.955646999999999</v>
      </c>
      <c r="Q2534" s="152">
        <v>2.0824669999999998</v>
      </c>
      <c r="R2534" s="152" t="s">
        <v>1327</v>
      </c>
      <c r="S2534" s="152">
        <v>99.692854999999994</v>
      </c>
      <c r="T2534" s="152">
        <v>0</v>
      </c>
      <c r="U2534" s="152">
        <v>0.14749100000000001</v>
      </c>
      <c r="V2534" s="152">
        <v>4.3506999999999997E-2</v>
      </c>
      <c r="W2534" s="152">
        <v>1000</v>
      </c>
      <c r="X2534" s="152" t="s">
        <v>23</v>
      </c>
      <c r="Y2534" s="152" t="s">
        <v>1328</v>
      </c>
      <c r="Z2534" s="152" t="s">
        <v>1327</v>
      </c>
    </row>
    <row r="2535" spans="1:26" x14ac:dyDescent="0.2">
      <c r="A2535" s="152" t="s">
        <v>3614</v>
      </c>
      <c r="B2535" s="152">
        <v>0</v>
      </c>
      <c r="C2535" s="151">
        <v>43452</v>
      </c>
      <c r="D2535" s="152">
        <v>0.14794499999999999</v>
      </c>
      <c r="E2535" s="152" t="s">
        <v>1325</v>
      </c>
      <c r="F2535" s="152" t="s">
        <v>1326</v>
      </c>
      <c r="G2535" s="152"/>
      <c r="H2535" s="152"/>
      <c r="I2535" s="151">
        <v>43270</v>
      </c>
      <c r="J2535" s="152">
        <v>2.1</v>
      </c>
      <c r="K2535" s="152" t="s">
        <v>1327</v>
      </c>
      <c r="L2535" s="152" t="s">
        <v>1327</v>
      </c>
      <c r="M2535" s="152" t="s">
        <v>1327</v>
      </c>
      <c r="N2535" s="152" t="s">
        <v>1327</v>
      </c>
      <c r="O2535" s="152">
        <v>2.0824669999999998</v>
      </c>
      <c r="P2535" s="152">
        <v>71.955646999999999</v>
      </c>
      <c r="Q2535" s="152">
        <v>2.0824669999999998</v>
      </c>
      <c r="R2535" s="152" t="s">
        <v>1327</v>
      </c>
      <c r="S2535" s="152">
        <v>99.692854999999994</v>
      </c>
      <c r="T2535" s="152">
        <v>0</v>
      </c>
      <c r="U2535" s="152">
        <v>0.14749100000000001</v>
      </c>
      <c r="V2535" s="152">
        <v>4.3506999999999997E-2</v>
      </c>
      <c r="W2535" s="152">
        <v>1000</v>
      </c>
      <c r="X2535" s="152" t="s">
        <v>23</v>
      </c>
      <c r="Y2535" s="152" t="s">
        <v>1328</v>
      </c>
      <c r="Z2535" s="152" t="s">
        <v>1327</v>
      </c>
    </row>
    <row r="2536" spans="1:26" x14ac:dyDescent="0.2">
      <c r="A2536" s="152" t="s">
        <v>3615</v>
      </c>
      <c r="B2536" s="152">
        <v>0</v>
      </c>
      <c r="C2536" s="151">
        <v>43454</v>
      </c>
      <c r="D2536" s="152">
        <v>0.15342500000000001</v>
      </c>
      <c r="E2536" s="152" t="s">
        <v>1325</v>
      </c>
      <c r="F2536" s="152" t="s">
        <v>1326</v>
      </c>
      <c r="G2536" s="152"/>
      <c r="H2536" s="152"/>
      <c r="I2536" s="152">
        <v>43279</v>
      </c>
      <c r="J2536" s="152">
        <v>2.1</v>
      </c>
      <c r="K2536" s="152" t="s">
        <v>1327</v>
      </c>
      <c r="L2536" s="152" t="s">
        <v>1327</v>
      </c>
      <c r="M2536" s="152" t="s">
        <v>1327</v>
      </c>
      <c r="N2536" s="152" t="s">
        <v>1327</v>
      </c>
      <c r="O2536" s="152">
        <v>2.0919289999999999</v>
      </c>
      <c r="P2536" s="152">
        <v>71.946292999999997</v>
      </c>
      <c r="Q2536" s="152">
        <v>2.0919289999999999</v>
      </c>
      <c r="R2536" s="152" t="s">
        <v>1327</v>
      </c>
      <c r="S2536" s="152">
        <v>99.680072999999993</v>
      </c>
      <c r="T2536" s="152">
        <v>0</v>
      </c>
      <c r="U2536" s="152">
        <v>0.15293399999999999</v>
      </c>
      <c r="V2536" s="152">
        <v>4.6778E-2</v>
      </c>
      <c r="W2536" s="152">
        <v>1000</v>
      </c>
      <c r="X2536" s="152" t="s">
        <v>23</v>
      </c>
      <c r="Y2536" s="152" t="s">
        <v>1328</v>
      </c>
      <c r="Z2536" s="152" t="s">
        <v>1327</v>
      </c>
    </row>
    <row r="2537" spans="1:26" x14ac:dyDescent="0.2">
      <c r="A2537" s="152" t="s">
        <v>3616</v>
      </c>
      <c r="B2537" s="152">
        <v>0</v>
      </c>
      <c r="C2537" s="151">
        <v>43410</v>
      </c>
      <c r="D2537" s="152">
        <v>3.2877000000000003E-2</v>
      </c>
      <c r="E2537" s="152" t="s">
        <v>1325</v>
      </c>
      <c r="F2537" s="152" t="s">
        <v>1326</v>
      </c>
      <c r="G2537" s="152"/>
      <c r="H2537" s="152"/>
      <c r="I2537" s="152" t="s">
        <v>1327</v>
      </c>
      <c r="J2537" s="152" t="s">
        <v>1327</v>
      </c>
      <c r="K2537" s="152" t="s">
        <v>1327</v>
      </c>
      <c r="L2537" s="152" t="s">
        <v>1327</v>
      </c>
      <c r="M2537" s="152" t="s">
        <v>1327</v>
      </c>
      <c r="N2537" s="152" t="s">
        <v>1327</v>
      </c>
      <c r="O2537" s="152">
        <v>1.9260710000000001</v>
      </c>
      <c r="P2537" s="152">
        <v>77.203244999999995</v>
      </c>
      <c r="Q2537" s="152">
        <v>1.9260710000000001</v>
      </c>
      <c r="R2537" s="152" t="s">
        <v>1327</v>
      </c>
      <c r="S2537" s="152">
        <v>99.936717000000002</v>
      </c>
      <c r="T2537" s="152">
        <v>0</v>
      </c>
      <c r="U2537" s="152">
        <v>3.2856000000000003E-2</v>
      </c>
      <c r="V2537" s="152">
        <v>2.1589999999999999E-3</v>
      </c>
      <c r="W2537" s="152">
        <v>1000</v>
      </c>
      <c r="X2537" s="152" t="s">
        <v>23</v>
      </c>
      <c r="Y2537" s="152" t="s">
        <v>1328</v>
      </c>
      <c r="Z2537" s="152" t="s">
        <v>1327</v>
      </c>
    </row>
    <row r="2538" spans="1:26" x14ac:dyDescent="0.2">
      <c r="A2538" s="152" t="s">
        <v>3617</v>
      </c>
      <c r="B2538" s="152">
        <v>0</v>
      </c>
      <c r="C2538" s="151">
        <v>43410</v>
      </c>
      <c r="D2538" s="152">
        <v>3.2877000000000003E-2</v>
      </c>
      <c r="E2538" s="152" t="s">
        <v>1325</v>
      </c>
      <c r="F2538" s="152" t="s">
        <v>1326</v>
      </c>
      <c r="G2538" s="152"/>
      <c r="H2538" s="152"/>
      <c r="I2538" s="152" t="s">
        <v>1327</v>
      </c>
      <c r="J2538" s="152" t="s">
        <v>1327</v>
      </c>
      <c r="K2538" s="152" t="s">
        <v>1327</v>
      </c>
      <c r="L2538" s="152" t="s">
        <v>1327</v>
      </c>
      <c r="M2538" s="152" t="s">
        <v>1327</v>
      </c>
      <c r="N2538" s="152" t="s">
        <v>1327</v>
      </c>
      <c r="O2538" s="152">
        <v>1.9260710000000001</v>
      </c>
      <c r="P2538" s="152">
        <v>77.203244999999995</v>
      </c>
      <c r="Q2538" s="152">
        <v>1.9260710000000001</v>
      </c>
      <c r="R2538" s="152" t="s">
        <v>1327</v>
      </c>
      <c r="S2538" s="152">
        <v>99.936717000000002</v>
      </c>
      <c r="T2538" s="152">
        <v>0</v>
      </c>
      <c r="U2538" s="152">
        <v>3.2856000000000003E-2</v>
      </c>
      <c r="V2538" s="152">
        <v>2.1589999999999999E-3</v>
      </c>
      <c r="W2538" s="152">
        <v>1000</v>
      </c>
      <c r="X2538" s="152" t="s">
        <v>23</v>
      </c>
      <c r="Y2538" s="152" t="s">
        <v>1328</v>
      </c>
      <c r="Z2538" s="152" t="s">
        <v>1327</v>
      </c>
    </row>
    <row r="2539" spans="1:26" x14ac:dyDescent="0.2">
      <c r="A2539" s="152" t="s">
        <v>3618</v>
      </c>
      <c r="B2539" s="152">
        <v>0</v>
      </c>
      <c r="C2539" s="151">
        <v>43410</v>
      </c>
      <c r="D2539" s="152">
        <v>3.2877000000000003E-2</v>
      </c>
      <c r="E2539" s="152" t="s">
        <v>1325</v>
      </c>
      <c r="F2539" s="152" t="s">
        <v>1326</v>
      </c>
      <c r="G2539" s="152"/>
      <c r="H2539" s="152"/>
      <c r="I2539" s="152" t="s">
        <v>1327</v>
      </c>
      <c r="J2539" s="152" t="s">
        <v>1327</v>
      </c>
      <c r="K2539" s="152" t="s">
        <v>1327</v>
      </c>
      <c r="L2539" s="152" t="s">
        <v>1327</v>
      </c>
      <c r="M2539" s="152" t="s">
        <v>1327</v>
      </c>
      <c r="N2539" s="152" t="s">
        <v>1327</v>
      </c>
      <c r="O2539" s="152">
        <v>1.9260710000000001</v>
      </c>
      <c r="P2539" s="152">
        <v>77.203244999999995</v>
      </c>
      <c r="Q2539" s="152">
        <v>1.9260710000000001</v>
      </c>
      <c r="R2539" s="152" t="s">
        <v>1327</v>
      </c>
      <c r="S2539" s="152">
        <v>99.936717000000002</v>
      </c>
      <c r="T2539" s="152">
        <v>0</v>
      </c>
      <c r="U2539" s="152">
        <v>3.2856000000000003E-2</v>
      </c>
      <c r="V2539" s="152">
        <v>2.1589999999999999E-3</v>
      </c>
      <c r="W2539" s="152">
        <v>1000</v>
      </c>
      <c r="X2539" s="152" t="s">
        <v>23</v>
      </c>
      <c r="Y2539" s="152" t="s">
        <v>1328</v>
      </c>
      <c r="Z2539" s="152" t="s">
        <v>1327</v>
      </c>
    </row>
    <row r="2540" spans="1:26" x14ac:dyDescent="0.2">
      <c r="A2540" s="152" t="s">
        <v>3619</v>
      </c>
      <c r="B2540" s="152">
        <v>0</v>
      </c>
      <c r="C2540" s="151">
        <v>43417</v>
      </c>
      <c r="D2540" s="152">
        <v>5.2054999999999997E-2</v>
      </c>
      <c r="E2540" s="152" t="s">
        <v>1325</v>
      </c>
      <c r="F2540" s="152" t="s">
        <v>1326</v>
      </c>
      <c r="G2540" s="152"/>
      <c r="H2540" s="152"/>
      <c r="I2540" s="152" t="s">
        <v>1327</v>
      </c>
      <c r="J2540" s="152" t="s">
        <v>1327</v>
      </c>
      <c r="K2540" s="152" t="s">
        <v>1327</v>
      </c>
      <c r="L2540" s="152" t="s">
        <v>1327</v>
      </c>
      <c r="M2540" s="152" t="s">
        <v>1327</v>
      </c>
      <c r="N2540" s="152" t="s">
        <v>1327</v>
      </c>
      <c r="O2540" s="152">
        <v>1.9253100000000001</v>
      </c>
      <c r="P2540" s="152">
        <v>73.596923000000004</v>
      </c>
      <c r="Q2540" s="152">
        <v>1.9253100000000001</v>
      </c>
      <c r="R2540" s="152" t="s">
        <v>1327</v>
      </c>
      <c r="S2540" s="152">
        <v>99.899878999999999</v>
      </c>
      <c r="T2540" s="152">
        <v>0</v>
      </c>
      <c r="U2540" s="152">
        <v>5.2003000000000001E-2</v>
      </c>
      <c r="V2540" s="152">
        <v>5.4089999999999997E-3</v>
      </c>
      <c r="W2540" s="152">
        <v>1000</v>
      </c>
      <c r="X2540" s="152" t="s">
        <v>23</v>
      </c>
      <c r="Y2540" s="152" t="s">
        <v>1328</v>
      </c>
      <c r="Z2540" s="152" t="s">
        <v>1327</v>
      </c>
    </row>
    <row r="2541" spans="1:26" x14ac:dyDescent="0.2">
      <c r="A2541" s="152" t="s">
        <v>3620</v>
      </c>
      <c r="B2541" s="152">
        <v>0</v>
      </c>
      <c r="C2541" s="151">
        <v>43417</v>
      </c>
      <c r="D2541" s="152">
        <v>5.2054999999999997E-2</v>
      </c>
      <c r="E2541" s="152" t="s">
        <v>1325</v>
      </c>
      <c r="F2541" s="152" t="s">
        <v>1326</v>
      </c>
      <c r="G2541" s="152"/>
      <c r="H2541" s="152"/>
      <c r="I2541" s="151">
        <v>43242</v>
      </c>
      <c r="J2541" s="152">
        <v>2.1</v>
      </c>
      <c r="K2541" s="152" t="s">
        <v>1327</v>
      </c>
      <c r="L2541" s="152" t="s">
        <v>1327</v>
      </c>
      <c r="M2541" s="152" t="s">
        <v>1327</v>
      </c>
      <c r="N2541" s="152" t="s">
        <v>1327</v>
      </c>
      <c r="O2541" s="152">
        <v>1.9253100000000001</v>
      </c>
      <c r="P2541" s="152">
        <v>73.596923000000004</v>
      </c>
      <c r="Q2541" s="152">
        <v>1.9253100000000001</v>
      </c>
      <c r="R2541" s="152" t="s">
        <v>1327</v>
      </c>
      <c r="S2541" s="152">
        <v>99.899878999999999</v>
      </c>
      <c r="T2541" s="152">
        <v>0</v>
      </c>
      <c r="U2541" s="152">
        <v>5.2003000000000001E-2</v>
      </c>
      <c r="V2541" s="152">
        <v>5.4089999999999997E-3</v>
      </c>
      <c r="W2541" s="152">
        <v>1000</v>
      </c>
      <c r="X2541" s="152" t="s">
        <v>23</v>
      </c>
      <c r="Y2541" s="152" t="s">
        <v>1328</v>
      </c>
      <c r="Z2541" s="152" t="s">
        <v>1327</v>
      </c>
    </row>
    <row r="2542" spans="1:26" x14ac:dyDescent="0.2">
      <c r="A2542" s="152" t="s">
        <v>3621</v>
      </c>
      <c r="B2542" s="152">
        <v>0</v>
      </c>
      <c r="C2542" s="151">
        <v>43424</v>
      </c>
      <c r="D2542" s="152">
        <v>7.1233000000000005E-2</v>
      </c>
      <c r="E2542" s="152" t="s">
        <v>1325</v>
      </c>
      <c r="F2542" s="152" t="s">
        <v>1326</v>
      </c>
      <c r="G2542" s="152"/>
      <c r="H2542" s="152"/>
      <c r="I2542" s="151" t="s">
        <v>1327</v>
      </c>
      <c r="J2542" s="152" t="s">
        <v>1327</v>
      </c>
      <c r="K2542" s="152" t="s">
        <v>1327</v>
      </c>
      <c r="L2542" s="152" t="s">
        <v>1327</v>
      </c>
      <c r="M2542" s="152" t="s">
        <v>1327</v>
      </c>
      <c r="N2542" s="152" t="s">
        <v>1327</v>
      </c>
      <c r="O2542" s="152">
        <v>1.952501</v>
      </c>
      <c r="P2542" s="152">
        <v>72.80762</v>
      </c>
      <c r="Q2542" s="152">
        <v>1.952501</v>
      </c>
      <c r="R2542" s="152" t="s">
        <v>1327</v>
      </c>
      <c r="S2542" s="152">
        <v>99.861110999999994</v>
      </c>
      <c r="T2542" s="152">
        <v>0</v>
      </c>
      <c r="U2542" s="152">
        <v>7.1134000000000003E-2</v>
      </c>
      <c r="V2542" s="152">
        <v>1.0120000000000001E-2</v>
      </c>
      <c r="W2542" s="152">
        <v>1000</v>
      </c>
      <c r="X2542" s="152" t="s">
        <v>23</v>
      </c>
      <c r="Y2542" s="152" t="s">
        <v>1328</v>
      </c>
      <c r="Z2542" s="152" t="s">
        <v>1327</v>
      </c>
    </row>
    <row r="2543" spans="1:26" x14ac:dyDescent="0.2">
      <c r="A2543" s="152" t="s">
        <v>3622</v>
      </c>
      <c r="B2543" s="152">
        <v>0</v>
      </c>
      <c r="C2543" s="151">
        <v>43431</v>
      </c>
      <c r="D2543" s="152">
        <v>9.0411000000000005E-2</v>
      </c>
      <c r="E2543" s="152" t="s">
        <v>1325</v>
      </c>
      <c r="F2543" s="152" t="s">
        <v>1326</v>
      </c>
      <c r="G2543" s="152"/>
      <c r="H2543" s="152"/>
      <c r="I2543" s="151" t="s">
        <v>1327</v>
      </c>
      <c r="J2543" s="152" t="s">
        <v>1327</v>
      </c>
      <c r="K2543" s="152" t="s">
        <v>1327</v>
      </c>
      <c r="L2543" s="152" t="s">
        <v>1327</v>
      </c>
      <c r="M2543" s="152" t="s">
        <v>1327</v>
      </c>
      <c r="N2543" s="152" t="s">
        <v>1327</v>
      </c>
      <c r="O2543" s="152">
        <v>1.984572</v>
      </c>
      <c r="P2543" s="152">
        <v>72.507264000000006</v>
      </c>
      <c r="Q2543" s="152">
        <v>1.984572</v>
      </c>
      <c r="R2543" s="152" t="s">
        <v>1327</v>
      </c>
      <c r="S2543" s="152">
        <v>99.820893999999996</v>
      </c>
      <c r="T2543" s="152">
        <v>0</v>
      </c>
      <c r="U2543" s="152">
        <v>9.0248999999999996E-2</v>
      </c>
      <c r="V2543" s="152">
        <v>1.6289999999999999E-2</v>
      </c>
      <c r="W2543" s="152">
        <v>1000</v>
      </c>
      <c r="X2543" s="152" t="s">
        <v>23</v>
      </c>
      <c r="Y2543" s="152" t="s">
        <v>1328</v>
      </c>
      <c r="Z2543" s="152" t="s">
        <v>1327</v>
      </c>
    </row>
    <row r="2544" spans="1:26" x14ac:dyDescent="0.2">
      <c r="A2544" s="152" t="s">
        <v>3623</v>
      </c>
      <c r="B2544" s="152">
        <v>0</v>
      </c>
      <c r="C2544" s="151">
        <v>43431</v>
      </c>
      <c r="D2544" s="152">
        <v>9.0411000000000005E-2</v>
      </c>
      <c r="E2544" s="152" t="s">
        <v>1325</v>
      </c>
      <c r="F2544" s="152" t="s">
        <v>1326</v>
      </c>
      <c r="G2544" s="152"/>
      <c r="H2544" s="152"/>
      <c r="I2544" s="152" t="s">
        <v>1327</v>
      </c>
      <c r="J2544" s="152" t="s">
        <v>1327</v>
      </c>
      <c r="K2544" s="152" t="s">
        <v>1327</v>
      </c>
      <c r="L2544" s="152" t="s">
        <v>1327</v>
      </c>
      <c r="M2544" s="152" t="s">
        <v>1327</v>
      </c>
      <c r="N2544" s="152" t="s">
        <v>1327</v>
      </c>
      <c r="O2544" s="152">
        <v>1.984572</v>
      </c>
      <c r="P2544" s="152">
        <v>72.507264000000006</v>
      </c>
      <c r="Q2544" s="152">
        <v>1.984572</v>
      </c>
      <c r="R2544" s="152" t="s">
        <v>1327</v>
      </c>
      <c r="S2544" s="152">
        <v>99.820893999999996</v>
      </c>
      <c r="T2544" s="152">
        <v>0</v>
      </c>
      <c r="U2544" s="152">
        <v>9.0248999999999996E-2</v>
      </c>
      <c r="V2544" s="152">
        <v>1.6289999999999999E-2</v>
      </c>
      <c r="W2544" s="152">
        <v>1000</v>
      </c>
      <c r="X2544" s="152" t="s">
        <v>23</v>
      </c>
      <c r="Y2544" s="152" t="s">
        <v>1328</v>
      </c>
      <c r="Z2544" s="152" t="s">
        <v>1327</v>
      </c>
    </row>
    <row r="2545" spans="1:26" x14ac:dyDescent="0.2">
      <c r="A2545" s="152" t="s">
        <v>3624</v>
      </c>
      <c r="B2545" s="152">
        <v>0</v>
      </c>
      <c r="C2545" s="151">
        <v>43404</v>
      </c>
      <c r="D2545" s="152">
        <v>1.6438000000000001E-2</v>
      </c>
      <c r="E2545" s="152" t="s">
        <v>1325</v>
      </c>
      <c r="F2545" s="152" t="s">
        <v>1326</v>
      </c>
      <c r="G2545" s="152"/>
      <c r="H2545" s="152"/>
      <c r="I2545" s="151" t="s">
        <v>1327</v>
      </c>
      <c r="J2545" s="152" t="s">
        <v>1327</v>
      </c>
      <c r="K2545" s="152" t="s">
        <v>1327</v>
      </c>
      <c r="L2545" s="152" t="s">
        <v>1327</v>
      </c>
      <c r="M2545" s="152" t="s">
        <v>1327</v>
      </c>
      <c r="N2545" s="152" t="s">
        <v>1327</v>
      </c>
      <c r="O2545" s="152">
        <v>1.9269160000000001</v>
      </c>
      <c r="P2545" s="152">
        <v>80.273706000000004</v>
      </c>
      <c r="Q2545" s="152">
        <v>1.9269160000000001</v>
      </c>
      <c r="R2545" s="152" t="s">
        <v>1327</v>
      </c>
      <c r="S2545" s="152">
        <v>99.968334999999996</v>
      </c>
      <c r="T2545" s="152">
        <v>0</v>
      </c>
      <c r="U2545" s="152">
        <v>1.6433E-2</v>
      </c>
      <c r="V2545" s="152">
        <v>5.4000000000000001E-4</v>
      </c>
      <c r="W2545" s="152">
        <v>1000</v>
      </c>
      <c r="X2545" s="152" t="s">
        <v>23</v>
      </c>
      <c r="Y2545" s="152" t="s">
        <v>1328</v>
      </c>
      <c r="Z2545" s="152" t="s">
        <v>1327</v>
      </c>
    </row>
    <row r="2546" spans="1:26" x14ac:dyDescent="0.2">
      <c r="A2546" s="152" t="s">
        <v>3625</v>
      </c>
      <c r="B2546" s="152">
        <v>0</v>
      </c>
      <c r="C2546" s="151">
        <v>43472</v>
      </c>
      <c r="D2546" s="152">
        <v>0.20274</v>
      </c>
      <c r="E2546" s="152" t="s">
        <v>1325</v>
      </c>
      <c r="F2546" s="152" t="s">
        <v>1326</v>
      </c>
      <c r="G2546" s="152"/>
      <c r="H2546" s="152"/>
      <c r="I2546" s="152" t="s">
        <v>1327</v>
      </c>
      <c r="J2546" s="152" t="s">
        <v>1327</v>
      </c>
      <c r="K2546" s="152" t="s">
        <v>1327</v>
      </c>
      <c r="L2546" s="152" t="s">
        <v>1327</v>
      </c>
      <c r="M2546" s="152" t="s">
        <v>1327</v>
      </c>
      <c r="N2546" s="152" t="s">
        <v>1327</v>
      </c>
      <c r="O2546" s="152">
        <v>2.1782560000000002</v>
      </c>
      <c r="P2546" s="152">
        <v>72.370367000000002</v>
      </c>
      <c r="Q2546" s="152">
        <v>2.1782560000000002</v>
      </c>
      <c r="R2546" s="152" t="s">
        <v>1327</v>
      </c>
      <c r="S2546" s="152">
        <v>99.560322999999997</v>
      </c>
      <c r="T2546" s="152">
        <v>0</v>
      </c>
      <c r="U2546" s="152">
        <v>0.201848</v>
      </c>
      <c r="V2546" s="152">
        <v>8.1485000000000002E-2</v>
      </c>
      <c r="W2546" s="152">
        <v>1000</v>
      </c>
      <c r="X2546" s="152" t="s">
        <v>23</v>
      </c>
      <c r="Y2546" s="152" t="s">
        <v>1328</v>
      </c>
      <c r="Z2546" s="152" t="s">
        <v>1327</v>
      </c>
    </row>
    <row r="2547" spans="1:26" x14ac:dyDescent="0.2">
      <c r="A2547" s="152" t="s">
        <v>3626</v>
      </c>
      <c r="B2547" s="152">
        <v>0</v>
      </c>
      <c r="C2547" s="151">
        <v>43473</v>
      </c>
      <c r="D2547" s="152">
        <v>0.20547899999999999</v>
      </c>
      <c r="E2547" s="152" t="s">
        <v>1325</v>
      </c>
      <c r="F2547" s="152" t="s">
        <v>1326</v>
      </c>
      <c r="G2547" s="152"/>
      <c r="H2547" s="152"/>
      <c r="I2547" s="152" t="s">
        <v>1327</v>
      </c>
      <c r="J2547" s="152" t="s">
        <v>1327</v>
      </c>
      <c r="K2547" s="152" t="s">
        <v>1327</v>
      </c>
      <c r="L2547" s="152" t="s">
        <v>1327</v>
      </c>
      <c r="M2547" s="152" t="s">
        <v>1327</v>
      </c>
      <c r="N2547" s="152" t="s">
        <v>1327</v>
      </c>
      <c r="O2547" s="152">
        <v>2.1831149999999999</v>
      </c>
      <c r="P2547" s="152">
        <v>72.425307000000004</v>
      </c>
      <c r="Q2547" s="152">
        <v>2.1831149999999999</v>
      </c>
      <c r="R2547" s="152" t="s">
        <v>1327</v>
      </c>
      <c r="S2547" s="152">
        <v>99.553417999999994</v>
      </c>
      <c r="T2547" s="152">
        <v>0</v>
      </c>
      <c r="U2547" s="152">
        <v>0.20456199999999999</v>
      </c>
      <c r="V2547" s="152">
        <v>8.3691000000000002E-2</v>
      </c>
      <c r="W2547" s="152">
        <v>1000</v>
      </c>
      <c r="X2547" s="152" t="s">
        <v>23</v>
      </c>
      <c r="Y2547" s="152" t="s">
        <v>1328</v>
      </c>
      <c r="Z2547" s="152" t="s">
        <v>1327</v>
      </c>
    </row>
    <row r="2548" spans="1:26" x14ac:dyDescent="0.2">
      <c r="A2548" s="152" t="s">
        <v>3627</v>
      </c>
      <c r="B2548" s="152">
        <v>0</v>
      </c>
      <c r="C2548" s="151">
        <v>43475</v>
      </c>
      <c r="D2548" s="152">
        <v>0.21095900000000001</v>
      </c>
      <c r="E2548" s="152" t="s">
        <v>1325</v>
      </c>
      <c r="F2548" s="152" t="s">
        <v>1326</v>
      </c>
      <c r="G2548" s="152"/>
      <c r="H2548" s="152"/>
      <c r="I2548" s="152">
        <v>43292</v>
      </c>
      <c r="J2548" s="152">
        <v>2.1</v>
      </c>
      <c r="K2548" s="152" t="s">
        <v>1327</v>
      </c>
      <c r="L2548" s="152" t="s">
        <v>1327</v>
      </c>
      <c r="M2548" s="152" t="s">
        <v>1327</v>
      </c>
      <c r="N2548" s="152" t="s">
        <v>1327</v>
      </c>
      <c r="O2548" s="152">
        <v>2.1928550000000002</v>
      </c>
      <c r="P2548" s="152">
        <v>72.546552000000005</v>
      </c>
      <c r="Q2548" s="152">
        <v>2.1928550000000002</v>
      </c>
      <c r="R2548" s="152" t="s">
        <v>1327</v>
      </c>
      <c r="S2548" s="152">
        <v>99.539528000000004</v>
      </c>
      <c r="T2548" s="152">
        <v>0</v>
      </c>
      <c r="U2548" s="152">
        <v>0.20998700000000001</v>
      </c>
      <c r="V2548" s="152">
        <v>8.8189000000000003E-2</v>
      </c>
      <c r="W2548" s="152">
        <v>1000</v>
      </c>
      <c r="X2548" s="152" t="s">
        <v>23</v>
      </c>
      <c r="Y2548" s="152" t="s">
        <v>1328</v>
      </c>
      <c r="Z2548" s="152" t="s">
        <v>1327</v>
      </c>
    </row>
    <row r="2549" spans="1:26" x14ac:dyDescent="0.2">
      <c r="A2549" s="152" t="s">
        <v>3628</v>
      </c>
      <c r="B2549" s="152">
        <v>0</v>
      </c>
      <c r="C2549" s="151">
        <v>43481</v>
      </c>
      <c r="D2549" s="152">
        <v>0.22739699999999999</v>
      </c>
      <c r="E2549" s="152" t="s">
        <v>1325</v>
      </c>
      <c r="F2549" s="152" t="s">
        <v>1326</v>
      </c>
      <c r="G2549" s="152"/>
      <c r="H2549" s="152"/>
      <c r="I2549" s="151" t="s">
        <v>1327</v>
      </c>
      <c r="J2549" s="152" t="s">
        <v>1327</v>
      </c>
      <c r="K2549" s="152" t="s">
        <v>1327</v>
      </c>
      <c r="L2549" s="152" t="s">
        <v>1327</v>
      </c>
      <c r="M2549" s="152" t="s">
        <v>1327</v>
      </c>
      <c r="N2549" s="152" t="s">
        <v>1327</v>
      </c>
      <c r="O2549" s="152">
        <v>2.2222430000000002</v>
      </c>
      <c r="P2549" s="152">
        <v>73.006274000000005</v>
      </c>
      <c r="Q2549" s="152">
        <v>2.2222430000000002</v>
      </c>
      <c r="R2549" s="152" t="s">
        <v>1327</v>
      </c>
      <c r="S2549" s="152">
        <v>99.497208999999998</v>
      </c>
      <c r="T2549" s="152">
        <v>0</v>
      </c>
      <c r="U2549" s="152">
        <v>0.22625400000000001</v>
      </c>
      <c r="V2549" s="152">
        <v>0.102382</v>
      </c>
      <c r="W2549" s="152">
        <v>1000</v>
      </c>
      <c r="X2549" s="152" t="s">
        <v>23</v>
      </c>
      <c r="Y2549" s="152" t="s">
        <v>1328</v>
      </c>
      <c r="Z2549" s="152" t="s">
        <v>1327</v>
      </c>
    </row>
    <row r="2550" spans="1:26" x14ac:dyDescent="0.2">
      <c r="A2550" s="152" t="s">
        <v>3629</v>
      </c>
      <c r="B2550" s="152">
        <v>0</v>
      </c>
      <c r="C2550" s="151">
        <v>43482</v>
      </c>
      <c r="D2550" s="152">
        <v>0.23013700000000001</v>
      </c>
      <c r="E2550" s="152" t="s">
        <v>1325</v>
      </c>
      <c r="F2550" s="152" t="s">
        <v>1326</v>
      </c>
      <c r="G2550" s="152"/>
      <c r="H2550" s="152"/>
      <c r="I2550" s="151" t="s">
        <v>1327</v>
      </c>
      <c r="J2550" s="152" t="s">
        <v>1327</v>
      </c>
      <c r="K2550" s="152" t="s">
        <v>1327</v>
      </c>
      <c r="L2550" s="152" t="s">
        <v>1327</v>
      </c>
      <c r="M2550" s="152" t="s">
        <v>1327</v>
      </c>
      <c r="N2550" s="152" t="s">
        <v>1327</v>
      </c>
      <c r="O2550" s="152">
        <v>2.2247249999999998</v>
      </c>
      <c r="P2550" s="152">
        <v>72.849322000000001</v>
      </c>
      <c r="Q2550" s="152">
        <v>2.2247249999999998</v>
      </c>
      <c r="R2550" s="152" t="s">
        <v>1327</v>
      </c>
      <c r="S2550" s="152">
        <v>99.490616000000003</v>
      </c>
      <c r="T2550" s="152">
        <v>0</v>
      </c>
      <c r="U2550" s="152">
        <v>0.228965</v>
      </c>
      <c r="V2550" s="152">
        <v>0.10485</v>
      </c>
      <c r="W2550" s="152">
        <v>1000</v>
      </c>
      <c r="X2550" s="152" t="s">
        <v>23</v>
      </c>
      <c r="Y2550" s="152" t="s">
        <v>1328</v>
      </c>
      <c r="Z2550" s="152" t="s">
        <v>1327</v>
      </c>
    </row>
    <row r="2551" spans="1:26" x14ac:dyDescent="0.2">
      <c r="A2551" s="152" t="s">
        <v>3630</v>
      </c>
      <c r="B2551" s="152">
        <v>0</v>
      </c>
      <c r="C2551" s="151">
        <v>43482</v>
      </c>
      <c r="D2551" s="152">
        <v>0.23013700000000001</v>
      </c>
      <c r="E2551" s="152" t="s">
        <v>1325</v>
      </c>
      <c r="F2551" s="152" t="s">
        <v>1326</v>
      </c>
      <c r="G2551" s="152"/>
      <c r="H2551" s="152"/>
      <c r="I2551" s="152" t="s">
        <v>1327</v>
      </c>
      <c r="J2551" s="152" t="s">
        <v>1327</v>
      </c>
      <c r="K2551" s="152" t="s">
        <v>1327</v>
      </c>
      <c r="L2551" s="152" t="s">
        <v>1327</v>
      </c>
      <c r="M2551" s="152" t="s">
        <v>1327</v>
      </c>
      <c r="N2551" s="152" t="s">
        <v>1327</v>
      </c>
      <c r="O2551" s="152">
        <v>2.2254510000000001</v>
      </c>
      <c r="P2551" s="152">
        <v>72.923123000000004</v>
      </c>
      <c r="Q2551" s="152">
        <v>2.2254510000000001</v>
      </c>
      <c r="R2551" s="152" t="s">
        <v>1327</v>
      </c>
      <c r="S2551" s="152">
        <v>99.490450999999993</v>
      </c>
      <c r="T2551" s="152">
        <v>0</v>
      </c>
      <c r="U2551" s="152">
        <v>0.228964</v>
      </c>
      <c r="V2551" s="152">
        <v>0.104849</v>
      </c>
      <c r="W2551" s="152">
        <v>1000</v>
      </c>
      <c r="X2551" s="152" t="s">
        <v>23</v>
      </c>
      <c r="Y2551" s="152" t="s">
        <v>1328</v>
      </c>
      <c r="Z2551" s="152" t="s">
        <v>1327</v>
      </c>
    </row>
    <row r="2552" spans="1:26" x14ac:dyDescent="0.2">
      <c r="A2552" s="152" t="s">
        <v>1277</v>
      </c>
      <c r="B2552" s="152">
        <v>0</v>
      </c>
      <c r="C2552" s="151">
        <v>43487</v>
      </c>
      <c r="D2552" s="152">
        <v>0.243836</v>
      </c>
      <c r="E2552" s="152" t="s">
        <v>1325</v>
      </c>
      <c r="F2552" s="152" t="s">
        <v>1326</v>
      </c>
      <c r="G2552" s="152"/>
      <c r="H2552" s="152"/>
      <c r="I2552" s="151">
        <v>43397</v>
      </c>
      <c r="J2552" s="152">
        <v>2.23</v>
      </c>
      <c r="K2552" s="152" t="s">
        <v>1327</v>
      </c>
      <c r="L2552" s="152" t="s">
        <v>1327</v>
      </c>
      <c r="M2552" s="152" t="s">
        <v>1327</v>
      </c>
      <c r="N2552" s="152" t="s">
        <v>1327</v>
      </c>
      <c r="O2552" s="152">
        <v>2.23</v>
      </c>
      <c r="P2552" s="152">
        <v>71.395319999999998</v>
      </c>
      <c r="Q2552" s="152">
        <v>2.23</v>
      </c>
      <c r="R2552" s="152" t="s">
        <v>1327</v>
      </c>
      <c r="S2552" s="152">
        <v>99.459187</v>
      </c>
      <c r="T2552" s="152">
        <v>0</v>
      </c>
      <c r="U2552" s="152">
        <v>0.24251700000000001</v>
      </c>
      <c r="V2552" s="152">
        <v>0.117629</v>
      </c>
      <c r="W2552" s="152">
        <v>1000</v>
      </c>
      <c r="X2552" s="152" t="s">
        <v>23</v>
      </c>
      <c r="Y2552" s="152" t="s">
        <v>1328</v>
      </c>
      <c r="Z2552" s="152" t="s">
        <v>1327</v>
      </c>
    </row>
    <row r="2553" spans="1:26" x14ac:dyDescent="0.2">
      <c r="A2553" s="152" t="s">
        <v>3631</v>
      </c>
      <c r="B2553" s="152">
        <v>0</v>
      </c>
      <c r="C2553" s="151">
        <v>43488</v>
      </c>
      <c r="D2553" s="152">
        <v>0.24657499999999999</v>
      </c>
      <c r="E2553" s="152" t="s">
        <v>1325</v>
      </c>
      <c r="F2553" s="152" t="s">
        <v>1326</v>
      </c>
      <c r="G2553" s="152"/>
      <c r="H2553" s="152"/>
      <c r="I2553" s="151" t="s">
        <v>1327</v>
      </c>
      <c r="J2553" s="152" t="s">
        <v>1327</v>
      </c>
      <c r="K2553" s="152" t="s">
        <v>1327</v>
      </c>
      <c r="L2553" s="152" t="s">
        <v>1327</v>
      </c>
      <c r="M2553" s="152" t="s">
        <v>1327</v>
      </c>
      <c r="N2553" s="152" t="s">
        <v>1327</v>
      </c>
      <c r="O2553" s="152">
        <v>2.2200479999999998</v>
      </c>
      <c r="P2553" s="152">
        <v>69.996854999999996</v>
      </c>
      <c r="Q2553" s="152">
        <v>2.2200479999999998</v>
      </c>
      <c r="R2553" s="152" t="s">
        <v>1327</v>
      </c>
      <c r="S2553" s="152">
        <v>99.455571000000006</v>
      </c>
      <c r="T2553" s="152">
        <v>0</v>
      </c>
      <c r="U2553" s="152">
        <v>0.24523300000000001</v>
      </c>
      <c r="V2553" s="152">
        <v>0.120278</v>
      </c>
      <c r="W2553" s="152">
        <v>1000</v>
      </c>
      <c r="X2553" s="152" t="s">
        <v>23</v>
      </c>
      <c r="Y2553" s="152" t="s">
        <v>1328</v>
      </c>
      <c r="Z2553" s="152" t="s">
        <v>1327</v>
      </c>
    </row>
    <row r="2554" spans="1:26" x14ac:dyDescent="0.2">
      <c r="A2554" s="152" t="s">
        <v>3632</v>
      </c>
      <c r="B2554" s="152">
        <v>0</v>
      </c>
      <c r="C2554" s="151">
        <v>43494</v>
      </c>
      <c r="D2554" s="152">
        <v>0.26301400000000003</v>
      </c>
      <c r="E2554" s="152" t="s">
        <v>1325</v>
      </c>
      <c r="F2554" s="152" t="s">
        <v>1326</v>
      </c>
      <c r="G2554" s="152"/>
      <c r="H2554" s="152"/>
      <c r="I2554" s="151" t="s">
        <v>1327</v>
      </c>
      <c r="J2554" s="152" t="s">
        <v>1327</v>
      </c>
      <c r="K2554" s="152" t="s">
        <v>1327</v>
      </c>
      <c r="L2554" s="152" t="s">
        <v>1327</v>
      </c>
      <c r="M2554" s="152" t="s">
        <v>1327</v>
      </c>
      <c r="N2554" s="152" t="s">
        <v>1327</v>
      </c>
      <c r="O2554" s="152">
        <v>2.215392</v>
      </c>
      <c r="P2554" s="152">
        <v>67.292362999999995</v>
      </c>
      <c r="Q2554" s="152">
        <v>2.215392</v>
      </c>
      <c r="R2554" s="152" t="s">
        <v>1327</v>
      </c>
      <c r="S2554" s="152">
        <v>99.420697000000004</v>
      </c>
      <c r="T2554" s="152">
        <v>0</v>
      </c>
      <c r="U2554" s="152">
        <v>0.26149</v>
      </c>
      <c r="V2554" s="152">
        <v>0.13675399999999999</v>
      </c>
      <c r="W2554" s="152">
        <v>1000</v>
      </c>
      <c r="X2554" s="152" t="s">
        <v>23</v>
      </c>
      <c r="Y2554" s="152" t="s">
        <v>1328</v>
      </c>
      <c r="Z2554" s="152" t="s">
        <v>1327</v>
      </c>
    </row>
    <row r="2555" spans="1:26" x14ac:dyDescent="0.2">
      <c r="A2555" s="152" t="s">
        <v>3633</v>
      </c>
      <c r="B2555" s="152">
        <v>0</v>
      </c>
      <c r="C2555" s="151">
        <v>43510</v>
      </c>
      <c r="D2555" s="152">
        <v>0.30684899999999998</v>
      </c>
      <c r="E2555" s="152" t="s">
        <v>1325</v>
      </c>
      <c r="F2555" s="152" t="s">
        <v>1326</v>
      </c>
      <c r="G2555" s="152"/>
      <c r="H2555" s="152"/>
      <c r="I2555" s="151" t="s">
        <v>1327</v>
      </c>
      <c r="J2555" s="152" t="s">
        <v>1327</v>
      </c>
      <c r="K2555" s="152" t="s">
        <v>1327</v>
      </c>
      <c r="L2555" s="152" t="s">
        <v>1327</v>
      </c>
      <c r="M2555" s="152" t="s">
        <v>1327</v>
      </c>
      <c r="N2555" s="152" t="s">
        <v>1327</v>
      </c>
      <c r="O2555" s="152">
        <v>2.2257500000000001</v>
      </c>
      <c r="P2555" s="152">
        <v>63.084316000000001</v>
      </c>
      <c r="Q2555" s="152">
        <v>2.2257500000000001</v>
      </c>
      <c r="R2555" s="152" t="s">
        <v>1327</v>
      </c>
      <c r="S2555" s="152">
        <v>99.321663000000001</v>
      </c>
      <c r="T2555" s="152">
        <v>0</v>
      </c>
      <c r="U2555" s="152">
        <v>0.30476799999999998</v>
      </c>
      <c r="V2555" s="152">
        <v>0.18576699999999999</v>
      </c>
      <c r="W2555" s="152">
        <v>1000</v>
      </c>
      <c r="X2555" s="152" t="s">
        <v>23</v>
      </c>
      <c r="Y2555" s="152" t="s">
        <v>1328</v>
      </c>
      <c r="Z2555" s="152" t="s">
        <v>1327</v>
      </c>
    </row>
    <row r="2556" spans="1:26" x14ac:dyDescent="0.2">
      <c r="A2556" s="152" t="s">
        <v>3634</v>
      </c>
      <c r="B2556" s="152">
        <v>0</v>
      </c>
      <c r="C2556" s="151">
        <v>43517</v>
      </c>
      <c r="D2556" s="152">
        <v>0.32602700000000001</v>
      </c>
      <c r="E2556" s="152" t="s">
        <v>1325</v>
      </c>
      <c r="F2556" s="152" t="s">
        <v>1326</v>
      </c>
      <c r="G2556" s="152"/>
      <c r="H2556" s="152"/>
      <c r="I2556" s="151">
        <v>43335</v>
      </c>
      <c r="J2556" s="152">
        <v>2.1</v>
      </c>
      <c r="K2556" s="152" t="s">
        <v>1327</v>
      </c>
      <c r="L2556" s="152" t="s">
        <v>1327</v>
      </c>
      <c r="M2556" s="152" t="s">
        <v>1327</v>
      </c>
      <c r="N2556" s="152" t="s">
        <v>1327</v>
      </c>
      <c r="O2556" s="152">
        <v>2.2233999999999998</v>
      </c>
      <c r="P2556" s="152">
        <v>60.837493000000002</v>
      </c>
      <c r="Q2556" s="152">
        <v>2.2233999999999998</v>
      </c>
      <c r="R2556" s="152" t="s">
        <v>1327</v>
      </c>
      <c r="S2556" s="152">
        <v>99.280327999999997</v>
      </c>
      <c r="T2556" s="152">
        <v>0</v>
      </c>
      <c r="U2556" s="152">
        <v>0.323681</v>
      </c>
      <c r="V2556" s="152">
        <v>0.209539</v>
      </c>
      <c r="W2556" s="152">
        <v>1000</v>
      </c>
      <c r="X2556" s="152" t="s">
        <v>23</v>
      </c>
      <c r="Y2556" s="152" t="s">
        <v>1328</v>
      </c>
      <c r="Z2556" s="152" t="s">
        <v>1327</v>
      </c>
    </row>
    <row r="2557" spans="1:26" x14ac:dyDescent="0.2">
      <c r="A2557" s="152" t="s">
        <v>3635</v>
      </c>
      <c r="B2557" s="152">
        <v>0</v>
      </c>
      <c r="C2557" s="151">
        <v>43517</v>
      </c>
      <c r="D2557" s="152">
        <v>0.32602700000000001</v>
      </c>
      <c r="E2557" s="152" t="s">
        <v>1325</v>
      </c>
      <c r="F2557" s="152" t="s">
        <v>1326</v>
      </c>
      <c r="G2557" s="152"/>
      <c r="H2557" s="152"/>
      <c r="I2557" s="151">
        <v>43333</v>
      </c>
      <c r="J2557" s="152">
        <v>2.1</v>
      </c>
      <c r="K2557" s="152" t="s">
        <v>1327</v>
      </c>
      <c r="L2557" s="152" t="s">
        <v>1327</v>
      </c>
      <c r="M2557" s="152" t="s">
        <v>1327</v>
      </c>
      <c r="N2557" s="152" t="s">
        <v>1327</v>
      </c>
      <c r="O2557" s="152">
        <v>2.2233999999999998</v>
      </c>
      <c r="P2557" s="152">
        <v>60.837493000000002</v>
      </c>
      <c r="Q2557" s="152">
        <v>2.2233999999999998</v>
      </c>
      <c r="R2557" s="152" t="s">
        <v>1327</v>
      </c>
      <c r="S2557" s="152">
        <v>99.280327999999997</v>
      </c>
      <c r="T2557" s="152">
        <v>0</v>
      </c>
      <c r="U2557" s="152">
        <v>0.323681</v>
      </c>
      <c r="V2557" s="152">
        <v>0.209539</v>
      </c>
      <c r="W2557" s="152">
        <v>1000</v>
      </c>
      <c r="X2557" s="152" t="s">
        <v>23</v>
      </c>
      <c r="Y2557" s="152" t="s">
        <v>1328</v>
      </c>
      <c r="Z2557" s="152" t="s">
        <v>1327</v>
      </c>
    </row>
    <row r="2558" spans="1:26" x14ac:dyDescent="0.2">
      <c r="A2558" s="152" t="s">
        <v>3636</v>
      </c>
      <c r="B2558" s="152">
        <v>0</v>
      </c>
      <c r="C2558" s="151">
        <v>43517</v>
      </c>
      <c r="D2558" s="152">
        <v>0.32602700000000001</v>
      </c>
      <c r="E2558" s="152" t="s">
        <v>1325</v>
      </c>
      <c r="F2558" s="152" t="s">
        <v>1326</v>
      </c>
      <c r="G2558" s="152"/>
      <c r="H2558" s="152"/>
      <c r="I2558" s="151" t="s">
        <v>1327</v>
      </c>
      <c r="J2558" s="152" t="s">
        <v>1327</v>
      </c>
      <c r="K2558" s="152" t="s">
        <v>1327</v>
      </c>
      <c r="L2558" s="152" t="s">
        <v>1327</v>
      </c>
      <c r="M2558" s="152" t="s">
        <v>1327</v>
      </c>
      <c r="N2558" s="152" t="s">
        <v>1327</v>
      </c>
      <c r="O2558" s="152">
        <v>2.2233999999999998</v>
      </c>
      <c r="P2558" s="152">
        <v>60.837493000000002</v>
      </c>
      <c r="Q2558" s="152">
        <v>2.2233999999999998</v>
      </c>
      <c r="R2558" s="152" t="s">
        <v>1327</v>
      </c>
      <c r="S2558" s="152">
        <v>99.280327999999997</v>
      </c>
      <c r="T2558" s="152">
        <v>0</v>
      </c>
      <c r="U2558" s="152">
        <v>0.323681</v>
      </c>
      <c r="V2558" s="152">
        <v>0.209539</v>
      </c>
      <c r="W2558" s="152">
        <v>1000</v>
      </c>
      <c r="X2558" s="152" t="s">
        <v>23</v>
      </c>
      <c r="Y2558" s="152" t="s">
        <v>1328</v>
      </c>
      <c r="Z2558" s="152" t="s">
        <v>1327</v>
      </c>
    </row>
    <row r="2559" spans="1:26" x14ac:dyDescent="0.2">
      <c r="A2559" s="152" t="s">
        <v>3637</v>
      </c>
      <c r="B2559" s="152">
        <v>0</v>
      </c>
      <c r="C2559" s="151">
        <v>43524</v>
      </c>
      <c r="D2559" s="152">
        <v>0.34520499999999998</v>
      </c>
      <c r="E2559" s="152" t="s">
        <v>1325</v>
      </c>
      <c r="F2559" s="152" t="s">
        <v>1326</v>
      </c>
      <c r="G2559" s="152"/>
      <c r="H2559" s="152"/>
      <c r="I2559" s="151">
        <v>43349</v>
      </c>
      <c r="J2559" s="152">
        <v>2.1</v>
      </c>
      <c r="K2559" s="152" t="s">
        <v>1327</v>
      </c>
      <c r="L2559" s="152" t="s">
        <v>1327</v>
      </c>
      <c r="M2559" s="152" t="s">
        <v>1327</v>
      </c>
      <c r="N2559" s="152" t="s">
        <v>1327</v>
      </c>
      <c r="O2559" s="152">
        <v>2.240672</v>
      </c>
      <c r="P2559" s="152">
        <v>60.746381</v>
      </c>
      <c r="Q2559" s="152">
        <v>2.240672</v>
      </c>
      <c r="R2559" s="152" t="s">
        <v>1327</v>
      </c>
      <c r="S2559" s="152">
        <v>99.232444999999998</v>
      </c>
      <c r="T2559" s="152">
        <v>0</v>
      </c>
      <c r="U2559" s="152">
        <v>0.34255600000000003</v>
      </c>
      <c r="V2559" s="152">
        <v>0.23468900000000001</v>
      </c>
      <c r="W2559" s="152">
        <v>1000</v>
      </c>
      <c r="X2559" s="152" t="s">
        <v>23</v>
      </c>
      <c r="Y2559" s="152" t="s">
        <v>1328</v>
      </c>
      <c r="Z2559" s="152" t="s">
        <v>1327</v>
      </c>
    </row>
    <row r="2560" spans="1:26" x14ac:dyDescent="0.2">
      <c r="A2560" s="152" t="s">
        <v>3638</v>
      </c>
      <c r="B2560" s="152">
        <v>0</v>
      </c>
      <c r="C2560" s="151">
        <v>43528</v>
      </c>
      <c r="D2560" s="152">
        <v>0.35616399999999998</v>
      </c>
      <c r="E2560" s="152" t="s">
        <v>1325</v>
      </c>
      <c r="F2560" s="152" t="s">
        <v>1326</v>
      </c>
      <c r="G2560" s="152"/>
      <c r="H2560" s="152"/>
      <c r="I2560" s="151">
        <v>43347</v>
      </c>
      <c r="J2560" s="152">
        <v>2.1</v>
      </c>
      <c r="K2560" s="152" t="s">
        <v>1327</v>
      </c>
      <c r="L2560" s="152" t="s">
        <v>1327</v>
      </c>
      <c r="M2560" s="152" t="s">
        <v>1327</v>
      </c>
      <c r="N2560" s="152" t="s">
        <v>1327</v>
      </c>
      <c r="O2560" s="152">
        <v>2.2505039999999998</v>
      </c>
      <c r="P2560" s="152">
        <v>60.759982999999998</v>
      </c>
      <c r="Q2560" s="152">
        <v>2.2505039999999998</v>
      </c>
      <c r="R2560" s="152" t="s">
        <v>1327</v>
      </c>
      <c r="S2560" s="152">
        <v>99.204824000000002</v>
      </c>
      <c r="T2560" s="152">
        <v>0</v>
      </c>
      <c r="U2560" s="152">
        <v>0.35333199999999998</v>
      </c>
      <c r="V2560" s="152">
        <v>0.24968699999999999</v>
      </c>
      <c r="W2560" s="152">
        <v>1000</v>
      </c>
      <c r="X2560" s="152" t="s">
        <v>23</v>
      </c>
      <c r="Y2560" s="152" t="s">
        <v>1328</v>
      </c>
      <c r="Z2560" s="152" t="s">
        <v>1327</v>
      </c>
    </row>
    <row r="2561" spans="1:26" x14ac:dyDescent="0.2">
      <c r="A2561" s="152" t="s">
        <v>3639</v>
      </c>
      <c r="B2561" s="152">
        <v>0</v>
      </c>
      <c r="C2561" s="151">
        <v>43545</v>
      </c>
      <c r="D2561" s="152">
        <v>0.40273999999999999</v>
      </c>
      <c r="E2561" s="152" t="s">
        <v>1325</v>
      </c>
      <c r="F2561" s="152" t="s">
        <v>1326</v>
      </c>
      <c r="G2561" s="152"/>
      <c r="H2561" s="152"/>
      <c r="I2561" s="151">
        <v>43370</v>
      </c>
      <c r="J2561" s="152">
        <v>2.1</v>
      </c>
      <c r="K2561" s="152" t="s">
        <v>1327</v>
      </c>
      <c r="L2561" s="152" t="s">
        <v>1327</v>
      </c>
      <c r="M2561" s="152" t="s">
        <v>1327</v>
      </c>
      <c r="N2561" s="152" t="s">
        <v>1327</v>
      </c>
      <c r="O2561" s="152">
        <v>2.2524630000000001</v>
      </c>
      <c r="P2561" s="152">
        <v>57.297002999999997</v>
      </c>
      <c r="Q2561" s="152">
        <v>2.2524630000000001</v>
      </c>
      <c r="R2561" s="152" t="s">
        <v>1327</v>
      </c>
      <c r="S2561" s="152">
        <v>99.100999000000002</v>
      </c>
      <c r="T2561" s="152">
        <v>0</v>
      </c>
      <c r="U2561" s="152">
        <v>0.399119</v>
      </c>
      <c r="V2561" s="152">
        <v>0.31859199999999999</v>
      </c>
      <c r="W2561" s="152">
        <v>1000</v>
      </c>
      <c r="X2561" s="152" t="s">
        <v>23</v>
      </c>
      <c r="Y2561" s="152" t="s">
        <v>1328</v>
      </c>
      <c r="Z2561" s="152" t="s">
        <v>1327</v>
      </c>
    </row>
    <row r="2562" spans="1:26" x14ac:dyDescent="0.2">
      <c r="A2562" s="152" t="s">
        <v>3640</v>
      </c>
      <c r="B2562" s="152">
        <v>0</v>
      </c>
      <c r="C2562" s="151">
        <v>43551</v>
      </c>
      <c r="D2562" s="152">
        <v>0.419178</v>
      </c>
      <c r="E2562" s="152" t="s">
        <v>1325</v>
      </c>
      <c r="F2562" s="152" t="s">
        <v>1326</v>
      </c>
      <c r="G2562" s="152"/>
      <c r="H2562" s="152"/>
      <c r="I2562" s="151">
        <v>43371</v>
      </c>
      <c r="J2562" s="152">
        <v>2.1</v>
      </c>
      <c r="K2562" s="152" t="s">
        <v>1327</v>
      </c>
      <c r="L2562" s="152" t="s">
        <v>1327</v>
      </c>
      <c r="M2562" s="152" t="s">
        <v>1327</v>
      </c>
      <c r="N2562" s="152" t="s">
        <v>1327</v>
      </c>
      <c r="O2562" s="152">
        <v>2.2669079999999999</v>
      </c>
      <c r="P2562" s="152">
        <v>57.651809999999998</v>
      </c>
      <c r="Q2562" s="152">
        <v>2.2669079999999999</v>
      </c>
      <c r="R2562" s="152" t="s">
        <v>1327</v>
      </c>
      <c r="S2562" s="152">
        <v>99.058706000000001</v>
      </c>
      <c r="T2562" s="152">
        <v>0</v>
      </c>
      <c r="U2562" s="152">
        <v>0.41523199999999999</v>
      </c>
      <c r="V2562" s="152">
        <v>0.34483599999999998</v>
      </c>
      <c r="W2562" s="152">
        <v>1000</v>
      </c>
      <c r="X2562" s="152" t="s">
        <v>23</v>
      </c>
      <c r="Y2562" s="152" t="s">
        <v>1328</v>
      </c>
      <c r="Z2562" s="152" t="s">
        <v>1327</v>
      </c>
    </row>
    <row r="2563" spans="1:26" x14ac:dyDescent="0.2">
      <c r="A2563" s="152" t="s">
        <v>3641</v>
      </c>
      <c r="B2563" s="152">
        <v>0</v>
      </c>
      <c r="C2563" s="151">
        <v>43580</v>
      </c>
      <c r="D2563" s="152">
        <v>0.49863000000000002</v>
      </c>
      <c r="E2563" s="152" t="s">
        <v>1325</v>
      </c>
      <c r="F2563" s="152" t="s">
        <v>1326</v>
      </c>
      <c r="G2563" s="152"/>
      <c r="H2563" s="152"/>
      <c r="I2563" s="151">
        <v>43391</v>
      </c>
      <c r="J2563" s="152">
        <v>2.2000000000000002</v>
      </c>
      <c r="K2563" s="152" t="s">
        <v>1327</v>
      </c>
      <c r="L2563" s="152" t="s">
        <v>1327</v>
      </c>
      <c r="M2563" s="152" t="s">
        <v>1327</v>
      </c>
      <c r="N2563" s="152" t="s">
        <v>1327</v>
      </c>
      <c r="O2563" s="152">
        <v>2.237962</v>
      </c>
      <c r="P2563" s="152">
        <v>50.462353999999998</v>
      </c>
      <c r="Q2563" s="152">
        <v>2.237962</v>
      </c>
      <c r="R2563" s="152" t="s">
        <v>1327</v>
      </c>
      <c r="S2563" s="152">
        <v>98.8964</v>
      </c>
      <c r="T2563" s="152">
        <v>0</v>
      </c>
      <c r="U2563" s="152">
        <v>0.49312699999999998</v>
      </c>
      <c r="V2563" s="152">
        <v>0.48634899999999998</v>
      </c>
      <c r="W2563" s="152">
        <v>1000</v>
      </c>
      <c r="X2563" s="152" t="s">
        <v>23</v>
      </c>
      <c r="Y2563" s="152" t="s">
        <v>1328</v>
      </c>
      <c r="Z2563" s="152" t="s">
        <v>1327</v>
      </c>
    </row>
    <row r="2564" spans="1:26" x14ac:dyDescent="0.2">
      <c r="A2564" s="152" t="s">
        <v>3642</v>
      </c>
      <c r="B2564" s="152">
        <v>0</v>
      </c>
      <c r="C2564" s="151">
        <v>43409</v>
      </c>
      <c r="D2564" s="152">
        <v>3.0137000000000001E-2</v>
      </c>
      <c r="E2564" s="152" t="s">
        <v>1325</v>
      </c>
      <c r="F2564" s="152" t="s">
        <v>1326</v>
      </c>
      <c r="G2564" s="152"/>
      <c r="H2564" s="152"/>
      <c r="I2564" s="151" t="s">
        <v>1327</v>
      </c>
      <c r="J2564" s="152" t="s">
        <v>1327</v>
      </c>
      <c r="K2564" s="152" t="s">
        <v>1327</v>
      </c>
      <c r="L2564" s="152" t="s">
        <v>1327</v>
      </c>
      <c r="M2564" s="152" t="s">
        <v>1327</v>
      </c>
      <c r="N2564" s="152" t="s">
        <v>1327</v>
      </c>
      <c r="O2564" s="152">
        <v>1.4324140000000001</v>
      </c>
      <c r="P2564" s="152">
        <v>27.527483</v>
      </c>
      <c r="Q2564" s="152">
        <v>1.4324140000000001</v>
      </c>
      <c r="R2564" s="152" t="s">
        <v>1327</v>
      </c>
      <c r="S2564" s="152">
        <v>99.956850000000003</v>
      </c>
      <c r="T2564" s="152">
        <v>0</v>
      </c>
      <c r="U2564" s="152">
        <v>3.0124000000000001E-2</v>
      </c>
      <c r="V2564" s="152">
        <v>1.815E-3</v>
      </c>
      <c r="W2564" s="152">
        <v>1000</v>
      </c>
      <c r="X2564" s="152" t="s">
        <v>23</v>
      </c>
      <c r="Y2564" s="152" t="s">
        <v>1921</v>
      </c>
      <c r="Z2564" s="152" t="s">
        <v>1327</v>
      </c>
    </row>
    <row r="2565" spans="1:26" x14ac:dyDescent="0.2">
      <c r="A2565" s="152" t="s">
        <v>3643</v>
      </c>
      <c r="B2565" s="152">
        <v>0</v>
      </c>
      <c r="C2565" s="151">
        <v>43476</v>
      </c>
      <c r="D2565" s="152">
        <v>0.213699</v>
      </c>
      <c r="E2565" s="152" t="s">
        <v>1325</v>
      </c>
      <c r="F2565" s="152" t="s">
        <v>1326</v>
      </c>
      <c r="G2565" s="152"/>
      <c r="H2565" s="152"/>
      <c r="I2565" s="152" t="s">
        <v>1327</v>
      </c>
      <c r="J2565" s="152" t="s">
        <v>1327</v>
      </c>
      <c r="K2565" s="152" t="s">
        <v>1327</v>
      </c>
      <c r="L2565" s="152" t="s">
        <v>1327</v>
      </c>
      <c r="M2565" s="152" t="s">
        <v>1327</v>
      </c>
      <c r="N2565" s="152" t="s">
        <v>1327</v>
      </c>
      <c r="O2565" s="152">
        <v>1.9114390000000001</v>
      </c>
      <c r="P2565" s="152">
        <v>43.518196000000003</v>
      </c>
      <c r="Q2565" s="152">
        <v>1.9114390000000001</v>
      </c>
      <c r="R2565" s="152" t="s">
        <v>1327</v>
      </c>
      <c r="S2565" s="152">
        <v>99.593190000000007</v>
      </c>
      <c r="T2565" s="152">
        <v>0</v>
      </c>
      <c r="U2565" s="152">
        <v>0.21282899999999999</v>
      </c>
      <c r="V2565" s="152">
        <v>9.0593000000000007E-2</v>
      </c>
      <c r="W2565" s="152">
        <v>1000</v>
      </c>
      <c r="X2565" s="152" t="s">
        <v>23</v>
      </c>
      <c r="Y2565" s="152" t="s">
        <v>1921</v>
      </c>
      <c r="Z2565" s="152" t="s">
        <v>1327</v>
      </c>
    </row>
    <row r="2566" spans="1:26" x14ac:dyDescent="0.2">
      <c r="A2566" s="152" t="s">
        <v>3644</v>
      </c>
      <c r="B2566" s="152">
        <v>0</v>
      </c>
      <c r="C2566" s="151">
        <v>43490</v>
      </c>
      <c r="D2566" s="152">
        <v>0.25205499999999997</v>
      </c>
      <c r="E2566" s="152" t="s">
        <v>1325</v>
      </c>
      <c r="F2566" s="152" t="s">
        <v>1326</v>
      </c>
      <c r="G2566" s="152"/>
      <c r="H2566" s="152"/>
      <c r="I2566" s="151" t="s">
        <v>1327</v>
      </c>
      <c r="J2566" s="152" t="s">
        <v>1327</v>
      </c>
      <c r="K2566" s="152" t="s">
        <v>1327</v>
      </c>
      <c r="L2566" s="152" t="s">
        <v>1327</v>
      </c>
      <c r="M2566" s="152" t="s">
        <v>1327</v>
      </c>
      <c r="N2566" s="152" t="s">
        <v>1327</v>
      </c>
      <c r="O2566" s="152">
        <v>1.964118</v>
      </c>
      <c r="P2566" s="152">
        <v>43.241107999999997</v>
      </c>
      <c r="Q2566" s="152">
        <v>1.964118</v>
      </c>
      <c r="R2566" s="152" t="s">
        <v>1327</v>
      </c>
      <c r="S2566" s="152">
        <v>99.507373000000001</v>
      </c>
      <c r="T2566" s="152">
        <v>0</v>
      </c>
      <c r="U2566" s="152">
        <v>0.25081300000000001</v>
      </c>
      <c r="V2566" s="152">
        <v>0.12581400000000001</v>
      </c>
      <c r="W2566" s="152">
        <v>1000</v>
      </c>
      <c r="X2566" s="152" t="s">
        <v>23</v>
      </c>
      <c r="Y2566" s="152" t="s">
        <v>1921</v>
      </c>
      <c r="Z2566" s="152" t="s">
        <v>1327</v>
      </c>
    </row>
    <row r="2567" spans="1:26" x14ac:dyDescent="0.2">
      <c r="A2567" s="152" t="s">
        <v>195</v>
      </c>
      <c r="B2567" s="152">
        <v>0</v>
      </c>
      <c r="C2567" s="151">
        <v>43496</v>
      </c>
      <c r="D2567" s="152">
        <v>0.26849299999999998</v>
      </c>
      <c r="E2567" s="152" t="s">
        <v>1325</v>
      </c>
      <c r="F2567" s="152" t="s">
        <v>1326</v>
      </c>
      <c r="G2567" s="152"/>
      <c r="H2567" s="152"/>
      <c r="I2567" s="151">
        <v>43228</v>
      </c>
      <c r="J2567" s="152">
        <v>1.575</v>
      </c>
      <c r="K2567" s="152" t="s">
        <v>1327</v>
      </c>
      <c r="L2567" s="152" t="s">
        <v>1327</v>
      </c>
      <c r="M2567" s="152" t="s">
        <v>1327</v>
      </c>
      <c r="N2567" s="152" t="s">
        <v>1327</v>
      </c>
      <c r="O2567" s="152">
        <v>1.6708050000000001</v>
      </c>
      <c r="P2567" s="152">
        <v>11.344773999999999</v>
      </c>
      <c r="Q2567" s="152">
        <v>1.6708050000000001</v>
      </c>
      <c r="R2567" s="152" t="s">
        <v>1327</v>
      </c>
      <c r="S2567" s="152">
        <v>99.553404</v>
      </c>
      <c r="T2567" s="152">
        <v>0</v>
      </c>
      <c r="U2567" s="152">
        <v>0.26729399999999998</v>
      </c>
      <c r="V2567" s="152">
        <v>0.14289199999999999</v>
      </c>
      <c r="W2567" s="152">
        <v>1000</v>
      </c>
      <c r="X2567" s="152" t="s">
        <v>23</v>
      </c>
      <c r="Y2567" s="152" t="s">
        <v>1328</v>
      </c>
      <c r="Z2567" s="152" t="s">
        <v>1327</v>
      </c>
    </row>
    <row r="2568" spans="1:26" x14ac:dyDescent="0.2">
      <c r="A2568" s="152" t="s">
        <v>79</v>
      </c>
      <c r="B2568" s="152">
        <v>0</v>
      </c>
      <c r="C2568" s="151">
        <v>43514</v>
      </c>
      <c r="D2568" s="152">
        <v>0.31780799999999998</v>
      </c>
      <c r="E2568" s="152" t="s">
        <v>1325</v>
      </c>
      <c r="F2568" s="152" t="s">
        <v>1326</v>
      </c>
      <c r="G2568" s="152"/>
      <c r="H2568" s="152"/>
      <c r="I2568" s="151">
        <v>43244</v>
      </c>
      <c r="J2568" s="152">
        <v>1.68</v>
      </c>
      <c r="K2568" s="152" t="s">
        <v>1327</v>
      </c>
      <c r="L2568" s="152" t="s">
        <v>1327</v>
      </c>
      <c r="M2568" s="152" t="s">
        <v>1327</v>
      </c>
      <c r="N2568" s="152" t="s">
        <v>1327</v>
      </c>
      <c r="O2568" s="152">
        <v>1.718221</v>
      </c>
      <c r="P2568" s="152">
        <v>10.477918000000001</v>
      </c>
      <c r="Q2568" s="152">
        <v>1.718221</v>
      </c>
      <c r="R2568" s="152" t="s">
        <v>1327</v>
      </c>
      <c r="S2568" s="152">
        <v>99.456901000000002</v>
      </c>
      <c r="T2568" s="152">
        <v>0</v>
      </c>
      <c r="U2568" s="152">
        <v>0.31608199999999997</v>
      </c>
      <c r="V2568" s="152">
        <v>0.19981599999999999</v>
      </c>
      <c r="W2568" s="152">
        <v>1000</v>
      </c>
      <c r="X2568" s="152" t="s">
        <v>23</v>
      </c>
      <c r="Y2568" s="152" t="s">
        <v>1328</v>
      </c>
      <c r="Z2568" s="152" t="s">
        <v>1327</v>
      </c>
    </row>
    <row r="2569" spans="1:26" x14ac:dyDescent="0.2">
      <c r="A2569" s="152" t="s">
        <v>3645</v>
      </c>
      <c r="B2569" s="152">
        <v>0</v>
      </c>
      <c r="C2569" s="151">
        <v>43408</v>
      </c>
      <c r="D2569" s="152">
        <v>2.7397000000000001E-2</v>
      </c>
      <c r="E2569" s="152" t="s">
        <v>1325</v>
      </c>
      <c r="F2569" s="152" t="s">
        <v>1326</v>
      </c>
      <c r="G2569" s="152"/>
      <c r="H2569" s="152"/>
      <c r="I2569" s="151" t="s">
        <v>1327</v>
      </c>
      <c r="J2569" s="152" t="s">
        <v>1327</v>
      </c>
      <c r="K2569" s="152" t="s">
        <v>1327</v>
      </c>
      <c r="L2569" s="152" t="s">
        <v>1327</v>
      </c>
      <c r="M2569" s="152" t="s">
        <v>1327</v>
      </c>
      <c r="N2569" s="152" t="s">
        <v>1327</v>
      </c>
      <c r="O2569" s="152">
        <v>1.4504859999999999</v>
      </c>
      <c r="P2569" s="152">
        <v>29.857188000000001</v>
      </c>
      <c r="Q2569" s="152">
        <v>1.4504859999999999</v>
      </c>
      <c r="R2569" s="152" t="s">
        <v>1327</v>
      </c>
      <c r="S2569" s="152">
        <v>99.960275999999993</v>
      </c>
      <c r="T2569" s="152">
        <v>0</v>
      </c>
      <c r="U2569" s="152">
        <v>2.7386000000000001E-2</v>
      </c>
      <c r="V2569" s="152">
        <v>1.5E-3</v>
      </c>
      <c r="W2569" s="152">
        <v>1000</v>
      </c>
      <c r="X2569" s="152" t="s">
        <v>23</v>
      </c>
      <c r="Y2569" s="152" t="s">
        <v>1921</v>
      </c>
      <c r="Z2569" s="152" t="s">
        <v>1327</v>
      </c>
    </row>
    <row r="2570" spans="1:26" x14ac:dyDescent="0.2">
      <c r="A2570" s="152" t="s">
        <v>3646</v>
      </c>
      <c r="B2570" s="152">
        <v>0</v>
      </c>
      <c r="C2570" s="151">
        <v>43416</v>
      </c>
      <c r="D2570" s="152">
        <v>4.9314999999999998E-2</v>
      </c>
      <c r="E2570" s="152" t="s">
        <v>1325</v>
      </c>
      <c r="F2570" s="152" t="s">
        <v>1326</v>
      </c>
      <c r="G2570" s="152"/>
      <c r="H2570" s="152"/>
      <c r="I2570" s="151" t="s">
        <v>1327</v>
      </c>
      <c r="J2570" s="152" t="s">
        <v>1327</v>
      </c>
      <c r="K2570" s="152" t="s">
        <v>1327</v>
      </c>
      <c r="L2570" s="152" t="s">
        <v>1327</v>
      </c>
      <c r="M2570" s="152" t="s">
        <v>1327</v>
      </c>
      <c r="N2570" s="152" t="s">
        <v>1327</v>
      </c>
      <c r="O2570" s="152">
        <v>1.449562</v>
      </c>
      <c r="P2570" s="152">
        <v>25.759467999999998</v>
      </c>
      <c r="Q2570" s="152">
        <v>1.449562</v>
      </c>
      <c r="R2570" s="152" t="s">
        <v>1327</v>
      </c>
      <c r="S2570" s="152">
        <v>99.928566000000004</v>
      </c>
      <c r="T2570" s="152">
        <v>0</v>
      </c>
      <c r="U2570" s="152">
        <v>4.9279999999999997E-2</v>
      </c>
      <c r="V2570" s="152">
        <v>4.8570000000000002E-3</v>
      </c>
      <c r="W2570" s="152">
        <v>1000</v>
      </c>
      <c r="X2570" s="152" t="s">
        <v>23</v>
      </c>
      <c r="Y2570" s="152" t="s">
        <v>1921</v>
      </c>
      <c r="Z2570" s="152" t="s">
        <v>1327</v>
      </c>
    </row>
    <row r="2571" spans="1:26" x14ac:dyDescent="0.2">
      <c r="A2571" s="152" t="s">
        <v>3647</v>
      </c>
      <c r="B2571" s="152">
        <v>0</v>
      </c>
      <c r="C2571" s="151">
        <v>43411</v>
      </c>
      <c r="D2571" s="152">
        <v>3.5616000000000002E-2</v>
      </c>
      <c r="E2571" s="152" t="s">
        <v>1325</v>
      </c>
      <c r="F2571" s="152" t="s">
        <v>1326</v>
      </c>
      <c r="G2571" s="152"/>
      <c r="H2571" s="152"/>
      <c r="I2571" s="151" t="s">
        <v>1327</v>
      </c>
      <c r="J2571" s="152" t="s">
        <v>1327</v>
      </c>
      <c r="K2571" s="152" t="s">
        <v>1327</v>
      </c>
      <c r="L2571" s="152" t="s">
        <v>1327</v>
      </c>
      <c r="M2571" s="152" t="s">
        <v>1327</v>
      </c>
      <c r="N2571" s="152" t="s">
        <v>1327</v>
      </c>
      <c r="O2571" s="152">
        <v>1.4078390000000001</v>
      </c>
      <c r="P2571" s="152">
        <v>24.038902</v>
      </c>
      <c r="Q2571" s="152">
        <v>1.4078390000000001</v>
      </c>
      <c r="R2571" s="152" t="s">
        <v>1327</v>
      </c>
      <c r="S2571" s="152">
        <v>99.949883</v>
      </c>
      <c r="T2571" s="152">
        <v>0</v>
      </c>
      <c r="U2571" s="152">
        <v>3.5598999999999999E-2</v>
      </c>
      <c r="V2571" s="152">
        <v>2.5349999999999999E-3</v>
      </c>
      <c r="W2571" s="152">
        <v>1000</v>
      </c>
      <c r="X2571" s="152" t="s">
        <v>23</v>
      </c>
      <c r="Y2571" s="152" t="s">
        <v>1921</v>
      </c>
      <c r="Z2571" s="152" t="s">
        <v>1327</v>
      </c>
    </row>
    <row r="2572" spans="1:26" x14ac:dyDescent="0.2">
      <c r="A2572" s="152" t="s">
        <v>3648</v>
      </c>
      <c r="B2572" s="152">
        <v>0</v>
      </c>
      <c r="C2572" s="151">
        <v>43557</v>
      </c>
      <c r="D2572" s="152">
        <v>0.435616</v>
      </c>
      <c r="E2572" s="152" t="s">
        <v>1325</v>
      </c>
      <c r="F2572" s="152" t="s">
        <v>1326</v>
      </c>
      <c r="G2572" s="152"/>
      <c r="H2572" s="152"/>
      <c r="I2572" s="151">
        <v>43377</v>
      </c>
      <c r="J2572" s="152">
        <v>3.3</v>
      </c>
      <c r="K2572" s="152" t="s">
        <v>1327</v>
      </c>
      <c r="L2572" s="152" t="s">
        <v>1327</v>
      </c>
      <c r="M2572" s="152" t="s">
        <v>1327</v>
      </c>
      <c r="N2572" s="152" t="s">
        <v>1327</v>
      </c>
      <c r="O2572" s="152">
        <v>3.3089339999999998</v>
      </c>
      <c r="P2572" s="152">
        <v>162.47355300000001</v>
      </c>
      <c r="Q2572" s="152">
        <v>3.3089339999999998</v>
      </c>
      <c r="R2572" s="152" t="s">
        <v>1327</v>
      </c>
      <c r="S2572" s="152">
        <v>98.579055999999994</v>
      </c>
      <c r="T2572" s="152">
        <v>0</v>
      </c>
      <c r="U2572" s="152">
        <v>0.429427</v>
      </c>
      <c r="V2572" s="152">
        <v>0.36881399999999998</v>
      </c>
      <c r="W2572" s="152">
        <v>1000</v>
      </c>
      <c r="X2572" s="152" t="s">
        <v>23</v>
      </c>
      <c r="Y2572" s="152" t="s">
        <v>1328</v>
      </c>
      <c r="Z2572" s="152" t="s">
        <v>1327</v>
      </c>
    </row>
    <row r="2573" spans="1:26" x14ac:dyDescent="0.2">
      <c r="A2573" s="152" t="s">
        <v>3649</v>
      </c>
      <c r="B2573" s="152">
        <v>4</v>
      </c>
      <c r="C2573" s="151">
        <v>43489</v>
      </c>
      <c r="D2573" s="152">
        <v>0.24931500000000001</v>
      </c>
      <c r="E2573" s="152" t="s">
        <v>1325</v>
      </c>
      <c r="F2573" s="152" t="s">
        <v>1326</v>
      </c>
      <c r="G2573" s="152"/>
      <c r="H2573" s="152"/>
      <c r="I2573" s="151">
        <v>43306</v>
      </c>
      <c r="J2573" s="152">
        <v>4</v>
      </c>
      <c r="K2573" s="152" t="s">
        <v>1327</v>
      </c>
      <c r="L2573" s="152" t="s">
        <v>1327</v>
      </c>
      <c r="M2573" s="152" t="s">
        <v>1327</v>
      </c>
      <c r="N2573" s="152" t="s">
        <v>1327</v>
      </c>
      <c r="O2573" s="152">
        <v>3.9820419999999999</v>
      </c>
      <c r="P2573" s="152">
        <v>249.94874200000001</v>
      </c>
      <c r="Q2573" s="152">
        <v>3.9820419999999999</v>
      </c>
      <c r="R2573" s="152" t="s">
        <v>1327</v>
      </c>
      <c r="S2573" s="152">
        <v>99.994522000000003</v>
      </c>
      <c r="T2573" s="152">
        <v>1.008219</v>
      </c>
      <c r="U2573" s="152">
        <v>0.246864</v>
      </c>
      <c r="V2573" s="152">
        <v>0.12188400000000001</v>
      </c>
      <c r="W2573" s="152">
        <v>1000</v>
      </c>
      <c r="X2573" s="152" t="s">
        <v>23</v>
      </c>
      <c r="Y2573" s="152" t="s">
        <v>1328</v>
      </c>
      <c r="Z2573" s="152" t="s">
        <v>1327</v>
      </c>
    </row>
    <row r="2574" spans="1:26" x14ac:dyDescent="0.2">
      <c r="A2574" s="152" t="s">
        <v>3650</v>
      </c>
      <c r="B2574" s="152">
        <v>0</v>
      </c>
      <c r="C2574" s="151">
        <v>43504</v>
      </c>
      <c r="D2574" s="152">
        <v>0.29041099999999997</v>
      </c>
      <c r="E2574" s="152" t="s">
        <v>1325</v>
      </c>
      <c r="F2574" s="152" t="s">
        <v>1326</v>
      </c>
      <c r="G2574" s="152"/>
      <c r="H2574" s="152"/>
      <c r="I2574" s="151" t="s">
        <v>1327</v>
      </c>
      <c r="J2574" s="152" t="s">
        <v>1327</v>
      </c>
      <c r="K2574" s="152" t="s">
        <v>1327</v>
      </c>
      <c r="L2574" s="152" t="s">
        <v>1327</v>
      </c>
      <c r="M2574" s="152" t="s">
        <v>1327</v>
      </c>
      <c r="N2574" s="152" t="s">
        <v>1327</v>
      </c>
      <c r="O2574" s="152">
        <v>1.9584109999999999</v>
      </c>
      <c r="P2574" s="152">
        <v>37.811577999999997</v>
      </c>
      <c r="Q2574" s="152">
        <v>1.9584109999999999</v>
      </c>
      <c r="R2574" s="152" t="s">
        <v>1327</v>
      </c>
      <c r="S2574" s="152">
        <v>99.434472</v>
      </c>
      <c r="T2574" s="152">
        <v>0</v>
      </c>
      <c r="U2574" s="152">
        <v>0.288769</v>
      </c>
      <c r="V2574" s="152">
        <v>0.16677500000000001</v>
      </c>
      <c r="W2574" s="152">
        <v>1000</v>
      </c>
      <c r="X2574" s="152" t="s">
        <v>23</v>
      </c>
      <c r="Y2574" s="152" t="s">
        <v>1921</v>
      </c>
      <c r="Z2574" s="152" t="s">
        <v>1327</v>
      </c>
    </row>
    <row r="2575" spans="1:26" x14ac:dyDescent="0.2">
      <c r="A2575" s="152" t="s">
        <v>3651</v>
      </c>
      <c r="B2575" s="152">
        <v>0</v>
      </c>
      <c r="C2575" s="151">
        <v>43518</v>
      </c>
      <c r="D2575" s="152">
        <v>0.32876699999999998</v>
      </c>
      <c r="E2575" s="152" t="s">
        <v>1325</v>
      </c>
      <c r="F2575" s="152" t="s">
        <v>1326</v>
      </c>
      <c r="G2575" s="152"/>
      <c r="H2575" s="152"/>
      <c r="I2575" s="151" t="s">
        <v>1327</v>
      </c>
      <c r="J2575" s="152" t="s">
        <v>1327</v>
      </c>
      <c r="K2575" s="152" t="s">
        <v>1327</v>
      </c>
      <c r="L2575" s="152" t="s">
        <v>1327</v>
      </c>
      <c r="M2575" s="152" t="s">
        <v>1327</v>
      </c>
      <c r="N2575" s="152" t="s">
        <v>1327</v>
      </c>
      <c r="O2575" s="152">
        <v>2.0004930000000001</v>
      </c>
      <c r="P2575" s="152">
        <v>37.956429</v>
      </c>
      <c r="Q2575" s="152">
        <v>2.0004930000000001</v>
      </c>
      <c r="R2575" s="152" t="s">
        <v>1327</v>
      </c>
      <c r="S2575" s="152">
        <v>99.346601000000007</v>
      </c>
      <c r="T2575" s="152">
        <v>0</v>
      </c>
      <c r="U2575" s="152">
        <v>0.32661899999999999</v>
      </c>
      <c r="V2575" s="152">
        <v>0.21335999999999999</v>
      </c>
      <c r="W2575" s="152">
        <v>1000</v>
      </c>
      <c r="X2575" s="152" t="s">
        <v>23</v>
      </c>
      <c r="Y2575" s="152" t="s">
        <v>1921</v>
      </c>
      <c r="Z2575" s="152" t="s">
        <v>1327</v>
      </c>
    </row>
    <row r="2576" spans="1:26" x14ac:dyDescent="0.2">
      <c r="A2576" s="152" t="s">
        <v>3652</v>
      </c>
      <c r="B2576" s="152">
        <v>0</v>
      </c>
      <c r="C2576" s="151">
        <v>43532</v>
      </c>
      <c r="D2576" s="152">
        <v>0.36712299999999998</v>
      </c>
      <c r="E2576" s="152" t="s">
        <v>1325</v>
      </c>
      <c r="F2576" s="152" t="s">
        <v>1326</v>
      </c>
      <c r="G2576" s="152"/>
      <c r="H2576" s="152"/>
      <c r="I2576" s="151" t="s">
        <v>1327</v>
      </c>
      <c r="J2576" s="152" t="s">
        <v>1327</v>
      </c>
      <c r="K2576" s="152" t="s">
        <v>1327</v>
      </c>
      <c r="L2576" s="152" t="s">
        <v>1327</v>
      </c>
      <c r="M2576" s="152" t="s">
        <v>1327</v>
      </c>
      <c r="N2576" s="152" t="s">
        <v>1327</v>
      </c>
      <c r="O2576" s="152">
        <v>2.0515659999999998</v>
      </c>
      <c r="P2576" s="152">
        <v>39.659115</v>
      </c>
      <c r="Q2576" s="152">
        <v>2.0515659999999998</v>
      </c>
      <c r="R2576" s="152" t="s">
        <v>1327</v>
      </c>
      <c r="S2576" s="152">
        <v>99.252453000000003</v>
      </c>
      <c r="T2576" s="152">
        <v>0</v>
      </c>
      <c r="U2576" s="152">
        <v>0.36437900000000001</v>
      </c>
      <c r="V2576" s="152">
        <v>0.265544</v>
      </c>
      <c r="W2576" s="152">
        <v>1000</v>
      </c>
      <c r="X2576" s="152" t="s">
        <v>23</v>
      </c>
      <c r="Y2576" s="152" t="s">
        <v>1921</v>
      </c>
      <c r="Z2576" s="152" t="s">
        <v>1327</v>
      </c>
    </row>
    <row r="2577" spans="1:26" x14ac:dyDescent="0.2">
      <c r="A2577" s="152" t="s">
        <v>3653</v>
      </c>
      <c r="B2577" s="152">
        <v>0</v>
      </c>
      <c r="C2577" s="151">
        <v>43539</v>
      </c>
      <c r="D2577" s="152">
        <v>0.38630100000000001</v>
      </c>
      <c r="E2577" s="152" t="s">
        <v>1325</v>
      </c>
      <c r="F2577" s="152" t="s">
        <v>1326</v>
      </c>
      <c r="G2577" s="152"/>
      <c r="H2577" s="152"/>
      <c r="I2577" s="151" t="s">
        <v>1327</v>
      </c>
      <c r="J2577" s="152" t="s">
        <v>1327</v>
      </c>
      <c r="K2577" s="152" t="s">
        <v>1327</v>
      </c>
      <c r="L2577" s="152" t="s">
        <v>1327</v>
      </c>
      <c r="M2577" s="152" t="s">
        <v>1327</v>
      </c>
      <c r="N2577" s="152" t="s">
        <v>1327</v>
      </c>
      <c r="O2577" s="152">
        <v>2.0634779999999999</v>
      </c>
      <c r="P2577" s="152">
        <v>39.348342000000002</v>
      </c>
      <c r="Q2577" s="152">
        <v>2.0634779999999999</v>
      </c>
      <c r="R2577" s="152" t="s">
        <v>1327</v>
      </c>
      <c r="S2577" s="152">
        <v>99.209179000000006</v>
      </c>
      <c r="T2577" s="152">
        <v>0</v>
      </c>
      <c r="U2577" s="152">
        <v>0.38324599999999998</v>
      </c>
      <c r="V2577" s="152">
        <v>0.29375600000000002</v>
      </c>
      <c r="W2577" s="152">
        <v>1000</v>
      </c>
      <c r="X2577" s="152" t="s">
        <v>23</v>
      </c>
      <c r="Y2577" s="152" t="s">
        <v>1921</v>
      </c>
      <c r="Z2577" s="152" t="s">
        <v>1327</v>
      </c>
    </row>
    <row r="2578" spans="1:26" x14ac:dyDescent="0.2">
      <c r="A2578" s="152" t="s">
        <v>3654</v>
      </c>
      <c r="B2578" s="152">
        <v>0</v>
      </c>
      <c r="C2578" s="151">
        <v>43461</v>
      </c>
      <c r="D2578" s="152">
        <v>0.17260300000000001</v>
      </c>
      <c r="E2578" s="152" t="s">
        <v>1325</v>
      </c>
      <c r="F2578" s="152" t="s">
        <v>1326</v>
      </c>
      <c r="G2578" s="152"/>
      <c r="H2578" s="152"/>
      <c r="I2578" s="152">
        <v>43370</v>
      </c>
      <c r="J2578" s="152">
        <v>3.75</v>
      </c>
      <c r="K2578" s="152" t="s">
        <v>1327</v>
      </c>
      <c r="L2578" s="152" t="s">
        <v>1327</v>
      </c>
      <c r="M2578" s="152" t="s">
        <v>1327</v>
      </c>
      <c r="N2578" s="152" t="s">
        <v>1327</v>
      </c>
      <c r="O2578" s="152">
        <v>3.5333920000000001</v>
      </c>
      <c r="P2578" s="152">
        <v>216.13673700000001</v>
      </c>
      <c r="Q2578" s="152">
        <v>3.5333920000000001</v>
      </c>
      <c r="R2578" s="152" t="s">
        <v>1327</v>
      </c>
      <c r="S2578" s="152">
        <v>99.393823999999995</v>
      </c>
      <c r="T2578" s="152">
        <v>0</v>
      </c>
      <c r="U2578" s="152">
        <v>0.17155599999999999</v>
      </c>
      <c r="V2578" s="152">
        <v>5.8862999999999999E-2</v>
      </c>
      <c r="W2578" s="152">
        <v>1000</v>
      </c>
      <c r="X2578" s="152" t="s">
        <v>23</v>
      </c>
      <c r="Y2578" s="152" t="s">
        <v>1328</v>
      </c>
      <c r="Z2578" s="152" t="s">
        <v>1327</v>
      </c>
    </row>
    <row r="2579" spans="1:26" x14ac:dyDescent="0.2">
      <c r="A2579" s="152" t="s">
        <v>3655</v>
      </c>
      <c r="B2579" s="152">
        <v>0</v>
      </c>
      <c r="C2579" s="151">
        <v>43406</v>
      </c>
      <c r="D2579" s="152">
        <v>2.1918E-2</v>
      </c>
      <c r="E2579" s="152" t="s">
        <v>1325</v>
      </c>
      <c r="F2579" s="152" t="s">
        <v>1326</v>
      </c>
      <c r="G2579" s="152"/>
      <c r="H2579" s="152"/>
      <c r="I2579" s="151">
        <v>43318</v>
      </c>
      <c r="J2579" s="152">
        <v>3.85</v>
      </c>
      <c r="K2579" s="152" t="s">
        <v>1327</v>
      </c>
      <c r="L2579" s="152" t="s">
        <v>1327</v>
      </c>
      <c r="M2579" s="152" t="s">
        <v>1327</v>
      </c>
      <c r="N2579" s="152" t="s">
        <v>1327</v>
      </c>
      <c r="O2579" s="152">
        <v>3.3355450000000002</v>
      </c>
      <c r="P2579" s="152">
        <v>223.819166</v>
      </c>
      <c r="Q2579" s="152">
        <v>3.3355450000000002</v>
      </c>
      <c r="R2579" s="152" t="s">
        <v>1327</v>
      </c>
      <c r="S2579" s="152">
        <v>99.926946000000001</v>
      </c>
      <c r="T2579" s="152">
        <v>0</v>
      </c>
      <c r="U2579" s="152">
        <v>2.1902000000000001E-2</v>
      </c>
      <c r="V2579" s="152">
        <v>9.59E-4</v>
      </c>
      <c r="W2579" s="152">
        <v>1000</v>
      </c>
      <c r="X2579" s="152" t="s">
        <v>23</v>
      </c>
      <c r="Y2579" s="152" t="s">
        <v>1328</v>
      </c>
      <c r="Z2579" s="152" t="s">
        <v>1327</v>
      </c>
    </row>
    <row r="2580" spans="1:26" x14ac:dyDescent="0.2">
      <c r="A2580" s="152" t="s">
        <v>3656</v>
      </c>
      <c r="B2580" s="152">
        <v>0</v>
      </c>
      <c r="C2580" s="151">
        <v>43427</v>
      </c>
      <c r="D2580" s="152">
        <v>7.9451999999999995E-2</v>
      </c>
      <c r="E2580" s="152" t="s">
        <v>1325</v>
      </c>
      <c r="F2580" s="152" t="s">
        <v>1326</v>
      </c>
      <c r="G2580" s="152"/>
      <c r="H2580" s="152"/>
      <c r="I2580" s="151">
        <v>43339</v>
      </c>
      <c r="J2580" s="152">
        <v>3.85</v>
      </c>
      <c r="K2580" s="152" t="s">
        <v>1327</v>
      </c>
      <c r="L2580" s="152" t="s">
        <v>1327</v>
      </c>
      <c r="M2580" s="152" t="s">
        <v>1327</v>
      </c>
      <c r="N2580" s="152" t="s">
        <v>1327</v>
      </c>
      <c r="O2580" s="152">
        <v>3.3748369999999999</v>
      </c>
      <c r="P2580" s="152">
        <v>217.040604</v>
      </c>
      <c r="Q2580" s="152">
        <v>3.3748369999999999</v>
      </c>
      <c r="R2580" s="152" t="s">
        <v>1327</v>
      </c>
      <c r="S2580" s="152">
        <v>99.732579000000001</v>
      </c>
      <c r="T2580" s="152">
        <v>0</v>
      </c>
      <c r="U2580" s="152">
        <v>7.9240000000000005E-2</v>
      </c>
      <c r="V2580" s="152">
        <v>1.2558E-2</v>
      </c>
      <c r="W2580" s="152">
        <v>1000</v>
      </c>
      <c r="X2580" s="152" t="s">
        <v>23</v>
      </c>
      <c r="Y2580" s="152" t="s">
        <v>1328</v>
      </c>
      <c r="Z2580" s="152" t="s">
        <v>1327</v>
      </c>
    </row>
    <row r="2581" spans="1:26" x14ac:dyDescent="0.2">
      <c r="A2581" s="152" t="s">
        <v>3657</v>
      </c>
      <c r="B2581" s="152">
        <v>0</v>
      </c>
      <c r="C2581" s="151">
        <v>43468</v>
      </c>
      <c r="D2581" s="152">
        <v>0.19178100000000001</v>
      </c>
      <c r="E2581" s="152" t="s">
        <v>1325</v>
      </c>
      <c r="F2581" s="152" t="s">
        <v>1326</v>
      </c>
      <c r="G2581" s="152"/>
      <c r="H2581" s="152"/>
      <c r="I2581" s="151">
        <v>43375</v>
      </c>
      <c r="J2581" s="152">
        <v>3.75</v>
      </c>
      <c r="K2581" s="152" t="s">
        <v>1327</v>
      </c>
      <c r="L2581" s="152" t="s">
        <v>1327</v>
      </c>
      <c r="M2581" s="152" t="s">
        <v>1327</v>
      </c>
      <c r="N2581" s="152" t="s">
        <v>1327</v>
      </c>
      <c r="O2581" s="152">
        <v>3.5669149999999998</v>
      </c>
      <c r="P2581" s="152">
        <v>216.27715599999999</v>
      </c>
      <c r="Q2581" s="152">
        <v>3.5669149999999998</v>
      </c>
      <c r="R2581" s="152" t="s">
        <v>1327</v>
      </c>
      <c r="S2581" s="152">
        <v>99.320582000000002</v>
      </c>
      <c r="T2581" s="152">
        <v>0</v>
      </c>
      <c r="U2581" s="152">
        <v>0.19047800000000001</v>
      </c>
      <c r="V2581" s="152">
        <v>7.2564000000000003E-2</v>
      </c>
      <c r="W2581" s="152">
        <v>1000</v>
      </c>
      <c r="X2581" s="152" t="s">
        <v>23</v>
      </c>
      <c r="Y2581" s="152" t="s">
        <v>1328</v>
      </c>
      <c r="Z2581" s="152" t="s">
        <v>1327</v>
      </c>
    </row>
    <row r="2582" spans="1:26" x14ac:dyDescent="0.2">
      <c r="A2582" s="152" t="s">
        <v>3658</v>
      </c>
      <c r="B2582" s="152">
        <v>0</v>
      </c>
      <c r="C2582" s="151">
        <v>43481</v>
      </c>
      <c r="D2582" s="152">
        <v>0.22739699999999999</v>
      </c>
      <c r="E2582" s="152" t="s">
        <v>1325</v>
      </c>
      <c r="F2582" s="152" t="s">
        <v>1326</v>
      </c>
      <c r="G2582" s="152"/>
      <c r="H2582" s="152"/>
      <c r="I2582" s="151">
        <v>43383</v>
      </c>
      <c r="J2582" s="152">
        <v>3.75</v>
      </c>
      <c r="K2582" s="152" t="s">
        <v>1327</v>
      </c>
      <c r="L2582" s="152" t="s">
        <v>1327</v>
      </c>
      <c r="M2582" s="152" t="s">
        <v>1327</v>
      </c>
      <c r="N2582" s="152" t="s">
        <v>1327</v>
      </c>
      <c r="O2582" s="152">
        <v>3.6300460000000001</v>
      </c>
      <c r="P2582" s="152">
        <v>216.99527</v>
      </c>
      <c r="Q2582" s="152">
        <v>3.6300460000000001</v>
      </c>
      <c r="R2582" s="152" t="s">
        <v>1327</v>
      </c>
      <c r="S2582" s="152">
        <v>99.181296000000003</v>
      </c>
      <c r="T2582" s="152">
        <v>0</v>
      </c>
      <c r="U2582" s="152">
        <v>0.22553599999999999</v>
      </c>
      <c r="V2582" s="152">
        <v>0.101733</v>
      </c>
      <c r="W2582" s="152">
        <v>1000</v>
      </c>
      <c r="X2582" s="152" t="s">
        <v>23</v>
      </c>
      <c r="Y2582" s="152" t="s">
        <v>1328</v>
      </c>
      <c r="Z2582" s="152" t="s">
        <v>1327</v>
      </c>
    </row>
    <row r="2583" spans="1:26" x14ac:dyDescent="0.2">
      <c r="A2583" s="152" t="s">
        <v>3659</v>
      </c>
      <c r="B2583" s="152">
        <v>0</v>
      </c>
      <c r="C2583" s="151">
        <v>43481</v>
      </c>
      <c r="D2583" s="152">
        <v>0.22739699999999999</v>
      </c>
      <c r="E2583" s="152" t="s">
        <v>1325</v>
      </c>
      <c r="F2583" s="152" t="s">
        <v>1326</v>
      </c>
      <c r="G2583" s="152"/>
      <c r="H2583" s="152"/>
      <c r="I2583" s="151">
        <v>43383</v>
      </c>
      <c r="J2583" s="152">
        <v>3.75</v>
      </c>
      <c r="K2583" s="152" t="s">
        <v>1327</v>
      </c>
      <c r="L2583" s="152" t="s">
        <v>1327</v>
      </c>
      <c r="M2583" s="152" t="s">
        <v>1327</v>
      </c>
      <c r="N2583" s="152" t="s">
        <v>1327</v>
      </c>
      <c r="O2583" s="152">
        <v>3.6300460000000001</v>
      </c>
      <c r="P2583" s="152">
        <v>216.99527</v>
      </c>
      <c r="Q2583" s="152">
        <v>3.6300460000000001</v>
      </c>
      <c r="R2583" s="152" t="s">
        <v>1327</v>
      </c>
      <c r="S2583" s="152">
        <v>99.181296000000003</v>
      </c>
      <c r="T2583" s="152">
        <v>0</v>
      </c>
      <c r="U2583" s="152">
        <v>0.22553599999999999</v>
      </c>
      <c r="V2583" s="152">
        <v>0.101733</v>
      </c>
      <c r="W2583" s="152">
        <v>1000</v>
      </c>
      <c r="X2583" s="152" t="s">
        <v>23</v>
      </c>
      <c r="Y2583" s="152" t="s">
        <v>1328</v>
      </c>
      <c r="Z2583" s="152" t="s">
        <v>1327</v>
      </c>
    </row>
    <row r="2584" spans="1:26" x14ac:dyDescent="0.2">
      <c r="A2584" s="152" t="s">
        <v>3660</v>
      </c>
      <c r="B2584" s="152">
        <v>0</v>
      </c>
      <c r="C2584" s="151">
        <v>43517</v>
      </c>
      <c r="D2584" s="152">
        <v>0.32602700000000001</v>
      </c>
      <c r="E2584" s="152" t="s">
        <v>1325</v>
      </c>
      <c r="F2584" s="152" t="s">
        <v>1326</v>
      </c>
      <c r="G2584" s="152"/>
      <c r="H2584" s="152"/>
      <c r="I2584" s="151">
        <v>43342</v>
      </c>
      <c r="J2584" s="152">
        <v>4</v>
      </c>
      <c r="K2584" s="152" t="s">
        <v>1327</v>
      </c>
      <c r="L2584" s="152" t="s">
        <v>1327</v>
      </c>
      <c r="M2584" s="152" t="s">
        <v>1327</v>
      </c>
      <c r="N2584" s="152" t="s">
        <v>1327</v>
      </c>
      <c r="O2584" s="152">
        <v>3.6898390000000001</v>
      </c>
      <c r="P2584" s="152">
        <v>210.41888</v>
      </c>
      <c r="Q2584" s="152">
        <v>3.6898390000000001</v>
      </c>
      <c r="R2584" s="152" t="s">
        <v>1327</v>
      </c>
      <c r="S2584" s="152">
        <v>98.811311000000003</v>
      </c>
      <c r="T2584" s="152">
        <v>0</v>
      </c>
      <c r="U2584" s="152">
        <v>0.32215199999999999</v>
      </c>
      <c r="V2584" s="152">
        <v>0.207564</v>
      </c>
      <c r="W2584" s="152">
        <v>1000</v>
      </c>
      <c r="X2584" s="152" t="s">
        <v>23</v>
      </c>
      <c r="Y2584" s="152" t="s">
        <v>1328</v>
      </c>
      <c r="Z2584" s="152" t="s">
        <v>1327</v>
      </c>
    </row>
    <row r="2585" spans="1:26" x14ac:dyDescent="0.2">
      <c r="A2585" s="152" t="s">
        <v>3661</v>
      </c>
      <c r="B2585" s="152">
        <v>0</v>
      </c>
      <c r="C2585" s="151">
        <v>43579</v>
      </c>
      <c r="D2585" s="152">
        <v>0.49589</v>
      </c>
      <c r="E2585" s="152" t="s">
        <v>1325</v>
      </c>
      <c r="F2585" s="152" t="s">
        <v>1326</v>
      </c>
      <c r="G2585" s="152"/>
      <c r="H2585" s="152"/>
      <c r="I2585" s="151">
        <v>43397</v>
      </c>
      <c r="J2585" s="152">
        <v>3.55</v>
      </c>
      <c r="K2585" s="152" t="s">
        <v>1327</v>
      </c>
      <c r="L2585" s="152" t="s">
        <v>1327</v>
      </c>
      <c r="M2585" s="152" t="s">
        <v>1327</v>
      </c>
      <c r="N2585" s="152" t="s">
        <v>1327</v>
      </c>
      <c r="O2585" s="152">
        <v>3.55</v>
      </c>
      <c r="P2585" s="152">
        <v>183.70155</v>
      </c>
      <c r="Q2585" s="152">
        <v>3.55</v>
      </c>
      <c r="R2585" s="152" t="s">
        <v>1327</v>
      </c>
      <c r="S2585" s="152">
        <v>98.270043000000001</v>
      </c>
      <c r="T2585" s="152">
        <v>0</v>
      </c>
      <c r="U2585" s="152">
        <v>0.48731200000000002</v>
      </c>
      <c r="V2585" s="152">
        <v>0.47494500000000001</v>
      </c>
      <c r="W2585" s="152">
        <v>1000</v>
      </c>
      <c r="X2585" s="152" t="s">
        <v>23</v>
      </c>
      <c r="Y2585" s="152" t="s">
        <v>1328</v>
      </c>
      <c r="Z2585" s="152" t="s">
        <v>1327</v>
      </c>
    </row>
    <row r="2586" spans="1:26" x14ac:dyDescent="0.2">
      <c r="A2586" s="152" t="s">
        <v>3662</v>
      </c>
      <c r="B2586" s="152">
        <v>0</v>
      </c>
      <c r="C2586" s="151">
        <v>43438</v>
      </c>
      <c r="D2586" s="152">
        <v>0.10958900000000001</v>
      </c>
      <c r="E2586" s="152" t="s">
        <v>1325</v>
      </c>
      <c r="F2586" s="152" t="s">
        <v>1326</v>
      </c>
      <c r="G2586" s="152"/>
      <c r="H2586" s="152"/>
      <c r="I2586" s="151">
        <v>43347</v>
      </c>
      <c r="J2586" s="152">
        <v>1.68</v>
      </c>
      <c r="K2586" s="152" t="s">
        <v>1327</v>
      </c>
      <c r="L2586" s="152" t="s">
        <v>1327</v>
      </c>
      <c r="M2586" s="152" t="s">
        <v>1327</v>
      </c>
      <c r="N2586" s="152" t="s">
        <v>1327</v>
      </c>
      <c r="O2586" s="152">
        <v>1.597577</v>
      </c>
      <c r="P2586" s="152">
        <v>29.635926999999999</v>
      </c>
      <c r="Q2586" s="152">
        <v>1.597577</v>
      </c>
      <c r="R2586" s="152" t="s">
        <v>1327</v>
      </c>
      <c r="S2586" s="152">
        <v>99.825228999999993</v>
      </c>
      <c r="T2586" s="152">
        <v>0</v>
      </c>
      <c r="U2586" s="152">
        <v>0.109398</v>
      </c>
      <c r="V2586" s="152">
        <v>2.3935999999999999E-2</v>
      </c>
      <c r="W2586" s="152">
        <v>1000</v>
      </c>
      <c r="X2586" s="152" t="s">
        <v>23</v>
      </c>
      <c r="Y2586" s="152" t="s">
        <v>1328</v>
      </c>
      <c r="Z2586" s="152" t="s">
        <v>1327</v>
      </c>
    </row>
    <row r="2587" spans="1:26" x14ac:dyDescent="0.2">
      <c r="A2587" s="152" t="s">
        <v>3663</v>
      </c>
      <c r="B2587" s="152">
        <v>0</v>
      </c>
      <c r="C2587" s="151">
        <v>43438</v>
      </c>
      <c r="D2587" s="152">
        <v>0.10958900000000001</v>
      </c>
      <c r="E2587" s="152" t="s">
        <v>1325</v>
      </c>
      <c r="F2587" s="152" t="s">
        <v>1326</v>
      </c>
      <c r="G2587" s="152"/>
      <c r="H2587" s="152"/>
      <c r="I2587" s="152">
        <v>43349</v>
      </c>
      <c r="J2587" s="152">
        <v>1.65</v>
      </c>
      <c r="K2587" s="152" t="s">
        <v>1327</v>
      </c>
      <c r="L2587" s="152" t="s">
        <v>1327</v>
      </c>
      <c r="M2587" s="152" t="s">
        <v>1327</v>
      </c>
      <c r="N2587" s="152" t="s">
        <v>1327</v>
      </c>
      <c r="O2587" s="152">
        <v>1.597577</v>
      </c>
      <c r="P2587" s="152">
        <v>29.635926999999999</v>
      </c>
      <c r="Q2587" s="152">
        <v>1.597577</v>
      </c>
      <c r="R2587" s="152" t="s">
        <v>1327</v>
      </c>
      <c r="S2587" s="152">
        <v>99.825228999999993</v>
      </c>
      <c r="T2587" s="152">
        <v>0</v>
      </c>
      <c r="U2587" s="152">
        <v>0.109398</v>
      </c>
      <c r="V2587" s="152">
        <v>2.3935999999999999E-2</v>
      </c>
      <c r="W2587" s="152">
        <v>1000</v>
      </c>
      <c r="X2587" s="152" t="s">
        <v>23</v>
      </c>
      <c r="Y2587" s="152" t="s">
        <v>1328</v>
      </c>
      <c r="Z2587" s="152" t="s">
        <v>1327</v>
      </c>
    </row>
    <row r="2588" spans="1:26" x14ac:dyDescent="0.2">
      <c r="A2588" s="152" t="s">
        <v>3664</v>
      </c>
      <c r="B2588" s="152">
        <v>0</v>
      </c>
      <c r="C2588" s="151">
        <v>43440</v>
      </c>
      <c r="D2588" s="152">
        <v>0.115068</v>
      </c>
      <c r="E2588" s="152" t="s">
        <v>1325</v>
      </c>
      <c r="F2588" s="152" t="s">
        <v>1326</v>
      </c>
      <c r="G2588" s="152"/>
      <c r="H2588" s="152"/>
      <c r="I2588" s="151">
        <v>43346</v>
      </c>
      <c r="J2588" s="152">
        <v>1.65</v>
      </c>
      <c r="K2588" s="152" t="s">
        <v>1327</v>
      </c>
      <c r="L2588" s="152" t="s">
        <v>1327</v>
      </c>
      <c r="M2588" s="152" t="s">
        <v>1327</v>
      </c>
      <c r="N2588" s="152" t="s">
        <v>1327</v>
      </c>
      <c r="O2588" s="152">
        <v>1.6068720000000001</v>
      </c>
      <c r="P2588" s="152">
        <v>29.574325999999999</v>
      </c>
      <c r="Q2588" s="152">
        <v>1.6068720000000001</v>
      </c>
      <c r="R2588" s="152" t="s">
        <v>1327</v>
      </c>
      <c r="S2588" s="152">
        <v>99.815441000000007</v>
      </c>
      <c r="T2588" s="152">
        <v>0</v>
      </c>
      <c r="U2588" s="152">
        <v>0.114856</v>
      </c>
      <c r="V2588" s="152">
        <v>2.6384000000000001E-2</v>
      </c>
      <c r="W2588" s="152">
        <v>1000</v>
      </c>
      <c r="X2588" s="152" t="s">
        <v>23</v>
      </c>
      <c r="Y2588" s="152" t="s">
        <v>1328</v>
      </c>
      <c r="Z2588" s="152" t="s">
        <v>1327</v>
      </c>
    </row>
    <row r="2589" spans="1:26" x14ac:dyDescent="0.2">
      <c r="A2589" s="152" t="s">
        <v>3665</v>
      </c>
      <c r="B2589" s="152">
        <v>0</v>
      </c>
      <c r="C2589" s="151">
        <v>43440</v>
      </c>
      <c r="D2589" s="152">
        <v>0.115068</v>
      </c>
      <c r="E2589" s="152" t="s">
        <v>1325</v>
      </c>
      <c r="F2589" s="152" t="s">
        <v>1326</v>
      </c>
      <c r="G2589" s="152"/>
      <c r="H2589" s="152"/>
      <c r="I2589" s="151">
        <v>43348</v>
      </c>
      <c r="J2589" s="152">
        <v>1.65</v>
      </c>
      <c r="K2589" s="152" t="s">
        <v>1327</v>
      </c>
      <c r="L2589" s="152" t="s">
        <v>1327</v>
      </c>
      <c r="M2589" s="152" t="s">
        <v>1327</v>
      </c>
      <c r="N2589" s="152" t="s">
        <v>1327</v>
      </c>
      <c r="O2589" s="152">
        <v>1.6068720000000001</v>
      </c>
      <c r="P2589" s="152">
        <v>29.574325999999999</v>
      </c>
      <c r="Q2589" s="152">
        <v>1.6068720000000001</v>
      </c>
      <c r="R2589" s="152" t="s">
        <v>1327</v>
      </c>
      <c r="S2589" s="152">
        <v>99.815441000000007</v>
      </c>
      <c r="T2589" s="152">
        <v>0</v>
      </c>
      <c r="U2589" s="152">
        <v>0.114856</v>
      </c>
      <c r="V2589" s="152">
        <v>2.6384000000000001E-2</v>
      </c>
      <c r="W2589" s="152">
        <v>1000</v>
      </c>
      <c r="X2589" s="152" t="s">
        <v>23</v>
      </c>
      <c r="Y2589" s="152" t="s">
        <v>1328</v>
      </c>
      <c r="Z2589" s="152" t="s">
        <v>1327</v>
      </c>
    </row>
    <row r="2590" spans="1:26" x14ac:dyDescent="0.2">
      <c r="A2590" s="152" t="s">
        <v>3666</v>
      </c>
      <c r="B2590" s="152">
        <v>0</v>
      </c>
      <c r="C2590" s="151">
        <v>43440</v>
      </c>
      <c r="D2590" s="152">
        <v>0.115068</v>
      </c>
      <c r="E2590" s="152" t="s">
        <v>1325</v>
      </c>
      <c r="F2590" s="152" t="s">
        <v>1326</v>
      </c>
      <c r="G2590" s="152"/>
      <c r="H2590" s="152"/>
      <c r="I2590" s="151">
        <v>43347</v>
      </c>
      <c r="J2590" s="152">
        <v>1.65</v>
      </c>
      <c r="K2590" s="152" t="s">
        <v>1327</v>
      </c>
      <c r="L2590" s="152" t="s">
        <v>1327</v>
      </c>
      <c r="M2590" s="152" t="s">
        <v>1327</v>
      </c>
      <c r="N2590" s="152" t="s">
        <v>1327</v>
      </c>
      <c r="O2590" s="152">
        <v>1.6068720000000001</v>
      </c>
      <c r="P2590" s="152">
        <v>29.574325999999999</v>
      </c>
      <c r="Q2590" s="152">
        <v>1.6068720000000001</v>
      </c>
      <c r="R2590" s="152" t="s">
        <v>1327</v>
      </c>
      <c r="S2590" s="152">
        <v>99.815441000000007</v>
      </c>
      <c r="T2590" s="152">
        <v>0</v>
      </c>
      <c r="U2590" s="152">
        <v>0.114856</v>
      </c>
      <c r="V2590" s="152">
        <v>2.6384000000000001E-2</v>
      </c>
      <c r="W2590" s="152">
        <v>1000</v>
      </c>
      <c r="X2590" s="152" t="s">
        <v>23</v>
      </c>
      <c r="Y2590" s="152" t="s">
        <v>1328</v>
      </c>
      <c r="Z2590" s="152" t="s">
        <v>1327</v>
      </c>
    </row>
    <row r="2591" spans="1:26" x14ac:dyDescent="0.2">
      <c r="A2591" s="152" t="s">
        <v>3667</v>
      </c>
      <c r="B2591" s="152">
        <v>0</v>
      </c>
      <c r="C2591" s="151">
        <v>43441</v>
      </c>
      <c r="D2591" s="152">
        <v>0.117808</v>
      </c>
      <c r="E2591" s="152" t="s">
        <v>1325</v>
      </c>
      <c r="F2591" s="152" t="s">
        <v>1326</v>
      </c>
      <c r="G2591" s="152"/>
      <c r="H2591" s="152"/>
      <c r="I2591" s="151">
        <v>43350</v>
      </c>
      <c r="J2591" s="152">
        <v>1.65</v>
      </c>
      <c r="K2591" s="152" t="s">
        <v>1327</v>
      </c>
      <c r="L2591" s="152" t="s">
        <v>1327</v>
      </c>
      <c r="M2591" s="152" t="s">
        <v>1327</v>
      </c>
      <c r="N2591" s="152" t="s">
        <v>1327</v>
      </c>
      <c r="O2591" s="152">
        <v>1.611529</v>
      </c>
      <c r="P2591" s="152">
        <v>29.545739999999999</v>
      </c>
      <c r="Q2591" s="152">
        <v>1.611529</v>
      </c>
      <c r="R2591" s="152" t="s">
        <v>1327</v>
      </c>
      <c r="S2591" s="152">
        <v>99.810507999999999</v>
      </c>
      <c r="T2591" s="152">
        <v>0</v>
      </c>
      <c r="U2591" s="152">
        <v>0.117585</v>
      </c>
      <c r="V2591" s="152">
        <v>2.7651999999999999E-2</v>
      </c>
      <c r="W2591" s="152">
        <v>1000</v>
      </c>
      <c r="X2591" s="152" t="s">
        <v>23</v>
      </c>
      <c r="Y2591" s="152" t="s">
        <v>1328</v>
      </c>
      <c r="Z2591" s="152" t="s">
        <v>1327</v>
      </c>
    </row>
    <row r="2592" spans="1:26" x14ac:dyDescent="0.2">
      <c r="A2592" s="152" t="s">
        <v>3668</v>
      </c>
      <c r="B2592" s="152">
        <v>0</v>
      </c>
      <c r="C2592" s="151">
        <v>43441</v>
      </c>
      <c r="D2592" s="152">
        <v>0.117808</v>
      </c>
      <c r="E2592" s="152" t="s">
        <v>1325</v>
      </c>
      <c r="F2592" s="152" t="s">
        <v>1326</v>
      </c>
      <c r="G2592" s="152"/>
      <c r="H2592" s="152"/>
      <c r="I2592" s="151">
        <v>43350</v>
      </c>
      <c r="J2592" s="152">
        <v>1.65</v>
      </c>
      <c r="K2592" s="152" t="s">
        <v>1327</v>
      </c>
      <c r="L2592" s="152" t="s">
        <v>1327</v>
      </c>
      <c r="M2592" s="152" t="s">
        <v>1327</v>
      </c>
      <c r="N2592" s="152" t="s">
        <v>1327</v>
      </c>
      <c r="O2592" s="152">
        <v>1.611529</v>
      </c>
      <c r="P2592" s="152">
        <v>29.545739999999999</v>
      </c>
      <c r="Q2592" s="152">
        <v>1.611529</v>
      </c>
      <c r="R2592" s="152" t="s">
        <v>1327</v>
      </c>
      <c r="S2592" s="152">
        <v>99.810507999999999</v>
      </c>
      <c r="T2592" s="152">
        <v>0</v>
      </c>
      <c r="U2592" s="152">
        <v>0.117585</v>
      </c>
      <c r="V2592" s="152">
        <v>2.7651999999999999E-2</v>
      </c>
      <c r="W2592" s="152">
        <v>1000</v>
      </c>
      <c r="X2592" s="152" t="s">
        <v>23</v>
      </c>
      <c r="Y2592" s="152" t="s">
        <v>1328</v>
      </c>
      <c r="Z2592" s="152" t="s">
        <v>1327</v>
      </c>
    </row>
    <row r="2593" spans="1:26" x14ac:dyDescent="0.2">
      <c r="A2593" s="152" t="s">
        <v>3669</v>
      </c>
      <c r="B2593" s="152">
        <v>0</v>
      </c>
      <c r="C2593" s="151">
        <v>43445</v>
      </c>
      <c r="D2593" s="152">
        <v>0.12876699999999999</v>
      </c>
      <c r="E2593" s="152" t="s">
        <v>1325</v>
      </c>
      <c r="F2593" s="152" t="s">
        <v>1326</v>
      </c>
      <c r="G2593" s="152"/>
      <c r="H2593" s="152"/>
      <c r="I2593" s="151">
        <v>43347</v>
      </c>
      <c r="J2593" s="152">
        <v>1.65</v>
      </c>
      <c r="K2593" s="152" t="s">
        <v>1327</v>
      </c>
      <c r="L2593" s="152" t="s">
        <v>1327</v>
      </c>
      <c r="M2593" s="152" t="s">
        <v>1327</v>
      </c>
      <c r="N2593" s="152" t="s">
        <v>1327</v>
      </c>
      <c r="O2593" s="152">
        <v>1.630215</v>
      </c>
      <c r="P2593" s="152">
        <v>29.447876999999998</v>
      </c>
      <c r="Q2593" s="152">
        <v>1.630215</v>
      </c>
      <c r="R2593" s="152" t="s">
        <v>1327</v>
      </c>
      <c r="S2593" s="152">
        <v>99.790521999999996</v>
      </c>
      <c r="T2593" s="152">
        <v>0</v>
      </c>
      <c r="U2593" s="152">
        <v>0.128497</v>
      </c>
      <c r="V2593" s="152">
        <v>3.3022999999999997E-2</v>
      </c>
      <c r="W2593" s="152">
        <v>1000</v>
      </c>
      <c r="X2593" s="152" t="s">
        <v>23</v>
      </c>
      <c r="Y2593" s="152" t="s">
        <v>1328</v>
      </c>
      <c r="Z2593" s="152" t="s">
        <v>1327</v>
      </c>
    </row>
    <row r="2594" spans="1:26" x14ac:dyDescent="0.2">
      <c r="A2594" s="152" t="s">
        <v>3670</v>
      </c>
      <c r="B2594" s="152">
        <v>0</v>
      </c>
      <c r="C2594" s="151">
        <v>43447</v>
      </c>
      <c r="D2594" s="152">
        <v>0.13424700000000001</v>
      </c>
      <c r="E2594" s="152" t="s">
        <v>1325</v>
      </c>
      <c r="F2594" s="152" t="s">
        <v>1326</v>
      </c>
      <c r="G2594" s="152"/>
      <c r="H2594" s="152"/>
      <c r="I2594" s="151">
        <v>43354</v>
      </c>
      <c r="J2594" s="152">
        <v>1.675</v>
      </c>
      <c r="K2594" s="152" t="s">
        <v>1327</v>
      </c>
      <c r="L2594" s="152" t="s">
        <v>1327</v>
      </c>
      <c r="M2594" s="152" t="s">
        <v>1327</v>
      </c>
      <c r="N2594" s="152" t="s">
        <v>1327</v>
      </c>
      <c r="O2594" s="152">
        <v>1.6395930000000001</v>
      </c>
      <c r="P2594" s="152">
        <v>29.409687999999999</v>
      </c>
      <c r="Q2594" s="152">
        <v>1.6395930000000001</v>
      </c>
      <c r="R2594" s="152" t="s">
        <v>1327</v>
      </c>
      <c r="S2594" s="152">
        <v>99.780373999999995</v>
      </c>
      <c r="T2594" s="152">
        <v>0</v>
      </c>
      <c r="U2594" s="152">
        <v>0.13395199999999999</v>
      </c>
      <c r="V2594" s="152">
        <v>3.5886000000000001E-2</v>
      </c>
      <c r="W2594" s="152">
        <v>1000</v>
      </c>
      <c r="X2594" s="152" t="s">
        <v>23</v>
      </c>
      <c r="Y2594" s="152" t="s">
        <v>1328</v>
      </c>
      <c r="Z2594" s="152" t="s">
        <v>1327</v>
      </c>
    </row>
    <row r="2595" spans="1:26" x14ac:dyDescent="0.2">
      <c r="A2595" s="152" t="s">
        <v>3671</v>
      </c>
      <c r="B2595" s="152">
        <v>0</v>
      </c>
      <c r="C2595" s="151">
        <v>43447</v>
      </c>
      <c r="D2595" s="152">
        <v>0.13424700000000001</v>
      </c>
      <c r="E2595" s="152" t="s">
        <v>1325</v>
      </c>
      <c r="F2595" s="152" t="s">
        <v>1326</v>
      </c>
      <c r="G2595" s="152"/>
      <c r="H2595" s="152"/>
      <c r="I2595" s="151">
        <v>43356</v>
      </c>
      <c r="J2595" s="152">
        <v>1.65</v>
      </c>
      <c r="K2595" s="152" t="s">
        <v>1327</v>
      </c>
      <c r="L2595" s="152" t="s">
        <v>1327</v>
      </c>
      <c r="M2595" s="152" t="s">
        <v>1327</v>
      </c>
      <c r="N2595" s="152" t="s">
        <v>1327</v>
      </c>
      <c r="O2595" s="152">
        <v>1.6395930000000001</v>
      </c>
      <c r="P2595" s="152">
        <v>29.409687999999999</v>
      </c>
      <c r="Q2595" s="152">
        <v>1.6395930000000001</v>
      </c>
      <c r="R2595" s="152" t="s">
        <v>1327</v>
      </c>
      <c r="S2595" s="152">
        <v>99.780373999999995</v>
      </c>
      <c r="T2595" s="152">
        <v>0</v>
      </c>
      <c r="U2595" s="152">
        <v>0.13395199999999999</v>
      </c>
      <c r="V2595" s="152">
        <v>3.5886000000000001E-2</v>
      </c>
      <c r="W2595" s="152">
        <v>1000</v>
      </c>
      <c r="X2595" s="152" t="s">
        <v>23</v>
      </c>
      <c r="Y2595" s="152" t="s">
        <v>1328</v>
      </c>
      <c r="Z2595" s="152" t="s">
        <v>1327</v>
      </c>
    </row>
    <row r="2596" spans="1:26" x14ac:dyDescent="0.2">
      <c r="A2596" s="152" t="s">
        <v>3672</v>
      </c>
      <c r="B2596" s="152">
        <v>0</v>
      </c>
      <c r="C2596" s="151">
        <v>43447</v>
      </c>
      <c r="D2596" s="152">
        <v>0.13424700000000001</v>
      </c>
      <c r="E2596" s="152" t="s">
        <v>1325</v>
      </c>
      <c r="F2596" s="152" t="s">
        <v>1326</v>
      </c>
      <c r="G2596" s="152"/>
      <c r="H2596" s="152"/>
      <c r="I2596" s="151">
        <v>43357</v>
      </c>
      <c r="J2596" s="152">
        <v>1.65</v>
      </c>
      <c r="K2596" s="152" t="s">
        <v>1327</v>
      </c>
      <c r="L2596" s="152" t="s">
        <v>1327</v>
      </c>
      <c r="M2596" s="152" t="s">
        <v>1327</v>
      </c>
      <c r="N2596" s="152" t="s">
        <v>1327</v>
      </c>
      <c r="O2596" s="152">
        <v>1.6395930000000001</v>
      </c>
      <c r="P2596" s="152">
        <v>29.409687999999999</v>
      </c>
      <c r="Q2596" s="152">
        <v>1.6395930000000001</v>
      </c>
      <c r="R2596" s="152" t="s">
        <v>1327</v>
      </c>
      <c r="S2596" s="152">
        <v>99.780373999999995</v>
      </c>
      <c r="T2596" s="152">
        <v>0</v>
      </c>
      <c r="U2596" s="152">
        <v>0.13395199999999999</v>
      </c>
      <c r="V2596" s="152">
        <v>3.5886000000000001E-2</v>
      </c>
      <c r="W2596" s="152">
        <v>1000</v>
      </c>
      <c r="X2596" s="152" t="s">
        <v>23</v>
      </c>
      <c r="Y2596" s="152" t="s">
        <v>1328</v>
      </c>
      <c r="Z2596" s="152" t="s">
        <v>1327</v>
      </c>
    </row>
    <row r="2597" spans="1:26" x14ac:dyDescent="0.2">
      <c r="A2597" s="152" t="s">
        <v>3673</v>
      </c>
      <c r="B2597" s="152">
        <v>0</v>
      </c>
      <c r="C2597" s="151">
        <v>43447</v>
      </c>
      <c r="D2597" s="152">
        <v>0.13424700000000001</v>
      </c>
      <c r="E2597" s="152" t="s">
        <v>1325</v>
      </c>
      <c r="F2597" s="152" t="s">
        <v>1326</v>
      </c>
      <c r="G2597" s="152"/>
      <c r="H2597" s="152"/>
      <c r="I2597" s="151">
        <v>43362</v>
      </c>
      <c r="J2597" s="152">
        <v>1.65</v>
      </c>
      <c r="K2597" s="152" t="s">
        <v>1327</v>
      </c>
      <c r="L2597" s="152" t="s">
        <v>1327</v>
      </c>
      <c r="M2597" s="152" t="s">
        <v>1327</v>
      </c>
      <c r="N2597" s="152" t="s">
        <v>1327</v>
      </c>
      <c r="O2597" s="152">
        <v>1.6395930000000001</v>
      </c>
      <c r="P2597" s="152">
        <v>29.409687999999999</v>
      </c>
      <c r="Q2597" s="152">
        <v>1.6395930000000001</v>
      </c>
      <c r="R2597" s="152" t="s">
        <v>1327</v>
      </c>
      <c r="S2597" s="152">
        <v>99.780373999999995</v>
      </c>
      <c r="T2597" s="152">
        <v>0</v>
      </c>
      <c r="U2597" s="152">
        <v>0.13395199999999999</v>
      </c>
      <c r="V2597" s="152">
        <v>3.5886000000000001E-2</v>
      </c>
      <c r="W2597" s="152">
        <v>1000</v>
      </c>
      <c r="X2597" s="152" t="s">
        <v>23</v>
      </c>
      <c r="Y2597" s="152" t="s">
        <v>1328</v>
      </c>
      <c r="Z2597" s="152" t="s">
        <v>1327</v>
      </c>
    </row>
    <row r="2598" spans="1:26" x14ac:dyDescent="0.2">
      <c r="A2598" s="152" t="s">
        <v>3674</v>
      </c>
      <c r="B2598" s="152">
        <v>0</v>
      </c>
      <c r="C2598" s="151">
        <v>43448</v>
      </c>
      <c r="D2598" s="152">
        <v>0.136986</v>
      </c>
      <c r="E2598" s="152" t="s">
        <v>1325</v>
      </c>
      <c r="F2598" s="152" t="s">
        <v>1326</v>
      </c>
      <c r="G2598" s="152"/>
      <c r="H2598" s="152"/>
      <c r="I2598" s="151">
        <v>43357</v>
      </c>
      <c r="J2598" s="152">
        <v>1.65</v>
      </c>
      <c r="K2598" s="152" t="s">
        <v>1327</v>
      </c>
      <c r="L2598" s="152" t="s">
        <v>1327</v>
      </c>
      <c r="M2598" s="152" t="s">
        <v>1327</v>
      </c>
      <c r="N2598" s="152" t="s">
        <v>1327</v>
      </c>
      <c r="O2598" s="152">
        <v>1.6442920000000001</v>
      </c>
      <c r="P2598" s="152">
        <v>29.393533000000001</v>
      </c>
      <c r="Q2598" s="152">
        <v>1.6442920000000001</v>
      </c>
      <c r="R2598" s="152" t="s">
        <v>1327</v>
      </c>
      <c r="S2598" s="152">
        <v>99.775261</v>
      </c>
      <c r="T2598" s="152">
        <v>0</v>
      </c>
      <c r="U2598" s="152">
        <v>0.13667799999999999</v>
      </c>
      <c r="V2598" s="152">
        <v>3.7361999999999999E-2</v>
      </c>
      <c r="W2598" s="152">
        <v>1000</v>
      </c>
      <c r="X2598" s="152" t="s">
        <v>23</v>
      </c>
      <c r="Y2598" s="152" t="s">
        <v>1328</v>
      </c>
      <c r="Z2598" s="152" t="s">
        <v>1327</v>
      </c>
    </row>
    <row r="2599" spans="1:26" x14ac:dyDescent="0.2">
      <c r="A2599" s="152" t="s">
        <v>3675</v>
      </c>
      <c r="B2599" s="152">
        <v>0</v>
      </c>
      <c r="C2599" s="151">
        <v>43448</v>
      </c>
      <c r="D2599" s="152">
        <v>0.136986</v>
      </c>
      <c r="E2599" s="152" t="s">
        <v>1325</v>
      </c>
      <c r="F2599" s="152" t="s">
        <v>1326</v>
      </c>
      <c r="G2599" s="152"/>
      <c r="H2599" s="152"/>
      <c r="I2599" s="151">
        <v>43357</v>
      </c>
      <c r="J2599" s="152">
        <v>1.65</v>
      </c>
      <c r="K2599" s="152" t="s">
        <v>1327</v>
      </c>
      <c r="L2599" s="152" t="s">
        <v>1327</v>
      </c>
      <c r="M2599" s="152" t="s">
        <v>1327</v>
      </c>
      <c r="N2599" s="152" t="s">
        <v>1327</v>
      </c>
      <c r="O2599" s="152">
        <v>1.6442920000000001</v>
      </c>
      <c r="P2599" s="152">
        <v>29.393533000000001</v>
      </c>
      <c r="Q2599" s="152">
        <v>1.6442920000000001</v>
      </c>
      <c r="R2599" s="152" t="s">
        <v>1327</v>
      </c>
      <c r="S2599" s="152">
        <v>99.775261</v>
      </c>
      <c r="T2599" s="152">
        <v>0</v>
      </c>
      <c r="U2599" s="152">
        <v>0.13667799999999999</v>
      </c>
      <c r="V2599" s="152">
        <v>3.7361999999999999E-2</v>
      </c>
      <c r="W2599" s="152">
        <v>1000</v>
      </c>
      <c r="X2599" s="152" t="s">
        <v>23</v>
      </c>
      <c r="Y2599" s="152" t="s">
        <v>1328</v>
      </c>
      <c r="Z2599" s="152" t="s">
        <v>1327</v>
      </c>
    </row>
    <row r="2600" spans="1:26" x14ac:dyDescent="0.2">
      <c r="A2600" s="152" t="s">
        <v>3676</v>
      </c>
      <c r="B2600" s="152">
        <v>0</v>
      </c>
      <c r="C2600" s="151">
        <v>43452</v>
      </c>
      <c r="D2600" s="152">
        <v>0.14794499999999999</v>
      </c>
      <c r="E2600" s="152" t="s">
        <v>1325</v>
      </c>
      <c r="F2600" s="152" t="s">
        <v>1326</v>
      </c>
      <c r="G2600" s="152"/>
      <c r="H2600" s="152"/>
      <c r="I2600" s="151">
        <v>43356</v>
      </c>
      <c r="J2600" s="152">
        <v>1.65</v>
      </c>
      <c r="K2600" s="152" t="s">
        <v>1327</v>
      </c>
      <c r="L2600" s="152" t="s">
        <v>1327</v>
      </c>
      <c r="M2600" s="152" t="s">
        <v>1327</v>
      </c>
      <c r="N2600" s="152" t="s">
        <v>1327</v>
      </c>
      <c r="O2600" s="152">
        <v>1.6631480000000001</v>
      </c>
      <c r="P2600" s="152">
        <v>29.350224000000001</v>
      </c>
      <c r="Q2600" s="152">
        <v>1.6631480000000001</v>
      </c>
      <c r="R2600" s="152" t="s">
        <v>1327</v>
      </c>
      <c r="S2600" s="152">
        <v>99.754548999999997</v>
      </c>
      <c r="T2600" s="152">
        <v>0</v>
      </c>
      <c r="U2600" s="152">
        <v>0.14758199999999999</v>
      </c>
      <c r="V2600" s="152">
        <v>4.3561000000000002E-2</v>
      </c>
      <c r="W2600" s="152">
        <v>1000</v>
      </c>
      <c r="X2600" s="152" t="s">
        <v>23</v>
      </c>
      <c r="Y2600" s="152" t="s">
        <v>1328</v>
      </c>
      <c r="Z2600" s="152" t="s">
        <v>1327</v>
      </c>
    </row>
    <row r="2601" spans="1:26" x14ac:dyDescent="0.2">
      <c r="A2601" s="152" t="s">
        <v>3677</v>
      </c>
      <c r="B2601" s="152">
        <v>0</v>
      </c>
      <c r="C2601" s="151">
        <v>43454</v>
      </c>
      <c r="D2601" s="152">
        <v>0.15342500000000001</v>
      </c>
      <c r="E2601" s="152" t="s">
        <v>1325</v>
      </c>
      <c r="F2601" s="152" t="s">
        <v>1326</v>
      </c>
      <c r="G2601" s="152"/>
      <c r="H2601" s="152"/>
      <c r="I2601" s="151">
        <v>43272</v>
      </c>
      <c r="J2601" s="152">
        <v>1.65</v>
      </c>
      <c r="K2601" s="152" t="s">
        <v>1327</v>
      </c>
      <c r="L2601" s="152" t="s">
        <v>1327</v>
      </c>
      <c r="M2601" s="152" t="s">
        <v>1327</v>
      </c>
      <c r="N2601" s="152" t="s">
        <v>1327</v>
      </c>
      <c r="O2601" s="152">
        <v>1.672614</v>
      </c>
      <c r="P2601" s="152">
        <v>29.342210000000001</v>
      </c>
      <c r="Q2601" s="152">
        <v>1.672614</v>
      </c>
      <c r="R2601" s="152" t="s">
        <v>1327</v>
      </c>
      <c r="S2601" s="152">
        <v>99.744037000000006</v>
      </c>
      <c r="T2601" s="152">
        <v>0</v>
      </c>
      <c r="U2601" s="152">
        <v>0.153032</v>
      </c>
      <c r="V2601" s="152">
        <v>4.6837999999999998E-2</v>
      </c>
      <c r="W2601" s="152">
        <v>1000</v>
      </c>
      <c r="X2601" s="152" t="s">
        <v>23</v>
      </c>
      <c r="Y2601" s="152" t="s">
        <v>1328</v>
      </c>
      <c r="Z2601" s="152" t="s">
        <v>1327</v>
      </c>
    </row>
    <row r="2602" spans="1:26" x14ac:dyDescent="0.2">
      <c r="A2602" s="152" t="s">
        <v>3678</v>
      </c>
      <c r="B2602" s="152">
        <v>0</v>
      </c>
      <c r="C2602" s="151">
        <v>43454</v>
      </c>
      <c r="D2602" s="152">
        <v>0.15342500000000001</v>
      </c>
      <c r="E2602" s="152" t="s">
        <v>1325</v>
      </c>
      <c r="F2602" s="152" t="s">
        <v>1326</v>
      </c>
      <c r="G2602" s="152"/>
      <c r="H2602" s="152"/>
      <c r="I2602" s="151">
        <v>43363</v>
      </c>
      <c r="J2602" s="152">
        <v>1.65</v>
      </c>
      <c r="K2602" s="152" t="s">
        <v>1327</v>
      </c>
      <c r="L2602" s="152" t="s">
        <v>1327</v>
      </c>
      <c r="M2602" s="152" t="s">
        <v>1327</v>
      </c>
      <c r="N2602" s="152" t="s">
        <v>1327</v>
      </c>
      <c r="O2602" s="152">
        <v>1.672614</v>
      </c>
      <c r="P2602" s="152">
        <v>29.342210000000001</v>
      </c>
      <c r="Q2602" s="152">
        <v>1.672614</v>
      </c>
      <c r="R2602" s="152" t="s">
        <v>1327</v>
      </c>
      <c r="S2602" s="152">
        <v>99.744037000000006</v>
      </c>
      <c r="T2602" s="152">
        <v>0</v>
      </c>
      <c r="U2602" s="152">
        <v>0.153032</v>
      </c>
      <c r="V2602" s="152">
        <v>4.6837999999999998E-2</v>
      </c>
      <c r="W2602" s="152">
        <v>1000</v>
      </c>
      <c r="X2602" s="152" t="s">
        <v>23</v>
      </c>
      <c r="Y2602" s="152" t="s">
        <v>1328</v>
      </c>
      <c r="Z2602" s="152" t="s">
        <v>1327</v>
      </c>
    </row>
    <row r="2603" spans="1:26" x14ac:dyDescent="0.2">
      <c r="A2603" s="152" t="s">
        <v>3679</v>
      </c>
      <c r="B2603" s="152">
        <v>0</v>
      </c>
      <c r="C2603" s="151">
        <v>43460</v>
      </c>
      <c r="D2603" s="152">
        <v>0.16986299999999999</v>
      </c>
      <c r="E2603" s="152" t="s">
        <v>1325</v>
      </c>
      <c r="F2603" s="152" t="s">
        <v>1326</v>
      </c>
      <c r="G2603" s="152"/>
      <c r="H2603" s="152"/>
      <c r="I2603" s="151">
        <v>43369</v>
      </c>
      <c r="J2603" s="152">
        <v>1.68</v>
      </c>
      <c r="K2603" s="152" t="s">
        <v>1327</v>
      </c>
      <c r="L2603" s="152" t="s">
        <v>1327</v>
      </c>
      <c r="M2603" s="152" t="s">
        <v>1327</v>
      </c>
      <c r="N2603" s="152" t="s">
        <v>1327</v>
      </c>
      <c r="O2603" s="152">
        <v>1.7011639999999999</v>
      </c>
      <c r="P2603" s="152">
        <v>29.379659</v>
      </c>
      <c r="Q2603" s="152">
        <v>1.7011639999999999</v>
      </c>
      <c r="R2603" s="152" t="s">
        <v>1327</v>
      </c>
      <c r="S2603" s="152">
        <v>99.711867999999996</v>
      </c>
      <c r="T2603" s="152">
        <v>0</v>
      </c>
      <c r="U2603" s="152">
        <v>0.169374</v>
      </c>
      <c r="V2603" s="152">
        <v>5.7375000000000002E-2</v>
      </c>
      <c r="W2603" s="152">
        <v>1000</v>
      </c>
      <c r="X2603" s="152" t="s">
        <v>23</v>
      </c>
      <c r="Y2603" s="152" t="s">
        <v>1328</v>
      </c>
      <c r="Z2603" s="152" t="s">
        <v>1327</v>
      </c>
    </row>
    <row r="2604" spans="1:26" x14ac:dyDescent="0.2">
      <c r="A2604" s="152" t="s">
        <v>3680</v>
      </c>
      <c r="B2604" s="152">
        <v>0</v>
      </c>
      <c r="C2604" s="151">
        <v>43405</v>
      </c>
      <c r="D2604" s="152">
        <v>1.9178000000000001E-2</v>
      </c>
      <c r="E2604" s="152" t="s">
        <v>1325</v>
      </c>
      <c r="F2604" s="152" t="s">
        <v>1326</v>
      </c>
      <c r="G2604" s="152"/>
      <c r="H2604" s="152"/>
      <c r="I2604" s="151">
        <v>43374</v>
      </c>
      <c r="J2604" s="152">
        <v>1.55</v>
      </c>
      <c r="K2604" s="152" t="s">
        <v>1327</v>
      </c>
      <c r="L2604" s="152" t="s">
        <v>1327</v>
      </c>
      <c r="M2604" s="152" t="s">
        <v>1327</v>
      </c>
      <c r="N2604" s="152" t="s">
        <v>1327</v>
      </c>
      <c r="O2604" s="152">
        <v>1.507382</v>
      </c>
      <c r="P2604" s="152">
        <v>37.113619</v>
      </c>
      <c r="Q2604" s="152">
        <v>1.507382</v>
      </c>
      <c r="R2604" s="152" t="s">
        <v>1327</v>
      </c>
      <c r="S2604" s="152">
        <v>99.971100000000007</v>
      </c>
      <c r="T2604" s="152">
        <v>0</v>
      </c>
      <c r="U2604" s="152">
        <v>1.9172999999999999E-2</v>
      </c>
      <c r="V2604" s="152">
        <v>7.3499999999999998E-4</v>
      </c>
      <c r="W2604" s="152">
        <v>1000</v>
      </c>
      <c r="X2604" s="152" t="s">
        <v>23</v>
      </c>
      <c r="Y2604" s="152" t="s">
        <v>1328</v>
      </c>
      <c r="Z2604" s="152" t="s">
        <v>1327</v>
      </c>
    </row>
    <row r="2605" spans="1:26" x14ac:dyDescent="0.2">
      <c r="A2605" s="152" t="s">
        <v>3681</v>
      </c>
      <c r="B2605" s="152">
        <v>0</v>
      </c>
      <c r="C2605" s="151">
        <v>43406</v>
      </c>
      <c r="D2605" s="152">
        <v>2.1918E-2</v>
      </c>
      <c r="E2605" s="152" t="s">
        <v>1325</v>
      </c>
      <c r="F2605" s="152" t="s">
        <v>1326</v>
      </c>
      <c r="G2605" s="152"/>
      <c r="H2605" s="152"/>
      <c r="I2605" s="151">
        <v>43315</v>
      </c>
      <c r="J2605" s="152">
        <v>1.6</v>
      </c>
      <c r="K2605" s="152" t="s">
        <v>1327</v>
      </c>
      <c r="L2605" s="152" t="s">
        <v>1327</v>
      </c>
      <c r="M2605" s="152" t="s">
        <v>1327</v>
      </c>
      <c r="N2605" s="152" t="s">
        <v>1327</v>
      </c>
      <c r="O2605" s="152">
        <v>1.507236</v>
      </c>
      <c r="P2605" s="152">
        <v>36.605269999999997</v>
      </c>
      <c r="Q2605" s="152">
        <v>1.507236</v>
      </c>
      <c r="R2605" s="152" t="s">
        <v>1327</v>
      </c>
      <c r="S2605" s="152">
        <v>99.966976000000003</v>
      </c>
      <c r="T2605" s="152">
        <v>0</v>
      </c>
      <c r="U2605" s="152">
        <v>2.1911E-2</v>
      </c>
      <c r="V2605" s="152">
        <v>9.6000000000000002E-4</v>
      </c>
      <c r="W2605" s="152">
        <v>1000</v>
      </c>
      <c r="X2605" s="152" t="s">
        <v>23</v>
      </c>
      <c r="Y2605" s="152" t="s">
        <v>1328</v>
      </c>
      <c r="Z2605" s="152" t="s">
        <v>1327</v>
      </c>
    </row>
    <row r="2606" spans="1:26" x14ac:dyDescent="0.2">
      <c r="A2606" s="152" t="s">
        <v>3682</v>
      </c>
      <c r="B2606" s="152">
        <v>0</v>
      </c>
      <c r="C2606" s="151">
        <v>43406</v>
      </c>
      <c r="D2606" s="152">
        <v>2.1918E-2</v>
      </c>
      <c r="E2606" s="152" t="s">
        <v>1325</v>
      </c>
      <c r="F2606" s="152" t="s">
        <v>1326</v>
      </c>
      <c r="G2606" s="152"/>
      <c r="H2606" s="152"/>
      <c r="I2606" s="151">
        <v>43315</v>
      </c>
      <c r="J2606" s="152">
        <v>1.6</v>
      </c>
      <c r="K2606" s="152" t="s">
        <v>1327</v>
      </c>
      <c r="L2606" s="152" t="s">
        <v>1327</v>
      </c>
      <c r="M2606" s="152" t="s">
        <v>1327</v>
      </c>
      <c r="N2606" s="152" t="s">
        <v>1327</v>
      </c>
      <c r="O2606" s="152">
        <v>1.507236</v>
      </c>
      <c r="P2606" s="152">
        <v>36.605269999999997</v>
      </c>
      <c r="Q2606" s="152">
        <v>1.507236</v>
      </c>
      <c r="R2606" s="152" t="s">
        <v>1327</v>
      </c>
      <c r="S2606" s="152">
        <v>99.966976000000003</v>
      </c>
      <c r="T2606" s="152">
        <v>0</v>
      </c>
      <c r="U2606" s="152">
        <v>2.1911E-2</v>
      </c>
      <c r="V2606" s="152">
        <v>9.6000000000000002E-4</v>
      </c>
      <c r="W2606" s="152">
        <v>1000</v>
      </c>
      <c r="X2606" s="152" t="s">
        <v>23</v>
      </c>
      <c r="Y2606" s="152" t="s">
        <v>1328</v>
      </c>
      <c r="Z2606" s="152" t="s">
        <v>1327</v>
      </c>
    </row>
    <row r="2607" spans="1:26" x14ac:dyDescent="0.2">
      <c r="A2607" s="152" t="s">
        <v>3683</v>
      </c>
      <c r="B2607" s="152">
        <v>0</v>
      </c>
      <c r="C2607" s="151">
        <v>43406</v>
      </c>
      <c r="D2607" s="152">
        <v>2.1918E-2</v>
      </c>
      <c r="E2607" s="152" t="s">
        <v>1325</v>
      </c>
      <c r="F2607" s="152" t="s">
        <v>1326</v>
      </c>
      <c r="G2607" s="152"/>
      <c r="H2607" s="152"/>
      <c r="I2607" s="151">
        <v>43376</v>
      </c>
      <c r="J2607" s="152">
        <v>1.55</v>
      </c>
      <c r="K2607" s="152" t="s">
        <v>1327</v>
      </c>
      <c r="L2607" s="152" t="s">
        <v>1327</v>
      </c>
      <c r="M2607" s="152" t="s">
        <v>1327</v>
      </c>
      <c r="N2607" s="152" t="s">
        <v>1327</v>
      </c>
      <c r="O2607" s="152">
        <v>1.507236</v>
      </c>
      <c r="P2607" s="152">
        <v>36.605269999999997</v>
      </c>
      <c r="Q2607" s="152">
        <v>1.507236</v>
      </c>
      <c r="R2607" s="152" t="s">
        <v>1327</v>
      </c>
      <c r="S2607" s="152">
        <v>99.966976000000003</v>
      </c>
      <c r="T2607" s="152">
        <v>0</v>
      </c>
      <c r="U2607" s="152">
        <v>2.1911E-2</v>
      </c>
      <c r="V2607" s="152">
        <v>9.6000000000000002E-4</v>
      </c>
      <c r="W2607" s="152">
        <v>1000</v>
      </c>
      <c r="X2607" s="152" t="s">
        <v>23</v>
      </c>
      <c r="Y2607" s="152" t="s">
        <v>1328</v>
      </c>
      <c r="Z2607" s="152" t="s">
        <v>1327</v>
      </c>
    </row>
    <row r="2608" spans="1:26" x14ac:dyDescent="0.2">
      <c r="A2608" s="152" t="s">
        <v>3684</v>
      </c>
      <c r="B2608" s="152">
        <v>0</v>
      </c>
      <c r="C2608" s="151">
        <v>43410</v>
      </c>
      <c r="D2608" s="152">
        <v>3.2877000000000003E-2</v>
      </c>
      <c r="E2608" s="152" t="s">
        <v>1325</v>
      </c>
      <c r="F2608" s="152" t="s">
        <v>1326</v>
      </c>
      <c r="G2608" s="152"/>
      <c r="H2608" s="152"/>
      <c r="I2608" s="151">
        <v>43319</v>
      </c>
      <c r="J2608" s="152">
        <v>1.64</v>
      </c>
      <c r="K2608" s="152" t="s">
        <v>1327</v>
      </c>
      <c r="L2608" s="152" t="s">
        <v>1327</v>
      </c>
      <c r="M2608" s="152" t="s">
        <v>1327</v>
      </c>
      <c r="N2608" s="152" t="s">
        <v>1327</v>
      </c>
      <c r="O2608" s="152">
        <v>1.506699</v>
      </c>
      <c r="P2608" s="152">
        <v>34.564264000000001</v>
      </c>
      <c r="Q2608" s="152">
        <v>1.506699</v>
      </c>
      <c r="R2608" s="152" t="s">
        <v>1327</v>
      </c>
      <c r="S2608" s="152">
        <v>99.950489000000005</v>
      </c>
      <c r="T2608" s="152">
        <v>0</v>
      </c>
      <c r="U2608" s="152">
        <v>3.286E-2</v>
      </c>
      <c r="V2608" s="152">
        <v>2.16E-3</v>
      </c>
      <c r="W2608" s="152">
        <v>1000</v>
      </c>
      <c r="X2608" s="152" t="s">
        <v>23</v>
      </c>
      <c r="Y2608" s="152" t="s">
        <v>1328</v>
      </c>
      <c r="Z2608" s="152" t="s">
        <v>1327</v>
      </c>
    </row>
    <row r="2609" spans="1:26" x14ac:dyDescent="0.2">
      <c r="A2609" s="152" t="s">
        <v>3685</v>
      </c>
      <c r="B2609" s="152">
        <v>0</v>
      </c>
      <c r="C2609" s="151">
        <v>43412</v>
      </c>
      <c r="D2609" s="152">
        <v>3.8356000000000001E-2</v>
      </c>
      <c r="E2609" s="152" t="s">
        <v>1325</v>
      </c>
      <c r="F2609" s="152" t="s">
        <v>1326</v>
      </c>
      <c r="G2609" s="152"/>
      <c r="H2609" s="152"/>
      <c r="I2609" s="151">
        <v>43320</v>
      </c>
      <c r="J2609" s="152">
        <v>1.6</v>
      </c>
      <c r="K2609" s="152" t="s">
        <v>1327</v>
      </c>
      <c r="L2609" s="152" t="s">
        <v>1327</v>
      </c>
      <c r="M2609" s="152" t="s">
        <v>1327</v>
      </c>
      <c r="N2609" s="152" t="s">
        <v>1327</v>
      </c>
      <c r="O2609" s="152">
        <v>1.5064610000000001</v>
      </c>
      <c r="P2609" s="152">
        <v>33.540163999999997</v>
      </c>
      <c r="Q2609" s="152">
        <v>1.5064610000000001</v>
      </c>
      <c r="R2609" s="152" t="s">
        <v>1327</v>
      </c>
      <c r="S2609" s="152">
        <v>99.942250999999999</v>
      </c>
      <c r="T2609" s="152">
        <v>0</v>
      </c>
      <c r="U2609" s="152">
        <v>3.8334E-2</v>
      </c>
      <c r="V2609" s="152">
        <v>2.9390000000000002E-3</v>
      </c>
      <c r="W2609" s="152">
        <v>1000</v>
      </c>
      <c r="X2609" s="152" t="s">
        <v>23</v>
      </c>
      <c r="Y2609" s="152" t="s">
        <v>1328</v>
      </c>
      <c r="Z2609" s="152" t="s">
        <v>1327</v>
      </c>
    </row>
    <row r="2610" spans="1:26" x14ac:dyDescent="0.2">
      <c r="A2610" s="152" t="s">
        <v>3686</v>
      </c>
      <c r="B2610" s="152">
        <v>0</v>
      </c>
      <c r="C2610" s="151">
        <v>43412</v>
      </c>
      <c r="D2610" s="152">
        <v>3.8356000000000001E-2</v>
      </c>
      <c r="E2610" s="152" t="s">
        <v>1325</v>
      </c>
      <c r="F2610" s="152" t="s">
        <v>1326</v>
      </c>
      <c r="G2610" s="152"/>
      <c r="H2610" s="152"/>
      <c r="I2610" s="151">
        <v>43321</v>
      </c>
      <c r="J2610" s="152">
        <v>1.6</v>
      </c>
      <c r="K2610" s="152" t="s">
        <v>1327</v>
      </c>
      <c r="L2610" s="152" t="s">
        <v>1327</v>
      </c>
      <c r="M2610" s="152" t="s">
        <v>1327</v>
      </c>
      <c r="N2610" s="152" t="s">
        <v>1327</v>
      </c>
      <c r="O2610" s="152">
        <v>1.5064610000000001</v>
      </c>
      <c r="P2610" s="152">
        <v>33.540163999999997</v>
      </c>
      <c r="Q2610" s="152">
        <v>1.5064610000000001</v>
      </c>
      <c r="R2610" s="152" t="s">
        <v>1327</v>
      </c>
      <c r="S2610" s="152">
        <v>99.942250999999999</v>
      </c>
      <c r="T2610" s="152">
        <v>0</v>
      </c>
      <c r="U2610" s="152">
        <v>3.8334E-2</v>
      </c>
      <c r="V2610" s="152">
        <v>2.9390000000000002E-3</v>
      </c>
      <c r="W2610" s="152">
        <v>1000</v>
      </c>
      <c r="X2610" s="152" t="s">
        <v>23</v>
      </c>
      <c r="Y2610" s="152" t="s">
        <v>1328</v>
      </c>
      <c r="Z2610" s="152" t="s">
        <v>1327</v>
      </c>
    </row>
    <row r="2611" spans="1:26" x14ac:dyDescent="0.2">
      <c r="A2611" s="152" t="s">
        <v>3687</v>
      </c>
      <c r="B2611" s="152">
        <v>0</v>
      </c>
      <c r="C2611" s="151">
        <v>43417</v>
      </c>
      <c r="D2611" s="152">
        <v>5.2054999999999997E-2</v>
      </c>
      <c r="E2611" s="152" t="s">
        <v>1325</v>
      </c>
      <c r="F2611" s="152" t="s">
        <v>1326</v>
      </c>
      <c r="G2611" s="152"/>
      <c r="H2611" s="152"/>
      <c r="I2611" s="151">
        <v>43242</v>
      </c>
      <c r="J2611" s="152">
        <v>1.65</v>
      </c>
      <c r="K2611" s="152" t="s">
        <v>1327</v>
      </c>
      <c r="L2611" s="152" t="s">
        <v>1327</v>
      </c>
      <c r="M2611" s="152" t="s">
        <v>1327</v>
      </c>
      <c r="N2611" s="152" t="s">
        <v>1327</v>
      </c>
      <c r="O2611" s="152">
        <v>1.505952</v>
      </c>
      <c r="P2611" s="152">
        <v>30.973863000000001</v>
      </c>
      <c r="Q2611" s="152">
        <v>1.505952</v>
      </c>
      <c r="R2611" s="152" t="s">
        <v>1327</v>
      </c>
      <c r="S2611" s="152">
        <v>99.921668999999994</v>
      </c>
      <c r="T2611" s="152">
        <v>0</v>
      </c>
      <c r="U2611" s="152">
        <v>5.2013999999999998E-2</v>
      </c>
      <c r="V2611" s="152">
        <v>5.411E-3</v>
      </c>
      <c r="W2611" s="152">
        <v>1000</v>
      </c>
      <c r="X2611" s="152" t="s">
        <v>23</v>
      </c>
      <c r="Y2611" s="152" t="s">
        <v>1328</v>
      </c>
      <c r="Z2611" s="152" t="s">
        <v>1327</v>
      </c>
    </row>
    <row r="2612" spans="1:26" x14ac:dyDescent="0.2">
      <c r="A2612" s="152" t="s">
        <v>3688</v>
      </c>
      <c r="B2612" s="152">
        <v>0</v>
      </c>
      <c r="C2612" s="151">
        <v>43420</v>
      </c>
      <c r="D2612" s="152">
        <v>6.0274000000000001E-2</v>
      </c>
      <c r="E2612" s="152" t="s">
        <v>1325</v>
      </c>
      <c r="F2612" s="152" t="s">
        <v>1326</v>
      </c>
      <c r="G2612" s="152"/>
      <c r="H2612" s="152"/>
      <c r="I2612" s="151">
        <v>43329</v>
      </c>
      <c r="J2612" s="152">
        <v>1.6</v>
      </c>
      <c r="K2612" s="152" t="s">
        <v>1327</v>
      </c>
      <c r="L2612" s="152" t="s">
        <v>1327</v>
      </c>
      <c r="M2612" s="152" t="s">
        <v>1327</v>
      </c>
      <c r="N2612" s="152" t="s">
        <v>1327</v>
      </c>
      <c r="O2612" s="152">
        <v>1.514939</v>
      </c>
      <c r="P2612" s="152">
        <v>30.368893</v>
      </c>
      <c r="Q2612" s="152">
        <v>1.514939</v>
      </c>
      <c r="R2612" s="152" t="s">
        <v>1327</v>
      </c>
      <c r="S2612" s="152">
        <v>99.908771999999999</v>
      </c>
      <c r="T2612" s="152">
        <v>0</v>
      </c>
      <c r="U2612" s="152">
        <v>6.0219000000000002E-2</v>
      </c>
      <c r="V2612" s="152">
        <v>7.2529999999999999E-3</v>
      </c>
      <c r="W2612" s="152">
        <v>1000</v>
      </c>
      <c r="X2612" s="152" t="s">
        <v>23</v>
      </c>
      <c r="Y2612" s="152" t="s">
        <v>1328</v>
      </c>
      <c r="Z2612" s="152" t="s">
        <v>1327</v>
      </c>
    </row>
    <row r="2613" spans="1:26" x14ac:dyDescent="0.2">
      <c r="A2613" s="152" t="s">
        <v>3689</v>
      </c>
      <c r="B2613" s="152">
        <v>0</v>
      </c>
      <c r="C2613" s="151">
        <v>43420</v>
      </c>
      <c r="D2613" s="152">
        <v>6.0274000000000001E-2</v>
      </c>
      <c r="E2613" s="152" t="s">
        <v>1325</v>
      </c>
      <c r="F2613" s="152" t="s">
        <v>1326</v>
      </c>
      <c r="G2613" s="152"/>
      <c r="H2613" s="152"/>
      <c r="I2613" s="151">
        <v>43329</v>
      </c>
      <c r="J2613" s="152">
        <v>1.64</v>
      </c>
      <c r="K2613" s="152" t="s">
        <v>1327</v>
      </c>
      <c r="L2613" s="152" t="s">
        <v>1327</v>
      </c>
      <c r="M2613" s="152" t="s">
        <v>1327</v>
      </c>
      <c r="N2613" s="152" t="s">
        <v>1327</v>
      </c>
      <c r="O2613" s="152">
        <v>1.514939</v>
      </c>
      <c r="P2613" s="152">
        <v>30.368893</v>
      </c>
      <c r="Q2613" s="152">
        <v>1.514939</v>
      </c>
      <c r="R2613" s="152" t="s">
        <v>1327</v>
      </c>
      <c r="S2613" s="152">
        <v>99.908771999999999</v>
      </c>
      <c r="T2613" s="152">
        <v>0</v>
      </c>
      <c r="U2613" s="152">
        <v>6.0219000000000002E-2</v>
      </c>
      <c r="V2613" s="152">
        <v>7.2529999999999999E-3</v>
      </c>
      <c r="W2613" s="152">
        <v>1000</v>
      </c>
      <c r="X2613" s="152" t="s">
        <v>23</v>
      </c>
      <c r="Y2613" s="152" t="s">
        <v>1328</v>
      </c>
      <c r="Z2613" s="152" t="s">
        <v>1327</v>
      </c>
    </row>
    <row r="2614" spans="1:26" x14ac:dyDescent="0.2">
      <c r="A2614" s="152" t="s">
        <v>3690</v>
      </c>
      <c r="B2614" s="152">
        <v>0</v>
      </c>
      <c r="C2614" s="151">
        <v>43425</v>
      </c>
      <c r="D2614" s="152">
        <v>7.3972999999999997E-2</v>
      </c>
      <c r="E2614" s="152" t="s">
        <v>1325</v>
      </c>
      <c r="F2614" s="152" t="s">
        <v>1326</v>
      </c>
      <c r="G2614" s="152"/>
      <c r="H2614" s="152"/>
      <c r="I2614" s="151" t="s">
        <v>1327</v>
      </c>
      <c r="J2614" s="152" t="s">
        <v>1327</v>
      </c>
      <c r="K2614" s="152" t="s">
        <v>1327</v>
      </c>
      <c r="L2614" s="152" t="s">
        <v>1327</v>
      </c>
      <c r="M2614" s="152" t="s">
        <v>1327</v>
      </c>
      <c r="N2614" s="152" t="s">
        <v>1327</v>
      </c>
      <c r="O2614" s="152">
        <v>1.5377149999999999</v>
      </c>
      <c r="P2614" s="152">
        <v>30.144227999999998</v>
      </c>
      <c r="Q2614" s="152">
        <v>1.5377149999999999</v>
      </c>
      <c r="R2614" s="152" t="s">
        <v>1327</v>
      </c>
      <c r="S2614" s="152">
        <v>99.886380000000003</v>
      </c>
      <c r="T2614" s="152">
        <v>0</v>
      </c>
      <c r="U2614" s="152">
        <v>7.3888999999999996E-2</v>
      </c>
      <c r="V2614" s="152">
        <v>1.0919E-2</v>
      </c>
      <c r="W2614" s="152">
        <v>1000</v>
      </c>
      <c r="X2614" s="152" t="s">
        <v>23</v>
      </c>
      <c r="Y2614" s="152" t="s">
        <v>1328</v>
      </c>
      <c r="Z2614" s="152" t="s">
        <v>1327</v>
      </c>
    </row>
    <row r="2615" spans="1:26" x14ac:dyDescent="0.2">
      <c r="A2615" s="152" t="s">
        <v>3691</v>
      </c>
      <c r="B2615" s="152">
        <v>0</v>
      </c>
      <c r="C2615" s="151">
        <v>43425</v>
      </c>
      <c r="D2615" s="152">
        <v>7.3972999999999997E-2</v>
      </c>
      <c r="E2615" s="152" t="s">
        <v>1325</v>
      </c>
      <c r="F2615" s="152" t="s">
        <v>1326</v>
      </c>
      <c r="G2615" s="152"/>
      <c r="H2615" s="152"/>
      <c r="I2615" s="151">
        <v>43333</v>
      </c>
      <c r="J2615" s="152">
        <v>1.64</v>
      </c>
      <c r="K2615" s="152" t="s">
        <v>1327</v>
      </c>
      <c r="L2615" s="152" t="s">
        <v>1327</v>
      </c>
      <c r="M2615" s="152" t="s">
        <v>1327</v>
      </c>
      <c r="N2615" s="152" t="s">
        <v>1327</v>
      </c>
      <c r="O2615" s="152">
        <v>1.5377149999999999</v>
      </c>
      <c r="P2615" s="152">
        <v>30.144227999999998</v>
      </c>
      <c r="Q2615" s="152">
        <v>1.5377149999999999</v>
      </c>
      <c r="R2615" s="152" t="s">
        <v>1327</v>
      </c>
      <c r="S2615" s="152">
        <v>99.886380000000003</v>
      </c>
      <c r="T2615" s="152">
        <v>0</v>
      </c>
      <c r="U2615" s="152">
        <v>7.3888999999999996E-2</v>
      </c>
      <c r="V2615" s="152">
        <v>1.0919E-2</v>
      </c>
      <c r="W2615" s="152">
        <v>1000</v>
      </c>
      <c r="X2615" s="152" t="s">
        <v>23</v>
      </c>
      <c r="Y2615" s="152" t="s">
        <v>1328</v>
      </c>
      <c r="Z2615" s="152" t="s">
        <v>1327</v>
      </c>
    </row>
    <row r="2616" spans="1:26" x14ac:dyDescent="0.2">
      <c r="A2616" s="152" t="s">
        <v>3692</v>
      </c>
      <c r="B2616" s="152">
        <v>0</v>
      </c>
      <c r="C2616" s="151">
        <v>43425</v>
      </c>
      <c r="D2616" s="152">
        <v>7.3972999999999997E-2</v>
      </c>
      <c r="E2616" s="152" t="s">
        <v>1325</v>
      </c>
      <c r="F2616" s="152" t="s">
        <v>1326</v>
      </c>
      <c r="G2616" s="152"/>
      <c r="H2616" s="152"/>
      <c r="I2616" s="151">
        <v>43333</v>
      </c>
      <c r="J2616" s="152">
        <v>1.64</v>
      </c>
      <c r="K2616" s="152" t="s">
        <v>1327</v>
      </c>
      <c r="L2616" s="152" t="s">
        <v>1327</v>
      </c>
      <c r="M2616" s="152" t="s">
        <v>1327</v>
      </c>
      <c r="N2616" s="152" t="s">
        <v>1327</v>
      </c>
      <c r="O2616" s="152">
        <v>1.5377149999999999</v>
      </c>
      <c r="P2616" s="152">
        <v>30.144227999999998</v>
      </c>
      <c r="Q2616" s="152">
        <v>1.5377149999999999</v>
      </c>
      <c r="R2616" s="152" t="s">
        <v>1327</v>
      </c>
      <c r="S2616" s="152">
        <v>99.886380000000003</v>
      </c>
      <c r="T2616" s="152">
        <v>0</v>
      </c>
      <c r="U2616" s="152">
        <v>7.3888999999999996E-2</v>
      </c>
      <c r="V2616" s="152">
        <v>1.0919E-2</v>
      </c>
      <c r="W2616" s="152">
        <v>1000</v>
      </c>
      <c r="X2616" s="152" t="s">
        <v>23</v>
      </c>
      <c r="Y2616" s="152" t="s">
        <v>1328</v>
      </c>
      <c r="Z2616" s="152" t="s">
        <v>1327</v>
      </c>
    </row>
    <row r="2617" spans="1:26" x14ac:dyDescent="0.2">
      <c r="A2617" s="152" t="s">
        <v>3693</v>
      </c>
      <c r="B2617" s="152">
        <v>0</v>
      </c>
      <c r="C2617" s="151">
        <v>43426</v>
      </c>
      <c r="D2617" s="152">
        <v>7.6712000000000002E-2</v>
      </c>
      <c r="E2617" s="152" t="s">
        <v>1325</v>
      </c>
      <c r="F2617" s="152" t="s">
        <v>1326</v>
      </c>
      <c r="G2617" s="152"/>
      <c r="H2617" s="152"/>
      <c r="I2617" s="151">
        <v>43333</v>
      </c>
      <c r="J2617" s="152">
        <v>1.63</v>
      </c>
      <c r="K2617" s="152" t="s">
        <v>1327</v>
      </c>
      <c r="L2617" s="152" t="s">
        <v>1327</v>
      </c>
      <c r="M2617" s="152" t="s">
        <v>1327</v>
      </c>
      <c r="N2617" s="152" t="s">
        <v>1327</v>
      </c>
      <c r="O2617" s="152">
        <v>1.542286</v>
      </c>
      <c r="P2617" s="152">
        <v>30.100393</v>
      </c>
      <c r="Q2617" s="152">
        <v>1.542286</v>
      </c>
      <c r="R2617" s="152" t="s">
        <v>1327</v>
      </c>
      <c r="S2617" s="152">
        <v>99.881827000000001</v>
      </c>
      <c r="T2617" s="152">
        <v>0</v>
      </c>
      <c r="U2617" s="152">
        <v>7.6621999999999996E-2</v>
      </c>
      <c r="V2617" s="152">
        <v>1.1742000000000001E-2</v>
      </c>
      <c r="W2617" s="152">
        <v>1000</v>
      </c>
      <c r="X2617" s="152" t="s">
        <v>23</v>
      </c>
      <c r="Y2617" s="152" t="s">
        <v>1328</v>
      </c>
      <c r="Z2617" s="152" t="s">
        <v>1327</v>
      </c>
    </row>
    <row r="2618" spans="1:26" x14ac:dyDescent="0.2">
      <c r="A2618" s="152" t="s">
        <v>3694</v>
      </c>
      <c r="B2618" s="152">
        <v>0</v>
      </c>
      <c r="C2618" s="151">
        <v>43426</v>
      </c>
      <c r="D2618" s="152">
        <v>7.6712000000000002E-2</v>
      </c>
      <c r="E2618" s="152" t="s">
        <v>1325</v>
      </c>
      <c r="F2618" s="152" t="s">
        <v>1326</v>
      </c>
      <c r="G2618" s="152"/>
      <c r="H2618" s="152"/>
      <c r="I2618" s="151" t="s">
        <v>1327</v>
      </c>
      <c r="J2618" s="152" t="s">
        <v>1327</v>
      </c>
      <c r="K2618" s="152" t="s">
        <v>1327</v>
      </c>
      <c r="L2618" s="152" t="s">
        <v>1327</v>
      </c>
      <c r="M2618" s="152" t="s">
        <v>1327</v>
      </c>
      <c r="N2618" s="152" t="s">
        <v>1327</v>
      </c>
      <c r="O2618" s="152">
        <v>1.542286</v>
      </c>
      <c r="P2618" s="152">
        <v>30.100393</v>
      </c>
      <c r="Q2618" s="152">
        <v>1.542286</v>
      </c>
      <c r="R2618" s="152" t="s">
        <v>1327</v>
      </c>
      <c r="S2618" s="152">
        <v>99.881827000000001</v>
      </c>
      <c r="T2618" s="152">
        <v>0</v>
      </c>
      <c r="U2618" s="152">
        <v>7.6621999999999996E-2</v>
      </c>
      <c r="V2618" s="152">
        <v>1.1742000000000001E-2</v>
      </c>
      <c r="W2618" s="152">
        <v>1000</v>
      </c>
      <c r="X2618" s="152" t="s">
        <v>23</v>
      </c>
      <c r="Y2618" s="152" t="s">
        <v>1328</v>
      </c>
      <c r="Z2618" s="152" t="s">
        <v>1327</v>
      </c>
    </row>
    <row r="2619" spans="1:26" x14ac:dyDescent="0.2">
      <c r="A2619" s="152" t="s">
        <v>3695</v>
      </c>
      <c r="B2619" s="152">
        <v>0</v>
      </c>
      <c r="C2619" s="151">
        <v>43427</v>
      </c>
      <c r="D2619" s="152">
        <v>7.9451999999999995E-2</v>
      </c>
      <c r="E2619" s="152" t="s">
        <v>1325</v>
      </c>
      <c r="F2619" s="152" t="s">
        <v>1326</v>
      </c>
      <c r="G2619" s="152"/>
      <c r="H2619" s="152"/>
      <c r="I2619" s="151">
        <v>43335</v>
      </c>
      <c r="J2619" s="152">
        <v>1.6</v>
      </c>
      <c r="K2619" s="152" t="s">
        <v>1327</v>
      </c>
      <c r="L2619" s="152" t="s">
        <v>1327</v>
      </c>
      <c r="M2619" s="152" t="s">
        <v>1327</v>
      </c>
      <c r="N2619" s="152" t="s">
        <v>1327</v>
      </c>
      <c r="O2619" s="152">
        <v>1.5468630000000001</v>
      </c>
      <c r="P2619" s="152">
        <v>30.057091</v>
      </c>
      <c r="Q2619" s="152">
        <v>1.5468630000000001</v>
      </c>
      <c r="R2619" s="152" t="s">
        <v>1327</v>
      </c>
      <c r="S2619" s="152">
        <v>99.877249000000006</v>
      </c>
      <c r="T2619" s="152">
        <v>0</v>
      </c>
      <c r="U2619" s="152">
        <v>7.9354999999999995E-2</v>
      </c>
      <c r="V2619" s="152">
        <v>1.2593999999999999E-2</v>
      </c>
      <c r="W2619" s="152">
        <v>1000</v>
      </c>
      <c r="X2619" s="152" t="s">
        <v>23</v>
      </c>
      <c r="Y2619" s="152" t="s">
        <v>1328</v>
      </c>
      <c r="Z2619" s="152" t="s">
        <v>1327</v>
      </c>
    </row>
    <row r="2620" spans="1:26" x14ac:dyDescent="0.2">
      <c r="A2620" s="152" t="s">
        <v>3696</v>
      </c>
      <c r="B2620" s="152">
        <v>0</v>
      </c>
      <c r="C2620" s="151">
        <v>43432</v>
      </c>
      <c r="D2620" s="152">
        <v>9.3150999999999998E-2</v>
      </c>
      <c r="E2620" s="152" t="s">
        <v>1325</v>
      </c>
      <c r="F2620" s="152" t="s">
        <v>1326</v>
      </c>
      <c r="G2620" s="152"/>
      <c r="H2620" s="152"/>
      <c r="I2620" s="151">
        <v>43340</v>
      </c>
      <c r="J2620" s="152">
        <v>1.6</v>
      </c>
      <c r="K2620" s="152" t="s">
        <v>1327</v>
      </c>
      <c r="L2620" s="152" t="s">
        <v>1327</v>
      </c>
      <c r="M2620" s="152" t="s">
        <v>1327</v>
      </c>
      <c r="N2620" s="152" t="s">
        <v>1327</v>
      </c>
      <c r="O2620" s="152">
        <v>1.5698300000000001</v>
      </c>
      <c r="P2620" s="152">
        <v>29.851102000000001</v>
      </c>
      <c r="Q2620" s="152">
        <v>1.5698300000000001</v>
      </c>
      <c r="R2620" s="152" t="s">
        <v>1327</v>
      </c>
      <c r="S2620" s="152">
        <v>99.853982999999999</v>
      </c>
      <c r="T2620" s="152">
        <v>0</v>
      </c>
      <c r="U2620" s="152">
        <v>9.3015E-2</v>
      </c>
      <c r="V2620" s="152">
        <v>1.7302999999999999E-2</v>
      </c>
      <c r="W2620" s="152">
        <v>1000</v>
      </c>
      <c r="X2620" s="152" t="s">
        <v>23</v>
      </c>
      <c r="Y2620" s="152" t="s">
        <v>1328</v>
      </c>
      <c r="Z2620" s="152" t="s">
        <v>1327</v>
      </c>
    </row>
    <row r="2621" spans="1:26" x14ac:dyDescent="0.2">
      <c r="A2621" s="152" t="s">
        <v>3697</v>
      </c>
      <c r="B2621" s="152">
        <v>0</v>
      </c>
      <c r="C2621" s="151">
        <v>43399</v>
      </c>
      <c r="D2621" s="152">
        <v>2.7399999999999998E-3</v>
      </c>
      <c r="E2621" s="152" t="s">
        <v>1325</v>
      </c>
      <c r="F2621" s="152" t="s">
        <v>1326</v>
      </c>
      <c r="G2621" s="152"/>
      <c r="H2621" s="152"/>
      <c r="I2621" s="151">
        <v>43307</v>
      </c>
      <c r="J2621" s="152">
        <v>1.6</v>
      </c>
      <c r="K2621" s="152" t="s">
        <v>1327</v>
      </c>
      <c r="L2621" s="152" t="s">
        <v>1327</v>
      </c>
      <c r="M2621" s="152" t="s">
        <v>1327</v>
      </c>
      <c r="N2621" s="152" t="s">
        <v>1327</v>
      </c>
      <c r="O2621" s="152">
        <v>1.5083580000000001</v>
      </c>
      <c r="P2621" s="152">
        <v>40.142409000000001</v>
      </c>
      <c r="Q2621" s="152">
        <v>1.5083580000000001</v>
      </c>
      <c r="R2621" s="152" t="s">
        <v>1327</v>
      </c>
      <c r="S2621" s="152">
        <v>99.995868000000002</v>
      </c>
      <c r="T2621" s="152">
        <v>0</v>
      </c>
      <c r="U2621" s="152">
        <v>2.7399999999999998E-3</v>
      </c>
      <c r="V2621" s="152">
        <v>1.5E-5</v>
      </c>
      <c r="W2621" s="152">
        <v>1000</v>
      </c>
      <c r="X2621" s="152" t="s">
        <v>23</v>
      </c>
      <c r="Y2621" s="152" t="s">
        <v>1328</v>
      </c>
      <c r="Z2621" s="152" t="s">
        <v>1327</v>
      </c>
    </row>
    <row r="2622" spans="1:26" x14ac:dyDescent="0.2">
      <c r="A2622" s="152" t="s">
        <v>3698</v>
      </c>
      <c r="B2622" s="152">
        <v>0</v>
      </c>
      <c r="C2622" s="151">
        <v>43399</v>
      </c>
      <c r="D2622" s="152">
        <v>2.7399999999999998E-3</v>
      </c>
      <c r="E2622" s="152" t="s">
        <v>1325</v>
      </c>
      <c r="F2622" s="152" t="s">
        <v>1326</v>
      </c>
      <c r="G2622" s="152"/>
      <c r="H2622" s="152"/>
      <c r="I2622" s="151">
        <v>43307</v>
      </c>
      <c r="J2622" s="152">
        <v>1.6</v>
      </c>
      <c r="K2622" s="152" t="s">
        <v>1327</v>
      </c>
      <c r="L2622" s="152" t="s">
        <v>1327</v>
      </c>
      <c r="M2622" s="152" t="s">
        <v>1327</v>
      </c>
      <c r="N2622" s="152" t="s">
        <v>1327</v>
      </c>
      <c r="O2622" s="152">
        <v>1.5083580000000001</v>
      </c>
      <c r="P2622" s="152">
        <v>40.142409000000001</v>
      </c>
      <c r="Q2622" s="152">
        <v>1.5083580000000001</v>
      </c>
      <c r="R2622" s="152" t="s">
        <v>1327</v>
      </c>
      <c r="S2622" s="152">
        <v>99.995868000000002</v>
      </c>
      <c r="T2622" s="152">
        <v>0</v>
      </c>
      <c r="U2622" s="152">
        <v>2.7399999999999998E-3</v>
      </c>
      <c r="V2622" s="152">
        <v>1.5E-5</v>
      </c>
      <c r="W2622" s="152">
        <v>1000</v>
      </c>
      <c r="X2622" s="152" t="s">
        <v>23</v>
      </c>
      <c r="Y2622" s="152" t="s">
        <v>1328</v>
      </c>
      <c r="Z2622" s="152" t="s">
        <v>1327</v>
      </c>
    </row>
    <row r="2623" spans="1:26" x14ac:dyDescent="0.2">
      <c r="A2623" s="152" t="s">
        <v>3699</v>
      </c>
      <c r="B2623" s="152">
        <v>0</v>
      </c>
      <c r="C2623" s="151">
        <v>43399</v>
      </c>
      <c r="D2623" s="152">
        <v>2.7399999999999998E-3</v>
      </c>
      <c r="E2623" s="152" t="s">
        <v>1325</v>
      </c>
      <c r="F2623" s="152" t="s">
        <v>1326</v>
      </c>
      <c r="G2623" s="152"/>
      <c r="H2623" s="152"/>
      <c r="I2623" s="151">
        <v>43312</v>
      </c>
      <c r="J2623" s="152">
        <v>1.6</v>
      </c>
      <c r="K2623" s="152" t="s">
        <v>1327</v>
      </c>
      <c r="L2623" s="152" t="s">
        <v>1327</v>
      </c>
      <c r="M2623" s="152" t="s">
        <v>1327</v>
      </c>
      <c r="N2623" s="152" t="s">
        <v>1327</v>
      </c>
      <c r="O2623" s="152">
        <v>1.5083580000000001</v>
      </c>
      <c r="P2623" s="152">
        <v>40.142409000000001</v>
      </c>
      <c r="Q2623" s="152">
        <v>1.5083580000000001</v>
      </c>
      <c r="R2623" s="152" t="s">
        <v>1327</v>
      </c>
      <c r="S2623" s="152">
        <v>99.995868000000002</v>
      </c>
      <c r="T2623" s="152">
        <v>0</v>
      </c>
      <c r="U2623" s="152">
        <v>2.7399999999999998E-3</v>
      </c>
      <c r="V2623" s="152">
        <v>1.5E-5</v>
      </c>
      <c r="W2623" s="152">
        <v>1000</v>
      </c>
      <c r="X2623" s="152" t="s">
        <v>23</v>
      </c>
      <c r="Y2623" s="152" t="s">
        <v>1328</v>
      </c>
      <c r="Z2623" s="152" t="s">
        <v>1327</v>
      </c>
    </row>
    <row r="2624" spans="1:26" x14ac:dyDescent="0.2">
      <c r="A2624" s="152" t="s">
        <v>3700</v>
      </c>
      <c r="B2624" s="152">
        <v>0</v>
      </c>
      <c r="C2624" s="151">
        <v>43403</v>
      </c>
      <c r="D2624" s="152">
        <v>1.3698999999999999E-2</v>
      </c>
      <c r="E2624" s="152" t="s">
        <v>1325</v>
      </c>
      <c r="F2624" s="152" t="s">
        <v>1326</v>
      </c>
      <c r="G2624" s="152"/>
      <c r="H2624" s="152"/>
      <c r="I2624" s="151">
        <v>43342</v>
      </c>
      <c r="J2624" s="152">
        <v>1.6</v>
      </c>
      <c r="K2624" s="152" t="s">
        <v>1327</v>
      </c>
      <c r="L2624" s="152" t="s">
        <v>1327</v>
      </c>
      <c r="M2624" s="152" t="s">
        <v>1327</v>
      </c>
      <c r="N2624" s="152" t="s">
        <v>1327</v>
      </c>
      <c r="O2624" s="152">
        <v>1.5076890000000001</v>
      </c>
      <c r="P2624" s="152">
        <v>38.127550999999997</v>
      </c>
      <c r="Q2624" s="152">
        <v>1.5076890000000001</v>
      </c>
      <c r="R2624" s="152" t="s">
        <v>1327</v>
      </c>
      <c r="S2624" s="152">
        <v>99.979350999999994</v>
      </c>
      <c r="T2624" s="152">
        <v>0</v>
      </c>
      <c r="U2624" s="152">
        <v>1.3696E-2</v>
      </c>
      <c r="V2624" s="152">
        <v>3.7500000000000001E-4</v>
      </c>
      <c r="W2624" s="152">
        <v>1000</v>
      </c>
      <c r="X2624" s="152" t="s">
        <v>23</v>
      </c>
      <c r="Y2624" s="152" t="s">
        <v>1328</v>
      </c>
      <c r="Z2624" s="152" t="s">
        <v>1327</v>
      </c>
    </row>
    <row r="2625" spans="1:26" x14ac:dyDescent="0.2">
      <c r="A2625" s="152" t="s">
        <v>3701</v>
      </c>
      <c r="B2625" s="152">
        <v>0</v>
      </c>
      <c r="C2625" s="151">
        <v>43403</v>
      </c>
      <c r="D2625" s="152">
        <v>1.3698999999999999E-2</v>
      </c>
      <c r="E2625" s="152" t="s">
        <v>1325</v>
      </c>
      <c r="F2625" s="152" t="s">
        <v>1326</v>
      </c>
      <c r="G2625" s="152"/>
      <c r="H2625" s="152"/>
      <c r="I2625" s="151">
        <v>43307</v>
      </c>
      <c r="J2625" s="152">
        <v>1.6</v>
      </c>
      <c r="K2625" s="152" t="s">
        <v>1327</v>
      </c>
      <c r="L2625" s="152" t="s">
        <v>1327</v>
      </c>
      <c r="M2625" s="152" t="s">
        <v>1327</v>
      </c>
      <c r="N2625" s="152" t="s">
        <v>1327</v>
      </c>
      <c r="O2625" s="152">
        <v>1.5076890000000001</v>
      </c>
      <c r="P2625" s="152">
        <v>38.127550999999997</v>
      </c>
      <c r="Q2625" s="152">
        <v>1.5076890000000001</v>
      </c>
      <c r="R2625" s="152" t="s">
        <v>1327</v>
      </c>
      <c r="S2625" s="152">
        <v>99.979350999999994</v>
      </c>
      <c r="T2625" s="152">
        <v>0</v>
      </c>
      <c r="U2625" s="152">
        <v>1.3696E-2</v>
      </c>
      <c r="V2625" s="152">
        <v>3.7500000000000001E-4</v>
      </c>
      <c r="W2625" s="152">
        <v>1000</v>
      </c>
      <c r="X2625" s="152" t="s">
        <v>23</v>
      </c>
      <c r="Y2625" s="152" t="s">
        <v>1328</v>
      </c>
      <c r="Z2625" s="152" t="s">
        <v>1327</v>
      </c>
    </row>
    <row r="2626" spans="1:26" x14ac:dyDescent="0.2">
      <c r="A2626" s="152" t="s">
        <v>3702</v>
      </c>
      <c r="B2626" s="152">
        <v>0</v>
      </c>
      <c r="C2626" s="151">
        <v>43403</v>
      </c>
      <c r="D2626" s="152">
        <v>1.3698999999999999E-2</v>
      </c>
      <c r="E2626" s="152" t="s">
        <v>1325</v>
      </c>
      <c r="F2626" s="152" t="s">
        <v>1326</v>
      </c>
      <c r="G2626" s="152"/>
      <c r="H2626" s="152"/>
      <c r="I2626" s="151">
        <v>43312</v>
      </c>
      <c r="J2626" s="152">
        <v>1.64</v>
      </c>
      <c r="K2626" s="152" t="s">
        <v>1327</v>
      </c>
      <c r="L2626" s="152" t="s">
        <v>1327</v>
      </c>
      <c r="M2626" s="152" t="s">
        <v>1327</v>
      </c>
      <c r="N2626" s="152" t="s">
        <v>1327</v>
      </c>
      <c r="O2626" s="152">
        <v>1.5076890000000001</v>
      </c>
      <c r="P2626" s="152">
        <v>38.127550999999997</v>
      </c>
      <c r="Q2626" s="152">
        <v>1.5076890000000001</v>
      </c>
      <c r="R2626" s="152" t="s">
        <v>1327</v>
      </c>
      <c r="S2626" s="152">
        <v>99.979350999999994</v>
      </c>
      <c r="T2626" s="152">
        <v>0</v>
      </c>
      <c r="U2626" s="152">
        <v>1.3696E-2</v>
      </c>
      <c r="V2626" s="152">
        <v>3.7500000000000001E-4</v>
      </c>
      <c r="W2626" s="152">
        <v>1000</v>
      </c>
      <c r="X2626" s="152" t="s">
        <v>23</v>
      </c>
      <c r="Y2626" s="152" t="s">
        <v>1328</v>
      </c>
      <c r="Z2626" s="152" t="s">
        <v>1327</v>
      </c>
    </row>
    <row r="2627" spans="1:26" x14ac:dyDescent="0.2">
      <c r="A2627" s="152" t="s">
        <v>3703</v>
      </c>
      <c r="B2627" s="152">
        <v>0</v>
      </c>
      <c r="C2627" s="151">
        <v>43404</v>
      </c>
      <c r="D2627" s="152">
        <v>1.6438000000000001E-2</v>
      </c>
      <c r="E2627" s="152" t="s">
        <v>1325</v>
      </c>
      <c r="F2627" s="152" t="s">
        <v>1326</v>
      </c>
      <c r="G2627" s="152"/>
      <c r="H2627" s="152"/>
      <c r="I2627" s="151">
        <v>43374</v>
      </c>
      <c r="J2627" s="152">
        <v>1.55</v>
      </c>
      <c r="K2627" s="152" t="s">
        <v>1327</v>
      </c>
      <c r="L2627" s="152" t="s">
        <v>1327</v>
      </c>
      <c r="M2627" s="152" t="s">
        <v>1327</v>
      </c>
      <c r="N2627" s="152" t="s">
        <v>1327</v>
      </c>
      <c r="O2627" s="152">
        <v>1.507533</v>
      </c>
      <c r="P2627" s="152">
        <v>37.621068999999999</v>
      </c>
      <c r="Q2627" s="152">
        <v>1.507533</v>
      </c>
      <c r="R2627" s="152" t="s">
        <v>1327</v>
      </c>
      <c r="S2627" s="152">
        <v>99.975224999999995</v>
      </c>
      <c r="T2627" s="152">
        <v>0</v>
      </c>
      <c r="U2627" s="152">
        <v>1.6434000000000001E-2</v>
      </c>
      <c r="V2627" s="152">
        <v>5.4000000000000001E-4</v>
      </c>
      <c r="W2627" s="152">
        <v>1000</v>
      </c>
      <c r="X2627" s="152" t="s">
        <v>23</v>
      </c>
      <c r="Y2627" s="152" t="s">
        <v>1328</v>
      </c>
      <c r="Z2627" s="152" t="s">
        <v>1327</v>
      </c>
    </row>
    <row r="2628" spans="1:26" x14ac:dyDescent="0.2">
      <c r="A2628" s="152" t="s">
        <v>3704</v>
      </c>
      <c r="B2628" s="152">
        <v>0</v>
      </c>
      <c r="C2628" s="151">
        <v>43469</v>
      </c>
      <c r="D2628" s="152">
        <v>0.194521</v>
      </c>
      <c r="E2628" s="152" t="s">
        <v>1325</v>
      </c>
      <c r="F2628" s="152" t="s">
        <v>1326</v>
      </c>
      <c r="G2628" s="152"/>
      <c r="H2628" s="152"/>
      <c r="I2628" s="151" t="s">
        <v>1327</v>
      </c>
      <c r="J2628" s="152" t="s">
        <v>1327</v>
      </c>
      <c r="K2628" s="152" t="s">
        <v>1327</v>
      </c>
      <c r="L2628" s="152" t="s">
        <v>1327</v>
      </c>
      <c r="M2628" s="152" t="s">
        <v>1327</v>
      </c>
      <c r="N2628" s="152" t="s">
        <v>1327</v>
      </c>
      <c r="O2628" s="152">
        <v>1.7148460000000001</v>
      </c>
      <c r="P2628" s="152">
        <v>26.634838999999999</v>
      </c>
      <c r="Q2628" s="152">
        <v>1.7148460000000001</v>
      </c>
      <c r="R2628" s="152" t="s">
        <v>1327</v>
      </c>
      <c r="S2628" s="152">
        <v>99.667535999999998</v>
      </c>
      <c r="T2628" s="152">
        <v>0</v>
      </c>
      <c r="U2628" s="152">
        <v>0.19387399999999999</v>
      </c>
      <c r="V2628" s="152">
        <v>7.5174000000000005E-2</v>
      </c>
      <c r="W2628" s="152">
        <v>1000</v>
      </c>
      <c r="X2628" s="152" t="s">
        <v>23</v>
      </c>
      <c r="Y2628" s="152" t="s">
        <v>1328</v>
      </c>
      <c r="Z2628" s="152" t="s">
        <v>1327</v>
      </c>
    </row>
    <row r="2629" spans="1:26" x14ac:dyDescent="0.2">
      <c r="A2629" s="152" t="s">
        <v>3705</v>
      </c>
      <c r="B2629" s="152">
        <v>0</v>
      </c>
      <c r="C2629" s="151">
        <v>43469</v>
      </c>
      <c r="D2629" s="152">
        <v>0.194521</v>
      </c>
      <c r="E2629" s="152" t="s">
        <v>1325</v>
      </c>
      <c r="F2629" s="152" t="s">
        <v>1326</v>
      </c>
      <c r="G2629" s="152"/>
      <c r="H2629" s="152"/>
      <c r="I2629" s="151">
        <v>43376</v>
      </c>
      <c r="J2629" s="152">
        <v>1.7</v>
      </c>
      <c r="K2629" s="152" t="s">
        <v>1327</v>
      </c>
      <c r="L2629" s="152" t="s">
        <v>1327</v>
      </c>
      <c r="M2629" s="152" t="s">
        <v>1327</v>
      </c>
      <c r="N2629" s="152" t="s">
        <v>1327</v>
      </c>
      <c r="O2629" s="152">
        <v>1.7148460000000001</v>
      </c>
      <c r="P2629" s="152">
        <v>26.634838999999999</v>
      </c>
      <c r="Q2629" s="152">
        <v>1.7148460000000001</v>
      </c>
      <c r="R2629" s="152" t="s">
        <v>1327</v>
      </c>
      <c r="S2629" s="152">
        <v>99.667535999999998</v>
      </c>
      <c r="T2629" s="152">
        <v>0</v>
      </c>
      <c r="U2629" s="152">
        <v>0.19387399999999999</v>
      </c>
      <c r="V2629" s="152">
        <v>7.5174000000000005E-2</v>
      </c>
      <c r="W2629" s="152">
        <v>1000</v>
      </c>
      <c r="X2629" s="152" t="s">
        <v>23</v>
      </c>
      <c r="Y2629" s="152" t="s">
        <v>1328</v>
      </c>
      <c r="Z2629" s="152" t="s">
        <v>1327</v>
      </c>
    </row>
    <row r="2630" spans="1:26" x14ac:dyDescent="0.2">
      <c r="A2630" s="152" t="s">
        <v>3706</v>
      </c>
      <c r="B2630" s="152">
        <v>0</v>
      </c>
      <c r="C2630" s="151">
        <v>43473</v>
      </c>
      <c r="D2630" s="152">
        <v>0.20547899999999999</v>
      </c>
      <c r="E2630" s="152" t="s">
        <v>1325</v>
      </c>
      <c r="F2630" s="152" t="s">
        <v>1326</v>
      </c>
      <c r="G2630" s="152"/>
      <c r="H2630" s="152"/>
      <c r="I2630" s="151">
        <v>43363</v>
      </c>
      <c r="J2630" s="152">
        <v>1.65</v>
      </c>
      <c r="K2630" s="152" t="s">
        <v>1327</v>
      </c>
      <c r="L2630" s="152" t="s">
        <v>1327</v>
      </c>
      <c r="M2630" s="152" t="s">
        <v>1327</v>
      </c>
      <c r="N2630" s="152" t="s">
        <v>1327</v>
      </c>
      <c r="O2630" s="152">
        <v>1.734251</v>
      </c>
      <c r="P2630" s="152">
        <v>26.836347</v>
      </c>
      <c r="Q2630" s="152">
        <v>1.734251</v>
      </c>
      <c r="R2630" s="152" t="s">
        <v>1327</v>
      </c>
      <c r="S2630" s="152">
        <v>99.644912000000005</v>
      </c>
      <c r="T2630" s="152">
        <v>0</v>
      </c>
      <c r="U2630" s="152">
        <v>0.20474999999999999</v>
      </c>
      <c r="V2630" s="152">
        <v>8.3845000000000003E-2</v>
      </c>
      <c r="W2630" s="152">
        <v>1000</v>
      </c>
      <c r="X2630" s="152" t="s">
        <v>23</v>
      </c>
      <c r="Y2630" s="152" t="s">
        <v>1328</v>
      </c>
      <c r="Z2630" s="152" t="s">
        <v>1327</v>
      </c>
    </row>
    <row r="2631" spans="1:26" x14ac:dyDescent="0.2">
      <c r="A2631" s="152" t="s">
        <v>3707</v>
      </c>
      <c r="B2631" s="152">
        <v>0</v>
      </c>
      <c r="C2631" s="151">
        <v>43473</v>
      </c>
      <c r="D2631" s="152">
        <v>0.20547899999999999</v>
      </c>
      <c r="E2631" s="152" t="s">
        <v>1325</v>
      </c>
      <c r="F2631" s="152" t="s">
        <v>1326</v>
      </c>
      <c r="G2631" s="152"/>
      <c r="H2631" s="152"/>
      <c r="I2631" s="151">
        <v>43375</v>
      </c>
      <c r="J2631" s="152">
        <v>1.7</v>
      </c>
      <c r="K2631" s="152" t="s">
        <v>1327</v>
      </c>
      <c r="L2631" s="152" t="s">
        <v>1327</v>
      </c>
      <c r="M2631" s="152" t="s">
        <v>1327</v>
      </c>
      <c r="N2631" s="152" t="s">
        <v>1327</v>
      </c>
      <c r="O2631" s="152">
        <v>1.734251</v>
      </c>
      <c r="P2631" s="152">
        <v>26.836347</v>
      </c>
      <c r="Q2631" s="152">
        <v>1.734251</v>
      </c>
      <c r="R2631" s="152" t="s">
        <v>1327</v>
      </c>
      <c r="S2631" s="152">
        <v>99.644912000000005</v>
      </c>
      <c r="T2631" s="152">
        <v>0</v>
      </c>
      <c r="U2631" s="152">
        <v>0.20474999999999999</v>
      </c>
      <c r="V2631" s="152">
        <v>8.3845000000000003E-2</v>
      </c>
      <c r="W2631" s="152">
        <v>1000</v>
      </c>
      <c r="X2631" s="152" t="s">
        <v>23</v>
      </c>
      <c r="Y2631" s="152" t="s">
        <v>1328</v>
      </c>
      <c r="Z2631" s="152" t="s">
        <v>1327</v>
      </c>
    </row>
    <row r="2632" spans="1:26" x14ac:dyDescent="0.2">
      <c r="A2632" s="152" t="s">
        <v>3708</v>
      </c>
      <c r="B2632" s="152">
        <v>0</v>
      </c>
      <c r="C2632" s="151">
        <v>43473</v>
      </c>
      <c r="D2632" s="152">
        <v>0.20547899999999999</v>
      </c>
      <c r="E2632" s="152" t="s">
        <v>1325</v>
      </c>
      <c r="F2632" s="152" t="s">
        <v>1326</v>
      </c>
      <c r="G2632" s="152"/>
      <c r="H2632" s="152"/>
      <c r="I2632" s="151">
        <v>43381</v>
      </c>
      <c r="J2632" s="152">
        <v>1.7</v>
      </c>
      <c r="K2632" s="152" t="s">
        <v>1327</v>
      </c>
      <c r="L2632" s="152" t="s">
        <v>1327</v>
      </c>
      <c r="M2632" s="152" t="s">
        <v>1327</v>
      </c>
      <c r="N2632" s="152" t="s">
        <v>1327</v>
      </c>
      <c r="O2632" s="152">
        <v>1.734251</v>
      </c>
      <c r="P2632" s="152">
        <v>26.836347</v>
      </c>
      <c r="Q2632" s="152">
        <v>1.734251</v>
      </c>
      <c r="R2632" s="152" t="s">
        <v>1327</v>
      </c>
      <c r="S2632" s="152">
        <v>99.644912000000005</v>
      </c>
      <c r="T2632" s="152">
        <v>0</v>
      </c>
      <c r="U2632" s="152">
        <v>0.20474999999999999</v>
      </c>
      <c r="V2632" s="152">
        <v>8.3845000000000003E-2</v>
      </c>
      <c r="W2632" s="152">
        <v>1000</v>
      </c>
      <c r="X2632" s="152" t="s">
        <v>23</v>
      </c>
      <c r="Y2632" s="152" t="s">
        <v>1328</v>
      </c>
      <c r="Z2632" s="152" t="s">
        <v>1327</v>
      </c>
    </row>
    <row r="2633" spans="1:26" x14ac:dyDescent="0.2">
      <c r="A2633" s="152" t="s">
        <v>3709</v>
      </c>
      <c r="B2633" s="152">
        <v>0</v>
      </c>
      <c r="C2633" s="151">
        <v>43475</v>
      </c>
      <c r="D2633" s="152">
        <v>0.21095900000000001</v>
      </c>
      <c r="E2633" s="152" t="s">
        <v>1325</v>
      </c>
      <c r="F2633" s="152" t="s">
        <v>1326</v>
      </c>
      <c r="G2633" s="152"/>
      <c r="H2633" s="152"/>
      <c r="I2633" s="151">
        <v>43292</v>
      </c>
      <c r="J2633" s="152">
        <v>1.6</v>
      </c>
      <c r="K2633" s="152" t="s">
        <v>1327</v>
      </c>
      <c r="L2633" s="152" t="s">
        <v>1327</v>
      </c>
      <c r="M2633" s="152" t="s">
        <v>1327</v>
      </c>
      <c r="N2633" s="152" t="s">
        <v>1327</v>
      </c>
      <c r="O2633" s="152">
        <v>1.743995</v>
      </c>
      <c r="P2633" s="152">
        <v>26.959437000000001</v>
      </c>
      <c r="Q2633" s="152">
        <v>1.743995</v>
      </c>
      <c r="R2633" s="152" t="s">
        <v>1327</v>
      </c>
      <c r="S2633" s="152">
        <v>99.633437000000001</v>
      </c>
      <c r="T2633" s="152">
        <v>0</v>
      </c>
      <c r="U2633" s="152">
        <v>0.21018600000000001</v>
      </c>
      <c r="V2633" s="152">
        <v>8.8356000000000004E-2</v>
      </c>
      <c r="W2633" s="152">
        <v>1000</v>
      </c>
      <c r="X2633" s="152" t="s">
        <v>23</v>
      </c>
      <c r="Y2633" s="152" t="s">
        <v>1328</v>
      </c>
      <c r="Z2633" s="152" t="s">
        <v>1327</v>
      </c>
    </row>
    <row r="2634" spans="1:26" x14ac:dyDescent="0.2">
      <c r="A2634" s="152" t="s">
        <v>3710</v>
      </c>
      <c r="B2634" s="152">
        <v>0</v>
      </c>
      <c r="C2634" s="151">
        <v>43475</v>
      </c>
      <c r="D2634" s="152">
        <v>0.21095900000000001</v>
      </c>
      <c r="E2634" s="152" t="s">
        <v>1325</v>
      </c>
      <c r="F2634" s="152" t="s">
        <v>1326</v>
      </c>
      <c r="G2634" s="152"/>
      <c r="H2634" s="152"/>
      <c r="I2634" s="151">
        <v>43384</v>
      </c>
      <c r="J2634" s="152">
        <v>1.72</v>
      </c>
      <c r="K2634" s="152" t="s">
        <v>1327</v>
      </c>
      <c r="L2634" s="152" t="s">
        <v>1327</v>
      </c>
      <c r="M2634" s="152" t="s">
        <v>1327</v>
      </c>
      <c r="N2634" s="152" t="s">
        <v>1327</v>
      </c>
      <c r="O2634" s="152">
        <v>1.743995</v>
      </c>
      <c r="P2634" s="152">
        <v>26.959437000000001</v>
      </c>
      <c r="Q2634" s="152">
        <v>1.743995</v>
      </c>
      <c r="R2634" s="152" t="s">
        <v>1327</v>
      </c>
      <c r="S2634" s="152">
        <v>99.633437000000001</v>
      </c>
      <c r="T2634" s="152">
        <v>0</v>
      </c>
      <c r="U2634" s="152">
        <v>0.21018600000000001</v>
      </c>
      <c r="V2634" s="152">
        <v>8.8356000000000004E-2</v>
      </c>
      <c r="W2634" s="152">
        <v>1000</v>
      </c>
      <c r="X2634" s="152" t="s">
        <v>23</v>
      </c>
      <c r="Y2634" s="152" t="s">
        <v>1328</v>
      </c>
      <c r="Z2634" s="152" t="s">
        <v>1327</v>
      </c>
    </row>
    <row r="2635" spans="1:26" x14ac:dyDescent="0.2">
      <c r="A2635" s="152" t="s">
        <v>3711</v>
      </c>
      <c r="B2635" s="152">
        <v>0</v>
      </c>
      <c r="C2635" s="151">
        <v>43475</v>
      </c>
      <c r="D2635" s="152">
        <v>0.21095900000000001</v>
      </c>
      <c r="E2635" s="152" t="s">
        <v>1325</v>
      </c>
      <c r="F2635" s="152" t="s">
        <v>1326</v>
      </c>
      <c r="G2635" s="152"/>
      <c r="H2635" s="152"/>
      <c r="I2635" s="151">
        <v>43384</v>
      </c>
      <c r="J2635" s="152">
        <v>1.72</v>
      </c>
      <c r="K2635" s="152" t="s">
        <v>1327</v>
      </c>
      <c r="L2635" s="152" t="s">
        <v>1327</v>
      </c>
      <c r="M2635" s="152" t="s">
        <v>1327</v>
      </c>
      <c r="N2635" s="152" t="s">
        <v>1327</v>
      </c>
      <c r="O2635" s="152">
        <v>1.743995</v>
      </c>
      <c r="P2635" s="152">
        <v>26.959437000000001</v>
      </c>
      <c r="Q2635" s="152">
        <v>1.743995</v>
      </c>
      <c r="R2635" s="152" t="s">
        <v>1327</v>
      </c>
      <c r="S2635" s="152">
        <v>99.633437000000001</v>
      </c>
      <c r="T2635" s="152">
        <v>0</v>
      </c>
      <c r="U2635" s="152">
        <v>0.21018600000000001</v>
      </c>
      <c r="V2635" s="152">
        <v>8.8356000000000004E-2</v>
      </c>
      <c r="W2635" s="152">
        <v>1000</v>
      </c>
      <c r="X2635" s="152" t="s">
        <v>23</v>
      </c>
      <c r="Y2635" s="152" t="s">
        <v>1328</v>
      </c>
      <c r="Z2635" s="152" t="s">
        <v>1327</v>
      </c>
    </row>
    <row r="2636" spans="1:26" x14ac:dyDescent="0.2">
      <c r="A2636" s="152" t="s">
        <v>3712</v>
      </c>
      <c r="B2636" s="152">
        <v>0</v>
      </c>
      <c r="C2636" s="151">
        <v>43476</v>
      </c>
      <c r="D2636" s="152">
        <v>0.213699</v>
      </c>
      <c r="E2636" s="152" t="s">
        <v>1325</v>
      </c>
      <c r="F2636" s="152" t="s">
        <v>1326</v>
      </c>
      <c r="G2636" s="152"/>
      <c r="H2636" s="152"/>
      <c r="I2636" s="151">
        <v>43384</v>
      </c>
      <c r="J2636" s="152">
        <v>1.7</v>
      </c>
      <c r="K2636" s="152" t="s">
        <v>1327</v>
      </c>
      <c r="L2636" s="152" t="s">
        <v>1327</v>
      </c>
      <c r="M2636" s="152" t="s">
        <v>1327</v>
      </c>
      <c r="N2636" s="152" t="s">
        <v>1327</v>
      </c>
      <c r="O2636" s="152">
        <v>1.748877</v>
      </c>
      <c r="P2636" s="152">
        <v>27.026821000000002</v>
      </c>
      <c r="Q2636" s="152">
        <v>1.748877</v>
      </c>
      <c r="R2636" s="152" t="s">
        <v>1327</v>
      </c>
      <c r="S2636" s="152">
        <v>99.627658999999994</v>
      </c>
      <c r="T2636" s="152">
        <v>0</v>
      </c>
      <c r="U2636" s="152">
        <v>0.21290300000000001</v>
      </c>
      <c r="V2636" s="152">
        <v>9.0654999999999999E-2</v>
      </c>
      <c r="W2636" s="152">
        <v>1000</v>
      </c>
      <c r="X2636" s="152" t="s">
        <v>23</v>
      </c>
      <c r="Y2636" s="152" t="s">
        <v>1328</v>
      </c>
      <c r="Z2636" s="152" t="s">
        <v>1327</v>
      </c>
    </row>
    <row r="2637" spans="1:26" x14ac:dyDescent="0.2">
      <c r="A2637" s="152" t="s">
        <v>3713</v>
      </c>
      <c r="B2637" s="152">
        <v>0</v>
      </c>
      <c r="C2637" s="151">
        <v>43476</v>
      </c>
      <c r="D2637" s="152">
        <v>0.213699</v>
      </c>
      <c r="E2637" s="152" t="s">
        <v>1325</v>
      </c>
      <c r="F2637" s="152" t="s">
        <v>1326</v>
      </c>
      <c r="G2637" s="152"/>
      <c r="H2637" s="152"/>
      <c r="I2637" s="151">
        <v>43385</v>
      </c>
      <c r="J2637" s="152">
        <v>1.71</v>
      </c>
      <c r="K2637" s="152" t="s">
        <v>1327</v>
      </c>
      <c r="L2637" s="152" t="s">
        <v>1327</v>
      </c>
      <c r="M2637" s="152" t="s">
        <v>1327</v>
      </c>
      <c r="N2637" s="152" t="s">
        <v>1327</v>
      </c>
      <c r="O2637" s="152">
        <v>1.748877</v>
      </c>
      <c r="P2637" s="152">
        <v>27.026821000000002</v>
      </c>
      <c r="Q2637" s="152">
        <v>1.748877</v>
      </c>
      <c r="R2637" s="152" t="s">
        <v>1327</v>
      </c>
      <c r="S2637" s="152">
        <v>99.627658999999994</v>
      </c>
      <c r="T2637" s="152">
        <v>0</v>
      </c>
      <c r="U2637" s="152">
        <v>0.21290300000000001</v>
      </c>
      <c r="V2637" s="152">
        <v>9.0654999999999999E-2</v>
      </c>
      <c r="W2637" s="152">
        <v>1000</v>
      </c>
      <c r="X2637" s="152" t="s">
        <v>23</v>
      </c>
      <c r="Y2637" s="152" t="s">
        <v>1328</v>
      </c>
      <c r="Z2637" s="152" t="s">
        <v>1327</v>
      </c>
    </row>
    <row r="2638" spans="1:26" x14ac:dyDescent="0.2">
      <c r="A2638" s="152" t="s">
        <v>3714</v>
      </c>
      <c r="B2638" s="152">
        <v>0</v>
      </c>
      <c r="C2638" s="151">
        <v>43481</v>
      </c>
      <c r="D2638" s="152">
        <v>0.22739699999999999</v>
      </c>
      <c r="E2638" s="152" t="s">
        <v>1325</v>
      </c>
      <c r="F2638" s="152" t="s">
        <v>1326</v>
      </c>
      <c r="G2638" s="152"/>
      <c r="H2638" s="152"/>
      <c r="I2638" s="151">
        <v>43383</v>
      </c>
      <c r="J2638" s="152">
        <v>1.72</v>
      </c>
      <c r="K2638" s="152" t="s">
        <v>1327</v>
      </c>
      <c r="L2638" s="152" t="s">
        <v>1327</v>
      </c>
      <c r="M2638" s="152" t="s">
        <v>1327</v>
      </c>
      <c r="N2638" s="152" t="s">
        <v>1327</v>
      </c>
      <c r="O2638" s="152">
        <v>1.773396</v>
      </c>
      <c r="P2638" s="152">
        <v>27.424982</v>
      </c>
      <c r="Q2638" s="152">
        <v>1.773396</v>
      </c>
      <c r="R2638" s="152" t="s">
        <v>1327</v>
      </c>
      <c r="S2638" s="152">
        <v>99.598354</v>
      </c>
      <c r="T2638" s="152">
        <v>0</v>
      </c>
      <c r="U2638" s="152">
        <v>0.22648399999999999</v>
      </c>
      <c r="V2638" s="152">
        <v>0.10259</v>
      </c>
      <c r="W2638" s="152">
        <v>1000</v>
      </c>
      <c r="X2638" s="152" t="s">
        <v>23</v>
      </c>
      <c r="Y2638" s="152" t="s">
        <v>1328</v>
      </c>
      <c r="Z2638" s="152" t="s">
        <v>1327</v>
      </c>
    </row>
    <row r="2639" spans="1:26" x14ac:dyDescent="0.2">
      <c r="A2639" s="152" t="s">
        <v>3715</v>
      </c>
      <c r="B2639" s="152">
        <v>0</v>
      </c>
      <c r="C2639" s="151">
        <v>43482</v>
      </c>
      <c r="D2639" s="152">
        <v>0.23013700000000001</v>
      </c>
      <c r="E2639" s="152" t="s">
        <v>1325</v>
      </c>
      <c r="F2639" s="152" t="s">
        <v>1326</v>
      </c>
      <c r="G2639" s="152"/>
      <c r="H2639" s="152"/>
      <c r="I2639" s="151">
        <v>43383</v>
      </c>
      <c r="J2639" s="152">
        <v>1.7</v>
      </c>
      <c r="K2639" s="152" t="s">
        <v>1327</v>
      </c>
      <c r="L2639" s="152" t="s">
        <v>1327</v>
      </c>
      <c r="M2639" s="152" t="s">
        <v>1327</v>
      </c>
      <c r="N2639" s="152" t="s">
        <v>1327</v>
      </c>
      <c r="O2639" s="152">
        <v>1.7758799999999999</v>
      </c>
      <c r="P2639" s="152">
        <v>27.269907</v>
      </c>
      <c r="Q2639" s="152">
        <v>1.7758799999999999</v>
      </c>
      <c r="R2639" s="152" t="s">
        <v>1327</v>
      </c>
      <c r="S2639" s="152">
        <v>99.592967999999999</v>
      </c>
      <c r="T2639" s="152">
        <v>0</v>
      </c>
      <c r="U2639" s="152">
        <v>0.22919999999999999</v>
      </c>
      <c r="V2639" s="152">
        <v>0.10506600000000001</v>
      </c>
      <c r="W2639" s="152">
        <v>1000</v>
      </c>
      <c r="X2639" s="152" t="s">
        <v>23</v>
      </c>
      <c r="Y2639" s="152" t="s">
        <v>1328</v>
      </c>
      <c r="Z2639" s="152" t="s">
        <v>1327</v>
      </c>
    </row>
    <row r="2640" spans="1:26" x14ac:dyDescent="0.2">
      <c r="A2640" s="152" t="s">
        <v>3716</v>
      </c>
      <c r="B2640" s="152">
        <v>0</v>
      </c>
      <c r="C2640" s="151">
        <v>43482</v>
      </c>
      <c r="D2640" s="152">
        <v>0.23013700000000001</v>
      </c>
      <c r="E2640" s="152" t="s">
        <v>1325</v>
      </c>
      <c r="F2640" s="152" t="s">
        <v>1326</v>
      </c>
      <c r="G2640" s="152"/>
      <c r="H2640" s="152"/>
      <c r="I2640" s="152">
        <v>43390</v>
      </c>
      <c r="J2640" s="152">
        <v>1.75</v>
      </c>
      <c r="K2640" s="152" t="s">
        <v>1327</v>
      </c>
      <c r="L2640" s="152" t="s">
        <v>1327</v>
      </c>
      <c r="M2640" s="152" t="s">
        <v>1327</v>
      </c>
      <c r="N2640" s="152" t="s">
        <v>1327</v>
      </c>
      <c r="O2640" s="152">
        <v>1.7625850000000001</v>
      </c>
      <c r="P2640" s="152">
        <v>25.922194999999999</v>
      </c>
      <c r="Q2640" s="152">
        <v>1.7625850000000001</v>
      </c>
      <c r="R2640" s="152" t="s">
        <v>1327</v>
      </c>
      <c r="S2640" s="152">
        <v>99.596002999999996</v>
      </c>
      <c r="T2640" s="152">
        <v>0</v>
      </c>
      <c r="U2640" s="152">
        <v>0.22920699999999999</v>
      </c>
      <c r="V2640" s="152">
        <v>0.105072</v>
      </c>
      <c r="W2640" s="152">
        <v>1000</v>
      </c>
      <c r="X2640" s="152" t="s">
        <v>23</v>
      </c>
      <c r="Y2640" s="152" t="s">
        <v>1328</v>
      </c>
      <c r="Z2640" s="152" t="s">
        <v>1327</v>
      </c>
    </row>
    <row r="2641" spans="1:26" x14ac:dyDescent="0.2">
      <c r="A2641" s="152" t="s">
        <v>3717</v>
      </c>
      <c r="B2641" s="152">
        <v>0</v>
      </c>
      <c r="C2641" s="151">
        <v>43482</v>
      </c>
      <c r="D2641" s="152">
        <v>0.23013700000000001</v>
      </c>
      <c r="E2641" s="152" t="s">
        <v>1325</v>
      </c>
      <c r="F2641" s="152" t="s">
        <v>1326</v>
      </c>
      <c r="G2641" s="152"/>
      <c r="H2641" s="152"/>
      <c r="I2641" s="152">
        <v>43391</v>
      </c>
      <c r="J2641" s="152">
        <v>1.75</v>
      </c>
      <c r="K2641" s="152" t="s">
        <v>1327</v>
      </c>
      <c r="L2641" s="152" t="s">
        <v>1327</v>
      </c>
      <c r="M2641" s="152" t="s">
        <v>1327</v>
      </c>
      <c r="N2641" s="152" t="s">
        <v>1327</v>
      </c>
      <c r="O2641" s="152">
        <v>1.759377</v>
      </c>
      <c r="P2641" s="152">
        <v>25.597019</v>
      </c>
      <c r="Q2641" s="152">
        <v>1.759377</v>
      </c>
      <c r="R2641" s="152" t="s">
        <v>1327</v>
      </c>
      <c r="S2641" s="152">
        <v>99.596734999999995</v>
      </c>
      <c r="T2641" s="152">
        <v>0</v>
      </c>
      <c r="U2641" s="152">
        <v>0.229209</v>
      </c>
      <c r="V2641" s="152">
        <v>0.105073</v>
      </c>
      <c r="W2641" s="152">
        <v>1000</v>
      </c>
      <c r="X2641" s="152" t="s">
        <v>23</v>
      </c>
      <c r="Y2641" s="152" t="s">
        <v>1328</v>
      </c>
      <c r="Z2641" s="152" t="s">
        <v>1327</v>
      </c>
    </row>
    <row r="2642" spans="1:26" x14ac:dyDescent="0.2">
      <c r="A2642" s="152" t="s">
        <v>3718</v>
      </c>
      <c r="B2642" s="152">
        <v>0</v>
      </c>
      <c r="C2642" s="151">
        <v>43483</v>
      </c>
      <c r="D2642" s="152">
        <v>0.232877</v>
      </c>
      <c r="E2642" s="152" t="s">
        <v>1325</v>
      </c>
      <c r="F2642" s="152" t="s">
        <v>1326</v>
      </c>
      <c r="G2642" s="152"/>
      <c r="H2642" s="152"/>
      <c r="I2642" s="152">
        <v>43392</v>
      </c>
      <c r="J2642" s="152">
        <v>1.75</v>
      </c>
      <c r="K2642" s="152" t="s">
        <v>1327</v>
      </c>
      <c r="L2642" s="152" t="s">
        <v>1327</v>
      </c>
      <c r="M2642" s="152" t="s">
        <v>1327</v>
      </c>
      <c r="N2642" s="152" t="s">
        <v>1327</v>
      </c>
      <c r="O2642" s="152">
        <v>1.7594669999999999</v>
      </c>
      <c r="P2642" s="152">
        <v>25.202959</v>
      </c>
      <c r="Q2642" s="152">
        <v>1.7594669999999999</v>
      </c>
      <c r="R2642" s="152" t="s">
        <v>1327</v>
      </c>
      <c r="S2642" s="152">
        <v>99.591932999999997</v>
      </c>
      <c r="T2642" s="152">
        <v>0</v>
      </c>
      <c r="U2642" s="152">
        <v>0.23192599999999999</v>
      </c>
      <c r="V2642" s="152">
        <v>0.10758</v>
      </c>
      <c r="W2642" s="152">
        <v>1000</v>
      </c>
      <c r="X2642" s="152" t="s">
        <v>23</v>
      </c>
      <c r="Y2642" s="152" t="s">
        <v>1328</v>
      </c>
      <c r="Z2642" s="152" t="s">
        <v>1327</v>
      </c>
    </row>
    <row r="2643" spans="1:26" x14ac:dyDescent="0.2">
      <c r="A2643" s="152" t="s">
        <v>3719</v>
      </c>
      <c r="B2643" s="152">
        <v>0</v>
      </c>
      <c r="C2643" s="151">
        <v>43487</v>
      </c>
      <c r="D2643" s="152">
        <v>0.243836</v>
      </c>
      <c r="E2643" s="152" t="s">
        <v>1325</v>
      </c>
      <c r="F2643" s="152" t="s">
        <v>1326</v>
      </c>
      <c r="G2643" s="152"/>
      <c r="H2643" s="152"/>
      <c r="I2643" s="152">
        <v>43395</v>
      </c>
      <c r="J2643" s="152">
        <v>1.84</v>
      </c>
      <c r="K2643" s="152" t="s">
        <v>1327</v>
      </c>
      <c r="L2643" s="152" t="s">
        <v>1327</v>
      </c>
      <c r="M2643" s="152" t="s">
        <v>1327</v>
      </c>
      <c r="N2643" s="152" t="s">
        <v>1327</v>
      </c>
      <c r="O2643" s="152">
        <v>1.8303430000000001</v>
      </c>
      <c r="P2643" s="152">
        <v>30.812806999999999</v>
      </c>
      <c r="Q2643" s="152">
        <v>1.8303430000000001</v>
      </c>
      <c r="R2643" s="152" t="s">
        <v>1327</v>
      </c>
      <c r="S2643" s="152">
        <v>99.555679999999995</v>
      </c>
      <c r="T2643" s="152">
        <v>0</v>
      </c>
      <c r="U2643" s="152">
        <v>0.242752</v>
      </c>
      <c r="V2643" s="152">
        <v>0.117857</v>
      </c>
      <c r="W2643" s="152">
        <v>1000</v>
      </c>
      <c r="X2643" s="152" t="s">
        <v>23</v>
      </c>
      <c r="Y2643" s="152" t="s">
        <v>1328</v>
      </c>
      <c r="Z2643" s="152" t="s">
        <v>1327</v>
      </c>
    </row>
    <row r="2644" spans="1:26" x14ac:dyDescent="0.2">
      <c r="A2644" s="152" t="s">
        <v>3720</v>
      </c>
      <c r="B2644" s="152">
        <v>0</v>
      </c>
      <c r="C2644" s="151">
        <v>43487</v>
      </c>
      <c r="D2644" s="152">
        <v>0.243836</v>
      </c>
      <c r="E2644" s="152" t="s">
        <v>1325</v>
      </c>
      <c r="F2644" s="152" t="s">
        <v>1326</v>
      </c>
      <c r="G2644" s="152"/>
      <c r="H2644" s="152"/>
      <c r="I2644" s="152">
        <v>43395</v>
      </c>
      <c r="J2644" s="152">
        <v>1.84</v>
      </c>
      <c r="K2644" s="152" t="s">
        <v>1327</v>
      </c>
      <c r="L2644" s="152" t="s">
        <v>1327</v>
      </c>
      <c r="M2644" s="152" t="s">
        <v>1327</v>
      </c>
      <c r="N2644" s="152" t="s">
        <v>1327</v>
      </c>
      <c r="O2644" s="152">
        <v>1.8303430000000001</v>
      </c>
      <c r="P2644" s="152">
        <v>30.812806999999999</v>
      </c>
      <c r="Q2644" s="152">
        <v>1.8303430000000001</v>
      </c>
      <c r="R2644" s="152" t="s">
        <v>1327</v>
      </c>
      <c r="S2644" s="152">
        <v>99.555679999999995</v>
      </c>
      <c r="T2644" s="152">
        <v>0</v>
      </c>
      <c r="U2644" s="152">
        <v>0.242752</v>
      </c>
      <c r="V2644" s="152">
        <v>0.117857</v>
      </c>
      <c r="W2644" s="152">
        <v>1000</v>
      </c>
      <c r="X2644" s="152" t="s">
        <v>23</v>
      </c>
      <c r="Y2644" s="152" t="s">
        <v>1328</v>
      </c>
      <c r="Z2644" s="152" t="s">
        <v>1327</v>
      </c>
    </row>
    <row r="2645" spans="1:26" x14ac:dyDescent="0.2">
      <c r="A2645" s="152" t="s">
        <v>3721</v>
      </c>
      <c r="B2645" s="152">
        <v>0</v>
      </c>
      <c r="C2645" s="151">
        <v>43489</v>
      </c>
      <c r="D2645" s="152">
        <v>0.24931500000000001</v>
      </c>
      <c r="E2645" s="152" t="s">
        <v>1325</v>
      </c>
      <c r="F2645" s="152" t="s">
        <v>1326</v>
      </c>
      <c r="G2645" s="152"/>
      <c r="H2645" s="152"/>
      <c r="I2645" s="152">
        <v>43395</v>
      </c>
      <c r="J2645" s="152">
        <v>1.82</v>
      </c>
      <c r="K2645" s="152" t="s">
        <v>1327</v>
      </c>
      <c r="L2645" s="152" t="s">
        <v>1327</v>
      </c>
      <c r="M2645" s="152" t="s">
        <v>1327</v>
      </c>
      <c r="N2645" s="152" t="s">
        <v>1327</v>
      </c>
      <c r="O2645" s="152">
        <v>1.8301700000000001</v>
      </c>
      <c r="P2645" s="152">
        <v>30.031202</v>
      </c>
      <c r="Q2645" s="152">
        <v>1.8301700000000001</v>
      </c>
      <c r="R2645" s="152" t="s">
        <v>1327</v>
      </c>
      <c r="S2645" s="152">
        <v>99.545783999999998</v>
      </c>
      <c r="T2645" s="152">
        <v>0</v>
      </c>
      <c r="U2645" s="152">
        <v>0.24818299999999999</v>
      </c>
      <c r="V2645" s="152">
        <v>0.12318900000000001</v>
      </c>
      <c r="W2645" s="152">
        <v>1000</v>
      </c>
      <c r="X2645" s="152" t="s">
        <v>23</v>
      </c>
      <c r="Y2645" s="152" t="s">
        <v>1328</v>
      </c>
      <c r="Z2645" s="152" t="s">
        <v>1327</v>
      </c>
    </row>
    <row r="2646" spans="1:26" x14ac:dyDescent="0.2">
      <c r="A2646" s="152" t="s">
        <v>3722</v>
      </c>
      <c r="B2646" s="152">
        <v>0</v>
      </c>
      <c r="C2646" s="151">
        <v>43489</v>
      </c>
      <c r="D2646" s="152">
        <v>0.24931500000000001</v>
      </c>
      <c r="E2646" s="152" t="s">
        <v>1325</v>
      </c>
      <c r="F2646" s="152" t="s">
        <v>1326</v>
      </c>
      <c r="G2646" s="152"/>
      <c r="H2646" s="152"/>
      <c r="I2646" s="152">
        <v>43397</v>
      </c>
      <c r="J2646" s="152">
        <v>1.82</v>
      </c>
      <c r="K2646" s="152" t="s">
        <v>1327</v>
      </c>
      <c r="L2646" s="152" t="s">
        <v>1327</v>
      </c>
      <c r="M2646" s="152" t="s">
        <v>1327</v>
      </c>
      <c r="N2646" s="152" t="s">
        <v>1327</v>
      </c>
      <c r="O2646" s="152">
        <v>1.82</v>
      </c>
      <c r="P2646" s="152">
        <v>29.000292000000002</v>
      </c>
      <c r="Q2646" s="152">
        <v>1.82</v>
      </c>
      <c r="R2646" s="152" t="s">
        <v>1327</v>
      </c>
      <c r="S2646" s="152">
        <v>99.548295999999993</v>
      </c>
      <c r="T2646" s="152">
        <v>0</v>
      </c>
      <c r="U2646" s="152">
        <v>0.24818899999999999</v>
      </c>
      <c r="V2646" s="152">
        <v>0.123195</v>
      </c>
      <c r="W2646" s="152">
        <v>1000</v>
      </c>
      <c r="X2646" s="152" t="s">
        <v>23</v>
      </c>
      <c r="Y2646" s="152" t="s">
        <v>1328</v>
      </c>
      <c r="Z2646" s="152" t="s">
        <v>1327</v>
      </c>
    </row>
    <row r="2647" spans="1:26" x14ac:dyDescent="0.2">
      <c r="A2647" s="152" t="s">
        <v>3723</v>
      </c>
      <c r="B2647" s="152">
        <v>0</v>
      </c>
      <c r="C2647" s="151">
        <v>43489</v>
      </c>
      <c r="D2647" s="152">
        <v>0.24931500000000001</v>
      </c>
      <c r="E2647" s="152" t="s">
        <v>1325</v>
      </c>
      <c r="F2647" s="152" t="s">
        <v>1326</v>
      </c>
      <c r="G2647" s="152"/>
      <c r="H2647" s="152"/>
      <c r="I2647" s="152">
        <v>43397</v>
      </c>
      <c r="J2647" s="152">
        <v>1.84</v>
      </c>
      <c r="K2647" s="152" t="s">
        <v>1327</v>
      </c>
      <c r="L2647" s="152" t="s">
        <v>1327</v>
      </c>
      <c r="M2647" s="152" t="s">
        <v>1327</v>
      </c>
      <c r="N2647" s="152" t="s">
        <v>1327</v>
      </c>
      <c r="O2647" s="152">
        <v>1.84</v>
      </c>
      <c r="P2647" s="152">
        <v>31.027847999999999</v>
      </c>
      <c r="Q2647" s="152">
        <v>1.84</v>
      </c>
      <c r="R2647" s="152" t="s">
        <v>1327</v>
      </c>
      <c r="S2647" s="152">
        <v>99.543355000000005</v>
      </c>
      <c r="T2647" s="152">
        <v>0</v>
      </c>
      <c r="U2647" s="152">
        <v>0.24817700000000001</v>
      </c>
      <c r="V2647" s="152">
        <v>0.123183</v>
      </c>
      <c r="W2647" s="152">
        <v>1000</v>
      </c>
      <c r="X2647" s="152" t="s">
        <v>23</v>
      </c>
      <c r="Y2647" s="152" t="s">
        <v>1328</v>
      </c>
      <c r="Z2647" s="152" t="s">
        <v>1327</v>
      </c>
    </row>
    <row r="2648" spans="1:26" x14ac:dyDescent="0.2">
      <c r="A2648" s="152" t="s">
        <v>3724</v>
      </c>
      <c r="B2648" s="152">
        <v>0</v>
      </c>
      <c r="C2648" s="151">
        <v>43496</v>
      </c>
      <c r="D2648" s="152">
        <v>0.26849299999999998</v>
      </c>
      <c r="E2648" s="152" t="s">
        <v>1325</v>
      </c>
      <c r="F2648" s="152" t="s">
        <v>1326</v>
      </c>
      <c r="G2648" s="152"/>
      <c r="H2648" s="152"/>
      <c r="I2648" s="152">
        <v>43315</v>
      </c>
      <c r="J2648" s="152">
        <v>1.6</v>
      </c>
      <c r="K2648" s="152" t="s">
        <v>1327</v>
      </c>
      <c r="L2648" s="152" t="s">
        <v>1327</v>
      </c>
      <c r="M2648" s="152" t="s">
        <v>1327</v>
      </c>
      <c r="N2648" s="152" t="s">
        <v>1327</v>
      </c>
      <c r="O2648" s="152">
        <v>1.840535</v>
      </c>
      <c r="P2648" s="152">
        <v>28.536653000000001</v>
      </c>
      <c r="Q2648" s="152">
        <v>1.840535</v>
      </c>
      <c r="R2648" s="152" t="s">
        <v>1327</v>
      </c>
      <c r="S2648" s="152">
        <v>99.508258999999995</v>
      </c>
      <c r="T2648" s="152">
        <v>0</v>
      </c>
      <c r="U2648" s="152">
        <v>0.26717299999999999</v>
      </c>
      <c r="V2648" s="152">
        <v>0.142763</v>
      </c>
      <c r="W2648" s="152">
        <v>1000</v>
      </c>
      <c r="X2648" s="152" t="s">
        <v>23</v>
      </c>
      <c r="Y2648" s="152" t="s">
        <v>1328</v>
      </c>
      <c r="Z2648" s="152" t="s">
        <v>1327</v>
      </c>
    </row>
    <row r="2649" spans="1:26" x14ac:dyDescent="0.2">
      <c r="A2649" s="152" t="s">
        <v>3725</v>
      </c>
      <c r="B2649" s="152">
        <v>0</v>
      </c>
      <c r="C2649" s="151">
        <v>43517</v>
      </c>
      <c r="D2649" s="152">
        <v>0.32602700000000001</v>
      </c>
      <c r="E2649" s="152" t="s">
        <v>1325</v>
      </c>
      <c r="F2649" s="152" t="s">
        <v>1326</v>
      </c>
      <c r="G2649" s="152"/>
      <c r="H2649" s="152"/>
      <c r="I2649" s="152">
        <v>43340</v>
      </c>
      <c r="J2649" s="152">
        <v>1.6</v>
      </c>
      <c r="K2649" s="152" t="s">
        <v>1327</v>
      </c>
      <c r="L2649" s="152" t="s">
        <v>1327</v>
      </c>
      <c r="M2649" s="152" t="s">
        <v>1327</v>
      </c>
      <c r="N2649" s="152" t="s">
        <v>1327</v>
      </c>
      <c r="O2649" s="152">
        <v>1.883024</v>
      </c>
      <c r="P2649" s="152">
        <v>26.327228999999999</v>
      </c>
      <c r="Q2649" s="152">
        <v>1.883024</v>
      </c>
      <c r="R2649" s="152" t="s">
        <v>1327</v>
      </c>
      <c r="S2649" s="152">
        <v>99.389829000000006</v>
      </c>
      <c r="T2649" s="152">
        <v>0</v>
      </c>
      <c r="U2649" s="152">
        <v>0.32403799999999999</v>
      </c>
      <c r="V2649" s="152">
        <v>0.21000099999999999</v>
      </c>
      <c r="W2649" s="152">
        <v>1000</v>
      </c>
      <c r="X2649" s="152" t="s">
        <v>23</v>
      </c>
      <c r="Y2649" s="152" t="s">
        <v>1328</v>
      </c>
      <c r="Z2649" s="152" t="s">
        <v>1327</v>
      </c>
    </row>
    <row r="2650" spans="1:26" x14ac:dyDescent="0.2">
      <c r="A2650" s="152" t="s">
        <v>3726</v>
      </c>
      <c r="B2650" s="152">
        <v>0</v>
      </c>
      <c r="C2650" s="151">
        <v>43545</v>
      </c>
      <c r="D2650" s="152">
        <v>0.40273999999999999</v>
      </c>
      <c r="E2650" s="152" t="s">
        <v>1325</v>
      </c>
      <c r="F2650" s="152" t="s">
        <v>1326</v>
      </c>
      <c r="G2650" s="152"/>
      <c r="H2650" s="152"/>
      <c r="I2650" s="152">
        <v>43370</v>
      </c>
      <c r="J2650" s="152">
        <v>1.65</v>
      </c>
      <c r="K2650" s="152" t="s">
        <v>1327</v>
      </c>
      <c r="L2650" s="152" t="s">
        <v>1327</v>
      </c>
      <c r="M2650" s="152" t="s">
        <v>1327</v>
      </c>
      <c r="N2650" s="152" t="s">
        <v>1327</v>
      </c>
      <c r="O2650" s="152">
        <v>1.941859</v>
      </c>
      <c r="P2650" s="152">
        <v>25.846774</v>
      </c>
      <c r="Q2650" s="152">
        <v>1.941859</v>
      </c>
      <c r="R2650" s="152" t="s">
        <v>1327</v>
      </c>
      <c r="S2650" s="152">
        <v>99.224005000000005</v>
      </c>
      <c r="T2650" s="152">
        <v>0</v>
      </c>
      <c r="U2650" s="152">
        <v>0.39961400000000002</v>
      </c>
      <c r="V2650" s="152">
        <v>0.31938299999999997</v>
      </c>
      <c r="W2650" s="152">
        <v>1000</v>
      </c>
      <c r="X2650" s="152" t="s">
        <v>23</v>
      </c>
      <c r="Y2650" s="152" t="s">
        <v>1328</v>
      </c>
      <c r="Z2650" s="152" t="s">
        <v>1327</v>
      </c>
    </row>
    <row r="2651" spans="1:26" x14ac:dyDescent="0.2">
      <c r="A2651" s="152" t="s">
        <v>3727</v>
      </c>
      <c r="B2651" s="152">
        <v>0</v>
      </c>
      <c r="C2651" s="151">
        <v>43580</v>
      </c>
      <c r="D2651" s="152">
        <v>0.49863000000000002</v>
      </c>
      <c r="E2651" s="152" t="s">
        <v>1325</v>
      </c>
      <c r="F2651" s="152" t="s">
        <v>1326</v>
      </c>
      <c r="G2651" s="152"/>
      <c r="H2651" s="152"/>
      <c r="I2651" s="152">
        <v>43397</v>
      </c>
      <c r="J2651" s="152">
        <v>1.8</v>
      </c>
      <c r="K2651" s="152" t="s">
        <v>1327</v>
      </c>
      <c r="L2651" s="152" t="s">
        <v>1327</v>
      </c>
      <c r="M2651" s="152" t="s">
        <v>1327</v>
      </c>
      <c r="N2651" s="152" t="s">
        <v>1327</v>
      </c>
      <c r="O2651" s="152">
        <v>1.8</v>
      </c>
      <c r="P2651" s="152">
        <v>6.2227290000000002</v>
      </c>
      <c r="Q2651" s="152">
        <v>1.8</v>
      </c>
      <c r="R2651" s="152" t="s">
        <v>1327</v>
      </c>
      <c r="S2651" s="152">
        <v>99.11045</v>
      </c>
      <c r="T2651" s="152">
        <v>0</v>
      </c>
      <c r="U2651" s="152">
        <v>0.494195</v>
      </c>
      <c r="V2651" s="152">
        <v>0.48845699999999997</v>
      </c>
      <c r="W2651" s="152">
        <v>1000</v>
      </c>
      <c r="X2651" s="152" t="s">
        <v>23</v>
      </c>
      <c r="Y2651" s="152" t="s">
        <v>1328</v>
      </c>
      <c r="Z2651" s="152" t="s">
        <v>1327</v>
      </c>
    </row>
    <row r="2652" spans="1:26" x14ac:dyDescent="0.2">
      <c r="A2652" s="152" t="s">
        <v>3728</v>
      </c>
      <c r="B2652" s="152">
        <v>1.44</v>
      </c>
      <c r="C2652" s="151">
        <v>43405</v>
      </c>
      <c r="D2652" s="152">
        <v>1.9178000000000001E-2</v>
      </c>
      <c r="E2652" s="152" t="s">
        <v>1325</v>
      </c>
      <c r="F2652" s="152" t="s">
        <v>1326</v>
      </c>
      <c r="G2652" s="152"/>
      <c r="H2652" s="152"/>
      <c r="I2652" s="152" t="s">
        <v>1327</v>
      </c>
      <c r="J2652" s="152" t="s">
        <v>1327</v>
      </c>
      <c r="K2652" s="152" t="s">
        <v>1327</v>
      </c>
      <c r="L2652" s="152" t="s">
        <v>1327</v>
      </c>
      <c r="M2652" s="152" t="s">
        <v>1327</v>
      </c>
      <c r="N2652" s="152" t="s">
        <v>1327</v>
      </c>
      <c r="O2652" s="152">
        <v>1.3968039999999999</v>
      </c>
      <c r="P2652" s="152">
        <v>25.897227999999998</v>
      </c>
      <c r="Q2652" s="152">
        <v>1.3968039999999999</v>
      </c>
      <c r="R2652" s="152" t="s">
        <v>1327</v>
      </c>
      <c r="S2652" s="152">
        <v>100.00064399999999</v>
      </c>
      <c r="T2652" s="152">
        <v>0.68646600000000002</v>
      </c>
      <c r="U2652" s="152">
        <v>1.9172999999999999E-2</v>
      </c>
      <c r="V2652" s="152">
        <v>7.3499999999999998E-4</v>
      </c>
      <c r="W2652" s="152">
        <v>1000</v>
      </c>
      <c r="X2652" s="152" t="s">
        <v>23</v>
      </c>
      <c r="Y2652" s="152" t="s">
        <v>1328</v>
      </c>
      <c r="Z2652" s="152" t="s">
        <v>1327</v>
      </c>
    </row>
    <row r="2653" spans="1:26" x14ac:dyDescent="0.2">
      <c r="A2653" s="152" t="s">
        <v>3729</v>
      </c>
      <c r="B2653" s="152">
        <v>1.59</v>
      </c>
      <c r="C2653" s="151">
        <v>43437</v>
      </c>
      <c r="D2653" s="152">
        <v>0.106849</v>
      </c>
      <c r="E2653" s="152" t="s">
        <v>1325</v>
      </c>
      <c r="F2653" s="152" t="s">
        <v>1326</v>
      </c>
      <c r="G2653" s="152"/>
      <c r="H2653" s="152"/>
      <c r="I2653" s="152" t="s">
        <v>1327</v>
      </c>
      <c r="J2653" s="152" t="s">
        <v>1327</v>
      </c>
      <c r="K2653" s="152" t="s">
        <v>1327</v>
      </c>
      <c r="L2653" s="152" t="s">
        <v>1327</v>
      </c>
      <c r="M2653" s="152" t="s">
        <v>1327</v>
      </c>
      <c r="N2653" s="152" t="s">
        <v>1327</v>
      </c>
      <c r="O2653" s="152">
        <v>1.602444</v>
      </c>
      <c r="P2653" s="152">
        <v>30.633012999999998</v>
      </c>
      <c r="Q2653" s="152">
        <v>1.602444</v>
      </c>
      <c r="R2653" s="152" t="s">
        <v>1327</v>
      </c>
      <c r="S2653" s="152">
        <v>99.998284999999996</v>
      </c>
      <c r="T2653" s="152">
        <v>0.226521</v>
      </c>
      <c r="U2653" s="152">
        <v>0.106667</v>
      </c>
      <c r="V2653" s="152">
        <v>2.2755999999999998E-2</v>
      </c>
      <c r="W2653" s="152">
        <v>1000</v>
      </c>
      <c r="X2653" s="152" t="s">
        <v>23</v>
      </c>
      <c r="Y2653" s="152" t="s">
        <v>1328</v>
      </c>
      <c r="Z2653" s="152" t="s">
        <v>1327</v>
      </c>
    </row>
    <row r="2654" spans="1:26" x14ac:dyDescent="0.2">
      <c r="A2654" s="152" t="s">
        <v>3730</v>
      </c>
      <c r="B2654" s="152">
        <v>1.59</v>
      </c>
      <c r="C2654" s="151">
        <v>43438</v>
      </c>
      <c r="D2654" s="152">
        <v>0.10958900000000001</v>
      </c>
      <c r="E2654" s="152" t="s">
        <v>1325</v>
      </c>
      <c r="F2654" s="152" t="s">
        <v>1326</v>
      </c>
      <c r="G2654" s="152"/>
      <c r="H2654" s="152"/>
      <c r="I2654" s="152" t="s">
        <v>1327</v>
      </c>
      <c r="J2654" s="152" t="s">
        <v>1327</v>
      </c>
      <c r="K2654" s="152" t="s">
        <v>1327</v>
      </c>
      <c r="L2654" s="152" t="s">
        <v>1327</v>
      </c>
      <c r="M2654" s="152" t="s">
        <v>1327</v>
      </c>
      <c r="N2654" s="152" t="s">
        <v>1327</v>
      </c>
      <c r="O2654" s="152">
        <v>1.608087</v>
      </c>
      <c r="P2654" s="152">
        <v>30.701946</v>
      </c>
      <c r="Q2654" s="152">
        <v>1.608087</v>
      </c>
      <c r="R2654" s="152" t="s">
        <v>1327</v>
      </c>
      <c r="S2654" s="152">
        <v>99.997630999999998</v>
      </c>
      <c r="T2654" s="152">
        <v>0.222164</v>
      </c>
      <c r="U2654" s="152">
        <v>0.10939599999999999</v>
      </c>
      <c r="V2654" s="152">
        <v>2.3935000000000001E-2</v>
      </c>
      <c r="W2654" s="152">
        <v>1000</v>
      </c>
      <c r="X2654" s="152" t="s">
        <v>23</v>
      </c>
      <c r="Y2654" s="152" t="s">
        <v>1328</v>
      </c>
      <c r="Z2654" s="152" t="s">
        <v>1327</v>
      </c>
    </row>
    <row r="2655" spans="1:26" x14ac:dyDescent="0.2">
      <c r="A2655" s="152" t="s">
        <v>3731</v>
      </c>
      <c r="B2655" s="152">
        <v>1.59</v>
      </c>
      <c r="C2655" s="151">
        <v>43440</v>
      </c>
      <c r="D2655" s="152">
        <v>0.115068</v>
      </c>
      <c r="E2655" s="152" t="s">
        <v>1325</v>
      </c>
      <c r="F2655" s="152" t="s">
        <v>1326</v>
      </c>
      <c r="G2655" s="152"/>
      <c r="H2655" s="152"/>
      <c r="I2655" s="152" t="s">
        <v>1327</v>
      </c>
      <c r="J2655" s="152" t="s">
        <v>1327</v>
      </c>
      <c r="K2655" s="152" t="s">
        <v>1327</v>
      </c>
      <c r="L2655" s="152" t="s">
        <v>1327</v>
      </c>
      <c r="M2655" s="152" t="s">
        <v>1327</v>
      </c>
      <c r="N2655" s="152" t="s">
        <v>1327</v>
      </c>
      <c r="O2655" s="152">
        <v>1.619388</v>
      </c>
      <c r="P2655" s="152">
        <v>30.843862000000001</v>
      </c>
      <c r="Q2655" s="152">
        <v>1.619388</v>
      </c>
      <c r="R2655" s="152" t="s">
        <v>1327</v>
      </c>
      <c r="S2655" s="152">
        <v>99.996228000000002</v>
      </c>
      <c r="T2655" s="152">
        <v>0.213452</v>
      </c>
      <c r="U2655" s="152">
        <v>0.114854</v>
      </c>
      <c r="V2655" s="152">
        <v>2.6383E-2</v>
      </c>
      <c r="W2655" s="152">
        <v>1000</v>
      </c>
      <c r="X2655" s="152" t="s">
        <v>23</v>
      </c>
      <c r="Y2655" s="152" t="s">
        <v>1328</v>
      </c>
      <c r="Z2655" s="152" t="s">
        <v>1327</v>
      </c>
    </row>
    <row r="2656" spans="1:26" x14ac:dyDescent="0.2">
      <c r="A2656" s="152" t="s">
        <v>3732</v>
      </c>
      <c r="B2656" s="152">
        <v>1.59</v>
      </c>
      <c r="C2656" s="151">
        <v>43445</v>
      </c>
      <c r="D2656" s="152">
        <v>0.12876699999999999</v>
      </c>
      <c r="E2656" s="152" t="s">
        <v>1325</v>
      </c>
      <c r="F2656" s="152" t="s">
        <v>1326</v>
      </c>
      <c r="G2656" s="152"/>
      <c r="H2656" s="152"/>
      <c r="I2656" s="152" t="s">
        <v>1327</v>
      </c>
      <c r="J2656" s="152" t="s">
        <v>1327</v>
      </c>
      <c r="K2656" s="152" t="s">
        <v>1327</v>
      </c>
      <c r="L2656" s="152" t="s">
        <v>1327</v>
      </c>
      <c r="M2656" s="152" t="s">
        <v>1327</v>
      </c>
      <c r="N2656" s="152" t="s">
        <v>1327</v>
      </c>
      <c r="O2656" s="152">
        <v>1.6477459999999999</v>
      </c>
      <c r="P2656" s="152">
        <v>31.226233000000001</v>
      </c>
      <c r="Q2656" s="152">
        <v>1.6477459999999999</v>
      </c>
      <c r="R2656" s="152" t="s">
        <v>1327</v>
      </c>
      <c r="S2656" s="152">
        <v>99.992165</v>
      </c>
      <c r="T2656" s="152">
        <v>0.19602700000000001</v>
      </c>
      <c r="U2656" s="152">
        <v>0.128494</v>
      </c>
      <c r="V2656" s="152">
        <v>3.3022000000000003E-2</v>
      </c>
      <c r="W2656" s="152">
        <v>1000</v>
      </c>
      <c r="X2656" s="152" t="s">
        <v>23</v>
      </c>
      <c r="Y2656" s="152" t="s">
        <v>1328</v>
      </c>
      <c r="Z2656" s="152" t="s">
        <v>1327</v>
      </c>
    </row>
    <row r="2657" spans="1:26" x14ac:dyDescent="0.2">
      <c r="A2657" s="152" t="s">
        <v>3733</v>
      </c>
      <c r="B2657" s="152">
        <v>1.7</v>
      </c>
      <c r="C2657" s="151">
        <v>43446</v>
      </c>
      <c r="D2657" s="152">
        <v>0.13150700000000001</v>
      </c>
      <c r="E2657" s="152" t="s">
        <v>1325</v>
      </c>
      <c r="F2657" s="152" t="s">
        <v>1326</v>
      </c>
      <c r="G2657" s="152"/>
      <c r="H2657" s="152"/>
      <c r="I2657" s="152" t="s">
        <v>1327</v>
      </c>
      <c r="J2657" s="152" t="s">
        <v>1327</v>
      </c>
      <c r="K2657" s="152" t="s">
        <v>1327</v>
      </c>
      <c r="L2657" s="152" t="s">
        <v>1327</v>
      </c>
      <c r="M2657" s="152" t="s">
        <v>1327</v>
      </c>
      <c r="N2657" s="152" t="s">
        <v>1327</v>
      </c>
      <c r="O2657" s="152">
        <v>1.6534359999999999</v>
      </c>
      <c r="P2657" s="152">
        <v>31.307981000000002</v>
      </c>
      <c r="Q2657" s="152">
        <v>1.6534359999999999</v>
      </c>
      <c r="R2657" s="152" t="s">
        <v>1327</v>
      </c>
      <c r="S2657" s="152">
        <v>100.005948</v>
      </c>
      <c r="T2657" s="152">
        <v>7.4521000000000004E-2</v>
      </c>
      <c r="U2657" s="152">
        <v>0.13122200000000001</v>
      </c>
      <c r="V2657" s="152">
        <v>3.4438000000000003E-2</v>
      </c>
      <c r="W2657" s="152">
        <v>1000</v>
      </c>
      <c r="X2657" s="152" t="s">
        <v>23</v>
      </c>
      <c r="Y2657" s="152" t="s">
        <v>1328</v>
      </c>
      <c r="Z2657" s="152" t="s">
        <v>1327</v>
      </c>
    </row>
    <row r="2658" spans="1:26" x14ac:dyDescent="0.2">
      <c r="A2658" s="152" t="s">
        <v>3734</v>
      </c>
      <c r="B2658" s="152">
        <v>1.7</v>
      </c>
      <c r="C2658" s="151">
        <v>43447</v>
      </c>
      <c r="D2658" s="152">
        <v>0.13424700000000001</v>
      </c>
      <c r="E2658" s="152" t="s">
        <v>1325</v>
      </c>
      <c r="F2658" s="152" t="s">
        <v>1326</v>
      </c>
      <c r="G2658" s="152"/>
      <c r="H2658" s="152"/>
      <c r="I2658" s="152" t="s">
        <v>1327</v>
      </c>
      <c r="J2658" s="152" t="s">
        <v>1327</v>
      </c>
      <c r="K2658" s="152" t="s">
        <v>1327</v>
      </c>
      <c r="L2658" s="152" t="s">
        <v>1327</v>
      </c>
      <c r="M2658" s="152" t="s">
        <v>1327</v>
      </c>
      <c r="N2658" s="152" t="s">
        <v>1327</v>
      </c>
      <c r="O2658" s="152">
        <v>1.6591320000000001</v>
      </c>
      <c r="P2658" s="152">
        <v>31.391641</v>
      </c>
      <c r="Q2658" s="152">
        <v>1.6591320000000001</v>
      </c>
      <c r="R2658" s="152" t="s">
        <v>1327</v>
      </c>
      <c r="S2658" s="152">
        <v>100.005298</v>
      </c>
      <c r="T2658" s="152">
        <v>7.9177999999999998E-2</v>
      </c>
      <c r="U2658" s="152">
        <v>0.13394800000000001</v>
      </c>
      <c r="V2658" s="152">
        <v>3.5883999999999999E-2</v>
      </c>
      <c r="W2658" s="152">
        <v>1000</v>
      </c>
      <c r="X2658" s="152" t="s">
        <v>23</v>
      </c>
      <c r="Y2658" s="152" t="s">
        <v>1328</v>
      </c>
      <c r="Z2658" s="152" t="s">
        <v>1327</v>
      </c>
    </row>
    <row r="2659" spans="1:26" x14ac:dyDescent="0.2">
      <c r="A2659" s="152" t="s">
        <v>3735</v>
      </c>
      <c r="B2659" s="152">
        <v>1.59</v>
      </c>
      <c r="C2659" s="151">
        <v>43451</v>
      </c>
      <c r="D2659" s="152">
        <v>0.145205</v>
      </c>
      <c r="E2659" s="152" t="s">
        <v>1325</v>
      </c>
      <c r="F2659" s="152" t="s">
        <v>1326</v>
      </c>
      <c r="G2659" s="152"/>
      <c r="H2659" s="152"/>
      <c r="I2659" s="152" t="s">
        <v>1327</v>
      </c>
      <c r="J2659" s="152" t="s">
        <v>1327</v>
      </c>
      <c r="K2659" s="152" t="s">
        <v>1327</v>
      </c>
      <c r="L2659" s="152" t="s">
        <v>1327</v>
      </c>
      <c r="M2659" s="152" t="s">
        <v>1327</v>
      </c>
      <c r="N2659" s="152" t="s">
        <v>1327</v>
      </c>
      <c r="O2659" s="152">
        <v>1.681975</v>
      </c>
      <c r="P2659" s="152">
        <v>31.746576999999998</v>
      </c>
      <c r="Q2659" s="152">
        <v>1.681975</v>
      </c>
      <c r="R2659" s="152" t="s">
        <v>1327</v>
      </c>
      <c r="S2659" s="152">
        <v>99.986273999999995</v>
      </c>
      <c r="T2659" s="152">
        <v>0.16553399999999999</v>
      </c>
      <c r="U2659" s="152">
        <v>0.14485200000000001</v>
      </c>
      <c r="V2659" s="152">
        <v>4.1964000000000001E-2</v>
      </c>
      <c r="W2659" s="152">
        <v>1000</v>
      </c>
      <c r="X2659" s="152" t="s">
        <v>23</v>
      </c>
      <c r="Y2659" s="152" t="s">
        <v>1328</v>
      </c>
      <c r="Z2659" s="152" t="s">
        <v>1327</v>
      </c>
    </row>
    <row r="2660" spans="1:26" x14ac:dyDescent="0.2">
      <c r="A2660" s="152" t="s">
        <v>3736</v>
      </c>
      <c r="B2660" s="152">
        <v>1.59</v>
      </c>
      <c r="C2660" s="151">
        <v>43452</v>
      </c>
      <c r="D2660" s="152">
        <v>0.14794499999999999</v>
      </c>
      <c r="E2660" s="152" t="s">
        <v>1325</v>
      </c>
      <c r="F2660" s="152" t="s">
        <v>1326</v>
      </c>
      <c r="G2660" s="152"/>
      <c r="H2660" s="152"/>
      <c r="I2660" s="152" t="s">
        <v>1327</v>
      </c>
      <c r="J2660" s="152" t="s">
        <v>1327</v>
      </c>
      <c r="K2660" s="152" t="s">
        <v>1327</v>
      </c>
      <c r="L2660" s="152" t="s">
        <v>1327</v>
      </c>
      <c r="M2660" s="152" t="s">
        <v>1327</v>
      </c>
      <c r="N2660" s="152" t="s">
        <v>1327</v>
      </c>
      <c r="O2660" s="152">
        <v>1.687702</v>
      </c>
      <c r="P2660" s="152">
        <v>31.84083</v>
      </c>
      <c r="Q2660" s="152">
        <v>1.687702</v>
      </c>
      <c r="R2660" s="152" t="s">
        <v>1327</v>
      </c>
      <c r="S2660" s="152">
        <v>99.98518</v>
      </c>
      <c r="T2660" s="152">
        <v>0.16117799999999999</v>
      </c>
      <c r="U2660" s="152">
        <v>0.14757700000000001</v>
      </c>
      <c r="V2660" s="152">
        <v>4.3557999999999999E-2</v>
      </c>
      <c r="W2660" s="152">
        <v>1000</v>
      </c>
      <c r="X2660" s="152" t="s">
        <v>23</v>
      </c>
      <c r="Y2660" s="152" t="s">
        <v>1328</v>
      </c>
      <c r="Z2660" s="152" t="s">
        <v>1327</v>
      </c>
    </row>
    <row r="2661" spans="1:26" x14ac:dyDescent="0.2">
      <c r="A2661" s="152" t="s">
        <v>3737</v>
      </c>
      <c r="B2661" s="152">
        <v>1.63</v>
      </c>
      <c r="C2661" s="151">
        <v>43454</v>
      </c>
      <c r="D2661" s="152">
        <v>0.15342500000000001</v>
      </c>
      <c r="E2661" s="152" t="s">
        <v>1325</v>
      </c>
      <c r="F2661" s="152" t="s">
        <v>1326</v>
      </c>
      <c r="G2661" s="152"/>
      <c r="H2661" s="152"/>
      <c r="I2661" s="152" t="s">
        <v>1327</v>
      </c>
      <c r="J2661" s="152" t="s">
        <v>1327</v>
      </c>
      <c r="K2661" s="152" t="s">
        <v>1327</v>
      </c>
      <c r="L2661" s="152" t="s">
        <v>1327</v>
      </c>
      <c r="M2661" s="152" t="s">
        <v>1327</v>
      </c>
      <c r="N2661" s="152" t="s">
        <v>1327</v>
      </c>
      <c r="O2661" s="152">
        <v>1.699174</v>
      </c>
      <c r="P2661" s="152">
        <v>32.036383999999998</v>
      </c>
      <c r="Q2661" s="152">
        <v>1.699174</v>
      </c>
      <c r="R2661" s="152" t="s">
        <v>1327</v>
      </c>
      <c r="S2661" s="152">
        <v>99.988647999999998</v>
      </c>
      <c r="T2661" s="152">
        <v>0.29474</v>
      </c>
      <c r="U2661" s="152">
        <v>0.153026</v>
      </c>
      <c r="V2661" s="152">
        <v>4.6834000000000001E-2</v>
      </c>
      <c r="W2661" s="152">
        <v>1000</v>
      </c>
      <c r="X2661" s="152" t="s">
        <v>23</v>
      </c>
      <c r="Y2661" s="152" t="s">
        <v>1328</v>
      </c>
      <c r="Z2661" s="152" t="s">
        <v>1327</v>
      </c>
    </row>
    <row r="2662" spans="1:26" x14ac:dyDescent="0.2">
      <c r="A2662" s="152" t="s">
        <v>3738</v>
      </c>
      <c r="B2662" s="152">
        <v>1.59</v>
      </c>
      <c r="C2662" s="151">
        <v>43460</v>
      </c>
      <c r="D2662" s="152">
        <v>0.16986299999999999</v>
      </c>
      <c r="E2662" s="152" t="s">
        <v>1325</v>
      </c>
      <c r="F2662" s="152" t="s">
        <v>1326</v>
      </c>
      <c r="G2662" s="152"/>
      <c r="H2662" s="152"/>
      <c r="I2662" s="152" t="s">
        <v>1327</v>
      </c>
      <c r="J2662" s="152" t="s">
        <v>1327</v>
      </c>
      <c r="K2662" s="152" t="s">
        <v>1327</v>
      </c>
      <c r="L2662" s="152" t="s">
        <v>1327</v>
      </c>
      <c r="M2662" s="152" t="s">
        <v>1327</v>
      </c>
      <c r="N2662" s="152" t="s">
        <v>1327</v>
      </c>
      <c r="O2662" s="152">
        <v>1.7337419999999999</v>
      </c>
      <c r="P2662" s="152">
        <v>32.684168</v>
      </c>
      <c r="Q2662" s="152">
        <v>1.7337419999999999</v>
      </c>
      <c r="R2662" s="152" t="s">
        <v>1327</v>
      </c>
      <c r="S2662" s="152">
        <v>99.975284000000002</v>
      </c>
      <c r="T2662" s="152">
        <v>0.126329</v>
      </c>
      <c r="U2662" s="152">
        <v>0.16936399999999999</v>
      </c>
      <c r="V2662" s="152">
        <v>5.7368000000000002E-2</v>
      </c>
      <c r="W2662" s="152">
        <v>1000</v>
      </c>
      <c r="X2662" s="152" t="s">
        <v>23</v>
      </c>
      <c r="Y2662" s="152" t="s">
        <v>1328</v>
      </c>
      <c r="Z2662" s="152" t="s">
        <v>1327</v>
      </c>
    </row>
    <row r="2663" spans="1:26" x14ac:dyDescent="0.2">
      <c r="A2663" s="152" t="s">
        <v>3739</v>
      </c>
      <c r="B2663" s="152">
        <v>1.6</v>
      </c>
      <c r="C2663" s="151">
        <v>43413</v>
      </c>
      <c r="D2663" s="152">
        <v>4.1096000000000001E-2</v>
      </c>
      <c r="E2663" s="152" t="s">
        <v>1325</v>
      </c>
      <c r="F2663" s="152" t="s">
        <v>1326</v>
      </c>
      <c r="G2663" s="152"/>
      <c r="H2663" s="152"/>
      <c r="I2663" s="152" t="s">
        <v>1327</v>
      </c>
      <c r="J2663" s="152" t="s">
        <v>1327</v>
      </c>
      <c r="K2663" s="152" t="s">
        <v>1327</v>
      </c>
      <c r="L2663" s="152" t="s">
        <v>1327</v>
      </c>
      <c r="M2663" s="152" t="s">
        <v>1327</v>
      </c>
      <c r="N2663" s="152" t="s">
        <v>1327</v>
      </c>
      <c r="O2663" s="152">
        <v>1.4967980000000001</v>
      </c>
      <c r="P2663" s="152">
        <v>32.058489999999999</v>
      </c>
      <c r="Q2663" s="152">
        <v>1.4967980000000001</v>
      </c>
      <c r="R2663" s="152" t="s">
        <v>1327</v>
      </c>
      <c r="S2663" s="152">
        <v>100.004031</v>
      </c>
      <c r="T2663" s="152">
        <v>0.337534</v>
      </c>
      <c r="U2663" s="152">
        <v>4.1071000000000003E-2</v>
      </c>
      <c r="V2663" s="152">
        <v>3.3739999999999998E-3</v>
      </c>
      <c r="W2663" s="152">
        <v>1000</v>
      </c>
      <c r="X2663" s="152" t="s">
        <v>23</v>
      </c>
      <c r="Y2663" s="152" t="s">
        <v>1328</v>
      </c>
      <c r="Z2663" s="152" t="s">
        <v>1327</v>
      </c>
    </row>
    <row r="2664" spans="1:26" x14ac:dyDescent="0.2">
      <c r="A2664" s="152" t="s">
        <v>3740</v>
      </c>
      <c r="B2664" s="152">
        <v>1.6</v>
      </c>
      <c r="C2664" s="151">
        <v>43418</v>
      </c>
      <c r="D2664" s="152">
        <v>5.4795000000000003E-2</v>
      </c>
      <c r="E2664" s="152" t="s">
        <v>1325</v>
      </c>
      <c r="F2664" s="152" t="s">
        <v>1326</v>
      </c>
      <c r="G2664" s="152"/>
      <c r="H2664" s="152"/>
      <c r="I2664" s="152" t="s">
        <v>1327</v>
      </c>
      <c r="J2664" s="152" t="s">
        <v>1327</v>
      </c>
      <c r="K2664" s="152" t="s">
        <v>1327</v>
      </c>
      <c r="L2664" s="152" t="s">
        <v>1327</v>
      </c>
      <c r="M2664" s="152" t="s">
        <v>1327</v>
      </c>
      <c r="N2664" s="152" t="s">
        <v>1327</v>
      </c>
      <c r="O2664" s="152">
        <v>1.4963089999999999</v>
      </c>
      <c r="P2664" s="152">
        <v>29.490729999999999</v>
      </c>
      <c r="Q2664" s="152">
        <v>1.4963089999999999</v>
      </c>
      <c r="R2664" s="152" t="s">
        <v>1327</v>
      </c>
      <c r="S2664" s="152">
        <v>100.005422</v>
      </c>
      <c r="T2664" s="152">
        <v>0.31123299999999998</v>
      </c>
      <c r="U2664" s="152">
        <v>5.475E-2</v>
      </c>
      <c r="V2664" s="152">
        <v>5.9950000000000003E-3</v>
      </c>
      <c r="W2664" s="152">
        <v>1000</v>
      </c>
      <c r="X2664" s="152" t="s">
        <v>23</v>
      </c>
      <c r="Y2664" s="152" t="s">
        <v>1328</v>
      </c>
      <c r="Z2664" s="152" t="s">
        <v>1327</v>
      </c>
    </row>
    <row r="2665" spans="1:26" x14ac:dyDescent="0.2">
      <c r="A2665" s="152" t="s">
        <v>3741</v>
      </c>
      <c r="B2665" s="152">
        <v>1.6</v>
      </c>
      <c r="C2665" s="151">
        <v>43419</v>
      </c>
      <c r="D2665" s="152">
        <v>5.7534000000000002E-2</v>
      </c>
      <c r="E2665" s="152" t="s">
        <v>1325</v>
      </c>
      <c r="F2665" s="152" t="s">
        <v>1326</v>
      </c>
      <c r="G2665" s="152"/>
      <c r="H2665" s="152"/>
      <c r="I2665" s="152" t="s">
        <v>1327</v>
      </c>
      <c r="J2665" s="152" t="s">
        <v>1327</v>
      </c>
      <c r="K2665" s="152" t="s">
        <v>1327</v>
      </c>
      <c r="L2665" s="152" t="s">
        <v>1327</v>
      </c>
      <c r="M2665" s="152" t="s">
        <v>1327</v>
      </c>
      <c r="N2665" s="152" t="s">
        <v>1327</v>
      </c>
      <c r="O2665" s="152">
        <v>1.5018450000000001</v>
      </c>
      <c r="P2665" s="152">
        <v>29.546807000000001</v>
      </c>
      <c r="Q2665" s="152">
        <v>1.5018450000000001</v>
      </c>
      <c r="R2665" s="152" t="s">
        <v>1327</v>
      </c>
      <c r="S2665" s="152">
        <v>100.00537</v>
      </c>
      <c r="T2665" s="152">
        <v>0.31561600000000001</v>
      </c>
      <c r="U2665" s="152">
        <v>5.7485000000000001E-2</v>
      </c>
      <c r="V2665" s="152">
        <v>6.6090000000000003E-3</v>
      </c>
      <c r="W2665" s="152">
        <v>1000</v>
      </c>
      <c r="X2665" s="152" t="s">
        <v>23</v>
      </c>
      <c r="Y2665" s="152" t="s">
        <v>1328</v>
      </c>
      <c r="Z2665" s="152" t="s">
        <v>1327</v>
      </c>
    </row>
    <row r="2666" spans="1:26" x14ac:dyDescent="0.2">
      <c r="A2666" s="152" t="s">
        <v>3742</v>
      </c>
      <c r="B2666" s="152">
        <v>1.6</v>
      </c>
      <c r="C2666" s="151">
        <v>43420</v>
      </c>
      <c r="D2666" s="152">
        <v>6.0274000000000001E-2</v>
      </c>
      <c r="E2666" s="152" t="s">
        <v>1325</v>
      </c>
      <c r="F2666" s="152" t="s">
        <v>1326</v>
      </c>
      <c r="G2666" s="152"/>
      <c r="H2666" s="152"/>
      <c r="I2666" s="152" t="s">
        <v>1327</v>
      </c>
      <c r="J2666" s="152" t="s">
        <v>1327</v>
      </c>
      <c r="K2666" s="152" t="s">
        <v>1327</v>
      </c>
      <c r="L2666" s="152" t="s">
        <v>1327</v>
      </c>
      <c r="M2666" s="152" t="s">
        <v>1327</v>
      </c>
      <c r="N2666" s="152" t="s">
        <v>1327</v>
      </c>
      <c r="O2666" s="152">
        <v>1.507388</v>
      </c>
      <c r="P2666" s="152">
        <v>29.603035999999999</v>
      </c>
      <c r="Q2666" s="152">
        <v>1.507388</v>
      </c>
      <c r="R2666" s="152" t="s">
        <v>1327</v>
      </c>
      <c r="S2666" s="152">
        <v>100.00529899999999</v>
      </c>
      <c r="T2666" s="152">
        <v>0.30684899999999998</v>
      </c>
      <c r="U2666" s="152">
        <v>6.0219000000000002E-2</v>
      </c>
      <c r="V2666" s="152">
        <v>7.2529999999999999E-3</v>
      </c>
      <c r="W2666" s="152">
        <v>1000</v>
      </c>
      <c r="X2666" s="152" t="s">
        <v>23</v>
      </c>
      <c r="Y2666" s="152" t="s">
        <v>1328</v>
      </c>
      <c r="Z2666" s="152" t="s">
        <v>1327</v>
      </c>
    </row>
    <row r="2667" spans="1:26" x14ac:dyDescent="0.2">
      <c r="A2667" s="152" t="s">
        <v>3743</v>
      </c>
      <c r="B2667" s="152">
        <v>1.6</v>
      </c>
      <c r="C2667" s="151">
        <v>43423</v>
      </c>
      <c r="D2667" s="152">
        <v>6.8492999999999998E-2</v>
      </c>
      <c r="E2667" s="152" t="s">
        <v>1325</v>
      </c>
      <c r="F2667" s="152" t="s">
        <v>1326</v>
      </c>
      <c r="G2667" s="152"/>
      <c r="H2667" s="152"/>
      <c r="I2667" s="152" t="s">
        <v>1327</v>
      </c>
      <c r="J2667" s="152" t="s">
        <v>1327</v>
      </c>
      <c r="K2667" s="152" t="s">
        <v>1327</v>
      </c>
      <c r="L2667" s="152" t="s">
        <v>1327</v>
      </c>
      <c r="M2667" s="152" t="s">
        <v>1327</v>
      </c>
      <c r="N2667" s="152" t="s">
        <v>1327</v>
      </c>
      <c r="O2667" s="152">
        <v>1.5240480000000001</v>
      </c>
      <c r="P2667" s="152">
        <v>29.772615999999999</v>
      </c>
      <c r="Q2667" s="152">
        <v>1.5240480000000001</v>
      </c>
      <c r="R2667" s="152" t="s">
        <v>1327</v>
      </c>
      <c r="S2667" s="152">
        <v>100.004881</v>
      </c>
      <c r="T2667" s="152">
        <v>0.30246600000000001</v>
      </c>
      <c r="U2667" s="152">
        <v>6.8421999999999997E-2</v>
      </c>
      <c r="V2667" s="152">
        <v>9.3629999999999998E-3</v>
      </c>
      <c r="W2667" s="152">
        <v>1000</v>
      </c>
      <c r="X2667" s="152" t="s">
        <v>23</v>
      </c>
      <c r="Y2667" s="152" t="s">
        <v>1328</v>
      </c>
      <c r="Z2667" s="152" t="s">
        <v>1327</v>
      </c>
    </row>
    <row r="2668" spans="1:26" x14ac:dyDescent="0.2">
      <c r="A2668" s="152" t="s">
        <v>3744</v>
      </c>
      <c r="B2668" s="152">
        <v>1.59</v>
      </c>
      <c r="C2668" s="151">
        <v>43424</v>
      </c>
      <c r="D2668" s="152">
        <v>7.1233000000000005E-2</v>
      </c>
      <c r="E2668" s="152" t="s">
        <v>1325</v>
      </c>
      <c r="F2668" s="152" t="s">
        <v>1326</v>
      </c>
      <c r="G2668" s="152"/>
      <c r="H2668" s="152"/>
      <c r="I2668" s="152" t="s">
        <v>1327</v>
      </c>
      <c r="J2668" s="152" t="s">
        <v>1327</v>
      </c>
      <c r="K2668" s="152" t="s">
        <v>1327</v>
      </c>
      <c r="L2668" s="152" t="s">
        <v>1327</v>
      </c>
      <c r="M2668" s="152" t="s">
        <v>1327</v>
      </c>
      <c r="N2668" s="152" t="s">
        <v>1327</v>
      </c>
      <c r="O2668" s="152">
        <v>1.529612</v>
      </c>
      <c r="P2668" s="152">
        <v>29.829737999999999</v>
      </c>
      <c r="Q2668" s="152">
        <v>1.529612</v>
      </c>
      <c r="R2668" s="152" t="s">
        <v>1327</v>
      </c>
      <c r="S2668" s="152">
        <v>100.003984</v>
      </c>
      <c r="T2668" s="152">
        <v>0.28750700000000001</v>
      </c>
      <c r="U2668" s="152">
        <v>7.1154999999999996E-2</v>
      </c>
      <c r="V2668" s="152">
        <v>1.0126E-2</v>
      </c>
      <c r="W2668" s="152">
        <v>1000</v>
      </c>
      <c r="X2668" s="152" t="s">
        <v>23</v>
      </c>
      <c r="Y2668" s="152" t="s">
        <v>1328</v>
      </c>
      <c r="Z2668" s="152" t="s">
        <v>1327</v>
      </c>
    </row>
    <row r="2669" spans="1:26" x14ac:dyDescent="0.2">
      <c r="A2669" s="152" t="s">
        <v>3745</v>
      </c>
      <c r="B2669" s="152">
        <v>1.6</v>
      </c>
      <c r="C2669" s="151">
        <v>43425</v>
      </c>
      <c r="D2669" s="152">
        <v>7.3972999999999997E-2</v>
      </c>
      <c r="E2669" s="152" t="s">
        <v>1325</v>
      </c>
      <c r="F2669" s="152" t="s">
        <v>1326</v>
      </c>
      <c r="G2669" s="152"/>
      <c r="H2669" s="152"/>
      <c r="I2669" s="152" t="s">
        <v>1327</v>
      </c>
      <c r="J2669" s="152" t="s">
        <v>1327</v>
      </c>
      <c r="K2669" s="152" t="s">
        <v>1327</v>
      </c>
      <c r="L2669" s="152" t="s">
        <v>1327</v>
      </c>
      <c r="M2669" s="152" t="s">
        <v>1327</v>
      </c>
      <c r="N2669" s="152" t="s">
        <v>1327</v>
      </c>
      <c r="O2669" s="152">
        <v>1.535182</v>
      </c>
      <c r="P2669" s="152">
        <v>29.887256000000001</v>
      </c>
      <c r="Q2669" s="152">
        <v>1.535182</v>
      </c>
      <c r="R2669" s="152" t="s">
        <v>1327</v>
      </c>
      <c r="S2669" s="152">
        <v>100.00446599999999</v>
      </c>
      <c r="T2669" s="152">
        <v>0.28493200000000002</v>
      </c>
      <c r="U2669" s="152">
        <v>7.3888999999999996E-2</v>
      </c>
      <c r="V2669" s="152">
        <v>1.0919E-2</v>
      </c>
      <c r="W2669" s="152">
        <v>1000</v>
      </c>
      <c r="X2669" s="152" t="s">
        <v>23</v>
      </c>
      <c r="Y2669" s="152" t="s">
        <v>1328</v>
      </c>
      <c r="Z2669" s="152" t="s">
        <v>1327</v>
      </c>
    </row>
    <row r="2670" spans="1:26" x14ac:dyDescent="0.2">
      <c r="A2670" s="152" t="s">
        <v>3746</v>
      </c>
      <c r="B2670" s="152">
        <v>1.6</v>
      </c>
      <c r="C2670" s="151">
        <v>43426</v>
      </c>
      <c r="D2670" s="152">
        <v>7.6712000000000002E-2</v>
      </c>
      <c r="E2670" s="152" t="s">
        <v>1325</v>
      </c>
      <c r="F2670" s="152" t="s">
        <v>1326</v>
      </c>
      <c r="G2670" s="152"/>
      <c r="H2670" s="152"/>
      <c r="I2670" s="152" t="s">
        <v>1327</v>
      </c>
      <c r="J2670" s="152" t="s">
        <v>1327</v>
      </c>
      <c r="K2670" s="152" t="s">
        <v>1327</v>
      </c>
      <c r="L2670" s="152" t="s">
        <v>1327</v>
      </c>
      <c r="M2670" s="152" t="s">
        <v>1327</v>
      </c>
      <c r="N2670" s="152" t="s">
        <v>1327</v>
      </c>
      <c r="O2670" s="152">
        <v>1.540756</v>
      </c>
      <c r="P2670" s="152">
        <v>29.945136999999999</v>
      </c>
      <c r="Q2670" s="152">
        <v>1.540756</v>
      </c>
      <c r="R2670" s="152" t="s">
        <v>1327</v>
      </c>
      <c r="S2670" s="152">
        <v>100.00420800000001</v>
      </c>
      <c r="T2670" s="152">
        <v>0.28054800000000002</v>
      </c>
      <c r="U2670" s="152">
        <v>7.6621999999999996E-2</v>
      </c>
      <c r="V2670" s="152">
        <v>1.1742000000000001E-2</v>
      </c>
      <c r="W2670" s="152">
        <v>1000</v>
      </c>
      <c r="X2670" s="152" t="s">
        <v>23</v>
      </c>
      <c r="Y2670" s="152" t="s">
        <v>1328</v>
      </c>
      <c r="Z2670" s="152" t="s">
        <v>1327</v>
      </c>
    </row>
    <row r="2671" spans="1:26" x14ac:dyDescent="0.2">
      <c r="A2671" s="152" t="s">
        <v>3747</v>
      </c>
      <c r="B2671" s="152">
        <v>1.68</v>
      </c>
      <c r="C2671" s="151">
        <v>43475</v>
      </c>
      <c r="D2671" s="152">
        <v>0.21095900000000001</v>
      </c>
      <c r="E2671" s="152" t="s">
        <v>1325</v>
      </c>
      <c r="F2671" s="152" t="s">
        <v>1326</v>
      </c>
      <c r="G2671" s="152"/>
      <c r="H2671" s="152"/>
      <c r="I2671" s="152" t="s">
        <v>1327</v>
      </c>
      <c r="J2671" s="152" t="s">
        <v>1327</v>
      </c>
      <c r="K2671" s="152" t="s">
        <v>1327</v>
      </c>
      <c r="L2671" s="152" t="s">
        <v>1327</v>
      </c>
      <c r="M2671" s="152" t="s">
        <v>1327</v>
      </c>
      <c r="N2671" s="152" t="s">
        <v>1327</v>
      </c>
      <c r="O2671" s="152">
        <v>1.8212029999999999</v>
      </c>
      <c r="P2671" s="152">
        <v>34.78942</v>
      </c>
      <c r="Q2671" s="152">
        <v>1.8212029999999999</v>
      </c>
      <c r="R2671" s="152" t="s">
        <v>1327</v>
      </c>
      <c r="S2671" s="152">
        <v>99.969955999999996</v>
      </c>
      <c r="T2671" s="152">
        <v>9.6657999999999994E-2</v>
      </c>
      <c r="U2671" s="152">
        <v>0.21015200000000001</v>
      </c>
      <c r="V2671" s="152">
        <v>8.8327000000000003E-2</v>
      </c>
      <c r="W2671" s="152">
        <v>1000</v>
      </c>
      <c r="X2671" s="152" t="s">
        <v>23</v>
      </c>
      <c r="Y2671" s="152" t="s">
        <v>1328</v>
      </c>
      <c r="Z2671" s="152" t="s">
        <v>1327</v>
      </c>
    </row>
    <row r="2672" spans="1:26" x14ac:dyDescent="0.2">
      <c r="A2672" s="152" t="s">
        <v>3748</v>
      </c>
      <c r="B2672" s="152">
        <v>0</v>
      </c>
      <c r="C2672" s="151">
        <v>43440</v>
      </c>
      <c r="D2672" s="152">
        <v>0.115068</v>
      </c>
      <c r="E2672" s="152" t="s">
        <v>1325</v>
      </c>
      <c r="F2672" s="152" t="s">
        <v>1326</v>
      </c>
      <c r="G2672" s="152"/>
      <c r="H2672" s="152"/>
      <c r="I2672" s="152" t="s">
        <v>1327</v>
      </c>
      <c r="J2672" s="152" t="s">
        <v>1327</v>
      </c>
      <c r="K2672" s="152" t="s">
        <v>1327</v>
      </c>
      <c r="L2672" s="152" t="s">
        <v>1327</v>
      </c>
      <c r="M2672" s="152" t="s">
        <v>1327</v>
      </c>
      <c r="N2672" s="152" t="s">
        <v>1327</v>
      </c>
      <c r="O2672" s="152">
        <v>1.7034910000000001</v>
      </c>
      <c r="P2672" s="152">
        <v>39.378649000000003</v>
      </c>
      <c r="Q2672" s="152">
        <v>1.7034910000000001</v>
      </c>
      <c r="R2672" s="152" t="s">
        <v>1327</v>
      </c>
      <c r="S2672" s="152">
        <v>99.804365000000004</v>
      </c>
      <c r="T2672" s="152">
        <v>0</v>
      </c>
      <c r="U2672" s="152">
        <v>0.114843</v>
      </c>
      <c r="V2672" s="152">
        <v>2.6377999999999999E-2</v>
      </c>
      <c r="W2672" s="152">
        <v>1000</v>
      </c>
      <c r="X2672" s="152" t="s">
        <v>23</v>
      </c>
      <c r="Y2672" s="152" t="s">
        <v>1921</v>
      </c>
      <c r="Z2672" s="152" t="s">
        <v>1327</v>
      </c>
    </row>
    <row r="2673" spans="1:26" x14ac:dyDescent="0.2">
      <c r="A2673" s="152" t="s">
        <v>3749</v>
      </c>
      <c r="B2673" s="152">
        <v>0</v>
      </c>
      <c r="C2673" s="151">
        <v>43445</v>
      </c>
      <c r="D2673" s="152">
        <v>0.12876699999999999</v>
      </c>
      <c r="E2673" s="152" t="s">
        <v>1325</v>
      </c>
      <c r="F2673" s="152" t="s">
        <v>1326</v>
      </c>
      <c r="G2673" s="152"/>
      <c r="H2673" s="152"/>
      <c r="I2673" s="152" t="s">
        <v>1327</v>
      </c>
      <c r="J2673" s="152" t="s">
        <v>1327</v>
      </c>
      <c r="K2673" s="152" t="s">
        <v>1327</v>
      </c>
      <c r="L2673" s="152" t="s">
        <v>1327</v>
      </c>
      <c r="M2673" s="152" t="s">
        <v>1327</v>
      </c>
      <c r="N2673" s="152" t="s">
        <v>1327</v>
      </c>
      <c r="O2673" s="152">
        <v>1.729174</v>
      </c>
      <c r="P2673" s="152">
        <v>39.489575000000002</v>
      </c>
      <c r="Q2673" s="152">
        <v>1.729174</v>
      </c>
      <c r="R2673" s="152" t="s">
        <v>1327</v>
      </c>
      <c r="S2673" s="152">
        <v>99.777833999999999</v>
      </c>
      <c r="T2673" s="152">
        <v>0</v>
      </c>
      <c r="U2673" s="152">
        <v>0.12848100000000001</v>
      </c>
      <c r="V2673" s="152">
        <v>3.3015000000000003E-2</v>
      </c>
      <c r="W2673" s="152">
        <v>1000</v>
      </c>
      <c r="X2673" s="152" t="s">
        <v>23</v>
      </c>
      <c r="Y2673" s="152" t="s">
        <v>1921</v>
      </c>
      <c r="Z2673" s="152" t="s">
        <v>1327</v>
      </c>
    </row>
    <row r="2674" spans="1:26" x14ac:dyDescent="0.2">
      <c r="A2674" s="152" t="s">
        <v>3750</v>
      </c>
      <c r="B2674" s="152">
        <v>0</v>
      </c>
      <c r="C2674" s="151">
        <v>43404</v>
      </c>
      <c r="D2674" s="152">
        <v>1.6438000000000001E-2</v>
      </c>
      <c r="E2674" s="152" t="s">
        <v>1325</v>
      </c>
      <c r="F2674" s="152" t="s">
        <v>1326</v>
      </c>
      <c r="G2674" s="152"/>
      <c r="H2674" s="152"/>
      <c r="I2674" s="152" t="s">
        <v>1327</v>
      </c>
      <c r="J2674" s="152" t="s">
        <v>1327</v>
      </c>
      <c r="K2674" s="152" t="s">
        <v>1327</v>
      </c>
      <c r="L2674" s="152" t="s">
        <v>1327</v>
      </c>
      <c r="M2674" s="152" t="s">
        <v>1327</v>
      </c>
      <c r="N2674" s="152" t="s">
        <v>1327</v>
      </c>
      <c r="O2674" s="152">
        <v>1.593861</v>
      </c>
      <c r="P2674" s="152">
        <v>46.386552999999999</v>
      </c>
      <c r="Q2674" s="152">
        <v>1.593861</v>
      </c>
      <c r="R2674" s="152" t="s">
        <v>1327</v>
      </c>
      <c r="S2674" s="152">
        <v>99.973805999999996</v>
      </c>
      <c r="T2674" s="152">
        <v>0</v>
      </c>
      <c r="U2674" s="152">
        <v>1.6434000000000001E-2</v>
      </c>
      <c r="V2674" s="152">
        <v>5.4000000000000001E-4</v>
      </c>
      <c r="W2674" s="152">
        <v>1000</v>
      </c>
      <c r="X2674" s="152" t="s">
        <v>23</v>
      </c>
      <c r="Y2674" s="152" t="s">
        <v>1921</v>
      </c>
      <c r="Z2674" s="152" t="s">
        <v>1327</v>
      </c>
    </row>
    <row r="2675" spans="1:26" x14ac:dyDescent="0.2">
      <c r="A2675" s="152" t="s">
        <v>3751</v>
      </c>
      <c r="B2675" s="152">
        <v>0</v>
      </c>
      <c r="C2675" s="151">
        <v>43500</v>
      </c>
      <c r="D2675" s="152">
        <v>0.27945199999999998</v>
      </c>
      <c r="E2675" s="152" t="s">
        <v>1325</v>
      </c>
      <c r="F2675" s="152" t="s">
        <v>1326</v>
      </c>
      <c r="G2675" s="152"/>
      <c r="H2675" s="152"/>
      <c r="I2675" s="152" t="s">
        <v>1327</v>
      </c>
      <c r="J2675" s="152" t="s">
        <v>1327</v>
      </c>
      <c r="K2675" s="152" t="s">
        <v>1327</v>
      </c>
      <c r="L2675" s="152" t="s">
        <v>1327</v>
      </c>
      <c r="M2675" s="152" t="s">
        <v>1327</v>
      </c>
      <c r="N2675" s="152" t="s">
        <v>1327</v>
      </c>
      <c r="O2675" s="152">
        <v>1.8937200000000001</v>
      </c>
      <c r="P2675" s="152">
        <v>32.560163000000003</v>
      </c>
      <c r="Q2675" s="152">
        <v>1.8937200000000001</v>
      </c>
      <c r="R2675" s="152" t="s">
        <v>1327</v>
      </c>
      <c r="S2675" s="152">
        <v>99.473581999999993</v>
      </c>
      <c r="T2675" s="152">
        <v>0</v>
      </c>
      <c r="U2675" s="152">
        <v>0.27798099999999998</v>
      </c>
      <c r="V2675" s="152">
        <v>0.15454699999999999</v>
      </c>
      <c r="W2675" s="152">
        <v>1000</v>
      </c>
      <c r="X2675" s="152" t="s">
        <v>23</v>
      </c>
      <c r="Y2675" s="152" t="s">
        <v>1921</v>
      </c>
      <c r="Z2675" s="152" t="s">
        <v>1327</v>
      </c>
    </row>
    <row r="2676" spans="1:26" x14ac:dyDescent="0.2">
      <c r="A2676" s="152" t="s">
        <v>3752</v>
      </c>
      <c r="B2676" s="152">
        <v>0</v>
      </c>
      <c r="C2676" s="151">
        <v>43453</v>
      </c>
      <c r="D2676" s="152">
        <v>0.15068500000000001</v>
      </c>
      <c r="E2676" s="152" t="s">
        <v>1325</v>
      </c>
      <c r="F2676" s="152" t="s">
        <v>1326</v>
      </c>
      <c r="G2676" s="152" t="s">
        <v>3753</v>
      </c>
      <c r="H2676" s="152"/>
      <c r="I2676" s="152" t="s">
        <v>1327</v>
      </c>
      <c r="J2676" s="152" t="s">
        <v>1327</v>
      </c>
      <c r="K2676" s="152" t="s">
        <v>1327</v>
      </c>
      <c r="L2676" s="152" t="s">
        <v>1327</v>
      </c>
      <c r="M2676" s="152" t="s">
        <v>1327</v>
      </c>
      <c r="N2676" s="152" t="s">
        <v>1327</v>
      </c>
      <c r="O2676" s="152">
        <v>1.4496519999999999</v>
      </c>
      <c r="P2676" s="152">
        <v>7.2319259999999996</v>
      </c>
      <c r="Q2676" s="152">
        <v>1.4496519999999999</v>
      </c>
      <c r="R2676" s="152" t="s">
        <v>1327</v>
      </c>
      <c r="S2676" s="152">
        <v>99.782034999999993</v>
      </c>
      <c r="T2676" s="152">
        <v>0</v>
      </c>
      <c r="U2676" s="152">
        <v>0.15035599999999999</v>
      </c>
      <c r="V2676" s="152">
        <v>4.5213999999999997E-2</v>
      </c>
      <c r="W2676" s="152">
        <v>1000</v>
      </c>
      <c r="X2676" s="152" t="s">
        <v>23</v>
      </c>
      <c r="Y2676" s="152" t="s">
        <v>1328</v>
      </c>
      <c r="Z2676" s="152" t="s">
        <v>1327</v>
      </c>
    </row>
    <row r="2677" spans="1:26" x14ac:dyDescent="0.2">
      <c r="A2677" s="152" t="s">
        <v>3754</v>
      </c>
      <c r="B2677" s="152">
        <v>0</v>
      </c>
      <c r="C2677" s="151">
        <v>43483</v>
      </c>
      <c r="D2677" s="152">
        <v>0.232877</v>
      </c>
      <c r="E2677" s="152" t="s">
        <v>1325</v>
      </c>
      <c r="F2677" s="152" t="s">
        <v>1326</v>
      </c>
      <c r="G2677" s="152" t="s">
        <v>3753</v>
      </c>
      <c r="H2677" s="152"/>
      <c r="I2677" s="152" t="s">
        <v>1327</v>
      </c>
      <c r="J2677" s="152" t="s">
        <v>1327</v>
      </c>
      <c r="K2677" s="152" t="s">
        <v>1327</v>
      </c>
      <c r="L2677" s="152" t="s">
        <v>1327</v>
      </c>
      <c r="M2677" s="152" t="s">
        <v>1327</v>
      </c>
      <c r="N2677" s="152" t="s">
        <v>1327</v>
      </c>
      <c r="O2677" s="152">
        <v>1.5964020000000001</v>
      </c>
      <c r="P2677" s="152">
        <v>8.6856480000000005</v>
      </c>
      <c r="Q2677" s="152">
        <v>1.5964020000000001</v>
      </c>
      <c r="R2677" s="152" t="s">
        <v>1327</v>
      </c>
      <c r="S2677" s="152">
        <v>99.629611999999995</v>
      </c>
      <c r="T2677" s="152">
        <v>0</v>
      </c>
      <c r="U2677" s="152">
        <v>0.232014</v>
      </c>
      <c r="V2677" s="152">
        <v>0.10766100000000001</v>
      </c>
      <c r="W2677" s="152">
        <v>1000</v>
      </c>
      <c r="X2677" s="152" t="s">
        <v>23</v>
      </c>
      <c r="Y2677" s="152" t="s">
        <v>1328</v>
      </c>
      <c r="Z2677" s="152" t="s">
        <v>1327</v>
      </c>
    </row>
    <row r="2678" spans="1:26" x14ac:dyDescent="0.2">
      <c r="A2678" s="152" t="s">
        <v>3755</v>
      </c>
      <c r="B2678" s="152">
        <v>0</v>
      </c>
      <c r="C2678" s="151">
        <v>43486</v>
      </c>
      <c r="D2678" s="152">
        <v>0.241096</v>
      </c>
      <c r="E2678" s="152" t="s">
        <v>1325</v>
      </c>
      <c r="F2678" s="152" t="s">
        <v>1326</v>
      </c>
      <c r="G2678" s="152" t="s">
        <v>3753</v>
      </c>
      <c r="H2678" s="152"/>
      <c r="I2678" s="152" t="s">
        <v>1327</v>
      </c>
      <c r="J2678" s="152" t="s">
        <v>1327</v>
      </c>
      <c r="K2678" s="152" t="s">
        <v>1327</v>
      </c>
      <c r="L2678" s="152" t="s">
        <v>1327</v>
      </c>
      <c r="M2678" s="152" t="s">
        <v>1327</v>
      </c>
      <c r="N2678" s="152" t="s">
        <v>1327</v>
      </c>
      <c r="O2678" s="152">
        <v>1.6043750000000001</v>
      </c>
      <c r="P2678" s="152">
        <v>8.3082460000000005</v>
      </c>
      <c r="Q2678" s="152">
        <v>1.6043750000000001</v>
      </c>
      <c r="R2678" s="152" t="s">
        <v>1327</v>
      </c>
      <c r="S2678" s="152">
        <v>99.614682000000002</v>
      </c>
      <c r="T2678" s="152">
        <v>0</v>
      </c>
      <c r="U2678" s="152">
        <v>0.24016699999999999</v>
      </c>
      <c r="V2678" s="152">
        <v>0.11536</v>
      </c>
      <c r="W2678" s="152">
        <v>1000</v>
      </c>
      <c r="X2678" s="152" t="s">
        <v>23</v>
      </c>
      <c r="Y2678" s="152" t="s">
        <v>1328</v>
      </c>
      <c r="Z2678" s="152" t="s">
        <v>1327</v>
      </c>
    </row>
    <row r="2679" spans="1:26" x14ac:dyDescent="0.2">
      <c r="A2679" s="152" t="s">
        <v>3756</v>
      </c>
      <c r="B2679" s="152">
        <v>0</v>
      </c>
      <c r="C2679" s="151">
        <v>43487</v>
      </c>
      <c r="D2679" s="152">
        <v>0.243836</v>
      </c>
      <c r="E2679" s="152" t="s">
        <v>1325</v>
      </c>
      <c r="F2679" s="152" t="s">
        <v>1326</v>
      </c>
      <c r="G2679" s="152" t="s">
        <v>3753</v>
      </c>
      <c r="H2679" s="152"/>
      <c r="I2679" s="152" t="s">
        <v>1327</v>
      </c>
      <c r="J2679" s="152" t="s">
        <v>1327</v>
      </c>
      <c r="K2679" s="152" t="s">
        <v>1327</v>
      </c>
      <c r="L2679" s="152" t="s">
        <v>1327</v>
      </c>
      <c r="M2679" s="152" t="s">
        <v>1327</v>
      </c>
      <c r="N2679" s="152" t="s">
        <v>1327</v>
      </c>
      <c r="O2679" s="152">
        <v>1.6070390000000001</v>
      </c>
      <c r="P2679" s="152">
        <v>8.1908510000000003</v>
      </c>
      <c r="Q2679" s="152">
        <v>1.6070390000000001</v>
      </c>
      <c r="R2679" s="152" t="s">
        <v>1327</v>
      </c>
      <c r="S2679" s="152">
        <v>99.609675999999993</v>
      </c>
      <c r="T2679" s="152">
        <v>0</v>
      </c>
      <c r="U2679" s="152">
        <v>0.24288399999999999</v>
      </c>
      <c r="V2679" s="152">
        <v>0.11798500000000001</v>
      </c>
      <c r="W2679" s="152">
        <v>1000</v>
      </c>
      <c r="X2679" s="152" t="s">
        <v>23</v>
      </c>
      <c r="Y2679" s="152" t="s">
        <v>1328</v>
      </c>
      <c r="Z2679" s="152" t="s">
        <v>1327</v>
      </c>
    </row>
    <row r="2680" spans="1:26" x14ac:dyDescent="0.2">
      <c r="A2680" s="152" t="s">
        <v>3757</v>
      </c>
      <c r="B2680" s="152">
        <v>0</v>
      </c>
      <c r="C2680" s="151">
        <v>43490</v>
      </c>
      <c r="D2680" s="152">
        <v>0.25205499999999997</v>
      </c>
      <c r="E2680" s="152" t="s">
        <v>1325</v>
      </c>
      <c r="F2680" s="152" t="s">
        <v>1326</v>
      </c>
      <c r="G2680" s="152" t="s">
        <v>3753</v>
      </c>
      <c r="H2680" s="152"/>
      <c r="I2680" s="152" t="s">
        <v>1327</v>
      </c>
      <c r="J2680" s="152" t="s">
        <v>1327</v>
      </c>
      <c r="K2680" s="152" t="s">
        <v>1327</v>
      </c>
      <c r="L2680" s="152" t="s">
        <v>1327</v>
      </c>
      <c r="M2680" s="152" t="s">
        <v>1327</v>
      </c>
      <c r="N2680" s="152" t="s">
        <v>1327</v>
      </c>
      <c r="O2680" s="152">
        <v>1.6150329999999999</v>
      </c>
      <c r="P2680" s="152">
        <v>7.8633329999999999</v>
      </c>
      <c r="Q2680" s="152">
        <v>1.6150329999999999</v>
      </c>
      <c r="R2680" s="152" t="s">
        <v>1327</v>
      </c>
      <c r="S2680" s="152">
        <v>99.594573999999994</v>
      </c>
      <c r="T2680" s="152">
        <v>0</v>
      </c>
      <c r="U2680" s="152">
        <v>0.25103300000000001</v>
      </c>
      <c r="V2680" s="152">
        <v>0.12603500000000001</v>
      </c>
      <c r="W2680" s="152">
        <v>1000</v>
      </c>
      <c r="X2680" s="152" t="s">
        <v>23</v>
      </c>
      <c r="Y2680" s="152" t="s">
        <v>1328</v>
      </c>
      <c r="Z2680" s="152" t="s">
        <v>1327</v>
      </c>
    </row>
    <row r="2681" spans="1:26" x14ac:dyDescent="0.2">
      <c r="A2681" s="152" t="s">
        <v>3758</v>
      </c>
      <c r="B2681" s="152">
        <v>0</v>
      </c>
      <c r="C2681" s="151">
        <v>43516</v>
      </c>
      <c r="D2681" s="152">
        <v>0.32328800000000002</v>
      </c>
      <c r="E2681" s="152" t="s">
        <v>1325</v>
      </c>
      <c r="F2681" s="152" t="s">
        <v>1326</v>
      </c>
      <c r="G2681" s="152" t="s">
        <v>3753</v>
      </c>
      <c r="H2681" s="152"/>
      <c r="I2681" s="152" t="s">
        <v>1327</v>
      </c>
      <c r="J2681" s="152" t="s">
        <v>1327</v>
      </c>
      <c r="K2681" s="152" t="s">
        <v>1327</v>
      </c>
      <c r="L2681" s="152" t="s">
        <v>1327</v>
      </c>
      <c r="M2681" s="152" t="s">
        <v>1327</v>
      </c>
      <c r="N2681" s="152" t="s">
        <v>1327</v>
      </c>
      <c r="O2681" s="152">
        <v>1.6840200000000001</v>
      </c>
      <c r="P2681" s="152">
        <v>6.4604509999999999</v>
      </c>
      <c r="Q2681" s="152">
        <v>1.6840200000000001</v>
      </c>
      <c r="R2681" s="152" t="s">
        <v>1327</v>
      </c>
      <c r="S2681" s="152">
        <v>99.458524999999995</v>
      </c>
      <c r="T2681" s="152">
        <v>0</v>
      </c>
      <c r="U2681" s="152">
        <v>0.32153700000000002</v>
      </c>
      <c r="V2681" s="152">
        <v>0.20677200000000001</v>
      </c>
      <c r="W2681" s="152">
        <v>1000</v>
      </c>
      <c r="X2681" s="152" t="s">
        <v>23</v>
      </c>
      <c r="Y2681" s="152" t="s">
        <v>1328</v>
      </c>
      <c r="Z2681" s="152" t="s">
        <v>1327</v>
      </c>
    </row>
    <row r="2682" spans="1:26" x14ac:dyDescent="0.2">
      <c r="A2682" s="152" t="s">
        <v>3759</v>
      </c>
      <c r="B2682" s="152">
        <v>0</v>
      </c>
      <c r="C2682" s="151">
        <v>43517</v>
      </c>
      <c r="D2682" s="152">
        <v>0.32602700000000001</v>
      </c>
      <c r="E2682" s="152" t="s">
        <v>1325</v>
      </c>
      <c r="F2682" s="152" t="s">
        <v>1326</v>
      </c>
      <c r="G2682" s="152" t="s">
        <v>3753</v>
      </c>
      <c r="H2682" s="152"/>
      <c r="I2682" s="152" t="s">
        <v>1327</v>
      </c>
      <c r="J2682" s="152" t="s">
        <v>1327</v>
      </c>
      <c r="K2682" s="152" t="s">
        <v>1327</v>
      </c>
      <c r="L2682" s="152" t="s">
        <v>1327</v>
      </c>
      <c r="M2682" s="152" t="s">
        <v>1327</v>
      </c>
      <c r="N2682" s="152" t="s">
        <v>1327</v>
      </c>
      <c r="O2682" s="152">
        <v>1.6866559999999999</v>
      </c>
      <c r="P2682" s="152">
        <v>6.4534409999999998</v>
      </c>
      <c r="Q2682" s="152">
        <v>1.6866559999999999</v>
      </c>
      <c r="R2682" s="152" t="s">
        <v>1327</v>
      </c>
      <c r="S2682" s="152">
        <v>99.453111000000007</v>
      </c>
      <c r="T2682" s="152">
        <v>0</v>
      </c>
      <c r="U2682" s="152">
        <v>0.32424399999999998</v>
      </c>
      <c r="V2682" s="152">
        <v>0.21026900000000001</v>
      </c>
      <c r="W2682" s="152">
        <v>1000</v>
      </c>
      <c r="X2682" s="152" t="s">
        <v>23</v>
      </c>
      <c r="Y2682" s="152" t="s">
        <v>1328</v>
      </c>
      <c r="Z2682" s="152" t="s">
        <v>1327</v>
      </c>
    </row>
    <row r="2683" spans="1:26" x14ac:dyDescent="0.2">
      <c r="A2683" s="152" t="s">
        <v>3760</v>
      </c>
      <c r="B2683" s="152">
        <v>0</v>
      </c>
      <c r="C2683" s="151">
        <v>43523</v>
      </c>
      <c r="D2683" s="152">
        <v>0.34246599999999999</v>
      </c>
      <c r="E2683" s="152" t="s">
        <v>1325</v>
      </c>
      <c r="F2683" s="152" t="s">
        <v>1326</v>
      </c>
      <c r="G2683" s="152" t="s">
        <v>3753</v>
      </c>
      <c r="H2683" s="152"/>
      <c r="I2683" s="152" t="s">
        <v>1327</v>
      </c>
      <c r="J2683" s="152" t="s">
        <v>1327</v>
      </c>
      <c r="K2683" s="152" t="s">
        <v>1327</v>
      </c>
      <c r="L2683" s="152" t="s">
        <v>1327</v>
      </c>
      <c r="M2683" s="152" t="s">
        <v>1327</v>
      </c>
      <c r="N2683" s="152" t="s">
        <v>1327</v>
      </c>
      <c r="O2683" s="152">
        <v>1.702447</v>
      </c>
      <c r="P2683" s="152">
        <v>6.4777370000000003</v>
      </c>
      <c r="Q2683" s="152">
        <v>1.702447</v>
      </c>
      <c r="R2683" s="152" t="s">
        <v>1327</v>
      </c>
      <c r="S2683" s="152">
        <v>99.420349999999999</v>
      </c>
      <c r="T2683" s="152">
        <v>0</v>
      </c>
      <c r="U2683" s="152">
        <v>0.34048099999999998</v>
      </c>
      <c r="V2683" s="152">
        <v>0.231854</v>
      </c>
      <c r="W2683" s="152">
        <v>1000</v>
      </c>
      <c r="X2683" s="152" t="s">
        <v>23</v>
      </c>
      <c r="Y2683" s="152" t="s">
        <v>1328</v>
      </c>
      <c r="Z2683" s="152" t="s">
        <v>1327</v>
      </c>
    </row>
    <row r="2684" spans="1:26" x14ac:dyDescent="0.2">
      <c r="A2684" s="152" t="s">
        <v>3761</v>
      </c>
      <c r="B2684" s="152">
        <v>0</v>
      </c>
      <c r="C2684" s="151">
        <v>43546</v>
      </c>
      <c r="D2684" s="152">
        <v>0.40547899999999998</v>
      </c>
      <c r="E2684" s="152" t="s">
        <v>1325</v>
      </c>
      <c r="F2684" s="152" t="s">
        <v>1326</v>
      </c>
      <c r="G2684" s="152" t="s">
        <v>3753</v>
      </c>
      <c r="H2684" s="152"/>
      <c r="I2684" s="152" t="s">
        <v>1327</v>
      </c>
      <c r="J2684" s="152" t="s">
        <v>1327</v>
      </c>
      <c r="K2684" s="152" t="s">
        <v>1327</v>
      </c>
      <c r="L2684" s="152" t="s">
        <v>1327</v>
      </c>
      <c r="M2684" s="152" t="s">
        <v>1327</v>
      </c>
      <c r="N2684" s="152" t="s">
        <v>1327</v>
      </c>
      <c r="O2684" s="152">
        <v>1.762337</v>
      </c>
      <c r="P2684" s="152">
        <v>7.5073720000000002</v>
      </c>
      <c r="Q2684" s="152">
        <v>1.762337</v>
      </c>
      <c r="R2684" s="152" t="s">
        <v>1327</v>
      </c>
      <c r="S2684" s="152">
        <v>99.290479000000005</v>
      </c>
      <c r="T2684" s="152">
        <v>0</v>
      </c>
      <c r="U2684" s="152">
        <v>0.40260200000000002</v>
      </c>
      <c r="V2684" s="152">
        <v>0.32417800000000002</v>
      </c>
      <c r="W2684" s="152">
        <v>1000</v>
      </c>
      <c r="X2684" s="152" t="s">
        <v>23</v>
      </c>
      <c r="Y2684" s="152" t="s">
        <v>1328</v>
      </c>
      <c r="Z2684" s="152" t="s">
        <v>1327</v>
      </c>
    </row>
    <row r="2685" spans="1:26" x14ac:dyDescent="0.2">
      <c r="A2685" s="152" t="s">
        <v>3762</v>
      </c>
      <c r="B2685" s="152">
        <v>0</v>
      </c>
      <c r="C2685" s="151">
        <v>43553</v>
      </c>
      <c r="D2685" s="152">
        <v>0.42465799999999998</v>
      </c>
      <c r="E2685" s="152" t="s">
        <v>1325</v>
      </c>
      <c r="F2685" s="152" t="s">
        <v>1326</v>
      </c>
      <c r="G2685" s="152" t="s">
        <v>3753</v>
      </c>
      <c r="H2685" s="152"/>
      <c r="I2685" s="152" t="s">
        <v>1327</v>
      </c>
      <c r="J2685" s="152" t="s">
        <v>1327</v>
      </c>
      <c r="K2685" s="152" t="s">
        <v>1327</v>
      </c>
      <c r="L2685" s="152" t="s">
        <v>1327</v>
      </c>
      <c r="M2685" s="152" t="s">
        <v>1327</v>
      </c>
      <c r="N2685" s="152" t="s">
        <v>1327</v>
      </c>
      <c r="O2685" s="152">
        <v>1.780319</v>
      </c>
      <c r="P2685" s="152">
        <v>8.0751460000000002</v>
      </c>
      <c r="Q2685" s="152">
        <v>1.780319</v>
      </c>
      <c r="R2685" s="152" t="s">
        <v>1327</v>
      </c>
      <c r="S2685" s="152">
        <v>99.249646999999996</v>
      </c>
      <c r="T2685" s="152">
        <v>0</v>
      </c>
      <c r="U2685" s="152">
        <v>0.42147099999999998</v>
      </c>
      <c r="V2685" s="152">
        <v>0.35527599999999998</v>
      </c>
      <c r="W2685" s="152">
        <v>1000</v>
      </c>
      <c r="X2685" s="152" t="s">
        <v>23</v>
      </c>
      <c r="Y2685" s="152" t="s">
        <v>1328</v>
      </c>
      <c r="Z2685" s="152" t="s">
        <v>1327</v>
      </c>
    </row>
    <row r="2686" spans="1:26" x14ac:dyDescent="0.2">
      <c r="A2686" s="152" t="s">
        <v>3763</v>
      </c>
      <c r="B2686" s="152">
        <v>0</v>
      </c>
      <c r="C2686" s="151">
        <v>43445</v>
      </c>
      <c r="D2686" s="152">
        <v>0.12876699999999999</v>
      </c>
      <c r="E2686" s="152" t="s">
        <v>1325</v>
      </c>
      <c r="F2686" s="152" t="s">
        <v>1326</v>
      </c>
      <c r="G2686" s="152"/>
      <c r="H2686" s="152"/>
      <c r="I2686" s="151" t="s">
        <v>1327</v>
      </c>
      <c r="J2686" s="152" t="s">
        <v>1327</v>
      </c>
      <c r="K2686" s="152" t="s">
        <v>1327</v>
      </c>
      <c r="L2686" s="152" t="s">
        <v>1327</v>
      </c>
      <c r="M2686" s="152" t="s">
        <v>1327</v>
      </c>
      <c r="N2686" s="152" t="s">
        <v>1327</v>
      </c>
      <c r="O2686" s="152">
        <v>1.645294</v>
      </c>
      <c r="P2686" s="152">
        <v>30.977487</v>
      </c>
      <c r="Q2686" s="152">
        <v>1.645294</v>
      </c>
      <c r="R2686" s="152" t="s">
        <v>1327</v>
      </c>
      <c r="S2686" s="152">
        <v>99.788588000000004</v>
      </c>
      <c r="T2686" s="152">
        <v>0</v>
      </c>
      <c r="U2686" s="152">
        <v>0.128495</v>
      </c>
      <c r="V2686" s="152">
        <v>3.3022000000000003E-2</v>
      </c>
      <c r="W2686" s="152">
        <v>1000</v>
      </c>
      <c r="X2686" s="152" t="s">
        <v>23</v>
      </c>
      <c r="Y2686" s="152" t="s">
        <v>1921</v>
      </c>
      <c r="Z2686" s="152" t="s">
        <v>1327</v>
      </c>
    </row>
    <row r="2687" spans="1:26" x14ac:dyDescent="0.2">
      <c r="A2687" s="152" t="s">
        <v>3764</v>
      </c>
      <c r="B2687" s="152">
        <v>0</v>
      </c>
      <c r="C2687" s="151">
        <v>43448</v>
      </c>
      <c r="D2687" s="152">
        <v>0.136986</v>
      </c>
      <c r="E2687" s="152" t="s">
        <v>1325</v>
      </c>
      <c r="F2687" s="152" t="s">
        <v>1326</v>
      </c>
      <c r="G2687" s="152"/>
      <c r="H2687" s="152"/>
      <c r="I2687" s="152" t="s">
        <v>1327</v>
      </c>
      <c r="J2687" s="152" t="s">
        <v>1327</v>
      </c>
      <c r="K2687" s="152" t="s">
        <v>1327</v>
      </c>
      <c r="L2687" s="152" t="s">
        <v>1327</v>
      </c>
      <c r="M2687" s="152" t="s">
        <v>1327</v>
      </c>
      <c r="N2687" s="152" t="s">
        <v>1327</v>
      </c>
      <c r="O2687" s="152">
        <v>1.661605</v>
      </c>
      <c r="P2687" s="152">
        <v>31.149712000000001</v>
      </c>
      <c r="Q2687" s="152">
        <v>1.661605</v>
      </c>
      <c r="R2687" s="152" t="s">
        <v>1327</v>
      </c>
      <c r="S2687" s="152">
        <v>99.772900000000007</v>
      </c>
      <c r="T2687" s="152">
        <v>0</v>
      </c>
      <c r="U2687" s="152">
        <v>0.13667499999999999</v>
      </c>
      <c r="V2687" s="152">
        <v>3.7359999999999997E-2</v>
      </c>
      <c r="W2687" s="152">
        <v>1000</v>
      </c>
      <c r="X2687" s="152" t="s">
        <v>23</v>
      </c>
      <c r="Y2687" s="152" t="s">
        <v>1921</v>
      </c>
      <c r="Z2687" s="152" t="s">
        <v>1327</v>
      </c>
    </row>
    <row r="2688" spans="1:26" x14ac:dyDescent="0.2">
      <c r="A2688" s="152" t="s">
        <v>3765</v>
      </c>
      <c r="B2688" s="152">
        <v>0</v>
      </c>
      <c r="C2688" s="151">
        <v>43452</v>
      </c>
      <c r="D2688" s="152">
        <v>0.14794499999999999</v>
      </c>
      <c r="E2688" s="152" t="s">
        <v>1325</v>
      </c>
      <c r="F2688" s="152" t="s">
        <v>1326</v>
      </c>
      <c r="G2688" s="152"/>
      <c r="H2688" s="152"/>
      <c r="I2688" s="152" t="s">
        <v>1327</v>
      </c>
      <c r="J2688" s="152" t="s">
        <v>1327</v>
      </c>
      <c r="K2688" s="152" t="s">
        <v>1327</v>
      </c>
      <c r="L2688" s="152" t="s">
        <v>1327</v>
      </c>
      <c r="M2688" s="152" t="s">
        <v>1327</v>
      </c>
      <c r="N2688" s="152" t="s">
        <v>1327</v>
      </c>
      <c r="O2688" s="152">
        <v>1.683438</v>
      </c>
      <c r="P2688" s="152">
        <v>31.408249999999999</v>
      </c>
      <c r="Q2688" s="152">
        <v>1.683438</v>
      </c>
      <c r="R2688" s="152" t="s">
        <v>1327</v>
      </c>
      <c r="S2688" s="152">
        <v>99.751562000000007</v>
      </c>
      <c r="T2688" s="152">
        <v>0</v>
      </c>
      <c r="U2688" s="152">
        <v>0.14757799999999999</v>
      </c>
      <c r="V2688" s="152">
        <v>4.3557999999999999E-2</v>
      </c>
      <c r="W2688" s="152">
        <v>1000</v>
      </c>
      <c r="X2688" s="152" t="s">
        <v>23</v>
      </c>
      <c r="Y2688" s="152" t="s">
        <v>1921</v>
      </c>
      <c r="Z2688" s="152" t="s">
        <v>1327</v>
      </c>
    </row>
    <row r="2689" spans="1:26" x14ac:dyDescent="0.2">
      <c r="A2689" s="152" t="s">
        <v>3766</v>
      </c>
      <c r="B2689" s="152">
        <v>0</v>
      </c>
      <c r="C2689" s="151">
        <v>43409</v>
      </c>
      <c r="D2689" s="152">
        <v>3.0137000000000001E-2</v>
      </c>
      <c r="E2689" s="152" t="s">
        <v>1325</v>
      </c>
      <c r="F2689" s="152" t="s">
        <v>1326</v>
      </c>
      <c r="G2689" s="152"/>
      <c r="H2689" s="152"/>
      <c r="I2689" s="152" t="s">
        <v>1327</v>
      </c>
      <c r="J2689" s="152" t="s">
        <v>1327</v>
      </c>
      <c r="K2689" s="152" t="s">
        <v>1327</v>
      </c>
      <c r="L2689" s="152" t="s">
        <v>1327</v>
      </c>
      <c r="M2689" s="152" t="s">
        <v>1327</v>
      </c>
      <c r="N2689" s="152" t="s">
        <v>1327</v>
      </c>
      <c r="O2689" s="152">
        <v>1.5018290000000001</v>
      </c>
      <c r="P2689" s="152">
        <v>34.568511000000001</v>
      </c>
      <c r="Q2689" s="152">
        <v>1.5018290000000001</v>
      </c>
      <c r="R2689" s="152" t="s">
        <v>1327</v>
      </c>
      <c r="S2689" s="152">
        <v>99.954759999999993</v>
      </c>
      <c r="T2689" s="152">
        <v>0</v>
      </c>
      <c r="U2689" s="152">
        <v>3.0123E-2</v>
      </c>
      <c r="V2689" s="152">
        <v>1.815E-3</v>
      </c>
      <c r="W2689" s="152">
        <v>1000</v>
      </c>
      <c r="X2689" s="152" t="s">
        <v>23</v>
      </c>
      <c r="Y2689" s="152" t="s">
        <v>1921</v>
      </c>
      <c r="Z2689" s="152" t="s">
        <v>1327</v>
      </c>
    </row>
    <row r="2690" spans="1:26" x14ac:dyDescent="0.2">
      <c r="A2690" s="152" t="s">
        <v>3767</v>
      </c>
      <c r="B2690" s="152">
        <v>0</v>
      </c>
      <c r="C2690" s="151">
        <v>43409</v>
      </c>
      <c r="D2690" s="152">
        <v>3.0137000000000001E-2</v>
      </c>
      <c r="E2690" s="152" t="s">
        <v>1325</v>
      </c>
      <c r="F2690" s="152" t="s">
        <v>1326</v>
      </c>
      <c r="G2690" s="152"/>
      <c r="H2690" s="152"/>
      <c r="I2690" s="152" t="s">
        <v>1327</v>
      </c>
      <c r="J2690" s="152" t="s">
        <v>1327</v>
      </c>
      <c r="K2690" s="152" t="s">
        <v>1327</v>
      </c>
      <c r="L2690" s="152" t="s">
        <v>1327</v>
      </c>
      <c r="M2690" s="152" t="s">
        <v>1327</v>
      </c>
      <c r="N2690" s="152" t="s">
        <v>1327</v>
      </c>
      <c r="O2690" s="152">
        <v>1.5018290000000001</v>
      </c>
      <c r="P2690" s="152">
        <v>34.568511000000001</v>
      </c>
      <c r="Q2690" s="152">
        <v>1.5018290000000001</v>
      </c>
      <c r="R2690" s="152" t="s">
        <v>1327</v>
      </c>
      <c r="S2690" s="152">
        <v>99.954759999999993</v>
      </c>
      <c r="T2690" s="152">
        <v>0</v>
      </c>
      <c r="U2690" s="152">
        <v>3.0123E-2</v>
      </c>
      <c r="V2690" s="152">
        <v>1.815E-3</v>
      </c>
      <c r="W2690" s="152">
        <v>1000</v>
      </c>
      <c r="X2690" s="152" t="s">
        <v>23</v>
      </c>
      <c r="Y2690" s="152" t="s">
        <v>1921</v>
      </c>
      <c r="Z2690" s="152" t="s">
        <v>1327</v>
      </c>
    </row>
    <row r="2691" spans="1:26" x14ac:dyDescent="0.2">
      <c r="A2691" s="152" t="s">
        <v>3768</v>
      </c>
      <c r="B2691" s="152">
        <v>0</v>
      </c>
      <c r="C2691" s="151">
        <v>43416</v>
      </c>
      <c r="D2691" s="152">
        <v>4.9314999999999998E-2</v>
      </c>
      <c r="E2691" s="152" t="s">
        <v>1325</v>
      </c>
      <c r="F2691" s="152" t="s">
        <v>1326</v>
      </c>
      <c r="G2691" s="152"/>
      <c r="H2691" s="152"/>
      <c r="I2691" s="152" t="s">
        <v>1327</v>
      </c>
      <c r="J2691" s="152" t="s">
        <v>1327</v>
      </c>
      <c r="K2691" s="152" t="s">
        <v>1327</v>
      </c>
      <c r="L2691" s="152" t="s">
        <v>1327</v>
      </c>
      <c r="M2691" s="152" t="s">
        <v>1327</v>
      </c>
      <c r="N2691" s="152" t="s">
        <v>1327</v>
      </c>
      <c r="O2691" s="152">
        <v>1.5010269999999999</v>
      </c>
      <c r="P2691" s="152">
        <v>30.978615999999999</v>
      </c>
      <c r="Q2691" s="152">
        <v>1.5010269999999999</v>
      </c>
      <c r="R2691" s="152" t="s">
        <v>1327</v>
      </c>
      <c r="S2691" s="152">
        <v>99.926032000000006</v>
      </c>
      <c r="T2691" s="152">
        <v>0</v>
      </c>
      <c r="U2691" s="152">
        <v>4.9279000000000003E-2</v>
      </c>
      <c r="V2691" s="152">
        <v>4.8570000000000002E-3</v>
      </c>
      <c r="W2691" s="152">
        <v>1000</v>
      </c>
      <c r="X2691" s="152" t="s">
        <v>23</v>
      </c>
      <c r="Y2691" s="152" t="s">
        <v>1921</v>
      </c>
      <c r="Z2691" s="152" t="s">
        <v>1327</v>
      </c>
    </row>
    <row r="2692" spans="1:26" x14ac:dyDescent="0.2">
      <c r="A2692" s="152" t="s">
        <v>3769</v>
      </c>
      <c r="B2692" s="152">
        <v>0</v>
      </c>
      <c r="C2692" s="151">
        <v>43469</v>
      </c>
      <c r="D2692" s="152">
        <v>0.194521</v>
      </c>
      <c r="E2692" s="152" t="s">
        <v>1325</v>
      </c>
      <c r="F2692" s="152" t="s">
        <v>1326</v>
      </c>
      <c r="G2692" s="152"/>
      <c r="H2692" s="152"/>
      <c r="I2692" s="152" t="s">
        <v>1327</v>
      </c>
      <c r="J2692" s="152" t="s">
        <v>1327</v>
      </c>
      <c r="K2692" s="152" t="s">
        <v>1327</v>
      </c>
      <c r="L2692" s="152" t="s">
        <v>1327</v>
      </c>
      <c r="M2692" s="152" t="s">
        <v>1327</v>
      </c>
      <c r="N2692" s="152" t="s">
        <v>1327</v>
      </c>
      <c r="O2692" s="152">
        <v>1.7773669999999999</v>
      </c>
      <c r="P2692" s="152">
        <v>32.97533</v>
      </c>
      <c r="Q2692" s="152">
        <v>1.7773669999999999</v>
      </c>
      <c r="R2692" s="152" t="s">
        <v>1327</v>
      </c>
      <c r="S2692" s="152">
        <v>99.655456999999998</v>
      </c>
      <c r="T2692" s="152">
        <v>0</v>
      </c>
      <c r="U2692" s="152">
        <v>0.19384999999999999</v>
      </c>
      <c r="V2692" s="152">
        <v>7.5156000000000001E-2</v>
      </c>
      <c r="W2692" s="152">
        <v>1000</v>
      </c>
      <c r="X2692" s="152" t="s">
        <v>23</v>
      </c>
      <c r="Y2692" s="152" t="s">
        <v>1921</v>
      </c>
      <c r="Z2692" s="152" t="s">
        <v>1327</v>
      </c>
    </row>
    <row r="2693" spans="1:26" x14ac:dyDescent="0.2">
      <c r="A2693" s="152" t="s">
        <v>3770</v>
      </c>
      <c r="B2693" s="152">
        <v>0</v>
      </c>
      <c r="C2693" s="151">
        <v>43501</v>
      </c>
      <c r="D2693" s="152">
        <v>0.282192</v>
      </c>
      <c r="E2693" s="152" t="s">
        <v>1325</v>
      </c>
      <c r="F2693" s="152" t="s">
        <v>1326</v>
      </c>
      <c r="G2693" s="152"/>
      <c r="H2693" s="152"/>
      <c r="I2693" s="152" t="s">
        <v>1327</v>
      </c>
      <c r="J2693" s="152" t="s">
        <v>1327</v>
      </c>
      <c r="K2693" s="152" t="s">
        <v>1327</v>
      </c>
      <c r="L2693" s="152" t="s">
        <v>1327</v>
      </c>
      <c r="M2693" s="152" t="s">
        <v>1327</v>
      </c>
      <c r="N2693" s="152" t="s">
        <v>1327</v>
      </c>
      <c r="O2693" s="152">
        <v>1.8867160000000001</v>
      </c>
      <c r="P2693" s="152">
        <v>31.517925000000002</v>
      </c>
      <c r="Q2693" s="152">
        <v>1.8867160000000001</v>
      </c>
      <c r="R2693" s="152" t="s">
        <v>1327</v>
      </c>
      <c r="S2693" s="152">
        <v>99.470404000000002</v>
      </c>
      <c r="T2693" s="152">
        <v>0</v>
      </c>
      <c r="U2693" s="152">
        <v>0.28069699999999997</v>
      </c>
      <c r="V2693" s="152">
        <v>0.157582</v>
      </c>
      <c r="W2693" s="152">
        <v>1000</v>
      </c>
      <c r="X2693" s="152" t="s">
        <v>23</v>
      </c>
      <c r="Y2693" s="152" t="s">
        <v>1921</v>
      </c>
      <c r="Z2693" s="152" t="s">
        <v>1327</v>
      </c>
    </row>
    <row r="2694" spans="1:26" x14ac:dyDescent="0.2">
      <c r="A2694" s="152" t="s">
        <v>3771</v>
      </c>
      <c r="B2694" s="152">
        <v>0</v>
      </c>
      <c r="C2694" s="151">
        <v>43447</v>
      </c>
      <c r="D2694" s="152">
        <v>0.13424700000000001</v>
      </c>
      <c r="E2694" s="152" t="s">
        <v>1325</v>
      </c>
      <c r="F2694" s="152" t="s">
        <v>1326</v>
      </c>
      <c r="G2694" s="152"/>
      <c r="H2694" s="152"/>
      <c r="I2694" s="152">
        <v>43349</v>
      </c>
      <c r="J2694" s="152">
        <v>2.1</v>
      </c>
      <c r="K2694" s="152" t="s">
        <v>1327</v>
      </c>
      <c r="L2694" s="152" t="s">
        <v>1327</v>
      </c>
      <c r="M2694" s="152" t="s">
        <v>1327</v>
      </c>
      <c r="N2694" s="152" t="s">
        <v>1327</v>
      </c>
      <c r="O2694" s="152">
        <v>1.979589</v>
      </c>
      <c r="P2694" s="152">
        <v>63.945509000000001</v>
      </c>
      <c r="Q2694" s="152">
        <v>1.979589</v>
      </c>
      <c r="R2694" s="152" t="s">
        <v>1327</v>
      </c>
      <c r="S2694" s="152">
        <v>99.734950999999995</v>
      </c>
      <c r="T2694" s="152">
        <v>0</v>
      </c>
      <c r="U2694" s="152">
        <v>0.13389100000000001</v>
      </c>
      <c r="V2694" s="152">
        <v>3.5853000000000003E-2</v>
      </c>
      <c r="W2694" s="152">
        <v>1000</v>
      </c>
      <c r="X2694" s="152" t="s">
        <v>23</v>
      </c>
      <c r="Y2694" s="152" t="s">
        <v>1328</v>
      </c>
      <c r="Z2694" s="152" t="s">
        <v>1327</v>
      </c>
    </row>
    <row r="2695" spans="1:26" x14ac:dyDescent="0.2">
      <c r="A2695" s="152" t="s">
        <v>3772</v>
      </c>
      <c r="B2695" s="152">
        <v>0</v>
      </c>
      <c r="C2695" s="151">
        <v>43410</v>
      </c>
      <c r="D2695" s="152">
        <v>3.2877000000000003E-2</v>
      </c>
      <c r="E2695" s="152" t="s">
        <v>1325</v>
      </c>
      <c r="F2695" s="152" t="s">
        <v>1326</v>
      </c>
      <c r="G2695" s="152"/>
      <c r="H2695" s="152"/>
      <c r="I2695" s="152">
        <v>43320</v>
      </c>
      <c r="J2695" s="152">
        <v>2.1</v>
      </c>
      <c r="K2695" s="152" t="s">
        <v>1327</v>
      </c>
      <c r="L2695" s="152" t="s">
        <v>1327</v>
      </c>
      <c r="M2695" s="152" t="s">
        <v>1327</v>
      </c>
      <c r="N2695" s="152" t="s">
        <v>1327</v>
      </c>
      <c r="O2695" s="152">
        <v>1.78756</v>
      </c>
      <c r="P2695" s="152">
        <v>63.101151999999999</v>
      </c>
      <c r="Q2695" s="152">
        <v>1.78756</v>
      </c>
      <c r="R2695" s="152" t="s">
        <v>1327</v>
      </c>
      <c r="S2695" s="152">
        <v>99.941265000000001</v>
      </c>
      <c r="T2695" s="152">
        <v>0</v>
      </c>
      <c r="U2695" s="152">
        <v>3.2856999999999997E-2</v>
      </c>
      <c r="V2695" s="152">
        <v>2.1589999999999999E-3</v>
      </c>
      <c r="W2695" s="152">
        <v>1000</v>
      </c>
      <c r="X2695" s="152" t="s">
        <v>23</v>
      </c>
      <c r="Y2695" s="152" t="s">
        <v>1328</v>
      </c>
      <c r="Z2695" s="152" t="s">
        <v>1327</v>
      </c>
    </row>
    <row r="2696" spans="1:26" x14ac:dyDescent="0.2">
      <c r="A2696" s="152" t="s">
        <v>3773</v>
      </c>
      <c r="B2696" s="152">
        <v>0</v>
      </c>
      <c r="C2696" s="151">
        <v>43475</v>
      </c>
      <c r="D2696" s="152">
        <v>0.21095900000000001</v>
      </c>
      <c r="E2696" s="152" t="s">
        <v>1325</v>
      </c>
      <c r="F2696" s="152" t="s">
        <v>1326</v>
      </c>
      <c r="G2696" s="152"/>
      <c r="H2696" s="152"/>
      <c r="I2696" s="152">
        <v>43292</v>
      </c>
      <c r="J2696" s="152">
        <v>2.1</v>
      </c>
      <c r="K2696" s="152" t="s">
        <v>1327</v>
      </c>
      <c r="L2696" s="152" t="s">
        <v>1327</v>
      </c>
      <c r="M2696" s="152" t="s">
        <v>1327</v>
      </c>
      <c r="N2696" s="152" t="s">
        <v>1327</v>
      </c>
      <c r="O2696" s="152">
        <v>2.1706569999999998</v>
      </c>
      <c r="P2696" s="152">
        <v>70.288373000000007</v>
      </c>
      <c r="Q2696" s="152">
        <v>2.1706569999999998</v>
      </c>
      <c r="R2696" s="152" t="s">
        <v>1327</v>
      </c>
      <c r="S2696" s="152">
        <v>99.544167999999999</v>
      </c>
      <c r="T2696" s="152">
        <v>0</v>
      </c>
      <c r="U2696" s="152">
        <v>0.20999699999999999</v>
      </c>
      <c r="V2696" s="152">
        <v>8.8197999999999999E-2</v>
      </c>
      <c r="W2696" s="152">
        <v>1000</v>
      </c>
      <c r="X2696" s="152" t="s">
        <v>23</v>
      </c>
      <c r="Y2696" s="152" t="s">
        <v>1328</v>
      </c>
      <c r="Z2696" s="152" t="s">
        <v>1327</v>
      </c>
    </row>
    <row r="2697" spans="1:26" x14ac:dyDescent="0.2">
      <c r="A2697" s="152" t="s">
        <v>3774</v>
      </c>
      <c r="B2697" s="152">
        <v>0</v>
      </c>
      <c r="C2697" s="151">
        <v>43475</v>
      </c>
      <c r="D2697" s="152">
        <v>0.21095900000000001</v>
      </c>
      <c r="E2697" s="152" t="s">
        <v>1325</v>
      </c>
      <c r="F2697" s="152" t="s">
        <v>1326</v>
      </c>
      <c r="G2697" s="152"/>
      <c r="H2697" s="152"/>
      <c r="I2697" s="152">
        <v>43384</v>
      </c>
      <c r="J2697" s="152">
        <v>2.17</v>
      </c>
      <c r="K2697" s="152" t="s">
        <v>1327</v>
      </c>
      <c r="L2697" s="152" t="s">
        <v>1327</v>
      </c>
      <c r="M2697" s="152" t="s">
        <v>1327</v>
      </c>
      <c r="N2697" s="152" t="s">
        <v>1327</v>
      </c>
      <c r="O2697" s="152">
        <v>2.1706569999999998</v>
      </c>
      <c r="P2697" s="152">
        <v>70.288373000000007</v>
      </c>
      <c r="Q2697" s="152">
        <v>2.1706569999999998</v>
      </c>
      <c r="R2697" s="152" t="s">
        <v>1327</v>
      </c>
      <c r="S2697" s="152">
        <v>99.544167999999999</v>
      </c>
      <c r="T2697" s="152">
        <v>0</v>
      </c>
      <c r="U2697" s="152">
        <v>0.20999699999999999</v>
      </c>
      <c r="V2697" s="152">
        <v>8.8197999999999999E-2</v>
      </c>
      <c r="W2697" s="152">
        <v>1000</v>
      </c>
      <c r="X2697" s="152" t="s">
        <v>23</v>
      </c>
      <c r="Y2697" s="152" t="s">
        <v>1328</v>
      </c>
      <c r="Z2697" s="152" t="s">
        <v>1327</v>
      </c>
    </row>
    <row r="2698" spans="1:26" x14ac:dyDescent="0.2">
      <c r="A2698" s="152" t="s">
        <v>3775</v>
      </c>
      <c r="B2698" s="152">
        <v>0</v>
      </c>
      <c r="C2698" s="151">
        <v>43480</v>
      </c>
      <c r="D2698" s="152">
        <v>0.224658</v>
      </c>
      <c r="E2698" s="152" t="s">
        <v>1325</v>
      </c>
      <c r="F2698" s="152" t="s">
        <v>1326</v>
      </c>
      <c r="G2698" s="152"/>
      <c r="H2698" s="152"/>
      <c r="I2698" s="152">
        <v>43297</v>
      </c>
      <c r="J2698" s="152">
        <v>2.15</v>
      </c>
      <c r="K2698" s="152" t="s">
        <v>1327</v>
      </c>
      <c r="L2698" s="152" t="s">
        <v>1327</v>
      </c>
      <c r="M2698" s="152" t="s">
        <v>1327</v>
      </c>
      <c r="N2698" s="152" t="s">
        <v>1327</v>
      </c>
      <c r="O2698" s="152">
        <v>2.2053310000000002</v>
      </c>
      <c r="P2698" s="152">
        <v>71.698966999999996</v>
      </c>
      <c r="Q2698" s="152">
        <v>2.2053310000000002</v>
      </c>
      <c r="R2698" s="152" t="s">
        <v>1327</v>
      </c>
      <c r="S2698" s="152">
        <v>99.506997999999996</v>
      </c>
      <c r="T2698" s="152">
        <v>0</v>
      </c>
      <c r="U2698" s="152">
        <v>0.22355</v>
      </c>
      <c r="V2698" s="152">
        <v>9.9948999999999996E-2</v>
      </c>
      <c r="W2698" s="152">
        <v>1000</v>
      </c>
      <c r="X2698" s="152" t="s">
        <v>23</v>
      </c>
      <c r="Y2698" s="152" t="s">
        <v>1328</v>
      </c>
      <c r="Z2698" s="152" t="s">
        <v>1327</v>
      </c>
    </row>
    <row r="2699" spans="1:26" x14ac:dyDescent="0.2">
      <c r="A2699" s="152" t="s">
        <v>3776</v>
      </c>
      <c r="B2699" s="152">
        <v>0</v>
      </c>
      <c r="C2699" s="151">
        <v>43517</v>
      </c>
      <c r="D2699" s="152">
        <v>0.32602700000000001</v>
      </c>
      <c r="E2699" s="152" t="s">
        <v>1325</v>
      </c>
      <c r="F2699" s="152" t="s">
        <v>1326</v>
      </c>
      <c r="G2699" s="152"/>
      <c r="H2699" s="152"/>
      <c r="I2699" s="152">
        <v>43340</v>
      </c>
      <c r="J2699" s="152">
        <v>2.1274999999999999</v>
      </c>
      <c r="K2699" s="152" t="s">
        <v>1327</v>
      </c>
      <c r="L2699" s="152" t="s">
        <v>1327</v>
      </c>
      <c r="M2699" s="152" t="s">
        <v>1327</v>
      </c>
      <c r="N2699" s="152" t="s">
        <v>1327</v>
      </c>
      <c r="O2699" s="152">
        <v>2.3360059999999998</v>
      </c>
      <c r="P2699" s="152">
        <v>72.271831000000006</v>
      </c>
      <c r="Q2699" s="152">
        <v>2.3360059999999998</v>
      </c>
      <c r="R2699" s="152" t="s">
        <v>1327</v>
      </c>
      <c r="S2699" s="152">
        <v>99.244155000000006</v>
      </c>
      <c r="T2699" s="152">
        <v>0</v>
      </c>
      <c r="U2699" s="152">
        <v>0.32356299999999999</v>
      </c>
      <c r="V2699" s="152">
        <v>0.20938599999999999</v>
      </c>
      <c r="W2699" s="152">
        <v>1000</v>
      </c>
      <c r="X2699" s="152" t="s">
        <v>23</v>
      </c>
      <c r="Y2699" s="152" t="s">
        <v>1328</v>
      </c>
      <c r="Z2699" s="152" t="s">
        <v>1327</v>
      </c>
    </row>
    <row r="2700" spans="1:26" x14ac:dyDescent="0.2">
      <c r="A2700" s="152" t="s">
        <v>514</v>
      </c>
      <c r="B2700" s="152">
        <v>2.2799999999999998</v>
      </c>
      <c r="C2700" s="151">
        <v>43431</v>
      </c>
      <c r="D2700" s="152">
        <v>9.0411000000000005E-2</v>
      </c>
      <c r="E2700" s="152" t="s">
        <v>1325</v>
      </c>
      <c r="F2700" s="152" t="s">
        <v>1326</v>
      </c>
      <c r="G2700" s="152"/>
      <c r="H2700" s="152"/>
      <c r="I2700" s="152" t="s">
        <v>1327</v>
      </c>
      <c r="J2700" s="152" t="s">
        <v>1327</v>
      </c>
      <c r="K2700" s="152" t="s">
        <v>1327</v>
      </c>
      <c r="L2700" s="152" t="s">
        <v>1327</v>
      </c>
      <c r="M2700" s="152" t="s">
        <v>1327</v>
      </c>
      <c r="N2700" s="152" t="s">
        <v>1327</v>
      </c>
      <c r="O2700" s="152">
        <v>1.9153260000000001</v>
      </c>
      <c r="P2700" s="152">
        <v>65.458864000000005</v>
      </c>
      <c r="Q2700" s="152">
        <v>1.9153260000000001</v>
      </c>
      <c r="R2700" s="152" t="s">
        <v>1327</v>
      </c>
      <c r="S2700" s="152">
        <v>100.030355</v>
      </c>
      <c r="T2700" s="152">
        <v>1.4804379999999999</v>
      </c>
      <c r="U2700" s="152">
        <v>9.0255000000000002E-2</v>
      </c>
      <c r="V2700" s="152">
        <v>1.6292000000000001E-2</v>
      </c>
      <c r="W2700" s="152">
        <v>1000</v>
      </c>
      <c r="X2700" s="152" t="s">
        <v>23</v>
      </c>
      <c r="Y2700" s="152" t="s">
        <v>1328</v>
      </c>
      <c r="Z2700" s="152" t="s">
        <v>1327</v>
      </c>
    </row>
    <row r="2701" spans="1:26" x14ac:dyDescent="0.2">
      <c r="A2701" s="152" t="s">
        <v>1254</v>
      </c>
      <c r="B2701" s="152">
        <v>2.2999999999999998</v>
      </c>
      <c r="C2701" s="151">
        <v>43483</v>
      </c>
      <c r="D2701" s="152">
        <v>0.232877</v>
      </c>
      <c r="E2701" s="152" t="s">
        <v>1325</v>
      </c>
      <c r="F2701" s="152" t="s">
        <v>1326</v>
      </c>
      <c r="G2701" s="152"/>
      <c r="H2701" s="152"/>
      <c r="I2701" s="152" t="s">
        <v>1327</v>
      </c>
      <c r="J2701" s="152" t="s">
        <v>1327</v>
      </c>
      <c r="K2701" s="152" t="s">
        <v>1327</v>
      </c>
      <c r="L2701" s="152" t="s">
        <v>1327</v>
      </c>
      <c r="M2701" s="152" t="s">
        <v>1327</v>
      </c>
      <c r="N2701" s="152" t="s">
        <v>1327</v>
      </c>
      <c r="O2701" s="152">
        <v>2.258626</v>
      </c>
      <c r="P2701" s="152">
        <v>75.892290000000003</v>
      </c>
      <c r="Q2701" s="152">
        <v>2.258626</v>
      </c>
      <c r="R2701" s="152" t="s">
        <v>1327</v>
      </c>
      <c r="S2701" s="152">
        <v>100.009353</v>
      </c>
      <c r="T2701" s="152">
        <v>4.4110000000000003E-2</v>
      </c>
      <c r="U2701" s="152">
        <v>0.231658</v>
      </c>
      <c r="V2701" s="152">
        <v>0.107331</v>
      </c>
      <c r="W2701" s="152">
        <v>1000</v>
      </c>
      <c r="X2701" s="152" t="s">
        <v>23</v>
      </c>
      <c r="Y2701" s="152" t="s">
        <v>1328</v>
      </c>
      <c r="Z2701" s="152" t="s">
        <v>1327</v>
      </c>
    </row>
    <row r="2702" spans="1:26" x14ac:dyDescent="0.2">
      <c r="A2702" s="152" t="s">
        <v>561</v>
      </c>
      <c r="B2702" s="152">
        <v>2.2999999999999998</v>
      </c>
      <c r="C2702" s="151">
        <v>43494</v>
      </c>
      <c r="D2702" s="152">
        <v>0.26301400000000003</v>
      </c>
      <c r="E2702" s="152" t="s">
        <v>1325</v>
      </c>
      <c r="F2702" s="152" t="s">
        <v>1326</v>
      </c>
      <c r="G2702" s="152"/>
      <c r="H2702" s="152"/>
      <c r="I2702" s="152" t="s">
        <v>1327</v>
      </c>
      <c r="J2702" s="152" t="s">
        <v>1327</v>
      </c>
      <c r="K2702" s="152" t="s">
        <v>1327</v>
      </c>
      <c r="L2702" s="152" t="s">
        <v>1327</v>
      </c>
      <c r="M2702" s="152" t="s">
        <v>1327</v>
      </c>
      <c r="N2702" s="152" t="s">
        <v>1327</v>
      </c>
      <c r="O2702" s="152">
        <v>2.2942100000000001</v>
      </c>
      <c r="P2702" s="152">
        <v>75.305860999999993</v>
      </c>
      <c r="Q2702" s="152">
        <v>2.2942100000000001</v>
      </c>
      <c r="R2702" s="152" t="s">
        <v>1327</v>
      </c>
      <c r="S2702" s="152">
        <v>99.994938000000005</v>
      </c>
      <c r="T2702" s="152">
        <v>1.096438</v>
      </c>
      <c r="U2702" s="152">
        <v>0.261436</v>
      </c>
      <c r="V2702" s="152">
        <v>0.13669799999999999</v>
      </c>
      <c r="W2702" s="152">
        <v>1000</v>
      </c>
      <c r="X2702" s="152" t="s">
        <v>23</v>
      </c>
      <c r="Y2702" s="152" t="s">
        <v>1328</v>
      </c>
      <c r="Z2702" s="152" t="s">
        <v>1327</v>
      </c>
    </row>
    <row r="2703" spans="1:26" x14ac:dyDescent="0.2">
      <c r="A2703" s="152" t="s">
        <v>515</v>
      </c>
      <c r="B2703" s="152">
        <v>2.2999999999999998</v>
      </c>
      <c r="C2703" s="151">
        <v>43494</v>
      </c>
      <c r="D2703" s="152">
        <v>0.26301400000000003</v>
      </c>
      <c r="E2703" s="152" t="s">
        <v>1325</v>
      </c>
      <c r="F2703" s="152" t="s">
        <v>1326</v>
      </c>
      <c r="G2703" s="152"/>
      <c r="H2703" s="152"/>
      <c r="I2703" s="152">
        <v>43263</v>
      </c>
      <c r="J2703" s="152">
        <v>2.27</v>
      </c>
      <c r="K2703" s="152" t="s">
        <v>1327</v>
      </c>
      <c r="L2703" s="152" t="s">
        <v>1327</v>
      </c>
      <c r="M2703" s="152" t="s">
        <v>1327</v>
      </c>
      <c r="N2703" s="152" t="s">
        <v>1327</v>
      </c>
      <c r="O2703" s="152">
        <v>2.2942100000000001</v>
      </c>
      <c r="P2703" s="152">
        <v>75.305860999999993</v>
      </c>
      <c r="Q2703" s="152">
        <v>2.2942100000000001</v>
      </c>
      <c r="R2703" s="152" t="s">
        <v>1327</v>
      </c>
      <c r="S2703" s="152">
        <v>99.995845000000003</v>
      </c>
      <c r="T2703" s="152">
        <v>0.94520499999999996</v>
      </c>
      <c r="U2703" s="152">
        <v>0.261436</v>
      </c>
      <c r="V2703" s="152">
        <v>0.13669799999999999</v>
      </c>
      <c r="W2703" s="152">
        <v>1000</v>
      </c>
      <c r="X2703" s="152" t="s">
        <v>23</v>
      </c>
      <c r="Y2703" s="152" t="s">
        <v>1328</v>
      </c>
      <c r="Z2703" s="152" t="s">
        <v>1327</v>
      </c>
    </row>
    <row r="2704" spans="1:26" x14ac:dyDescent="0.2">
      <c r="A2704" s="152" t="s">
        <v>3777</v>
      </c>
      <c r="B2704" s="152">
        <v>2.5</v>
      </c>
      <c r="C2704" s="151">
        <v>43573</v>
      </c>
      <c r="D2704" s="152">
        <v>0.47945199999999999</v>
      </c>
      <c r="E2704" s="152" t="s">
        <v>1325</v>
      </c>
      <c r="F2704" s="152" t="s">
        <v>1326</v>
      </c>
      <c r="G2704" s="152"/>
      <c r="H2704" s="152"/>
      <c r="I2704" s="152" t="s">
        <v>1327</v>
      </c>
      <c r="J2704" s="152" t="s">
        <v>1327</v>
      </c>
      <c r="K2704" s="152" t="s">
        <v>1327</v>
      </c>
      <c r="L2704" s="152" t="s">
        <v>1327</v>
      </c>
      <c r="M2704" s="152" t="s">
        <v>1327</v>
      </c>
      <c r="N2704" s="152" t="s">
        <v>1327</v>
      </c>
      <c r="O2704" s="152">
        <v>2.5119889999999998</v>
      </c>
      <c r="P2704" s="152">
        <v>79.085329999999999</v>
      </c>
      <c r="Q2704" s="152">
        <v>2.5119889999999998</v>
      </c>
      <c r="R2704" s="152" t="s">
        <v>1327</v>
      </c>
      <c r="S2704" s="152">
        <v>99.993750000000006</v>
      </c>
      <c r="T2704" s="152">
        <v>4.7945000000000002E-2</v>
      </c>
      <c r="U2704" s="152">
        <v>0.473746</v>
      </c>
      <c r="V2704" s="152">
        <v>0.44887100000000002</v>
      </c>
      <c r="W2704" s="152">
        <v>1000</v>
      </c>
      <c r="X2704" s="152" t="s">
        <v>23</v>
      </c>
      <c r="Y2704" s="152" t="s">
        <v>1328</v>
      </c>
      <c r="Z2704" s="152" t="s">
        <v>1327</v>
      </c>
    </row>
    <row r="2705" spans="1:26" x14ac:dyDescent="0.2">
      <c r="A2705" s="152" t="s">
        <v>1253</v>
      </c>
      <c r="B2705" s="152">
        <v>3</v>
      </c>
      <c r="C2705" s="151">
        <v>43661</v>
      </c>
      <c r="D2705" s="152">
        <v>0.72054799999999997</v>
      </c>
      <c r="E2705" s="152" t="s">
        <v>1325</v>
      </c>
      <c r="F2705" s="152" t="s">
        <v>1326</v>
      </c>
      <c r="G2705" s="152"/>
      <c r="H2705" s="152"/>
      <c r="I2705" s="152" t="s">
        <v>1327</v>
      </c>
      <c r="J2705" s="152" t="s">
        <v>1327</v>
      </c>
      <c r="K2705" s="152" t="s">
        <v>1327</v>
      </c>
      <c r="L2705" s="152" t="s">
        <v>1327</v>
      </c>
      <c r="M2705" s="152" t="s">
        <v>1327</v>
      </c>
      <c r="N2705" s="152" t="s">
        <v>1327</v>
      </c>
      <c r="O2705" s="152">
        <v>2.954974</v>
      </c>
      <c r="P2705" s="152">
        <v>116.989656</v>
      </c>
      <c r="Q2705" s="152">
        <v>2.954974</v>
      </c>
      <c r="R2705" s="152" t="s">
        <v>1327</v>
      </c>
      <c r="S2705" s="152">
        <v>100.030568</v>
      </c>
      <c r="T2705" s="152">
        <v>5.7534000000000002E-2</v>
      </c>
      <c r="U2705" s="152">
        <v>0.70552599999999999</v>
      </c>
      <c r="V2705" s="152">
        <v>0.99553400000000003</v>
      </c>
      <c r="W2705" s="152">
        <v>1000</v>
      </c>
      <c r="X2705" s="152" t="s">
        <v>23</v>
      </c>
      <c r="Y2705" s="152" t="s">
        <v>1328</v>
      </c>
      <c r="Z2705" s="152" t="s">
        <v>1327</v>
      </c>
    </row>
    <row r="2706" spans="1:26" x14ac:dyDescent="0.2">
      <c r="A2706" s="152" t="s">
        <v>3778</v>
      </c>
      <c r="B2706" s="152">
        <v>0</v>
      </c>
      <c r="C2706" s="151">
        <v>43440</v>
      </c>
      <c r="D2706" s="152">
        <v>0.115068</v>
      </c>
      <c r="E2706" s="152" t="s">
        <v>1325</v>
      </c>
      <c r="F2706" s="152" t="s">
        <v>1326</v>
      </c>
      <c r="G2706" s="152"/>
      <c r="H2706" s="152"/>
      <c r="I2706" s="152">
        <v>43257</v>
      </c>
      <c r="J2706" s="152">
        <v>2.7</v>
      </c>
      <c r="K2706" s="152" t="s">
        <v>1327</v>
      </c>
      <c r="L2706" s="152" t="s">
        <v>1327</v>
      </c>
      <c r="M2706" s="152" t="s">
        <v>1327</v>
      </c>
      <c r="N2706" s="152" t="s">
        <v>1327</v>
      </c>
      <c r="O2706" s="152">
        <v>2.3795820000000001</v>
      </c>
      <c r="P2706" s="152">
        <v>108.21890500000001</v>
      </c>
      <c r="Q2706" s="152">
        <v>2.3795820000000001</v>
      </c>
      <c r="R2706" s="152" t="s">
        <v>1327</v>
      </c>
      <c r="S2706" s="152">
        <v>99.726933000000002</v>
      </c>
      <c r="T2706" s="152">
        <v>0</v>
      </c>
      <c r="U2706" s="152">
        <v>0.11475399999999999</v>
      </c>
      <c r="V2706" s="152">
        <v>2.6336999999999999E-2</v>
      </c>
      <c r="W2706" s="152">
        <v>1000</v>
      </c>
      <c r="X2706" s="152" t="s">
        <v>23</v>
      </c>
      <c r="Y2706" s="152" t="s">
        <v>1328</v>
      </c>
      <c r="Z2706" s="152" t="s">
        <v>1327</v>
      </c>
    </row>
    <row r="2707" spans="1:26" x14ac:dyDescent="0.2">
      <c r="A2707" s="152" t="s">
        <v>3779</v>
      </c>
      <c r="B2707" s="152">
        <v>0</v>
      </c>
      <c r="C2707" s="151">
        <v>43441</v>
      </c>
      <c r="D2707" s="152">
        <v>0.117808</v>
      </c>
      <c r="E2707" s="152" t="s">
        <v>1325</v>
      </c>
      <c r="F2707" s="152" t="s">
        <v>1326</v>
      </c>
      <c r="G2707" s="152"/>
      <c r="H2707" s="152"/>
      <c r="I2707" s="152" t="s">
        <v>1327</v>
      </c>
      <c r="J2707" s="152" t="s">
        <v>1327</v>
      </c>
      <c r="K2707" s="152" t="s">
        <v>1327</v>
      </c>
      <c r="L2707" s="152" t="s">
        <v>1327</v>
      </c>
      <c r="M2707" s="152" t="s">
        <v>1327</v>
      </c>
      <c r="N2707" s="152" t="s">
        <v>1327</v>
      </c>
      <c r="O2707" s="152">
        <v>2.0227119999999998</v>
      </c>
      <c r="P2707" s="152">
        <v>71.327815000000001</v>
      </c>
      <c r="Q2707" s="152">
        <v>2.0227119999999998</v>
      </c>
      <c r="R2707" s="152" t="s">
        <v>1327</v>
      </c>
      <c r="S2707" s="152">
        <v>99.762274000000005</v>
      </c>
      <c r="T2707" s="152">
        <v>0</v>
      </c>
      <c r="U2707" s="152">
        <v>0.11752799999999999</v>
      </c>
      <c r="V2707" s="152">
        <v>2.7626000000000001E-2</v>
      </c>
      <c r="W2707" s="152">
        <v>1000</v>
      </c>
      <c r="X2707" s="152" t="s">
        <v>23</v>
      </c>
      <c r="Y2707" s="152" t="s">
        <v>1328</v>
      </c>
      <c r="Z2707" s="152" t="s">
        <v>1327</v>
      </c>
    </row>
    <row r="2708" spans="1:26" x14ac:dyDescent="0.2">
      <c r="A2708" s="152" t="s">
        <v>3780</v>
      </c>
      <c r="B2708" s="152">
        <v>2.25</v>
      </c>
      <c r="C2708" s="151">
        <v>43406</v>
      </c>
      <c r="D2708" s="152">
        <v>2.1918E-2</v>
      </c>
      <c r="E2708" s="152" t="s">
        <v>1325</v>
      </c>
      <c r="F2708" s="152" t="s">
        <v>1326</v>
      </c>
      <c r="G2708" s="152"/>
      <c r="H2708" s="152"/>
      <c r="I2708" s="151" t="s">
        <v>1327</v>
      </c>
      <c r="J2708" s="152" t="s">
        <v>1327</v>
      </c>
      <c r="K2708" s="152" t="s">
        <v>1327</v>
      </c>
      <c r="L2708" s="152" t="s">
        <v>1327</v>
      </c>
      <c r="M2708" s="152" t="s">
        <v>1327</v>
      </c>
      <c r="N2708" s="152" t="s">
        <v>1327</v>
      </c>
      <c r="O2708" s="152">
        <v>1.8798189999999999</v>
      </c>
      <c r="P2708" s="152">
        <v>74.485814000000005</v>
      </c>
      <c r="Q2708" s="152">
        <v>1.8798189999999999</v>
      </c>
      <c r="R2708" s="152" t="s">
        <v>1327</v>
      </c>
      <c r="S2708" s="152">
        <v>100.00766299999999</v>
      </c>
      <c r="T2708" s="152">
        <v>1.084932</v>
      </c>
      <c r="U2708" s="152">
        <v>2.1909000000000001E-2</v>
      </c>
      <c r="V2708" s="152">
        <v>9.6000000000000002E-4</v>
      </c>
      <c r="W2708" s="152">
        <v>1000</v>
      </c>
      <c r="X2708" s="152" t="s">
        <v>23</v>
      </c>
      <c r="Y2708" s="152" t="s">
        <v>1328</v>
      </c>
      <c r="Z2708" s="152" t="s">
        <v>1327</v>
      </c>
    </row>
    <row r="2709" spans="1:26" x14ac:dyDescent="0.2">
      <c r="A2709" s="152" t="s">
        <v>3781</v>
      </c>
      <c r="B2709" s="152">
        <v>0</v>
      </c>
      <c r="C2709" s="151">
        <v>43406</v>
      </c>
      <c r="D2709" s="152">
        <v>2.1918E-2</v>
      </c>
      <c r="E2709" s="152" t="s">
        <v>1325</v>
      </c>
      <c r="F2709" s="152" t="s">
        <v>1326</v>
      </c>
      <c r="G2709" s="152"/>
      <c r="H2709" s="152"/>
      <c r="I2709" s="151" t="s">
        <v>1327</v>
      </c>
      <c r="J2709" s="152" t="s">
        <v>1327</v>
      </c>
      <c r="K2709" s="152" t="s">
        <v>1327</v>
      </c>
      <c r="L2709" s="152" t="s">
        <v>1327</v>
      </c>
      <c r="M2709" s="152" t="s">
        <v>1327</v>
      </c>
      <c r="N2709" s="152" t="s">
        <v>1327</v>
      </c>
      <c r="O2709" s="152">
        <v>1.8798189999999999</v>
      </c>
      <c r="P2709" s="152">
        <v>74.485814000000005</v>
      </c>
      <c r="Q2709" s="152">
        <v>1.8798189999999999</v>
      </c>
      <c r="R2709" s="152" t="s">
        <v>1327</v>
      </c>
      <c r="S2709" s="152">
        <v>99.958815000000001</v>
      </c>
      <c r="T2709" s="152">
        <v>0</v>
      </c>
      <c r="U2709" s="152">
        <v>2.1909000000000001E-2</v>
      </c>
      <c r="V2709" s="152">
        <v>9.6000000000000002E-4</v>
      </c>
      <c r="W2709" s="152">
        <v>1000</v>
      </c>
      <c r="X2709" s="152" t="s">
        <v>23</v>
      </c>
      <c r="Y2709" s="152" t="s">
        <v>1328</v>
      </c>
      <c r="Z2709" s="152" t="s">
        <v>1327</v>
      </c>
    </row>
    <row r="2710" spans="1:26" x14ac:dyDescent="0.2">
      <c r="A2710" s="152" t="s">
        <v>3782</v>
      </c>
      <c r="B2710" s="152">
        <v>2.25</v>
      </c>
      <c r="C2710" s="151">
        <v>43434</v>
      </c>
      <c r="D2710" s="152">
        <v>9.8629999999999995E-2</v>
      </c>
      <c r="E2710" s="152" t="s">
        <v>1325</v>
      </c>
      <c r="F2710" s="152" t="s">
        <v>1326</v>
      </c>
      <c r="G2710" s="152"/>
      <c r="H2710" s="152"/>
      <c r="I2710" s="151" t="s">
        <v>1327</v>
      </c>
      <c r="J2710" s="152" t="s">
        <v>1327</v>
      </c>
      <c r="K2710" s="152" t="s">
        <v>1327</v>
      </c>
      <c r="L2710" s="152" t="s">
        <v>1327</v>
      </c>
      <c r="M2710" s="152" t="s">
        <v>1327</v>
      </c>
      <c r="N2710" s="152" t="s">
        <v>1327</v>
      </c>
      <c r="O2710" s="152">
        <v>1.9784889999999999</v>
      </c>
      <c r="P2710" s="152">
        <v>70.363159999999993</v>
      </c>
      <c r="Q2710" s="152">
        <v>1.9784889999999999</v>
      </c>
      <c r="R2710" s="152" t="s">
        <v>1327</v>
      </c>
      <c r="S2710" s="152">
        <v>100.024963</v>
      </c>
      <c r="T2710" s="152">
        <v>0.90616399999999997</v>
      </c>
      <c r="U2710" s="152">
        <v>9.8437999999999998E-2</v>
      </c>
      <c r="V2710" s="152">
        <v>1.9380000000000001E-2</v>
      </c>
      <c r="W2710" s="152">
        <v>1000</v>
      </c>
      <c r="X2710" s="152" t="s">
        <v>23</v>
      </c>
      <c r="Y2710" s="152" t="s">
        <v>1328</v>
      </c>
      <c r="Z2710" s="152" t="s">
        <v>1327</v>
      </c>
    </row>
    <row r="2711" spans="1:26" x14ac:dyDescent="0.2">
      <c r="A2711" s="152" t="s">
        <v>3783</v>
      </c>
      <c r="B2711" s="152">
        <v>0</v>
      </c>
      <c r="C2711" s="151">
        <v>43481</v>
      </c>
      <c r="D2711" s="152">
        <v>0.22739699999999999</v>
      </c>
      <c r="E2711" s="152" t="s">
        <v>1325</v>
      </c>
      <c r="F2711" s="152" t="s">
        <v>1326</v>
      </c>
      <c r="G2711" s="152"/>
      <c r="H2711" s="152"/>
      <c r="I2711" s="151" t="s">
        <v>1327</v>
      </c>
      <c r="J2711" s="152" t="s">
        <v>1327</v>
      </c>
      <c r="K2711" s="152" t="s">
        <v>1327</v>
      </c>
      <c r="L2711" s="152" t="s">
        <v>1327</v>
      </c>
      <c r="M2711" s="152" t="s">
        <v>1327</v>
      </c>
      <c r="N2711" s="152" t="s">
        <v>1327</v>
      </c>
      <c r="O2711" s="152">
        <v>2.2812739999999998</v>
      </c>
      <c r="P2711" s="152">
        <v>79.012713000000005</v>
      </c>
      <c r="Q2711" s="152">
        <v>2.2812739999999998</v>
      </c>
      <c r="R2711" s="152" t="s">
        <v>1327</v>
      </c>
      <c r="S2711" s="152">
        <v>99.483922000000007</v>
      </c>
      <c r="T2711" s="152">
        <v>0</v>
      </c>
      <c r="U2711" s="152">
        <v>0.22622400000000001</v>
      </c>
      <c r="V2711" s="152">
        <v>0.102354</v>
      </c>
      <c r="W2711" s="152">
        <v>1000</v>
      </c>
      <c r="X2711" s="152" t="s">
        <v>23</v>
      </c>
      <c r="Y2711" s="152" t="s">
        <v>1328</v>
      </c>
      <c r="Z2711" s="152" t="s">
        <v>1327</v>
      </c>
    </row>
    <row r="2712" spans="1:26" x14ac:dyDescent="0.2">
      <c r="A2712" s="152" t="s">
        <v>3784</v>
      </c>
      <c r="B2712" s="152">
        <v>2.5</v>
      </c>
      <c r="C2712" s="151">
        <v>43588</v>
      </c>
      <c r="D2712" s="152">
        <v>0.52054800000000001</v>
      </c>
      <c r="E2712" s="152" t="s">
        <v>1325</v>
      </c>
      <c r="F2712" s="152" t="s">
        <v>1326</v>
      </c>
      <c r="G2712" s="152"/>
      <c r="H2712" s="152"/>
      <c r="I2712" s="152" t="s">
        <v>1327</v>
      </c>
      <c r="J2712" s="152" t="s">
        <v>1327</v>
      </c>
      <c r="K2712" s="152" t="s">
        <v>1327</v>
      </c>
      <c r="L2712" s="152" t="s">
        <v>1327</v>
      </c>
      <c r="M2712" s="152" t="s">
        <v>1327</v>
      </c>
      <c r="N2712" s="152" t="s">
        <v>1327</v>
      </c>
      <c r="O2712" s="152">
        <v>2.5729869999999999</v>
      </c>
      <c r="P2712" s="152">
        <v>83.437951999999996</v>
      </c>
      <c r="Q2712" s="152">
        <v>2.5729869999999999</v>
      </c>
      <c r="R2712" s="152" t="s">
        <v>1327</v>
      </c>
      <c r="S2712" s="152">
        <v>99.955357000000006</v>
      </c>
      <c r="T2712" s="152">
        <v>0.54109600000000002</v>
      </c>
      <c r="U2712" s="152">
        <v>0.51366800000000001</v>
      </c>
      <c r="V2712" s="152">
        <v>0.52771000000000001</v>
      </c>
      <c r="W2712" s="152">
        <v>1000</v>
      </c>
      <c r="X2712" s="152" t="s">
        <v>23</v>
      </c>
      <c r="Y2712" s="152" t="s">
        <v>1328</v>
      </c>
      <c r="Z2712" s="152" t="s">
        <v>1327</v>
      </c>
    </row>
    <row r="2713" spans="1:26" x14ac:dyDescent="0.2">
      <c r="A2713" s="152" t="s">
        <v>516</v>
      </c>
      <c r="B2713" s="152">
        <v>2.2999999999999998</v>
      </c>
      <c r="C2713" s="151">
        <v>43454</v>
      </c>
      <c r="D2713" s="152">
        <v>0.15342500000000001</v>
      </c>
      <c r="E2713" s="152" t="s">
        <v>1325</v>
      </c>
      <c r="F2713" s="152" t="s">
        <v>1326</v>
      </c>
      <c r="G2713" s="152"/>
      <c r="H2713" s="152"/>
      <c r="I2713" s="152">
        <v>43332</v>
      </c>
      <c r="J2713" s="152">
        <v>2.1</v>
      </c>
      <c r="K2713" s="152" t="s">
        <v>1327</v>
      </c>
      <c r="L2713" s="152" t="s">
        <v>1327</v>
      </c>
      <c r="M2713" s="152" t="s">
        <v>1327</v>
      </c>
      <c r="N2713" s="152" t="s">
        <v>1327</v>
      </c>
      <c r="O2713" s="152">
        <v>2.0748340000000001</v>
      </c>
      <c r="P2713" s="152">
        <v>70.206445000000002</v>
      </c>
      <c r="Q2713" s="152">
        <v>2.0748340000000001</v>
      </c>
      <c r="R2713" s="152" t="s">
        <v>1327</v>
      </c>
      <c r="S2713" s="152">
        <v>100.030237</v>
      </c>
      <c r="T2713" s="152">
        <v>1.323288</v>
      </c>
      <c r="U2713" s="152">
        <v>0.15293799999999999</v>
      </c>
      <c r="V2713" s="152">
        <v>4.6780000000000002E-2</v>
      </c>
      <c r="W2713" s="152">
        <v>1000</v>
      </c>
      <c r="X2713" s="152" t="s">
        <v>23</v>
      </c>
      <c r="Y2713" s="152" t="s">
        <v>1328</v>
      </c>
      <c r="Z2713" s="152" t="s">
        <v>1327</v>
      </c>
    </row>
    <row r="2714" spans="1:26" x14ac:dyDescent="0.2">
      <c r="A2714" s="152" t="s">
        <v>3785</v>
      </c>
      <c r="B2714" s="152">
        <v>2.2799999999999998</v>
      </c>
      <c r="C2714" s="151">
        <v>43454</v>
      </c>
      <c r="D2714" s="152">
        <v>0.15342500000000001</v>
      </c>
      <c r="E2714" s="152" t="s">
        <v>1325</v>
      </c>
      <c r="F2714" s="152" t="s">
        <v>1326</v>
      </c>
      <c r="G2714" s="152"/>
      <c r="H2714" s="152"/>
      <c r="I2714" s="152" t="s">
        <v>1327</v>
      </c>
      <c r="J2714" s="152" t="s">
        <v>1327</v>
      </c>
      <c r="K2714" s="152" t="s">
        <v>1327</v>
      </c>
      <c r="L2714" s="152" t="s">
        <v>1327</v>
      </c>
      <c r="M2714" s="152" t="s">
        <v>1327</v>
      </c>
      <c r="N2714" s="152" t="s">
        <v>1327</v>
      </c>
      <c r="O2714" s="152">
        <v>2.0748340000000001</v>
      </c>
      <c r="P2714" s="152">
        <v>70.206445000000002</v>
      </c>
      <c r="Q2714" s="152">
        <v>2.0748340000000001</v>
      </c>
      <c r="R2714" s="152" t="s">
        <v>1327</v>
      </c>
      <c r="S2714" s="152">
        <v>100.027612</v>
      </c>
      <c r="T2714" s="152">
        <v>1.186849</v>
      </c>
      <c r="U2714" s="152">
        <v>0.15293799999999999</v>
      </c>
      <c r="V2714" s="152">
        <v>4.6780000000000002E-2</v>
      </c>
      <c r="W2714" s="152">
        <v>1000</v>
      </c>
      <c r="X2714" s="152" t="s">
        <v>23</v>
      </c>
      <c r="Y2714" s="152" t="s">
        <v>1328</v>
      </c>
      <c r="Z2714" s="152" t="s">
        <v>1327</v>
      </c>
    </row>
    <row r="2715" spans="1:26" x14ac:dyDescent="0.2">
      <c r="A2715" s="152" t="s">
        <v>3786</v>
      </c>
      <c r="B2715" s="152">
        <v>0</v>
      </c>
      <c r="C2715" s="151">
        <v>43454</v>
      </c>
      <c r="D2715" s="152">
        <v>0.15342500000000001</v>
      </c>
      <c r="E2715" s="152" t="s">
        <v>1325</v>
      </c>
      <c r="F2715" s="152" t="s">
        <v>1326</v>
      </c>
      <c r="G2715" s="152"/>
      <c r="H2715" s="152"/>
      <c r="I2715" s="152">
        <v>43280</v>
      </c>
      <c r="J2715" s="152">
        <v>2.2000000000000002</v>
      </c>
      <c r="K2715" s="152" t="s">
        <v>1327</v>
      </c>
      <c r="L2715" s="152" t="s">
        <v>1327</v>
      </c>
      <c r="M2715" s="152" t="s">
        <v>1327</v>
      </c>
      <c r="N2715" s="152" t="s">
        <v>1327</v>
      </c>
      <c r="O2715" s="152">
        <v>2.0748340000000001</v>
      </c>
      <c r="P2715" s="152">
        <v>70.206445000000002</v>
      </c>
      <c r="Q2715" s="152">
        <v>2.0748340000000001</v>
      </c>
      <c r="R2715" s="152" t="s">
        <v>1327</v>
      </c>
      <c r="S2715" s="152">
        <v>99.682678999999993</v>
      </c>
      <c r="T2715" s="152">
        <v>0</v>
      </c>
      <c r="U2715" s="152">
        <v>0.15293799999999999</v>
      </c>
      <c r="V2715" s="152">
        <v>4.6780000000000002E-2</v>
      </c>
      <c r="W2715" s="152">
        <v>1000</v>
      </c>
      <c r="X2715" s="152" t="s">
        <v>23</v>
      </c>
      <c r="Y2715" s="152" t="s">
        <v>1328</v>
      </c>
      <c r="Z2715" s="152" t="s">
        <v>1327</v>
      </c>
    </row>
    <row r="2716" spans="1:26" x14ac:dyDescent="0.2">
      <c r="A2716" s="152" t="s">
        <v>3787</v>
      </c>
      <c r="B2716" s="152">
        <v>2.2999999999999998</v>
      </c>
      <c r="C2716" s="151">
        <v>43494</v>
      </c>
      <c r="D2716" s="152">
        <v>0.26301400000000003</v>
      </c>
      <c r="E2716" s="152" t="s">
        <v>1325</v>
      </c>
      <c r="F2716" s="152" t="s">
        <v>1326</v>
      </c>
      <c r="G2716" s="152"/>
      <c r="H2716" s="152"/>
      <c r="I2716" s="152" t="s">
        <v>1327</v>
      </c>
      <c r="J2716" s="152" t="s">
        <v>1327</v>
      </c>
      <c r="K2716" s="152" t="s">
        <v>1327</v>
      </c>
      <c r="L2716" s="152" t="s">
        <v>1327</v>
      </c>
      <c r="M2716" s="152" t="s">
        <v>1327</v>
      </c>
      <c r="N2716" s="152" t="s">
        <v>1327</v>
      </c>
      <c r="O2716" s="152">
        <v>2.309933</v>
      </c>
      <c r="P2716" s="152">
        <v>76.904923999999994</v>
      </c>
      <c r="Q2716" s="152">
        <v>2.309933</v>
      </c>
      <c r="R2716" s="152" t="s">
        <v>1327</v>
      </c>
      <c r="S2716" s="152">
        <v>99.990782999999993</v>
      </c>
      <c r="T2716" s="152">
        <v>1.096438</v>
      </c>
      <c r="U2716" s="152">
        <v>0.26142500000000002</v>
      </c>
      <c r="V2716" s="152">
        <v>0.136687</v>
      </c>
      <c r="W2716" s="152">
        <v>1000</v>
      </c>
      <c r="X2716" s="152" t="s">
        <v>23</v>
      </c>
      <c r="Y2716" s="152" t="s">
        <v>1328</v>
      </c>
      <c r="Z2716" s="152" t="s">
        <v>1327</v>
      </c>
    </row>
    <row r="2717" spans="1:26" x14ac:dyDescent="0.2">
      <c r="A2717" s="152" t="s">
        <v>231</v>
      </c>
      <c r="B2717" s="152">
        <v>2.2999999999999998</v>
      </c>
      <c r="C2717" s="151">
        <v>43494</v>
      </c>
      <c r="D2717" s="152">
        <v>0.26301400000000003</v>
      </c>
      <c r="E2717" s="152" t="s">
        <v>1325</v>
      </c>
      <c r="F2717" s="152" t="s">
        <v>1326</v>
      </c>
      <c r="G2717" s="152"/>
      <c r="H2717" s="152"/>
      <c r="I2717" s="152" t="s">
        <v>1327</v>
      </c>
      <c r="J2717" s="152" t="s">
        <v>1327</v>
      </c>
      <c r="K2717" s="152" t="s">
        <v>1327</v>
      </c>
      <c r="L2717" s="152" t="s">
        <v>1327</v>
      </c>
      <c r="M2717" s="152" t="s">
        <v>1327</v>
      </c>
      <c r="N2717" s="152" t="s">
        <v>1327</v>
      </c>
      <c r="O2717" s="152">
        <v>2.309933</v>
      </c>
      <c r="P2717" s="152">
        <v>76.904923999999994</v>
      </c>
      <c r="Q2717" s="152">
        <v>2.309933</v>
      </c>
      <c r="R2717" s="152" t="s">
        <v>1327</v>
      </c>
      <c r="S2717" s="152">
        <v>99.991696000000005</v>
      </c>
      <c r="T2717" s="152">
        <v>0.94520499999999996</v>
      </c>
      <c r="U2717" s="152">
        <v>0.26142500000000002</v>
      </c>
      <c r="V2717" s="152">
        <v>0.136687</v>
      </c>
      <c r="W2717" s="152">
        <v>1000</v>
      </c>
      <c r="X2717" s="152" t="s">
        <v>23</v>
      </c>
      <c r="Y2717" s="152" t="s">
        <v>1328</v>
      </c>
      <c r="Z2717" s="152" t="s">
        <v>1327</v>
      </c>
    </row>
    <row r="2718" spans="1:26" x14ac:dyDescent="0.2">
      <c r="A2718" s="152" t="s">
        <v>521</v>
      </c>
      <c r="B2718" s="152">
        <v>0</v>
      </c>
      <c r="C2718" s="151">
        <v>43550</v>
      </c>
      <c r="D2718" s="152">
        <v>0.41643799999999997</v>
      </c>
      <c r="E2718" s="152" t="s">
        <v>1325</v>
      </c>
      <c r="F2718" s="152" t="s">
        <v>1326</v>
      </c>
      <c r="G2718" s="152"/>
      <c r="H2718" s="152"/>
      <c r="I2718" s="151">
        <v>43285</v>
      </c>
      <c r="J2718" s="152">
        <v>2.27</v>
      </c>
      <c r="K2718" s="152" t="s">
        <v>1327</v>
      </c>
      <c r="L2718" s="152" t="s">
        <v>1327</v>
      </c>
      <c r="M2718" s="152" t="s">
        <v>1327</v>
      </c>
      <c r="N2718" s="152" t="s">
        <v>1327</v>
      </c>
      <c r="O2718" s="152">
        <v>2.5045869999999999</v>
      </c>
      <c r="P2718" s="152">
        <v>81.930035000000004</v>
      </c>
      <c r="Q2718" s="152">
        <v>2.5045869999999999</v>
      </c>
      <c r="R2718" s="152" t="s">
        <v>1327</v>
      </c>
      <c r="S2718" s="152">
        <v>98.967759999999998</v>
      </c>
      <c r="T2718" s="152">
        <v>0</v>
      </c>
      <c r="U2718" s="152">
        <v>0.41214000000000001</v>
      </c>
      <c r="V2718" s="152">
        <v>0.33971800000000002</v>
      </c>
      <c r="W2718" s="152">
        <v>1000</v>
      </c>
      <c r="X2718" s="152" t="s">
        <v>23</v>
      </c>
      <c r="Y2718" s="152" t="s">
        <v>1328</v>
      </c>
      <c r="Z2718" s="152" t="s">
        <v>1327</v>
      </c>
    </row>
    <row r="2719" spans="1:26" x14ac:dyDescent="0.2">
      <c r="A2719" s="152" t="s">
        <v>3788</v>
      </c>
      <c r="B2719" s="152">
        <v>0</v>
      </c>
      <c r="C2719" s="151">
        <v>43552</v>
      </c>
      <c r="D2719" s="152">
        <v>0.42191800000000002</v>
      </c>
      <c r="E2719" s="152" t="s">
        <v>1325</v>
      </c>
      <c r="F2719" s="152" t="s">
        <v>1326</v>
      </c>
      <c r="G2719" s="152"/>
      <c r="H2719" s="152"/>
      <c r="I2719" s="152">
        <v>43370</v>
      </c>
      <c r="J2719" s="152">
        <v>2.4</v>
      </c>
      <c r="K2719" s="152" t="s">
        <v>1327</v>
      </c>
      <c r="L2719" s="152" t="s">
        <v>1327</v>
      </c>
      <c r="M2719" s="152" t="s">
        <v>1327</v>
      </c>
      <c r="N2719" s="152" t="s">
        <v>1327</v>
      </c>
      <c r="O2719" s="152">
        <v>2.511422</v>
      </c>
      <c r="P2719" s="152">
        <v>82.265170999999995</v>
      </c>
      <c r="Q2719" s="152">
        <v>2.511422</v>
      </c>
      <c r="R2719" s="152" t="s">
        <v>1327</v>
      </c>
      <c r="S2719" s="152">
        <v>98.951496000000006</v>
      </c>
      <c r="T2719" s="152">
        <v>0</v>
      </c>
      <c r="U2719" s="152">
        <v>0.41749399999999998</v>
      </c>
      <c r="V2719" s="152">
        <v>0.34860200000000002</v>
      </c>
      <c r="W2719" s="152">
        <v>1000</v>
      </c>
      <c r="X2719" s="152" t="s">
        <v>23</v>
      </c>
      <c r="Y2719" s="152" t="s">
        <v>1328</v>
      </c>
      <c r="Z2719" s="152" t="s">
        <v>1327</v>
      </c>
    </row>
    <row r="2720" spans="1:26" x14ac:dyDescent="0.2">
      <c r="A2720" s="152" t="s">
        <v>3789</v>
      </c>
      <c r="B2720" s="152">
        <v>0</v>
      </c>
      <c r="C2720" s="151">
        <v>43438</v>
      </c>
      <c r="D2720" s="152">
        <v>0.10958900000000001</v>
      </c>
      <c r="E2720" s="152" t="s">
        <v>1325</v>
      </c>
      <c r="F2720" s="152" t="s">
        <v>1326</v>
      </c>
      <c r="G2720" s="152"/>
      <c r="H2720" s="152"/>
      <c r="I2720" s="152" t="s">
        <v>1327</v>
      </c>
      <c r="J2720" s="152" t="s">
        <v>1327</v>
      </c>
      <c r="K2720" s="152" t="s">
        <v>1327</v>
      </c>
      <c r="L2720" s="152" t="s">
        <v>1327</v>
      </c>
      <c r="M2720" s="152" t="s">
        <v>1327</v>
      </c>
      <c r="N2720" s="152" t="s">
        <v>1327</v>
      </c>
      <c r="O2720" s="152">
        <v>1.6048720000000001</v>
      </c>
      <c r="P2720" s="152">
        <v>30.375879000000001</v>
      </c>
      <c r="Q2720" s="152">
        <v>1.6048720000000001</v>
      </c>
      <c r="R2720" s="152" t="s">
        <v>1327</v>
      </c>
      <c r="S2720" s="152">
        <v>99.824432000000002</v>
      </c>
      <c r="T2720" s="152">
        <v>0</v>
      </c>
      <c r="U2720" s="152">
        <v>0.10939699999999999</v>
      </c>
      <c r="V2720" s="152">
        <v>2.3935000000000001E-2</v>
      </c>
      <c r="W2720" s="152">
        <v>1000</v>
      </c>
      <c r="X2720" s="152" t="s">
        <v>23</v>
      </c>
      <c r="Y2720" s="152" t="s">
        <v>1921</v>
      </c>
      <c r="Z2720" s="152" t="s">
        <v>1327</v>
      </c>
    </row>
    <row r="2721" spans="1:26" x14ac:dyDescent="0.2">
      <c r="A2721" s="152" t="s">
        <v>3790</v>
      </c>
      <c r="B2721" s="152">
        <v>0</v>
      </c>
      <c r="C2721" s="151">
        <v>43460</v>
      </c>
      <c r="D2721" s="152">
        <v>0.16986299999999999</v>
      </c>
      <c r="E2721" s="152" t="s">
        <v>1325</v>
      </c>
      <c r="F2721" s="152" t="s">
        <v>1326</v>
      </c>
      <c r="G2721" s="152"/>
      <c r="H2721" s="152"/>
      <c r="I2721" s="151" t="s">
        <v>1327</v>
      </c>
      <c r="J2721" s="152" t="s">
        <v>1327</v>
      </c>
      <c r="K2721" s="152" t="s">
        <v>1327</v>
      </c>
      <c r="L2721" s="152" t="s">
        <v>1327</v>
      </c>
      <c r="M2721" s="152" t="s">
        <v>1327</v>
      </c>
      <c r="N2721" s="152" t="s">
        <v>1327</v>
      </c>
      <c r="O2721" s="152">
        <v>1.72285</v>
      </c>
      <c r="P2721" s="152">
        <v>31.579211000000001</v>
      </c>
      <c r="Q2721" s="152">
        <v>1.72285</v>
      </c>
      <c r="R2721" s="152" t="s">
        <v>1327</v>
      </c>
      <c r="S2721" s="152">
        <v>99.708205000000007</v>
      </c>
      <c r="T2721" s="152">
        <v>0</v>
      </c>
      <c r="U2721" s="152">
        <v>0.16936699999999999</v>
      </c>
      <c r="V2721" s="152">
        <v>5.7370999999999998E-2</v>
      </c>
      <c r="W2721" s="152">
        <v>1000</v>
      </c>
      <c r="X2721" s="152" t="s">
        <v>23</v>
      </c>
      <c r="Y2721" s="152" t="s">
        <v>1921</v>
      </c>
      <c r="Z2721" s="152" t="s">
        <v>1327</v>
      </c>
    </row>
    <row r="2722" spans="1:26" x14ac:dyDescent="0.2">
      <c r="A2722" s="152" t="s">
        <v>3791</v>
      </c>
      <c r="B2722" s="152">
        <v>0</v>
      </c>
      <c r="C2722" s="151">
        <v>43462</v>
      </c>
      <c r="D2722" s="152">
        <v>0.175342</v>
      </c>
      <c r="E2722" s="152" t="s">
        <v>1325</v>
      </c>
      <c r="F2722" s="152" t="s">
        <v>1326</v>
      </c>
      <c r="G2722" s="152"/>
      <c r="H2722" s="152"/>
      <c r="I2722" s="151" t="s">
        <v>1327</v>
      </c>
      <c r="J2722" s="152" t="s">
        <v>1327</v>
      </c>
      <c r="K2722" s="152" t="s">
        <v>1327</v>
      </c>
      <c r="L2722" s="152" t="s">
        <v>1327</v>
      </c>
      <c r="M2722" s="152" t="s">
        <v>1327</v>
      </c>
      <c r="N2722" s="152" t="s">
        <v>1327</v>
      </c>
      <c r="O2722" s="152">
        <v>1.7337260000000001</v>
      </c>
      <c r="P2722" s="152">
        <v>31.746606</v>
      </c>
      <c r="Q2722" s="152">
        <v>1.7337260000000001</v>
      </c>
      <c r="R2722" s="152" t="s">
        <v>1327</v>
      </c>
      <c r="S2722" s="152">
        <v>99.696926000000005</v>
      </c>
      <c r="T2722" s="152">
        <v>0</v>
      </c>
      <c r="U2722" s="152">
        <v>0.17481099999999999</v>
      </c>
      <c r="V2722" s="152">
        <v>6.1117999999999999E-2</v>
      </c>
      <c r="W2722" s="152">
        <v>1000</v>
      </c>
      <c r="X2722" s="152" t="s">
        <v>23</v>
      </c>
      <c r="Y2722" s="152" t="s">
        <v>1921</v>
      </c>
      <c r="Z2722" s="152" t="s">
        <v>1327</v>
      </c>
    </row>
    <row r="2723" spans="1:26" x14ac:dyDescent="0.2">
      <c r="A2723" s="152" t="s">
        <v>3792</v>
      </c>
      <c r="B2723" s="152">
        <v>0</v>
      </c>
      <c r="C2723" s="151">
        <v>43462</v>
      </c>
      <c r="D2723" s="152">
        <v>0.175342</v>
      </c>
      <c r="E2723" s="152" t="s">
        <v>1325</v>
      </c>
      <c r="F2723" s="152" t="s">
        <v>1326</v>
      </c>
      <c r="G2723" s="152"/>
      <c r="H2723" s="152"/>
      <c r="I2723" s="152" t="s">
        <v>1327</v>
      </c>
      <c r="J2723" s="152" t="s">
        <v>1327</v>
      </c>
      <c r="K2723" s="152" t="s">
        <v>1327</v>
      </c>
      <c r="L2723" s="152" t="s">
        <v>1327</v>
      </c>
      <c r="M2723" s="152" t="s">
        <v>1327</v>
      </c>
      <c r="N2723" s="152" t="s">
        <v>1327</v>
      </c>
      <c r="O2723" s="152">
        <v>1.7337260000000001</v>
      </c>
      <c r="P2723" s="152">
        <v>31.746606</v>
      </c>
      <c r="Q2723" s="152">
        <v>1.7337260000000001</v>
      </c>
      <c r="R2723" s="152" t="s">
        <v>1327</v>
      </c>
      <c r="S2723" s="152">
        <v>99.696926000000005</v>
      </c>
      <c r="T2723" s="152">
        <v>0</v>
      </c>
      <c r="U2723" s="152">
        <v>0.17481099999999999</v>
      </c>
      <c r="V2723" s="152">
        <v>6.1117999999999999E-2</v>
      </c>
      <c r="W2723" s="152">
        <v>1000</v>
      </c>
      <c r="X2723" s="152" t="s">
        <v>23</v>
      </c>
      <c r="Y2723" s="152" t="s">
        <v>1921</v>
      </c>
      <c r="Z2723" s="152" t="s">
        <v>1327</v>
      </c>
    </row>
    <row r="2724" spans="1:26" x14ac:dyDescent="0.2">
      <c r="A2724" s="152" t="s">
        <v>3793</v>
      </c>
      <c r="B2724" s="152">
        <v>0</v>
      </c>
      <c r="C2724" s="151">
        <v>43399</v>
      </c>
      <c r="D2724" s="152">
        <v>2.7399999999999998E-3</v>
      </c>
      <c r="E2724" s="152" t="s">
        <v>1325</v>
      </c>
      <c r="F2724" s="152" t="s">
        <v>1326</v>
      </c>
      <c r="G2724" s="152"/>
      <c r="H2724" s="152"/>
      <c r="I2724" s="152" t="s">
        <v>1327</v>
      </c>
      <c r="J2724" s="152" t="s">
        <v>1327</v>
      </c>
      <c r="K2724" s="152" t="s">
        <v>1327</v>
      </c>
      <c r="L2724" s="152" t="s">
        <v>1327</v>
      </c>
      <c r="M2724" s="152" t="s">
        <v>1327</v>
      </c>
      <c r="N2724" s="152" t="s">
        <v>1327</v>
      </c>
      <c r="O2724" s="152">
        <v>1.502591</v>
      </c>
      <c r="P2724" s="152">
        <v>39.556938000000002</v>
      </c>
      <c r="Q2724" s="152">
        <v>1.502591</v>
      </c>
      <c r="R2724" s="152" t="s">
        <v>1327</v>
      </c>
      <c r="S2724" s="152">
        <v>99.995883000000006</v>
      </c>
      <c r="T2724" s="152">
        <v>0</v>
      </c>
      <c r="U2724" s="152">
        <v>2.7399999999999998E-3</v>
      </c>
      <c r="V2724" s="152">
        <v>1.5E-5</v>
      </c>
      <c r="W2724" s="152">
        <v>1000</v>
      </c>
      <c r="X2724" s="152" t="s">
        <v>23</v>
      </c>
      <c r="Y2724" s="152" t="s">
        <v>1921</v>
      </c>
      <c r="Z2724" s="152" t="s">
        <v>1327</v>
      </c>
    </row>
    <row r="2725" spans="1:26" x14ac:dyDescent="0.2">
      <c r="A2725" s="152" t="s">
        <v>3794</v>
      </c>
      <c r="B2725" s="152">
        <v>0</v>
      </c>
      <c r="C2725" s="151">
        <v>43489</v>
      </c>
      <c r="D2725" s="152">
        <v>0.24931500000000001</v>
      </c>
      <c r="E2725" s="152" t="s">
        <v>1325</v>
      </c>
      <c r="F2725" s="152" t="s">
        <v>1326</v>
      </c>
      <c r="G2725" s="152"/>
      <c r="H2725" s="152"/>
      <c r="I2725" s="152" t="s">
        <v>1327</v>
      </c>
      <c r="J2725" s="152" t="s">
        <v>1327</v>
      </c>
      <c r="K2725" s="152" t="s">
        <v>1327</v>
      </c>
      <c r="L2725" s="152" t="s">
        <v>1327</v>
      </c>
      <c r="M2725" s="152" t="s">
        <v>1327</v>
      </c>
      <c r="N2725" s="152" t="s">
        <v>1327</v>
      </c>
      <c r="O2725" s="152">
        <v>1.8593440000000001</v>
      </c>
      <c r="P2725" s="152">
        <v>32.989201999999999</v>
      </c>
      <c r="Q2725" s="152">
        <v>1.8593440000000001</v>
      </c>
      <c r="R2725" s="152" t="s">
        <v>1327</v>
      </c>
      <c r="S2725" s="152">
        <v>99.538577000000004</v>
      </c>
      <c r="T2725" s="152">
        <v>0</v>
      </c>
      <c r="U2725" s="152">
        <v>0.248165</v>
      </c>
      <c r="V2725" s="152">
        <v>0.123171</v>
      </c>
      <c r="W2725" s="152">
        <v>1000</v>
      </c>
      <c r="X2725" s="152" t="s">
        <v>23</v>
      </c>
      <c r="Y2725" s="152" t="s">
        <v>1921</v>
      </c>
      <c r="Z2725" s="152" t="s">
        <v>1327</v>
      </c>
    </row>
    <row r="2726" spans="1:26" x14ac:dyDescent="0.2">
      <c r="A2726" s="152" t="s">
        <v>3795</v>
      </c>
      <c r="B2726" s="152">
        <v>0</v>
      </c>
      <c r="C2726" s="151">
        <v>43500</v>
      </c>
      <c r="D2726" s="152">
        <v>0.27945199999999998</v>
      </c>
      <c r="E2726" s="152" t="s">
        <v>1325</v>
      </c>
      <c r="F2726" s="152" t="s">
        <v>1326</v>
      </c>
      <c r="G2726" s="152"/>
      <c r="H2726" s="152"/>
      <c r="I2726" s="152" t="s">
        <v>1327</v>
      </c>
      <c r="J2726" s="152" t="s">
        <v>1327</v>
      </c>
      <c r="K2726" s="152" t="s">
        <v>1327</v>
      </c>
      <c r="L2726" s="152" t="s">
        <v>1327</v>
      </c>
      <c r="M2726" s="152" t="s">
        <v>1327</v>
      </c>
      <c r="N2726" s="152" t="s">
        <v>1327</v>
      </c>
      <c r="O2726" s="152">
        <v>1.88819</v>
      </c>
      <c r="P2726" s="152">
        <v>31.999607000000001</v>
      </c>
      <c r="Q2726" s="152">
        <v>1.88819</v>
      </c>
      <c r="R2726" s="152" t="s">
        <v>1327</v>
      </c>
      <c r="S2726" s="152">
        <v>99.475110999999998</v>
      </c>
      <c r="T2726" s="152">
        <v>0</v>
      </c>
      <c r="U2726" s="152">
        <v>0.27798499999999998</v>
      </c>
      <c r="V2726" s="152">
        <v>0.15455199999999999</v>
      </c>
      <c r="W2726" s="152">
        <v>1000</v>
      </c>
      <c r="X2726" s="152" t="s">
        <v>23</v>
      </c>
      <c r="Y2726" s="152" t="s">
        <v>1921</v>
      </c>
      <c r="Z2726" s="152" t="s">
        <v>1327</v>
      </c>
    </row>
    <row r="2727" spans="1:26" x14ac:dyDescent="0.2">
      <c r="A2727" s="152" t="s">
        <v>3796</v>
      </c>
      <c r="B2727" s="152">
        <v>0</v>
      </c>
      <c r="C2727" s="151">
        <v>43501</v>
      </c>
      <c r="D2727" s="152">
        <v>0.282192</v>
      </c>
      <c r="E2727" s="152" t="s">
        <v>1325</v>
      </c>
      <c r="F2727" s="152" t="s">
        <v>1326</v>
      </c>
      <c r="G2727" s="152"/>
      <c r="H2727" s="152"/>
      <c r="I2727" s="152" t="s">
        <v>1327</v>
      </c>
      <c r="J2727" s="152" t="s">
        <v>1327</v>
      </c>
      <c r="K2727" s="152" t="s">
        <v>1327</v>
      </c>
      <c r="L2727" s="152" t="s">
        <v>1327</v>
      </c>
      <c r="M2727" s="152" t="s">
        <v>1327</v>
      </c>
      <c r="N2727" s="152" t="s">
        <v>1327</v>
      </c>
      <c r="O2727" s="152">
        <v>1.890808</v>
      </c>
      <c r="P2727" s="152">
        <v>31.932713</v>
      </c>
      <c r="Q2727" s="152">
        <v>1.890808</v>
      </c>
      <c r="R2727" s="152" t="s">
        <v>1327</v>
      </c>
      <c r="S2727" s="152">
        <v>99.469261000000003</v>
      </c>
      <c r="T2727" s="152">
        <v>0</v>
      </c>
      <c r="U2727" s="152">
        <v>0.280694</v>
      </c>
      <c r="V2727" s="152">
        <v>0.157578</v>
      </c>
      <c r="W2727" s="152">
        <v>1000</v>
      </c>
      <c r="X2727" s="152" t="s">
        <v>23</v>
      </c>
      <c r="Y2727" s="152" t="s">
        <v>1921</v>
      </c>
      <c r="Z2727" s="152" t="s">
        <v>1327</v>
      </c>
    </row>
    <row r="2728" spans="1:26" x14ac:dyDescent="0.2">
      <c r="A2728" s="152" t="s">
        <v>3797</v>
      </c>
      <c r="B2728" s="152">
        <v>0</v>
      </c>
      <c r="C2728" s="151">
        <v>43503</v>
      </c>
      <c r="D2728" s="152">
        <v>0.28767100000000001</v>
      </c>
      <c r="E2728" s="152" t="s">
        <v>1325</v>
      </c>
      <c r="F2728" s="152" t="s">
        <v>1326</v>
      </c>
      <c r="G2728" s="152"/>
      <c r="H2728" s="152"/>
      <c r="I2728" s="152" t="s">
        <v>1327</v>
      </c>
      <c r="J2728" s="152" t="s">
        <v>1327</v>
      </c>
      <c r="K2728" s="152" t="s">
        <v>1327</v>
      </c>
      <c r="L2728" s="152" t="s">
        <v>1327</v>
      </c>
      <c r="M2728" s="152" t="s">
        <v>1327</v>
      </c>
      <c r="N2728" s="152" t="s">
        <v>1327</v>
      </c>
      <c r="O2728" s="152">
        <v>1.8960399999999999</v>
      </c>
      <c r="P2728" s="152">
        <v>31.809878000000001</v>
      </c>
      <c r="Q2728" s="152">
        <v>1.8960399999999999</v>
      </c>
      <c r="R2728" s="152" t="s">
        <v>1327</v>
      </c>
      <c r="S2728" s="152">
        <v>99.457522999999995</v>
      </c>
      <c r="T2728" s="152">
        <v>0</v>
      </c>
      <c r="U2728" s="152">
        <v>0.286111</v>
      </c>
      <c r="V2728" s="152">
        <v>0.163719</v>
      </c>
      <c r="W2728" s="152">
        <v>1000</v>
      </c>
      <c r="X2728" s="152" t="s">
        <v>23</v>
      </c>
      <c r="Y2728" s="152" t="s">
        <v>1921</v>
      </c>
      <c r="Z2728" s="152" t="s">
        <v>1327</v>
      </c>
    </row>
    <row r="2729" spans="1:26" x14ac:dyDescent="0.2">
      <c r="A2729" s="152" t="s">
        <v>3798</v>
      </c>
      <c r="B2729" s="152">
        <v>0</v>
      </c>
      <c r="C2729" s="151">
        <v>43426</v>
      </c>
      <c r="D2729" s="152">
        <v>7.6712000000000002E-2</v>
      </c>
      <c r="E2729" s="152" t="s">
        <v>1325</v>
      </c>
      <c r="F2729" s="152" t="s">
        <v>1326</v>
      </c>
      <c r="G2729" s="152"/>
      <c r="H2729" s="152"/>
      <c r="I2729" s="151" t="s">
        <v>1327</v>
      </c>
      <c r="J2729" s="152" t="s">
        <v>1327</v>
      </c>
      <c r="K2729" s="152" t="s">
        <v>1327</v>
      </c>
      <c r="L2729" s="152" t="s">
        <v>1327</v>
      </c>
      <c r="M2729" s="152" t="s">
        <v>1327</v>
      </c>
      <c r="N2729" s="152" t="s">
        <v>1327</v>
      </c>
      <c r="O2729" s="152">
        <v>1.539898</v>
      </c>
      <c r="P2729" s="152">
        <v>29.858122999999999</v>
      </c>
      <c r="Q2729" s="152">
        <v>1.539898</v>
      </c>
      <c r="R2729" s="152" t="s">
        <v>1327</v>
      </c>
      <c r="S2729" s="152">
        <v>99.882009999999994</v>
      </c>
      <c r="T2729" s="152">
        <v>0</v>
      </c>
      <c r="U2729" s="152">
        <v>7.6621999999999996E-2</v>
      </c>
      <c r="V2729" s="152">
        <v>1.1742000000000001E-2</v>
      </c>
      <c r="W2729" s="152">
        <v>1000</v>
      </c>
      <c r="X2729" s="152" t="s">
        <v>23</v>
      </c>
      <c r="Y2729" s="152" t="s">
        <v>1921</v>
      </c>
      <c r="Z2729" s="152" t="s">
        <v>1327</v>
      </c>
    </row>
    <row r="2730" spans="1:26" x14ac:dyDescent="0.2">
      <c r="A2730" s="152" t="s">
        <v>3799</v>
      </c>
      <c r="B2730" s="152">
        <v>0</v>
      </c>
      <c r="C2730" s="151">
        <v>43406</v>
      </c>
      <c r="D2730" s="152">
        <v>2.1918E-2</v>
      </c>
      <c r="E2730" s="152" t="s">
        <v>1325</v>
      </c>
      <c r="F2730" s="152" t="s">
        <v>1326</v>
      </c>
      <c r="G2730" s="152"/>
      <c r="H2730" s="152"/>
      <c r="I2730" s="152" t="s">
        <v>1327</v>
      </c>
      <c r="J2730" s="152" t="s">
        <v>1327</v>
      </c>
      <c r="K2730" s="152" t="s">
        <v>1327</v>
      </c>
      <c r="L2730" s="152" t="s">
        <v>1327</v>
      </c>
      <c r="M2730" s="152" t="s">
        <v>1327</v>
      </c>
      <c r="N2730" s="152" t="s">
        <v>1327</v>
      </c>
      <c r="O2730" s="152">
        <v>1.4693959999999999</v>
      </c>
      <c r="P2730" s="152">
        <v>32.765788999999998</v>
      </c>
      <c r="Q2730" s="152">
        <v>1.4693959999999999</v>
      </c>
      <c r="R2730" s="152" t="s">
        <v>1327</v>
      </c>
      <c r="S2730" s="152">
        <v>99.967804000000001</v>
      </c>
      <c r="T2730" s="152">
        <v>0</v>
      </c>
      <c r="U2730" s="152">
        <v>2.1911E-2</v>
      </c>
      <c r="V2730" s="152">
        <v>9.6000000000000002E-4</v>
      </c>
      <c r="W2730" s="152">
        <v>1000</v>
      </c>
      <c r="X2730" s="152" t="s">
        <v>23</v>
      </c>
      <c r="Y2730" s="152" t="s">
        <v>1921</v>
      </c>
      <c r="Z2730" s="152" t="s">
        <v>1327</v>
      </c>
    </row>
    <row r="2731" spans="1:26" x14ac:dyDescent="0.2">
      <c r="A2731" s="152" t="s">
        <v>3800</v>
      </c>
      <c r="B2731" s="152">
        <v>0</v>
      </c>
      <c r="C2731" s="151">
        <v>43412</v>
      </c>
      <c r="D2731" s="152">
        <v>3.8356000000000001E-2</v>
      </c>
      <c r="E2731" s="152" t="s">
        <v>1325</v>
      </c>
      <c r="F2731" s="152" t="s">
        <v>1326</v>
      </c>
      <c r="G2731" s="152"/>
      <c r="H2731" s="152"/>
      <c r="I2731" s="152" t="s">
        <v>1327</v>
      </c>
      <c r="J2731" s="152" t="s">
        <v>1327</v>
      </c>
      <c r="K2731" s="152" t="s">
        <v>1327</v>
      </c>
      <c r="L2731" s="152" t="s">
        <v>1327</v>
      </c>
      <c r="M2731" s="152" t="s">
        <v>1327</v>
      </c>
      <c r="N2731" s="152" t="s">
        <v>1327</v>
      </c>
      <c r="O2731" s="152">
        <v>1.4686129999999999</v>
      </c>
      <c r="P2731" s="152">
        <v>29.700890000000001</v>
      </c>
      <c r="Q2731" s="152">
        <v>1.4686129999999999</v>
      </c>
      <c r="R2731" s="152" t="s">
        <v>1327</v>
      </c>
      <c r="S2731" s="152">
        <v>99.943701000000004</v>
      </c>
      <c r="T2731" s="152">
        <v>0</v>
      </c>
      <c r="U2731" s="152">
        <v>3.8335000000000001E-2</v>
      </c>
      <c r="V2731" s="152">
        <v>2.9390000000000002E-3</v>
      </c>
      <c r="W2731" s="152">
        <v>1000</v>
      </c>
      <c r="X2731" s="152" t="s">
        <v>23</v>
      </c>
      <c r="Y2731" s="152" t="s">
        <v>1921</v>
      </c>
      <c r="Z2731" s="152" t="s">
        <v>1327</v>
      </c>
    </row>
    <row r="2732" spans="1:26" x14ac:dyDescent="0.2">
      <c r="A2732" s="152" t="s">
        <v>3801</v>
      </c>
      <c r="B2732" s="152">
        <v>0</v>
      </c>
      <c r="C2732" s="151">
        <v>43404</v>
      </c>
      <c r="D2732" s="152">
        <v>1.6438000000000001E-2</v>
      </c>
      <c r="E2732" s="152" t="s">
        <v>1325</v>
      </c>
      <c r="F2732" s="152" t="s">
        <v>1326</v>
      </c>
      <c r="G2732" s="152"/>
      <c r="H2732" s="152"/>
      <c r="I2732" s="151" t="s">
        <v>1327</v>
      </c>
      <c r="J2732" s="152" t="s">
        <v>1327</v>
      </c>
      <c r="K2732" s="152" t="s">
        <v>1327</v>
      </c>
      <c r="L2732" s="152" t="s">
        <v>1327</v>
      </c>
      <c r="M2732" s="152" t="s">
        <v>1327</v>
      </c>
      <c r="N2732" s="152" t="s">
        <v>1327</v>
      </c>
      <c r="O2732" s="152">
        <v>1.469695</v>
      </c>
      <c r="P2732" s="152">
        <v>33.78152</v>
      </c>
      <c r="Q2732" s="152">
        <v>1.469695</v>
      </c>
      <c r="R2732" s="152" t="s">
        <v>1327</v>
      </c>
      <c r="S2732" s="152">
        <v>99.975846000000004</v>
      </c>
      <c r="T2732" s="152">
        <v>0</v>
      </c>
      <c r="U2732" s="152">
        <v>1.6434000000000001E-2</v>
      </c>
      <c r="V2732" s="152">
        <v>5.4000000000000001E-4</v>
      </c>
      <c r="W2732" s="152">
        <v>1000</v>
      </c>
      <c r="X2732" s="152" t="s">
        <v>23</v>
      </c>
      <c r="Y2732" s="152" t="s">
        <v>1921</v>
      </c>
      <c r="Z2732" s="152" t="s">
        <v>1327</v>
      </c>
    </row>
    <row r="2733" spans="1:26" x14ac:dyDescent="0.2">
      <c r="A2733" s="152" t="s">
        <v>3802</v>
      </c>
      <c r="B2733" s="152">
        <v>0</v>
      </c>
      <c r="C2733" s="151">
        <v>43444</v>
      </c>
      <c r="D2733" s="152">
        <v>0.126027</v>
      </c>
      <c r="E2733" s="152" t="s">
        <v>1325</v>
      </c>
      <c r="F2733" s="152" t="s">
        <v>1326</v>
      </c>
      <c r="G2733" s="152"/>
      <c r="H2733" s="152"/>
      <c r="I2733" s="152" t="s">
        <v>1327</v>
      </c>
      <c r="J2733" s="152" t="s">
        <v>1327</v>
      </c>
      <c r="K2733" s="152" t="s">
        <v>1327</v>
      </c>
      <c r="L2733" s="152" t="s">
        <v>1327</v>
      </c>
      <c r="M2733" s="152" t="s">
        <v>1327</v>
      </c>
      <c r="N2733" s="152" t="s">
        <v>1327</v>
      </c>
      <c r="O2733" s="152">
        <v>1.636069</v>
      </c>
      <c r="P2733" s="152">
        <v>30.538307</v>
      </c>
      <c r="Q2733" s="152">
        <v>1.636069</v>
      </c>
      <c r="R2733" s="152" t="s">
        <v>1327</v>
      </c>
      <c r="S2733" s="152">
        <v>99.794235</v>
      </c>
      <c r="T2733" s="152">
        <v>0</v>
      </c>
      <c r="U2733" s="152">
        <v>0.12576799999999999</v>
      </c>
      <c r="V2733" s="152">
        <v>3.1635000000000003E-2</v>
      </c>
      <c r="W2733" s="152">
        <v>1000</v>
      </c>
      <c r="X2733" s="152" t="s">
        <v>23</v>
      </c>
      <c r="Y2733" s="152" t="s">
        <v>1921</v>
      </c>
      <c r="Z2733" s="152" t="s">
        <v>1327</v>
      </c>
    </row>
    <row r="2734" spans="1:26" x14ac:dyDescent="0.2">
      <c r="A2734" s="152" t="s">
        <v>3803</v>
      </c>
      <c r="B2734" s="152">
        <v>0</v>
      </c>
      <c r="C2734" s="151">
        <v>43549</v>
      </c>
      <c r="D2734" s="152">
        <v>0.41369899999999998</v>
      </c>
      <c r="E2734" s="152" t="s">
        <v>1325</v>
      </c>
      <c r="F2734" s="152" t="s">
        <v>1326</v>
      </c>
      <c r="G2734" s="152"/>
      <c r="H2734" s="152"/>
      <c r="I2734" s="152" t="s">
        <v>1327</v>
      </c>
      <c r="J2734" s="152" t="s">
        <v>1327</v>
      </c>
      <c r="K2734" s="152" t="s">
        <v>1327</v>
      </c>
      <c r="L2734" s="152" t="s">
        <v>1327</v>
      </c>
      <c r="M2734" s="152" t="s">
        <v>1327</v>
      </c>
      <c r="N2734" s="152" t="s">
        <v>1327</v>
      </c>
      <c r="O2734" s="152">
        <v>2.0139369999999999</v>
      </c>
      <c r="P2734" s="152">
        <v>32.396597999999997</v>
      </c>
      <c r="Q2734" s="152">
        <v>2.0139369999999999</v>
      </c>
      <c r="R2734" s="152" t="s">
        <v>1327</v>
      </c>
      <c r="S2734" s="152">
        <v>99.173721</v>
      </c>
      <c r="T2734" s="152">
        <v>0</v>
      </c>
      <c r="U2734" s="152">
        <v>0.41027999999999998</v>
      </c>
      <c r="V2734" s="152">
        <v>0.33666000000000001</v>
      </c>
      <c r="W2734" s="152">
        <v>1000</v>
      </c>
      <c r="X2734" s="152" t="s">
        <v>23</v>
      </c>
      <c r="Y2734" s="152" t="s">
        <v>1921</v>
      </c>
      <c r="Z2734" s="152" t="s">
        <v>1327</v>
      </c>
    </row>
    <row r="2735" spans="1:26" x14ac:dyDescent="0.2">
      <c r="A2735" s="152" t="s">
        <v>3804</v>
      </c>
      <c r="B2735" s="152">
        <v>0</v>
      </c>
      <c r="C2735" s="151">
        <v>43442</v>
      </c>
      <c r="D2735" s="152">
        <v>0.120548</v>
      </c>
      <c r="E2735" s="152" t="s">
        <v>1325</v>
      </c>
      <c r="F2735" s="152" t="s">
        <v>1326</v>
      </c>
      <c r="G2735" s="152"/>
      <c r="H2735" s="152"/>
      <c r="I2735" s="151" t="s">
        <v>1327</v>
      </c>
      <c r="J2735" s="152" t="s">
        <v>1327</v>
      </c>
      <c r="K2735" s="152" t="s">
        <v>1327</v>
      </c>
      <c r="L2735" s="152" t="s">
        <v>1327</v>
      </c>
      <c r="M2735" s="152" t="s">
        <v>1327</v>
      </c>
      <c r="N2735" s="152" t="s">
        <v>1327</v>
      </c>
      <c r="O2735" s="152">
        <v>1.6961090000000001</v>
      </c>
      <c r="P2735" s="152">
        <v>37.627642999999999</v>
      </c>
      <c r="Q2735" s="152">
        <v>1.6961090000000001</v>
      </c>
      <c r="R2735" s="152" t="s">
        <v>1327</v>
      </c>
      <c r="S2735" s="152">
        <v>99.795955000000006</v>
      </c>
      <c r="T2735" s="152">
        <v>0</v>
      </c>
      <c r="U2735" s="152">
        <v>0.12030200000000001</v>
      </c>
      <c r="V2735" s="152">
        <v>2.8944999999999999E-2</v>
      </c>
      <c r="W2735" s="152">
        <v>1000</v>
      </c>
      <c r="X2735" s="152" t="s">
        <v>23</v>
      </c>
      <c r="Y2735" s="152" t="s">
        <v>1921</v>
      </c>
      <c r="Z2735" s="152" t="s">
        <v>1327</v>
      </c>
    </row>
    <row r="2736" spans="1:26" x14ac:dyDescent="0.2">
      <c r="A2736" s="152" t="s">
        <v>3805</v>
      </c>
      <c r="B2736" s="152">
        <v>0</v>
      </c>
      <c r="C2736" s="151">
        <v>43443</v>
      </c>
      <c r="D2736" s="152">
        <v>0.12328799999999999</v>
      </c>
      <c r="E2736" s="152" t="s">
        <v>1325</v>
      </c>
      <c r="F2736" s="152" t="s">
        <v>1326</v>
      </c>
      <c r="G2736" s="152"/>
      <c r="H2736" s="152"/>
      <c r="I2736" s="152" t="s">
        <v>1327</v>
      </c>
      <c r="J2736" s="152" t="s">
        <v>1327</v>
      </c>
      <c r="K2736" s="152" t="s">
        <v>1327</v>
      </c>
      <c r="L2736" s="152" t="s">
        <v>1327</v>
      </c>
      <c r="M2736" s="152" t="s">
        <v>1327</v>
      </c>
      <c r="N2736" s="152" t="s">
        <v>1327</v>
      </c>
      <c r="O2736" s="152">
        <v>1.700777</v>
      </c>
      <c r="P2736" s="152">
        <v>37.602229999999999</v>
      </c>
      <c r="Q2736" s="152">
        <v>1.700777</v>
      </c>
      <c r="R2736" s="152" t="s">
        <v>1327</v>
      </c>
      <c r="S2736" s="152">
        <v>99.790754000000007</v>
      </c>
      <c r="T2736" s="152">
        <v>0</v>
      </c>
      <c r="U2736" s="152">
        <v>0.12303</v>
      </c>
      <c r="V2736" s="152">
        <v>3.0273000000000001E-2</v>
      </c>
      <c r="W2736" s="152">
        <v>1000</v>
      </c>
      <c r="X2736" s="152" t="s">
        <v>23</v>
      </c>
      <c r="Y2736" s="152" t="s">
        <v>1921</v>
      </c>
      <c r="Z2736" s="152" t="s">
        <v>1327</v>
      </c>
    </row>
    <row r="2737" spans="1:26" x14ac:dyDescent="0.2">
      <c r="A2737" s="152" t="s">
        <v>3806</v>
      </c>
      <c r="B2737" s="152">
        <v>0</v>
      </c>
      <c r="C2737" s="151">
        <v>43443</v>
      </c>
      <c r="D2737" s="152">
        <v>0.12328799999999999</v>
      </c>
      <c r="E2737" s="152" t="s">
        <v>1325</v>
      </c>
      <c r="F2737" s="152" t="s">
        <v>1326</v>
      </c>
      <c r="G2737" s="152"/>
      <c r="H2737" s="152"/>
      <c r="I2737" s="152" t="s">
        <v>1327</v>
      </c>
      <c r="J2737" s="152" t="s">
        <v>1327</v>
      </c>
      <c r="K2737" s="152" t="s">
        <v>1327</v>
      </c>
      <c r="L2737" s="152" t="s">
        <v>1327</v>
      </c>
      <c r="M2737" s="152" t="s">
        <v>1327</v>
      </c>
      <c r="N2737" s="152" t="s">
        <v>1327</v>
      </c>
      <c r="O2737" s="152">
        <v>1.700777</v>
      </c>
      <c r="P2737" s="152">
        <v>37.602229999999999</v>
      </c>
      <c r="Q2737" s="152">
        <v>1.700777</v>
      </c>
      <c r="R2737" s="152" t="s">
        <v>1327</v>
      </c>
      <c r="S2737" s="152">
        <v>99.790754000000007</v>
      </c>
      <c r="T2737" s="152">
        <v>0</v>
      </c>
      <c r="U2737" s="152">
        <v>0.12303</v>
      </c>
      <c r="V2737" s="152">
        <v>3.0273000000000001E-2</v>
      </c>
      <c r="W2737" s="152">
        <v>1000</v>
      </c>
      <c r="X2737" s="152" t="s">
        <v>23</v>
      </c>
      <c r="Y2737" s="152" t="s">
        <v>1921</v>
      </c>
      <c r="Z2737" s="152" t="s">
        <v>1327</v>
      </c>
    </row>
    <row r="2738" spans="1:26" x14ac:dyDescent="0.2">
      <c r="A2738" s="152" t="s">
        <v>3807</v>
      </c>
      <c r="B2738" s="152">
        <v>0</v>
      </c>
      <c r="C2738" s="151">
        <v>43444</v>
      </c>
      <c r="D2738" s="152">
        <v>0.126027</v>
      </c>
      <c r="E2738" s="152" t="s">
        <v>1325</v>
      </c>
      <c r="F2738" s="152" t="s">
        <v>1326</v>
      </c>
      <c r="G2738" s="152"/>
      <c r="H2738" s="152"/>
      <c r="I2738" s="152" t="s">
        <v>1327</v>
      </c>
      <c r="J2738" s="152" t="s">
        <v>1327</v>
      </c>
      <c r="K2738" s="152" t="s">
        <v>1327</v>
      </c>
      <c r="L2738" s="152" t="s">
        <v>1327</v>
      </c>
      <c r="M2738" s="152" t="s">
        <v>1327</v>
      </c>
      <c r="N2738" s="152" t="s">
        <v>1327</v>
      </c>
      <c r="O2738" s="152">
        <v>1.7054510000000001</v>
      </c>
      <c r="P2738" s="152">
        <v>37.578521000000002</v>
      </c>
      <c r="Q2738" s="152">
        <v>1.7054510000000001</v>
      </c>
      <c r="R2738" s="152" t="s">
        <v>1327</v>
      </c>
      <c r="S2738" s="152">
        <v>99.785527000000002</v>
      </c>
      <c r="T2738" s="152">
        <v>0</v>
      </c>
      <c r="U2738" s="152">
        <v>0.12575700000000001</v>
      </c>
      <c r="V2738" s="152">
        <v>3.1629999999999998E-2</v>
      </c>
      <c r="W2738" s="152">
        <v>1000</v>
      </c>
      <c r="X2738" s="152" t="s">
        <v>23</v>
      </c>
      <c r="Y2738" s="152" t="s">
        <v>1921</v>
      </c>
      <c r="Z2738" s="152" t="s">
        <v>1327</v>
      </c>
    </row>
    <row r="2739" spans="1:26" x14ac:dyDescent="0.2">
      <c r="A2739" s="152" t="s">
        <v>3808</v>
      </c>
      <c r="B2739" s="152">
        <v>0</v>
      </c>
      <c r="C2739" s="151">
        <v>43455</v>
      </c>
      <c r="D2739" s="152">
        <v>0.156164</v>
      </c>
      <c r="E2739" s="152" t="s">
        <v>1325</v>
      </c>
      <c r="F2739" s="152" t="s">
        <v>1326</v>
      </c>
      <c r="G2739" s="152"/>
      <c r="H2739" s="152"/>
      <c r="I2739" s="152" t="s">
        <v>1327</v>
      </c>
      <c r="J2739" s="152" t="s">
        <v>1327</v>
      </c>
      <c r="K2739" s="152" t="s">
        <v>1327</v>
      </c>
      <c r="L2739" s="152" t="s">
        <v>1327</v>
      </c>
      <c r="M2739" s="152" t="s">
        <v>1327</v>
      </c>
      <c r="N2739" s="152" t="s">
        <v>1327</v>
      </c>
      <c r="O2739" s="152">
        <v>1.7572730000000001</v>
      </c>
      <c r="P2739" s="152">
        <v>37.450110000000002</v>
      </c>
      <c r="Q2739" s="152">
        <v>1.7572730000000001</v>
      </c>
      <c r="R2739" s="152" t="s">
        <v>1327</v>
      </c>
      <c r="S2739" s="152">
        <v>99.726327999999995</v>
      </c>
      <c r="T2739" s="152">
        <v>0</v>
      </c>
      <c r="U2739" s="152">
        <v>0.15573699999999999</v>
      </c>
      <c r="V2739" s="152">
        <v>4.8508000000000003E-2</v>
      </c>
      <c r="W2739" s="152">
        <v>1000</v>
      </c>
      <c r="X2739" s="152" t="s">
        <v>23</v>
      </c>
      <c r="Y2739" s="152" t="s">
        <v>1921</v>
      </c>
      <c r="Z2739" s="152" t="s">
        <v>1327</v>
      </c>
    </row>
    <row r="2740" spans="1:26" x14ac:dyDescent="0.2">
      <c r="A2740" s="152" t="s">
        <v>3809</v>
      </c>
      <c r="B2740" s="152">
        <v>0</v>
      </c>
      <c r="C2740" s="151">
        <v>43457</v>
      </c>
      <c r="D2740" s="152">
        <v>0.16164400000000001</v>
      </c>
      <c r="E2740" s="152" t="s">
        <v>1325</v>
      </c>
      <c r="F2740" s="152" t="s">
        <v>1326</v>
      </c>
      <c r="G2740" s="152"/>
      <c r="H2740" s="152"/>
      <c r="I2740" s="152" t="s">
        <v>1327</v>
      </c>
      <c r="J2740" s="152" t="s">
        <v>1327</v>
      </c>
      <c r="K2740" s="152" t="s">
        <v>1327</v>
      </c>
      <c r="L2740" s="152" t="s">
        <v>1327</v>
      </c>
      <c r="M2740" s="152" t="s">
        <v>1327</v>
      </c>
      <c r="N2740" s="152" t="s">
        <v>1327</v>
      </c>
      <c r="O2740" s="152">
        <v>1.766778</v>
      </c>
      <c r="P2740" s="152">
        <v>37.457087999999999</v>
      </c>
      <c r="Q2740" s="152">
        <v>1.766778</v>
      </c>
      <c r="R2740" s="152" t="s">
        <v>1327</v>
      </c>
      <c r="S2740" s="152">
        <v>99.715225000000004</v>
      </c>
      <c r="T2740" s="152">
        <v>0</v>
      </c>
      <c r="U2740" s="152">
        <v>0.16118399999999999</v>
      </c>
      <c r="V2740" s="152">
        <v>5.1959999999999999E-2</v>
      </c>
      <c r="W2740" s="152">
        <v>1000</v>
      </c>
      <c r="X2740" s="152" t="s">
        <v>23</v>
      </c>
      <c r="Y2740" s="152" t="s">
        <v>1921</v>
      </c>
      <c r="Z2740" s="152" t="s">
        <v>1327</v>
      </c>
    </row>
    <row r="2741" spans="1:26" x14ac:dyDescent="0.2">
      <c r="A2741" s="152" t="s">
        <v>3810</v>
      </c>
      <c r="B2741" s="152">
        <v>0</v>
      </c>
      <c r="C2741" s="151">
        <v>43457</v>
      </c>
      <c r="D2741" s="152">
        <v>0.16164400000000001</v>
      </c>
      <c r="E2741" s="152" t="s">
        <v>1325</v>
      </c>
      <c r="F2741" s="152" t="s">
        <v>1326</v>
      </c>
      <c r="G2741" s="152"/>
      <c r="H2741" s="152"/>
      <c r="I2741" s="152" t="s">
        <v>1327</v>
      </c>
      <c r="J2741" s="152" t="s">
        <v>1327</v>
      </c>
      <c r="K2741" s="152" t="s">
        <v>1327</v>
      </c>
      <c r="L2741" s="152" t="s">
        <v>1327</v>
      </c>
      <c r="M2741" s="152" t="s">
        <v>1327</v>
      </c>
      <c r="N2741" s="152" t="s">
        <v>1327</v>
      </c>
      <c r="O2741" s="152">
        <v>1.766778</v>
      </c>
      <c r="P2741" s="152">
        <v>37.457087999999999</v>
      </c>
      <c r="Q2741" s="152">
        <v>1.766778</v>
      </c>
      <c r="R2741" s="152" t="s">
        <v>1327</v>
      </c>
      <c r="S2741" s="152">
        <v>99.715225000000004</v>
      </c>
      <c r="T2741" s="152">
        <v>0</v>
      </c>
      <c r="U2741" s="152">
        <v>0.16118399999999999</v>
      </c>
      <c r="V2741" s="152">
        <v>5.1959999999999999E-2</v>
      </c>
      <c r="W2741" s="152">
        <v>1000</v>
      </c>
      <c r="X2741" s="152" t="s">
        <v>23</v>
      </c>
      <c r="Y2741" s="152" t="s">
        <v>1921</v>
      </c>
      <c r="Z2741" s="152" t="s">
        <v>1327</v>
      </c>
    </row>
    <row r="2742" spans="1:26" x14ac:dyDescent="0.2">
      <c r="A2742" s="152" t="s">
        <v>3811</v>
      </c>
      <c r="B2742" s="152">
        <v>0</v>
      </c>
      <c r="C2742" s="151">
        <v>43458</v>
      </c>
      <c r="D2742" s="152">
        <v>0.164384</v>
      </c>
      <c r="E2742" s="152" t="s">
        <v>1325</v>
      </c>
      <c r="F2742" s="152" t="s">
        <v>1326</v>
      </c>
      <c r="G2742" s="152"/>
      <c r="H2742" s="152"/>
      <c r="I2742" s="152" t="s">
        <v>1327</v>
      </c>
      <c r="J2742" s="152" t="s">
        <v>1327</v>
      </c>
      <c r="K2742" s="152" t="s">
        <v>1327</v>
      </c>
      <c r="L2742" s="152" t="s">
        <v>1327</v>
      </c>
      <c r="M2742" s="152" t="s">
        <v>1327</v>
      </c>
      <c r="N2742" s="152" t="s">
        <v>1327</v>
      </c>
      <c r="O2742" s="152">
        <v>1.771539</v>
      </c>
      <c r="P2742" s="152">
        <v>37.464499000000004</v>
      </c>
      <c r="Q2742" s="152">
        <v>1.771539</v>
      </c>
      <c r="R2742" s="152" t="s">
        <v>1327</v>
      </c>
      <c r="S2742" s="152">
        <v>99.709633999999994</v>
      </c>
      <c r="T2742" s="152">
        <v>0</v>
      </c>
      <c r="U2742" s="152">
        <v>0.163906</v>
      </c>
      <c r="V2742" s="152">
        <v>5.3731000000000001E-2</v>
      </c>
      <c r="W2742" s="152">
        <v>1000</v>
      </c>
      <c r="X2742" s="152" t="s">
        <v>23</v>
      </c>
      <c r="Y2742" s="152" t="s">
        <v>1921</v>
      </c>
      <c r="Z2742" s="152" t="s">
        <v>1327</v>
      </c>
    </row>
    <row r="2743" spans="1:26" x14ac:dyDescent="0.2">
      <c r="A2743" s="152" t="s">
        <v>3812</v>
      </c>
      <c r="B2743" s="152">
        <v>0</v>
      </c>
      <c r="C2743" s="151">
        <v>43458</v>
      </c>
      <c r="D2743" s="152">
        <v>0.164384</v>
      </c>
      <c r="E2743" s="152" t="s">
        <v>1325</v>
      </c>
      <c r="F2743" s="152" t="s">
        <v>1326</v>
      </c>
      <c r="G2743" s="152"/>
      <c r="H2743" s="152"/>
      <c r="I2743" s="152" t="s">
        <v>1327</v>
      </c>
      <c r="J2743" s="152" t="s">
        <v>1327</v>
      </c>
      <c r="K2743" s="152" t="s">
        <v>1327</v>
      </c>
      <c r="L2743" s="152" t="s">
        <v>1327</v>
      </c>
      <c r="M2743" s="152" t="s">
        <v>1327</v>
      </c>
      <c r="N2743" s="152" t="s">
        <v>1327</v>
      </c>
      <c r="O2743" s="152">
        <v>1.771539</v>
      </c>
      <c r="P2743" s="152">
        <v>37.464499000000004</v>
      </c>
      <c r="Q2743" s="152">
        <v>1.771539</v>
      </c>
      <c r="R2743" s="152" t="s">
        <v>1327</v>
      </c>
      <c r="S2743" s="152">
        <v>99.709633999999994</v>
      </c>
      <c r="T2743" s="152">
        <v>0</v>
      </c>
      <c r="U2743" s="152">
        <v>0.163906</v>
      </c>
      <c r="V2743" s="152">
        <v>5.3731000000000001E-2</v>
      </c>
      <c r="W2743" s="152">
        <v>1000</v>
      </c>
      <c r="X2743" s="152" t="s">
        <v>23</v>
      </c>
      <c r="Y2743" s="152" t="s">
        <v>1921</v>
      </c>
      <c r="Z2743" s="152" t="s">
        <v>1327</v>
      </c>
    </row>
    <row r="2744" spans="1:26" x14ac:dyDescent="0.2">
      <c r="A2744" s="152" t="s">
        <v>3813</v>
      </c>
      <c r="B2744" s="152">
        <v>0</v>
      </c>
      <c r="C2744" s="151">
        <v>43458</v>
      </c>
      <c r="D2744" s="152">
        <v>0.164384</v>
      </c>
      <c r="E2744" s="152" t="s">
        <v>1325</v>
      </c>
      <c r="F2744" s="152" t="s">
        <v>1326</v>
      </c>
      <c r="G2744" s="152"/>
      <c r="H2744" s="152"/>
      <c r="I2744" s="152" t="s">
        <v>1327</v>
      </c>
      <c r="J2744" s="152" t="s">
        <v>1327</v>
      </c>
      <c r="K2744" s="152" t="s">
        <v>1327</v>
      </c>
      <c r="L2744" s="152" t="s">
        <v>1327</v>
      </c>
      <c r="M2744" s="152" t="s">
        <v>1327</v>
      </c>
      <c r="N2744" s="152" t="s">
        <v>1327</v>
      </c>
      <c r="O2744" s="152">
        <v>1.771539</v>
      </c>
      <c r="P2744" s="152">
        <v>37.464499000000004</v>
      </c>
      <c r="Q2744" s="152">
        <v>1.771539</v>
      </c>
      <c r="R2744" s="152" t="s">
        <v>1327</v>
      </c>
      <c r="S2744" s="152">
        <v>99.709633999999994</v>
      </c>
      <c r="T2744" s="152">
        <v>0</v>
      </c>
      <c r="U2744" s="152">
        <v>0.163906</v>
      </c>
      <c r="V2744" s="152">
        <v>5.3731000000000001E-2</v>
      </c>
      <c r="W2744" s="152">
        <v>1000</v>
      </c>
      <c r="X2744" s="152" t="s">
        <v>23</v>
      </c>
      <c r="Y2744" s="152" t="s">
        <v>1921</v>
      </c>
      <c r="Z2744" s="152" t="s">
        <v>1327</v>
      </c>
    </row>
    <row r="2745" spans="1:26" x14ac:dyDescent="0.2">
      <c r="A2745" s="152" t="s">
        <v>3814</v>
      </c>
      <c r="B2745" s="152">
        <v>0</v>
      </c>
      <c r="C2745" s="151">
        <v>43465</v>
      </c>
      <c r="D2745" s="152">
        <v>0.183562</v>
      </c>
      <c r="E2745" s="152" t="s">
        <v>1325</v>
      </c>
      <c r="F2745" s="152" t="s">
        <v>1326</v>
      </c>
      <c r="G2745" s="152"/>
      <c r="H2745" s="152"/>
      <c r="I2745" s="152" t="s">
        <v>1327</v>
      </c>
      <c r="J2745" s="152" t="s">
        <v>1327</v>
      </c>
      <c r="K2745" s="152" t="s">
        <v>1327</v>
      </c>
      <c r="L2745" s="152" t="s">
        <v>1327</v>
      </c>
      <c r="M2745" s="152" t="s">
        <v>1327</v>
      </c>
      <c r="N2745" s="152" t="s">
        <v>1327</v>
      </c>
      <c r="O2745" s="152">
        <v>1.805053</v>
      </c>
      <c r="P2745" s="152">
        <v>37.597073000000002</v>
      </c>
      <c r="Q2745" s="152">
        <v>1.805053</v>
      </c>
      <c r="R2745" s="152" t="s">
        <v>1327</v>
      </c>
      <c r="S2745" s="152">
        <v>99.669756000000007</v>
      </c>
      <c r="T2745" s="152">
        <v>0</v>
      </c>
      <c r="U2745" s="152">
        <v>0.18295500000000001</v>
      </c>
      <c r="V2745" s="152">
        <v>6.6945000000000005E-2</v>
      </c>
      <c r="W2745" s="152">
        <v>1000</v>
      </c>
      <c r="X2745" s="152" t="s">
        <v>23</v>
      </c>
      <c r="Y2745" s="152" t="s">
        <v>1921</v>
      </c>
      <c r="Z2745" s="152" t="s">
        <v>1327</v>
      </c>
    </row>
    <row r="2746" spans="1:26" x14ac:dyDescent="0.2">
      <c r="A2746" s="152" t="s">
        <v>3815</v>
      </c>
      <c r="B2746" s="152">
        <v>0</v>
      </c>
      <c r="C2746" s="151">
        <v>43410</v>
      </c>
      <c r="D2746" s="152">
        <v>3.2877000000000003E-2</v>
      </c>
      <c r="E2746" s="152" t="s">
        <v>1325</v>
      </c>
      <c r="F2746" s="152" t="s">
        <v>1326</v>
      </c>
      <c r="G2746" s="152"/>
      <c r="H2746" s="152"/>
      <c r="I2746" s="152" t="s">
        <v>1327</v>
      </c>
      <c r="J2746" s="152" t="s">
        <v>1327</v>
      </c>
      <c r="K2746" s="152" t="s">
        <v>1327</v>
      </c>
      <c r="L2746" s="152" t="s">
        <v>1327</v>
      </c>
      <c r="M2746" s="152" t="s">
        <v>1327</v>
      </c>
      <c r="N2746" s="152" t="s">
        <v>1327</v>
      </c>
      <c r="O2746" s="152">
        <v>1.5373570000000001</v>
      </c>
      <c r="P2746" s="152">
        <v>37.675511</v>
      </c>
      <c r="Q2746" s="152">
        <v>1.5373570000000001</v>
      </c>
      <c r="R2746" s="152" t="s">
        <v>1327</v>
      </c>
      <c r="S2746" s="152">
        <v>99.949482000000003</v>
      </c>
      <c r="T2746" s="152">
        <v>0</v>
      </c>
      <c r="U2746" s="152">
        <v>3.286E-2</v>
      </c>
      <c r="V2746" s="152">
        <v>2.16E-3</v>
      </c>
      <c r="W2746" s="152">
        <v>1000</v>
      </c>
      <c r="X2746" s="152" t="s">
        <v>23</v>
      </c>
      <c r="Y2746" s="152" t="s">
        <v>1921</v>
      </c>
      <c r="Z2746" s="152" t="s">
        <v>1327</v>
      </c>
    </row>
    <row r="2747" spans="1:26" x14ac:dyDescent="0.2">
      <c r="A2747" s="152" t="s">
        <v>3816</v>
      </c>
      <c r="B2747" s="152">
        <v>0</v>
      </c>
      <c r="C2747" s="151">
        <v>43411</v>
      </c>
      <c r="D2747" s="152">
        <v>3.5616000000000002E-2</v>
      </c>
      <c r="E2747" s="152" t="s">
        <v>1325</v>
      </c>
      <c r="F2747" s="152" t="s">
        <v>1326</v>
      </c>
      <c r="G2747" s="152"/>
      <c r="H2747" s="152"/>
      <c r="I2747" s="152" t="s">
        <v>1327</v>
      </c>
      <c r="J2747" s="152" t="s">
        <v>1327</v>
      </c>
      <c r="K2747" s="152" t="s">
        <v>1327</v>
      </c>
      <c r="L2747" s="152" t="s">
        <v>1327</v>
      </c>
      <c r="M2747" s="152" t="s">
        <v>1327</v>
      </c>
      <c r="N2747" s="152" t="s">
        <v>1327</v>
      </c>
      <c r="O2747" s="152">
        <v>1.537234</v>
      </c>
      <c r="P2747" s="152">
        <v>37.163446</v>
      </c>
      <c r="Q2747" s="152">
        <v>1.537234</v>
      </c>
      <c r="R2747" s="152" t="s">
        <v>1327</v>
      </c>
      <c r="S2747" s="152">
        <v>99.945278999999999</v>
      </c>
      <c r="T2747" s="152">
        <v>0</v>
      </c>
      <c r="U2747" s="152">
        <v>3.5596999999999997E-2</v>
      </c>
      <c r="V2747" s="152">
        <v>2.5339999999999998E-3</v>
      </c>
      <c r="W2747" s="152">
        <v>1000</v>
      </c>
      <c r="X2747" s="152" t="s">
        <v>23</v>
      </c>
      <c r="Y2747" s="152" t="s">
        <v>1921</v>
      </c>
      <c r="Z2747" s="152" t="s">
        <v>1327</v>
      </c>
    </row>
    <row r="2748" spans="1:26" x14ac:dyDescent="0.2">
      <c r="A2748" s="152" t="s">
        <v>3817</v>
      </c>
      <c r="B2748" s="152">
        <v>0</v>
      </c>
      <c r="C2748" s="151">
        <v>43424</v>
      </c>
      <c r="D2748" s="152">
        <v>7.1233000000000005E-2</v>
      </c>
      <c r="E2748" s="152" t="s">
        <v>1325</v>
      </c>
      <c r="F2748" s="152" t="s">
        <v>1326</v>
      </c>
      <c r="G2748" s="152"/>
      <c r="H2748" s="152"/>
      <c r="I2748" s="152" t="s">
        <v>1327</v>
      </c>
      <c r="J2748" s="152" t="s">
        <v>1327</v>
      </c>
      <c r="K2748" s="152" t="s">
        <v>1327</v>
      </c>
      <c r="L2748" s="152" t="s">
        <v>1327</v>
      </c>
      <c r="M2748" s="152" t="s">
        <v>1327</v>
      </c>
      <c r="N2748" s="152" t="s">
        <v>1327</v>
      </c>
      <c r="O2748" s="152">
        <v>1.6130660000000001</v>
      </c>
      <c r="P2748" s="152">
        <v>38.297710000000002</v>
      </c>
      <c r="Q2748" s="152">
        <v>1.6130660000000001</v>
      </c>
      <c r="R2748" s="152" t="s">
        <v>1327</v>
      </c>
      <c r="S2748" s="152">
        <v>99.885228999999995</v>
      </c>
      <c r="T2748" s="152">
        <v>0</v>
      </c>
      <c r="U2748" s="152">
        <v>7.1151000000000006E-2</v>
      </c>
      <c r="V2748" s="152">
        <v>1.0125E-2</v>
      </c>
      <c r="W2748" s="152">
        <v>1000</v>
      </c>
      <c r="X2748" s="152" t="s">
        <v>23</v>
      </c>
      <c r="Y2748" s="152" t="s">
        <v>1921</v>
      </c>
      <c r="Z2748" s="152" t="s">
        <v>1327</v>
      </c>
    </row>
    <row r="2749" spans="1:26" x14ac:dyDescent="0.2">
      <c r="A2749" s="152" t="s">
        <v>3818</v>
      </c>
      <c r="B2749" s="152">
        <v>0</v>
      </c>
      <c r="C2749" s="151">
        <v>43425</v>
      </c>
      <c r="D2749" s="152">
        <v>7.3972999999999997E-2</v>
      </c>
      <c r="E2749" s="152" t="s">
        <v>1325</v>
      </c>
      <c r="F2749" s="152" t="s">
        <v>1326</v>
      </c>
      <c r="G2749" s="152"/>
      <c r="H2749" s="152"/>
      <c r="I2749" s="152" t="s">
        <v>1327</v>
      </c>
      <c r="J2749" s="152" t="s">
        <v>1327</v>
      </c>
      <c r="K2749" s="152" t="s">
        <v>1327</v>
      </c>
      <c r="L2749" s="152" t="s">
        <v>1327</v>
      </c>
      <c r="M2749" s="152" t="s">
        <v>1327</v>
      </c>
      <c r="N2749" s="152" t="s">
        <v>1327</v>
      </c>
      <c r="O2749" s="152">
        <v>1.617632</v>
      </c>
      <c r="P2749" s="152">
        <v>38.253402999999999</v>
      </c>
      <c r="Q2749" s="152">
        <v>1.617632</v>
      </c>
      <c r="R2749" s="152" t="s">
        <v>1327</v>
      </c>
      <c r="S2749" s="152">
        <v>99.880482999999998</v>
      </c>
      <c r="T2749" s="152">
        <v>0</v>
      </c>
      <c r="U2749" s="152">
        <v>7.3884000000000005E-2</v>
      </c>
      <c r="V2749" s="152">
        <v>1.0918000000000001E-2</v>
      </c>
      <c r="W2749" s="152">
        <v>1000</v>
      </c>
      <c r="X2749" s="152" t="s">
        <v>23</v>
      </c>
      <c r="Y2749" s="152" t="s">
        <v>1921</v>
      </c>
      <c r="Z2749" s="152" t="s">
        <v>1327</v>
      </c>
    </row>
    <row r="2750" spans="1:26" x14ac:dyDescent="0.2">
      <c r="A2750" s="152" t="s">
        <v>3819</v>
      </c>
      <c r="B2750" s="152">
        <v>0</v>
      </c>
      <c r="C2750" s="151">
        <v>43430</v>
      </c>
      <c r="D2750" s="152">
        <v>8.7670999999999999E-2</v>
      </c>
      <c r="E2750" s="152" t="s">
        <v>1325</v>
      </c>
      <c r="F2750" s="152" t="s">
        <v>1326</v>
      </c>
      <c r="G2750" s="152"/>
      <c r="H2750" s="152"/>
      <c r="I2750" s="152" t="s">
        <v>1327</v>
      </c>
      <c r="J2750" s="152" t="s">
        <v>1327</v>
      </c>
      <c r="K2750" s="152" t="s">
        <v>1327</v>
      </c>
      <c r="L2750" s="152" t="s">
        <v>1327</v>
      </c>
      <c r="M2750" s="152" t="s">
        <v>1327</v>
      </c>
      <c r="N2750" s="152" t="s">
        <v>1327</v>
      </c>
      <c r="O2750" s="152">
        <v>1.640544</v>
      </c>
      <c r="P2750" s="152">
        <v>38.040294000000003</v>
      </c>
      <c r="Q2750" s="152">
        <v>1.640544</v>
      </c>
      <c r="R2750" s="152" t="s">
        <v>1327</v>
      </c>
      <c r="S2750" s="152">
        <v>99.856378000000007</v>
      </c>
      <c r="T2750" s="152">
        <v>0</v>
      </c>
      <c r="U2750" s="152">
        <v>8.7544999999999998E-2</v>
      </c>
      <c r="V2750" s="152">
        <v>1.5328E-2</v>
      </c>
      <c r="W2750" s="152">
        <v>1000</v>
      </c>
      <c r="X2750" s="152" t="s">
        <v>23</v>
      </c>
      <c r="Y2750" s="152" t="s">
        <v>1921</v>
      </c>
      <c r="Z2750" s="152" t="s">
        <v>1327</v>
      </c>
    </row>
    <row r="2751" spans="1:26" x14ac:dyDescent="0.2">
      <c r="A2751" s="152" t="s">
        <v>3820</v>
      </c>
      <c r="B2751" s="152">
        <v>0</v>
      </c>
      <c r="C2751" s="151">
        <v>43430</v>
      </c>
      <c r="D2751" s="152">
        <v>8.7670999999999999E-2</v>
      </c>
      <c r="E2751" s="152" t="s">
        <v>1325</v>
      </c>
      <c r="F2751" s="152" t="s">
        <v>1326</v>
      </c>
      <c r="G2751" s="152"/>
      <c r="H2751" s="152"/>
      <c r="I2751" s="152" t="s">
        <v>1327</v>
      </c>
      <c r="J2751" s="152" t="s">
        <v>1327</v>
      </c>
      <c r="K2751" s="152" t="s">
        <v>1327</v>
      </c>
      <c r="L2751" s="152" t="s">
        <v>1327</v>
      </c>
      <c r="M2751" s="152" t="s">
        <v>1327</v>
      </c>
      <c r="N2751" s="152" t="s">
        <v>1327</v>
      </c>
      <c r="O2751" s="152">
        <v>1.640544</v>
      </c>
      <c r="P2751" s="152">
        <v>38.040294000000003</v>
      </c>
      <c r="Q2751" s="152">
        <v>1.640544</v>
      </c>
      <c r="R2751" s="152" t="s">
        <v>1327</v>
      </c>
      <c r="S2751" s="152">
        <v>99.856378000000007</v>
      </c>
      <c r="T2751" s="152">
        <v>0</v>
      </c>
      <c r="U2751" s="152">
        <v>8.7544999999999998E-2</v>
      </c>
      <c r="V2751" s="152">
        <v>1.5328E-2</v>
      </c>
      <c r="W2751" s="152">
        <v>1000</v>
      </c>
      <c r="X2751" s="152" t="s">
        <v>23</v>
      </c>
      <c r="Y2751" s="152" t="s">
        <v>1921</v>
      </c>
      <c r="Z2751" s="152" t="s">
        <v>1327</v>
      </c>
    </row>
    <row r="2752" spans="1:26" x14ac:dyDescent="0.2">
      <c r="A2752" s="152" t="s">
        <v>3821</v>
      </c>
      <c r="B2752" s="152">
        <v>0</v>
      </c>
      <c r="C2752" s="151">
        <v>43432</v>
      </c>
      <c r="D2752" s="152">
        <v>9.3150999999999998E-2</v>
      </c>
      <c r="E2752" s="152" t="s">
        <v>1325</v>
      </c>
      <c r="F2752" s="152" t="s">
        <v>1326</v>
      </c>
      <c r="G2752" s="152"/>
      <c r="H2752" s="152"/>
      <c r="I2752" s="152" t="s">
        <v>1327</v>
      </c>
      <c r="J2752" s="152" t="s">
        <v>1327</v>
      </c>
      <c r="K2752" s="152" t="s">
        <v>1327</v>
      </c>
      <c r="L2752" s="152" t="s">
        <v>1327</v>
      </c>
      <c r="M2752" s="152" t="s">
        <v>1327</v>
      </c>
      <c r="N2752" s="152" t="s">
        <v>1327</v>
      </c>
      <c r="O2752" s="152">
        <v>1.6497470000000001</v>
      </c>
      <c r="P2752" s="152">
        <v>37.960183999999998</v>
      </c>
      <c r="Q2752" s="152">
        <v>1.6497470000000001</v>
      </c>
      <c r="R2752" s="152" t="s">
        <v>1327</v>
      </c>
      <c r="S2752" s="152">
        <v>99.846560999999994</v>
      </c>
      <c r="T2752" s="152">
        <v>0</v>
      </c>
      <c r="U2752" s="152">
        <v>9.3007999999999993E-2</v>
      </c>
      <c r="V2752" s="152">
        <v>1.7301E-2</v>
      </c>
      <c r="W2752" s="152">
        <v>1000</v>
      </c>
      <c r="X2752" s="152" t="s">
        <v>23</v>
      </c>
      <c r="Y2752" s="152" t="s">
        <v>1921</v>
      </c>
      <c r="Z2752" s="152" t="s">
        <v>1327</v>
      </c>
    </row>
    <row r="2753" spans="1:26" x14ac:dyDescent="0.2">
      <c r="A2753" s="152" t="s">
        <v>3822</v>
      </c>
      <c r="B2753" s="152">
        <v>0</v>
      </c>
      <c r="C2753" s="151">
        <v>43400</v>
      </c>
      <c r="D2753" s="152">
        <v>5.4790000000000004E-3</v>
      </c>
      <c r="E2753" s="152" t="s">
        <v>1325</v>
      </c>
      <c r="F2753" s="152" t="s">
        <v>1326</v>
      </c>
      <c r="G2753" s="152"/>
      <c r="H2753" s="152"/>
      <c r="I2753" s="152" t="s">
        <v>1327</v>
      </c>
      <c r="J2753" s="152" t="s">
        <v>1327</v>
      </c>
      <c r="K2753" s="152" t="s">
        <v>1327</v>
      </c>
      <c r="L2753" s="152" t="s">
        <v>1327</v>
      </c>
      <c r="M2753" s="152" t="s">
        <v>1327</v>
      </c>
      <c r="N2753" s="152" t="s">
        <v>1327</v>
      </c>
      <c r="O2753" s="152">
        <v>1.5388539999999999</v>
      </c>
      <c r="P2753" s="152">
        <v>42.754313000000003</v>
      </c>
      <c r="Q2753" s="152">
        <v>1.5388539999999999</v>
      </c>
      <c r="R2753" s="152" t="s">
        <v>1327</v>
      </c>
      <c r="S2753" s="152">
        <v>99.991568999999998</v>
      </c>
      <c r="T2753" s="152">
        <v>0</v>
      </c>
      <c r="U2753" s="152">
        <v>5.4790000000000004E-3</v>
      </c>
      <c r="V2753" s="152">
        <v>6.0000000000000002E-5</v>
      </c>
      <c r="W2753" s="152">
        <v>1000</v>
      </c>
      <c r="X2753" s="152" t="s">
        <v>23</v>
      </c>
      <c r="Y2753" s="152" t="s">
        <v>1921</v>
      </c>
      <c r="Z2753" s="152" t="s">
        <v>1327</v>
      </c>
    </row>
    <row r="2754" spans="1:26" x14ac:dyDescent="0.2">
      <c r="A2754" s="152" t="s">
        <v>3823</v>
      </c>
      <c r="B2754" s="152">
        <v>0</v>
      </c>
      <c r="C2754" s="151">
        <v>43404</v>
      </c>
      <c r="D2754" s="152">
        <v>1.6438000000000001E-2</v>
      </c>
      <c r="E2754" s="152" t="s">
        <v>1325</v>
      </c>
      <c r="F2754" s="152" t="s">
        <v>1326</v>
      </c>
      <c r="G2754" s="152"/>
      <c r="H2754" s="152"/>
      <c r="I2754" s="152" t="s">
        <v>1327</v>
      </c>
      <c r="J2754" s="152" t="s">
        <v>1327</v>
      </c>
      <c r="K2754" s="152" t="s">
        <v>1327</v>
      </c>
      <c r="L2754" s="152" t="s">
        <v>1327</v>
      </c>
      <c r="M2754" s="152" t="s">
        <v>1327</v>
      </c>
      <c r="N2754" s="152" t="s">
        <v>1327</v>
      </c>
      <c r="O2754" s="152">
        <v>1.538198</v>
      </c>
      <c r="P2754" s="152">
        <v>40.73386</v>
      </c>
      <c r="Q2754" s="152">
        <v>1.538198</v>
      </c>
      <c r="R2754" s="152" t="s">
        <v>1327</v>
      </c>
      <c r="S2754" s="152">
        <v>99.974721000000002</v>
      </c>
      <c r="T2754" s="152">
        <v>0</v>
      </c>
      <c r="U2754" s="152">
        <v>1.6434000000000001E-2</v>
      </c>
      <c r="V2754" s="152">
        <v>5.4000000000000001E-4</v>
      </c>
      <c r="W2754" s="152">
        <v>1000</v>
      </c>
      <c r="X2754" s="152" t="s">
        <v>23</v>
      </c>
      <c r="Y2754" s="152" t="s">
        <v>1921</v>
      </c>
      <c r="Z2754" s="152" t="s">
        <v>1327</v>
      </c>
    </row>
    <row r="2755" spans="1:26" x14ac:dyDescent="0.2">
      <c r="A2755" s="152" t="s">
        <v>3824</v>
      </c>
      <c r="B2755" s="152">
        <v>0</v>
      </c>
      <c r="C2755" s="151">
        <v>43469</v>
      </c>
      <c r="D2755" s="152">
        <v>0.194521</v>
      </c>
      <c r="E2755" s="152" t="s">
        <v>1325</v>
      </c>
      <c r="F2755" s="152" t="s">
        <v>1326</v>
      </c>
      <c r="G2755" s="152"/>
      <c r="H2755" s="152"/>
      <c r="I2755" s="152" t="s">
        <v>1327</v>
      </c>
      <c r="J2755" s="152" t="s">
        <v>1327</v>
      </c>
      <c r="K2755" s="152" t="s">
        <v>1327</v>
      </c>
      <c r="L2755" s="152" t="s">
        <v>1327</v>
      </c>
      <c r="M2755" s="152" t="s">
        <v>1327</v>
      </c>
      <c r="N2755" s="152" t="s">
        <v>1327</v>
      </c>
      <c r="O2755" s="152">
        <v>1.8243499999999999</v>
      </c>
      <c r="P2755" s="152">
        <v>37.742170999999999</v>
      </c>
      <c r="Q2755" s="152">
        <v>1.8243499999999999</v>
      </c>
      <c r="R2755" s="152" t="s">
        <v>1327</v>
      </c>
      <c r="S2755" s="152">
        <v>99.646381000000005</v>
      </c>
      <c r="T2755" s="152">
        <v>0</v>
      </c>
      <c r="U2755" s="152">
        <v>0.19383300000000001</v>
      </c>
      <c r="V2755" s="152">
        <v>7.5142E-2</v>
      </c>
      <c r="W2755" s="152">
        <v>1000</v>
      </c>
      <c r="X2755" s="152" t="s">
        <v>23</v>
      </c>
      <c r="Y2755" s="152" t="s">
        <v>1921</v>
      </c>
      <c r="Z2755" s="152" t="s">
        <v>1327</v>
      </c>
    </row>
    <row r="2756" spans="1:26" x14ac:dyDescent="0.2">
      <c r="A2756" s="152" t="s">
        <v>3825</v>
      </c>
      <c r="B2756" s="152">
        <v>0</v>
      </c>
      <c r="C2756" s="151">
        <v>43471</v>
      </c>
      <c r="D2756" s="152">
        <v>0.2</v>
      </c>
      <c r="E2756" s="152" t="s">
        <v>1325</v>
      </c>
      <c r="F2756" s="152" t="s">
        <v>1326</v>
      </c>
      <c r="G2756" s="152"/>
      <c r="H2756" s="152"/>
      <c r="I2756" s="152" t="s">
        <v>1327</v>
      </c>
      <c r="J2756" s="152" t="s">
        <v>1327</v>
      </c>
      <c r="K2756" s="152" t="s">
        <v>1327</v>
      </c>
      <c r="L2756" s="152" t="s">
        <v>1327</v>
      </c>
      <c r="M2756" s="152" t="s">
        <v>1327</v>
      </c>
      <c r="N2756" s="152" t="s">
        <v>1327</v>
      </c>
      <c r="O2756" s="152">
        <v>1.8340399999999999</v>
      </c>
      <c r="P2756" s="152">
        <v>37.835541999999997</v>
      </c>
      <c r="Q2756" s="152">
        <v>1.8340399999999999</v>
      </c>
      <c r="R2756" s="152" t="s">
        <v>1327</v>
      </c>
      <c r="S2756" s="152">
        <v>99.634533000000005</v>
      </c>
      <c r="T2756" s="152">
        <v>0</v>
      </c>
      <c r="U2756" s="152">
        <v>0.199269</v>
      </c>
      <c r="V2756" s="152">
        <v>7.9416E-2</v>
      </c>
      <c r="W2756" s="152">
        <v>1000</v>
      </c>
      <c r="X2756" s="152" t="s">
        <v>23</v>
      </c>
      <c r="Y2756" s="152" t="s">
        <v>1921</v>
      </c>
      <c r="Z2756" s="152" t="s">
        <v>1327</v>
      </c>
    </row>
    <row r="2757" spans="1:26" x14ac:dyDescent="0.2">
      <c r="A2757" s="152" t="s">
        <v>3826</v>
      </c>
      <c r="B2757" s="152">
        <v>0</v>
      </c>
      <c r="C2757" s="151">
        <v>43471</v>
      </c>
      <c r="D2757" s="152">
        <v>0.2</v>
      </c>
      <c r="E2757" s="152" t="s">
        <v>1325</v>
      </c>
      <c r="F2757" s="152" t="s">
        <v>1326</v>
      </c>
      <c r="G2757" s="152"/>
      <c r="H2757" s="152"/>
      <c r="I2757" s="152" t="s">
        <v>1327</v>
      </c>
      <c r="J2757" s="152" t="s">
        <v>1327</v>
      </c>
      <c r="K2757" s="152" t="s">
        <v>1327</v>
      </c>
      <c r="L2757" s="152" t="s">
        <v>1327</v>
      </c>
      <c r="M2757" s="152" t="s">
        <v>1327</v>
      </c>
      <c r="N2757" s="152" t="s">
        <v>1327</v>
      </c>
      <c r="O2757" s="152">
        <v>1.8340399999999999</v>
      </c>
      <c r="P2757" s="152">
        <v>37.835541999999997</v>
      </c>
      <c r="Q2757" s="152">
        <v>1.8340399999999999</v>
      </c>
      <c r="R2757" s="152" t="s">
        <v>1327</v>
      </c>
      <c r="S2757" s="152">
        <v>99.634533000000005</v>
      </c>
      <c r="T2757" s="152">
        <v>0</v>
      </c>
      <c r="U2757" s="152">
        <v>0.199269</v>
      </c>
      <c r="V2757" s="152">
        <v>7.9416E-2</v>
      </c>
      <c r="W2757" s="152">
        <v>1000</v>
      </c>
      <c r="X2757" s="152" t="s">
        <v>23</v>
      </c>
      <c r="Y2757" s="152" t="s">
        <v>1921</v>
      </c>
      <c r="Z2757" s="152" t="s">
        <v>1327</v>
      </c>
    </row>
    <row r="2758" spans="1:26" x14ac:dyDescent="0.2">
      <c r="A2758" s="152" t="s">
        <v>3827</v>
      </c>
      <c r="B2758" s="152">
        <v>0</v>
      </c>
      <c r="C2758" s="151">
        <v>43471</v>
      </c>
      <c r="D2758" s="152">
        <v>0.2</v>
      </c>
      <c r="E2758" s="152" t="s">
        <v>1325</v>
      </c>
      <c r="F2758" s="152" t="s">
        <v>1326</v>
      </c>
      <c r="G2758" s="152"/>
      <c r="H2758" s="152"/>
      <c r="I2758" s="152" t="s">
        <v>1327</v>
      </c>
      <c r="J2758" s="152" t="s">
        <v>1327</v>
      </c>
      <c r="K2758" s="152" t="s">
        <v>1327</v>
      </c>
      <c r="L2758" s="152" t="s">
        <v>1327</v>
      </c>
      <c r="M2758" s="152" t="s">
        <v>1327</v>
      </c>
      <c r="N2758" s="152" t="s">
        <v>1327</v>
      </c>
      <c r="O2758" s="152">
        <v>1.8340399999999999</v>
      </c>
      <c r="P2758" s="152">
        <v>37.835541999999997</v>
      </c>
      <c r="Q2758" s="152">
        <v>1.8340399999999999</v>
      </c>
      <c r="R2758" s="152" t="s">
        <v>1327</v>
      </c>
      <c r="S2758" s="152">
        <v>99.634533000000005</v>
      </c>
      <c r="T2758" s="152">
        <v>0</v>
      </c>
      <c r="U2758" s="152">
        <v>0.199269</v>
      </c>
      <c r="V2758" s="152">
        <v>7.9416E-2</v>
      </c>
      <c r="W2758" s="152">
        <v>1000</v>
      </c>
      <c r="X2758" s="152" t="s">
        <v>23</v>
      </c>
      <c r="Y2758" s="152" t="s">
        <v>1921</v>
      </c>
      <c r="Z2758" s="152" t="s">
        <v>1327</v>
      </c>
    </row>
    <row r="2759" spans="1:26" x14ac:dyDescent="0.2">
      <c r="A2759" s="152" t="s">
        <v>3828</v>
      </c>
      <c r="B2759" s="152">
        <v>0</v>
      </c>
      <c r="C2759" s="151">
        <v>43472</v>
      </c>
      <c r="D2759" s="152">
        <v>0.20274</v>
      </c>
      <c r="E2759" s="152" t="s">
        <v>1325</v>
      </c>
      <c r="F2759" s="152" t="s">
        <v>1326</v>
      </c>
      <c r="G2759" s="152"/>
      <c r="H2759" s="152"/>
      <c r="I2759" s="152" t="s">
        <v>1327</v>
      </c>
      <c r="J2759" s="152" t="s">
        <v>1327</v>
      </c>
      <c r="K2759" s="152" t="s">
        <v>1327</v>
      </c>
      <c r="L2759" s="152" t="s">
        <v>1327</v>
      </c>
      <c r="M2759" s="152" t="s">
        <v>1327</v>
      </c>
      <c r="N2759" s="152" t="s">
        <v>1327</v>
      </c>
      <c r="O2759" s="152">
        <v>1.8388949999999999</v>
      </c>
      <c r="P2759" s="152">
        <v>37.887599000000002</v>
      </c>
      <c r="Q2759" s="152">
        <v>1.8388949999999999</v>
      </c>
      <c r="R2759" s="152" t="s">
        <v>1327</v>
      </c>
      <c r="S2759" s="152">
        <v>99.628568000000001</v>
      </c>
      <c r="T2759" s="152">
        <v>0</v>
      </c>
      <c r="U2759" s="152">
        <v>0.201987</v>
      </c>
      <c r="V2759" s="152">
        <v>8.1597000000000003E-2</v>
      </c>
      <c r="W2759" s="152">
        <v>1000</v>
      </c>
      <c r="X2759" s="152" t="s">
        <v>23</v>
      </c>
      <c r="Y2759" s="152" t="s">
        <v>1921</v>
      </c>
      <c r="Z2759" s="152" t="s">
        <v>1327</v>
      </c>
    </row>
    <row r="2760" spans="1:26" x14ac:dyDescent="0.2">
      <c r="A2760" s="152" t="s">
        <v>3829</v>
      </c>
      <c r="B2760" s="152">
        <v>0</v>
      </c>
      <c r="C2760" s="151">
        <v>43472</v>
      </c>
      <c r="D2760" s="152">
        <v>0.20274</v>
      </c>
      <c r="E2760" s="152" t="s">
        <v>1325</v>
      </c>
      <c r="F2760" s="152" t="s">
        <v>1326</v>
      </c>
      <c r="G2760" s="152"/>
      <c r="H2760" s="152"/>
      <c r="I2760" s="152" t="s">
        <v>1327</v>
      </c>
      <c r="J2760" s="152" t="s">
        <v>1327</v>
      </c>
      <c r="K2760" s="152" t="s">
        <v>1327</v>
      </c>
      <c r="L2760" s="152" t="s">
        <v>1327</v>
      </c>
      <c r="M2760" s="152" t="s">
        <v>1327</v>
      </c>
      <c r="N2760" s="152" t="s">
        <v>1327</v>
      </c>
      <c r="O2760" s="152">
        <v>1.8388949999999999</v>
      </c>
      <c r="P2760" s="152">
        <v>37.887599000000002</v>
      </c>
      <c r="Q2760" s="152">
        <v>1.8388949999999999</v>
      </c>
      <c r="R2760" s="152" t="s">
        <v>1327</v>
      </c>
      <c r="S2760" s="152">
        <v>99.628568000000001</v>
      </c>
      <c r="T2760" s="152">
        <v>0</v>
      </c>
      <c r="U2760" s="152">
        <v>0.201987</v>
      </c>
      <c r="V2760" s="152">
        <v>8.1597000000000003E-2</v>
      </c>
      <c r="W2760" s="152">
        <v>1000</v>
      </c>
      <c r="X2760" s="152" t="s">
        <v>23</v>
      </c>
      <c r="Y2760" s="152" t="s">
        <v>1921</v>
      </c>
      <c r="Z2760" s="152" t="s">
        <v>1327</v>
      </c>
    </row>
    <row r="2761" spans="1:26" x14ac:dyDescent="0.2">
      <c r="A2761" s="152" t="s">
        <v>3830</v>
      </c>
      <c r="B2761" s="152">
        <v>0</v>
      </c>
      <c r="C2761" s="151">
        <v>43472</v>
      </c>
      <c r="D2761" s="152">
        <v>0.20274</v>
      </c>
      <c r="E2761" s="152" t="s">
        <v>1325</v>
      </c>
      <c r="F2761" s="152" t="s">
        <v>1326</v>
      </c>
      <c r="G2761" s="152"/>
      <c r="H2761" s="152"/>
      <c r="I2761" s="152" t="s">
        <v>1327</v>
      </c>
      <c r="J2761" s="152" t="s">
        <v>1327</v>
      </c>
      <c r="K2761" s="152" t="s">
        <v>1327</v>
      </c>
      <c r="L2761" s="152" t="s">
        <v>1327</v>
      </c>
      <c r="M2761" s="152" t="s">
        <v>1327</v>
      </c>
      <c r="N2761" s="152" t="s">
        <v>1327</v>
      </c>
      <c r="O2761" s="152">
        <v>1.8388949999999999</v>
      </c>
      <c r="P2761" s="152">
        <v>37.887599000000002</v>
      </c>
      <c r="Q2761" s="152">
        <v>1.8388949999999999</v>
      </c>
      <c r="R2761" s="152" t="s">
        <v>1327</v>
      </c>
      <c r="S2761" s="152">
        <v>99.628568000000001</v>
      </c>
      <c r="T2761" s="152">
        <v>0</v>
      </c>
      <c r="U2761" s="152">
        <v>0.201987</v>
      </c>
      <c r="V2761" s="152">
        <v>8.1597000000000003E-2</v>
      </c>
      <c r="W2761" s="152">
        <v>1000</v>
      </c>
      <c r="X2761" s="152" t="s">
        <v>23</v>
      </c>
      <c r="Y2761" s="152" t="s">
        <v>1921</v>
      </c>
      <c r="Z2761" s="152" t="s">
        <v>1327</v>
      </c>
    </row>
    <row r="2762" spans="1:26" x14ac:dyDescent="0.2">
      <c r="A2762" s="152" t="s">
        <v>3831</v>
      </c>
      <c r="B2762" s="152">
        <v>0</v>
      </c>
      <c r="C2762" s="151">
        <v>43473</v>
      </c>
      <c r="D2762" s="152">
        <v>0.20547899999999999</v>
      </c>
      <c r="E2762" s="152" t="s">
        <v>1325</v>
      </c>
      <c r="F2762" s="152" t="s">
        <v>1326</v>
      </c>
      <c r="G2762" s="152"/>
      <c r="H2762" s="152"/>
      <c r="I2762" s="152" t="s">
        <v>1327</v>
      </c>
      <c r="J2762" s="152" t="s">
        <v>1327</v>
      </c>
      <c r="K2762" s="152" t="s">
        <v>1327</v>
      </c>
      <c r="L2762" s="152" t="s">
        <v>1327</v>
      </c>
      <c r="M2762" s="152" t="s">
        <v>1327</v>
      </c>
      <c r="N2762" s="152" t="s">
        <v>1327</v>
      </c>
      <c r="O2762" s="152">
        <v>1.8437570000000001</v>
      </c>
      <c r="P2762" s="152">
        <v>37.943362</v>
      </c>
      <c r="Q2762" s="152">
        <v>1.8437570000000001</v>
      </c>
      <c r="R2762" s="152" t="s">
        <v>1327</v>
      </c>
      <c r="S2762" s="152">
        <v>99.622575999999995</v>
      </c>
      <c r="T2762" s="152">
        <v>0</v>
      </c>
      <c r="U2762" s="152">
        <v>0.204704</v>
      </c>
      <c r="V2762" s="152">
        <v>8.3807000000000006E-2</v>
      </c>
      <c r="W2762" s="152">
        <v>1000</v>
      </c>
      <c r="X2762" s="152" t="s">
        <v>23</v>
      </c>
      <c r="Y2762" s="152" t="s">
        <v>1921</v>
      </c>
      <c r="Z2762" s="152" t="s">
        <v>1327</v>
      </c>
    </row>
    <row r="2763" spans="1:26" x14ac:dyDescent="0.2">
      <c r="A2763" s="152" t="s">
        <v>3832</v>
      </c>
      <c r="B2763" s="152">
        <v>0</v>
      </c>
      <c r="C2763" s="151">
        <v>43475</v>
      </c>
      <c r="D2763" s="152">
        <v>0.21095900000000001</v>
      </c>
      <c r="E2763" s="152" t="s">
        <v>1325</v>
      </c>
      <c r="F2763" s="152" t="s">
        <v>1326</v>
      </c>
      <c r="G2763" s="152"/>
      <c r="H2763" s="152"/>
      <c r="I2763" s="152" t="s">
        <v>1327</v>
      </c>
      <c r="J2763" s="152" t="s">
        <v>1327</v>
      </c>
      <c r="K2763" s="152" t="s">
        <v>1327</v>
      </c>
      <c r="L2763" s="152" t="s">
        <v>1327</v>
      </c>
      <c r="M2763" s="152" t="s">
        <v>1327</v>
      </c>
      <c r="N2763" s="152" t="s">
        <v>1327</v>
      </c>
      <c r="O2763" s="152">
        <v>1.8535010000000001</v>
      </c>
      <c r="P2763" s="152">
        <v>38.066285000000001</v>
      </c>
      <c r="Q2763" s="152">
        <v>1.8535010000000001</v>
      </c>
      <c r="R2763" s="152" t="s">
        <v>1327</v>
      </c>
      <c r="S2763" s="152">
        <v>99.610510000000005</v>
      </c>
      <c r="T2763" s="152">
        <v>0</v>
      </c>
      <c r="U2763" s="152">
        <v>0.21013699999999999</v>
      </c>
      <c r="V2763" s="152">
        <v>8.8315000000000005E-2</v>
      </c>
      <c r="W2763" s="152">
        <v>1000</v>
      </c>
      <c r="X2763" s="152" t="s">
        <v>23</v>
      </c>
      <c r="Y2763" s="152" t="s">
        <v>1921</v>
      </c>
      <c r="Z2763" s="152" t="s">
        <v>1327</v>
      </c>
    </row>
    <row r="2764" spans="1:26" x14ac:dyDescent="0.2">
      <c r="A2764" s="152" t="s">
        <v>3833</v>
      </c>
      <c r="B2764" s="152">
        <v>0</v>
      </c>
      <c r="C2764" s="151">
        <v>43477</v>
      </c>
      <c r="D2764" s="152">
        <v>0.21643799999999999</v>
      </c>
      <c r="E2764" s="152" t="s">
        <v>1325</v>
      </c>
      <c r="F2764" s="152" t="s">
        <v>1326</v>
      </c>
      <c r="G2764" s="152"/>
      <c r="H2764" s="152"/>
      <c r="I2764" s="152" t="s">
        <v>1327</v>
      </c>
      <c r="J2764" s="152" t="s">
        <v>1327</v>
      </c>
      <c r="K2764" s="152" t="s">
        <v>1327</v>
      </c>
      <c r="L2764" s="152" t="s">
        <v>1327</v>
      </c>
      <c r="M2764" s="152" t="s">
        <v>1327</v>
      </c>
      <c r="N2764" s="152" t="s">
        <v>1327</v>
      </c>
      <c r="O2764" s="152">
        <v>1.863275</v>
      </c>
      <c r="P2764" s="152">
        <v>38.204963999999997</v>
      </c>
      <c r="Q2764" s="152">
        <v>1.863275</v>
      </c>
      <c r="R2764" s="152" t="s">
        <v>1327</v>
      </c>
      <c r="S2764" s="152">
        <v>99.598336000000003</v>
      </c>
      <c r="T2764" s="152">
        <v>0</v>
      </c>
      <c r="U2764" s="152">
        <v>0.21556900000000001</v>
      </c>
      <c r="V2764" s="152">
        <v>9.2939999999999995E-2</v>
      </c>
      <c r="W2764" s="152">
        <v>1000</v>
      </c>
      <c r="X2764" s="152" t="s">
        <v>23</v>
      </c>
      <c r="Y2764" s="152" t="s">
        <v>1921</v>
      </c>
      <c r="Z2764" s="152" t="s">
        <v>1327</v>
      </c>
    </row>
    <row r="2765" spans="1:26" x14ac:dyDescent="0.2">
      <c r="A2765" s="152" t="s">
        <v>3834</v>
      </c>
      <c r="B2765" s="152">
        <v>0</v>
      </c>
      <c r="C2765" s="151">
        <v>43481</v>
      </c>
      <c r="D2765" s="152">
        <v>0.22739699999999999</v>
      </c>
      <c r="E2765" s="152" t="s">
        <v>1325</v>
      </c>
      <c r="F2765" s="152" t="s">
        <v>1326</v>
      </c>
      <c r="G2765" s="152"/>
      <c r="H2765" s="152"/>
      <c r="I2765" s="152" t="s">
        <v>1327</v>
      </c>
      <c r="J2765" s="152" t="s">
        <v>1327</v>
      </c>
      <c r="K2765" s="152" t="s">
        <v>1327</v>
      </c>
      <c r="L2765" s="152" t="s">
        <v>1327</v>
      </c>
      <c r="M2765" s="152" t="s">
        <v>1327</v>
      </c>
      <c r="N2765" s="152" t="s">
        <v>1327</v>
      </c>
      <c r="O2765" s="152">
        <v>1.8829050000000001</v>
      </c>
      <c r="P2765" s="152">
        <v>38.531289999999998</v>
      </c>
      <c r="Q2765" s="152">
        <v>1.8829050000000001</v>
      </c>
      <c r="R2765" s="152" t="s">
        <v>1327</v>
      </c>
      <c r="S2765" s="152">
        <v>99.573657999999995</v>
      </c>
      <c r="T2765" s="152">
        <v>0</v>
      </c>
      <c r="U2765" s="152">
        <v>0.22642799999999999</v>
      </c>
      <c r="V2765" s="152">
        <v>0.10253900000000001</v>
      </c>
      <c r="W2765" s="152">
        <v>1000</v>
      </c>
      <c r="X2765" s="152" t="s">
        <v>23</v>
      </c>
      <c r="Y2765" s="152" t="s">
        <v>1921</v>
      </c>
      <c r="Z2765" s="152" t="s">
        <v>1327</v>
      </c>
    </row>
    <row r="2766" spans="1:26" x14ac:dyDescent="0.2">
      <c r="A2766" s="152" t="s">
        <v>3835</v>
      </c>
      <c r="B2766" s="152">
        <v>0</v>
      </c>
      <c r="C2766" s="151">
        <v>43483</v>
      </c>
      <c r="D2766" s="152">
        <v>0.232877</v>
      </c>
      <c r="E2766" s="152" t="s">
        <v>1325</v>
      </c>
      <c r="F2766" s="152" t="s">
        <v>1326</v>
      </c>
      <c r="G2766" s="152"/>
      <c r="H2766" s="152"/>
      <c r="I2766" s="152" t="s">
        <v>1327</v>
      </c>
      <c r="J2766" s="152" t="s">
        <v>1327</v>
      </c>
      <c r="K2766" s="152" t="s">
        <v>1327</v>
      </c>
      <c r="L2766" s="152" t="s">
        <v>1327</v>
      </c>
      <c r="M2766" s="152" t="s">
        <v>1327</v>
      </c>
      <c r="N2766" s="152" t="s">
        <v>1327</v>
      </c>
      <c r="O2766" s="152">
        <v>1.887883</v>
      </c>
      <c r="P2766" s="152">
        <v>38.225036000000003</v>
      </c>
      <c r="Q2766" s="152">
        <v>1.887883</v>
      </c>
      <c r="R2766" s="152" t="s">
        <v>1327</v>
      </c>
      <c r="S2766" s="152">
        <v>99.562280000000001</v>
      </c>
      <c r="T2766" s="152">
        <v>0</v>
      </c>
      <c r="U2766" s="152">
        <v>0.23185700000000001</v>
      </c>
      <c r="V2766" s="152">
        <v>0.107516</v>
      </c>
      <c r="W2766" s="152">
        <v>1000</v>
      </c>
      <c r="X2766" s="152" t="s">
        <v>23</v>
      </c>
      <c r="Y2766" s="152" t="s">
        <v>1921</v>
      </c>
      <c r="Z2766" s="152" t="s">
        <v>1327</v>
      </c>
    </row>
    <row r="2767" spans="1:26" x14ac:dyDescent="0.2">
      <c r="A2767" s="152" t="s">
        <v>3836</v>
      </c>
      <c r="B2767" s="152">
        <v>0</v>
      </c>
      <c r="C2767" s="151">
        <v>43484</v>
      </c>
      <c r="D2767" s="152">
        <v>0.23561599999999999</v>
      </c>
      <c r="E2767" s="152" t="s">
        <v>1325</v>
      </c>
      <c r="F2767" s="152" t="s">
        <v>1326</v>
      </c>
      <c r="G2767" s="152"/>
      <c r="H2767" s="152"/>
      <c r="I2767" s="152" t="s">
        <v>1327</v>
      </c>
      <c r="J2767" s="152" t="s">
        <v>1327</v>
      </c>
      <c r="K2767" s="152" t="s">
        <v>1327</v>
      </c>
      <c r="L2767" s="152" t="s">
        <v>1327</v>
      </c>
      <c r="M2767" s="152" t="s">
        <v>1327</v>
      </c>
      <c r="N2767" s="152" t="s">
        <v>1327</v>
      </c>
      <c r="O2767" s="152">
        <v>1.8903799999999999</v>
      </c>
      <c r="P2767" s="152">
        <v>38.078338000000002</v>
      </c>
      <c r="Q2767" s="152">
        <v>1.8903799999999999</v>
      </c>
      <c r="R2767" s="152" t="s">
        <v>1327</v>
      </c>
      <c r="S2767" s="152">
        <v>99.556569999999994</v>
      </c>
      <c r="T2767" s="152">
        <v>0</v>
      </c>
      <c r="U2767" s="152">
        <v>0.234572</v>
      </c>
      <c r="V2767" s="152">
        <v>0.11004800000000001</v>
      </c>
      <c r="W2767" s="152">
        <v>1000</v>
      </c>
      <c r="X2767" s="152" t="s">
        <v>23</v>
      </c>
      <c r="Y2767" s="152" t="s">
        <v>1921</v>
      </c>
      <c r="Z2767" s="152" t="s">
        <v>1327</v>
      </c>
    </row>
    <row r="2768" spans="1:26" x14ac:dyDescent="0.2">
      <c r="A2768" s="152" t="s">
        <v>3837</v>
      </c>
      <c r="B2768" s="152">
        <v>0</v>
      </c>
      <c r="C2768" s="151">
        <v>43484</v>
      </c>
      <c r="D2768" s="152">
        <v>0.23561599999999999</v>
      </c>
      <c r="E2768" s="152" t="s">
        <v>1325</v>
      </c>
      <c r="F2768" s="152" t="s">
        <v>1326</v>
      </c>
      <c r="G2768" s="152"/>
      <c r="H2768" s="152"/>
      <c r="I2768" s="152" t="s">
        <v>1327</v>
      </c>
      <c r="J2768" s="152" t="s">
        <v>1327</v>
      </c>
      <c r="K2768" s="152" t="s">
        <v>1327</v>
      </c>
      <c r="L2768" s="152" t="s">
        <v>1327</v>
      </c>
      <c r="M2768" s="152" t="s">
        <v>1327</v>
      </c>
      <c r="N2768" s="152" t="s">
        <v>1327</v>
      </c>
      <c r="O2768" s="152">
        <v>1.8903799999999999</v>
      </c>
      <c r="P2768" s="152">
        <v>38.078338000000002</v>
      </c>
      <c r="Q2768" s="152">
        <v>1.8903799999999999</v>
      </c>
      <c r="R2768" s="152" t="s">
        <v>1327</v>
      </c>
      <c r="S2768" s="152">
        <v>99.556569999999994</v>
      </c>
      <c r="T2768" s="152">
        <v>0</v>
      </c>
      <c r="U2768" s="152">
        <v>0.234572</v>
      </c>
      <c r="V2768" s="152">
        <v>0.11004800000000001</v>
      </c>
      <c r="W2768" s="152">
        <v>1000</v>
      </c>
      <c r="X2768" s="152" t="s">
        <v>23</v>
      </c>
      <c r="Y2768" s="152" t="s">
        <v>1921</v>
      </c>
      <c r="Z2768" s="152" t="s">
        <v>1327</v>
      </c>
    </row>
    <row r="2769" spans="1:26" x14ac:dyDescent="0.2">
      <c r="A2769" s="152" t="s">
        <v>3838</v>
      </c>
      <c r="B2769" s="152">
        <v>0</v>
      </c>
      <c r="C2769" s="151">
        <v>43485</v>
      </c>
      <c r="D2769" s="152">
        <v>0.23835600000000001</v>
      </c>
      <c r="E2769" s="152" t="s">
        <v>1325</v>
      </c>
      <c r="F2769" s="152" t="s">
        <v>1326</v>
      </c>
      <c r="G2769" s="152"/>
      <c r="H2769" s="152"/>
      <c r="I2769" s="152" t="s">
        <v>1327</v>
      </c>
      <c r="J2769" s="152" t="s">
        <v>1327</v>
      </c>
      <c r="K2769" s="152" t="s">
        <v>1327</v>
      </c>
      <c r="L2769" s="152" t="s">
        <v>1327</v>
      </c>
      <c r="M2769" s="152" t="s">
        <v>1327</v>
      </c>
      <c r="N2769" s="152" t="s">
        <v>1327</v>
      </c>
      <c r="O2769" s="152">
        <v>1.892882</v>
      </c>
      <c r="P2769" s="152">
        <v>37.935884999999999</v>
      </c>
      <c r="Q2769" s="152">
        <v>1.892882</v>
      </c>
      <c r="R2769" s="152" t="s">
        <v>1327</v>
      </c>
      <c r="S2769" s="152">
        <v>99.550846000000007</v>
      </c>
      <c r="T2769" s="152">
        <v>0</v>
      </c>
      <c r="U2769" s="152">
        <v>0.237286</v>
      </c>
      <c r="V2769" s="152">
        <v>0.112609</v>
      </c>
      <c r="W2769" s="152">
        <v>1000</v>
      </c>
      <c r="X2769" s="152" t="s">
        <v>23</v>
      </c>
      <c r="Y2769" s="152" t="s">
        <v>1921</v>
      </c>
      <c r="Z2769" s="152" t="s">
        <v>1327</v>
      </c>
    </row>
    <row r="2770" spans="1:26" x14ac:dyDescent="0.2">
      <c r="A2770" s="152" t="s">
        <v>3839</v>
      </c>
      <c r="B2770" s="152">
        <v>0</v>
      </c>
      <c r="C2770" s="151">
        <v>43485</v>
      </c>
      <c r="D2770" s="152">
        <v>0.23835600000000001</v>
      </c>
      <c r="E2770" s="152" t="s">
        <v>1325</v>
      </c>
      <c r="F2770" s="152" t="s">
        <v>1326</v>
      </c>
      <c r="G2770" s="152"/>
      <c r="H2770" s="152"/>
      <c r="I2770" s="152" t="s">
        <v>1327</v>
      </c>
      <c r="J2770" s="152" t="s">
        <v>1327</v>
      </c>
      <c r="K2770" s="152" t="s">
        <v>1327</v>
      </c>
      <c r="L2770" s="152" t="s">
        <v>1327</v>
      </c>
      <c r="M2770" s="152" t="s">
        <v>1327</v>
      </c>
      <c r="N2770" s="152" t="s">
        <v>1327</v>
      </c>
      <c r="O2770" s="152">
        <v>1.892882</v>
      </c>
      <c r="P2770" s="152">
        <v>37.935884999999999</v>
      </c>
      <c r="Q2770" s="152">
        <v>1.892882</v>
      </c>
      <c r="R2770" s="152" t="s">
        <v>1327</v>
      </c>
      <c r="S2770" s="152">
        <v>99.550846000000007</v>
      </c>
      <c r="T2770" s="152">
        <v>0</v>
      </c>
      <c r="U2770" s="152">
        <v>0.237286</v>
      </c>
      <c r="V2770" s="152">
        <v>0.112609</v>
      </c>
      <c r="W2770" s="152">
        <v>1000</v>
      </c>
      <c r="X2770" s="152" t="s">
        <v>23</v>
      </c>
      <c r="Y2770" s="152" t="s">
        <v>1921</v>
      </c>
      <c r="Z2770" s="152" t="s">
        <v>1327</v>
      </c>
    </row>
    <row r="2771" spans="1:26" x14ac:dyDescent="0.2">
      <c r="A2771" s="152" t="s">
        <v>3840</v>
      </c>
      <c r="B2771" s="152">
        <v>0</v>
      </c>
      <c r="C2771" s="151">
        <v>43485</v>
      </c>
      <c r="D2771" s="152">
        <v>0.23835600000000001</v>
      </c>
      <c r="E2771" s="152" t="s">
        <v>1325</v>
      </c>
      <c r="F2771" s="152" t="s">
        <v>1326</v>
      </c>
      <c r="G2771" s="152"/>
      <c r="H2771" s="152"/>
      <c r="I2771" s="152" t="s">
        <v>1327</v>
      </c>
      <c r="J2771" s="152" t="s">
        <v>1327</v>
      </c>
      <c r="K2771" s="152" t="s">
        <v>1327</v>
      </c>
      <c r="L2771" s="152" t="s">
        <v>1327</v>
      </c>
      <c r="M2771" s="152" t="s">
        <v>1327</v>
      </c>
      <c r="N2771" s="152" t="s">
        <v>1327</v>
      </c>
      <c r="O2771" s="152">
        <v>1.892882</v>
      </c>
      <c r="P2771" s="152">
        <v>37.935884999999999</v>
      </c>
      <c r="Q2771" s="152">
        <v>1.892882</v>
      </c>
      <c r="R2771" s="152" t="s">
        <v>1327</v>
      </c>
      <c r="S2771" s="152">
        <v>99.550846000000007</v>
      </c>
      <c r="T2771" s="152">
        <v>0</v>
      </c>
      <c r="U2771" s="152">
        <v>0.237286</v>
      </c>
      <c r="V2771" s="152">
        <v>0.112609</v>
      </c>
      <c r="W2771" s="152">
        <v>1000</v>
      </c>
      <c r="X2771" s="152" t="s">
        <v>23</v>
      </c>
      <c r="Y2771" s="152" t="s">
        <v>1921</v>
      </c>
      <c r="Z2771" s="152" t="s">
        <v>1327</v>
      </c>
    </row>
    <row r="2772" spans="1:26" x14ac:dyDescent="0.2">
      <c r="A2772" s="152" t="s">
        <v>3841</v>
      </c>
      <c r="B2772" s="152">
        <v>0</v>
      </c>
      <c r="C2772" s="151">
        <v>43485</v>
      </c>
      <c r="D2772" s="152">
        <v>0.23835600000000001</v>
      </c>
      <c r="E2772" s="152" t="s">
        <v>1325</v>
      </c>
      <c r="F2772" s="152" t="s">
        <v>1326</v>
      </c>
      <c r="G2772" s="152"/>
      <c r="H2772" s="152"/>
      <c r="I2772" s="152" t="s">
        <v>1327</v>
      </c>
      <c r="J2772" s="152" t="s">
        <v>1327</v>
      </c>
      <c r="K2772" s="152" t="s">
        <v>1327</v>
      </c>
      <c r="L2772" s="152" t="s">
        <v>1327</v>
      </c>
      <c r="M2772" s="152" t="s">
        <v>1327</v>
      </c>
      <c r="N2772" s="152" t="s">
        <v>1327</v>
      </c>
      <c r="O2772" s="152">
        <v>1.892882</v>
      </c>
      <c r="P2772" s="152">
        <v>37.935884999999999</v>
      </c>
      <c r="Q2772" s="152">
        <v>1.892882</v>
      </c>
      <c r="R2772" s="152" t="s">
        <v>1327</v>
      </c>
      <c r="S2772" s="152">
        <v>99.550846000000007</v>
      </c>
      <c r="T2772" s="152">
        <v>0</v>
      </c>
      <c r="U2772" s="152">
        <v>0.237286</v>
      </c>
      <c r="V2772" s="152">
        <v>0.112609</v>
      </c>
      <c r="W2772" s="152">
        <v>1000</v>
      </c>
      <c r="X2772" s="152" t="s">
        <v>23</v>
      </c>
      <c r="Y2772" s="152" t="s">
        <v>1921</v>
      </c>
      <c r="Z2772" s="152" t="s">
        <v>1327</v>
      </c>
    </row>
    <row r="2773" spans="1:26" x14ac:dyDescent="0.2">
      <c r="A2773" s="152" t="s">
        <v>3842</v>
      </c>
      <c r="B2773" s="152">
        <v>0</v>
      </c>
      <c r="C2773" s="151">
        <v>43485</v>
      </c>
      <c r="D2773" s="152">
        <v>0.23835600000000001</v>
      </c>
      <c r="E2773" s="152" t="s">
        <v>1325</v>
      </c>
      <c r="F2773" s="152" t="s">
        <v>1326</v>
      </c>
      <c r="G2773" s="152"/>
      <c r="H2773" s="152"/>
      <c r="I2773" s="152" t="s">
        <v>1327</v>
      </c>
      <c r="J2773" s="152" t="s">
        <v>1327</v>
      </c>
      <c r="K2773" s="152" t="s">
        <v>1327</v>
      </c>
      <c r="L2773" s="152" t="s">
        <v>1327</v>
      </c>
      <c r="M2773" s="152" t="s">
        <v>1327</v>
      </c>
      <c r="N2773" s="152" t="s">
        <v>1327</v>
      </c>
      <c r="O2773" s="152">
        <v>1.892882</v>
      </c>
      <c r="P2773" s="152">
        <v>37.935884999999999</v>
      </c>
      <c r="Q2773" s="152">
        <v>1.892882</v>
      </c>
      <c r="R2773" s="152" t="s">
        <v>1327</v>
      </c>
      <c r="S2773" s="152">
        <v>99.550846000000007</v>
      </c>
      <c r="T2773" s="152">
        <v>0</v>
      </c>
      <c r="U2773" s="152">
        <v>0.237286</v>
      </c>
      <c r="V2773" s="152">
        <v>0.112609</v>
      </c>
      <c r="W2773" s="152">
        <v>1000</v>
      </c>
      <c r="X2773" s="152" t="s">
        <v>23</v>
      </c>
      <c r="Y2773" s="152" t="s">
        <v>1921</v>
      </c>
      <c r="Z2773" s="152" t="s">
        <v>1327</v>
      </c>
    </row>
    <row r="2774" spans="1:26" x14ac:dyDescent="0.2">
      <c r="A2774" s="152" t="s">
        <v>3843</v>
      </c>
      <c r="B2774" s="152">
        <v>0</v>
      </c>
      <c r="C2774" s="151">
        <v>43485</v>
      </c>
      <c r="D2774" s="152">
        <v>0.23835600000000001</v>
      </c>
      <c r="E2774" s="152" t="s">
        <v>1325</v>
      </c>
      <c r="F2774" s="152" t="s">
        <v>1326</v>
      </c>
      <c r="G2774" s="152"/>
      <c r="H2774" s="152"/>
      <c r="I2774" s="152" t="s">
        <v>1327</v>
      </c>
      <c r="J2774" s="152" t="s">
        <v>1327</v>
      </c>
      <c r="K2774" s="152" t="s">
        <v>1327</v>
      </c>
      <c r="L2774" s="152" t="s">
        <v>1327</v>
      </c>
      <c r="M2774" s="152" t="s">
        <v>1327</v>
      </c>
      <c r="N2774" s="152" t="s">
        <v>1327</v>
      </c>
      <c r="O2774" s="152">
        <v>1.892882</v>
      </c>
      <c r="P2774" s="152">
        <v>37.935884999999999</v>
      </c>
      <c r="Q2774" s="152">
        <v>1.892882</v>
      </c>
      <c r="R2774" s="152" t="s">
        <v>1327</v>
      </c>
      <c r="S2774" s="152">
        <v>99.550846000000007</v>
      </c>
      <c r="T2774" s="152">
        <v>0</v>
      </c>
      <c r="U2774" s="152">
        <v>0.237286</v>
      </c>
      <c r="V2774" s="152">
        <v>0.112609</v>
      </c>
      <c r="W2774" s="152">
        <v>1000</v>
      </c>
      <c r="X2774" s="152" t="s">
        <v>23</v>
      </c>
      <c r="Y2774" s="152" t="s">
        <v>1921</v>
      </c>
      <c r="Z2774" s="152" t="s">
        <v>1327</v>
      </c>
    </row>
    <row r="2775" spans="1:26" x14ac:dyDescent="0.2">
      <c r="A2775" s="152" t="s">
        <v>3844</v>
      </c>
      <c r="B2775" s="152">
        <v>0</v>
      </c>
      <c r="C2775" s="151">
        <v>43489</v>
      </c>
      <c r="D2775" s="152">
        <v>0.24931500000000001</v>
      </c>
      <c r="E2775" s="152" t="s">
        <v>1325</v>
      </c>
      <c r="F2775" s="152" t="s">
        <v>1326</v>
      </c>
      <c r="G2775" s="152"/>
      <c r="H2775" s="152"/>
      <c r="I2775" s="152" t="s">
        <v>1327</v>
      </c>
      <c r="J2775" s="152" t="s">
        <v>1327</v>
      </c>
      <c r="K2775" s="152" t="s">
        <v>1327</v>
      </c>
      <c r="L2775" s="152" t="s">
        <v>1327</v>
      </c>
      <c r="M2775" s="152" t="s">
        <v>1327</v>
      </c>
      <c r="N2775" s="152" t="s">
        <v>1327</v>
      </c>
      <c r="O2775" s="152">
        <v>1.9029130000000001</v>
      </c>
      <c r="P2775" s="152">
        <v>37.407865999999999</v>
      </c>
      <c r="Q2775" s="152">
        <v>1.9029130000000001</v>
      </c>
      <c r="R2775" s="152" t="s">
        <v>1327</v>
      </c>
      <c r="S2775" s="152">
        <v>99.527815000000004</v>
      </c>
      <c r="T2775" s="152">
        <v>0</v>
      </c>
      <c r="U2775" s="152">
        <v>0.248138</v>
      </c>
      <c r="V2775" s="152">
        <v>0.123145</v>
      </c>
      <c r="W2775" s="152">
        <v>1000</v>
      </c>
      <c r="X2775" s="152" t="s">
        <v>23</v>
      </c>
      <c r="Y2775" s="152" t="s">
        <v>1921</v>
      </c>
      <c r="Z2775" s="152" t="s">
        <v>1327</v>
      </c>
    </row>
    <row r="2776" spans="1:26" x14ac:dyDescent="0.2">
      <c r="A2776" s="152" t="s">
        <v>3845</v>
      </c>
      <c r="B2776" s="152">
        <v>0</v>
      </c>
      <c r="C2776" s="151">
        <v>43489</v>
      </c>
      <c r="D2776" s="152">
        <v>0.24931500000000001</v>
      </c>
      <c r="E2776" s="152" t="s">
        <v>1325</v>
      </c>
      <c r="F2776" s="152" t="s">
        <v>1326</v>
      </c>
      <c r="G2776" s="152"/>
      <c r="H2776" s="152"/>
      <c r="I2776" s="152" t="s">
        <v>1327</v>
      </c>
      <c r="J2776" s="152" t="s">
        <v>1327</v>
      </c>
      <c r="K2776" s="152" t="s">
        <v>1327</v>
      </c>
      <c r="L2776" s="152" t="s">
        <v>1327</v>
      </c>
      <c r="M2776" s="152" t="s">
        <v>1327</v>
      </c>
      <c r="N2776" s="152" t="s">
        <v>1327</v>
      </c>
      <c r="O2776" s="152">
        <v>1.9029130000000001</v>
      </c>
      <c r="P2776" s="152">
        <v>37.407865999999999</v>
      </c>
      <c r="Q2776" s="152">
        <v>1.9029130000000001</v>
      </c>
      <c r="R2776" s="152" t="s">
        <v>1327</v>
      </c>
      <c r="S2776" s="152">
        <v>99.527815000000004</v>
      </c>
      <c r="T2776" s="152">
        <v>0</v>
      </c>
      <c r="U2776" s="152">
        <v>0.248138</v>
      </c>
      <c r="V2776" s="152">
        <v>0.123145</v>
      </c>
      <c r="W2776" s="152">
        <v>1000</v>
      </c>
      <c r="X2776" s="152" t="s">
        <v>23</v>
      </c>
      <c r="Y2776" s="152" t="s">
        <v>1921</v>
      </c>
      <c r="Z2776" s="152" t="s">
        <v>1327</v>
      </c>
    </row>
    <row r="2777" spans="1:26" x14ac:dyDescent="0.2">
      <c r="A2777" s="152" t="s">
        <v>3846</v>
      </c>
      <c r="B2777" s="152">
        <v>0</v>
      </c>
      <c r="C2777" s="151">
        <v>43493</v>
      </c>
      <c r="D2777" s="152">
        <v>0.26027400000000001</v>
      </c>
      <c r="E2777" s="152" t="s">
        <v>1325</v>
      </c>
      <c r="F2777" s="152" t="s">
        <v>1326</v>
      </c>
      <c r="G2777" s="152"/>
      <c r="H2777" s="152"/>
      <c r="I2777" s="152" t="s">
        <v>1327</v>
      </c>
      <c r="J2777" s="152" t="s">
        <v>1327</v>
      </c>
      <c r="K2777" s="152" t="s">
        <v>1327</v>
      </c>
      <c r="L2777" s="152" t="s">
        <v>1327</v>
      </c>
      <c r="M2777" s="152" t="s">
        <v>1327</v>
      </c>
      <c r="N2777" s="152" t="s">
        <v>1327</v>
      </c>
      <c r="O2777" s="152">
        <v>1.9129449999999999</v>
      </c>
      <c r="P2777" s="152">
        <v>36.945175999999996</v>
      </c>
      <c r="Q2777" s="152">
        <v>1.9129449999999999</v>
      </c>
      <c r="R2777" s="152" t="s">
        <v>1327</v>
      </c>
      <c r="S2777" s="152">
        <v>99.504576999999998</v>
      </c>
      <c r="T2777" s="152">
        <v>0</v>
      </c>
      <c r="U2777" s="152">
        <v>0.25898500000000002</v>
      </c>
      <c r="V2777" s="152">
        <v>0.13414599999999999</v>
      </c>
      <c r="W2777" s="152">
        <v>1000</v>
      </c>
      <c r="X2777" s="152" t="s">
        <v>23</v>
      </c>
      <c r="Y2777" s="152" t="s">
        <v>1921</v>
      </c>
      <c r="Z2777" s="152" t="s">
        <v>1327</v>
      </c>
    </row>
    <row r="2778" spans="1:26" x14ac:dyDescent="0.2">
      <c r="A2778" s="152" t="s">
        <v>3847</v>
      </c>
      <c r="B2778" s="152">
        <v>0</v>
      </c>
      <c r="C2778" s="151">
        <v>43493</v>
      </c>
      <c r="D2778" s="152">
        <v>0.26027400000000001</v>
      </c>
      <c r="E2778" s="152" t="s">
        <v>1325</v>
      </c>
      <c r="F2778" s="152" t="s">
        <v>1326</v>
      </c>
      <c r="G2778" s="152"/>
      <c r="H2778" s="152"/>
      <c r="I2778" s="152" t="s">
        <v>1327</v>
      </c>
      <c r="J2778" s="152" t="s">
        <v>1327</v>
      </c>
      <c r="K2778" s="152" t="s">
        <v>1327</v>
      </c>
      <c r="L2778" s="152" t="s">
        <v>1327</v>
      </c>
      <c r="M2778" s="152" t="s">
        <v>1327</v>
      </c>
      <c r="N2778" s="152" t="s">
        <v>1327</v>
      </c>
      <c r="O2778" s="152">
        <v>1.9129449999999999</v>
      </c>
      <c r="P2778" s="152">
        <v>36.945175999999996</v>
      </c>
      <c r="Q2778" s="152">
        <v>1.9129449999999999</v>
      </c>
      <c r="R2778" s="152" t="s">
        <v>1327</v>
      </c>
      <c r="S2778" s="152">
        <v>99.504576999999998</v>
      </c>
      <c r="T2778" s="152">
        <v>0</v>
      </c>
      <c r="U2778" s="152">
        <v>0.25898500000000002</v>
      </c>
      <c r="V2778" s="152">
        <v>0.13414599999999999</v>
      </c>
      <c r="W2778" s="152">
        <v>1000</v>
      </c>
      <c r="X2778" s="152" t="s">
        <v>23</v>
      </c>
      <c r="Y2778" s="152" t="s">
        <v>1921</v>
      </c>
      <c r="Z2778" s="152" t="s">
        <v>1327</v>
      </c>
    </row>
    <row r="2779" spans="1:26" x14ac:dyDescent="0.2">
      <c r="A2779" s="152" t="s">
        <v>3848</v>
      </c>
      <c r="B2779" s="152">
        <v>0</v>
      </c>
      <c r="C2779" s="151">
        <v>43494</v>
      </c>
      <c r="D2779" s="152">
        <v>0.26301400000000003</v>
      </c>
      <c r="E2779" s="152" t="s">
        <v>1325</v>
      </c>
      <c r="F2779" s="152" t="s">
        <v>1326</v>
      </c>
      <c r="G2779" s="152"/>
      <c r="H2779" s="152"/>
      <c r="I2779" s="152" t="s">
        <v>1327</v>
      </c>
      <c r="J2779" s="152" t="s">
        <v>1327</v>
      </c>
      <c r="K2779" s="152" t="s">
        <v>1327</v>
      </c>
      <c r="L2779" s="152" t="s">
        <v>1327</v>
      </c>
      <c r="M2779" s="152" t="s">
        <v>1327</v>
      </c>
      <c r="N2779" s="152" t="s">
        <v>1327</v>
      </c>
      <c r="O2779" s="152">
        <v>1.915451</v>
      </c>
      <c r="P2779" s="152">
        <v>36.839469999999999</v>
      </c>
      <c r="Q2779" s="152">
        <v>1.915451</v>
      </c>
      <c r="R2779" s="152" t="s">
        <v>1327</v>
      </c>
      <c r="S2779" s="152">
        <v>99.498734999999996</v>
      </c>
      <c r="T2779" s="152">
        <v>0</v>
      </c>
      <c r="U2779" s="152">
        <v>0.26169500000000001</v>
      </c>
      <c r="V2779" s="152">
        <v>0.13696900000000001</v>
      </c>
      <c r="W2779" s="152">
        <v>1000</v>
      </c>
      <c r="X2779" s="152" t="s">
        <v>23</v>
      </c>
      <c r="Y2779" s="152" t="s">
        <v>1921</v>
      </c>
      <c r="Z2779" s="152" t="s">
        <v>1327</v>
      </c>
    </row>
    <row r="2780" spans="1:26" x14ac:dyDescent="0.2">
      <c r="A2780" s="152" t="s">
        <v>3849</v>
      </c>
      <c r="B2780" s="152">
        <v>0</v>
      </c>
      <c r="C2780" s="151">
        <v>43495</v>
      </c>
      <c r="D2780" s="152">
        <v>0.26575300000000002</v>
      </c>
      <c r="E2780" s="152" t="s">
        <v>1325</v>
      </c>
      <c r="F2780" s="152" t="s">
        <v>1326</v>
      </c>
      <c r="G2780" s="152"/>
      <c r="H2780" s="152"/>
      <c r="I2780" s="152" t="s">
        <v>1327</v>
      </c>
      <c r="J2780" s="152" t="s">
        <v>1327</v>
      </c>
      <c r="K2780" s="152" t="s">
        <v>1327</v>
      </c>
      <c r="L2780" s="152" t="s">
        <v>1327</v>
      </c>
      <c r="M2780" s="152" t="s">
        <v>1327</v>
      </c>
      <c r="N2780" s="152" t="s">
        <v>1327</v>
      </c>
      <c r="O2780" s="152">
        <v>1.9179569999999999</v>
      </c>
      <c r="P2780" s="152">
        <v>36.737685999999997</v>
      </c>
      <c r="Q2780" s="152">
        <v>1.9179569999999999</v>
      </c>
      <c r="R2780" s="152" t="s">
        <v>1327</v>
      </c>
      <c r="S2780" s="152">
        <v>99.492880999999997</v>
      </c>
      <c r="T2780" s="152">
        <v>0</v>
      </c>
      <c r="U2780" s="152">
        <v>0.26440599999999997</v>
      </c>
      <c r="V2780" s="152">
        <v>0.139821</v>
      </c>
      <c r="W2780" s="152">
        <v>1000</v>
      </c>
      <c r="X2780" s="152" t="s">
        <v>23</v>
      </c>
      <c r="Y2780" s="152" t="s">
        <v>1921</v>
      </c>
      <c r="Z2780" s="152" t="s">
        <v>1327</v>
      </c>
    </row>
    <row r="2781" spans="1:26" x14ac:dyDescent="0.2">
      <c r="A2781" s="152" t="s">
        <v>3850</v>
      </c>
      <c r="B2781" s="152">
        <v>0</v>
      </c>
      <c r="C2781" s="151">
        <v>43496</v>
      </c>
      <c r="D2781" s="152">
        <v>0.26849299999999998</v>
      </c>
      <c r="E2781" s="152" t="s">
        <v>1325</v>
      </c>
      <c r="F2781" s="152" t="s">
        <v>1326</v>
      </c>
      <c r="G2781" s="152"/>
      <c r="H2781" s="152"/>
      <c r="I2781" s="152" t="s">
        <v>1327</v>
      </c>
      <c r="J2781" s="152" t="s">
        <v>1327</v>
      </c>
      <c r="K2781" s="152" t="s">
        <v>1327</v>
      </c>
      <c r="L2781" s="152" t="s">
        <v>1327</v>
      </c>
      <c r="M2781" s="152" t="s">
        <v>1327</v>
      </c>
      <c r="N2781" s="152" t="s">
        <v>1327</v>
      </c>
      <c r="O2781" s="152">
        <v>1.9204619999999999</v>
      </c>
      <c r="P2781" s="152">
        <v>36.639792</v>
      </c>
      <c r="Q2781" s="152">
        <v>1.9204619999999999</v>
      </c>
      <c r="R2781" s="152" t="s">
        <v>1327</v>
      </c>
      <c r="S2781" s="152">
        <v>99.487014000000002</v>
      </c>
      <c r="T2781" s="152">
        <v>0</v>
      </c>
      <c r="U2781" s="152">
        <v>0.26711600000000002</v>
      </c>
      <c r="V2781" s="152">
        <v>0.142702</v>
      </c>
      <c r="W2781" s="152">
        <v>1000</v>
      </c>
      <c r="X2781" s="152" t="s">
        <v>23</v>
      </c>
      <c r="Y2781" s="152" t="s">
        <v>1921</v>
      </c>
      <c r="Z2781" s="152" t="s">
        <v>1327</v>
      </c>
    </row>
    <row r="2782" spans="1:26" x14ac:dyDescent="0.2">
      <c r="A2782" s="152" t="s">
        <v>3851</v>
      </c>
      <c r="B2782" s="152">
        <v>0</v>
      </c>
      <c r="C2782" s="151">
        <v>43498</v>
      </c>
      <c r="D2782" s="152">
        <v>0.27397300000000002</v>
      </c>
      <c r="E2782" s="152" t="s">
        <v>1325</v>
      </c>
      <c r="F2782" s="152" t="s">
        <v>1326</v>
      </c>
      <c r="G2782" s="152"/>
      <c r="H2782" s="152"/>
      <c r="I2782" s="152" t="s">
        <v>1327</v>
      </c>
      <c r="J2782" s="152" t="s">
        <v>1327</v>
      </c>
      <c r="K2782" s="152" t="s">
        <v>1327</v>
      </c>
      <c r="L2782" s="152" t="s">
        <v>1327</v>
      </c>
      <c r="M2782" s="152" t="s">
        <v>1327</v>
      </c>
      <c r="N2782" s="152" t="s">
        <v>1327</v>
      </c>
      <c r="O2782" s="152">
        <v>1.92547</v>
      </c>
      <c r="P2782" s="152">
        <v>36.455545000000001</v>
      </c>
      <c r="Q2782" s="152">
        <v>1.92547</v>
      </c>
      <c r="R2782" s="152" t="s">
        <v>1327</v>
      </c>
      <c r="S2782" s="152">
        <v>99.475241999999994</v>
      </c>
      <c r="T2782" s="152">
        <v>0</v>
      </c>
      <c r="U2782" s="152">
        <v>0.27253500000000003</v>
      </c>
      <c r="V2782" s="152">
        <v>0.14855099999999999</v>
      </c>
      <c r="W2782" s="152">
        <v>1000</v>
      </c>
      <c r="X2782" s="152" t="s">
        <v>23</v>
      </c>
      <c r="Y2782" s="152" t="s">
        <v>1921</v>
      </c>
      <c r="Z2782" s="152" t="s">
        <v>1327</v>
      </c>
    </row>
    <row r="2783" spans="1:26" x14ac:dyDescent="0.2">
      <c r="A2783" s="152" t="s">
        <v>3852</v>
      </c>
      <c r="B2783" s="152">
        <v>0</v>
      </c>
      <c r="C2783" s="151">
        <v>43500</v>
      </c>
      <c r="D2783" s="152">
        <v>0.27945199999999998</v>
      </c>
      <c r="E2783" s="152" t="s">
        <v>1325</v>
      </c>
      <c r="F2783" s="152" t="s">
        <v>1326</v>
      </c>
      <c r="G2783" s="152"/>
      <c r="H2783" s="152"/>
      <c r="I2783" s="152" t="s">
        <v>1327</v>
      </c>
      <c r="J2783" s="152" t="s">
        <v>1327</v>
      </c>
      <c r="K2783" s="152" t="s">
        <v>1327</v>
      </c>
      <c r="L2783" s="152" t="s">
        <v>1327</v>
      </c>
      <c r="M2783" s="152" t="s">
        <v>1327</v>
      </c>
      <c r="N2783" s="152" t="s">
        <v>1327</v>
      </c>
      <c r="O2783" s="152">
        <v>1.930474</v>
      </c>
      <c r="P2783" s="152">
        <v>36.286473000000001</v>
      </c>
      <c r="Q2783" s="152">
        <v>1.930474</v>
      </c>
      <c r="R2783" s="152" t="s">
        <v>1327</v>
      </c>
      <c r="S2783" s="152">
        <v>99.463419999999999</v>
      </c>
      <c r="T2783" s="152">
        <v>0</v>
      </c>
      <c r="U2783" s="152">
        <v>0.27795300000000001</v>
      </c>
      <c r="V2783" s="152">
        <v>0.15451500000000001</v>
      </c>
      <c r="W2783" s="152">
        <v>1000</v>
      </c>
      <c r="X2783" s="152" t="s">
        <v>23</v>
      </c>
      <c r="Y2783" s="152" t="s">
        <v>1921</v>
      </c>
      <c r="Z2783" s="152" t="s">
        <v>1327</v>
      </c>
    </row>
    <row r="2784" spans="1:26" x14ac:dyDescent="0.2">
      <c r="A2784" s="152" t="s">
        <v>3853</v>
      </c>
      <c r="B2784" s="152">
        <v>0</v>
      </c>
      <c r="C2784" s="151">
        <v>43500</v>
      </c>
      <c r="D2784" s="152">
        <v>0.27945199999999998</v>
      </c>
      <c r="E2784" s="152" t="s">
        <v>1325</v>
      </c>
      <c r="F2784" s="152" t="s">
        <v>1326</v>
      </c>
      <c r="G2784" s="152"/>
      <c r="H2784" s="152"/>
      <c r="I2784" s="152" t="s">
        <v>1327</v>
      </c>
      <c r="J2784" s="152" t="s">
        <v>1327</v>
      </c>
      <c r="K2784" s="152" t="s">
        <v>1327</v>
      </c>
      <c r="L2784" s="152" t="s">
        <v>1327</v>
      </c>
      <c r="M2784" s="152" t="s">
        <v>1327</v>
      </c>
      <c r="N2784" s="152" t="s">
        <v>1327</v>
      </c>
      <c r="O2784" s="152">
        <v>1.930474</v>
      </c>
      <c r="P2784" s="152">
        <v>36.286473000000001</v>
      </c>
      <c r="Q2784" s="152">
        <v>1.930474</v>
      </c>
      <c r="R2784" s="152" t="s">
        <v>1327</v>
      </c>
      <c r="S2784" s="152">
        <v>99.463419999999999</v>
      </c>
      <c r="T2784" s="152">
        <v>0</v>
      </c>
      <c r="U2784" s="152">
        <v>0.27795300000000001</v>
      </c>
      <c r="V2784" s="152">
        <v>0.15451500000000001</v>
      </c>
      <c r="W2784" s="152">
        <v>1000</v>
      </c>
      <c r="X2784" s="152" t="s">
        <v>23</v>
      </c>
      <c r="Y2784" s="152" t="s">
        <v>1921</v>
      </c>
      <c r="Z2784" s="152" t="s">
        <v>1327</v>
      </c>
    </row>
    <row r="2785" spans="1:26" x14ac:dyDescent="0.2">
      <c r="A2785" s="152" t="s">
        <v>3854</v>
      </c>
      <c r="B2785" s="152">
        <v>0</v>
      </c>
      <c r="C2785" s="151">
        <v>43501</v>
      </c>
      <c r="D2785" s="152">
        <v>0.282192</v>
      </c>
      <c r="E2785" s="152" t="s">
        <v>1325</v>
      </c>
      <c r="F2785" s="152" t="s">
        <v>1326</v>
      </c>
      <c r="G2785" s="152"/>
      <c r="H2785" s="152"/>
      <c r="I2785" s="152" t="s">
        <v>1327</v>
      </c>
      <c r="J2785" s="152" t="s">
        <v>1327</v>
      </c>
      <c r="K2785" s="152" t="s">
        <v>1327</v>
      </c>
      <c r="L2785" s="152" t="s">
        <v>1327</v>
      </c>
      <c r="M2785" s="152" t="s">
        <v>1327</v>
      </c>
      <c r="N2785" s="152" t="s">
        <v>1327</v>
      </c>
      <c r="O2785" s="152">
        <v>1.9329750000000001</v>
      </c>
      <c r="P2785" s="152">
        <v>36.207546999999998</v>
      </c>
      <c r="Q2785" s="152">
        <v>1.9329750000000001</v>
      </c>
      <c r="R2785" s="152" t="s">
        <v>1327</v>
      </c>
      <c r="S2785" s="152">
        <v>99.457490000000007</v>
      </c>
      <c r="T2785" s="152">
        <v>0</v>
      </c>
      <c r="U2785" s="152">
        <v>0.28066099999999999</v>
      </c>
      <c r="V2785" s="152">
        <v>0.15754099999999999</v>
      </c>
      <c r="W2785" s="152">
        <v>1000</v>
      </c>
      <c r="X2785" s="152" t="s">
        <v>23</v>
      </c>
      <c r="Y2785" s="152" t="s">
        <v>1921</v>
      </c>
      <c r="Z2785" s="152" t="s">
        <v>1327</v>
      </c>
    </row>
    <row r="2786" spans="1:26" x14ac:dyDescent="0.2">
      <c r="A2786" s="152" t="s">
        <v>3855</v>
      </c>
      <c r="B2786" s="152">
        <v>0</v>
      </c>
      <c r="C2786" s="151">
        <v>43501</v>
      </c>
      <c r="D2786" s="152">
        <v>0.282192</v>
      </c>
      <c r="E2786" s="152" t="s">
        <v>1325</v>
      </c>
      <c r="F2786" s="152" t="s">
        <v>1326</v>
      </c>
      <c r="G2786" s="152"/>
      <c r="H2786" s="152"/>
      <c r="I2786" s="152" t="s">
        <v>1327</v>
      </c>
      <c r="J2786" s="152" t="s">
        <v>1327</v>
      </c>
      <c r="K2786" s="152" t="s">
        <v>1327</v>
      </c>
      <c r="L2786" s="152" t="s">
        <v>1327</v>
      </c>
      <c r="M2786" s="152" t="s">
        <v>1327</v>
      </c>
      <c r="N2786" s="152" t="s">
        <v>1327</v>
      </c>
      <c r="O2786" s="152">
        <v>1.9329750000000001</v>
      </c>
      <c r="P2786" s="152">
        <v>36.207546999999998</v>
      </c>
      <c r="Q2786" s="152">
        <v>1.9329750000000001</v>
      </c>
      <c r="R2786" s="152" t="s">
        <v>1327</v>
      </c>
      <c r="S2786" s="152">
        <v>99.457490000000007</v>
      </c>
      <c r="T2786" s="152">
        <v>0</v>
      </c>
      <c r="U2786" s="152">
        <v>0.28066099999999999</v>
      </c>
      <c r="V2786" s="152">
        <v>0.15754099999999999</v>
      </c>
      <c r="W2786" s="152">
        <v>1000</v>
      </c>
      <c r="X2786" s="152" t="s">
        <v>23</v>
      </c>
      <c r="Y2786" s="152" t="s">
        <v>1921</v>
      </c>
      <c r="Z2786" s="152" t="s">
        <v>1327</v>
      </c>
    </row>
    <row r="2787" spans="1:26" x14ac:dyDescent="0.2">
      <c r="A2787" s="152" t="s">
        <v>3856</v>
      </c>
      <c r="B2787" s="152">
        <v>0</v>
      </c>
      <c r="C2787" s="151">
        <v>43501</v>
      </c>
      <c r="D2787" s="152">
        <v>0.282192</v>
      </c>
      <c r="E2787" s="152" t="s">
        <v>1325</v>
      </c>
      <c r="F2787" s="152" t="s">
        <v>1326</v>
      </c>
      <c r="G2787" s="152"/>
      <c r="H2787" s="152"/>
      <c r="I2787" s="151" t="s">
        <v>1327</v>
      </c>
      <c r="J2787" s="152" t="s">
        <v>1327</v>
      </c>
      <c r="K2787" s="152" t="s">
        <v>1327</v>
      </c>
      <c r="L2787" s="152" t="s">
        <v>1327</v>
      </c>
      <c r="M2787" s="152" t="s">
        <v>1327</v>
      </c>
      <c r="N2787" s="152" t="s">
        <v>1327</v>
      </c>
      <c r="O2787" s="152">
        <v>1.9329750000000001</v>
      </c>
      <c r="P2787" s="152">
        <v>36.207546999999998</v>
      </c>
      <c r="Q2787" s="152">
        <v>1.9329750000000001</v>
      </c>
      <c r="R2787" s="152" t="s">
        <v>1327</v>
      </c>
      <c r="S2787" s="152">
        <v>99.457490000000007</v>
      </c>
      <c r="T2787" s="152">
        <v>0</v>
      </c>
      <c r="U2787" s="152">
        <v>0.28066099999999999</v>
      </c>
      <c r="V2787" s="152">
        <v>0.15754099999999999</v>
      </c>
      <c r="W2787" s="152">
        <v>1000</v>
      </c>
      <c r="X2787" s="152" t="s">
        <v>23</v>
      </c>
      <c r="Y2787" s="152" t="s">
        <v>1921</v>
      </c>
      <c r="Z2787" s="152" t="s">
        <v>1327</v>
      </c>
    </row>
    <row r="2788" spans="1:26" x14ac:dyDescent="0.2">
      <c r="A2788" s="152" t="s">
        <v>3857</v>
      </c>
      <c r="B2788" s="152">
        <v>0</v>
      </c>
      <c r="C2788" s="151">
        <v>43501</v>
      </c>
      <c r="D2788" s="152">
        <v>0.282192</v>
      </c>
      <c r="E2788" s="152" t="s">
        <v>1325</v>
      </c>
      <c r="F2788" s="152" t="s">
        <v>1326</v>
      </c>
      <c r="G2788" s="152"/>
      <c r="H2788" s="152"/>
      <c r="I2788" s="151" t="s">
        <v>1327</v>
      </c>
      <c r="J2788" s="152" t="s">
        <v>1327</v>
      </c>
      <c r="K2788" s="152" t="s">
        <v>1327</v>
      </c>
      <c r="L2788" s="152" t="s">
        <v>1327</v>
      </c>
      <c r="M2788" s="152" t="s">
        <v>1327</v>
      </c>
      <c r="N2788" s="152" t="s">
        <v>1327</v>
      </c>
      <c r="O2788" s="152">
        <v>1.9329750000000001</v>
      </c>
      <c r="P2788" s="152">
        <v>36.207546999999998</v>
      </c>
      <c r="Q2788" s="152">
        <v>1.9329750000000001</v>
      </c>
      <c r="R2788" s="152" t="s">
        <v>1327</v>
      </c>
      <c r="S2788" s="152">
        <v>99.457490000000007</v>
      </c>
      <c r="T2788" s="152">
        <v>0</v>
      </c>
      <c r="U2788" s="152">
        <v>0.28066099999999999</v>
      </c>
      <c r="V2788" s="152">
        <v>0.15754099999999999</v>
      </c>
      <c r="W2788" s="152">
        <v>1000</v>
      </c>
      <c r="X2788" s="152" t="s">
        <v>23</v>
      </c>
      <c r="Y2788" s="152" t="s">
        <v>1921</v>
      </c>
      <c r="Z2788" s="152" t="s">
        <v>1327</v>
      </c>
    </row>
    <row r="2789" spans="1:26" x14ac:dyDescent="0.2">
      <c r="A2789" s="152" t="s">
        <v>3858</v>
      </c>
      <c r="B2789" s="152">
        <v>0</v>
      </c>
      <c r="C2789" s="151">
        <v>43502</v>
      </c>
      <c r="D2789" s="152">
        <v>0.28493200000000002</v>
      </c>
      <c r="E2789" s="152" t="s">
        <v>1325</v>
      </c>
      <c r="F2789" s="152" t="s">
        <v>1326</v>
      </c>
      <c r="G2789" s="152"/>
      <c r="H2789" s="152"/>
      <c r="I2789" s="151" t="s">
        <v>1327</v>
      </c>
      <c r="J2789" s="152" t="s">
        <v>1327</v>
      </c>
      <c r="K2789" s="152" t="s">
        <v>1327</v>
      </c>
      <c r="L2789" s="152" t="s">
        <v>1327</v>
      </c>
      <c r="M2789" s="152" t="s">
        <v>1327</v>
      </c>
      <c r="N2789" s="152" t="s">
        <v>1327</v>
      </c>
      <c r="O2789" s="152">
        <v>1.9354750000000001</v>
      </c>
      <c r="P2789" s="152">
        <v>36.132317999999998</v>
      </c>
      <c r="Q2789" s="152">
        <v>1.9354750000000001</v>
      </c>
      <c r="R2789" s="152" t="s">
        <v>1327</v>
      </c>
      <c r="S2789" s="152">
        <v>99.451547000000005</v>
      </c>
      <c r="T2789" s="152">
        <v>0</v>
      </c>
      <c r="U2789" s="152">
        <v>0.28336899999999998</v>
      </c>
      <c r="V2789" s="152">
        <v>0.16059599999999999</v>
      </c>
      <c r="W2789" s="152">
        <v>1000</v>
      </c>
      <c r="X2789" s="152" t="s">
        <v>23</v>
      </c>
      <c r="Y2789" s="152" t="s">
        <v>1921</v>
      </c>
      <c r="Z2789" s="152" t="s">
        <v>1327</v>
      </c>
    </row>
    <row r="2790" spans="1:26" x14ac:dyDescent="0.2">
      <c r="A2790" s="152" t="s">
        <v>3859</v>
      </c>
      <c r="B2790" s="152">
        <v>0</v>
      </c>
      <c r="C2790" s="151">
        <v>43502</v>
      </c>
      <c r="D2790" s="152">
        <v>0.28493200000000002</v>
      </c>
      <c r="E2790" s="152" t="s">
        <v>1325</v>
      </c>
      <c r="F2790" s="152" t="s">
        <v>1326</v>
      </c>
      <c r="G2790" s="152"/>
      <c r="H2790" s="152"/>
      <c r="I2790" s="151" t="s">
        <v>1327</v>
      </c>
      <c r="J2790" s="152" t="s">
        <v>1327</v>
      </c>
      <c r="K2790" s="152" t="s">
        <v>1327</v>
      </c>
      <c r="L2790" s="152" t="s">
        <v>1327</v>
      </c>
      <c r="M2790" s="152" t="s">
        <v>1327</v>
      </c>
      <c r="N2790" s="152" t="s">
        <v>1327</v>
      </c>
      <c r="O2790" s="152">
        <v>1.9354750000000001</v>
      </c>
      <c r="P2790" s="152">
        <v>36.132317999999998</v>
      </c>
      <c r="Q2790" s="152">
        <v>1.9354750000000001</v>
      </c>
      <c r="R2790" s="152" t="s">
        <v>1327</v>
      </c>
      <c r="S2790" s="152">
        <v>99.451547000000005</v>
      </c>
      <c r="T2790" s="152">
        <v>0</v>
      </c>
      <c r="U2790" s="152">
        <v>0.28336899999999998</v>
      </c>
      <c r="V2790" s="152">
        <v>0.16059599999999999</v>
      </c>
      <c r="W2790" s="152">
        <v>1000</v>
      </c>
      <c r="X2790" s="152" t="s">
        <v>23</v>
      </c>
      <c r="Y2790" s="152" t="s">
        <v>1921</v>
      </c>
      <c r="Z2790" s="152" t="s">
        <v>1327</v>
      </c>
    </row>
    <row r="2791" spans="1:26" x14ac:dyDescent="0.2">
      <c r="A2791" s="152" t="s">
        <v>3860</v>
      </c>
      <c r="B2791" s="152">
        <v>0</v>
      </c>
      <c r="C2791" s="151">
        <v>43502</v>
      </c>
      <c r="D2791" s="152">
        <v>0.28493200000000002</v>
      </c>
      <c r="E2791" s="152" t="s">
        <v>1325</v>
      </c>
      <c r="F2791" s="152" t="s">
        <v>1326</v>
      </c>
      <c r="G2791" s="152"/>
      <c r="H2791" s="152"/>
      <c r="I2791" s="152" t="s">
        <v>1327</v>
      </c>
      <c r="J2791" s="152" t="s">
        <v>1327</v>
      </c>
      <c r="K2791" s="152" t="s">
        <v>1327</v>
      </c>
      <c r="L2791" s="152" t="s">
        <v>1327</v>
      </c>
      <c r="M2791" s="152" t="s">
        <v>1327</v>
      </c>
      <c r="N2791" s="152" t="s">
        <v>1327</v>
      </c>
      <c r="O2791" s="152">
        <v>1.9354750000000001</v>
      </c>
      <c r="P2791" s="152">
        <v>36.132317999999998</v>
      </c>
      <c r="Q2791" s="152">
        <v>1.9354750000000001</v>
      </c>
      <c r="R2791" s="152" t="s">
        <v>1327</v>
      </c>
      <c r="S2791" s="152">
        <v>99.451547000000005</v>
      </c>
      <c r="T2791" s="152">
        <v>0</v>
      </c>
      <c r="U2791" s="152">
        <v>0.28336899999999998</v>
      </c>
      <c r="V2791" s="152">
        <v>0.16059599999999999</v>
      </c>
      <c r="W2791" s="152">
        <v>1000</v>
      </c>
      <c r="X2791" s="152" t="s">
        <v>23</v>
      </c>
      <c r="Y2791" s="152" t="s">
        <v>1921</v>
      </c>
      <c r="Z2791" s="152" t="s">
        <v>1327</v>
      </c>
    </row>
    <row r="2792" spans="1:26" x14ac:dyDescent="0.2">
      <c r="A2792" s="152" t="s">
        <v>3861</v>
      </c>
      <c r="B2792" s="152">
        <v>0</v>
      </c>
      <c r="C2792" s="151">
        <v>43502</v>
      </c>
      <c r="D2792" s="152">
        <v>0.28493200000000002</v>
      </c>
      <c r="E2792" s="152" t="s">
        <v>1325</v>
      </c>
      <c r="F2792" s="152" t="s">
        <v>1326</v>
      </c>
      <c r="G2792" s="152"/>
      <c r="H2792" s="152"/>
      <c r="I2792" s="152" t="s">
        <v>1327</v>
      </c>
      <c r="J2792" s="152" t="s">
        <v>1327</v>
      </c>
      <c r="K2792" s="152" t="s">
        <v>1327</v>
      </c>
      <c r="L2792" s="152" t="s">
        <v>1327</v>
      </c>
      <c r="M2792" s="152" t="s">
        <v>1327</v>
      </c>
      <c r="N2792" s="152" t="s">
        <v>1327</v>
      </c>
      <c r="O2792" s="152">
        <v>1.9354750000000001</v>
      </c>
      <c r="P2792" s="152">
        <v>36.132317999999998</v>
      </c>
      <c r="Q2792" s="152">
        <v>1.9354750000000001</v>
      </c>
      <c r="R2792" s="152" t="s">
        <v>1327</v>
      </c>
      <c r="S2792" s="152">
        <v>99.451547000000005</v>
      </c>
      <c r="T2792" s="152">
        <v>0</v>
      </c>
      <c r="U2792" s="152">
        <v>0.28336899999999998</v>
      </c>
      <c r="V2792" s="152">
        <v>0.16059599999999999</v>
      </c>
      <c r="W2792" s="152">
        <v>1000</v>
      </c>
      <c r="X2792" s="152" t="s">
        <v>23</v>
      </c>
      <c r="Y2792" s="152" t="s">
        <v>1921</v>
      </c>
      <c r="Z2792" s="152" t="s">
        <v>1327</v>
      </c>
    </row>
    <row r="2793" spans="1:26" x14ac:dyDescent="0.2">
      <c r="A2793" s="152" t="s">
        <v>3862</v>
      </c>
      <c r="B2793" s="152">
        <v>0</v>
      </c>
      <c r="C2793" s="151">
        <v>43502</v>
      </c>
      <c r="D2793" s="152">
        <v>0.28493200000000002</v>
      </c>
      <c r="E2793" s="152" t="s">
        <v>1325</v>
      </c>
      <c r="F2793" s="152" t="s">
        <v>1326</v>
      </c>
      <c r="G2793" s="152"/>
      <c r="H2793" s="152"/>
      <c r="I2793" s="151" t="s">
        <v>1327</v>
      </c>
      <c r="J2793" s="152" t="s">
        <v>1327</v>
      </c>
      <c r="K2793" s="152" t="s">
        <v>1327</v>
      </c>
      <c r="L2793" s="152" t="s">
        <v>1327</v>
      </c>
      <c r="M2793" s="152" t="s">
        <v>1327</v>
      </c>
      <c r="N2793" s="152" t="s">
        <v>1327</v>
      </c>
      <c r="O2793" s="152">
        <v>1.9354750000000001</v>
      </c>
      <c r="P2793" s="152">
        <v>36.132317999999998</v>
      </c>
      <c r="Q2793" s="152">
        <v>1.9354750000000001</v>
      </c>
      <c r="R2793" s="152" t="s">
        <v>1327</v>
      </c>
      <c r="S2793" s="152">
        <v>99.451547000000005</v>
      </c>
      <c r="T2793" s="152">
        <v>0</v>
      </c>
      <c r="U2793" s="152">
        <v>0.28336899999999998</v>
      </c>
      <c r="V2793" s="152">
        <v>0.16059599999999999</v>
      </c>
      <c r="W2793" s="152">
        <v>1000</v>
      </c>
      <c r="X2793" s="152" t="s">
        <v>23</v>
      </c>
      <c r="Y2793" s="152" t="s">
        <v>1921</v>
      </c>
      <c r="Z2793" s="152" t="s">
        <v>1327</v>
      </c>
    </row>
    <row r="2794" spans="1:26" x14ac:dyDescent="0.2">
      <c r="A2794" s="152" t="s">
        <v>3863</v>
      </c>
      <c r="B2794" s="152">
        <v>0</v>
      </c>
      <c r="C2794" s="151">
        <v>43506</v>
      </c>
      <c r="D2794" s="152">
        <v>0.29588999999999999</v>
      </c>
      <c r="E2794" s="152" t="s">
        <v>1325</v>
      </c>
      <c r="F2794" s="152" t="s">
        <v>1326</v>
      </c>
      <c r="G2794" s="152"/>
      <c r="H2794" s="152"/>
      <c r="I2794" s="151" t="s">
        <v>1327</v>
      </c>
      <c r="J2794" s="152" t="s">
        <v>1327</v>
      </c>
      <c r="K2794" s="152" t="s">
        <v>1327</v>
      </c>
      <c r="L2794" s="152" t="s">
        <v>1327</v>
      </c>
      <c r="M2794" s="152" t="s">
        <v>1327</v>
      </c>
      <c r="N2794" s="152" t="s">
        <v>1327</v>
      </c>
      <c r="O2794" s="152">
        <v>1.945465</v>
      </c>
      <c r="P2794" s="152">
        <v>35.867728999999997</v>
      </c>
      <c r="Q2794" s="152">
        <v>1.945465</v>
      </c>
      <c r="R2794" s="152" t="s">
        <v>1327</v>
      </c>
      <c r="S2794" s="152">
        <v>99.42765</v>
      </c>
      <c r="T2794" s="152">
        <v>0</v>
      </c>
      <c r="U2794" s="152">
        <v>0.29419699999999999</v>
      </c>
      <c r="V2794" s="152">
        <v>0.17310400000000001</v>
      </c>
      <c r="W2794" s="152">
        <v>1000</v>
      </c>
      <c r="X2794" s="152" t="s">
        <v>23</v>
      </c>
      <c r="Y2794" s="152" t="s">
        <v>1921</v>
      </c>
      <c r="Z2794" s="152" t="s">
        <v>1327</v>
      </c>
    </row>
    <row r="2795" spans="1:26" x14ac:dyDescent="0.2">
      <c r="A2795" s="152" t="s">
        <v>3864</v>
      </c>
      <c r="B2795" s="152">
        <v>0</v>
      </c>
      <c r="C2795" s="151">
        <v>43506</v>
      </c>
      <c r="D2795" s="152">
        <v>0.29588999999999999</v>
      </c>
      <c r="E2795" s="152" t="s">
        <v>1325</v>
      </c>
      <c r="F2795" s="152" t="s">
        <v>1326</v>
      </c>
      <c r="G2795" s="152"/>
      <c r="H2795" s="152"/>
      <c r="I2795" s="151" t="s">
        <v>1327</v>
      </c>
      <c r="J2795" s="152" t="s">
        <v>1327</v>
      </c>
      <c r="K2795" s="152" t="s">
        <v>1327</v>
      </c>
      <c r="L2795" s="152" t="s">
        <v>1327</v>
      </c>
      <c r="M2795" s="152" t="s">
        <v>1327</v>
      </c>
      <c r="N2795" s="152" t="s">
        <v>1327</v>
      </c>
      <c r="O2795" s="152">
        <v>1.945465</v>
      </c>
      <c r="P2795" s="152">
        <v>35.867728999999997</v>
      </c>
      <c r="Q2795" s="152">
        <v>1.945465</v>
      </c>
      <c r="R2795" s="152" t="s">
        <v>1327</v>
      </c>
      <c r="S2795" s="152">
        <v>99.42765</v>
      </c>
      <c r="T2795" s="152">
        <v>0</v>
      </c>
      <c r="U2795" s="152">
        <v>0.29419699999999999</v>
      </c>
      <c r="V2795" s="152">
        <v>0.17310400000000001</v>
      </c>
      <c r="W2795" s="152">
        <v>1000</v>
      </c>
      <c r="X2795" s="152" t="s">
        <v>23</v>
      </c>
      <c r="Y2795" s="152" t="s">
        <v>1921</v>
      </c>
      <c r="Z2795" s="152" t="s">
        <v>1327</v>
      </c>
    </row>
    <row r="2796" spans="1:26" x14ac:dyDescent="0.2">
      <c r="A2796" s="152" t="s">
        <v>3865</v>
      </c>
      <c r="B2796" s="152">
        <v>0</v>
      </c>
      <c r="C2796" s="151">
        <v>43506</v>
      </c>
      <c r="D2796" s="152">
        <v>0.29588999999999999</v>
      </c>
      <c r="E2796" s="152" t="s">
        <v>1325</v>
      </c>
      <c r="F2796" s="152" t="s">
        <v>1326</v>
      </c>
      <c r="G2796" s="152"/>
      <c r="H2796" s="152"/>
      <c r="I2796" s="151" t="s">
        <v>1327</v>
      </c>
      <c r="J2796" s="152" t="s">
        <v>1327</v>
      </c>
      <c r="K2796" s="152" t="s">
        <v>1327</v>
      </c>
      <c r="L2796" s="152" t="s">
        <v>1327</v>
      </c>
      <c r="M2796" s="152" t="s">
        <v>1327</v>
      </c>
      <c r="N2796" s="152" t="s">
        <v>1327</v>
      </c>
      <c r="O2796" s="152">
        <v>1.945465</v>
      </c>
      <c r="P2796" s="152">
        <v>35.867728999999997</v>
      </c>
      <c r="Q2796" s="152">
        <v>1.945465</v>
      </c>
      <c r="R2796" s="152" t="s">
        <v>1327</v>
      </c>
      <c r="S2796" s="152">
        <v>99.42765</v>
      </c>
      <c r="T2796" s="152">
        <v>0</v>
      </c>
      <c r="U2796" s="152">
        <v>0.29419699999999999</v>
      </c>
      <c r="V2796" s="152">
        <v>0.17310400000000001</v>
      </c>
      <c r="W2796" s="152">
        <v>1000</v>
      </c>
      <c r="X2796" s="152" t="s">
        <v>23</v>
      </c>
      <c r="Y2796" s="152" t="s">
        <v>1921</v>
      </c>
      <c r="Z2796" s="152" t="s">
        <v>1327</v>
      </c>
    </row>
    <row r="2797" spans="1:26" x14ac:dyDescent="0.2">
      <c r="A2797" s="152" t="s">
        <v>3866</v>
      </c>
      <c r="B2797" s="152">
        <v>0</v>
      </c>
      <c r="C2797" s="151">
        <v>43506</v>
      </c>
      <c r="D2797" s="152">
        <v>0.29588999999999999</v>
      </c>
      <c r="E2797" s="152" t="s">
        <v>1325</v>
      </c>
      <c r="F2797" s="152" t="s">
        <v>1326</v>
      </c>
      <c r="G2797" s="152"/>
      <c r="H2797" s="152"/>
      <c r="I2797" s="151" t="s">
        <v>1327</v>
      </c>
      <c r="J2797" s="152" t="s">
        <v>1327</v>
      </c>
      <c r="K2797" s="152" t="s">
        <v>1327</v>
      </c>
      <c r="L2797" s="152" t="s">
        <v>1327</v>
      </c>
      <c r="M2797" s="152" t="s">
        <v>1327</v>
      </c>
      <c r="N2797" s="152" t="s">
        <v>1327</v>
      </c>
      <c r="O2797" s="152">
        <v>1.945465</v>
      </c>
      <c r="P2797" s="152">
        <v>35.867728999999997</v>
      </c>
      <c r="Q2797" s="152">
        <v>1.945465</v>
      </c>
      <c r="R2797" s="152" t="s">
        <v>1327</v>
      </c>
      <c r="S2797" s="152">
        <v>99.42765</v>
      </c>
      <c r="T2797" s="152">
        <v>0</v>
      </c>
      <c r="U2797" s="152">
        <v>0.29419699999999999</v>
      </c>
      <c r="V2797" s="152">
        <v>0.17310400000000001</v>
      </c>
      <c r="W2797" s="152">
        <v>1000</v>
      </c>
      <c r="X2797" s="152" t="s">
        <v>23</v>
      </c>
      <c r="Y2797" s="152" t="s">
        <v>1921</v>
      </c>
      <c r="Z2797" s="152" t="s">
        <v>1327</v>
      </c>
    </row>
    <row r="2798" spans="1:26" x14ac:dyDescent="0.2">
      <c r="A2798" s="152" t="s">
        <v>3867</v>
      </c>
      <c r="B2798" s="152">
        <v>0</v>
      </c>
      <c r="C2798" s="151">
        <v>43507</v>
      </c>
      <c r="D2798" s="152">
        <v>0.29863000000000001</v>
      </c>
      <c r="E2798" s="152" t="s">
        <v>1325</v>
      </c>
      <c r="F2798" s="152" t="s">
        <v>1326</v>
      </c>
      <c r="G2798" s="152"/>
      <c r="H2798" s="152"/>
      <c r="I2798" s="151" t="s">
        <v>1327</v>
      </c>
      <c r="J2798" s="152" t="s">
        <v>1327</v>
      </c>
      <c r="K2798" s="152" t="s">
        <v>1327</v>
      </c>
      <c r="L2798" s="152" t="s">
        <v>1327</v>
      </c>
      <c r="M2798" s="152" t="s">
        <v>1327</v>
      </c>
      <c r="N2798" s="152" t="s">
        <v>1327</v>
      </c>
      <c r="O2798" s="152">
        <v>1.9479599999999999</v>
      </c>
      <c r="P2798" s="152">
        <v>35.810502999999997</v>
      </c>
      <c r="Q2798" s="152">
        <v>1.9479599999999999</v>
      </c>
      <c r="R2798" s="152" t="s">
        <v>1327</v>
      </c>
      <c r="S2798" s="152">
        <v>99.421644999999998</v>
      </c>
      <c r="T2798" s="152">
        <v>0</v>
      </c>
      <c r="U2798" s="152">
        <v>0.29690299999999997</v>
      </c>
      <c r="V2798" s="152">
        <v>0.17630299999999999</v>
      </c>
      <c r="W2798" s="152">
        <v>1000</v>
      </c>
      <c r="X2798" s="152" t="s">
        <v>23</v>
      </c>
      <c r="Y2798" s="152" t="s">
        <v>1921</v>
      </c>
      <c r="Z2798" s="152" t="s">
        <v>1327</v>
      </c>
    </row>
    <row r="2799" spans="1:26" x14ac:dyDescent="0.2">
      <c r="A2799" s="152" t="s">
        <v>3868</v>
      </c>
      <c r="B2799" s="152">
        <v>0</v>
      </c>
      <c r="C2799" s="151">
        <v>43508</v>
      </c>
      <c r="D2799" s="152">
        <v>0.30137000000000003</v>
      </c>
      <c r="E2799" s="152" t="s">
        <v>1325</v>
      </c>
      <c r="F2799" s="152" t="s">
        <v>1326</v>
      </c>
      <c r="G2799" s="152"/>
      <c r="H2799" s="152"/>
      <c r="I2799" s="152" t="s">
        <v>1327</v>
      </c>
      <c r="J2799" s="152" t="s">
        <v>1327</v>
      </c>
      <c r="K2799" s="152" t="s">
        <v>1327</v>
      </c>
      <c r="L2799" s="152" t="s">
        <v>1327</v>
      </c>
      <c r="M2799" s="152" t="s">
        <v>1327</v>
      </c>
      <c r="N2799" s="152" t="s">
        <v>1327</v>
      </c>
      <c r="O2799" s="152">
        <v>1.950453</v>
      </c>
      <c r="P2799" s="152">
        <v>35.756780999999997</v>
      </c>
      <c r="Q2799" s="152">
        <v>1.950453</v>
      </c>
      <c r="R2799" s="152" t="s">
        <v>1327</v>
      </c>
      <c r="S2799" s="152">
        <v>99.415627000000001</v>
      </c>
      <c r="T2799" s="152">
        <v>0</v>
      </c>
      <c r="U2799" s="152">
        <v>0.29960900000000001</v>
      </c>
      <c r="V2799" s="152">
        <v>0.179531</v>
      </c>
      <c r="W2799" s="152">
        <v>1000</v>
      </c>
      <c r="X2799" s="152" t="s">
        <v>23</v>
      </c>
      <c r="Y2799" s="152" t="s">
        <v>1921</v>
      </c>
      <c r="Z2799" s="152" t="s">
        <v>1327</v>
      </c>
    </row>
    <row r="2800" spans="1:26" x14ac:dyDescent="0.2">
      <c r="A2800" s="152" t="s">
        <v>3869</v>
      </c>
      <c r="B2800" s="152">
        <v>0</v>
      </c>
      <c r="C2800" s="151">
        <v>43508</v>
      </c>
      <c r="D2800" s="152">
        <v>0.30137000000000003</v>
      </c>
      <c r="E2800" s="152" t="s">
        <v>1325</v>
      </c>
      <c r="F2800" s="152" t="s">
        <v>1326</v>
      </c>
      <c r="G2800" s="152"/>
      <c r="H2800" s="152"/>
      <c r="I2800" s="151" t="s">
        <v>1327</v>
      </c>
      <c r="J2800" s="152" t="s">
        <v>1327</v>
      </c>
      <c r="K2800" s="152" t="s">
        <v>1327</v>
      </c>
      <c r="L2800" s="152" t="s">
        <v>1327</v>
      </c>
      <c r="M2800" s="152" t="s">
        <v>1327</v>
      </c>
      <c r="N2800" s="152" t="s">
        <v>1327</v>
      </c>
      <c r="O2800" s="152">
        <v>1.950453</v>
      </c>
      <c r="P2800" s="152">
        <v>35.756780999999997</v>
      </c>
      <c r="Q2800" s="152">
        <v>1.950453</v>
      </c>
      <c r="R2800" s="152" t="s">
        <v>1327</v>
      </c>
      <c r="S2800" s="152">
        <v>99.415627000000001</v>
      </c>
      <c r="T2800" s="152">
        <v>0</v>
      </c>
      <c r="U2800" s="152">
        <v>0.29960900000000001</v>
      </c>
      <c r="V2800" s="152">
        <v>0.179531</v>
      </c>
      <c r="W2800" s="152">
        <v>1000</v>
      </c>
      <c r="X2800" s="152" t="s">
        <v>23</v>
      </c>
      <c r="Y2800" s="152" t="s">
        <v>1921</v>
      </c>
      <c r="Z2800" s="152" t="s">
        <v>1327</v>
      </c>
    </row>
    <row r="2801" spans="1:26" x14ac:dyDescent="0.2">
      <c r="A2801" s="152" t="s">
        <v>3870</v>
      </c>
      <c r="B2801" s="152">
        <v>0</v>
      </c>
      <c r="C2801" s="151">
        <v>43508</v>
      </c>
      <c r="D2801" s="152">
        <v>0.30137000000000003</v>
      </c>
      <c r="E2801" s="152" t="s">
        <v>1325</v>
      </c>
      <c r="F2801" s="152" t="s">
        <v>1326</v>
      </c>
      <c r="G2801" s="152"/>
      <c r="H2801" s="152"/>
      <c r="I2801" s="152" t="s">
        <v>1327</v>
      </c>
      <c r="J2801" s="152" t="s">
        <v>1327</v>
      </c>
      <c r="K2801" s="152" t="s">
        <v>1327</v>
      </c>
      <c r="L2801" s="152" t="s">
        <v>1327</v>
      </c>
      <c r="M2801" s="152" t="s">
        <v>1327</v>
      </c>
      <c r="N2801" s="152" t="s">
        <v>1327</v>
      </c>
      <c r="O2801" s="152">
        <v>1.950453</v>
      </c>
      <c r="P2801" s="152">
        <v>35.756780999999997</v>
      </c>
      <c r="Q2801" s="152">
        <v>1.950453</v>
      </c>
      <c r="R2801" s="152" t="s">
        <v>1327</v>
      </c>
      <c r="S2801" s="152">
        <v>99.415627000000001</v>
      </c>
      <c r="T2801" s="152">
        <v>0</v>
      </c>
      <c r="U2801" s="152">
        <v>0.29960900000000001</v>
      </c>
      <c r="V2801" s="152">
        <v>0.179531</v>
      </c>
      <c r="W2801" s="152">
        <v>1000</v>
      </c>
      <c r="X2801" s="152" t="s">
        <v>23</v>
      </c>
      <c r="Y2801" s="152" t="s">
        <v>1921</v>
      </c>
      <c r="Z2801" s="152" t="s">
        <v>1327</v>
      </c>
    </row>
    <row r="2802" spans="1:26" x14ac:dyDescent="0.2">
      <c r="A2802" s="152" t="s">
        <v>3871</v>
      </c>
      <c r="B2802" s="152">
        <v>0</v>
      </c>
      <c r="C2802" s="151">
        <v>43513</v>
      </c>
      <c r="D2802" s="152">
        <v>0.31506800000000001</v>
      </c>
      <c r="E2802" s="152" t="s">
        <v>1325</v>
      </c>
      <c r="F2802" s="152" t="s">
        <v>1326</v>
      </c>
      <c r="G2802" s="152"/>
      <c r="H2802" s="152"/>
      <c r="I2802" s="152" t="s">
        <v>1327</v>
      </c>
      <c r="J2802" s="152" t="s">
        <v>1327</v>
      </c>
      <c r="K2802" s="152" t="s">
        <v>1327</v>
      </c>
      <c r="L2802" s="152" t="s">
        <v>1327</v>
      </c>
      <c r="M2802" s="152" t="s">
        <v>1327</v>
      </c>
      <c r="N2802" s="152" t="s">
        <v>1327</v>
      </c>
      <c r="O2802" s="152">
        <v>1.9629019999999999</v>
      </c>
      <c r="P2802" s="152">
        <v>35.539606999999997</v>
      </c>
      <c r="Q2802" s="152">
        <v>1.9629019999999999</v>
      </c>
      <c r="R2802" s="152" t="s">
        <v>1327</v>
      </c>
      <c r="S2802" s="152">
        <v>99.385352999999995</v>
      </c>
      <c r="T2802" s="152">
        <v>0</v>
      </c>
      <c r="U2802" s="152">
        <v>0.31313200000000002</v>
      </c>
      <c r="V2802" s="152">
        <v>0.196103</v>
      </c>
      <c r="W2802" s="152">
        <v>1000</v>
      </c>
      <c r="X2802" s="152" t="s">
        <v>23</v>
      </c>
      <c r="Y2802" s="152" t="s">
        <v>1921</v>
      </c>
      <c r="Z2802" s="152" t="s">
        <v>1327</v>
      </c>
    </row>
    <row r="2803" spans="1:26" x14ac:dyDescent="0.2">
      <c r="A2803" s="152" t="s">
        <v>3872</v>
      </c>
      <c r="B2803" s="152">
        <v>0</v>
      </c>
      <c r="C2803" s="151">
        <v>43516</v>
      </c>
      <c r="D2803" s="152">
        <v>0.32328800000000002</v>
      </c>
      <c r="E2803" s="152" t="s">
        <v>1325</v>
      </c>
      <c r="F2803" s="152" t="s">
        <v>1326</v>
      </c>
      <c r="G2803" s="152"/>
      <c r="H2803" s="152"/>
      <c r="I2803" s="152" t="s">
        <v>1327</v>
      </c>
      <c r="J2803" s="152" t="s">
        <v>1327</v>
      </c>
      <c r="K2803" s="152" t="s">
        <v>1327</v>
      </c>
      <c r="L2803" s="152" t="s">
        <v>1327</v>
      </c>
      <c r="M2803" s="152" t="s">
        <v>1327</v>
      </c>
      <c r="N2803" s="152" t="s">
        <v>1327</v>
      </c>
      <c r="O2803" s="152">
        <v>1.970356</v>
      </c>
      <c r="P2803" s="152">
        <v>35.449294999999999</v>
      </c>
      <c r="Q2803" s="152">
        <v>1.970356</v>
      </c>
      <c r="R2803" s="152" t="s">
        <v>1327</v>
      </c>
      <c r="S2803" s="152">
        <v>99.367040000000003</v>
      </c>
      <c r="T2803" s="152">
        <v>0</v>
      </c>
      <c r="U2803" s="152">
        <v>0.321241</v>
      </c>
      <c r="V2803" s="152">
        <v>0.20639199999999999</v>
      </c>
      <c r="W2803" s="152">
        <v>1000</v>
      </c>
      <c r="X2803" s="152" t="s">
        <v>23</v>
      </c>
      <c r="Y2803" s="152" t="s">
        <v>1921</v>
      </c>
      <c r="Z2803" s="152" t="s">
        <v>1327</v>
      </c>
    </row>
    <row r="2804" spans="1:26" x14ac:dyDescent="0.2">
      <c r="A2804" s="152" t="s">
        <v>3873</v>
      </c>
      <c r="B2804" s="152">
        <v>0</v>
      </c>
      <c r="C2804" s="151">
        <v>43516</v>
      </c>
      <c r="D2804" s="152">
        <v>0.32328800000000002</v>
      </c>
      <c r="E2804" s="152" t="s">
        <v>1325</v>
      </c>
      <c r="F2804" s="152" t="s">
        <v>1326</v>
      </c>
      <c r="G2804" s="152"/>
      <c r="H2804" s="152"/>
      <c r="I2804" s="152" t="s">
        <v>1327</v>
      </c>
      <c r="J2804" s="152" t="s">
        <v>1327</v>
      </c>
      <c r="K2804" s="152" t="s">
        <v>1327</v>
      </c>
      <c r="L2804" s="152" t="s">
        <v>1327</v>
      </c>
      <c r="M2804" s="152" t="s">
        <v>1327</v>
      </c>
      <c r="N2804" s="152" t="s">
        <v>1327</v>
      </c>
      <c r="O2804" s="152">
        <v>1.970356</v>
      </c>
      <c r="P2804" s="152">
        <v>35.449294999999999</v>
      </c>
      <c r="Q2804" s="152">
        <v>1.970356</v>
      </c>
      <c r="R2804" s="152" t="s">
        <v>1327</v>
      </c>
      <c r="S2804" s="152">
        <v>99.367040000000003</v>
      </c>
      <c r="T2804" s="152">
        <v>0</v>
      </c>
      <c r="U2804" s="152">
        <v>0.321241</v>
      </c>
      <c r="V2804" s="152">
        <v>0.20639199999999999</v>
      </c>
      <c r="W2804" s="152">
        <v>1000</v>
      </c>
      <c r="X2804" s="152" t="s">
        <v>23</v>
      </c>
      <c r="Y2804" s="152" t="s">
        <v>1921</v>
      </c>
      <c r="Z2804" s="152" t="s">
        <v>1327</v>
      </c>
    </row>
    <row r="2805" spans="1:26" x14ac:dyDescent="0.2">
      <c r="A2805" s="152" t="s">
        <v>3874</v>
      </c>
      <c r="B2805" s="152">
        <v>0</v>
      </c>
      <c r="C2805" s="151">
        <v>43517</v>
      </c>
      <c r="D2805" s="152">
        <v>0.32602700000000001</v>
      </c>
      <c r="E2805" s="152" t="s">
        <v>1325</v>
      </c>
      <c r="F2805" s="152" t="s">
        <v>1326</v>
      </c>
      <c r="G2805" s="152"/>
      <c r="H2805" s="152"/>
      <c r="I2805" s="152" t="s">
        <v>1327</v>
      </c>
      <c r="J2805" s="152" t="s">
        <v>1327</v>
      </c>
      <c r="K2805" s="152" t="s">
        <v>1327</v>
      </c>
      <c r="L2805" s="152" t="s">
        <v>1327</v>
      </c>
      <c r="M2805" s="152" t="s">
        <v>1327</v>
      </c>
      <c r="N2805" s="152" t="s">
        <v>1327</v>
      </c>
      <c r="O2805" s="152">
        <v>1.9728380000000001</v>
      </c>
      <c r="P2805" s="152">
        <v>35.425662000000003</v>
      </c>
      <c r="Q2805" s="152">
        <v>1.9728380000000001</v>
      </c>
      <c r="R2805" s="152" t="s">
        <v>1327</v>
      </c>
      <c r="S2805" s="152">
        <v>99.360911000000002</v>
      </c>
      <c r="T2805" s="152">
        <v>0</v>
      </c>
      <c r="U2805" s="152">
        <v>0.32394400000000001</v>
      </c>
      <c r="V2805" s="152">
        <v>0.20987900000000001</v>
      </c>
      <c r="W2805" s="152">
        <v>1000</v>
      </c>
      <c r="X2805" s="152" t="s">
        <v>23</v>
      </c>
      <c r="Y2805" s="152" t="s">
        <v>1921</v>
      </c>
      <c r="Z2805" s="152" t="s">
        <v>1327</v>
      </c>
    </row>
    <row r="2806" spans="1:26" x14ac:dyDescent="0.2">
      <c r="A2806" s="152" t="s">
        <v>3875</v>
      </c>
      <c r="B2806" s="152">
        <v>0</v>
      </c>
      <c r="C2806" s="151">
        <v>43518</v>
      </c>
      <c r="D2806" s="152">
        <v>0.32876699999999998</v>
      </c>
      <c r="E2806" s="152" t="s">
        <v>1325</v>
      </c>
      <c r="F2806" s="152" t="s">
        <v>1326</v>
      </c>
      <c r="G2806" s="152"/>
      <c r="H2806" s="152"/>
      <c r="I2806" s="152" t="s">
        <v>1327</v>
      </c>
      <c r="J2806" s="152" t="s">
        <v>1327</v>
      </c>
      <c r="K2806" s="152" t="s">
        <v>1327</v>
      </c>
      <c r="L2806" s="152" t="s">
        <v>1327</v>
      </c>
      <c r="M2806" s="152" t="s">
        <v>1327</v>
      </c>
      <c r="N2806" s="152" t="s">
        <v>1327</v>
      </c>
      <c r="O2806" s="152">
        <v>1.9753179999999999</v>
      </c>
      <c r="P2806" s="152">
        <v>35.405213000000003</v>
      </c>
      <c r="Q2806" s="152">
        <v>1.9753179999999999</v>
      </c>
      <c r="R2806" s="152" t="s">
        <v>1327</v>
      </c>
      <c r="S2806" s="152">
        <v>99.354771</v>
      </c>
      <c r="T2806" s="152">
        <v>0</v>
      </c>
      <c r="U2806" s="152">
        <v>0.32664599999999999</v>
      </c>
      <c r="V2806" s="152">
        <v>0.213395</v>
      </c>
      <c r="W2806" s="152">
        <v>1000</v>
      </c>
      <c r="X2806" s="152" t="s">
        <v>23</v>
      </c>
      <c r="Y2806" s="152" t="s">
        <v>1921</v>
      </c>
      <c r="Z2806" s="152" t="s">
        <v>1327</v>
      </c>
    </row>
    <row r="2807" spans="1:26" x14ac:dyDescent="0.2">
      <c r="A2807" s="152" t="s">
        <v>3876</v>
      </c>
      <c r="B2807" s="152">
        <v>0</v>
      </c>
      <c r="C2807" s="151">
        <v>43519</v>
      </c>
      <c r="D2807" s="152">
        <v>0.331507</v>
      </c>
      <c r="E2807" s="152" t="s">
        <v>1325</v>
      </c>
      <c r="F2807" s="152" t="s">
        <v>1326</v>
      </c>
      <c r="G2807" s="152"/>
      <c r="H2807" s="152"/>
      <c r="I2807" s="152" t="s">
        <v>1327</v>
      </c>
      <c r="J2807" s="152" t="s">
        <v>1327</v>
      </c>
      <c r="K2807" s="152" t="s">
        <v>1327</v>
      </c>
      <c r="L2807" s="152" t="s">
        <v>1327</v>
      </c>
      <c r="M2807" s="152" t="s">
        <v>1327</v>
      </c>
      <c r="N2807" s="152" t="s">
        <v>1327</v>
      </c>
      <c r="O2807" s="152">
        <v>1.9777960000000001</v>
      </c>
      <c r="P2807" s="152">
        <v>35.387914000000002</v>
      </c>
      <c r="Q2807" s="152">
        <v>1.9777960000000001</v>
      </c>
      <c r="R2807" s="152" t="s">
        <v>1327</v>
      </c>
      <c r="S2807" s="152">
        <v>99.348618000000002</v>
      </c>
      <c r="T2807" s="152">
        <v>0</v>
      </c>
      <c r="U2807" s="152">
        <v>0.329347</v>
      </c>
      <c r="V2807" s="152">
        <v>0.21693999999999999</v>
      </c>
      <c r="W2807" s="152">
        <v>1000</v>
      </c>
      <c r="X2807" s="152" t="s">
        <v>23</v>
      </c>
      <c r="Y2807" s="152" t="s">
        <v>1921</v>
      </c>
      <c r="Z2807" s="152" t="s">
        <v>1327</v>
      </c>
    </row>
    <row r="2808" spans="1:26" x14ac:dyDescent="0.2">
      <c r="A2808" s="152" t="s">
        <v>3877</v>
      </c>
      <c r="B2808" s="152">
        <v>0</v>
      </c>
      <c r="C2808" s="151">
        <v>43519</v>
      </c>
      <c r="D2808" s="152">
        <v>0.331507</v>
      </c>
      <c r="E2808" s="152" t="s">
        <v>1325</v>
      </c>
      <c r="F2808" s="152" t="s">
        <v>1326</v>
      </c>
      <c r="G2808" s="152"/>
      <c r="H2808" s="152"/>
      <c r="I2808" s="152" t="s">
        <v>1327</v>
      </c>
      <c r="J2808" s="152" t="s">
        <v>1327</v>
      </c>
      <c r="K2808" s="152" t="s">
        <v>1327</v>
      </c>
      <c r="L2808" s="152" t="s">
        <v>1327</v>
      </c>
      <c r="M2808" s="152" t="s">
        <v>1327</v>
      </c>
      <c r="N2808" s="152" t="s">
        <v>1327</v>
      </c>
      <c r="O2808" s="152">
        <v>1.9777960000000001</v>
      </c>
      <c r="P2808" s="152">
        <v>35.387914000000002</v>
      </c>
      <c r="Q2808" s="152">
        <v>1.9777960000000001</v>
      </c>
      <c r="R2808" s="152" t="s">
        <v>1327</v>
      </c>
      <c r="S2808" s="152">
        <v>99.348618000000002</v>
      </c>
      <c r="T2808" s="152">
        <v>0</v>
      </c>
      <c r="U2808" s="152">
        <v>0.329347</v>
      </c>
      <c r="V2808" s="152">
        <v>0.21693999999999999</v>
      </c>
      <c r="W2808" s="152">
        <v>1000</v>
      </c>
      <c r="X2808" s="152" t="s">
        <v>23</v>
      </c>
      <c r="Y2808" s="152" t="s">
        <v>1921</v>
      </c>
      <c r="Z2808" s="152" t="s">
        <v>1327</v>
      </c>
    </row>
    <row r="2809" spans="1:26" x14ac:dyDescent="0.2">
      <c r="A2809" s="152" t="s">
        <v>3878</v>
      </c>
      <c r="B2809" s="152">
        <v>0</v>
      </c>
      <c r="C2809" s="151">
        <v>43519</v>
      </c>
      <c r="D2809" s="152">
        <v>0.331507</v>
      </c>
      <c r="E2809" s="152" t="s">
        <v>1325</v>
      </c>
      <c r="F2809" s="152" t="s">
        <v>1326</v>
      </c>
      <c r="G2809" s="152"/>
      <c r="H2809" s="152"/>
      <c r="I2809" s="152" t="s">
        <v>1327</v>
      </c>
      <c r="J2809" s="152" t="s">
        <v>1327</v>
      </c>
      <c r="K2809" s="152" t="s">
        <v>1327</v>
      </c>
      <c r="L2809" s="152" t="s">
        <v>1327</v>
      </c>
      <c r="M2809" s="152" t="s">
        <v>1327</v>
      </c>
      <c r="N2809" s="152" t="s">
        <v>1327</v>
      </c>
      <c r="O2809" s="152">
        <v>1.9777960000000001</v>
      </c>
      <c r="P2809" s="152">
        <v>35.387914000000002</v>
      </c>
      <c r="Q2809" s="152">
        <v>1.9777960000000001</v>
      </c>
      <c r="R2809" s="152" t="s">
        <v>1327</v>
      </c>
      <c r="S2809" s="152">
        <v>99.348618000000002</v>
      </c>
      <c r="T2809" s="152">
        <v>0</v>
      </c>
      <c r="U2809" s="152">
        <v>0.329347</v>
      </c>
      <c r="V2809" s="152">
        <v>0.21693999999999999</v>
      </c>
      <c r="W2809" s="152">
        <v>1000</v>
      </c>
      <c r="X2809" s="152" t="s">
        <v>23</v>
      </c>
      <c r="Y2809" s="152" t="s">
        <v>1921</v>
      </c>
      <c r="Z2809" s="152" t="s">
        <v>1327</v>
      </c>
    </row>
    <row r="2810" spans="1:26" x14ac:dyDescent="0.2">
      <c r="A2810" s="152" t="s">
        <v>3879</v>
      </c>
      <c r="B2810" s="152">
        <v>0</v>
      </c>
      <c r="C2810" s="151">
        <v>43519</v>
      </c>
      <c r="D2810" s="152">
        <v>0.331507</v>
      </c>
      <c r="E2810" s="152" t="s">
        <v>1325</v>
      </c>
      <c r="F2810" s="152" t="s">
        <v>1326</v>
      </c>
      <c r="G2810" s="152"/>
      <c r="H2810" s="152"/>
      <c r="I2810" s="151" t="s">
        <v>1327</v>
      </c>
      <c r="J2810" s="152" t="s">
        <v>1327</v>
      </c>
      <c r="K2810" s="152" t="s">
        <v>1327</v>
      </c>
      <c r="L2810" s="152" t="s">
        <v>1327</v>
      </c>
      <c r="M2810" s="152" t="s">
        <v>1327</v>
      </c>
      <c r="N2810" s="152" t="s">
        <v>1327</v>
      </c>
      <c r="O2810" s="152">
        <v>1.9777960000000001</v>
      </c>
      <c r="P2810" s="152">
        <v>35.387914000000002</v>
      </c>
      <c r="Q2810" s="152">
        <v>1.9777960000000001</v>
      </c>
      <c r="R2810" s="152" t="s">
        <v>1327</v>
      </c>
      <c r="S2810" s="152">
        <v>99.348618000000002</v>
      </c>
      <c r="T2810" s="152">
        <v>0</v>
      </c>
      <c r="U2810" s="152">
        <v>0.329347</v>
      </c>
      <c r="V2810" s="152">
        <v>0.21693999999999999</v>
      </c>
      <c r="W2810" s="152">
        <v>1000</v>
      </c>
      <c r="X2810" s="152" t="s">
        <v>23</v>
      </c>
      <c r="Y2810" s="152" t="s">
        <v>1921</v>
      </c>
      <c r="Z2810" s="152" t="s">
        <v>1327</v>
      </c>
    </row>
    <row r="2811" spans="1:26" x14ac:dyDescent="0.2">
      <c r="A2811" s="152" t="s">
        <v>3880</v>
      </c>
      <c r="B2811" s="152">
        <v>0</v>
      </c>
      <c r="C2811" s="151">
        <v>43520</v>
      </c>
      <c r="D2811" s="152">
        <v>0.33424700000000002</v>
      </c>
      <c r="E2811" s="152" t="s">
        <v>1325</v>
      </c>
      <c r="F2811" s="152" t="s">
        <v>1326</v>
      </c>
      <c r="G2811" s="152"/>
      <c r="H2811" s="152"/>
      <c r="I2811" s="152" t="s">
        <v>1327</v>
      </c>
      <c r="J2811" s="152" t="s">
        <v>1327</v>
      </c>
      <c r="K2811" s="152" t="s">
        <v>1327</v>
      </c>
      <c r="L2811" s="152" t="s">
        <v>1327</v>
      </c>
      <c r="M2811" s="152" t="s">
        <v>1327</v>
      </c>
      <c r="N2811" s="152" t="s">
        <v>1327</v>
      </c>
      <c r="O2811" s="152">
        <v>1.9802729999999999</v>
      </c>
      <c r="P2811" s="152">
        <v>35.373733000000001</v>
      </c>
      <c r="Q2811" s="152">
        <v>1.9802729999999999</v>
      </c>
      <c r="R2811" s="152" t="s">
        <v>1327</v>
      </c>
      <c r="S2811" s="152">
        <v>99.342453000000006</v>
      </c>
      <c r="T2811" s="152">
        <v>0</v>
      </c>
      <c r="U2811" s="152">
        <v>0.33204899999999998</v>
      </c>
      <c r="V2811" s="152">
        <v>0.22051299999999999</v>
      </c>
      <c r="W2811" s="152">
        <v>1000</v>
      </c>
      <c r="X2811" s="152" t="s">
        <v>23</v>
      </c>
      <c r="Y2811" s="152" t="s">
        <v>1921</v>
      </c>
      <c r="Z2811" s="152" t="s">
        <v>1327</v>
      </c>
    </row>
    <row r="2812" spans="1:26" x14ac:dyDescent="0.2">
      <c r="A2812" s="152" t="s">
        <v>3881</v>
      </c>
      <c r="B2812" s="152">
        <v>0</v>
      </c>
      <c r="C2812" s="151">
        <v>43520</v>
      </c>
      <c r="D2812" s="152">
        <v>0.33424700000000002</v>
      </c>
      <c r="E2812" s="152" t="s">
        <v>1325</v>
      </c>
      <c r="F2812" s="152" t="s">
        <v>1326</v>
      </c>
      <c r="G2812" s="152"/>
      <c r="H2812" s="152"/>
      <c r="I2812" s="152" t="s">
        <v>1327</v>
      </c>
      <c r="J2812" s="152" t="s">
        <v>1327</v>
      </c>
      <c r="K2812" s="152" t="s">
        <v>1327</v>
      </c>
      <c r="L2812" s="152" t="s">
        <v>1327</v>
      </c>
      <c r="M2812" s="152" t="s">
        <v>1327</v>
      </c>
      <c r="N2812" s="152" t="s">
        <v>1327</v>
      </c>
      <c r="O2812" s="152">
        <v>1.9802729999999999</v>
      </c>
      <c r="P2812" s="152">
        <v>35.373733000000001</v>
      </c>
      <c r="Q2812" s="152">
        <v>1.9802729999999999</v>
      </c>
      <c r="R2812" s="152" t="s">
        <v>1327</v>
      </c>
      <c r="S2812" s="152">
        <v>99.342453000000006</v>
      </c>
      <c r="T2812" s="152">
        <v>0</v>
      </c>
      <c r="U2812" s="152">
        <v>0.33204899999999998</v>
      </c>
      <c r="V2812" s="152">
        <v>0.22051299999999999</v>
      </c>
      <c r="W2812" s="152">
        <v>1000</v>
      </c>
      <c r="X2812" s="152" t="s">
        <v>23</v>
      </c>
      <c r="Y2812" s="152" t="s">
        <v>1921</v>
      </c>
      <c r="Z2812" s="152" t="s">
        <v>1327</v>
      </c>
    </row>
    <row r="2813" spans="1:26" x14ac:dyDescent="0.2">
      <c r="A2813" s="152" t="s">
        <v>3882</v>
      </c>
      <c r="B2813" s="152">
        <v>0</v>
      </c>
      <c r="C2813" s="151">
        <v>43520</v>
      </c>
      <c r="D2813" s="152">
        <v>0.33424700000000002</v>
      </c>
      <c r="E2813" s="152" t="s">
        <v>1325</v>
      </c>
      <c r="F2813" s="152" t="s">
        <v>1326</v>
      </c>
      <c r="G2813" s="152"/>
      <c r="H2813" s="152"/>
      <c r="I2813" s="152" t="s">
        <v>1327</v>
      </c>
      <c r="J2813" s="152" t="s">
        <v>1327</v>
      </c>
      <c r="K2813" s="152" t="s">
        <v>1327</v>
      </c>
      <c r="L2813" s="152" t="s">
        <v>1327</v>
      </c>
      <c r="M2813" s="152" t="s">
        <v>1327</v>
      </c>
      <c r="N2813" s="152" t="s">
        <v>1327</v>
      </c>
      <c r="O2813" s="152">
        <v>1.9802729999999999</v>
      </c>
      <c r="P2813" s="152">
        <v>35.373733000000001</v>
      </c>
      <c r="Q2813" s="152">
        <v>1.9802729999999999</v>
      </c>
      <c r="R2813" s="152" t="s">
        <v>1327</v>
      </c>
      <c r="S2813" s="152">
        <v>99.342453000000006</v>
      </c>
      <c r="T2813" s="152">
        <v>0</v>
      </c>
      <c r="U2813" s="152">
        <v>0.33204899999999998</v>
      </c>
      <c r="V2813" s="152">
        <v>0.22051299999999999</v>
      </c>
      <c r="W2813" s="152">
        <v>1000</v>
      </c>
      <c r="X2813" s="152" t="s">
        <v>23</v>
      </c>
      <c r="Y2813" s="152" t="s">
        <v>1921</v>
      </c>
      <c r="Z2813" s="152" t="s">
        <v>1327</v>
      </c>
    </row>
    <row r="2814" spans="1:26" x14ac:dyDescent="0.2">
      <c r="A2814" s="152" t="s">
        <v>3883</v>
      </c>
      <c r="B2814" s="152">
        <v>0</v>
      </c>
      <c r="C2814" s="151">
        <v>43520</v>
      </c>
      <c r="D2814" s="152">
        <v>0.33424700000000002</v>
      </c>
      <c r="E2814" s="152" t="s">
        <v>1325</v>
      </c>
      <c r="F2814" s="152" t="s">
        <v>1326</v>
      </c>
      <c r="G2814" s="152"/>
      <c r="H2814" s="152"/>
      <c r="I2814" s="152" t="s">
        <v>1327</v>
      </c>
      <c r="J2814" s="152" t="s">
        <v>1327</v>
      </c>
      <c r="K2814" s="152" t="s">
        <v>1327</v>
      </c>
      <c r="L2814" s="152" t="s">
        <v>1327</v>
      </c>
      <c r="M2814" s="152" t="s">
        <v>1327</v>
      </c>
      <c r="N2814" s="152" t="s">
        <v>1327</v>
      </c>
      <c r="O2814" s="152">
        <v>1.9802729999999999</v>
      </c>
      <c r="P2814" s="152">
        <v>35.373733000000001</v>
      </c>
      <c r="Q2814" s="152">
        <v>1.9802729999999999</v>
      </c>
      <c r="R2814" s="152" t="s">
        <v>1327</v>
      </c>
      <c r="S2814" s="152">
        <v>99.342453000000006</v>
      </c>
      <c r="T2814" s="152">
        <v>0</v>
      </c>
      <c r="U2814" s="152">
        <v>0.33204899999999998</v>
      </c>
      <c r="V2814" s="152">
        <v>0.22051299999999999</v>
      </c>
      <c r="W2814" s="152">
        <v>1000</v>
      </c>
      <c r="X2814" s="152" t="s">
        <v>23</v>
      </c>
      <c r="Y2814" s="152" t="s">
        <v>1921</v>
      </c>
      <c r="Z2814" s="152" t="s">
        <v>1327</v>
      </c>
    </row>
    <row r="2815" spans="1:26" x14ac:dyDescent="0.2">
      <c r="A2815" s="152" t="s">
        <v>3884</v>
      </c>
      <c r="B2815" s="152">
        <v>0</v>
      </c>
      <c r="C2815" s="152">
        <v>43520</v>
      </c>
      <c r="D2815" s="152">
        <v>0.33424700000000002</v>
      </c>
      <c r="E2815" s="152" t="s">
        <v>1325</v>
      </c>
      <c r="F2815" s="152" t="s">
        <v>1326</v>
      </c>
      <c r="G2815" s="152"/>
      <c r="H2815" s="152"/>
      <c r="I2815" s="152" t="s">
        <v>1327</v>
      </c>
      <c r="J2815" s="152" t="s">
        <v>1327</v>
      </c>
      <c r="K2815" s="152" t="s">
        <v>1327</v>
      </c>
      <c r="L2815" s="152" t="s">
        <v>1327</v>
      </c>
      <c r="M2815" s="152" t="s">
        <v>1327</v>
      </c>
      <c r="N2815" s="152" t="s">
        <v>1327</v>
      </c>
      <c r="O2815" s="152">
        <v>1.9802729999999999</v>
      </c>
      <c r="P2815" s="152">
        <v>35.373733000000001</v>
      </c>
      <c r="Q2815" s="152">
        <v>1.9802729999999999</v>
      </c>
      <c r="R2815" s="152" t="s">
        <v>1327</v>
      </c>
      <c r="S2815" s="152">
        <v>99.342453000000006</v>
      </c>
      <c r="T2815" s="152">
        <v>0</v>
      </c>
      <c r="U2815" s="152">
        <v>0.33204899999999998</v>
      </c>
      <c r="V2815" s="152">
        <v>0.22051299999999999</v>
      </c>
      <c r="W2815" s="152">
        <v>1000</v>
      </c>
      <c r="X2815" s="152" t="s">
        <v>23</v>
      </c>
      <c r="Y2815" s="152" t="s">
        <v>1921</v>
      </c>
      <c r="Z2815" s="152" t="s">
        <v>1327</v>
      </c>
    </row>
    <row r="2816" spans="1:26" x14ac:dyDescent="0.2">
      <c r="A2816" s="152" t="s">
        <v>3885</v>
      </c>
      <c r="B2816" s="152">
        <v>0</v>
      </c>
      <c r="C2816" s="151">
        <v>43520</v>
      </c>
      <c r="D2816" s="152">
        <v>0.33424700000000002</v>
      </c>
      <c r="E2816" s="152" t="s">
        <v>1325</v>
      </c>
      <c r="F2816" s="152" t="s">
        <v>1326</v>
      </c>
      <c r="G2816" s="152"/>
      <c r="H2816" s="152"/>
      <c r="I2816" s="151" t="s">
        <v>1327</v>
      </c>
      <c r="J2816" s="152" t="s">
        <v>1327</v>
      </c>
      <c r="K2816" s="152" t="s">
        <v>1327</v>
      </c>
      <c r="L2816" s="152" t="s">
        <v>1327</v>
      </c>
      <c r="M2816" s="152" t="s">
        <v>1327</v>
      </c>
      <c r="N2816" s="152" t="s">
        <v>1327</v>
      </c>
      <c r="O2816" s="152">
        <v>1.9802729999999999</v>
      </c>
      <c r="P2816" s="152">
        <v>35.373733000000001</v>
      </c>
      <c r="Q2816" s="152">
        <v>1.9802729999999999</v>
      </c>
      <c r="R2816" s="152" t="s">
        <v>1327</v>
      </c>
      <c r="S2816" s="152">
        <v>99.342453000000006</v>
      </c>
      <c r="T2816" s="152">
        <v>0</v>
      </c>
      <c r="U2816" s="152">
        <v>0.33204899999999998</v>
      </c>
      <c r="V2816" s="152">
        <v>0.22051299999999999</v>
      </c>
      <c r="W2816" s="152">
        <v>1000</v>
      </c>
      <c r="X2816" s="152" t="s">
        <v>23</v>
      </c>
      <c r="Y2816" s="152" t="s">
        <v>1921</v>
      </c>
      <c r="Z2816" s="152" t="s">
        <v>1327</v>
      </c>
    </row>
    <row r="2817" spans="1:26" x14ac:dyDescent="0.2">
      <c r="A2817" s="152" t="s">
        <v>3886</v>
      </c>
      <c r="B2817" s="152">
        <v>0</v>
      </c>
      <c r="C2817" s="151">
        <v>43521</v>
      </c>
      <c r="D2817" s="152">
        <v>0.33698600000000001</v>
      </c>
      <c r="E2817" s="152" t="s">
        <v>1325</v>
      </c>
      <c r="F2817" s="152" t="s">
        <v>1326</v>
      </c>
      <c r="G2817" s="152"/>
      <c r="H2817" s="152"/>
      <c r="I2817" s="151" t="s">
        <v>1327</v>
      </c>
      <c r="J2817" s="152" t="s">
        <v>1327</v>
      </c>
      <c r="K2817" s="152" t="s">
        <v>1327</v>
      </c>
      <c r="L2817" s="152" t="s">
        <v>1327</v>
      </c>
      <c r="M2817" s="152" t="s">
        <v>1327</v>
      </c>
      <c r="N2817" s="152" t="s">
        <v>1327</v>
      </c>
      <c r="O2817" s="152">
        <v>1.9827490000000001</v>
      </c>
      <c r="P2817" s="152">
        <v>35.362637999999997</v>
      </c>
      <c r="Q2817" s="152">
        <v>1.9827490000000001</v>
      </c>
      <c r="R2817" s="152" t="s">
        <v>1327</v>
      </c>
      <c r="S2817" s="152">
        <v>99.336275000000001</v>
      </c>
      <c r="T2817" s="152">
        <v>0</v>
      </c>
      <c r="U2817" s="152">
        <v>0.33474999999999999</v>
      </c>
      <c r="V2817" s="152">
        <v>0.22411500000000001</v>
      </c>
      <c r="W2817" s="152">
        <v>1000</v>
      </c>
      <c r="X2817" s="152" t="s">
        <v>23</v>
      </c>
      <c r="Y2817" s="152" t="s">
        <v>1921</v>
      </c>
      <c r="Z2817" s="152" t="s">
        <v>1327</v>
      </c>
    </row>
    <row r="2818" spans="1:26" x14ac:dyDescent="0.2">
      <c r="A2818" s="152" t="s">
        <v>3887</v>
      </c>
      <c r="B2818" s="152">
        <v>0</v>
      </c>
      <c r="C2818" s="151">
        <v>43522</v>
      </c>
      <c r="D2818" s="152">
        <v>0.33972599999999997</v>
      </c>
      <c r="E2818" s="152" t="s">
        <v>1325</v>
      </c>
      <c r="F2818" s="152" t="s">
        <v>1326</v>
      </c>
      <c r="G2818" s="152"/>
      <c r="H2818" s="152"/>
      <c r="I2818" s="152" t="s">
        <v>1327</v>
      </c>
      <c r="J2818" s="152" t="s">
        <v>1327</v>
      </c>
      <c r="K2818" s="152" t="s">
        <v>1327</v>
      </c>
      <c r="L2818" s="152" t="s">
        <v>1327</v>
      </c>
      <c r="M2818" s="152" t="s">
        <v>1327</v>
      </c>
      <c r="N2818" s="152" t="s">
        <v>1327</v>
      </c>
      <c r="O2818" s="152">
        <v>1.985223</v>
      </c>
      <c r="P2818" s="152">
        <v>35.354596000000001</v>
      </c>
      <c r="Q2818" s="152">
        <v>1.985223</v>
      </c>
      <c r="R2818" s="152" t="s">
        <v>1327</v>
      </c>
      <c r="S2818" s="152">
        <v>99.330085999999994</v>
      </c>
      <c r="T2818" s="152">
        <v>0</v>
      </c>
      <c r="U2818" s="152">
        <v>0.33745000000000003</v>
      </c>
      <c r="V2818" s="152">
        <v>0.227745</v>
      </c>
      <c r="W2818" s="152">
        <v>1000</v>
      </c>
      <c r="X2818" s="152" t="s">
        <v>23</v>
      </c>
      <c r="Y2818" s="152" t="s">
        <v>1921</v>
      </c>
      <c r="Z2818" s="152" t="s">
        <v>1327</v>
      </c>
    </row>
    <row r="2819" spans="1:26" x14ac:dyDescent="0.2">
      <c r="A2819" s="152" t="s">
        <v>3888</v>
      </c>
      <c r="B2819" s="152">
        <v>0</v>
      </c>
      <c r="C2819" s="151">
        <v>43526</v>
      </c>
      <c r="D2819" s="152">
        <v>0.35068500000000002</v>
      </c>
      <c r="E2819" s="152" t="s">
        <v>1325</v>
      </c>
      <c r="F2819" s="152" t="s">
        <v>1326</v>
      </c>
      <c r="G2819" s="152"/>
      <c r="H2819" s="152"/>
      <c r="I2819" s="152" t="s">
        <v>1327</v>
      </c>
      <c r="J2819" s="152" t="s">
        <v>1327</v>
      </c>
      <c r="K2819" s="152" t="s">
        <v>1327</v>
      </c>
      <c r="L2819" s="152" t="s">
        <v>1327</v>
      </c>
      <c r="M2819" s="152" t="s">
        <v>1327</v>
      </c>
      <c r="N2819" s="152" t="s">
        <v>1327</v>
      </c>
      <c r="O2819" s="152">
        <v>1.995101</v>
      </c>
      <c r="P2819" s="152">
        <v>35.352327000000002</v>
      </c>
      <c r="Q2819" s="152">
        <v>1.995101</v>
      </c>
      <c r="R2819" s="152" t="s">
        <v>1327</v>
      </c>
      <c r="S2819" s="152">
        <v>99.305209000000005</v>
      </c>
      <c r="T2819" s="152">
        <v>0</v>
      </c>
      <c r="U2819" s="152">
        <v>0.348248</v>
      </c>
      <c r="V2819" s="152">
        <v>0.24255399999999999</v>
      </c>
      <c r="W2819" s="152">
        <v>1000</v>
      </c>
      <c r="X2819" s="152" t="s">
        <v>23</v>
      </c>
      <c r="Y2819" s="152" t="s">
        <v>1921</v>
      </c>
      <c r="Z2819" s="152" t="s">
        <v>1327</v>
      </c>
    </row>
    <row r="2820" spans="1:26" x14ac:dyDescent="0.2">
      <c r="A2820" s="152" t="s">
        <v>3889</v>
      </c>
      <c r="B2820" s="152">
        <v>0</v>
      </c>
      <c r="C2820" s="151">
        <v>43547</v>
      </c>
      <c r="D2820" s="152">
        <v>0.408219</v>
      </c>
      <c r="E2820" s="152" t="s">
        <v>1325</v>
      </c>
      <c r="F2820" s="152" t="s">
        <v>1326</v>
      </c>
      <c r="G2820" s="152"/>
      <c r="H2820" s="152"/>
      <c r="I2820" s="151" t="s">
        <v>1327</v>
      </c>
      <c r="J2820" s="152" t="s">
        <v>1327</v>
      </c>
      <c r="K2820" s="152" t="s">
        <v>1327</v>
      </c>
      <c r="L2820" s="152" t="s">
        <v>1327</v>
      </c>
      <c r="M2820" s="152" t="s">
        <v>1327</v>
      </c>
      <c r="N2820" s="152" t="s">
        <v>1327</v>
      </c>
      <c r="O2820" s="152">
        <v>2.0427330000000001</v>
      </c>
      <c r="P2820" s="152">
        <v>35.677449000000003</v>
      </c>
      <c r="Q2820" s="152">
        <v>2.0427330000000001</v>
      </c>
      <c r="R2820" s="152" t="s">
        <v>1327</v>
      </c>
      <c r="S2820" s="152">
        <v>99.173012999999997</v>
      </c>
      <c r="T2820" s="152">
        <v>0</v>
      </c>
      <c r="U2820" s="152">
        <v>0.40484300000000001</v>
      </c>
      <c r="V2820" s="152">
        <v>0.32779599999999998</v>
      </c>
      <c r="W2820" s="152">
        <v>1000</v>
      </c>
      <c r="X2820" s="152" t="s">
        <v>23</v>
      </c>
      <c r="Y2820" s="152" t="s">
        <v>1921</v>
      </c>
      <c r="Z2820" s="152" t="s">
        <v>1327</v>
      </c>
    </row>
    <row r="2821" spans="1:26" x14ac:dyDescent="0.2">
      <c r="A2821" s="152" t="s">
        <v>3890</v>
      </c>
      <c r="B2821" s="152">
        <v>0</v>
      </c>
      <c r="C2821" s="151">
        <v>43548</v>
      </c>
      <c r="D2821" s="152">
        <v>0.41095900000000002</v>
      </c>
      <c r="E2821" s="152" t="s">
        <v>1325</v>
      </c>
      <c r="F2821" s="152" t="s">
        <v>1326</v>
      </c>
      <c r="G2821" s="152"/>
      <c r="H2821" s="152"/>
      <c r="I2821" s="151" t="s">
        <v>1327</v>
      </c>
      <c r="J2821" s="152" t="s">
        <v>1327</v>
      </c>
      <c r="K2821" s="152" t="s">
        <v>1327</v>
      </c>
      <c r="L2821" s="152" t="s">
        <v>1327</v>
      </c>
      <c r="M2821" s="152" t="s">
        <v>1327</v>
      </c>
      <c r="N2821" s="152" t="s">
        <v>1327</v>
      </c>
      <c r="O2821" s="152">
        <v>2.0488520000000001</v>
      </c>
      <c r="P2821" s="152">
        <v>36.111977000000003</v>
      </c>
      <c r="Q2821" s="152">
        <v>2.0488520000000001</v>
      </c>
      <c r="R2821" s="152" t="s">
        <v>1327</v>
      </c>
      <c r="S2821" s="152">
        <v>99.165036000000001</v>
      </c>
      <c r="T2821" s="152">
        <v>0</v>
      </c>
      <c r="U2821" s="152">
        <v>0.407528</v>
      </c>
      <c r="V2821" s="152">
        <v>0.33215699999999998</v>
      </c>
      <c r="W2821" s="152">
        <v>1000</v>
      </c>
      <c r="X2821" s="152" t="s">
        <v>23</v>
      </c>
      <c r="Y2821" s="152" t="s">
        <v>1921</v>
      </c>
      <c r="Z2821" s="152" t="s">
        <v>1327</v>
      </c>
    </row>
    <row r="2822" spans="1:26" x14ac:dyDescent="0.2">
      <c r="A2822" s="152" t="s">
        <v>3891</v>
      </c>
      <c r="B2822" s="152">
        <v>0</v>
      </c>
      <c r="C2822" s="151">
        <v>43549</v>
      </c>
      <c r="D2822" s="152">
        <v>0.41369899999999998</v>
      </c>
      <c r="E2822" s="152" t="s">
        <v>1325</v>
      </c>
      <c r="F2822" s="152" t="s">
        <v>1326</v>
      </c>
      <c r="G2822" s="152"/>
      <c r="H2822" s="152"/>
      <c r="I2822" s="152" t="s">
        <v>1327</v>
      </c>
      <c r="J2822" s="152" t="s">
        <v>1327</v>
      </c>
      <c r="K2822" s="152" t="s">
        <v>1327</v>
      </c>
      <c r="L2822" s="152" t="s">
        <v>1327</v>
      </c>
      <c r="M2822" s="152" t="s">
        <v>1327</v>
      </c>
      <c r="N2822" s="152" t="s">
        <v>1327</v>
      </c>
      <c r="O2822" s="152">
        <v>2.0512679999999999</v>
      </c>
      <c r="P2822" s="152">
        <v>36.174233999999998</v>
      </c>
      <c r="Q2822" s="152">
        <v>2.0512679999999999</v>
      </c>
      <c r="R2822" s="152" t="s">
        <v>1327</v>
      </c>
      <c r="S2822" s="152">
        <v>99.158534000000003</v>
      </c>
      <c r="T2822" s="152">
        <v>0</v>
      </c>
      <c r="U2822" s="152">
        <v>0.410217</v>
      </c>
      <c r="V2822" s="152">
        <v>0.336557</v>
      </c>
      <c r="W2822" s="152">
        <v>1000</v>
      </c>
      <c r="X2822" s="152" t="s">
        <v>23</v>
      </c>
      <c r="Y2822" s="152" t="s">
        <v>1921</v>
      </c>
      <c r="Z2822" s="152" t="s">
        <v>1327</v>
      </c>
    </row>
    <row r="2823" spans="1:26" x14ac:dyDescent="0.2">
      <c r="A2823" s="152" t="s">
        <v>3892</v>
      </c>
      <c r="B2823" s="152">
        <v>0</v>
      </c>
      <c r="C2823" s="151">
        <v>43550</v>
      </c>
      <c r="D2823" s="152">
        <v>0.41643799999999997</v>
      </c>
      <c r="E2823" s="152" t="s">
        <v>1325</v>
      </c>
      <c r="F2823" s="152" t="s">
        <v>1326</v>
      </c>
      <c r="G2823" s="152"/>
      <c r="H2823" s="152"/>
      <c r="I2823" s="152" t="s">
        <v>1327</v>
      </c>
      <c r="J2823" s="152" t="s">
        <v>1327</v>
      </c>
      <c r="K2823" s="152" t="s">
        <v>1327</v>
      </c>
      <c r="L2823" s="152" t="s">
        <v>1327</v>
      </c>
      <c r="M2823" s="152" t="s">
        <v>1327</v>
      </c>
      <c r="N2823" s="152" t="s">
        <v>1327</v>
      </c>
      <c r="O2823" s="152">
        <v>2.0536819999999998</v>
      </c>
      <c r="P2823" s="152">
        <v>36.238644000000001</v>
      </c>
      <c r="Q2823" s="152">
        <v>2.0536819999999998</v>
      </c>
      <c r="R2823" s="152" t="s">
        <v>1327</v>
      </c>
      <c r="S2823" s="152">
        <v>99.152019999999993</v>
      </c>
      <c r="T2823" s="152">
        <v>0</v>
      </c>
      <c r="U2823" s="152">
        <v>0.41290700000000002</v>
      </c>
      <c r="V2823" s="152">
        <v>0.34098400000000001</v>
      </c>
      <c r="W2823" s="152">
        <v>1000</v>
      </c>
      <c r="X2823" s="152" t="s">
        <v>23</v>
      </c>
      <c r="Y2823" s="152" t="s">
        <v>1921</v>
      </c>
      <c r="Z2823" s="152" t="s">
        <v>1327</v>
      </c>
    </row>
    <row r="2824" spans="1:26" x14ac:dyDescent="0.2">
      <c r="A2824" s="152" t="s">
        <v>3893</v>
      </c>
      <c r="B2824" s="152">
        <v>0</v>
      </c>
      <c r="C2824" s="151">
        <v>43550</v>
      </c>
      <c r="D2824" s="152">
        <v>0.41643799999999997</v>
      </c>
      <c r="E2824" s="152" t="s">
        <v>1325</v>
      </c>
      <c r="F2824" s="152" t="s">
        <v>1326</v>
      </c>
      <c r="G2824" s="152"/>
      <c r="H2824" s="152"/>
      <c r="I2824" s="152" t="s">
        <v>1327</v>
      </c>
      <c r="J2824" s="152" t="s">
        <v>1327</v>
      </c>
      <c r="K2824" s="152" t="s">
        <v>1327</v>
      </c>
      <c r="L2824" s="152" t="s">
        <v>1327</v>
      </c>
      <c r="M2824" s="152" t="s">
        <v>1327</v>
      </c>
      <c r="N2824" s="152" t="s">
        <v>1327</v>
      </c>
      <c r="O2824" s="152">
        <v>2.0536819999999998</v>
      </c>
      <c r="P2824" s="152">
        <v>36.238644000000001</v>
      </c>
      <c r="Q2824" s="152">
        <v>2.0536819999999998</v>
      </c>
      <c r="R2824" s="152" t="s">
        <v>1327</v>
      </c>
      <c r="S2824" s="152">
        <v>99.152019999999993</v>
      </c>
      <c r="T2824" s="152">
        <v>0</v>
      </c>
      <c r="U2824" s="152">
        <v>0.41290700000000002</v>
      </c>
      <c r="V2824" s="152">
        <v>0.34098400000000001</v>
      </c>
      <c r="W2824" s="152">
        <v>1000</v>
      </c>
      <c r="X2824" s="152" t="s">
        <v>23</v>
      </c>
      <c r="Y2824" s="152" t="s">
        <v>1921</v>
      </c>
      <c r="Z2824" s="152" t="s">
        <v>1327</v>
      </c>
    </row>
    <row r="2825" spans="1:26" x14ac:dyDescent="0.2">
      <c r="A2825" s="152" t="s">
        <v>3894</v>
      </c>
      <c r="B2825" s="152">
        <v>0</v>
      </c>
      <c r="C2825" s="151">
        <v>43550</v>
      </c>
      <c r="D2825" s="152">
        <v>0.41643799999999997</v>
      </c>
      <c r="E2825" s="152" t="s">
        <v>1325</v>
      </c>
      <c r="F2825" s="152" t="s">
        <v>1326</v>
      </c>
      <c r="G2825" s="152"/>
      <c r="H2825" s="152"/>
      <c r="I2825" s="152" t="s">
        <v>1327</v>
      </c>
      <c r="J2825" s="152" t="s">
        <v>1327</v>
      </c>
      <c r="K2825" s="152" t="s">
        <v>1327</v>
      </c>
      <c r="L2825" s="152" t="s">
        <v>1327</v>
      </c>
      <c r="M2825" s="152" t="s">
        <v>1327</v>
      </c>
      <c r="N2825" s="152" t="s">
        <v>1327</v>
      </c>
      <c r="O2825" s="152">
        <v>2.0536819999999998</v>
      </c>
      <c r="P2825" s="152">
        <v>36.238644000000001</v>
      </c>
      <c r="Q2825" s="152">
        <v>2.0536819999999998</v>
      </c>
      <c r="R2825" s="152" t="s">
        <v>1327</v>
      </c>
      <c r="S2825" s="152">
        <v>99.152019999999993</v>
      </c>
      <c r="T2825" s="152">
        <v>0</v>
      </c>
      <c r="U2825" s="152">
        <v>0.41290700000000002</v>
      </c>
      <c r="V2825" s="152">
        <v>0.34098400000000001</v>
      </c>
      <c r="W2825" s="152">
        <v>1000</v>
      </c>
      <c r="X2825" s="152" t="s">
        <v>23</v>
      </c>
      <c r="Y2825" s="152" t="s">
        <v>1921</v>
      </c>
      <c r="Z2825" s="152" t="s">
        <v>1327</v>
      </c>
    </row>
    <row r="2826" spans="1:26" x14ac:dyDescent="0.2">
      <c r="A2826" s="152" t="s">
        <v>3895</v>
      </c>
      <c r="B2826" s="152">
        <v>0</v>
      </c>
      <c r="C2826" s="151">
        <v>43550</v>
      </c>
      <c r="D2826" s="152">
        <v>0.41643799999999997</v>
      </c>
      <c r="E2826" s="152" t="s">
        <v>1325</v>
      </c>
      <c r="F2826" s="152" t="s">
        <v>1326</v>
      </c>
      <c r="G2826" s="152"/>
      <c r="H2826" s="152"/>
      <c r="I2826" s="151" t="s">
        <v>1327</v>
      </c>
      <c r="J2826" s="152" t="s">
        <v>1327</v>
      </c>
      <c r="K2826" s="152" t="s">
        <v>1327</v>
      </c>
      <c r="L2826" s="152" t="s">
        <v>1327</v>
      </c>
      <c r="M2826" s="152" t="s">
        <v>1327</v>
      </c>
      <c r="N2826" s="152" t="s">
        <v>1327</v>
      </c>
      <c r="O2826" s="152">
        <v>2.0496310000000002</v>
      </c>
      <c r="P2826" s="152">
        <v>35.828690000000002</v>
      </c>
      <c r="Q2826" s="152">
        <v>2.0496310000000002</v>
      </c>
      <c r="R2826" s="152" t="s">
        <v>1327</v>
      </c>
      <c r="S2826" s="152">
        <v>99.153678999999997</v>
      </c>
      <c r="T2826" s="152">
        <v>0</v>
      </c>
      <c r="U2826" s="152">
        <v>0.412914</v>
      </c>
      <c r="V2826" s="152">
        <v>0.34099600000000002</v>
      </c>
      <c r="W2826" s="152">
        <v>1000</v>
      </c>
      <c r="X2826" s="152" t="s">
        <v>23</v>
      </c>
      <c r="Y2826" s="152" t="s">
        <v>1921</v>
      </c>
      <c r="Z2826" s="152" t="s">
        <v>1327</v>
      </c>
    </row>
    <row r="2827" spans="1:26" x14ac:dyDescent="0.2">
      <c r="A2827" s="152" t="s">
        <v>3896</v>
      </c>
      <c r="B2827" s="152">
        <v>0</v>
      </c>
      <c r="C2827" s="151">
        <v>43551</v>
      </c>
      <c r="D2827" s="152">
        <v>0.419178</v>
      </c>
      <c r="E2827" s="152" t="s">
        <v>1325</v>
      </c>
      <c r="F2827" s="152" t="s">
        <v>1326</v>
      </c>
      <c r="G2827" s="152"/>
      <c r="H2827" s="152"/>
      <c r="I2827" s="151" t="s">
        <v>1327</v>
      </c>
      <c r="J2827" s="152" t="s">
        <v>1327</v>
      </c>
      <c r="K2827" s="152" t="s">
        <v>1327</v>
      </c>
      <c r="L2827" s="152" t="s">
        <v>1327</v>
      </c>
      <c r="M2827" s="152" t="s">
        <v>1327</v>
      </c>
      <c r="N2827" s="152" t="s">
        <v>1327</v>
      </c>
      <c r="O2827" s="152">
        <v>2.0560930000000002</v>
      </c>
      <c r="P2827" s="152">
        <v>36.305176000000003</v>
      </c>
      <c r="Q2827" s="152">
        <v>2.0560930000000002</v>
      </c>
      <c r="R2827" s="152" t="s">
        <v>1327</v>
      </c>
      <c r="S2827" s="152">
        <v>99.145495999999994</v>
      </c>
      <c r="T2827" s="152">
        <v>0</v>
      </c>
      <c r="U2827" s="152">
        <v>0.41559600000000002</v>
      </c>
      <c r="V2827" s="152">
        <v>0.34544000000000002</v>
      </c>
      <c r="W2827" s="152">
        <v>1000</v>
      </c>
      <c r="X2827" s="152" t="s">
        <v>23</v>
      </c>
      <c r="Y2827" s="152" t="s">
        <v>1921</v>
      </c>
      <c r="Z2827" s="152" t="s">
        <v>1327</v>
      </c>
    </row>
    <row r="2828" spans="1:26" x14ac:dyDescent="0.2">
      <c r="A2828" s="152" t="s">
        <v>3897</v>
      </c>
      <c r="B2828" s="152">
        <v>0</v>
      </c>
      <c r="C2828" s="151">
        <v>43551</v>
      </c>
      <c r="D2828" s="152">
        <v>0.419178</v>
      </c>
      <c r="E2828" s="152" t="s">
        <v>1325</v>
      </c>
      <c r="F2828" s="152" t="s">
        <v>1326</v>
      </c>
      <c r="G2828" s="152"/>
      <c r="H2828" s="152"/>
      <c r="I2828" s="151" t="s">
        <v>1327</v>
      </c>
      <c r="J2828" s="152" t="s">
        <v>1327</v>
      </c>
      <c r="K2828" s="152" t="s">
        <v>1327</v>
      </c>
      <c r="L2828" s="152" t="s">
        <v>1327</v>
      </c>
      <c r="M2828" s="152" t="s">
        <v>1327</v>
      </c>
      <c r="N2828" s="152" t="s">
        <v>1327</v>
      </c>
      <c r="O2828" s="152">
        <v>2.0540029999999998</v>
      </c>
      <c r="P2828" s="152">
        <v>36.093732000000003</v>
      </c>
      <c r="Q2828" s="152">
        <v>2.0540029999999998</v>
      </c>
      <c r="R2828" s="152" t="s">
        <v>1327</v>
      </c>
      <c r="S2828" s="152">
        <v>99.146356999999995</v>
      </c>
      <c r="T2828" s="152">
        <v>0</v>
      </c>
      <c r="U2828" s="152">
        <v>0.41560000000000002</v>
      </c>
      <c r="V2828" s="152">
        <v>0.34544599999999998</v>
      </c>
      <c r="W2828" s="152">
        <v>1000</v>
      </c>
      <c r="X2828" s="152" t="s">
        <v>23</v>
      </c>
      <c r="Y2828" s="152" t="s">
        <v>1921</v>
      </c>
      <c r="Z2828" s="152" t="s">
        <v>1327</v>
      </c>
    </row>
    <row r="2829" spans="1:26" x14ac:dyDescent="0.2">
      <c r="A2829" s="152" t="s">
        <v>3898</v>
      </c>
      <c r="B2829" s="152">
        <v>0</v>
      </c>
      <c r="C2829" s="151">
        <v>43554</v>
      </c>
      <c r="D2829" s="152">
        <v>0.42739700000000003</v>
      </c>
      <c r="E2829" s="152" t="s">
        <v>1325</v>
      </c>
      <c r="F2829" s="152" t="s">
        <v>1326</v>
      </c>
      <c r="G2829" s="152"/>
      <c r="H2829" s="152"/>
      <c r="I2829" s="151" t="s">
        <v>1327</v>
      </c>
      <c r="J2829" s="152" t="s">
        <v>1327</v>
      </c>
      <c r="K2829" s="152" t="s">
        <v>1327</v>
      </c>
      <c r="L2829" s="152" t="s">
        <v>1327</v>
      </c>
      <c r="M2829" s="152" t="s">
        <v>1327</v>
      </c>
      <c r="N2829" s="152" t="s">
        <v>1327</v>
      </c>
      <c r="O2829" s="152">
        <v>2.06331</v>
      </c>
      <c r="P2829" s="152">
        <v>36.517175999999999</v>
      </c>
      <c r="Q2829" s="152">
        <v>2.06331</v>
      </c>
      <c r="R2829" s="152" t="s">
        <v>1327</v>
      </c>
      <c r="S2829" s="152">
        <v>99.125855999999999</v>
      </c>
      <c r="T2829" s="152">
        <v>0</v>
      </c>
      <c r="U2829" s="152">
        <v>0.42366100000000001</v>
      </c>
      <c r="V2829" s="152">
        <v>0.35897800000000002</v>
      </c>
      <c r="W2829" s="152">
        <v>1000</v>
      </c>
      <c r="X2829" s="152" t="s">
        <v>23</v>
      </c>
      <c r="Y2829" s="152" t="s">
        <v>1921</v>
      </c>
      <c r="Z2829" s="152" t="s">
        <v>1327</v>
      </c>
    </row>
    <row r="2830" spans="1:26" x14ac:dyDescent="0.2">
      <c r="A2830" s="152" t="s">
        <v>3899</v>
      </c>
      <c r="B2830" s="152">
        <v>0</v>
      </c>
      <c r="C2830" s="151">
        <v>43557</v>
      </c>
      <c r="D2830" s="152">
        <v>0.435616</v>
      </c>
      <c r="E2830" s="152" t="s">
        <v>1325</v>
      </c>
      <c r="F2830" s="152" t="s">
        <v>1326</v>
      </c>
      <c r="G2830" s="152"/>
      <c r="H2830" s="152"/>
      <c r="I2830" s="152" t="s">
        <v>1327</v>
      </c>
      <c r="J2830" s="152" t="s">
        <v>1327</v>
      </c>
      <c r="K2830" s="152" t="s">
        <v>1327</v>
      </c>
      <c r="L2830" s="152" t="s">
        <v>1327</v>
      </c>
      <c r="M2830" s="152" t="s">
        <v>1327</v>
      </c>
      <c r="N2830" s="152" t="s">
        <v>1327</v>
      </c>
      <c r="O2830" s="152">
        <v>2.0684260000000001</v>
      </c>
      <c r="P2830" s="152">
        <v>36.537112999999998</v>
      </c>
      <c r="Q2830" s="152">
        <v>2.0684260000000001</v>
      </c>
      <c r="R2830" s="152" t="s">
        <v>1327</v>
      </c>
      <c r="S2830" s="152">
        <v>99.107005999999998</v>
      </c>
      <c r="T2830" s="152">
        <v>0</v>
      </c>
      <c r="U2830" s="152">
        <v>0.431726</v>
      </c>
      <c r="V2830" s="152">
        <v>0.37277500000000002</v>
      </c>
      <c r="W2830" s="152">
        <v>1000</v>
      </c>
      <c r="X2830" s="152" t="s">
        <v>23</v>
      </c>
      <c r="Y2830" s="152" t="s">
        <v>1921</v>
      </c>
      <c r="Z2830" s="152" t="s">
        <v>1327</v>
      </c>
    </row>
    <row r="2831" spans="1:26" x14ac:dyDescent="0.2">
      <c r="A2831" s="152" t="s">
        <v>3900</v>
      </c>
      <c r="B2831" s="152">
        <v>0</v>
      </c>
      <c r="C2831" s="151">
        <v>43561</v>
      </c>
      <c r="D2831" s="152">
        <v>0.446575</v>
      </c>
      <c r="E2831" s="152" t="s">
        <v>1325</v>
      </c>
      <c r="F2831" s="152" t="s">
        <v>1326</v>
      </c>
      <c r="G2831" s="152"/>
      <c r="H2831" s="152"/>
      <c r="I2831" s="151" t="s">
        <v>1327</v>
      </c>
      <c r="J2831" s="152" t="s">
        <v>1327</v>
      </c>
      <c r="K2831" s="152" t="s">
        <v>1327</v>
      </c>
      <c r="L2831" s="152" t="s">
        <v>1327</v>
      </c>
      <c r="M2831" s="152" t="s">
        <v>1327</v>
      </c>
      <c r="N2831" s="152" t="s">
        <v>1327</v>
      </c>
      <c r="O2831" s="152">
        <v>2.0649980000000001</v>
      </c>
      <c r="P2831" s="152">
        <v>35.557527999999998</v>
      </c>
      <c r="Q2831" s="152">
        <v>2.0649980000000001</v>
      </c>
      <c r="R2831" s="152" t="s">
        <v>1327</v>
      </c>
      <c r="S2831" s="152">
        <v>99.086248999999995</v>
      </c>
      <c r="T2831" s="152">
        <v>0</v>
      </c>
      <c r="U2831" s="152">
        <v>0.44249500000000003</v>
      </c>
      <c r="V2831" s="152">
        <v>0.39160299999999998</v>
      </c>
      <c r="W2831" s="152">
        <v>1000</v>
      </c>
      <c r="X2831" s="152" t="s">
        <v>23</v>
      </c>
      <c r="Y2831" s="152" t="s">
        <v>1921</v>
      </c>
      <c r="Z2831" s="152" t="s">
        <v>1327</v>
      </c>
    </row>
    <row r="2832" spans="1:26" x14ac:dyDescent="0.2">
      <c r="A2832" s="152" t="s">
        <v>3901</v>
      </c>
      <c r="B2832" s="152">
        <v>0</v>
      </c>
      <c r="C2832" s="151">
        <v>43562</v>
      </c>
      <c r="D2832" s="152">
        <v>0.44931500000000002</v>
      </c>
      <c r="E2832" s="152" t="s">
        <v>1325</v>
      </c>
      <c r="F2832" s="152" t="s">
        <v>1326</v>
      </c>
      <c r="G2832" s="152"/>
      <c r="H2832" s="152"/>
      <c r="I2832" s="151" t="s">
        <v>1327</v>
      </c>
      <c r="J2832" s="152" t="s">
        <v>1327</v>
      </c>
      <c r="K2832" s="152" t="s">
        <v>1327</v>
      </c>
      <c r="L2832" s="152" t="s">
        <v>1327</v>
      </c>
      <c r="M2832" s="152" t="s">
        <v>1327</v>
      </c>
      <c r="N2832" s="152" t="s">
        <v>1327</v>
      </c>
      <c r="O2832" s="152">
        <v>2.080368</v>
      </c>
      <c r="P2832" s="152">
        <v>36.959184</v>
      </c>
      <c r="Q2832" s="152">
        <v>2.080368</v>
      </c>
      <c r="R2832" s="152" t="s">
        <v>1327</v>
      </c>
      <c r="S2832" s="152">
        <v>99.073915999999997</v>
      </c>
      <c r="T2832" s="152">
        <v>0</v>
      </c>
      <c r="U2832" s="152">
        <v>0.44515399999999999</v>
      </c>
      <c r="V2832" s="152">
        <v>0.39632400000000001</v>
      </c>
      <c r="W2832" s="152">
        <v>1000</v>
      </c>
      <c r="X2832" s="152" t="s">
        <v>23</v>
      </c>
      <c r="Y2832" s="152" t="s">
        <v>1921</v>
      </c>
      <c r="Z2832" s="152" t="s">
        <v>1327</v>
      </c>
    </row>
    <row r="2833" spans="1:26" x14ac:dyDescent="0.2">
      <c r="A2833" s="152" t="s">
        <v>3902</v>
      </c>
      <c r="B2833" s="152">
        <v>0</v>
      </c>
      <c r="C2833" s="151">
        <v>43563</v>
      </c>
      <c r="D2833" s="152">
        <v>0.45205499999999998</v>
      </c>
      <c r="E2833" s="152" t="s">
        <v>1325</v>
      </c>
      <c r="F2833" s="152" t="s">
        <v>1326</v>
      </c>
      <c r="G2833" s="152"/>
      <c r="H2833" s="152"/>
      <c r="I2833" s="152" t="s">
        <v>1327</v>
      </c>
      <c r="J2833" s="152" t="s">
        <v>1327</v>
      </c>
      <c r="K2833" s="152" t="s">
        <v>1327</v>
      </c>
      <c r="L2833" s="152" t="s">
        <v>1327</v>
      </c>
      <c r="M2833" s="152" t="s">
        <v>1327</v>
      </c>
      <c r="N2833" s="152" t="s">
        <v>1327</v>
      </c>
      <c r="O2833" s="152">
        <v>2.0695790000000001</v>
      </c>
      <c r="P2833" s="152">
        <v>35.717148999999999</v>
      </c>
      <c r="Q2833" s="152">
        <v>2.0695790000000001</v>
      </c>
      <c r="R2833" s="152" t="s">
        <v>1327</v>
      </c>
      <c r="S2833" s="152">
        <v>99.073109000000002</v>
      </c>
      <c r="T2833" s="152">
        <v>0</v>
      </c>
      <c r="U2833" s="152">
        <v>0.44786500000000001</v>
      </c>
      <c r="V2833" s="152">
        <v>0.40116600000000002</v>
      </c>
      <c r="W2833" s="152">
        <v>1000</v>
      </c>
      <c r="X2833" s="152" t="s">
        <v>23</v>
      </c>
      <c r="Y2833" s="152" t="s">
        <v>1921</v>
      </c>
      <c r="Z2833" s="152" t="s">
        <v>1327</v>
      </c>
    </row>
    <row r="2834" spans="1:26" x14ac:dyDescent="0.2">
      <c r="A2834" s="152" t="s">
        <v>3903</v>
      </c>
      <c r="B2834" s="152">
        <v>0</v>
      </c>
      <c r="C2834" s="151">
        <v>43564</v>
      </c>
      <c r="D2834" s="152">
        <v>0.454795</v>
      </c>
      <c r="E2834" s="152" t="s">
        <v>1325</v>
      </c>
      <c r="F2834" s="152" t="s">
        <v>1326</v>
      </c>
      <c r="G2834" s="152"/>
      <c r="H2834" s="152"/>
      <c r="I2834" s="152" t="s">
        <v>1327</v>
      </c>
      <c r="J2834" s="152" t="s">
        <v>1327</v>
      </c>
      <c r="K2834" s="152" t="s">
        <v>1327</v>
      </c>
      <c r="L2834" s="152" t="s">
        <v>1327</v>
      </c>
      <c r="M2834" s="152" t="s">
        <v>1327</v>
      </c>
      <c r="N2834" s="152" t="s">
        <v>1327</v>
      </c>
      <c r="O2834" s="152">
        <v>2.0851229999999998</v>
      </c>
      <c r="P2834" s="152">
        <v>37.140341999999997</v>
      </c>
      <c r="Q2834" s="152">
        <v>2.0851229999999998</v>
      </c>
      <c r="R2834" s="152" t="s">
        <v>1327</v>
      </c>
      <c r="S2834" s="152">
        <v>99.060606000000007</v>
      </c>
      <c r="T2834" s="152">
        <v>0</v>
      </c>
      <c r="U2834" s="152">
        <v>0.45052199999999998</v>
      </c>
      <c r="V2834" s="152">
        <v>0.405941</v>
      </c>
      <c r="W2834" s="152">
        <v>1000</v>
      </c>
      <c r="X2834" s="152" t="s">
        <v>23</v>
      </c>
      <c r="Y2834" s="152" t="s">
        <v>1921</v>
      </c>
      <c r="Z2834" s="152" t="s">
        <v>1327</v>
      </c>
    </row>
    <row r="2835" spans="1:26" x14ac:dyDescent="0.2">
      <c r="A2835" s="152" t="s">
        <v>3904</v>
      </c>
      <c r="B2835" s="152">
        <v>0</v>
      </c>
      <c r="C2835" s="151">
        <v>43564</v>
      </c>
      <c r="D2835" s="152">
        <v>0.454795</v>
      </c>
      <c r="E2835" s="152" t="s">
        <v>1325</v>
      </c>
      <c r="F2835" s="152" t="s">
        <v>1326</v>
      </c>
      <c r="G2835" s="152"/>
      <c r="H2835" s="152"/>
      <c r="I2835" s="151" t="s">
        <v>1327</v>
      </c>
      <c r="J2835" s="152" t="s">
        <v>1327</v>
      </c>
      <c r="K2835" s="152" t="s">
        <v>1327</v>
      </c>
      <c r="L2835" s="152" t="s">
        <v>1327</v>
      </c>
      <c r="M2835" s="152" t="s">
        <v>1327</v>
      </c>
      <c r="N2835" s="152" t="s">
        <v>1327</v>
      </c>
      <c r="O2835" s="152">
        <v>2.0718679999999998</v>
      </c>
      <c r="P2835" s="152">
        <v>35.799841000000001</v>
      </c>
      <c r="Q2835" s="152">
        <v>2.0718679999999998</v>
      </c>
      <c r="R2835" s="152" t="s">
        <v>1327</v>
      </c>
      <c r="S2835" s="152">
        <v>99.066522000000006</v>
      </c>
      <c r="T2835" s="152">
        <v>0</v>
      </c>
      <c r="U2835" s="152">
        <v>0.45054899999999998</v>
      </c>
      <c r="V2835" s="152">
        <v>0.40598899999999999</v>
      </c>
      <c r="W2835" s="152">
        <v>1000</v>
      </c>
      <c r="X2835" s="152" t="s">
        <v>23</v>
      </c>
      <c r="Y2835" s="152" t="s">
        <v>1921</v>
      </c>
      <c r="Z2835" s="152" t="s">
        <v>1327</v>
      </c>
    </row>
    <row r="2836" spans="1:26" x14ac:dyDescent="0.2">
      <c r="A2836" s="152" t="s">
        <v>3905</v>
      </c>
      <c r="B2836" s="152">
        <v>0</v>
      </c>
      <c r="C2836" s="151">
        <v>43567</v>
      </c>
      <c r="D2836" s="152">
        <v>0.46301399999999998</v>
      </c>
      <c r="E2836" s="152" t="s">
        <v>1325</v>
      </c>
      <c r="F2836" s="152" t="s">
        <v>1326</v>
      </c>
      <c r="G2836" s="152"/>
      <c r="H2836" s="152"/>
      <c r="I2836" s="151" t="s">
        <v>1327</v>
      </c>
      <c r="J2836" s="152" t="s">
        <v>1327</v>
      </c>
      <c r="K2836" s="152" t="s">
        <v>1327</v>
      </c>
      <c r="L2836" s="152" t="s">
        <v>1327</v>
      </c>
      <c r="M2836" s="152" t="s">
        <v>1327</v>
      </c>
      <c r="N2836" s="152" t="s">
        <v>1327</v>
      </c>
      <c r="O2836" s="152">
        <v>2.0942820000000002</v>
      </c>
      <c r="P2836" s="152">
        <v>37.631922000000003</v>
      </c>
      <c r="Q2836" s="152">
        <v>2.0942820000000002</v>
      </c>
      <c r="R2836" s="152" t="s">
        <v>1327</v>
      </c>
      <c r="S2836" s="152">
        <v>99.039631</v>
      </c>
      <c r="T2836" s="152">
        <v>0</v>
      </c>
      <c r="U2836" s="152">
        <v>0.458567</v>
      </c>
      <c r="V2836" s="152">
        <v>0.42056700000000002</v>
      </c>
      <c r="W2836" s="152">
        <v>1000</v>
      </c>
      <c r="X2836" s="152" t="s">
        <v>23</v>
      </c>
      <c r="Y2836" s="152" t="s">
        <v>1921</v>
      </c>
      <c r="Z2836" s="152" t="s">
        <v>1327</v>
      </c>
    </row>
    <row r="2837" spans="1:26" x14ac:dyDescent="0.2">
      <c r="A2837" s="152" t="s">
        <v>3906</v>
      </c>
      <c r="B2837" s="152">
        <v>0</v>
      </c>
      <c r="C2837" s="151">
        <v>43412</v>
      </c>
      <c r="D2837" s="152">
        <v>3.8356000000000001E-2</v>
      </c>
      <c r="E2837" s="152" t="s">
        <v>1325</v>
      </c>
      <c r="F2837" s="152" t="s">
        <v>1326</v>
      </c>
      <c r="G2837" s="152"/>
      <c r="H2837" s="152"/>
      <c r="I2837" s="151">
        <v>43320</v>
      </c>
      <c r="J2837" s="152">
        <v>2</v>
      </c>
      <c r="K2837" s="152" t="s">
        <v>1327</v>
      </c>
      <c r="L2837" s="152" t="s">
        <v>1327</v>
      </c>
      <c r="M2837" s="152" t="s">
        <v>1327</v>
      </c>
      <c r="N2837" s="152" t="s">
        <v>1327</v>
      </c>
      <c r="O2837" s="152">
        <v>1.8008010000000001</v>
      </c>
      <c r="P2837" s="152">
        <v>63.445832000000003</v>
      </c>
      <c r="Q2837" s="152">
        <v>1.8008010000000001</v>
      </c>
      <c r="R2837" s="152" t="s">
        <v>1327</v>
      </c>
      <c r="S2837" s="152">
        <v>99.930976000000001</v>
      </c>
      <c r="T2837" s="152">
        <v>0</v>
      </c>
      <c r="U2837" s="152">
        <v>3.8330000000000003E-2</v>
      </c>
      <c r="V2837" s="152">
        <v>2.9380000000000001E-3</v>
      </c>
      <c r="W2837" s="152">
        <v>1000</v>
      </c>
      <c r="X2837" s="152" t="s">
        <v>23</v>
      </c>
      <c r="Y2837" s="152" t="s">
        <v>1328</v>
      </c>
      <c r="Z2837" s="152" t="s">
        <v>1327</v>
      </c>
    </row>
    <row r="2838" spans="1:26" x14ac:dyDescent="0.2">
      <c r="A2838" s="152" t="s">
        <v>3907</v>
      </c>
      <c r="B2838" s="152">
        <v>0</v>
      </c>
      <c r="C2838" s="151">
        <v>43418</v>
      </c>
      <c r="D2838" s="152">
        <v>5.4795000000000003E-2</v>
      </c>
      <c r="E2838" s="152" t="s">
        <v>1325</v>
      </c>
      <c r="F2838" s="152" t="s">
        <v>1326</v>
      </c>
      <c r="G2838" s="152"/>
      <c r="H2838" s="152"/>
      <c r="I2838" s="151" t="s">
        <v>1327</v>
      </c>
      <c r="J2838" s="152" t="s">
        <v>1327</v>
      </c>
      <c r="K2838" s="152" t="s">
        <v>1327</v>
      </c>
      <c r="L2838" s="152" t="s">
        <v>1327</v>
      </c>
      <c r="M2838" s="152" t="s">
        <v>1327</v>
      </c>
      <c r="N2838" s="152" t="s">
        <v>1327</v>
      </c>
      <c r="O2838" s="152">
        <v>1.8001990000000001</v>
      </c>
      <c r="P2838" s="152">
        <v>60.356758999999997</v>
      </c>
      <c r="Q2838" s="152">
        <v>1.8001990000000001</v>
      </c>
      <c r="R2838" s="152" t="s">
        <v>1327</v>
      </c>
      <c r="S2838" s="152">
        <v>99.901455999999996</v>
      </c>
      <c r="T2838" s="152">
        <v>0</v>
      </c>
      <c r="U2838" s="152">
        <v>5.4740999999999998E-2</v>
      </c>
      <c r="V2838" s="152">
        <v>5.9930000000000001E-3</v>
      </c>
      <c r="W2838" s="152">
        <v>1000</v>
      </c>
      <c r="X2838" s="152" t="s">
        <v>23</v>
      </c>
      <c r="Y2838" s="152" t="s">
        <v>1328</v>
      </c>
      <c r="Z2838" s="152" t="s">
        <v>1327</v>
      </c>
    </row>
    <row r="2839" spans="1:26" x14ac:dyDescent="0.2">
      <c r="A2839" s="152" t="s">
        <v>3908</v>
      </c>
      <c r="B2839" s="152">
        <v>0</v>
      </c>
      <c r="C2839" s="151">
        <v>43434</v>
      </c>
      <c r="D2839" s="152">
        <v>9.8629999999999995E-2</v>
      </c>
      <c r="E2839" s="152" t="s">
        <v>1325</v>
      </c>
      <c r="F2839" s="152" t="s">
        <v>1326</v>
      </c>
      <c r="G2839" s="152"/>
      <c r="H2839" s="152"/>
      <c r="I2839" s="151">
        <v>43342</v>
      </c>
      <c r="J2839" s="152">
        <v>2</v>
      </c>
      <c r="K2839" s="152" t="s">
        <v>1327</v>
      </c>
      <c r="L2839" s="152" t="s">
        <v>1327</v>
      </c>
      <c r="M2839" s="152" t="s">
        <v>1327</v>
      </c>
      <c r="N2839" s="152" t="s">
        <v>1327</v>
      </c>
      <c r="O2839" s="152">
        <v>1.906785</v>
      </c>
      <c r="P2839" s="152">
        <v>63.066251000000001</v>
      </c>
      <c r="Q2839" s="152">
        <v>1.906785</v>
      </c>
      <c r="R2839" s="152" t="s">
        <v>1327</v>
      </c>
      <c r="S2839" s="152">
        <v>99.812286999999998</v>
      </c>
      <c r="T2839" s="152">
        <v>0</v>
      </c>
      <c r="U2839" s="152">
        <v>9.8445000000000005E-2</v>
      </c>
      <c r="V2839" s="152">
        <v>1.9383000000000001E-2</v>
      </c>
      <c r="W2839" s="152">
        <v>1000</v>
      </c>
      <c r="X2839" s="152" t="s">
        <v>23</v>
      </c>
      <c r="Y2839" s="152" t="s">
        <v>1328</v>
      </c>
      <c r="Z2839" s="152" t="s">
        <v>1327</v>
      </c>
    </row>
    <row r="2840" spans="1:26" x14ac:dyDescent="0.2">
      <c r="A2840" s="152" t="s">
        <v>3909</v>
      </c>
      <c r="B2840" s="152">
        <v>0</v>
      </c>
      <c r="C2840" s="151">
        <v>43489</v>
      </c>
      <c r="D2840" s="152">
        <v>0.24931500000000001</v>
      </c>
      <c r="E2840" s="152" t="s">
        <v>1325</v>
      </c>
      <c r="F2840" s="152" t="s">
        <v>1326</v>
      </c>
      <c r="G2840" s="152"/>
      <c r="H2840" s="152"/>
      <c r="I2840" s="151">
        <v>43397</v>
      </c>
      <c r="J2840" s="152">
        <v>2.2000000000000002</v>
      </c>
      <c r="K2840" s="152" t="s">
        <v>1327</v>
      </c>
      <c r="L2840" s="152" t="s">
        <v>1327</v>
      </c>
      <c r="M2840" s="152" t="s">
        <v>1327</v>
      </c>
      <c r="N2840" s="152" t="s">
        <v>1327</v>
      </c>
      <c r="O2840" s="152">
        <v>2.2000000000000002</v>
      </c>
      <c r="P2840" s="152">
        <v>67.576440000000005</v>
      </c>
      <c r="Q2840" s="152">
        <v>2.2000000000000002</v>
      </c>
      <c r="R2840" s="152" t="s">
        <v>1327</v>
      </c>
      <c r="S2840" s="152">
        <v>99.454498999999998</v>
      </c>
      <c r="T2840" s="152">
        <v>0</v>
      </c>
      <c r="U2840" s="152">
        <v>0.24795500000000001</v>
      </c>
      <c r="V2840" s="152">
        <v>0.122963</v>
      </c>
      <c r="W2840" s="152">
        <v>1000</v>
      </c>
      <c r="X2840" s="152" t="s">
        <v>23</v>
      </c>
      <c r="Y2840" s="152" t="s">
        <v>1328</v>
      </c>
      <c r="Z2840" s="152" t="s">
        <v>1327</v>
      </c>
    </row>
    <row r="2841" spans="1:26" x14ac:dyDescent="0.2">
      <c r="A2841" s="152" t="s">
        <v>3910</v>
      </c>
      <c r="B2841" s="152">
        <v>0</v>
      </c>
      <c r="C2841" s="151">
        <v>43453</v>
      </c>
      <c r="D2841" s="152">
        <v>0.15068500000000001</v>
      </c>
      <c r="E2841" s="152" t="s">
        <v>1325</v>
      </c>
      <c r="F2841" s="152" t="s">
        <v>1326</v>
      </c>
      <c r="G2841" s="152"/>
      <c r="H2841" s="152"/>
      <c r="I2841" s="151" t="s">
        <v>1327</v>
      </c>
      <c r="J2841" s="152" t="s">
        <v>1327</v>
      </c>
      <c r="K2841" s="152" t="s">
        <v>1327</v>
      </c>
      <c r="L2841" s="152" t="s">
        <v>1327</v>
      </c>
      <c r="M2841" s="152" t="s">
        <v>1327</v>
      </c>
      <c r="N2841" s="152" t="s">
        <v>1327</v>
      </c>
      <c r="O2841" s="152">
        <v>1.7522759999999999</v>
      </c>
      <c r="P2841" s="152">
        <v>37.908098000000003</v>
      </c>
      <c r="Q2841" s="152">
        <v>1.7522759999999999</v>
      </c>
      <c r="R2841" s="152" t="s">
        <v>1327</v>
      </c>
      <c r="S2841" s="152">
        <v>99.736654000000001</v>
      </c>
      <c r="T2841" s="152">
        <v>0</v>
      </c>
      <c r="U2841" s="152">
        <v>0.150288</v>
      </c>
      <c r="V2841" s="152">
        <v>4.5172999999999998E-2</v>
      </c>
      <c r="W2841" s="152">
        <v>1000</v>
      </c>
      <c r="X2841" s="152" t="s">
        <v>23</v>
      </c>
      <c r="Y2841" s="152" t="s">
        <v>1921</v>
      </c>
      <c r="Z2841" s="152" t="s">
        <v>1327</v>
      </c>
    </row>
    <row r="2842" spans="1:26" x14ac:dyDescent="0.2">
      <c r="A2842" s="152" t="s">
        <v>3911</v>
      </c>
      <c r="B2842" s="152">
        <v>0</v>
      </c>
      <c r="C2842" s="151">
        <v>43402</v>
      </c>
      <c r="D2842" s="152">
        <v>1.0959E-2</v>
      </c>
      <c r="E2842" s="152" t="s">
        <v>1325</v>
      </c>
      <c r="F2842" s="152" t="s">
        <v>1326</v>
      </c>
      <c r="G2842" s="152"/>
      <c r="H2842" s="152"/>
      <c r="I2842" s="151" t="s">
        <v>1327</v>
      </c>
      <c r="J2842" s="152" t="s">
        <v>1327</v>
      </c>
      <c r="K2842" s="152" t="s">
        <v>1327</v>
      </c>
      <c r="L2842" s="152" t="s">
        <v>1327</v>
      </c>
      <c r="M2842" s="152" t="s">
        <v>1327</v>
      </c>
      <c r="N2842" s="152" t="s">
        <v>1327</v>
      </c>
      <c r="O2842" s="152">
        <v>1.564473</v>
      </c>
      <c r="P2842" s="152">
        <v>44.382072000000001</v>
      </c>
      <c r="Q2842" s="152">
        <v>1.564473</v>
      </c>
      <c r="R2842" s="152" t="s">
        <v>1327</v>
      </c>
      <c r="S2842" s="152">
        <v>99.982857999999993</v>
      </c>
      <c r="T2842" s="152">
        <v>0</v>
      </c>
      <c r="U2842" s="152">
        <v>1.0957E-2</v>
      </c>
      <c r="V2842" s="152">
        <v>2.4000000000000001E-4</v>
      </c>
      <c r="W2842" s="152">
        <v>1000</v>
      </c>
      <c r="X2842" s="152" t="s">
        <v>23</v>
      </c>
      <c r="Y2842" s="152" t="s">
        <v>1921</v>
      </c>
      <c r="Z2842" s="152" t="s">
        <v>1327</v>
      </c>
    </row>
    <row r="2843" spans="1:26" x14ac:dyDescent="0.2">
      <c r="A2843" s="152" t="s">
        <v>3912</v>
      </c>
      <c r="B2843" s="152">
        <v>0</v>
      </c>
      <c r="C2843" s="151">
        <v>43440</v>
      </c>
      <c r="D2843" s="152">
        <v>0.115068</v>
      </c>
      <c r="E2843" s="152" t="s">
        <v>1325</v>
      </c>
      <c r="F2843" s="152" t="s">
        <v>1326</v>
      </c>
      <c r="G2843" s="152"/>
      <c r="H2843" s="152"/>
      <c r="I2843" s="151" t="s">
        <v>1327</v>
      </c>
      <c r="J2843" s="152" t="s">
        <v>1327</v>
      </c>
      <c r="K2843" s="152" t="s">
        <v>1327</v>
      </c>
      <c r="L2843" s="152" t="s">
        <v>1327</v>
      </c>
      <c r="M2843" s="152" t="s">
        <v>1327</v>
      </c>
      <c r="N2843" s="152" t="s">
        <v>1327</v>
      </c>
      <c r="O2843" s="152">
        <v>1.7177249999999999</v>
      </c>
      <c r="P2843" s="152">
        <v>40.823742000000003</v>
      </c>
      <c r="Q2843" s="152">
        <v>1.7177249999999999</v>
      </c>
      <c r="R2843" s="152" t="s">
        <v>1327</v>
      </c>
      <c r="S2843" s="152">
        <v>99.802734000000001</v>
      </c>
      <c r="T2843" s="152">
        <v>0</v>
      </c>
      <c r="U2843" s="152">
        <v>0.114842</v>
      </c>
      <c r="V2843" s="152">
        <v>2.6377000000000001E-2</v>
      </c>
      <c r="W2843" s="152">
        <v>1000</v>
      </c>
      <c r="X2843" s="152" t="s">
        <v>23</v>
      </c>
      <c r="Y2843" s="152" t="s">
        <v>1921</v>
      </c>
      <c r="Z2843" s="152" t="s">
        <v>1327</v>
      </c>
    </row>
    <row r="2844" spans="1:26" x14ac:dyDescent="0.2">
      <c r="A2844" s="152" t="s">
        <v>3913</v>
      </c>
      <c r="B2844" s="152">
        <v>0</v>
      </c>
      <c r="C2844" s="151">
        <v>43433</v>
      </c>
      <c r="D2844" s="152">
        <v>9.5890000000000003E-2</v>
      </c>
      <c r="E2844" s="152" t="s">
        <v>1325</v>
      </c>
      <c r="F2844" s="152" t="s">
        <v>1326</v>
      </c>
      <c r="G2844" s="152"/>
      <c r="H2844" s="152"/>
      <c r="I2844" s="151" t="s">
        <v>1327</v>
      </c>
      <c r="J2844" s="152" t="s">
        <v>1327</v>
      </c>
      <c r="K2844" s="152" t="s">
        <v>1327</v>
      </c>
      <c r="L2844" s="152" t="s">
        <v>1327</v>
      </c>
      <c r="M2844" s="152" t="s">
        <v>1327</v>
      </c>
      <c r="N2844" s="152" t="s">
        <v>1327</v>
      </c>
      <c r="O2844" s="152">
        <v>1.6818960000000001</v>
      </c>
      <c r="P2844" s="152">
        <v>40.717253999999997</v>
      </c>
      <c r="Q2844" s="152">
        <v>1.6818960000000001</v>
      </c>
      <c r="R2844" s="152" t="s">
        <v>1327</v>
      </c>
      <c r="S2844" s="152">
        <v>99.838982000000001</v>
      </c>
      <c r="T2844" s="152">
        <v>0</v>
      </c>
      <c r="U2844" s="152">
        <v>9.5736000000000002E-2</v>
      </c>
      <c r="V2844" s="152">
        <v>1.8331E-2</v>
      </c>
      <c r="W2844" s="152">
        <v>1000</v>
      </c>
      <c r="X2844" s="152" t="s">
        <v>23</v>
      </c>
      <c r="Y2844" s="152" t="s">
        <v>1921</v>
      </c>
      <c r="Z2844" s="152" t="s">
        <v>1327</v>
      </c>
    </row>
    <row r="2845" spans="1:26" x14ac:dyDescent="0.2">
      <c r="A2845" s="152" t="s">
        <v>3914</v>
      </c>
      <c r="B2845" s="152">
        <v>0</v>
      </c>
      <c r="C2845" s="151">
        <v>43460</v>
      </c>
      <c r="D2845" s="152">
        <v>0.16986299999999999</v>
      </c>
      <c r="E2845" s="152" t="s">
        <v>1325</v>
      </c>
      <c r="F2845" s="152" t="s">
        <v>1326</v>
      </c>
      <c r="G2845" s="152"/>
      <c r="H2845" s="152"/>
      <c r="I2845" s="152" t="s">
        <v>1327</v>
      </c>
      <c r="J2845" s="152" t="s">
        <v>1327</v>
      </c>
      <c r="K2845" s="152" t="s">
        <v>1327</v>
      </c>
      <c r="L2845" s="152" t="s">
        <v>1327</v>
      </c>
      <c r="M2845" s="152" t="s">
        <v>1327</v>
      </c>
      <c r="N2845" s="152" t="s">
        <v>1327</v>
      </c>
      <c r="O2845" s="152">
        <v>1.795803</v>
      </c>
      <c r="P2845" s="152">
        <v>38.981687999999998</v>
      </c>
      <c r="Q2845" s="152">
        <v>1.795803</v>
      </c>
      <c r="R2845" s="152" t="s">
        <v>1327</v>
      </c>
      <c r="S2845" s="152">
        <v>99.695886999999999</v>
      </c>
      <c r="T2845" s="152">
        <v>0</v>
      </c>
      <c r="U2845" s="152">
        <v>0.169346</v>
      </c>
      <c r="V2845" s="152">
        <v>5.7355999999999997E-2</v>
      </c>
      <c r="W2845" s="152">
        <v>1000</v>
      </c>
      <c r="X2845" s="152" t="s">
        <v>23</v>
      </c>
      <c r="Y2845" s="152" t="s">
        <v>1921</v>
      </c>
      <c r="Z2845" s="152" t="s">
        <v>1327</v>
      </c>
    </row>
    <row r="2846" spans="1:26" x14ac:dyDescent="0.2">
      <c r="A2846" s="152" t="s">
        <v>3915</v>
      </c>
      <c r="B2846" s="152">
        <v>0</v>
      </c>
      <c r="C2846" s="151">
        <v>43459</v>
      </c>
      <c r="D2846" s="152">
        <v>0.16712299999999999</v>
      </c>
      <c r="E2846" s="152" t="s">
        <v>1325</v>
      </c>
      <c r="F2846" s="152" t="s">
        <v>1326</v>
      </c>
      <c r="G2846" s="152"/>
      <c r="H2846" s="152"/>
      <c r="I2846" s="152">
        <v>43362</v>
      </c>
      <c r="J2846" s="152">
        <v>1.72</v>
      </c>
      <c r="K2846" s="152" t="s">
        <v>1327</v>
      </c>
      <c r="L2846" s="152" t="s">
        <v>1327</v>
      </c>
      <c r="M2846" s="152" t="s">
        <v>1327</v>
      </c>
      <c r="N2846" s="152" t="s">
        <v>1327</v>
      </c>
      <c r="O2846" s="152">
        <v>1.6564019999999999</v>
      </c>
      <c r="P2846" s="152">
        <v>25.311689000000001</v>
      </c>
      <c r="Q2846" s="152">
        <v>1.6564019999999999</v>
      </c>
      <c r="R2846" s="152" t="s">
        <v>1327</v>
      </c>
      <c r="S2846" s="152">
        <v>99.723940999999996</v>
      </c>
      <c r="T2846" s="152">
        <v>0</v>
      </c>
      <c r="U2846" s="152">
        <v>0.166662</v>
      </c>
      <c r="V2846" s="152">
        <v>5.5551999999999997E-2</v>
      </c>
      <c r="W2846" s="152">
        <v>1000</v>
      </c>
      <c r="X2846" s="152" t="s">
        <v>23</v>
      </c>
      <c r="Y2846" s="152" t="s">
        <v>1328</v>
      </c>
      <c r="Z2846" s="152" t="s">
        <v>1327</v>
      </c>
    </row>
    <row r="2847" spans="1:26" x14ac:dyDescent="0.2">
      <c r="A2847" s="152" t="s">
        <v>3916</v>
      </c>
      <c r="B2847" s="152">
        <v>0</v>
      </c>
      <c r="C2847" s="151">
        <v>43518</v>
      </c>
      <c r="D2847" s="152">
        <v>0.32876699999999998</v>
      </c>
      <c r="E2847" s="152" t="s">
        <v>1325</v>
      </c>
      <c r="F2847" s="152" t="s">
        <v>1326</v>
      </c>
      <c r="G2847" s="152"/>
      <c r="H2847" s="152"/>
      <c r="I2847" s="152">
        <v>43354</v>
      </c>
      <c r="J2847" s="152">
        <v>1.8</v>
      </c>
      <c r="K2847" s="152" t="s">
        <v>1327</v>
      </c>
      <c r="L2847" s="152" t="s">
        <v>1327</v>
      </c>
      <c r="M2847" s="152" t="s">
        <v>1327</v>
      </c>
      <c r="N2847" s="152" t="s">
        <v>1327</v>
      </c>
      <c r="O2847" s="152">
        <v>1.90055</v>
      </c>
      <c r="P2847" s="152">
        <v>27.830818000000001</v>
      </c>
      <c r="Q2847" s="152">
        <v>1.90055</v>
      </c>
      <c r="R2847" s="152" t="s">
        <v>1327</v>
      </c>
      <c r="S2847" s="152">
        <v>99.379041999999998</v>
      </c>
      <c r="T2847" s="152">
        <v>0</v>
      </c>
      <c r="U2847" s="152">
        <v>0.32672600000000002</v>
      </c>
      <c r="V2847" s="152">
        <v>0.21349899999999999</v>
      </c>
      <c r="W2847" s="152">
        <v>1000</v>
      </c>
      <c r="X2847" s="152" t="s">
        <v>23</v>
      </c>
      <c r="Y2847" s="152" t="s">
        <v>1328</v>
      </c>
      <c r="Z2847" s="152" t="s">
        <v>1327</v>
      </c>
    </row>
    <row r="2848" spans="1:26" x14ac:dyDescent="0.2">
      <c r="A2848" s="152" t="s">
        <v>3917</v>
      </c>
      <c r="B2848" s="152">
        <v>0</v>
      </c>
      <c r="C2848" s="151">
        <v>43518</v>
      </c>
      <c r="D2848" s="152">
        <v>0.32876699999999998</v>
      </c>
      <c r="E2848" s="152" t="s">
        <v>1325</v>
      </c>
      <c r="F2848" s="152" t="s">
        <v>1326</v>
      </c>
      <c r="G2848" s="152"/>
      <c r="H2848" s="152"/>
      <c r="I2848" s="151">
        <v>43356</v>
      </c>
      <c r="J2848" s="152">
        <v>1.78</v>
      </c>
      <c r="K2848" s="152" t="s">
        <v>1327</v>
      </c>
      <c r="L2848" s="152" t="s">
        <v>1327</v>
      </c>
      <c r="M2848" s="152" t="s">
        <v>1327</v>
      </c>
      <c r="N2848" s="152" t="s">
        <v>1327</v>
      </c>
      <c r="O2848" s="152">
        <v>1.90055</v>
      </c>
      <c r="P2848" s="152">
        <v>27.830818000000001</v>
      </c>
      <c r="Q2848" s="152">
        <v>1.90055</v>
      </c>
      <c r="R2848" s="152" t="s">
        <v>1327</v>
      </c>
      <c r="S2848" s="152">
        <v>99.379041999999998</v>
      </c>
      <c r="T2848" s="152">
        <v>0</v>
      </c>
      <c r="U2848" s="152">
        <v>0.32672600000000002</v>
      </c>
      <c r="V2848" s="152">
        <v>0.21349899999999999</v>
      </c>
      <c r="W2848" s="152">
        <v>1000</v>
      </c>
      <c r="X2848" s="152" t="s">
        <v>23</v>
      </c>
      <c r="Y2848" s="152" t="s">
        <v>1328</v>
      </c>
      <c r="Z2848" s="152" t="s">
        <v>1327</v>
      </c>
    </row>
    <row r="2849" spans="1:26" x14ac:dyDescent="0.2">
      <c r="A2849" s="152" t="s">
        <v>3918</v>
      </c>
      <c r="B2849" s="152">
        <v>0</v>
      </c>
      <c r="C2849" s="151">
        <v>43537</v>
      </c>
      <c r="D2849" s="152">
        <v>0.38082199999999999</v>
      </c>
      <c r="E2849" s="152" t="s">
        <v>1325</v>
      </c>
      <c r="F2849" s="152" t="s">
        <v>1326</v>
      </c>
      <c r="G2849" s="152"/>
      <c r="H2849" s="152"/>
      <c r="I2849" s="151">
        <v>43357</v>
      </c>
      <c r="J2849" s="152">
        <v>1.78</v>
      </c>
      <c r="K2849" s="152" t="s">
        <v>1327</v>
      </c>
      <c r="L2849" s="152" t="s">
        <v>1327</v>
      </c>
      <c r="M2849" s="152" t="s">
        <v>1327</v>
      </c>
      <c r="N2849" s="152" t="s">
        <v>1327</v>
      </c>
      <c r="O2849" s="152">
        <v>1.9616469999999999</v>
      </c>
      <c r="P2849" s="152">
        <v>29.457561999999999</v>
      </c>
      <c r="Q2849" s="152">
        <v>1.9616469999999999</v>
      </c>
      <c r="R2849" s="152" t="s">
        <v>1327</v>
      </c>
      <c r="S2849" s="152">
        <v>99.258500999999995</v>
      </c>
      <c r="T2849" s="152">
        <v>0</v>
      </c>
      <c r="U2849" s="152">
        <v>0.377998</v>
      </c>
      <c r="V2849" s="152">
        <v>0.28576499999999999</v>
      </c>
      <c r="W2849" s="152">
        <v>1000</v>
      </c>
      <c r="X2849" s="152" t="s">
        <v>23</v>
      </c>
      <c r="Y2849" s="152" t="s">
        <v>1328</v>
      </c>
      <c r="Z2849" s="152" t="s">
        <v>1327</v>
      </c>
    </row>
    <row r="2850" spans="1:26" x14ac:dyDescent="0.2">
      <c r="A2850" s="152" t="s">
        <v>3919</v>
      </c>
      <c r="B2850" s="152">
        <v>0</v>
      </c>
      <c r="C2850" s="151">
        <v>43539</v>
      </c>
      <c r="D2850" s="152">
        <v>0.38630100000000001</v>
      </c>
      <c r="E2850" s="152" t="s">
        <v>1325</v>
      </c>
      <c r="F2850" s="152" t="s">
        <v>1326</v>
      </c>
      <c r="G2850" s="152"/>
      <c r="H2850" s="152"/>
      <c r="I2850" s="151">
        <v>43361</v>
      </c>
      <c r="J2850" s="152">
        <v>1.78</v>
      </c>
      <c r="K2850" s="152" t="s">
        <v>1327</v>
      </c>
      <c r="L2850" s="152" t="s">
        <v>1327</v>
      </c>
      <c r="M2850" s="152" t="s">
        <v>1327</v>
      </c>
      <c r="N2850" s="152" t="s">
        <v>1327</v>
      </c>
      <c r="O2850" s="152">
        <v>1.968037</v>
      </c>
      <c r="P2850" s="152">
        <v>29.685912999999999</v>
      </c>
      <c r="Q2850" s="152">
        <v>1.968037</v>
      </c>
      <c r="R2850" s="152" t="s">
        <v>1327</v>
      </c>
      <c r="S2850" s="152">
        <v>99.245480999999998</v>
      </c>
      <c r="T2850" s="152">
        <v>0</v>
      </c>
      <c r="U2850" s="152">
        <v>0.38338699999999998</v>
      </c>
      <c r="V2850" s="152">
        <v>0.29397099999999998</v>
      </c>
      <c r="W2850" s="152">
        <v>1000</v>
      </c>
      <c r="X2850" s="152" t="s">
        <v>23</v>
      </c>
      <c r="Y2850" s="152" t="s">
        <v>1328</v>
      </c>
      <c r="Z2850" s="152" t="s">
        <v>1327</v>
      </c>
    </row>
    <row r="2851" spans="1:26" x14ac:dyDescent="0.2">
      <c r="A2851" s="152" t="s">
        <v>3920</v>
      </c>
      <c r="B2851" s="152">
        <v>0</v>
      </c>
      <c r="C2851" s="151">
        <v>43543</v>
      </c>
      <c r="D2851" s="152">
        <v>0.39726</v>
      </c>
      <c r="E2851" s="152" t="s">
        <v>1325</v>
      </c>
      <c r="F2851" s="152" t="s">
        <v>1326</v>
      </c>
      <c r="G2851" s="152"/>
      <c r="H2851" s="152"/>
      <c r="I2851" s="152">
        <v>43362</v>
      </c>
      <c r="J2851" s="152">
        <v>1.77</v>
      </c>
      <c r="K2851" s="152" t="s">
        <v>1327</v>
      </c>
      <c r="L2851" s="152" t="s">
        <v>1327</v>
      </c>
      <c r="M2851" s="152" t="s">
        <v>1327</v>
      </c>
      <c r="N2851" s="152" t="s">
        <v>1327</v>
      </c>
      <c r="O2851" s="152">
        <v>1.9807870000000001</v>
      </c>
      <c r="P2851" s="152">
        <v>30.171785</v>
      </c>
      <c r="Q2851" s="152">
        <v>1.9807870000000001</v>
      </c>
      <c r="R2851" s="152" t="s">
        <v>1327</v>
      </c>
      <c r="S2851" s="152">
        <v>99.219256000000001</v>
      </c>
      <c r="T2851" s="152">
        <v>0</v>
      </c>
      <c r="U2851" s="152">
        <v>0.39415899999999998</v>
      </c>
      <c r="V2851" s="152">
        <v>0.310722</v>
      </c>
      <c r="W2851" s="152">
        <v>1000</v>
      </c>
      <c r="X2851" s="152" t="s">
        <v>23</v>
      </c>
      <c r="Y2851" s="152" t="s">
        <v>1328</v>
      </c>
      <c r="Z2851" s="152" t="s">
        <v>1327</v>
      </c>
    </row>
    <row r="2852" spans="1:26" x14ac:dyDescent="0.2">
      <c r="A2852" s="152" t="s">
        <v>3921</v>
      </c>
      <c r="B2852" s="152">
        <v>0</v>
      </c>
      <c r="C2852" s="151">
        <v>43543</v>
      </c>
      <c r="D2852" s="152">
        <v>0.39726</v>
      </c>
      <c r="E2852" s="152" t="s">
        <v>1325</v>
      </c>
      <c r="F2852" s="152" t="s">
        <v>1326</v>
      </c>
      <c r="G2852" s="152"/>
      <c r="H2852" s="152"/>
      <c r="I2852" s="152" t="s">
        <v>1327</v>
      </c>
      <c r="J2852" s="152" t="s">
        <v>1327</v>
      </c>
      <c r="K2852" s="152" t="s">
        <v>1327</v>
      </c>
      <c r="L2852" s="152" t="s">
        <v>1327</v>
      </c>
      <c r="M2852" s="152" t="s">
        <v>1327</v>
      </c>
      <c r="N2852" s="152" t="s">
        <v>1327</v>
      </c>
      <c r="O2852" s="152">
        <v>1.9807870000000001</v>
      </c>
      <c r="P2852" s="152">
        <v>30.171785</v>
      </c>
      <c r="Q2852" s="152">
        <v>1.9807870000000001</v>
      </c>
      <c r="R2852" s="152" t="s">
        <v>1327</v>
      </c>
      <c r="S2852" s="152">
        <v>99.219256000000001</v>
      </c>
      <c r="T2852" s="152">
        <v>0</v>
      </c>
      <c r="U2852" s="152">
        <v>0.39415899999999998</v>
      </c>
      <c r="V2852" s="152">
        <v>0.310722</v>
      </c>
      <c r="W2852" s="152">
        <v>1000</v>
      </c>
      <c r="X2852" s="152" t="s">
        <v>23</v>
      </c>
      <c r="Y2852" s="152" t="s">
        <v>1328</v>
      </c>
      <c r="Z2852" s="152" t="s">
        <v>1327</v>
      </c>
    </row>
    <row r="2853" spans="1:26" x14ac:dyDescent="0.2">
      <c r="A2853" s="152" t="s">
        <v>3922</v>
      </c>
      <c r="B2853" s="152">
        <v>1.9</v>
      </c>
      <c r="C2853" s="151">
        <v>43440</v>
      </c>
      <c r="D2853" s="152">
        <v>0.115068</v>
      </c>
      <c r="E2853" s="152" t="s">
        <v>1325</v>
      </c>
      <c r="F2853" s="152" t="s">
        <v>1326</v>
      </c>
      <c r="G2853" s="152"/>
      <c r="H2853" s="152" t="s">
        <v>1276</v>
      </c>
      <c r="I2853" s="151" t="s">
        <v>1327</v>
      </c>
      <c r="J2853" s="152" t="s">
        <v>1327</v>
      </c>
      <c r="K2853" s="152" t="s">
        <v>1327</v>
      </c>
      <c r="L2853" s="152" t="s">
        <v>1327</v>
      </c>
      <c r="M2853" s="152" t="s">
        <v>1327</v>
      </c>
      <c r="N2853" s="152" t="s">
        <v>1327</v>
      </c>
      <c r="O2853" s="152">
        <v>1.6724870000000001</v>
      </c>
      <c r="P2853" s="152">
        <v>36.231647000000002</v>
      </c>
      <c r="Q2853" s="152">
        <v>1.6724870000000001</v>
      </c>
      <c r="R2853" s="152" t="s">
        <v>1327</v>
      </c>
      <c r="S2853" s="152">
        <v>100.025629</v>
      </c>
      <c r="T2853" s="152">
        <v>0.26027400000000001</v>
      </c>
      <c r="U2853" s="152">
        <v>0.114847</v>
      </c>
      <c r="V2853" s="152">
        <v>2.6380000000000001E-2</v>
      </c>
      <c r="W2853" s="152">
        <v>1000</v>
      </c>
      <c r="X2853" s="152" t="s">
        <v>23</v>
      </c>
      <c r="Y2853" s="152" t="s">
        <v>1328</v>
      </c>
      <c r="Z2853" s="152" t="s">
        <v>1327</v>
      </c>
    </row>
    <row r="2854" spans="1:26" x14ac:dyDescent="0.2">
      <c r="A2854" s="152" t="s">
        <v>3923</v>
      </c>
      <c r="B2854" s="152">
        <v>1.7</v>
      </c>
      <c r="C2854" s="151">
        <v>43446</v>
      </c>
      <c r="D2854" s="152">
        <v>0.13150700000000001</v>
      </c>
      <c r="E2854" s="152" t="s">
        <v>1325</v>
      </c>
      <c r="F2854" s="152" t="s">
        <v>1326</v>
      </c>
      <c r="G2854" s="152"/>
      <c r="H2854" s="152" t="s">
        <v>1276</v>
      </c>
      <c r="I2854" s="151" t="s">
        <v>1327</v>
      </c>
      <c r="J2854" s="152" t="s">
        <v>1327</v>
      </c>
      <c r="K2854" s="152" t="s">
        <v>1327</v>
      </c>
      <c r="L2854" s="152" t="s">
        <v>1327</v>
      </c>
      <c r="M2854" s="152" t="s">
        <v>1327</v>
      </c>
      <c r="N2854" s="152" t="s">
        <v>1327</v>
      </c>
      <c r="O2854" s="152">
        <v>1.7005079999999999</v>
      </c>
      <c r="P2854" s="152">
        <v>36.084111</v>
      </c>
      <c r="Q2854" s="152">
        <v>1.7005079999999999</v>
      </c>
      <c r="R2854" s="152" t="s">
        <v>1327</v>
      </c>
      <c r="S2854" s="152">
        <v>99.999486000000005</v>
      </c>
      <c r="T2854" s="152">
        <v>0.20027400000000001</v>
      </c>
      <c r="U2854" s="152">
        <v>0.131213</v>
      </c>
      <c r="V2854" s="152">
        <v>3.4433999999999999E-2</v>
      </c>
      <c r="W2854" s="152">
        <v>1000</v>
      </c>
      <c r="X2854" s="152" t="s">
        <v>23</v>
      </c>
      <c r="Y2854" s="152" t="s">
        <v>1328</v>
      </c>
      <c r="Z2854" s="152" t="s">
        <v>1327</v>
      </c>
    </row>
    <row r="2855" spans="1:26" x14ac:dyDescent="0.2">
      <c r="A2855" s="152" t="s">
        <v>3924</v>
      </c>
      <c r="B2855" s="152">
        <v>1.7</v>
      </c>
      <c r="C2855" s="151">
        <v>43447</v>
      </c>
      <c r="D2855" s="152">
        <v>0.13424700000000001</v>
      </c>
      <c r="E2855" s="152" t="s">
        <v>1325</v>
      </c>
      <c r="F2855" s="152" t="s">
        <v>1326</v>
      </c>
      <c r="G2855" s="152"/>
      <c r="H2855" s="152" t="s">
        <v>1276</v>
      </c>
      <c r="I2855" s="151" t="s">
        <v>1327</v>
      </c>
      <c r="J2855" s="152" t="s">
        <v>1327</v>
      </c>
      <c r="K2855" s="152" t="s">
        <v>1327</v>
      </c>
      <c r="L2855" s="152" t="s">
        <v>1327</v>
      </c>
      <c r="M2855" s="152" t="s">
        <v>1327</v>
      </c>
      <c r="N2855" s="152" t="s">
        <v>1327</v>
      </c>
      <c r="O2855" s="152">
        <v>1.705198</v>
      </c>
      <c r="P2855" s="152">
        <v>36.065781999999999</v>
      </c>
      <c r="Q2855" s="152">
        <v>1.705198</v>
      </c>
      <c r="R2855" s="152" t="s">
        <v>1327</v>
      </c>
      <c r="S2855" s="152">
        <v>99.998857000000001</v>
      </c>
      <c r="T2855" s="152">
        <v>0.19561600000000001</v>
      </c>
      <c r="U2855" s="152">
        <v>0.13394</v>
      </c>
      <c r="V2855" s="152">
        <v>3.5880000000000002E-2</v>
      </c>
      <c r="W2855" s="152">
        <v>1000</v>
      </c>
      <c r="X2855" s="152" t="s">
        <v>23</v>
      </c>
      <c r="Y2855" s="152" t="s">
        <v>1328</v>
      </c>
      <c r="Z2855" s="152" t="s">
        <v>1327</v>
      </c>
    </row>
    <row r="2856" spans="1:26" x14ac:dyDescent="0.2">
      <c r="A2856" s="152" t="s">
        <v>3925</v>
      </c>
      <c r="B2856" s="152">
        <v>1.7</v>
      </c>
      <c r="C2856" s="151">
        <v>43452</v>
      </c>
      <c r="D2856" s="152">
        <v>0.14794499999999999</v>
      </c>
      <c r="E2856" s="152" t="s">
        <v>1325</v>
      </c>
      <c r="F2856" s="152" t="s">
        <v>1326</v>
      </c>
      <c r="G2856" s="152"/>
      <c r="H2856" s="152" t="s">
        <v>1276</v>
      </c>
      <c r="I2856" s="151" t="s">
        <v>1327</v>
      </c>
      <c r="J2856" s="152" t="s">
        <v>1327</v>
      </c>
      <c r="K2856" s="152" t="s">
        <v>1327</v>
      </c>
      <c r="L2856" s="152" t="s">
        <v>1327</v>
      </c>
      <c r="M2856" s="152" t="s">
        <v>1327</v>
      </c>
      <c r="N2856" s="152" t="s">
        <v>1327</v>
      </c>
      <c r="O2856" s="152">
        <v>1.7287440000000001</v>
      </c>
      <c r="P2856" s="152">
        <v>36.005173999999997</v>
      </c>
      <c r="Q2856" s="152">
        <v>1.7287440000000001</v>
      </c>
      <c r="R2856" s="152" t="s">
        <v>1327</v>
      </c>
      <c r="S2856" s="152">
        <v>99.995317999999997</v>
      </c>
      <c r="T2856" s="152">
        <v>0.17232900000000001</v>
      </c>
      <c r="U2856" s="152">
        <v>0.147568</v>
      </c>
      <c r="V2856" s="152">
        <v>4.3553000000000001E-2</v>
      </c>
      <c r="W2856" s="152">
        <v>1000</v>
      </c>
      <c r="X2856" s="152" t="s">
        <v>23</v>
      </c>
      <c r="Y2856" s="152" t="s">
        <v>1328</v>
      </c>
      <c r="Z2856" s="152" t="s">
        <v>1327</v>
      </c>
    </row>
    <row r="2857" spans="1:26" x14ac:dyDescent="0.2">
      <c r="A2857" s="152" t="s">
        <v>3926</v>
      </c>
      <c r="B2857" s="152">
        <v>1.85</v>
      </c>
      <c r="C2857" s="151">
        <v>43452</v>
      </c>
      <c r="D2857" s="152">
        <v>0.14794499999999999</v>
      </c>
      <c r="E2857" s="152" t="s">
        <v>1325</v>
      </c>
      <c r="F2857" s="152" t="s">
        <v>1326</v>
      </c>
      <c r="G2857" s="152"/>
      <c r="H2857" s="152" t="s">
        <v>1276</v>
      </c>
      <c r="I2857" s="151" t="s">
        <v>1327</v>
      </c>
      <c r="J2857" s="152" t="s">
        <v>1327</v>
      </c>
      <c r="K2857" s="152" t="s">
        <v>1327</v>
      </c>
      <c r="L2857" s="152" t="s">
        <v>1327</v>
      </c>
      <c r="M2857" s="152" t="s">
        <v>1327</v>
      </c>
      <c r="N2857" s="152" t="s">
        <v>1327</v>
      </c>
      <c r="O2857" s="152">
        <v>1.7287440000000001</v>
      </c>
      <c r="P2857" s="152">
        <v>36.005173999999997</v>
      </c>
      <c r="Q2857" s="152">
        <v>1.7287440000000001</v>
      </c>
      <c r="R2857" s="152" t="s">
        <v>1327</v>
      </c>
      <c r="S2857" s="152">
        <v>100.017635</v>
      </c>
      <c r="T2857" s="152">
        <v>0.10137</v>
      </c>
      <c r="U2857" s="152">
        <v>0.147568</v>
      </c>
      <c r="V2857" s="152">
        <v>4.3553000000000001E-2</v>
      </c>
      <c r="W2857" s="152">
        <v>1000</v>
      </c>
      <c r="X2857" s="152" t="s">
        <v>23</v>
      </c>
      <c r="Y2857" s="152" t="s">
        <v>1328</v>
      </c>
      <c r="Z2857" s="152" t="s">
        <v>1327</v>
      </c>
    </row>
    <row r="2858" spans="1:26" x14ac:dyDescent="0.2">
      <c r="A2858" s="152" t="s">
        <v>3927</v>
      </c>
      <c r="B2858" s="152">
        <v>1.85</v>
      </c>
      <c r="C2858" s="151">
        <v>43452</v>
      </c>
      <c r="D2858" s="152">
        <v>0.14794499999999999</v>
      </c>
      <c r="E2858" s="152" t="s">
        <v>1325</v>
      </c>
      <c r="F2858" s="152" t="s">
        <v>1326</v>
      </c>
      <c r="G2858" s="152"/>
      <c r="H2858" s="152" t="s">
        <v>1276</v>
      </c>
      <c r="I2858" s="151" t="s">
        <v>1327</v>
      </c>
      <c r="J2858" s="152" t="s">
        <v>1327</v>
      </c>
      <c r="K2858" s="152" t="s">
        <v>1327</v>
      </c>
      <c r="L2858" s="152" t="s">
        <v>1327</v>
      </c>
      <c r="M2858" s="152" t="s">
        <v>1327</v>
      </c>
      <c r="N2858" s="152" t="s">
        <v>1327</v>
      </c>
      <c r="O2858" s="152">
        <v>1.7287440000000001</v>
      </c>
      <c r="P2858" s="152">
        <v>36.005173999999997</v>
      </c>
      <c r="Q2858" s="152">
        <v>1.7287440000000001</v>
      </c>
      <c r="R2858" s="152" t="s">
        <v>1327</v>
      </c>
      <c r="S2858" s="152">
        <v>100.017674</v>
      </c>
      <c r="T2858" s="152">
        <v>8.6164000000000004E-2</v>
      </c>
      <c r="U2858" s="152">
        <v>0.147568</v>
      </c>
      <c r="V2858" s="152">
        <v>4.3553000000000001E-2</v>
      </c>
      <c r="W2858" s="152">
        <v>1000</v>
      </c>
      <c r="X2858" s="152" t="s">
        <v>23</v>
      </c>
      <c r="Y2858" s="152" t="s">
        <v>1328</v>
      </c>
      <c r="Z2858" s="152" t="s">
        <v>1327</v>
      </c>
    </row>
    <row r="2859" spans="1:26" x14ac:dyDescent="0.2">
      <c r="A2859" s="152" t="s">
        <v>3928</v>
      </c>
      <c r="B2859" s="152">
        <v>1.7</v>
      </c>
      <c r="C2859" s="152">
        <v>43412</v>
      </c>
      <c r="D2859" s="152">
        <v>3.8356000000000001E-2</v>
      </c>
      <c r="E2859" s="152" t="s">
        <v>1325</v>
      </c>
      <c r="F2859" s="152" t="s">
        <v>1326</v>
      </c>
      <c r="G2859" s="152"/>
      <c r="H2859" s="152" t="s">
        <v>1276</v>
      </c>
      <c r="I2859" s="152" t="s">
        <v>1327</v>
      </c>
      <c r="J2859" s="152" t="s">
        <v>1327</v>
      </c>
      <c r="K2859" s="152" t="s">
        <v>1327</v>
      </c>
      <c r="L2859" s="152" t="s">
        <v>1327</v>
      </c>
      <c r="M2859" s="152" t="s">
        <v>1327</v>
      </c>
      <c r="N2859" s="152" t="s">
        <v>1327</v>
      </c>
      <c r="O2859" s="152">
        <v>1.572133</v>
      </c>
      <c r="P2859" s="152">
        <v>40.205331999999999</v>
      </c>
      <c r="Q2859" s="152">
        <v>1.572133</v>
      </c>
      <c r="R2859" s="152" t="s">
        <v>1327</v>
      </c>
      <c r="S2859" s="152">
        <v>100.00467999999999</v>
      </c>
      <c r="T2859" s="152">
        <v>0.36794500000000002</v>
      </c>
      <c r="U2859" s="152">
        <v>3.8332999999999999E-2</v>
      </c>
      <c r="V2859" s="152">
        <v>2.9390000000000002E-3</v>
      </c>
      <c r="W2859" s="152">
        <v>1000</v>
      </c>
      <c r="X2859" s="152" t="s">
        <v>23</v>
      </c>
      <c r="Y2859" s="152" t="s">
        <v>1328</v>
      </c>
      <c r="Z2859" s="152" t="s">
        <v>1327</v>
      </c>
    </row>
    <row r="2860" spans="1:26" x14ac:dyDescent="0.2">
      <c r="A2860" s="152" t="s">
        <v>3929</v>
      </c>
      <c r="B2860" s="152">
        <v>1.7</v>
      </c>
      <c r="C2860" s="151">
        <v>43412</v>
      </c>
      <c r="D2860" s="152">
        <v>3.8356000000000001E-2</v>
      </c>
      <c r="E2860" s="152" t="s">
        <v>1325</v>
      </c>
      <c r="F2860" s="152" t="s">
        <v>1326</v>
      </c>
      <c r="G2860" s="152"/>
      <c r="H2860" s="152" t="s">
        <v>1276</v>
      </c>
      <c r="I2860" s="151" t="s">
        <v>1327</v>
      </c>
      <c r="J2860" s="152" t="s">
        <v>1327</v>
      </c>
      <c r="K2860" s="152" t="s">
        <v>1327</v>
      </c>
      <c r="L2860" s="152" t="s">
        <v>1327</v>
      </c>
      <c r="M2860" s="152" t="s">
        <v>1327</v>
      </c>
      <c r="N2860" s="152" t="s">
        <v>1327</v>
      </c>
      <c r="O2860" s="152">
        <v>1.572133</v>
      </c>
      <c r="P2860" s="152">
        <v>40.205331999999999</v>
      </c>
      <c r="Q2860" s="152">
        <v>1.572133</v>
      </c>
      <c r="R2860" s="152" t="s">
        <v>1327</v>
      </c>
      <c r="S2860" s="152">
        <v>100.00468600000001</v>
      </c>
      <c r="T2860" s="152">
        <v>0.35863</v>
      </c>
      <c r="U2860" s="152">
        <v>3.8332999999999999E-2</v>
      </c>
      <c r="V2860" s="152">
        <v>2.9390000000000002E-3</v>
      </c>
      <c r="W2860" s="152">
        <v>1000</v>
      </c>
      <c r="X2860" s="152" t="s">
        <v>23</v>
      </c>
      <c r="Y2860" s="152" t="s">
        <v>1328</v>
      </c>
      <c r="Z2860" s="152" t="s">
        <v>1327</v>
      </c>
    </row>
    <row r="2861" spans="1:26" x14ac:dyDescent="0.2">
      <c r="A2861" s="152" t="s">
        <v>3930</v>
      </c>
      <c r="B2861" s="152">
        <v>1.8</v>
      </c>
      <c r="C2861" s="151">
        <v>43417</v>
      </c>
      <c r="D2861" s="152">
        <v>5.2054999999999997E-2</v>
      </c>
      <c r="E2861" s="152" t="s">
        <v>1325</v>
      </c>
      <c r="F2861" s="152" t="s">
        <v>1326</v>
      </c>
      <c r="G2861" s="152"/>
      <c r="H2861" s="152" t="s">
        <v>1276</v>
      </c>
      <c r="I2861" s="152" t="s">
        <v>1327</v>
      </c>
      <c r="J2861" s="152" t="s">
        <v>1327</v>
      </c>
      <c r="K2861" s="152" t="s">
        <v>1327</v>
      </c>
      <c r="L2861" s="152" t="s">
        <v>1327</v>
      </c>
      <c r="M2861" s="152" t="s">
        <v>1327</v>
      </c>
      <c r="N2861" s="152" t="s">
        <v>1327</v>
      </c>
      <c r="O2861" s="152">
        <v>1.5715920000000001</v>
      </c>
      <c r="P2861" s="152">
        <v>37.634244000000002</v>
      </c>
      <c r="Q2861" s="152">
        <v>1.5715920000000001</v>
      </c>
      <c r="R2861" s="152" t="s">
        <v>1327</v>
      </c>
      <c r="S2861" s="152">
        <v>100.011235</v>
      </c>
      <c r="T2861" s="152">
        <v>0.78904099999999999</v>
      </c>
      <c r="U2861" s="152">
        <v>5.2012000000000003E-2</v>
      </c>
      <c r="V2861" s="152">
        <v>5.411E-3</v>
      </c>
      <c r="W2861" s="152">
        <v>1000</v>
      </c>
      <c r="X2861" s="152" t="s">
        <v>23</v>
      </c>
      <c r="Y2861" s="152" t="s">
        <v>1328</v>
      </c>
      <c r="Z2861" s="152" t="s">
        <v>1327</v>
      </c>
    </row>
    <row r="2862" spans="1:26" x14ac:dyDescent="0.2">
      <c r="A2862" s="152" t="s">
        <v>3931</v>
      </c>
      <c r="B2862" s="152">
        <v>1.7</v>
      </c>
      <c r="C2862" s="151">
        <v>43419</v>
      </c>
      <c r="D2862" s="152">
        <v>5.7534000000000002E-2</v>
      </c>
      <c r="E2862" s="152" t="s">
        <v>1325</v>
      </c>
      <c r="F2862" s="152" t="s">
        <v>1326</v>
      </c>
      <c r="G2862" s="152"/>
      <c r="H2862" s="152" t="s">
        <v>1276</v>
      </c>
      <c r="I2862" s="152" t="s">
        <v>1327</v>
      </c>
      <c r="J2862" s="152" t="s">
        <v>1327</v>
      </c>
      <c r="K2862" s="152" t="s">
        <v>1327</v>
      </c>
      <c r="L2862" s="152" t="s">
        <v>1327</v>
      </c>
      <c r="M2862" s="152" t="s">
        <v>1327</v>
      </c>
      <c r="N2862" s="152" t="s">
        <v>1327</v>
      </c>
      <c r="O2862" s="152">
        <v>1.576033</v>
      </c>
      <c r="P2862" s="152">
        <v>37.073867</v>
      </c>
      <c r="Q2862" s="152">
        <v>1.576033</v>
      </c>
      <c r="R2862" s="152" t="s">
        <v>1327</v>
      </c>
      <c r="S2862" s="152">
        <v>100.006826</v>
      </c>
      <c r="T2862" s="152">
        <v>0.33068500000000001</v>
      </c>
      <c r="U2862" s="152">
        <v>5.7481999999999998E-2</v>
      </c>
      <c r="V2862" s="152">
        <v>6.6080000000000002E-3</v>
      </c>
      <c r="W2862" s="152">
        <v>1000</v>
      </c>
      <c r="X2862" s="152" t="s">
        <v>23</v>
      </c>
      <c r="Y2862" s="152" t="s">
        <v>1328</v>
      </c>
      <c r="Z2862" s="152" t="s">
        <v>1327</v>
      </c>
    </row>
    <row r="2863" spans="1:26" x14ac:dyDescent="0.2">
      <c r="A2863" s="152" t="s">
        <v>3932</v>
      </c>
      <c r="B2863" s="152">
        <v>1.82</v>
      </c>
      <c r="C2863" s="151">
        <v>43420</v>
      </c>
      <c r="D2863" s="152">
        <v>6.0274000000000001E-2</v>
      </c>
      <c r="E2863" s="152" t="s">
        <v>1325</v>
      </c>
      <c r="F2863" s="152" t="s">
        <v>1326</v>
      </c>
      <c r="G2863" s="152"/>
      <c r="H2863" s="152" t="s">
        <v>1276</v>
      </c>
      <c r="I2863" s="152" t="s">
        <v>1327</v>
      </c>
      <c r="J2863" s="152" t="s">
        <v>1327</v>
      </c>
      <c r="K2863" s="152" t="s">
        <v>1327</v>
      </c>
      <c r="L2863" s="152" t="s">
        <v>1327</v>
      </c>
      <c r="M2863" s="152" t="s">
        <v>1327</v>
      </c>
      <c r="N2863" s="152" t="s">
        <v>1327</v>
      </c>
      <c r="O2863" s="152">
        <v>1.5805709999999999</v>
      </c>
      <c r="P2863" s="152">
        <v>37.028236</v>
      </c>
      <c r="Q2863" s="152">
        <v>1.5805709999999999</v>
      </c>
      <c r="R2863" s="152" t="s">
        <v>1327</v>
      </c>
      <c r="S2863" s="152">
        <v>100.014104</v>
      </c>
      <c r="T2863" s="152">
        <v>0.329096</v>
      </c>
      <c r="U2863" s="152">
        <v>6.0217E-2</v>
      </c>
      <c r="V2863" s="152">
        <v>7.2519999999999998E-3</v>
      </c>
      <c r="W2863" s="152">
        <v>1000</v>
      </c>
      <c r="X2863" s="152" t="s">
        <v>23</v>
      </c>
      <c r="Y2863" s="152" t="s">
        <v>1328</v>
      </c>
      <c r="Z2863" s="152" t="s">
        <v>1327</v>
      </c>
    </row>
    <row r="2864" spans="1:26" x14ac:dyDescent="0.2">
      <c r="A2864" s="152" t="s">
        <v>3933</v>
      </c>
      <c r="B2864" s="152">
        <v>1.8</v>
      </c>
      <c r="C2864" s="151">
        <v>43424</v>
      </c>
      <c r="D2864" s="152">
        <v>7.1233000000000005E-2</v>
      </c>
      <c r="E2864" s="152" t="s">
        <v>1325</v>
      </c>
      <c r="F2864" s="152" t="s">
        <v>1326</v>
      </c>
      <c r="G2864" s="152"/>
      <c r="H2864" s="152" t="s">
        <v>1276</v>
      </c>
      <c r="I2864" s="152" t="s">
        <v>1327</v>
      </c>
      <c r="J2864" s="152" t="s">
        <v>1327</v>
      </c>
      <c r="K2864" s="152" t="s">
        <v>1327</v>
      </c>
      <c r="L2864" s="152" t="s">
        <v>1327</v>
      </c>
      <c r="M2864" s="152" t="s">
        <v>1327</v>
      </c>
      <c r="N2864" s="152" t="s">
        <v>1327</v>
      </c>
      <c r="O2864" s="152">
        <v>1.598779</v>
      </c>
      <c r="P2864" s="152">
        <v>36.847541999999997</v>
      </c>
      <c r="Q2864" s="152">
        <v>1.598779</v>
      </c>
      <c r="R2864" s="152" t="s">
        <v>1327</v>
      </c>
      <c r="S2864" s="152">
        <v>100.013453</v>
      </c>
      <c r="T2864" s="152">
        <v>0.75945200000000002</v>
      </c>
      <c r="U2864" s="152">
        <v>7.1152000000000007E-2</v>
      </c>
      <c r="V2864" s="152">
        <v>1.0125E-2</v>
      </c>
      <c r="W2864" s="152">
        <v>1000</v>
      </c>
      <c r="X2864" s="152" t="s">
        <v>23</v>
      </c>
      <c r="Y2864" s="152" t="s">
        <v>1328</v>
      </c>
      <c r="Z2864" s="152" t="s">
        <v>1327</v>
      </c>
    </row>
    <row r="2865" spans="1:26" x14ac:dyDescent="0.2">
      <c r="A2865" s="152" t="s">
        <v>3934</v>
      </c>
      <c r="B2865" s="152">
        <v>1.7</v>
      </c>
      <c r="C2865" s="151">
        <v>43433</v>
      </c>
      <c r="D2865" s="152">
        <v>9.5890000000000003E-2</v>
      </c>
      <c r="E2865" s="152" t="s">
        <v>1325</v>
      </c>
      <c r="F2865" s="152" t="s">
        <v>1326</v>
      </c>
      <c r="G2865" s="152"/>
      <c r="H2865" s="152" t="s">
        <v>1276</v>
      </c>
      <c r="I2865" s="152" t="s">
        <v>1327</v>
      </c>
      <c r="J2865" s="152" t="s">
        <v>1327</v>
      </c>
      <c r="K2865" s="152" t="s">
        <v>1327</v>
      </c>
      <c r="L2865" s="152" t="s">
        <v>1327</v>
      </c>
      <c r="M2865" s="152" t="s">
        <v>1327</v>
      </c>
      <c r="N2865" s="152" t="s">
        <v>1327</v>
      </c>
      <c r="O2865" s="152">
        <v>1.640063</v>
      </c>
      <c r="P2865" s="152">
        <v>36.470730000000003</v>
      </c>
      <c r="Q2865" s="152">
        <v>1.640063</v>
      </c>
      <c r="R2865" s="152" t="s">
        <v>1327</v>
      </c>
      <c r="S2865" s="152">
        <v>100.005314</v>
      </c>
      <c r="T2865" s="152">
        <v>0.27013700000000002</v>
      </c>
      <c r="U2865" s="152">
        <v>9.5740000000000006E-2</v>
      </c>
      <c r="V2865" s="152">
        <v>1.8332000000000001E-2</v>
      </c>
      <c r="W2865" s="152">
        <v>1000</v>
      </c>
      <c r="X2865" s="152" t="s">
        <v>23</v>
      </c>
      <c r="Y2865" s="152" t="s">
        <v>1328</v>
      </c>
      <c r="Z2865" s="152" t="s">
        <v>1327</v>
      </c>
    </row>
    <row r="2866" spans="1:26" x14ac:dyDescent="0.2">
      <c r="A2866" s="152" t="s">
        <v>3935</v>
      </c>
      <c r="B2866" s="152">
        <v>1.6</v>
      </c>
      <c r="C2866" s="151">
        <v>43403</v>
      </c>
      <c r="D2866" s="152">
        <v>1.3698999999999999E-2</v>
      </c>
      <c r="E2866" s="152" t="s">
        <v>1325</v>
      </c>
      <c r="F2866" s="152" t="s">
        <v>1326</v>
      </c>
      <c r="G2866" s="152"/>
      <c r="H2866" s="152" t="s">
        <v>1276</v>
      </c>
      <c r="I2866" s="152" t="s">
        <v>1327</v>
      </c>
      <c r="J2866" s="152" t="s">
        <v>1327</v>
      </c>
      <c r="K2866" s="152" t="s">
        <v>1327</v>
      </c>
      <c r="L2866" s="152" t="s">
        <v>1327</v>
      </c>
      <c r="M2866" s="152" t="s">
        <v>1327</v>
      </c>
      <c r="N2866" s="152" t="s">
        <v>1327</v>
      </c>
      <c r="O2866" s="152">
        <v>1.57342</v>
      </c>
      <c r="P2866" s="152">
        <v>44.801341000000001</v>
      </c>
      <c r="Q2866" s="152">
        <v>1.57342</v>
      </c>
      <c r="R2866" s="152" t="s">
        <v>1327</v>
      </c>
      <c r="S2866" s="152">
        <v>100.000337</v>
      </c>
      <c r="T2866" s="152">
        <v>0.12712300000000001</v>
      </c>
      <c r="U2866" s="152">
        <v>1.3696E-2</v>
      </c>
      <c r="V2866" s="152">
        <v>3.7500000000000001E-4</v>
      </c>
      <c r="W2866" s="152">
        <v>1000</v>
      </c>
      <c r="X2866" s="152" t="s">
        <v>23</v>
      </c>
      <c r="Y2866" s="152" t="s">
        <v>1328</v>
      </c>
      <c r="Z2866" s="152" t="s">
        <v>1327</v>
      </c>
    </row>
    <row r="2867" spans="1:26" x14ac:dyDescent="0.2">
      <c r="A2867" s="152" t="s">
        <v>3936</v>
      </c>
      <c r="B2867" s="152">
        <v>1.9</v>
      </c>
      <c r="C2867" s="151">
        <v>43473</v>
      </c>
      <c r="D2867" s="152">
        <v>0.20547899999999999</v>
      </c>
      <c r="E2867" s="152" t="s">
        <v>1325</v>
      </c>
      <c r="F2867" s="152" t="s">
        <v>1326</v>
      </c>
      <c r="G2867" s="152"/>
      <c r="H2867" s="152" t="s">
        <v>1276</v>
      </c>
      <c r="I2867" s="152" t="s">
        <v>1327</v>
      </c>
      <c r="J2867" s="152" t="s">
        <v>1327</v>
      </c>
      <c r="K2867" s="152" t="s">
        <v>1327</v>
      </c>
      <c r="L2867" s="152" t="s">
        <v>1327</v>
      </c>
      <c r="M2867" s="152" t="s">
        <v>1327</v>
      </c>
      <c r="N2867" s="152" t="s">
        <v>1327</v>
      </c>
      <c r="O2867" s="152">
        <v>1.829388</v>
      </c>
      <c r="P2867" s="152">
        <v>36.485422</v>
      </c>
      <c r="Q2867" s="152">
        <v>1.829388</v>
      </c>
      <c r="R2867" s="152" t="s">
        <v>1327</v>
      </c>
      <c r="S2867" s="152">
        <v>100.014124</v>
      </c>
      <c r="T2867" s="152">
        <v>8.8493000000000002E-2</v>
      </c>
      <c r="U2867" s="152">
        <v>0.20471</v>
      </c>
      <c r="V2867" s="152">
        <v>8.3811999999999998E-2</v>
      </c>
      <c r="W2867" s="152">
        <v>1000</v>
      </c>
      <c r="X2867" s="152" t="s">
        <v>23</v>
      </c>
      <c r="Y2867" s="152" t="s">
        <v>1328</v>
      </c>
      <c r="Z2867" s="152" t="s">
        <v>1327</v>
      </c>
    </row>
    <row r="2868" spans="1:26" x14ac:dyDescent="0.2">
      <c r="A2868" s="152" t="s">
        <v>3937</v>
      </c>
      <c r="B2868" s="152">
        <v>1.8</v>
      </c>
      <c r="C2868" s="151">
        <v>43474</v>
      </c>
      <c r="D2868" s="152">
        <v>0.20821899999999999</v>
      </c>
      <c r="E2868" s="152" t="s">
        <v>1325</v>
      </c>
      <c r="F2868" s="152" t="s">
        <v>1326</v>
      </c>
      <c r="G2868" s="152"/>
      <c r="H2868" s="152" t="s">
        <v>1276</v>
      </c>
      <c r="I2868" s="152" t="s">
        <v>1327</v>
      </c>
      <c r="J2868" s="152" t="s">
        <v>1327</v>
      </c>
      <c r="K2868" s="152" t="s">
        <v>1327</v>
      </c>
      <c r="L2868" s="152" t="s">
        <v>1327</v>
      </c>
      <c r="M2868" s="152" t="s">
        <v>1327</v>
      </c>
      <c r="N2868" s="152" t="s">
        <v>1327</v>
      </c>
      <c r="O2868" s="152">
        <v>1.834255</v>
      </c>
      <c r="P2868" s="152">
        <v>36.544806000000001</v>
      </c>
      <c r="Q2868" s="152">
        <v>1.834255</v>
      </c>
      <c r="R2868" s="152" t="s">
        <v>1327</v>
      </c>
      <c r="S2868" s="152">
        <v>99.992593999999997</v>
      </c>
      <c r="T2868" s="152">
        <v>7.8904000000000002E-2</v>
      </c>
      <c r="U2868" s="152">
        <v>0.207427</v>
      </c>
      <c r="V2868" s="152">
        <v>8.6052000000000003E-2</v>
      </c>
      <c r="W2868" s="152">
        <v>1000</v>
      </c>
      <c r="X2868" s="152" t="s">
        <v>23</v>
      </c>
      <c r="Y2868" s="152" t="s">
        <v>1328</v>
      </c>
      <c r="Z2868" s="152" t="s">
        <v>1327</v>
      </c>
    </row>
    <row r="2869" spans="1:26" x14ac:dyDescent="0.2">
      <c r="A2869" s="152" t="s">
        <v>3938</v>
      </c>
      <c r="B2869" s="152">
        <v>2</v>
      </c>
      <c r="C2869" s="151">
        <v>43475</v>
      </c>
      <c r="D2869" s="152">
        <v>0.21095900000000001</v>
      </c>
      <c r="E2869" s="152" t="s">
        <v>1325</v>
      </c>
      <c r="F2869" s="152" t="s">
        <v>1326</v>
      </c>
      <c r="G2869" s="152"/>
      <c r="H2869" s="152" t="s">
        <v>1276</v>
      </c>
      <c r="I2869" s="152" t="s">
        <v>1327</v>
      </c>
      <c r="J2869" s="152" t="s">
        <v>1327</v>
      </c>
      <c r="K2869" s="152" t="s">
        <v>1327</v>
      </c>
      <c r="L2869" s="152" t="s">
        <v>1327</v>
      </c>
      <c r="M2869" s="152" t="s">
        <v>1327</v>
      </c>
      <c r="N2869" s="152" t="s">
        <v>1327</v>
      </c>
      <c r="O2869" s="152">
        <v>1.8391280000000001</v>
      </c>
      <c r="P2869" s="152">
        <v>36.607928000000001</v>
      </c>
      <c r="Q2869" s="152">
        <v>1.8391280000000001</v>
      </c>
      <c r="R2869" s="152" t="s">
        <v>1327</v>
      </c>
      <c r="S2869" s="152">
        <v>100.033531</v>
      </c>
      <c r="T2869" s="152">
        <v>7.1233000000000005E-2</v>
      </c>
      <c r="U2869" s="152">
        <v>0.210144</v>
      </c>
      <c r="V2869" s="152">
        <v>8.8320999999999997E-2</v>
      </c>
      <c r="W2869" s="152">
        <v>1000</v>
      </c>
      <c r="X2869" s="152" t="s">
        <v>23</v>
      </c>
      <c r="Y2869" s="152" t="s">
        <v>1328</v>
      </c>
      <c r="Z2869" s="152" t="s">
        <v>1327</v>
      </c>
    </row>
    <row r="2870" spans="1:26" x14ac:dyDescent="0.2">
      <c r="A2870" s="152" t="s">
        <v>3939</v>
      </c>
      <c r="B2870" s="152">
        <v>1.85</v>
      </c>
      <c r="C2870" s="152">
        <v>43580</v>
      </c>
      <c r="D2870" s="152">
        <v>0.49863000000000002</v>
      </c>
      <c r="E2870" s="152" t="s">
        <v>1325</v>
      </c>
      <c r="F2870" s="152" t="s">
        <v>1326</v>
      </c>
      <c r="G2870" s="152"/>
      <c r="H2870" s="152" t="s">
        <v>1276</v>
      </c>
      <c r="I2870" s="152" t="s">
        <v>1327</v>
      </c>
      <c r="J2870" s="152" t="s">
        <v>1327</v>
      </c>
      <c r="K2870" s="152" t="s">
        <v>1327</v>
      </c>
      <c r="L2870" s="152" t="s">
        <v>1327</v>
      </c>
      <c r="M2870" s="152" t="s">
        <v>1327</v>
      </c>
      <c r="N2870" s="152" t="s">
        <v>1327</v>
      </c>
      <c r="O2870" s="152">
        <v>1.851046</v>
      </c>
      <c r="P2870" s="152">
        <v>11.374083000000001</v>
      </c>
      <c r="Q2870" s="152">
        <v>1.851046</v>
      </c>
      <c r="R2870" s="152" t="s">
        <v>1327</v>
      </c>
      <c r="S2870" s="152">
        <v>99.999345000000005</v>
      </c>
      <c r="T2870" s="152">
        <v>1.5205E-2</v>
      </c>
      <c r="U2870" s="152">
        <v>0.49407000000000001</v>
      </c>
      <c r="V2870" s="152">
        <v>0.48820999999999998</v>
      </c>
      <c r="W2870" s="152">
        <v>1000</v>
      </c>
      <c r="X2870" s="152" t="s">
        <v>23</v>
      </c>
      <c r="Y2870" s="152" t="s">
        <v>1328</v>
      </c>
      <c r="Z2870" s="152" t="s">
        <v>1327</v>
      </c>
    </row>
    <row r="2871" spans="1:26" x14ac:dyDescent="0.2">
      <c r="A2871" s="152" t="s">
        <v>3940</v>
      </c>
      <c r="B2871" s="152">
        <v>1.9</v>
      </c>
      <c r="C2871" s="152">
        <v>43599</v>
      </c>
      <c r="D2871" s="152">
        <v>0.55068499999999998</v>
      </c>
      <c r="E2871" s="152" t="s">
        <v>1325</v>
      </c>
      <c r="F2871" s="152" t="s">
        <v>1326</v>
      </c>
      <c r="G2871" s="152"/>
      <c r="H2871" s="152" t="s">
        <v>1276</v>
      </c>
      <c r="I2871" s="152" t="s">
        <v>1327</v>
      </c>
      <c r="J2871" s="152" t="s">
        <v>1327</v>
      </c>
      <c r="K2871" s="152" t="s">
        <v>1327</v>
      </c>
      <c r="L2871" s="152" t="s">
        <v>1327</v>
      </c>
      <c r="M2871" s="152" t="s">
        <v>1327</v>
      </c>
      <c r="N2871" s="152" t="s">
        <v>1327</v>
      </c>
      <c r="O2871" s="152">
        <v>2.105359</v>
      </c>
      <c r="P2871" s="152">
        <v>35.055599000000001</v>
      </c>
      <c r="Q2871" s="152">
        <v>2.105359</v>
      </c>
      <c r="R2871" s="152" t="s">
        <v>1327</v>
      </c>
      <c r="S2871" s="152">
        <v>99.884091999999995</v>
      </c>
      <c r="T2871" s="152">
        <v>0.359178</v>
      </c>
      <c r="U2871" s="152">
        <v>0.54437400000000002</v>
      </c>
      <c r="V2871" s="152">
        <v>0.59268500000000002</v>
      </c>
      <c r="W2871" s="152">
        <v>1000</v>
      </c>
      <c r="X2871" s="152" t="s">
        <v>23</v>
      </c>
      <c r="Y2871" s="152" t="s">
        <v>1328</v>
      </c>
      <c r="Z2871" s="152" t="s">
        <v>1327</v>
      </c>
    </row>
    <row r="2872" spans="1:26" x14ac:dyDescent="0.2">
      <c r="A2872" s="152" t="s">
        <v>3941</v>
      </c>
      <c r="B2872" s="152"/>
      <c r="C2872" s="152"/>
      <c r="D2872" s="152"/>
      <c r="E2872" s="152"/>
      <c r="F2872" s="152"/>
      <c r="G2872" s="152"/>
      <c r="H2872" s="152"/>
      <c r="I2872" s="152"/>
      <c r="J2872" s="152"/>
      <c r="K2872" s="152"/>
      <c r="L2872" s="152"/>
      <c r="M2872" s="152"/>
      <c r="N2872" s="152"/>
      <c r="O2872" s="152"/>
      <c r="P2872" s="152"/>
      <c r="Q2872" s="152"/>
      <c r="R2872" s="152"/>
      <c r="S2872" s="152"/>
      <c r="T2872" s="152"/>
      <c r="U2872" s="152"/>
      <c r="V2872" s="152"/>
      <c r="W2872" s="152"/>
      <c r="X2872" s="152"/>
      <c r="Y2872" s="152"/>
      <c r="Z2872" s="152"/>
    </row>
    <row r="2873" spans="1:26" x14ac:dyDescent="0.2">
      <c r="A2873" s="152" t="s">
        <v>3942</v>
      </c>
      <c r="B2873" s="152">
        <v>4.88</v>
      </c>
      <c r="C2873" s="152">
        <v>44244</v>
      </c>
      <c r="D2873" s="152">
        <v>2.3178079999999999</v>
      </c>
      <c r="E2873" s="152" t="s">
        <v>1325</v>
      </c>
      <c r="F2873" s="152" t="s">
        <v>1326</v>
      </c>
      <c r="G2873" s="152"/>
      <c r="H2873" s="152" t="s">
        <v>58</v>
      </c>
      <c r="I2873" s="152">
        <v>41722</v>
      </c>
      <c r="J2873" s="152">
        <v>4.2549999999999999</v>
      </c>
      <c r="K2873" s="152" t="s">
        <v>1327</v>
      </c>
      <c r="L2873" s="152" t="s">
        <v>1327</v>
      </c>
      <c r="M2873" s="152" t="s">
        <v>1327</v>
      </c>
      <c r="N2873" s="152" t="s">
        <v>1327</v>
      </c>
      <c r="O2873" s="152">
        <v>2.2079360000000001</v>
      </c>
      <c r="P2873" s="152">
        <v>16.694302</v>
      </c>
      <c r="Q2873" s="152">
        <v>2.2079360000000001</v>
      </c>
      <c r="R2873" s="152" t="s">
        <v>1327</v>
      </c>
      <c r="S2873" s="152">
        <v>105.975184</v>
      </c>
      <c r="T2873" s="152">
        <v>0.92252100000000004</v>
      </c>
      <c r="U2873" s="152">
        <v>2.1789040000000002</v>
      </c>
      <c r="V2873" s="152">
        <v>5.9779960000000001</v>
      </c>
      <c r="W2873" s="152">
        <v>1000</v>
      </c>
      <c r="X2873" s="152" t="s">
        <v>23</v>
      </c>
      <c r="Y2873" s="152" t="s">
        <v>1328</v>
      </c>
      <c r="Z2873" s="152" t="s">
        <v>1327</v>
      </c>
    </row>
    <row r="2874" spans="1:26" x14ac:dyDescent="0.2">
      <c r="A2874" s="152" t="s">
        <v>3943</v>
      </c>
      <c r="B2874" s="152">
        <v>4.95</v>
      </c>
      <c r="C2874" s="152">
        <v>43811</v>
      </c>
      <c r="D2874" s="152">
        <v>1.131507</v>
      </c>
      <c r="E2874" s="152" t="s">
        <v>1325</v>
      </c>
      <c r="F2874" s="152" t="s">
        <v>1326</v>
      </c>
      <c r="G2874" s="152" t="s">
        <v>29</v>
      </c>
      <c r="H2874" s="152"/>
      <c r="I2874" s="152">
        <v>42801</v>
      </c>
      <c r="J2874" s="152">
        <v>3.93</v>
      </c>
      <c r="K2874" s="152" t="s">
        <v>1327</v>
      </c>
      <c r="L2874" s="152" t="s">
        <v>1327</v>
      </c>
      <c r="M2874" s="152" t="s">
        <v>1327</v>
      </c>
      <c r="N2874" s="152" t="s">
        <v>1327</v>
      </c>
      <c r="O2874" s="152">
        <v>3.7356530000000001</v>
      </c>
      <c r="P2874" s="152">
        <v>193.792261</v>
      </c>
      <c r="Q2874" s="152">
        <v>3.7356530000000001</v>
      </c>
      <c r="R2874" s="152" t="s">
        <v>1327</v>
      </c>
      <c r="S2874" s="152">
        <v>101.322028</v>
      </c>
      <c r="T2874" s="152">
        <v>1.8308219999999999</v>
      </c>
      <c r="U2874" s="152">
        <v>1.0758160000000001</v>
      </c>
      <c r="V2874" s="152">
        <v>1.71286</v>
      </c>
      <c r="W2874" s="152">
        <v>1000</v>
      </c>
      <c r="X2874" s="152" t="s">
        <v>23</v>
      </c>
      <c r="Y2874" s="152" t="s">
        <v>1328</v>
      </c>
      <c r="Z2874" s="152" t="s">
        <v>1327</v>
      </c>
    </row>
    <row r="2875" spans="1:26" x14ac:dyDescent="0.2">
      <c r="A2875" s="152" t="s">
        <v>3944</v>
      </c>
      <c r="B2875" s="152">
        <v>3.9</v>
      </c>
      <c r="C2875" s="152">
        <v>44390</v>
      </c>
      <c r="D2875" s="152">
        <v>2.7178079999999998</v>
      </c>
      <c r="E2875" s="152" t="s">
        <v>1325</v>
      </c>
      <c r="F2875" s="152" t="s">
        <v>1326</v>
      </c>
      <c r="G2875" s="152" t="s">
        <v>29</v>
      </c>
      <c r="H2875" s="152"/>
      <c r="I2875" s="152">
        <v>43347</v>
      </c>
      <c r="J2875" s="152">
        <v>3.8624999999999998</v>
      </c>
      <c r="K2875" s="152" t="s">
        <v>1327</v>
      </c>
      <c r="L2875" s="152" t="s">
        <v>1327</v>
      </c>
      <c r="M2875" s="152" t="s">
        <v>1327</v>
      </c>
      <c r="N2875" s="152" t="s">
        <v>1327</v>
      </c>
      <c r="O2875" s="152">
        <v>3.9852620000000001</v>
      </c>
      <c r="P2875" s="152">
        <v>194.28742199999999</v>
      </c>
      <c r="Q2875" s="152">
        <v>3.9852620000000001</v>
      </c>
      <c r="R2875" s="152" t="s">
        <v>1327</v>
      </c>
      <c r="S2875" s="152">
        <v>99.761559000000005</v>
      </c>
      <c r="T2875" s="152">
        <v>1.1112329999999999</v>
      </c>
      <c r="U2875" s="152">
        <v>2.528743</v>
      </c>
      <c r="V2875" s="152">
        <v>7.8642260000000004</v>
      </c>
      <c r="W2875" s="152">
        <v>1000</v>
      </c>
      <c r="X2875" s="152" t="s">
        <v>23</v>
      </c>
      <c r="Y2875" s="152" t="s">
        <v>1328</v>
      </c>
      <c r="Z2875" s="152" t="s">
        <v>1327</v>
      </c>
    </row>
    <row r="2876" spans="1:26" x14ac:dyDescent="0.2">
      <c r="A2876" s="152" t="s">
        <v>3945</v>
      </c>
      <c r="B2876" s="152">
        <v>5.2</v>
      </c>
      <c r="C2876" s="152">
        <v>44542</v>
      </c>
      <c r="D2876" s="152">
        <v>3.1342469999999998</v>
      </c>
      <c r="E2876" s="152" t="s">
        <v>1325</v>
      </c>
      <c r="F2876" s="152" t="s">
        <v>1326</v>
      </c>
      <c r="G2876" s="152" t="s">
        <v>29</v>
      </c>
      <c r="H2876" s="152"/>
      <c r="I2876" s="152" t="s">
        <v>1327</v>
      </c>
      <c r="J2876" s="152" t="s">
        <v>1327</v>
      </c>
      <c r="K2876" s="152" t="s">
        <v>1327</v>
      </c>
      <c r="L2876" s="152" t="s">
        <v>1327</v>
      </c>
      <c r="M2876" s="152" t="s">
        <v>1327</v>
      </c>
      <c r="N2876" s="152" t="s">
        <v>1327</v>
      </c>
      <c r="O2876" s="152">
        <v>4.3478979999999998</v>
      </c>
      <c r="P2876" s="152">
        <v>223.69088500000001</v>
      </c>
      <c r="Q2876" s="152">
        <v>4.3478979999999998</v>
      </c>
      <c r="R2876" s="152" t="s">
        <v>1327</v>
      </c>
      <c r="S2876" s="152">
        <v>102.45715800000001</v>
      </c>
      <c r="T2876" s="152">
        <v>1.9232880000000001</v>
      </c>
      <c r="U2876" s="152">
        <v>2.8191799999999998</v>
      </c>
      <c r="V2876" s="152">
        <v>9.7937180000000001</v>
      </c>
      <c r="W2876" s="152">
        <v>1000</v>
      </c>
      <c r="X2876" s="152" t="s">
        <v>23</v>
      </c>
      <c r="Y2876" s="152" t="s">
        <v>1328</v>
      </c>
      <c r="Z2876" s="152" t="s">
        <v>1327</v>
      </c>
    </row>
    <row r="2877" spans="1:26" x14ac:dyDescent="0.2">
      <c r="A2877" t="s">
        <v>3946</v>
      </c>
      <c r="B2877">
        <v>4.5</v>
      </c>
      <c r="C2877">
        <v>45120</v>
      </c>
      <c r="D2877">
        <v>4.7178079999999998</v>
      </c>
      <c r="E2877" t="s">
        <v>1325</v>
      </c>
      <c r="F2877" t="s">
        <v>1326</v>
      </c>
      <c r="G2877" t="s">
        <v>29</v>
      </c>
      <c r="I2877">
        <v>43294</v>
      </c>
      <c r="J2877">
        <v>4.4958780000000003</v>
      </c>
      <c r="K2877" t="s">
        <v>1327</v>
      </c>
      <c r="L2877" t="s">
        <v>1327</v>
      </c>
      <c r="M2877" t="s">
        <v>1327</v>
      </c>
      <c r="N2877" t="s">
        <v>1327</v>
      </c>
      <c r="O2877">
        <v>4.750324</v>
      </c>
      <c r="P2877">
        <v>238.930226</v>
      </c>
      <c r="Q2877">
        <v>4.750324</v>
      </c>
      <c r="R2877" t="s">
        <v>1327</v>
      </c>
      <c r="S2877">
        <v>98.927778000000004</v>
      </c>
      <c r="T2877">
        <v>1.282192</v>
      </c>
      <c r="U2877">
        <v>4.1502980000000003</v>
      </c>
      <c r="V2877">
        <v>20.487285</v>
      </c>
      <c r="W2877">
        <v>1000</v>
      </c>
      <c r="X2877" t="s">
        <v>23</v>
      </c>
      <c r="Y2877" t="s">
        <v>1328</v>
      </c>
      <c r="Z2877" t="s">
        <v>1327</v>
      </c>
    </row>
    <row r="2878" spans="1:26" x14ac:dyDescent="0.2">
      <c r="A2878" t="s">
        <v>3947</v>
      </c>
      <c r="B2878">
        <v>5.45</v>
      </c>
      <c r="C2878">
        <v>45638</v>
      </c>
      <c r="D2878">
        <v>6.1369860000000003</v>
      </c>
      <c r="E2878" t="s">
        <v>1325</v>
      </c>
      <c r="F2878" t="s">
        <v>1326</v>
      </c>
      <c r="G2878" t="s">
        <v>29</v>
      </c>
      <c r="I2878">
        <v>43245</v>
      </c>
      <c r="J2878">
        <v>4.8075000000000001</v>
      </c>
      <c r="K2878" t="s">
        <v>1327</v>
      </c>
      <c r="L2878" t="s">
        <v>1327</v>
      </c>
      <c r="M2878" t="s">
        <v>1327</v>
      </c>
      <c r="N2878" t="s">
        <v>1327</v>
      </c>
      <c r="O2878">
        <v>4.9520489999999997</v>
      </c>
      <c r="P2878">
        <v>245.58604700000001</v>
      </c>
      <c r="Q2878">
        <v>4.9520489999999997</v>
      </c>
      <c r="R2878" t="s">
        <v>1327</v>
      </c>
      <c r="S2878">
        <v>102.591784</v>
      </c>
      <c r="T2878">
        <v>2.0157530000000001</v>
      </c>
      <c r="U2878">
        <v>5.0805400000000001</v>
      </c>
      <c r="V2878">
        <v>31.236805</v>
      </c>
      <c r="W2878">
        <v>1000</v>
      </c>
      <c r="X2878" t="s">
        <v>23</v>
      </c>
      <c r="Y2878" t="s">
        <v>1328</v>
      </c>
      <c r="Z2878" t="s">
        <v>1327</v>
      </c>
    </row>
    <row r="2879" spans="1:26" x14ac:dyDescent="0.2">
      <c r="A2879" t="s">
        <v>3948</v>
      </c>
      <c r="B2879">
        <v>4.8499999999999996</v>
      </c>
      <c r="C2879">
        <v>45851</v>
      </c>
      <c r="D2879">
        <v>6.720548</v>
      </c>
      <c r="E2879" t="s">
        <v>1325</v>
      </c>
      <c r="F2879" t="s">
        <v>1326</v>
      </c>
      <c r="G2879" t="s">
        <v>29</v>
      </c>
      <c r="I2879" t="s">
        <v>1327</v>
      </c>
      <c r="J2879" t="s">
        <v>1327</v>
      </c>
      <c r="K2879" t="s">
        <v>1327</v>
      </c>
      <c r="L2879" t="s">
        <v>1327</v>
      </c>
      <c r="M2879" t="s">
        <v>1327</v>
      </c>
      <c r="N2879" t="s">
        <v>1327</v>
      </c>
      <c r="O2879">
        <v>5.0336460000000001</v>
      </c>
      <c r="P2879">
        <v>247.207402</v>
      </c>
      <c r="Q2879">
        <v>5.0336460000000001</v>
      </c>
      <c r="R2879" t="s">
        <v>1327</v>
      </c>
      <c r="S2879">
        <v>98.936616000000001</v>
      </c>
      <c r="T2879">
        <v>1.381918</v>
      </c>
      <c r="U2879">
        <v>5.59049</v>
      </c>
      <c r="V2879">
        <v>37.395890999999999</v>
      </c>
      <c r="W2879">
        <v>1000</v>
      </c>
      <c r="X2879" t="s">
        <v>23</v>
      </c>
      <c r="Y2879" t="s">
        <v>1328</v>
      </c>
      <c r="Z2879" t="s">
        <v>1327</v>
      </c>
    </row>
    <row r="2880" spans="1:26" x14ac:dyDescent="0.2">
      <c r="A2880" t="s">
        <v>3949</v>
      </c>
      <c r="B2880">
        <v>5.5</v>
      </c>
      <c r="C2880">
        <v>46947</v>
      </c>
      <c r="D2880">
        <v>9.7232880000000002</v>
      </c>
      <c r="E2880" t="s">
        <v>1325</v>
      </c>
      <c r="F2880" t="s">
        <v>1326</v>
      </c>
      <c r="G2880" t="s">
        <v>29</v>
      </c>
      <c r="I2880" t="s">
        <v>1327</v>
      </c>
      <c r="J2880" t="s">
        <v>1327</v>
      </c>
      <c r="K2880" t="s">
        <v>1327</v>
      </c>
      <c r="L2880" t="s">
        <v>1327</v>
      </c>
      <c r="M2880" t="s">
        <v>1327</v>
      </c>
      <c r="N2880" t="s">
        <v>1327</v>
      </c>
      <c r="O2880">
        <v>5.6087670000000003</v>
      </c>
      <c r="P2880">
        <v>289.89191299999999</v>
      </c>
      <c r="Q2880">
        <v>5.6087670000000003</v>
      </c>
      <c r="R2880" t="s">
        <v>1327</v>
      </c>
      <c r="S2880">
        <v>99.161572000000007</v>
      </c>
      <c r="T2880">
        <v>1.567123</v>
      </c>
      <c r="U2880">
        <v>7.3261149999999997</v>
      </c>
      <c r="V2880">
        <v>66.739897999999997</v>
      </c>
      <c r="W2880">
        <v>1000</v>
      </c>
      <c r="X2880" t="s">
        <v>23</v>
      </c>
      <c r="Y2880" t="s">
        <v>1328</v>
      </c>
      <c r="Z2880" t="s">
        <v>1327</v>
      </c>
    </row>
    <row r="2881" spans="1:26" x14ac:dyDescent="0.2">
      <c r="A2881" t="s">
        <v>3950</v>
      </c>
      <c r="B2881">
        <v>6</v>
      </c>
      <c r="C2881">
        <v>47677</v>
      </c>
      <c r="D2881">
        <v>11.723288</v>
      </c>
      <c r="E2881" t="s">
        <v>1325</v>
      </c>
      <c r="F2881" t="s">
        <v>1326</v>
      </c>
      <c r="G2881" t="s">
        <v>29</v>
      </c>
      <c r="I2881" t="s">
        <v>1327</v>
      </c>
      <c r="J2881" t="s">
        <v>1327</v>
      </c>
      <c r="K2881" t="s">
        <v>1327</v>
      </c>
      <c r="L2881" t="s">
        <v>1327</v>
      </c>
      <c r="M2881" t="s">
        <v>1327</v>
      </c>
      <c r="N2881" t="s">
        <v>1327</v>
      </c>
      <c r="O2881">
        <v>6.1072329999999999</v>
      </c>
      <c r="P2881">
        <v>310.11252899999999</v>
      </c>
      <c r="Q2881">
        <v>6.1072329999999999</v>
      </c>
      <c r="R2881" t="s">
        <v>1327</v>
      </c>
      <c r="S2881">
        <v>99.075958999999997</v>
      </c>
      <c r="T2881">
        <v>1.709589</v>
      </c>
      <c r="U2881">
        <v>8.174334</v>
      </c>
      <c r="V2881">
        <v>86.222170000000006</v>
      </c>
      <c r="W2881">
        <v>1000</v>
      </c>
      <c r="X2881" t="s">
        <v>23</v>
      </c>
      <c r="Y2881" t="s">
        <v>1328</v>
      </c>
      <c r="Z2881" t="s">
        <v>1327</v>
      </c>
    </row>
    <row r="2882" spans="1:26" x14ac:dyDescent="0.2">
      <c r="A2882" t="s">
        <v>3951</v>
      </c>
      <c r="B2882">
        <v>6.25</v>
      </c>
      <c r="C2882">
        <v>48773</v>
      </c>
      <c r="D2882">
        <v>14.726027</v>
      </c>
      <c r="E2882" t="s">
        <v>1325</v>
      </c>
      <c r="F2882" t="s">
        <v>1326</v>
      </c>
      <c r="G2882" t="s">
        <v>29</v>
      </c>
      <c r="I2882" t="s">
        <v>1327</v>
      </c>
      <c r="J2882" t="s">
        <v>1327</v>
      </c>
      <c r="K2882" t="s">
        <v>1327</v>
      </c>
      <c r="L2882" t="s">
        <v>1327</v>
      </c>
      <c r="M2882" t="s">
        <v>1327</v>
      </c>
      <c r="N2882" t="s">
        <v>1327</v>
      </c>
      <c r="O2882">
        <v>6.4177220000000004</v>
      </c>
      <c r="P2882">
        <v>328.14229399999999</v>
      </c>
      <c r="Q2882">
        <v>6.4177220000000004</v>
      </c>
      <c r="R2882" t="s">
        <v>1327</v>
      </c>
      <c r="S2882">
        <v>98.380082000000002</v>
      </c>
      <c r="T2882">
        <v>1.7808219999999999</v>
      </c>
      <c r="U2882">
        <v>9.3201619999999998</v>
      </c>
      <c r="V2882">
        <v>117.44865</v>
      </c>
      <c r="W2882">
        <v>1000</v>
      </c>
      <c r="X2882" t="s">
        <v>23</v>
      </c>
      <c r="Y2882" t="s">
        <v>1328</v>
      </c>
      <c r="Z2882" t="s">
        <v>1327</v>
      </c>
    </row>
    <row r="2883" spans="1:26" x14ac:dyDescent="0.2">
      <c r="A2883" t="s">
        <v>3952</v>
      </c>
      <c r="B2883">
        <v>4.49</v>
      </c>
      <c r="C2883">
        <v>43511</v>
      </c>
      <c r="D2883">
        <v>0.309589</v>
      </c>
      <c r="E2883" t="s">
        <v>1325</v>
      </c>
      <c r="F2883" t="s">
        <v>1326</v>
      </c>
      <c r="I2883">
        <v>43272</v>
      </c>
      <c r="J2883">
        <v>1.8</v>
      </c>
      <c r="K2883" t="s">
        <v>1327</v>
      </c>
      <c r="L2883" t="s">
        <v>1327</v>
      </c>
      <c r="M2883" t="s">
        <v>1327</v>
      </c>
      <c r="N2883" t="s">
        <v>1327</v>
      </c>
      <c r="O2883">
        <v>1.887472</v>
      </c>
      <c r="P2883">
        <v>28.134865000000001</v>
      </c>
      <c r="Q2883">
        <v>1.887472</v>
      </c>
      <c r="R2883" t="s">
        <v>1327</v>
      </c>
      <c r="S2883">
        <v>100.797087</v>
      </c>
      <c r="T2883">
        <v>0.86109599999999997</v>
      </c>
      <c r="U2883">
        <v>0.306695</v>
      </c>
      <c r="V2883">
        <v>0.245975</v>
      </c>
      <c r="W2883">
        <v>1000</v>
      </c>
      <c r="X2883" t="s">
        <v>23</v>
      </c>
      <c r="Y2883" t="s">
        <v>1328</v>
      </c>
      <c r="Z2883" t="s">
        <v>1327</v>
      </c>
    </row>
    <row r="2884" spans="1:26" x14ac:dyDescent="0.2">
      <c r="A2884" t="s">
        <v>3953</v>
      </c>
      <c r="B2884">
        <v>3.95</v>
      </c>
      <c r="C2884">
        <v>44010</v>
      </c>
      <c r="D2884">
        <v>1.676712</v>
      </c>
      <c r="E2884" t="s">
        <v>1325</v>
      </c>
      <c r="F2884" t="s">
        <v>1326</v>
      </c>
      <c r="I2884">
        <v>42797</v>
      </c>
      <c r="J2884">
        <v>2.29</v>
      </c>
      <c r="K2884" t="s">
        <v>1327</v>
      </c>
      <c r="L2884" t="s">
        <v>1327</v>
      </c>
      <c r="M2884" t="s">
        <v>1327</v>
      </c>
      <c r="N2884" t="s">
        <v>1327</v>
      </c>
      <c r="O2884">
        <v>2.4926889999999999</v>
      </c>
      <c r="P2884">
        <v>53.380107000000002</v>
      </c>
      <c r="Q2884">
        <v>2.4926889999999999</v>
      </c>
      <c r="R2884" t="s">
        <v>1327</v>
      </c>
      <c r="S2884">
        <v>102.36854599999999</v>
      </c>
      <c r="T2884">
        <v>1.2878080000000001</v>
      </c>
      <c r="U2884">
        <v>1.598967</v>
      </c>
      <c r="V2884">
        <v>3.4076620000000002</v>
      </c>
      <c r="W2884">
        <v>1000</v>
      </c>
      <c r="X2884" t="s">
        <v>23</v>
      </c>
      <c r="Y2884" t="s">
        <v>1328</v>
      </c>
      <c r="Z2884" t="s">
        <v>1327</v>
      </c>
    </row>
    <row r="2885" spans="1:26" x14ac:dyDescent="0.2">
      <c r="A2885" t="s">
        <v>3954</v>
      </c>
      <c r="B2885">
        <v>4.4000000000000004</v>
      </c>
      <c r="C2885">
        <v>44525</v>
      </c>
      <c r="D2885">
        <v>3.0876709999999998</v>
      </c>
      <c r="E2885" t="s">
        <v>1325</v>
      </c>
      <c r="F2885" t="s">
        <v>1326</v>
      </c>
      <c r="I2885" t="s">
        <v>1327</v>
      </c>
      <c r="J2885" t="s">
        <v>1327</v>
      </c>
      <c r="K2885" t="s">
        <v>1327</v>
      </c>
      <c r="L2885" t="s">
        <v>1327</v>
      </c>
      <c r="M2885" t="s">
        <v>1327</v>
      </c>
      <c r="N2885" t="s">
        <v>1327</v>
      </c>
      <c r="O2885">
        <v>2.701146</v>
      </c>
      <c r="P2885">
        <v>57.212741999999999</v>
      </c>
      <c r="Q2885">
        <v>2.701146</v>
      </c>
      <c r="R2885" t="s">
        <v>1327</v>
      </c>
      <c r="S2885">
        <v>104.97598600000001</v>
      </c>
      <c r="T2885">
        <v>1.844384</v>
      </c>
      <c r="U2885">
        <v>2.835604</v>
      </c>
      <c r="V2885">
        <v>9.844379</v>
      </c>
      <c r="W2885">
        <v>1000</v>
      </c>
      <c r="X2885" t="s">
        <v>23</v>
      </c>
      <c r="Y2885" t="s">
        <v>1328</v>
      </c>
      <c r="Z2885" t="s">
        <v>1327</v>
      </c>
    </row>
    <row r="2886" spans="1:26" x14ac:dyDescent="0.2">
      <c r="A2886" t="s">
        <v>3955</v>
      </c>
      <c r="B2886">
        <v>3.9</v>
      </c>
      <c r="C2886">
        <v>44800</v>
      </c>
      <c r="D2886">
        <v>3.8410959999999998</v>
      </c>
      <c r="E2886" t="s">
        <v>1325</v>
      </c>
      <c r="F2886" t="s">
        <v>1326</v>
      </c>
      <c r="I2886">
        <v>41213</v>
      </c>
      <c r="J2886">
        <v>3.9449999999999998</v>
      </c>
      <c r="K2886" t="s">
        <v>1327</v>
      </c>
      <c r="L2886" t="s">
        <v>1327</v>
      </c>
      <c r="M2886" t="s">
        <v>1327</v>
      </c>
      <c r="N2886" t="s">
        <v>1327</v>
      </c>
      <c r="O2886">
        <v>2.911305</v>
      </c>
      <c r="P2886">
        <v>59.67015</v>
      </c>
      <c r="Q2886">
        <v>2.911305</v>
      </c>
      <c r="R2886" t="s">
        <v>1327</v>
      </c>
      <c r="S2886">
        <v>103.550681</v>
      </c>
      <c r="T2886">
        <v>0.63041100000000005</v>
      </c>
      <c r="U2886">
        <v>3.5388039999999998</v>
      </c>
      <c r="V2886">
        <v>14.823065</v>
      </c>
      <c r="W2886">
        <v>1000</v>
      </c>
      <c r="X2886" t="s">
        <v>23</v>
      </c>
      <c r="Y2886" t="s">
        <v>1328</v>
      </c>
      <c r="Z2886" t="s">
        <v>1327</v>
      </c>
    </row>
    <row r="2887" spans="1:26" x14ac:dyDescent="0.2">
      <c r="A2887" t="s">
        <v>3956</v>
      </c>
      <c r="B2887">
        <v>4.34</v>
      </c>
      <c r="C2887">
        <v>44996</v>
      </c>
      <c r="D2887">
        <v>4.378082</v>
      </c>
      <c r="E2887" t="s">
        <v>1325</v>
      </c>
      <c r="F2887" t="s">
        <v>1326</v>
      </c>
      <c r="I2887">
        <v>42787</v>
      </c>
      <c r="J2887">
        <v>2.87</v>
      </c>
      <c r="K2887" t="s">
        <v>1327</v>
      </c>
      <c r="L2887" t="s">
        <v>1327</v>
      </c>
      <c r="M2887" t="s">
        <v>1327</v>
      </c>
      <c r="N2887" t="s">
        <v>1327</v>
      </c>
      <c r="O2887">
        <v>3.005725</v>
      </c>
      <c r="P2887">
        <v>64.334923000000003</v>
      </c>
      <c r="Q2887">
        <v>3.005725</v>
      </c>
      <c r="R2887" t="s">
        <v>1327</v>
      </c>
      <c r="S2887">
        <v>105.447036</v>
      </c>
      <c r="T2887">
        <v>0.52317800000000003</v>
      </c>
      <c r="U2887">
        <v>3.9636019999999998</v>
      </c>
      <c r="V2887">
        <v>18.520543</v>
      </c>
      <c r="W2887">
        <v>1000</v>
      </c>
      <c r="X2887" t="s">
        <v>23</v>
      </c>
      <c r="Y2887" t="s">
        <v>1328</v>
      </c>
      <c r="Z2887" t="s">
        <v>1327</v>
      </c>
    </row>
    <row r="2888" spans="1:26" x14ac:dyDescent="0.2">
      <c r="A2888" t="s">
        <v>3957</v>
      </c>
      <c r="B2888">
        <v>4.78</v>
      </c>
      <c r="C2888">
        <v>45869</v>
      </c>
      <c r="D2888">
        <v>6.769863</v>
      </c>
      <c r="E2888" t="s">
        <v>1325</v>
      </c>
      <c r="F2888" t="s">
        <v>1326</v>
      </c>
      <c r="I2888" t="s">
        <v>1327</v>
      </c>
      <c r="J2888" t="s">
        <v>1327</v>
      </c>
      <c r="K2888" t="s">
        <v>1327</v>
      </c>
      <c r="L2888" t="s">
        <v>1327</v>
      </c>
      <c r="M2888" t="s">
        <v>1327</v>
      </c>
      <c r="N2888" t="s">
        <v>1327</v>
      </c>
      <c r="O2888">
        <v>3.2751220000000001</v>
      </c>
      <c r="P2888">
        <v>66.894762999999998</v>
      </c>
      <c r="Q2888">
        <v>3.2751220000000001</v>
      </c>
      <c r="R2888" t="s">
        <v>1327</v>
      </c>
      <c r="S2888">
        <v>109.045157</v>
      </c>
      <c r="T2888">
        <v>1.126247</v>
      </c>
      <c r="U2888">
        <v>5.7561070000000001</v>
      </c>
      <c r="V2888">
        <v>39.219050000000003</v>
      </c>
      <c r="W2888">
        <v>1000</v>
      </c>
      <c r="X2888" t="s">
        <v>23</v>
      </c>
      <c r="Y2888" t="s">
        <v>1328</v>
      </c>
      <c r="Z2888" t="s">
        <v>1327</v>
      </c>
    </row>
    <row r="2889" spans="1:26" x14ac:dyDescent="0.2">
      <c r="A2889" t="s">
        <v>3958</v>
      </c>
      <c r="B2889">
        <v>4.78</v>
      </c>
      <c r="C2889">
        <v>45869</v>
      </c>
      <c r="D2889">
        <v>6.769863</v>
      </c>
      <c r="E2889" t="s">
        <v>1325</v>
      </c>
      <c r="F2889" t="s">
        <v>1326</v>
      </c>
      <c r="I2889" t="s">
        <v>1327</v>
      </c>
      <c r="J2889" t="s">
        <v>1327</v>
      </c>
      <c r="K2889" t="s">
        <v>1327</v>
      </c>
      <c r="L2889" t="s">
        <v>1327</v>
      </c>
      <c r="M2889" t="s">
        <v>1327</v>
      </c>
      <c r="N2889" t="s">
        <v>1327</v>
      </c>
      <c r="O2889">
        <v>3.2754099999999999</v>
      </c>
      <c r="P2889">
        <v>66.924025</v>
      </c>
      <c r="Q2889">
        <v>3.2754099999999999</v>
      </c>
      <c r="R2889" t="s">
        <v>1327</v>
      </c>
      <c r="S2889">
        <v>109.04333</v>
      </c>
      <c r="T2889">
        <v>1.126247</v>
      </c>
      <c r="U2889">
        <v>5.7560890000000002</v>
      </c>
      <c r="V2889">
        <v>39.218857999999997</v>
      </c>
      <c r="W2889">
        <v>1000</v>
      </c>
      <c r="X2889" t="s">
        <v>23</v>
      </c>
      <c r="Y2889" t="s">
        <v>1328</v>
      </c>
      <c r="Z2889" t="s">
        <v>1327</v>
      </c>
    </row>
    <row r="2890" spans="1:26" x14ac:dyDescent="0.2">
      <c r="A2890" t="s">
        <v>778</v>
      </c>
      <c r="B2890">
        <v>3</v>
      </c>
      <c r="C2890">
        <v>44518</v>
      </c>
      <c r="D2890">
        <v>3.0684930000000001</v>
      </c>
      <c r="E2890" t="s">
        <v>1325</v>
      </c>
      <c r="F2890" t="s">
        <v>1326</v>
      </c>
      <c r="G2890" t="s">
        <v>302</v>
      </c>
      <c r="I2890">
        <v>43348</v>
      </c>
      <c r="J2890">
        <v>3.13</v>
      </c>
      <c r="K2890" t="s">
        <v>1327</v>
      </c>
      <c r="L2890" t="s">
        <v>1327</v>
      </c>
      <c r="M2890" t="s">
        <v>1327</v>
      </c>
      <c r="N2890" t="s">
        <v>1327</v>
      </c>
      <c r="O2890">
        <v>3.2485849999999998</v>
      </c>
      <c r="P2890">
        <v>112.876091</v>
      </c>
      <c r="Q2890">
        <v>3.2485849999999998</v>
      </c>
      <c r="R2890" t="s">
        <v>1327</v>
      </c>
      <c r="S2890">
        <v>99.266453999999996</v>
      </c>
      <c r="T2890">
        <v>1.3150679999999999</v>
      </c>
      <c r="U2890">
        <v>2.8670230000000001</v>
      </c>
      <c r="V2890">
        <v>9.9298500000000001</v>
      </c>
      <c r="W2890">
        <v>1000</v>
      </c>
      <c r="X2890" t="s">
        <v>23</v>
      </c>
      <c r="Y2890" t="s">
        <v>1328</v>
      </c>
      <c r="Z2890" t="s">
        <v>1327</v>
      </c>
    </row>
    <row r="2891" spans="1:26" x14ac:dyDescent="0.2">
      <c r="A2891" t="s">
        <v>3959</v>
      </c>
      <c r="B2891">
        <v>5.2</v>
      </c>
      <c r="C2891">
        <v>43438</v>
      </c>
      <c r="D2891">
        <v>0.10958900000000001</v>
      </c>
      <c r="E2891" t="s">
        <v>1325</v>
      </c>
      <c r="F2891" t="s">
        <v>1326</v>
      </c>
      <c r="I2891">
        <v>43381</v>
      </c>
      <c r="J2891">
        <v>2.41</v>
      </c>
      <c r="K2891" t="s">
        <v>1327</v>
      </c>
      <c r="L2891" t="s">
        <v>1327</v>
      </c>
      <c r="M2891" t="s">
        <v>1327</v>
      </c>
      <c r="N2891" t="s">
        <v>1327</v>
      </c>
      <c r="O2891">
        <v>2.4472269999999998</v>
      </c>
      <c r="P2891">
        <v>114.957076</v>
      </c>
      <c r="Q2891">
        <v>2.4472269999999998</v>
      </c>
      <c r="R2891" t="s">
        <v>1327</v>
      </c>
      <c r="S2891">
        <v>100.28961200000001</v>
      </c>
      <c r="T2891">
        <v>2.0372599999999998</v>
      </c>
      <c r="U2891">
        <v>0.108264</v>
      </c>
      <c r="V2891">
        <v>6.5198999999999993E-2</v>
      </c>
      <c r="W2891">
        <v>1000</v>
      </c>
      <c r="X2891" t="s">
        <v>23</v>
      </c>
      <c r="Y2891" t="s">
        <v>1328</v>
      </c>
      <c r="Z2891" t="s">
        <v>1327</v>
      </c>
    </row>
    <row r="2892" spans="1:26" x14ac:dyDescent="0.2">
      <c r="A2892" t="s">
        <v>3960</v>
      </c>
      <c r="B2892">
        <v>3.76</v>
      </c>
      <c r="C2892">
        <v>43787</v>
      </c>
      <c r="D2892">
        <v>1.065753</v>
      </c>
      <c r="E2892" t="s">
        <v>1325</v>
      </c>
      <c r="F2892" t="s">
        <v>1326</v>
      </c>
      <c r="G2892" t="s">
        <v>29</v>
      </c>
      <c r="I2892">
        <v>43124</v>
      </c>
      <c r="J2892">
        <v>2.8</v>
      </c>
      <c r="K2892" t="s">
        <v>1327</v>
      </c>
      <c r="L2892" t="s">
        <v>1327</v>
      </c>
      <c r="M2892" t="s">
        <v>1327</v>
      </c>
      <c r="N2892" t="s">
        <v>1327</v>
      </c>
      <c r="O2892">
        <v>3.280376</v>
      </c>
      <c r="P2892">
        <v>148.55498499999999</v>
      </c>
      <c r="Q2892">
        <v>3.280376</v>
      </c>
      <c r="R2892" t="s">
        <v>1327</v>
      </c>
      <c r="S2892">
        <v>100.481122</v>
      </c>
      <c r="T2892">
        <v>1.6482190000000001</v>
      </c>
      <c r="U2892">
        <v>1.021593</v>
      </c>
      <c r="V2892">
        <v>1.5676319999999999</v>
      </c>
      <c r="W2892">
        <v>1000</v>
      </c>
      <c r="X2892" t="s">
        <v>23</v>
      </c>
      <c r="Y2892" t="s">
        <v>1328</v>
      </c>
      <c r="Z2892" t="s">
        <v>1327</v>
      </c>
    </row>
    <row r="2893" spans="1:26" x14ac:dyDescent="0.2">
      <c r="A2893" t="s">
        <v>3961</v>
      </c>
      <c r="B2893">
        <v>5.2</v>
      </c>
      <c r="C2893">
        <v>43748</v>
      </c>
      <c r="D2893">
        <v>0.95890399999999998</v>
      </c>
      <c r="E2893" t="s">
        <v>1325</v>
      </c>
      <c r="F2893" t="s">
        <v>1326</v>
      </c>
      <c r="I2893">
        <v>42622</v>
      </c>
      <c r="J2893">
        <v>3.35</v>
      </c>
      <c r="K2893" t="s">
        <v>1327</v>
      </c>
      <c r="L2893" t="s">
        <v>1327</v>
      </c>
      <c r="M2893" t="s">
        <v>1327</v>
      </c>
      <c r="N2893" t="s">
        <v>1327</v>
      </c>
      <c r="O2893">
        <v>3.0622539999999998</v>
      </c>
      <c r="P2893">
        <v>127.125289</v>
      </c>
      <c r="Q2893">
        <v>3.0622539999999998</v>
      </c>
      <c r="R2893" t="s">
        <v>1327</v>
      </c>
      <c r="S2893">
        <v>102.00776999999999</v>
      </c>
      <c r="T2893">
        <v>0.213699</v>
      </c>
      <c r="U2893">
        <v>0.93074199999999996</v>
      </c>
      <c r="V2893">
        <v>1.3305629999999999</v>
      </c>
      <c r="W2893">
        <v>1000</v>
      </c>
      <c r="X2893" t="s">
        <v>23</v>
      </c>
      <c r="Y2893" t="s">
        <v>1328</v>
      </c>
      <c r="Z2893" t="s">
        <v>1327</v>
      </c>
    </row>
    <row r="2894" spans="1:26" x14ac:dyDescent="0.2">
      <c r="A2894" t="s">
        <v>3962</v>
      </c>
      <c r="B2894">
        <v>4.32</v>
      </c>
      <c r="C2894">
        <v>44007</v>
      </c>
      <c r="D2894">
        <v>1.668493</v>
      </c>
      <c r="E2894" t="s">
        <v>1325</v>
      </c>
      <c r="F2894" t="s">
        <v>1326</v>
      </c>
      <c r="G2894" t="s">
        <v>29</v>
      </c>
      <c r="I2894">
        <v>43284</v>
      </c>
      <c r="J2894">
        <v>3.3</v>
      </c>
      <c r="K2894" t="s">
        <v>1327</v>
      </c>
      <c r="L2894" t="s">
        <v>1327</v>
      </c>
      <c r="M2894" t="s">
        <v>1327</v>
      </c>
      <c r="N2894" t="s">
        <v>1327</v>
      </c>
      <c r="O2894">
        <v>3.5783839999999998</v>
      </c>
      <c r="P2894">
        <v>163.73667399999999</v>
      </c>
      <c r="Q2894">
        <v>3.5783839999999998</v>
      </c>
      <c r="R2894" t="s">
        <v>1327</v>
      </c>
      <c r="S2894">
        <v>101.179726</v>
      </c>
      <c r="T2894">
        <v>1.443945</v>
      </c>
      <c r="U2894">
        <v>1.5768720000000001</v>
      </c>
      <c r="V2894">
        <v>3.3275380000000001</v>
      </c>
      <c r="W2894">
        <v>1000</v>
      </c>
      <c r="X2894" t="s">
        <v>23</v>
      </c>
      <c r="Y2894" t="s">
        <v>1328</v>
      </c>
      <c r="Z2894" t="s">
        <v>1327</v>
      </c>
    </row>
    <row r="2895" spans="1:26" x14ac:dyDescent="0.2">
      <c r="A2895" t="s">
        <v>3963</v>
      </c>
      <c r="B2895">
        <v>3.65</v>
      </c>
      <c r="C2895">
        <v>44109</v>
      </c>
      <c r="D2895">
        <v>1.947945</v>
      </c>
      <c r="E2895" t="s">
        <v>1325</v>
      </c>
      <c r="F2895" t="s">
        <v>1326</v>
      </c>
      <c r="G2895" t="s">
        <v>29</v>
      </c>
      <c r="I2895">
        <v>43214</v>
      </c>
      <c r="J2895">
        <v>3.24</v>
      </c>
      <c r="K2895" t="s">
        <v>1327</v>
      </c>
      <c r="L2895" t="s">
        <v>1327</v>
      </c>
      <c r="M2895" t="s">
        <v>1327</v>
      </c>
      <c r="N2895" t="s">
        <v>1327</v>
      </c>
      <c r="O2895">
        <v>3.661419</v>
      </c>
      <c r="P2895">
        <v>166.76907</v>
      </c>
      <c r="Q2895">
        <v>3.661419</v>
      </c>
      <c r="R2895" t="s">
        <v>1327</v>
      </c>
      <c r="S2895">
        <v>99.982114999999993</v>
      </c>
      <c r="T2895">
        <v>0.2</v>
      </c>
      <c r="U2895">
        <v>1.8567089999999999</v>
      </c>
      <c r="V2895">
        <v>4.4163490000000003</v>
      </c>
      <c r="W2895">
        <v>1000</v>
      </c>
      <c r="X2895" t="s">
        <v>23</v>
      </c>
      <c r="Y2895" t="s">
        <v>1328</v>
      </c>
      <c r="Z2895" t="s">
        <v>1327</v>
      </c>
    </row>
    <row r="2896" spans="1:26" x14ac:dyDescent="0.2">
      <c r="A2896" t="s">
        <v>3964</v>
      </c>
      <c r="B2896">
        <v>4.0999999999999996</v>
      </c>
      <c r="C2896">
        <v>44518</v>
      </c>
      <c r="D2896">
        <v>3.0684930000000001</v>
      </c>
      <c r="E2896" t="s">
        <v>1325</v>
      </c>
      <c r="F2896" t="s">
        <v>1326</v>
      </c>
      <c r="G2896" t="s">
        <v>29</v>
      </c>
      <c r="I2896">
        <v>42781</v>
      </c>
      <c r="J2896">
        <v>4.25</v>
      </c>
      <c r="K2896" t="s">
        <v>1327</v>
      </c>
      <c r="L2896" t="s">
        <v>1327</v>
      </c>
      <c r="M2896" t="s">
        <v>1327</v>
      </c>
      <c r="N2896" t="s">
        <v>1327</v>
      </c>
      <c r="O2896">
        <v>3.8971040000000001</v>
      </c>
      <c r="P2896">
        <v>179.073431</v>
      </c>
      <c r="Q2896">
        <v>3.8971040000000001</v>
      </c>
      <c r="R2896" t="s">
        <v>1327</v>
      </c>
      <c r="S2896">
        <v>100.561882</v>
      </c>
      <c r="T2896">
        <v>1.7972600000000001</v>
      </c>
      <c r="U2896">
        <v>2.8078409999999998</v>
      </c>
      <c r="V2896">
        <v>9.6490849999999995</v>
      </c>
      <c r="W2896">
        <v>1000</v>
      </c>
      <c r="X2896" t="s">
        <v>23</v>
      </c>
      <c r="Y2896" t="s">
        <v>1328</v>
      </c>
      <c r="Z2896" t="s">
        <v>1327</v>
      </c>
    </row>
    <row r="2897" spans="1:26" x14ac:dyDescent="0.2">
      <c r="A2897" t="s">
        <v>3965</v>
      </c>
      <c r="B2897">
        <v>5.5</v>
      </c>
      <c r="C2897">
        <v>44479</v>
      </c>
      <c r="D2897">
        <v>2.9616440000000002</v>
      </c>
      <c r="E2897" t="s">
        <v>1325</v>
      </c>
      <c r="F2897" t="s">
        <v>1326</v>
      </c>
      <c r="I2897">
        <v>42977</v>
      </c>
      <c r="J2897">
        <v>3.75</v>
      </c>
      <c r="K2897" t="s">
        <v>1327</v>
      </c>
      <c r="L2897" t="s">
        <v>1327</v>
      </c>
      <c r="M2897" t="s">
        <v>1327</v>
      </c>
      <c r="N2897" t="s">
        <v>1327</v>
      </c>
      <c r="O2897">
        <v>3.8639299999999999</v>
      </c>
      <c r="P2897">
        <v>177.88848999999999</v>
      </c>
      <c r="Q2897">
        <v>3.8639299999999999</v>
      </c>
      <c r="R2897" t="s">
        <v>1327</v>
      </c>
      <c r="S2897">
        <v>104.536801</v>
      </c>
      <c r="T2897">
        <v>0.22602700000000001</v>
      </c>
      <c r="U2897">
        <v>2.716418</v>
      </c>
      <c r="V2897">
        <v>9.0126760000000008</v>
      </c>
      <c r="W2897">
        <v>1000</v>
      </c>
      <c r="X2897" t="s">
        <v>23</v>
      </c>
      <c r="Y2897" t="s">
        <v>1328</v>
      </c>
      <c r="Z2897" t="s">
        <v>1327</v>
      </c>
    </row>
    <row r="2898" spans="1:26" x14ac:dyDescent="0.2">
      <c r="A2898" t="s">
        <v>3966</v>
      </c>
      <c r="B2898">
        <v>4</v>
      </c>
      <c r="C2898">
        <v>44839</v>
      </c>
      <c r="D2898">
        <v>3.9479449999999998</v>
      </c>
      <c r="E2898" t="s">
        <v>1325</v>
      </c>
      <c r="F2898" t="s">
        <v>1326</v>
      </c>
      <c r="G2898" t="s">
        <v>29</v>
      </c>
      <c r="I2898">
        <v>43370</v>
      </c>
      <c r="J2898">
        <v>4.0999999999999996</v>
      </c>
      <c r="K2898" t="s">
        <v>1327</v>
      </c>
      <c r="L2898" t="s">
        <v>1327</v>
      </c>
      <c r="M2898" t="s">
        <v>1327</v>
      </c>
      <c r="N2898" t="s">
        <v>1327</v>
      </c>
      <c r="O2898">
        <v>4.1990970000000001</v>
      </c>
      <c r="P2898">
        <v>189.30459999999999</v>
      </c>
      <c r="Q2898">
        <v>4.1990970000000001</v>
      </c>
      <c r="R2898" t="s">
        <v>1327</v>
      </c>
      <c r="S2898">
        <v>99.286674000000005</v>
      </c>
      <c r="T2898">
        <v>0.21917800000000001</v>
      </c>
      <c r="U2898">
        <v>3.6030150000000001</v>
      </c>
      <c r="V2898">
        <v>15.322516</v>
      </c>
      <c r="W2898">
        <v>1000</v>
      </c>
      <c r="X2898" t="s">
        <v>23</v>
      </c>
      <c r="Y2898" t="s">
        <v>1328</v>
      </c>
      <c r="Z2898" t="s">
        <v>1327</v>
      </c>
    </row>
    <row r="2899" spans="1:26" x14ac:dyDescent="0.2">
      <c r="A2899" t="s">
        <v>3967</v>
      </c>
      <c r="B2899">
        <v>4.55</v>
      </c>
      <c r="C2899">
        <v>45248</v>
      </c>
      <c r="D2899">
        <v>5.0684930000000001</v>
      </c>
      <c r="E2899" t="s">
        <v>1325</v>
      </c>
      <c r="F2899" t="s">
        <v>1326</v>
      </c>
      <c r="G2899" t="s">
        <v>29</v>
      </c>
      <c r="I2899" t="s">
        <v>1327</v>
      </c>
      <c r="J2899" t="s">
        <v>1327</v>
      </c>
      <c r="K2899" t="s">
        <v>1327</v>
      </c>
      <c r="L2899" t="s">
        <v>1327</v>
      </c>
      <c r="M2899" t="s">
        <v>1327</v>
      </c>
      <c r="N2899" t="s">
        <v>1327</v>
      </c>
      <c r="O2899">
        <v>4.4558479999999996</v>
      </c>
      <c r="P2899">
        <v>205.549376</v>
      </c>
      <c r="Q2899">
        <v>4.4558479999999996</v>
      </c>
      <c r="R2899" t="s">
        <v>1327</v>
      </c>
      <c r="S2899">
        <v>100.401201</v>
      </c>
      <c r="T2899">
        <v>1.994521</v>
      </c>
      <c r="U2899">
        <v>4.396725</v>
      </c>
      <c r="V2899">
        <v>23.117719000000001</v>
      </c>
      <c r="W2899">
        <v>1000</v>
      </c>
      <c r="X2899" t="s">
        <v>23</v>
      </c>
      <c r="Y2899" t="s">
        <v>1328</v>
      </c>
      <c r="Z2899" t="s">
        <v>1327</v>
      </c>
    </row>
    <row r="2900" spans="1:26" x14ac:dyDescent="0.2">
      <c r="A2900" t="s">
        <v>3968</v>
      </c>
      <c r="B2900">
        <v>4.5999999999999996</v>
      </c>
      <c r="C2900">
        <v>45570</v>
      </c>
      <c r="D2900">
        <v>5.950685</v>
      </c>
      <c r="E2900" t="s">
        <v>1325</v>
      </c>
      <c r="F2900" t="s">
        <v>1326</v>
      </c>
      <c r="G2900" t="s">
        <v>29</v>
      </c>
      <c r="I2900" t="s">
        <v>1327</v>
      </c>
      <c r="J2900" t="s">
        <v>1327</v>
      </c>
      <c r="K2900" t="s">
        <v>1327</v>
      </c>
      <c r="L2900" t="s">
        <v>1327</v>
      </c>
      <c r="M2900" t="s">
        <v>1327</v>
      </c>
      <c r="N2900" t="s">
        <v>1327</v>
      </c>
      <c r="O2900">
        <v>4.6187110000000002</v>
      </c>
      <c r="P2900">
        <v>212.89520400000001</v>
      </c>
      <c r="Q2900">
        <v>4.6187110000000002</v>
      </c>
      <c r="R2900" t="s">
        <v>1327</v>
      </c>
      <c r="S2900">
        <v>99.907398000000001</v>
      </c>
      <c r="T2900">
        <v>0.25205499999999997</v>
      </c>
      <c r="U2900">
        <v>5.1357790000000003</v>
      </c>
      <c r="V2900">
        <v>31.010294999999999</v>
      </c>
      <c r="W2900">
        <v>1000</v>
      </c>
      <c r="X2900" t="s">
        <v>23</v>
      </c>
      <c r="Y2900" t="s">
        <v>1328</v>
      </c>
      <c r="Z2900" t="s">
        <v>1327</v>
      </c>
    </row>
    <row r="2901" spans="1:26" x14ac:dyDescent="0.2">
      <c r="A2901" t="s">
        <v>3969</v>
      </c>
      <c r="B2901">
        <v>5</v>
      </c>
      <c r="C2901">
        <v>45833</v>
      </c>
      <c r="D2901">
        <v>6.671233</v>
      </c>
      <c r="E2901" t="s">
        <v>1325</v>
      </c>
      <c r="F2901" t="s">
        <v>1326</v>
      </c>
      <c r="G2901" t="s">
        <v>29</v>
      </c>
      <c r="I2901" t="s">
        <v>1327</v>
      </c>
      <c r="J2901" t="s">
        <v>1327</v>
      </c>
      <c r="K2901" t="s">
        <v>1327</v>
      </c>
      <c r="L2901" t="s">
        <v>1327</v>
      </c>
      <c r="M2901" t="s">
        <v>1327</v>
      </c>
      <c r="N2901" t="s">
        <v>1327</v>
      </c>
      <c r="O2901">
        <v>4.7328869999999998</v>
      </c>
      <c r="P2901">
        <v>216.80797999999999</v>
      </c>
      <c r="Q2901">
        <v>4.7328869999999998</v>
      </c>
      <c r="R2901" t="s">
        <v>1327</v>
      </c>
      <c r="S2901">
        <v>101.498739</v>
      </c>
      <c r="T2901">
        <v>1.671233</v>
      </c>
      <c r="U2901">
        <v>5.5371410000000001</v>
      </c>
      <c r="V2901">
        <v>36.811115000000001</v>
      </c>
      <c r="W2901">
        <v>1000</v>
      </c>
      <c r="X2901" t="s">
        <v>23</v>
      </c>
      <c r="Y2901" t="s">
        <v>1328</v>
      </c>
      <c r="Z2901" t="s">
        <v>1327</v>
      </c>
    </row>
    <row r="2902" spans="1:26" x14ac:dyDescent="0.2">
      <c r="A2902" t="s">
        <v>3970</v>
      </c>
      <c r="B2902">
        <v>4.9749999999999996</v>
      </c>
      <c r="C2902">
        <v>46344</v>
      </c>
      <c r="D2902">
        <v>8.0712329999999994</v>
      </c>
      <c r="E2902" t="s">
        <v>1325</v>
      </c>
      <c r="F2902" t="s">
        <v>1326</v>
      </c>
      <c r="G2902" t="s">
        <v>29</v>
      </c>
      <c r="I2902">
        <v>43256</v>
      </c>
      <c r="J2902">
        <v>4.59</v>
      </c>
      <c r="K2902" t="s">
        <v>1327</v>
      </c>
      <c r="L2902" t="s">
        <v>1327</v>
      </c>
      <c r="M2902" t="s">
        <v>1327</v>
      </c>
      <c r="N2902" t="s">
        <v>1327</v>
      </c>
      <c r="O2902">
        <v>4.8824550000000002</v>
      </c>
      <c r="P2902">
        <v>220.47598099999999</v>
      </c>
      <c r="Q2902">
        <v>4.8824550000000002</v>
      </c>
      <c r="R2902" t="s">
        <v>1327</v>
      </c>
      <c r="S2902">
        <v>100.587059</v>
      </c>
      <c r="T2902">
        <v>2.180822</v>
      </c>
      <c r="U2902">
        <v>6.4477739999999999</v>
      </c>
      <c r="V2902">
        <v>50.587769999999999</v>
      </c>
      <c r="W2902">
        <v>1000</v>
      </c>
      <c r="X2902" t="s">
        <v>23</v>
      </c>
      <c r="Y2902" t="s">
        <v>1328</v>
      </c>
      <c r="Z2902" t="s">
        <v>1327</v>
      </c>
    </row>
    <row r="2903" spans="1:26" x14ac:dyDescent="0.2">
      <c r="A2903" t="s">
        <v>3971</v>
      </c>
      <c r="B2903">
        <v>5.2</v>
      </c>
      <c r="C2903">
        <v>46665</v>
      </c>
      <c r="D2903">
        <v>8.950685</v>
      </c>
      <c r="E2903" t="s">
        <v>1325</v>
      </c>
      <c r="F2903" t="s">
        <v>1326</v>
      </c>
      <c r="G2903" t="s">
        <v>29</v>
      </c>
      <c r="I2903">
        <v>43374</v>
      </c>
      <c r="J2903">
        <v>5.45</v>
      </c>
      <c r="K2903" t="s">
        <v>1327</v>
      </c>
      <c r="L2903" t="s">
        <v>1327</v>
      </c>
      <c r="M2903" t="s">
        <v>1327</v>
      </c>
      <c r="N2903" t="s">
        <v>1327</v>
      </c>
      <c r="O2903">
        <v>5.4855900000000002</v>
      </c>
      <c r="P2903">
        <v>275.17690800000003</v>
      </c>
      <c r="Q2903">
        <v>5.4855900000000002</v>
      </c>
      <c r="R2903" t="s">
        <v>1327</v>
      </c>
      <c r="S2903">
        <v>98.006037000000006</v>
      </c>
      <c r="T2903">
        <v>0.28493200000000002</v>
      </c>
      <c r="U2903">
        <v>7.0305489999999997</v>
      </c>
      <c r="V2903">
        <v>59.913542</v>
      </c>
      <c r="W2903">
        <v>1000</v>
      </c>
      <c r="X2903" t="s">
        <v>23</v>
      </c>
      <c r="Y2903" t="s">
        <v>1328</v>
      </c>
      <c r="Z2903" t="s">
        <v>1327</v>
      </c>
    </row>
    <row r="2904" spans="1:26" x14ac:dyDescent="0.2">
      <c r="A2904" t="s">
        <v>3972</v>
      </c>
      <c r="B2904">
        <v>5.15</v>
      </c>
      <c r="C2904">
        <v>47075</v>
      </c>
      <c r="D2904">
        <v>10.073973000000001</v>
      </c>
      <c r="E2904" t="s">
        <v>1325</v>
      </c>
      <c r="F2904" t="s">
        <v>1326</v>
      </c>
      <c r="G2904" t="s">
        <v>29</v>
      </c>
      <c r="I2904">
        <v>42704</v>
      </c>
      <c r="J2904">
        <v>5.1475</v>
      </c>
      <c r="K2904" t="s">
        <v>1327</v>
      </c>
      <c r="L2904" t="s">
        <v>1327</v>
      </c>
      <c r="M2904" t="s">
        <v>1327</v>
      </c>
      <c r="N2904" t="s">
        <v>1327</v>
      </c>
      <c r="O2904">
        <v>5.5079010000000004</v>
      </c>
      <c r="P2904">
        <v>276.56690800000001</v>
      </c>
      <c r="Q2904">
        <v>5.5079010000000004</v>
      </c>
      <c r="R2904" t="s">
        <v>1327</v>
      </c>
      <c r="S2904">
        <v>97.237449999999995</v>
      </c>
      <c r="T2904">
        <v>2.2575340000000002</v>
      </c>
      <c r="U2904">
        <v>7.5587090000000003</v>
      </c>
      <c r="V2904">
        <v>71.345312000000007</v>
      </c>
      <c r="W2904">
        <v>1000</v>
      </c>
      <c r="X2904" t="s">
        <v>23</v>
      </c>
      <c r="Y2904" t="s">
        <v>1328</v>
      </c>
      <c r="Z2904" t="s">
        <v>1327</v>
      </c>
    </row>
    <row r="2905" spans="1:26" x14ac:dyDescent="0.2">
      <c r="A2905" t="s">
        <v>3973</v>
      </c>
      <c r="B2905">
        <v>5.4</v>
      </c>
      <c r="C2905">
        <v>47396</v>
      </c>
      <c r="D2905">
        <v>10.953424999999999</v>
      </c>
      <c r="E2905" t="s">
        <v>1325</v>
      </c>
      <c r="F2905" t="s">
        <v>1326</v>
      </c>
      <c r="G2905" t="s">
        <v>29</v>
      </c>
      <c r="I2905" t="s">
        <v>1327</v>
      </c>
      <c r="J2905" t="s">
        <v>1327</v>
      </c>
      <c r="K2905" t="s">
        <v>1327</v>
      </c>
      <c r="L2905" t="s">
        <v>1327</v>
      </c>
      <c r="M2905" t="s">
        <v>1327</v>
      </c>
      <c r="N2905" t="s">
        <v>1327</v>
      </c>
      <c r="O2905">
        <v>5.7738269999999998</v>
      </c>
      <c r="P2905">
        <v>280.87820699999997</v>
      </c>
      <c r="Q2905">
        <v>5.7738269999999998</v>
      </c>
      <c r="R2905" t="s">
        <v>1327</v>
      </c>
      <c r="S2905">
        <v>97.001811000000004</v>
      </c>
      <c r="T2905">
        <v>0.29588999999999999</v>
      </c>
      <c r="U2905">
        <v>8.0988360000000004</v>
      </c>
      <c r="V2905">
        <v>81.622829999999993</v>
      </c>
      <c r="W2905">
        <v>1000</v>
      </c>
      <c r="X2905" t="s">
        <v>23</v>
      </c>
      <c r="Y2905" t="s">
        <v>1328</v>
      </c>
      <c r="Z2905" t="s">
        <v>1327</v>
      </c>
    </row>
    <row r="2906" spans="1:26" x14ac:dyDescent="0.2">
      <c r="A2906" t="s">
        <v>3974</v>
      </c>
      <c r="B2906">
        <v>6.05</v>
      </c>
      <c r="C2906">
        <v>48492</v>
      </c>
      <c r="D2906">
        <v>13.956163999999999</v>
      </c>
      <c r="E2906" t="s">
        <v>1325</v>
      </c>
      <c r="F2906" t="s">
        <v>1326</v>
      </c>
      <c r="G2906" t="s">
        <v>29</v>
      </c>
      <c r="I2906" t="s">
        <v>1327</v>
      </c>
      <c r="J2906" t="s">
        <v>1327</v>
      </c>
      <c r="K2906" t="s">
        <v>1327</v>
      </c>
      <c r="L2906" t="s">
        <v>1327</v>
      </c>
      <c r="M2906" t="s">
        <v>1327</v>
      </c>
      <c r="N2906" t="s">
        <v>1327</v>
      </c>
      <c r="O2906">
        <v>6.348414</v>
      </c>
      <c r="P2906">
        <v>323.702496</v>
      </c>
      <c r="Q2906">
        <v>6.348414</v>
      </c>
      <c r="R2906" t="s">
        <v>1327</v>
      </c>
      <c r="S2906">
        <v>97.269452999999999</v>
      </c>
      <c r="T2906">
        <v>0.331507</v>
      </c>
      <c r="U2906">
        <v>9.2192229999999995</v>
      </c>
      <c r="V2906">
        <v>111.734431</v>
      </c>
      <c r="W2906">
        <v>1000</v>
      </c>
      <c r="X2906" t="s">
        <v>23</v>
      </c>
      <c r="Y2906" t="s">
        <v>1328</v>
      </c>
      <c r="Z2906" t="s">
        <v>1327</v>
      </c>
    </row>
    <row r="2907" spans="1:26" x14ac:dyDescent="0.2">
      <c r="A2907" t="s">
        <v>3975</v>
      </c>
      <c r="B2907">
        <v>2.59</v>
      </c>
      <c r="C2907">
        <v>44109</v>
      </c>
      <c r="D2907">
        <v>1.947945</v>
      </c>
      <c r="E2907" t="s">
        <v>1325</v>
      </c>
      <c r="F2907" t="s">
        <v>1326</v>
      </c>
      <c r="G2907" t="s">
        <v>116</v>
      </c>
      <c r="I2907">
        <v>43147</v>
      </c>
      <c r="J2907">
        <v>2.48</v>
      </c>
      <c r="K2907" t="s">
        <v>1327</v>
      </c>
      <c r="L2907" t="s">
        <v>1327</v>
      </c>
      <c r="M2907" t="s">
        <v>1327</v>
      </c>
      <c r="N2907" t="s">
        <v>1327</v>
      </c>
      <c r="O2907">
        <v>2.995009</v>
      </c>
      <c r="P2907">
        <v>99.032745000000006</v>
      </c>
      <c r="Q2907">
        <v>2.995009</v>
      </c>
      <c r="R2907" t="s">
        <v>1327</v>
      </c>
      <c r="S2907">
        <v>99.243305000000007</v>
      </c>
      <c r="T2907">
        <v>0.14191799999999999</v>
      </c>
      <c r="U2907">
        <v>1.8775200000000001</v>
      </c>
      <c r="V2907">
        <v>4.491987</v>
      </c>
      <c r="W2907">
        <v>1000</v>
      </c>
      <c r="X2907" t="s">
        <v>23</v>
      </c>
      <c r="Y2907" t="s">
        <v>1328</v>
      </c>
      <c r="Z2907" t="s">
        <v>1327</v>
      </c>
    </row>
    <row r="2908" spans="1:26" x14ac:dyDescent="0.2">
      <c r="A2908" t="s">
        <v>3976</v>
      </c>
      <c r="B2908">
        <v>3.48</v>
      </c>
      <c r="C2908">
        <v>45570</v>
      </c>
      <c r="D2908">
        <v>5.950685</v>
      </c>
      <c r="E2908" t="s">
        <v>1325</v>
      </c>
      <c r="F2908" t="s">
        <v>1326</v>
      </c>
      <c r="G2908" t="s">
        <v>116</v>
      </c>
      <c r="I2908">
        <v>43181</v>
      </c>
      <c r="J2908">
        <v>3.27</v>
      </c>
      <c r="K2908" t="s">
        <v>1327</v>
      </c>
      <c r="L2908" t="s">
        <v>1327</v>
      </c>
      <c r="M2908" t="s">
        <v>1327</v>
      </c>
      <c r="N2908" t="s">
        <v>1327</v>
      </c>
      <c r="O2908">
        <v>3.7339989999999998</v>
      </c>
      <c r="P2908">
        <v>121.845793</v>
      </c>
      <c r="Q2908">
        <v>3.7339989999999998</v>
      </c>
      <c r="R2908" t="s">
        <v>1327</v>
      </c>
      <c r="S2908">
        <v>98.660398999999998</v>
      </c>
      <c r="T2908">
        <v>0.19068499999999999</v>
      </c>
      <c r="U2908">
        <v>5.3068540000000004</v>
      </c>
      <c r="V2908">
        <v>32.509861000000001</v>
      </c>
      <c r="W2908">
        <v>1000</v>
      </c>
      <c r="X2908" t="s">
        <v>23</v>
      </c>
      <c r="Y2908" t="s">
        <v>1328</v>
      </c>
      <c r="Z2908" t="s">
        <v>1327</v>
      </c>
    </row>
    <row r="2909" spans="1:26" x14ac:dyDescent="0.2">
      <c r="A2909" t="s">
        <v>3977</v>
      </c>
      <c r="B2909">
        <v>3.69</v>
      </c>
      <c r="C2909">
        <v>46665</v>
      </c>
      <c r="D2909">
        <v>8.950685</v>
      </c>
      <c r="E2909" t="s">
        <v>1355</v>
      </c>
      <c r="F2909" t="s">
        <v>1326</v>
      </c>
      <c r="G2909" t="s">
        <v>116</v>
      </c>
      <c r="I2909">
        <v>43026</v>
      </c>
      <c r="J2909">
        <v>3.6894999999999998</v>
      </c>
      <c r="K2909" t="s">
        <v>1327</v>
      </c>
      <c r="L2909" t="s">
        <v>1327</v>
      </c>
      <c r="M2909" t="s">
        <v>1327</v>
      </c>
      <c r="N2909" t="s">
        <v>1327</v>
      </c>
      <c r="O2909">
        <v>4.1654929999999997</v>
      </c>
      <c r="P2909">
        <v>145.81372099999999</v>
      </c>
      <c r="Q2909">
        <v>4.1654929999999997</v>
      </c>
      <c r="R2909" t="s">
        <v>1327</v>
      </c>
      <c r="S2909">
        <v>96.836754999999997</v>
      </c>
      <c r="T2909">
        <v>0.20219200000000001</v>
      </c>
      <c r="U2909">
        <v>6.7705349999999997</v>
      </c>
      <c r="V2909">
        <v>53.805050999999999</v>
      </c>
      <c r="W2909">
        <v>1000</v>
      </c>
      <c r="X2909" t="s">
        <v>23</v>
      </c>
      <c r="Y2909" t="s">
        <v>1328</v>
      </c>
      <c r="Z2909" t="s">
        <v>1327</v>
      </c>
    </row>
    <row r="2910" spans="1:26" x14ac:dyDescent="0.2">
      <c r="A2910" t="s">
        <v>3978</v>
      </c>
      <c r="B2910">
        <v>3.98</v>
      </c>
      <c r="C2910">
        <v>47572</v>
      </c>
      <c r="D2910">
        <v>11.435616</v>
      </c>
      <c r="E2910" t="s">
        <v>1355</v>
      </c>
      <c r="F2910" t="s">
        <v>1326</v>
      </c>
      <c r="G2910" t="s">
        <v>116</v>
      </c>
      <c r="I2910">
        <v>43194</v>
      </c>
      <c r="J2910">
        <v>3.9813679999999998</v>
      </c>
      <c r="K2910" t="s">
        <v>1327</v>
      </c>
      <c r="L2910" t="s">
        <v>1327</v>
      </c>
      <c r="M2910" t="s">
        <v>1327</v>
      </c>
      <c r="N2910" t="s">
        <v>1327</v>
      </c>
      <c r="O2910">
        <v>4.2792589999999997</v>
      </c>
      <c r="P2910">
        <v>136.11593999999999</v>
      </c>
      <c r="Q2910">
        <v>4.2792589999999997</v>
      </c>
      <c r="R2910" t="s">
        <v>1327</v>
      </c>
      <c r="S2910">
        <v>97.532556999999997</v>
      </c>
      <c r="T2910">
        <v>0.27260299999999998</v>
      </c>
      <c r="U2910">
        <v>8.3954319999999996</v>
      </c>
      <c r="V2910">
        <v>84.125607000000002</v>
      </c>
      <c r="W2910">
        <v>1000</v>
      </c>
      <c r="X2910" t="s">
        <v>23</v>
      </c>
      <c r="Y2910" t="s">
        <v>1328</v>
      </c>
      <c r="Z2910" t="s">
        <v>1327</v>
      </c>
    </row>
    <row r="2911" spans="1:26" x14ac:dyDescent="0.2">
      <c r="A2911" t="s">
        <v>3979</v>
      </c>
      <c r="B2911">
        <v>4.47</v>
      </c>
      <c r="C2911">
        <v>43502</v>
      </c>
      <c r="D2911">
        <v>0.28493200000000002</v>
      </c>
      <c r="E2911" t="s">
        <v>1325</v>
      </c>
      <c r="F2911" t="s">
        <v>1326</v>
      </c>
      <c r="H2911" t="s">
        <v>58</v>
      </c>
      <c r="I2911">
        <v>43378</v>
      </c>
      <c r="J2911">
        <v>1.9575</v>
      </c>
      <c r="K2911" t="s">
        <v>1327</v>
      </c>
      <c r="L2911" t="s">
        <v>1327</v>
      </c>
      <c r="M2911" t="s">
        <v>1327</v>
      </c>
      <c r="N2911" t="s">
        <v>1327</v>
      </c>
      <c r="O2911">
        <v>2.0971169999999999</v>
      </c>
      <c r="P2911">
        <v>52.052903999999998</v>
      </c>
      <c r="Q2911">
        <v>2.0971169999999999</v>
      </c>
      <c r="R2911" t="s">
        <v>1327</v>
      </c>
      <c r="S2911">
        <v>100.649368</v>
      </c>
      <c r="T2911">
        <v>0.97972599999999999</v>
      </c>
      <c r="U2911">
        <v>0.28197499999999998</v>
      </c>
      <c r="V2911">
        <v>0.21903400000000001</v>
      </c>
      <c r="W2911">
        <v>1000</v>
      </c>
      <c r="X2911" t="s">
        <v>23</v>
      </c>
      <c r="Y2911" t="s">
        <v>1328</v>
      </c>
      <c r="Z2911" t="s">
        <v>1327</v>
      </c>
    </row>
    <row r="2912" spans="1:26" x14ac:dyDescent="0.2">
      <c r="A2912" t="s">
        <v>3980</v>
      </c>
      <c r="B2912">
        <v>4.3099999999999996</v>
      </c>
      <c r="C2912">
        <v>43918</v>
      </c>
      <c r="D2912">
        <v>1.424658</v>
      </c>
      <c r="E2912" t="s">
        <v>1325</v>
      </c>
      <c r="F2912" t="s">
        <v>1326</v>
      </c>
      <c r="H2912" t="s">
        <v>58</v>
      </c>
      <c r="I2912">
        <v>43329</v>
      </c>
      <c r="J2912">
        <v>2.2450000000000001</v>
      </c>
      <c r="K2912" t="s">
        <v>1327</v>
      </c>
      <c r="L2912" t="s">
        <v>1327</v>
      </c>
      <c r="M2912" t="s">
        <v>1327</v>
      </c>
      <c r="N2912" t="s">
        <v>1327</v>
      </c>
      <c r="O2912">
        <v>2.502202</v>
      </c>
      <c r="P2912">
        <v>60.606222000000002</v>
      </c>
      <c r="Q2912">
        <v>2.502202</v>
      </c>
      <c r="R2912" t="s">
        <v>1327</v>
      </c>
      <c r="S2912">
        <v>102.525907</v>
      </c>
      <c r="T2912">
        <v>0.31882199999999999</v>
      </c>
      <c r="U2912">
        <v>1.373756</v>
      </c>
      <c r="V2912">
        <v>2.58988</v>
      </c>
      <c r="W2912">
        <v>1000</v>
      </c>
      <c r="X2912" t="s">
        <v>23</v>
      </c>
      <c r="Y2912" t="s">
        <v>1328</v>
      </c>
      <c r="Z2912" t="s">
        <v>1327</v>
      </c>
    </row>
    <row r="2913" spans="1:26" x14ac:dyDescent="0.2">
      <c r="A2913" t="s">
        <v>3981</v>
      </c>
    </row>
    <row r="2914" spans="1:26" x14ac:dyDescent="0.2">
      <c r="A2914" t="s">
        <v>3982</v>
      </c>
      <c r="B2914">
        <v>4.09</v>
      </c>
      <c r="C2914">
        <v>45020</v>
      </c>
      <c r="D2914">
        <v>4.4438360000000001</v>
      </c>
      <c r="E2914" t="s">
        <v>1325</v>
      </c>
      <c r="F2914" t="s">
        <v>1326</v>
      </c>
      <c r="G2914" t="s">
        <v>51</v>
      </c>
      <c r="I2914">
        <v>43011</v>
      </c>
      <c r="J2914" t="s">
        <v>1327</v>
      </c>
      <c r="K2914" t="s">
        <v>1327</v>
      </c>
      <c r="L2914" t="s">
        <v>1327</v>
      </c>
      <c r="M2914" t="s">
        <v>1327</v>
      </c>
      <c r="N2914" t="s">
        <v>1327</v>
      </c>
      <c r="O2914" t="s">
        <v>1327</v>
      </c>
      <c r="P2914" t="s">
        <v>1327</v>
      </c>
      <c r="Q2914" t="s">
        <v>1327</v>
      </c>
      <c r="R2914" t="s">
        <v>1327</v>
      </c>
      <c r="S2914">
        <v>95.016998000000001</v>
      </c>
      <c r="T2914">
        <v>0.235315</v>
      </c>
      <c r="U2914" t="s">
        <v>1327</v>
      </c>
      <c r="V2914" t="s">
        <v>1327</v>
      </c>
      <c r="W2914">
        <v>10000</v>
      </c>
      <c r="X2914" t="s">
        <v>3983</v>
      </c>
      <c r="Y2914" t="s">
        <v>1328</v>
      </c>
      <c r="Z2914" t="s">
        <v>1327</v>
      </c>
    </row>
    <row r="2915" spans="1:26" x14ac:dyDescent="0.2">
      <c r="A2915" t="s">
        <v>3984</v>
      </c>
      <c r="B2915">
        <v>5.25</v>
      </c>
      <c r="C2915">
        <v>46973</v>
      </c>
      <c r="D2915">
        <v>9.7945209999999996</v>
      </c>
      <c r="E2915" t="s">
        <v>1325</v>
      </c>
      <c r="F2915" t="s">
        <v>1326</v>
      </c>
      <c r="G2915" t="s">
        <v>51</v>
      </c>
      <c r="I2915" t="s">
        <v>1327</v>
      </c>
      <c r="J2915" t="s">
        <v>1327</v>
      </c>
      <c r="K2915" t="s">
        <v>1327</v>
      </c>
      <c r="L2915" t="s">
        <v>1327</v>
      </c>
      <c r="M2915" t="s">
        <v>1327</v>
      </c>
      <c r="N2915" t="s">
        <v>1327</v>
      </c>
      <c r="O2915" t="s">
        <v>1327</v>
      </c>
      <c r="P2915" t="s">
        <v>1327</v>
      </c>
      <c r="Q2915" t="s">
        <v>1327</v>
      </c>
      <c r="R2915" t="s">
        <v>1327</v>
      </c>
      <c r="S2915">
        <v>98.599109999999996</v>
      </c>
      <c r="T2915">
        <v>1.121918</v>
      </c>
      <c r="U2915" t="s">
        <v>1327</v>
      </c>
      <c r="V2915" t="s">
        <v>1327</v>
      </c>
      <c r="W2915">
        <v>10000</v>
      </c>
      <c r="X2915" t="s">
        <v>3983</v>
      </c>
      <c r="Y2915" t="s">
        <v>1328</v>
      </c>
      <c r="Z2915" t="s">
        <v>1327</v>
      </c>
    </row>
    <row r="2916" spans="1:26" x14ac:dyDescent="0.2">
      <c r="A2916" t="s">
        <v>3985</v>
      </c>
      <c r="B2916">
        <v>5</v>
      </c>
      <c r="C2916">
        <v>45171</v>
      </c>
      <c r="D2916">
        <v>4.8575340000000002</v>
      </c>
      <c r="E2916" t="s">
        <v>1325</v>
      </c>
      <c r="F2916" t="s">
        <v>1326</v>
      </c>
      <c r="G2916" t="s">
        <v>29</v>
      </c>
      <c r="I2916" t="s">
        <v>1327</v>
      </c>
      <c r="J2916" t="s">
        <v>1327</v>
      </c>
      <c r="K2916" t="s">
        <v>1327</v>
      </c>
      <c r="L2916" t="s">
        <v>1327</v>
      </c>
      <c r="M2916" t="s">
        <v>1327</v>
      </c>
      <c r="N2916" t="s">
        <v>1327</v>
      </c>
      <c r="O2916" t="s">
        <v>1327</v>
      </c>
      <c r="P2916" t="s">
        <v>1327</v>
      </c>
      <c r="Q2916" t="s">
        <v>1327</v>
      </c>
      <c r="R2916" t="s">
        <v>1327</v>
      </c>
      <c r="S2916">
        <v>93.583623000000003</v>
      </c>
      <c r="T2916">
        <v>0.72602699999999998</v>
      </c>
      <c r="U2916" t="s">
        <v>1327</v>
      </c>
      <c r="V2916" t="s">
        <v>1327</v>
      </c>
      <c r="W2916">
        <v>1000</v>
      </c>
      <c r="X2916" t="s">
        <v>3983</v>
      </c>
      <c r="Y2916" t="s">
        <v>1328</v>
      </c>
      <c r="Z2916" t="s">
        <v>1327</v>
      </c>
    </row>
    <row r="2917" spans="1:26" x14ac:dyDescent="0.2">
      <c r="A2917" t="s">
        <v>3986</v>
      </c>
      <c r="B2917">
        <v>5.59</v>
      </c>
      <c r="C2917">
        <v>46267</v>
      </c>
      <c r="D2917">
        <v>7.8602740000000004</v>
      </c>
      <c r="E2917" t="s">
        <v>1325</v>
      </c>
      <c r="F2917" t="s">
        <v>1326</v>
      </c>
      <c r="G2917" t="s">
        <v>29</v>
      </c>
      <c r="I2917" t="s">
        <v>1327</v>
      </c>
      <c r="J2917" t="s">
        <v>1327</v>
      </c>
      <c r="K2917" t="s">
        <v>1327</v>
      </c>
      <c r="L2917" t="s">
        <v>1327</v>
      </c>
      <c r="M2917" t="s">
        <v>1327</v>
      </c>
      <c r="N2917" t="s">
        <v>1327</v>
      </c>
      <c r="O2917" t="s">
        <v>1327</v>
      </c>
      <c r="P2917" t="s">
        <v>1327</v>
      </c>
      <c r="Q2917" t="s">
        <v>1327</v>
      </c>
      <c r="R2917" t="s">
        <v>1327</v>
      </c>
      <c r="S2917">
        <v>90.803167000000002</v>
      </c>
      <c r="T2917">
        <v>0.81169899999999995</v>
      </c>
      <c r="U2917" t="s">
        <v>1327</v>
      </c>
      <c r="V2917" t="s">
        <v>1327</v>
      </c>
      <c r="W2917">
        <v>1000</v>
      </c>
      <c r="X2917" t="s">
        <v>3983</v>
      </c>
      <c r="Y2917" t="s">
        <v>1328</v>
      </c>
      <c r="Z2917" t="s">
        <v>1327</v>
      </c>
    </row>
    <row r="2918" spans="1:26" x14ac:dyDescent="0.2">
      <c r="A2918" t="s">
        <v>3987</v>
      </c>
      <c r="B2918">
        <v>5.98</v>
      </c>
      <c r="C2918">
        <v>46998</v>
      </c>
      <c r="D2918">
        <v>9.8630139999999997</v>
      </c>
      <c r="E2918" t="s">
        <v>1325</v>
      </c>
      <c r="F2918" t="s">
        <v>1326</v>
      </c>
      <c r="G2918" t="s">
        <v>29</v>
      </c>
      <c r="I2918" t="s">
        <v>1327</v>
      </c>
      <c r="J2918" t="s">
        <v>1327</v>
      </c>
      <c r="K2918" t="s">
        <v>1327</v>
      </c>
      <c r="L2918" t="s">
        <v>1327</v>
      </c>
      <c r="M2918" t="s">
        <v>1327</v>
      </c>
      <c r="N2918" t="s">
        <v>1327</v>
      </c>
      <c r="O2918" t="s">
        <v>1327</v>
      </c>
      <c r="P2918" t="s">
        <v>1327</v>
      </c>
      <c r="Q2918" t="s">
        <v>1327</v>
      </c>
      <c r="R2918" t="s">
        <v>1327</v>
      </c>
      <c r="S2918">
        <v>89.473380000000006</v>
      </c>
      <c r="T2918">
        <v>0.86832900000000002</v>
      </c>
      <c r="U2918" t="s">
        <v>1327</v>
      </c>
      <c r="V2918" t="s">
        <v>1327</v>
      </c>
      <c r="W2918">
        <v>1000</v>
      </c>
      <c r="X2918" t="s">
        <v>3983</v>
      </c>
      <c r="Y2918" t="s">
        <v>1328</v>
      </c>
      <c r="Z2918" t="s">
        <v>1327</v>
      </c>
    </row>
    <row r="2919" spans="1:26" x14ac:dyDescent="0.2">
      <c r="A2919" t="s">
        <v>3988</v>
      </c>
      <c r="B2919">
        <v>5.5</v>
      </c>
      <c r="C2919">
        <v>44051</v>
      </c>
      <c r="D2919">
        <v>1.7890410000000001</v>
      </c>
      <c r="E2919" t="s">
        <v>1325</v>
      </c>
      <c r="F2919" t="s">
        <v>1326</v>
      </c>
      <c r="G2919" t="s">
        <v>498</v>
      </c>
      <c r="I2919" t="s">
        <v>1327</v>
      </c>
      <c r="J2919" t="s">
        <v>1327</v>
      </c>
      <c r="K2919" t="s">
        <v>1327</v>
      </c>
      <c r="L2919" t="s">
        <v>1327</v>
      </c>
      <c r="M2919" t="s">
        <v>1327</v>
      </c>
      <c r="N2919" t="s">
        <v>1327</v>
      </c>
      <c r="O2919" t="s">
        <v>1327</v>
      </c>
      <c r="P2919" t="s">
        <v>1327</v>
      </c>
      <c r="Q2919" t="s">
        <v>1327</v>
      </c>
      <c r="R2919" t="s">
        <v>1327</v>
      </c>
      <c r="S2919">
        <v>97.748327000000003</v>
      </c>
      <c r="T2919">
        <v>1.1753420000000001</v>
      </c>
      <c r="U2919" t="s">
        <v>1327</v>
      </c>
      <c r="V2919" t="s">
        <v>1327</v>
      </c>
      <c r="W2919">
        <v>1000</v>
      </c>
      <c r="X2919" t="s">
        <v>3983</v>
      </c>
      <c r="Y2919" t="s">
        <v>1328</v>
      </c>
      <c r="Z2919" t="s">
        <v>1327</v>
      </c>
    </row>
    <row r="2920" spans="1:26" x14ac:dyDescent="0.2">
      <c r="A2920" t="s">
        <v>3989</v>
      </c>
      <c r="B2920">
        <v>3.9</v>
      </c>
      <c r="C2920">
        <v>45078</v>
      </c>
      <c r="D2920">
        <v>4.6027399999999998</v>
      </c>
      <c r="E2920" t="s">
        <v>1325</v>
      </c>
      <c r="F2920" t="s">
        <v>1326</v>
      </c>
      <c r="H2920" t="s">
        <v>27</v>
      </c>
      <c r="I2920" t="s">
        <v>1327</v>
      </c>
      <c r="J2920" t="s">
        <v>1327</v>
      </c>
      <c r="K2920" t="s">
        <v>1327</v>
      </c>
      <c r="L2920" t="s">
        <v>1327</v>
      </c>
      <c r="M2920" t="s">
        <v>1327</v>
      </c>
      <c r="N2920" t="s">
        <v>1327</v>
      </c>
      <c r="O2920" t="s">
        <v>1327</v>
      </c>
      <c r="P2920" t="s">
        <v>1327</v>
      </c>
      <c r="Q2920" t="s">
        <v>1327</v>
      </c>
      <c r="R2920" t="s">
        <v>1327</v>
      </c>
      <c r="S2920">
        <v>98.678399999999996</v>
      </c>
      <c r="T2920">
        <v>1.56</v>
      </c>
      <c r="U2920" t="s">
        <v>1327</v>
      </c>
      <c r="V2920" t="s">
        <v>1327</v>
      </c>
      <c r="W2920">
        <v>1000</v>
      </c>
      <c r="X2920" t="s">
        <v>3983</v>
      </c>
      <c r="Y2920" t="s">
        <v>1328</v>
      </c>
      <c r="Z2920" t="s">
        <v>1327</v>
      </c>
    </row>
    <row r="2921" spans="1:26" x14ac:dyDescent="0.2">
      <c r="A2921" t="s">
        <v>3990</v>
      </c>
      <c r="B2921">
        <v>4.5999999999999996</v>
      </c>
      <c r="C2921">
        <v>46587</v>
      </c>
      <c r="D2921">
        <v>8.7369859999999999</v>
      </c>
      <c r="E2921" t="s">
        <v>1325</v>
      </c>
      <c r="F2921" t="s">
        <v>1326</v>
      </c>
      <c r="I2921" t="s">
        <v>1327</v>
      </c>
      <c r="J2921" t="s">
        <v>1327</v>
      </c>
      <c r="K2921" t="s">
        <v>1327</v>
      </c>
      <c r="L2921" t="s">
        <v>1327</v>
      </c>
      <c r="M2921" t="s">
        <v>1327</v>
      </c>
      <c r="N2921" t="s">
        <v>1327</v>
      </c>
      <c r="O2921" t="s">
        <v>1327</v>
      </c>
      <c r="P2921" t="s">
        <v>1327</v>
      </c>
      <c r="Q2921" t="s">
        <v>1327</v>
      </c>
      <c r="R2921" t="s">
        <v>1327</v>
      </c>
      <c r="S2921">
        <v>94.008239000000003</v>
      </c>
      <c r="T2921">
        <v>1.2350680000000001</v>
      </c>
      <c r="U2921" t="s">
        <v>1327</v>
      </c>
      <c r="V2921" t="s">
        <v>1327</v>
      </c>
      <c r="W2921">
        <v>1000</v>
      </c>
      <c r="X2921" t="s">
        <v>3983</v>
      </c>
      <c r="Y2921" t="s">
        <v>1328</v>
      </c>
      <c r="Z2921" t="s">
        <v>1327</v>
      </c>
    </row>
    <row r="2922" spans="1:26" x14ac:dyDescent="0.2">
      <c r="A2922" t="s">
        <v>3991</v>
      </c>
      <c r="B2922">
        <v>3.63</v>
      </c>
      <c r="C2922">
        <v>48862</v>
      </c>
      <c r="D2922">
        <v>14.969863</v>
      </c>
      <c r="E2922" t="s">
        <v>1325</v>
      </c>
      <c r="F2922" t="s">
        <v>1326</v>
      </c>
      <c r="I2922" t="s">
        <v>1327</v>
      </c>
      <c r="J2922" t="s">
        <v>1327</v>
      </c>
      <c r="K2922" t="s">
        <v>1327</v>
      </c>
      <c r="L2922" t="s">
        <v>1327</v>
      </c>
      <c r="M2922" t="s">
        <v>1327</v>
      </c>
      <c r="N2922" t="s">
        <v>1327</v>
      </c>
      <c r="O2922" t="s">
        <v>1327</v>
      </c>
      <c r="P2922" t="s">
        <v>1327</v>
      </c>
      <c r="Q2922" t="s">
        <v>1327</v>
      </c>
      <c r="R2922" t="s">
        <v>1327</v>
      </c>
      <c r="S2922">
        <v>101.109449</v>
      </c>
      <c r="T2922">
        <v>0.14917800000000001</v>
      </c>
      <c r="U2922" t="s">
        <v>1327</v>
      </c>
      <c r="V2922" t="s">
        <v>1327</v>
      </c>
      <c r="W2922">
        <v>1000</v>
      </c>
      <c r="X2922" t="s">
        <v>3992</v>
      </c>
      <c r="Y2922" t="s">
        <v>1328</v>
      </c>
      <c r="Z2922" t="s">
        <v>1327</v>
      </c>
    </row>
    <row r="2923" spans="1:26" x14ac:dyDescent="0.2">
      <c r="A2923" t="s">
        <v>3993</v>
      </c>
      <c r="B2923">
        <v>5.8787500000000001</v>
      </c>
      <c r="C2923">
        <v>46009</v>
      </c>
      <c r="D2923">
        <v>7.1534250000000004</v>
      </c>
      <c r="E2923" t="s">
        <v>1325</v>
      </c>
      <c r="F2923" t="s">
        <v>1374</v>
      </c>
      <c r="G2923" t="s">
        <v>29</v>
      </c>
      <c r="I2923" t="s">
        <v>1327</v>
      </c>
      <c r="J2923" t="s">
        <v>1327</v>
      </c>
      <c r="K2923" t="s">
        <v>1327</v>
      </c>
      <c r="L2923" t="s">
        <v>1327</v>
      </c>
      <c r="M2923" t="s">
        <v>1327</v>
      </c>
      <c r="N2923" t="s">
        <v>1327</v>
      </c>
      <c r="O2923" t="s">
        <v>1327</v>
      </c>
      <c r="P2923" t="s">
        <v>1327</v>
      </c>
      <c r="Q2923" t="s">
        <v>1327</v>
      </c>
      <c r="R2923" t="s">
        <v>1327</v>
      </c>
      <c r="S2923">
        <v>106.438485</v>
      </c>
      <c r="T2923">
        <v>2.0776949999999998</v>
      </c>
      <c r="U2923" t="s">
        <v>1327</v>
      </c>
      <c r="V2923" t="s">
        <v>1327</v>
      </c>
      <c r="W2923">
        <v>1000</v>
      </c>
      <c r="X2923" t="s">
        <v>3983</v>
      </c>
      <c r="Y2923" t="s">
        <v>1328</v>
      </c>
      <c r="Z2923" t="s">
        <v>1327</v>
      </c>
    </row>
    <row r="2924" spans="1:26" x14ac:dyDescent="0.2">
      <c r="A2924" t="s">
        <v>3994</v>
      </c>
      <c r="B2924">
        <v>5.9787499999999998</v>
      </c>
      <c r="C2924">
        <v>46739</v>
      </c>
      <c r="D2924">
        <v>9.1534250000000004</v>
      </c>
      <c r="E2924" t="s">
        <v>1325</v>
      </c>
      <c r="F2924" t="s">
        <v>1374</v>
      </c>
      <c r="G2924" t="s">
        <v>29</v>
      </c>
      <c r="I2924" t="s">
        <v>1327</v>
      </c>
      <c r="J2924" t="s">
        <v>1327</v>
      </c>
      <c r="K2924" t="s">
        <v>1327</v>
      </c>
      <c r="L2924" t="s">
        <v>1327</v>
      </c>
      <c r="M2924" t="s">
        <v>1327</v>
      </c>
      <c r="N2924" t="s">
        <v>1327</v>
      </c>
      <c r="O2924" t="s">
        <v>1327</v>
      </c>
      <c r="P2924" t="s">
        <v>1327</v>
      </c>
      <c r="Q2924" t="s">
        <v>1327</v>
      </c>
      <c r="R2924" t="s">
        <v>1327</v>
      </c>
      <c r="S2924">
        <v>107.989932</v>
      </c>
      <c r="T2924">
        <v>2.113038</v>
      </c>
      <c r="U2924" t="s">
        <v>1327</v>
      </c>
      <c r="V2924" t="s">
        <v>1327</v>
      </c>
      <c r="W2924">
        <v>1000</v>
      </c>
      <c r="X2924" t="s">
        <v>3983</v>
      </c>
      <c r="Y2924" t="s">
        <v>1328</v>
      </c>
      <c r="Z2924" t="s">
        <v>1327</v>
      </c>
    </row>
    <row r="2925" spans="1:26" x14ac:dyDescent="0.2">
      <c r="A2925" t="s">
        <v>3995</v>
      </c>
      <c r="B2925">
        <v>3.66</v>
      </c>
      <c r="C2925">
        <v>46123</v>
      </c>
      <c r="D2925">
        <v>7.4657530000000003</v>
      </c>
      <c r="E2925" t="s">
        <v>1325</v>
      </c>
      <c r="F2925" t="s">
        <v>1326</v>
      </c>
      <c r="I2925" t="s">
        <v>1327</v>
      </c>
      <c r="J2925" t="s">
        <v>1327</v>
      </c>
      <c r="K2925" t="s">
        <v>1327</v>
      </c>
      <c r="L2925" t="s">
        <v>1327</v>
      </c>
      <c r="M2925" t="s">
        <v>1327</v>
      </c>
      <c r="N2925" t="s">
        <v>1327</v>
      </c>
      <c r="O2925" t="s">
        <v>1327</v>
      </c>
      <c r="P2925" t="s">
        <v>1327</v>
      </c>
      <c r="Q2925" t="s">
        <v>1327</v>
      </c>
      <c r="R2925" t="s">
        <v>1327</v>
      </c>
      <c r="S2925">
        <v>91.451386999999997</v>
      </c>
      <c r="T2925">
        <v>0.14038400000000001</v>
      </c>
      <c r="U2925" t="s">
        <v>1327</v>
      </c>
      <c r="V2925" t="s">
        <v>1327</v>
      </c>
      <c r="W2925">
        <v>1000</v>
      </c>
      <c r="X2925" t="s">
        <v>3983</v>
      </c>
      <c r="Y2925" t="s">
        <v>1328</v>
      </c>
      <c r="Z2925" t="s">
        <v>1327</v>
      </c>
    </row>
    <row r="2926" spans="1:26" x14ac:dyDescent="0.2">
      <c r="A2926" t="s">
        <v>1287</v>
      </c>
    </row>
    <row r="2927" spans="1:26" x14ac:dyDescent="0.2">
      <c r="A2927" t="s">
        <v>3996</v>
      </c>
    </row>
    <row r="2928" spans="1:26" x14ac:dyDescent="0.2">
      <c r="A2928" t="s">
        <v>3997</v>
      </c>
    </row>
    <row r="2929" spans="1:1" x14ac:dyDescent="0.2">
      <c r="A2929" t="s">
        <v>3998</v>
      </c>
    </row>
    <row r="2930" spans="1:1" x14ac:dyDescent="0.2">
      <c r="A2930" t="s">
        <v>3999</v>
      </c>
    </row>
    <row r="2931" spans="1:1" x14ac:dyDescent="0.2">
      <c r="A2931" t="s">
        <v>4000</v>
      </c>
    </row>
    <row r="2932" spans="1:1" x14ac:dyDescent="0.2">
      <c r="A2932" t="s">
        <v>4001</v>
      </c>
    </row>
  </sheetData>
  <autoFilter ref="A2:Z2" xr:uid="{73974B72-D546-4F11-9AE6-3FDE21226539}"/>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F44B8-0BC1-4511-B41A-0B1BF403C1A8}">
  <sheetPr codeName="Sheet2"/>
  <dimension ref="A1:V956"/>
  <sheetViews>
    <sheetView zoomScale="70" zoomScaleNormal="70" workbookViewId="0">
      <selection activeCell="E41" sqref="E41"/>
    </sheetView>
  </sheetViews>
  <sheetFormatPr defaultRowHeight="14.25" x14ac:dyDescent="0.2"/>
  <cols>
    <col min="1" max="1" width="13" style="2" customWidth="1"/>
    <col min="2" max="2" width="16.75" customWidth="1"/>
    <col min="3" max="3" width="16.875" customWidth="1"/>
    <col min="4" max="4" width="23.375" bestFit="1" customWidth="1"/>
    <col min="5" max="5" width="20.875" bestFit="1" customWidth="1"/>
    <col min="6" max="6" width="17.875" bestFit="1" customWidth="1"/>
    <col min="7" max="7" width="14.25" customWidth="1"/>
    <col min="8" max="8" width="14.875" customWidth="1"/>
    <col min="9" max="9" width="20.875" style="2" customWidth="1"/>
    <col min="10" max="10" width="24" style="6" customWidth="1"/>
    <col min="11" max="11" width="11.875" bestFit="1" customWidth="1"/>
    <col min="12" max="12" width="12.875" customWidth="1"/>
    <col min="13" max="13" width="20.875" customWidth="1"/>
    <col min="14" max="16" width="17.875" customWidth="1"/>
    <col min="17" max="17" width="13.75" customWidth="1"/>
    <col min="18" max="18" width="17.375" customWidth="1"/>
    <col min="19" max="19" width="19.375" style="2" customWidth="1"/>
    <col min="20" max="20" width="20" style="6" customWidth="1"/>
    <col min="21" max="21" width="18.875" customWidth="1"/>
    <col min="22" max="22" width="29.75" customWidth="1"/>
    <col min="23" max="23" width="13" bestFit="1" customWidth="1"/>
  </cols>
  <sheetData>
    <row r="1" spans="1:22" x14ac:dyDescent="0.2">
      <c r="A1" s="2" t="s">
        <v>0</v>
      </c>
      <c r="B1" s="2" t="s">
        <v>1</v>
      </c>
      <c r="C1" t="s">
        <v>2</v>
      </c>
      <c r="D1" t="s">
        <v>3</v>
      </c>
      <c r="E1" t="s">
        <v>4</v>
      </c>
      <c r="F1" t="s">
        <v>5</v>
      </c>
      <c r="G1" t="s">
        <v>6</v>
      </c>
      <c r="H1" t="s">
        <v>7</v>
      </c>
      <c r="I1" t="s">
        <v>8</v>
      </c>
      <c r="J1" s="6" t="s">
        <v>9</v>
      </c>
      <c r="K1" t="s">
        <v>10</v>
      </c>
      <c r="L1" t="s">
        <v>11</v>
      </c>
      <c r="M1" t="s">
        <v>12</v>
      </c>
      <c r="N1" t="s">
        <v>856</v>
      </c>
      <c r="O1" t="s">
        <v>13</v>
      </c>
      <c r="P1" t="s">
        <v>858</v>
      </c>
      <c r="Q1" t="s">
        <v>14</v>
      </c>
      <c r="R1" t="s">
        <v>15</v>
      </c>
      <c r="S1" t="s">
        <v>16</v>
      </c>
      <c r="T1" s="6" t="s">
        <v>857</v>
      </c>
      <c r="U1" t="s">
        <v>380</v>
      </c>
      <c r="V1" t="s">
        <v>1299</v>
      </c>
    </row>
    <row r="2" spans="1:22" x14ac:dyDescent="0.2">
      <c r="A2" s="131">
        <v>43397</v>
      </c>
      <c r="B2" s="2" t="s">
        <v>17</v>
      </c>
      <c r="C2" t="s">
        <v>18</v>
      </c>
      <c r="D2" t="s">
        <v>19</v>
      </c>
      <c r="F2" t="s">
        <v>25</v>
      </c>
      <c r="G2" t="s">
        <v>26</v>
      </c>
      <c r="H2" t="s">
        <v>27</v>
      </c>
      <c r="I2" s="131"/>
      <c r="J2" s="6">
        <v>0</v>
      </c>
      <c r="L2">
        <v>0</v>
      </c>
      <c r="M2">
        <v>0</v>
      </c>
      <c r="N2">
        <v>0</v>
      </c>
      <c r="O2">
        <v>0</v>
      </c>
      <c r="P2">
        <v>0</v>
      </c>
      <c r="Q2" t="s">
        <v>22</v>
      </c>
      <c r="R2" t="s">
        <v>28</v>
      </c>
      <c r="S2" s="131">
        <v>2</v>
      </c>
      <c r="T2" s="6">
        <f>DataTable[HLD_MaturityDate] - DataTable[SEC_Issue_Date]</f>
        <v>-2</v>
      </c>
      <c r="U2" s="131" t="str">
        <f>DataTable[HLD_Portfolio]&amp;DataTable[HLD_Date]</f>
        <v>SCBSFF43397</v>
      </c>
      <c r="V2" t="str">
        <f>DataTable[[#This Row],[RefRng]]&amp;DataTable[[#This Row],[HLD_SecCode]]</f>
        <v>SCBSFF43397-CNY CASH-</v>
      </c>
    </row>
    <row r="3" spans="1:22" x14ac:dyDescent="0.2">
      <c r="A3" s="131">
        <v>43397</v>
      </c>
      <c r="B3" t="s">
        <v>17</v>
      </c>
      <c r="C3" t="s">
        <v>18</v>
      </c>
      <c r="D3" t="s">
        <v>19</v>
      </c>
      <c r="F3" t="s">
        <v>30</v>
      </c>
      <c r="G3" t="s">
        <v>26</v>
      </c>
      <c r="H3" t="s">
        <v>27</v>
      </c>
      <c r="I3" s="131"/>
      <c r="J3" s="6">
        <v>0</v>
      </c>
      <c r="L3">
        <v>0</v>
      </c>
      <c r="M3">
        <v>0</v>
      </c>
      <c r="N3">
        <v>0</v>
      </c>
      <c r="O3">
        <v>0</v>
      </c>
      <c r="P3">
        <v>0</v>
      </c>
      <c r="Q3" t="s">
        <v>22</v>
      </c>
      <c r="R3" t="s">
        <v>31</v>
      </c>
      <c r="S3" s="131">
        <v>2</v>
      </c>
      <c r="T3" s="6">
        <f>DataTable[HLD_MaturityDate] - DataTable[SEC_Issue_Date]</f>
        <v>-2</v>
      </c>
      <c r="U3" s="131" t="str">
        <f>DataTable[HLD_Portfolio]&amp;DataTable[HLD_Date]</f>
        <v>SCBSFF43397</v>
      </c>
      <c r="V3" t="str">
        <f>DataTable[[#This Row],[RefRng]]&amp;DataTable[[#This Row],[HLD_SecCode]]</f>
        <v>SCBSFF43397-EUR CASH-</v>
      </c>
    </row>
    <row r="4" spans="1:22" x14ac:dyDescent="0.2">
      <c r="A4" s="131">
        <v>43397</v>
      </c>
      <c r="B4" t="s">
        <v>17</v>
      </c>
      <c r="C4" t="s">
        <v>18</v>
      </c>
      <c r="D4" t="s">
        <v>19</v>
      </c>
      <c r="F4" t="s">
        <v>32</v>
      </c>
      <c r="G4" t="s">
        <v>26</v>
      </c>
      <c r="H4" t="s">
        <v>27</v>
      </c>
      <c r="I4" s="131"/>
      <c r="J4" s="6">
        <v>0</v>
      </c>
      <c r="L4">
        <v>0</v>
      </c>
      <c r="M4">
        <v>0</v>
      </c>
      <c r="N4">
        <v>0</v>
      </c>
      <c r="O4">
        <v>0</v>
      </c>
      <c r="P4">
        <v>0</v>
      </c>
      <c r="Q4" t="s">
        <v>22</v>
      </c>
      <c r="R4" t="s">
        <v>33</v>
      </c>
      <c r="S4" s="131">
        <v>2</v>
      </c>
      <c r="T4" s="6">
        <f>DataTable[HLD_MaturityDate] - DataTable[SEC_Issue_Date]</f>
        <v>-2</v>
      </c>
      <c r="U4" s="131" t="str">
        <f>DataTable[HLD_Portfolio]&amp;DataTable[HLD_Date]</f>
        <v>SCBSFF43397</v>
      </c>
      <c r="V4" t="str">
        <f>DataTable[[#This Row],[RefRng]]&amp;DataTable[[#This Row],[HLD_SecCode]]</f>
        <v>SCBSFF43397-HKD CASH-</v>
      </c>
    </row>
    <row r="5" spans="1:22" x14ac:dyDescent="0.2">
      <c r="A5" s="131">
        <v>43397</v>
      </c>
      <c r="B5" t="s">
        <v>17</v>
      </c>
      <c r="C5" t="s">
        <v>18</v>
      </c>
      <c r="D5" t="s">
        <v>19</v>
      </c>
      <c r="F5" t="s">
        <v>34</v>
      </c>
      <c r="G5" t="s">
        <v>26</v>
      </c>
      <c r="H5" t="s">
        <v>27</v>
      </c>
      <c r="I5" s="131"/>
      <c r="J5" s="6">
        <v>342790.48</v>
      </c>
      <c r="K5">
        <v>426.14</v>
      </c>
      <c r="L5">
        <v>342790.48</v>
      </c>
      <c r="M5">
        <v>0</v>
      </c>
      <c r="N5">
        <v>0</v>
      </c>
      <c r="O5">
        <v>0</v>
      </c>
      <c r="P5">
        <v>4.7585999999999996E-6</v>
      </c>
      <c r="Q5" t="s">
        <v>22</v>
      </c>
      <c r="R5" t="s">
        <v>23</v>
      </c>
      <c r="S5" s="131">
        <v>2</v>
      </c>
      <c r="T5" s="6">
        <f>DataTable[HLD_MaturityDate] - DataTable[SEC_Issue_Date]</f>
        <v>-2</v>
      </c>
      <c r="U5" s="131" t="str">
        <f>DataTable[HLD_Portfolio]&amp;DataTable[HLD_Date]</f>
        <v>SCBSFF43397</v>
      </c>
      <c r="V5" t="str">
        <f>DataTable[[#This Row],[RefRng]]&amp;DataTable[[#This Row],[HLD_SecCode]]</f>
        <v>SCBSFF43397-SACON SFF</v>
      </c>
    </row>
    <row r="6" spans="1:22" x14ac:dyDescent="0.2">
      <c r="A6" s="131">
        <v>43397</v>
      </c>
      <c r="B6" t="s">
        <v>17</v>
      </c>
      <c r="C6" t="s">
        <v>18</v>
      </c>
      <c r="D6" t="s">
        <v>19</v>
      </c>
      <c r="F6" t="s">
        <v>36</v>
      </c>
      <c r="G6" t="s">
        <v>26</v>
      </c>
      <c r="H6" t="s">
        <v>27</v>
      </c>
      <c r="I6" s="131"/>
      <c r="J6" s="6">
        <v>0</v>
      </c>
      <c r="L6">
        <v>0</v>
      </c>
      <c r="M6">
        <v>0</v>
      </c>
      <c r="N6">
        <v>0</v>
      </c>
      <c r="O6">
        <v>0</v>
      </c>
      <c r="P6">
        <v>0</v>
      </c>
      <c r="Q6" t="s">
        <v>22</v>
      </c>
      <c r="R6" t="s">
        <v>37</v>
      </c>
      <c r="S6" s="131">
        <v>2</v>
      </c>
      <c r="T6" s="6">
        <f>DataTable[HLD_MaturityDate] - DataTable[SEC_Issue_Date]</f>
        <v>-2</v>
      </c>
      <c r="U6" s="131" t="str">
        <f>DataTable[HLD_Portfolio]&amp;DataTable[HLD_Date]</f>
        <v>SCBSFF43397</v>
      </c>
      <c r="V6" t="str">
        <f>DataTable[[#This Row],[RefRng]]&amp;DataTable[[#This Row],[HLD_SecCode]]</f>
        <v>SCBSFF43397-US CASH-</v>
      </c>
    </row>
    <row r="7" spans="1:22" x14ac:dyDescent="0.2">
      <c r="A7" s="131">
        <v>43397</v>
      </c>
      <c r="B7" t="s">
        <v>17</v>
      </c>
      <c r="C7" t="s">
        <v>18</v>
      </c>
      <c r="D7" t="s">
        <v>19</v>
      </c>
      <c r="F7" t="s">
        <v>20</v>
      </c>
      <c r="G7" t="s">
        <v>21</v>
      </c>
      <c r="I7" s="131"/>
      <c r="J7" s="6">
        <v>171376764.06</v>
      </c>
      <c r="K7">
        <v>5519222.9400000004</v>
      </c>
      <c r="L7">
        <v>171376764.06</v>
      </c>
      <c r="M7">
        <v>0</v>
      </c>
      <c r="N7">
        <v>0</v>
      </c>
      <c r="O7">
        <v>0</v>
      </c>
      <c r="P7">
        <v>2.4526365E-3</v>
      </c>
      <c r="Q7" t="s">
        <v>22</v>
      </c>
      <c r="R7" t="s">
        <v>23</v>
      </c>
      <c r="S7" s="131">
        <v>2</v>
      </c>
      <c r="T7" s="6">
        <f>DataTable[HLD_MaturityDate] - DataTable[SEC_Issue_Date]</f>
        <v>-2</v>
      </c>
      <c r="U7" s="131" t="str">
        <f>DataTable[HLD_Portfolio]&amp;DataTable[HLD_Date]</f>
        <v>SCBSFF43397</v>
      </c>
      <c r="V7" t="str">
        <f>DataTable[[#This Row],[RefRng]]&amp;DataTable[[#This Row],[HLD_SecCode]]</f>
        <v>SCBSFF43397CASH</v>
      </c>
    </row>
    <row r="8" spans="1:22" x14ac:dyDescent="0.2">
      <c r="A8" s="131">
        <v>43397</v>
      </c>
      <c r="B8" t="s">
        <v>17</v>
      </c>
      <c r="C8" t="s">
        <v>18</v>
      </c>
      <c r="D8" t="s">
        <v>38</v>
      </c>
      <c r="F8" t="s">
        <v>39</v>
      </c>
      <c r="G8" t="s">
        <v>40</v>
      </c>
      <c r="H8" t="s">
        <v>41</v>
      </c>
      <c r="I8" s="131">
        <v>43599</v>
      </c>
      <c r="J8" s="6">
        <v>3000000000</v>
      </c>
      <c r="K8">
        <v>21698630.140000001</v>
      </c>
      <c r="L8">
        <v>3000000000</v>
      </c>
      <c r="M8">
        <v>0.54845200000000005</v>
      </c>
      <c r="N8">
        <v>3000000000</v>
      </c>
      <c r="O8">
        <v>1.65</v>
      </c>
      <c r="P8">
        <v>4.1895400399999998E-2</v>
      </c>
      <c r="Q8" t="s">
        <v>42</v>
      </c>
      <c r="R8" t="s">
        <v>23</v>
      </c>
      <c r="S8" s="131">
        <v>43238</v>
      </c>
      <c r="T8" s="6">
        <f>DataTable[HLD_MaturityDate] - DataTable[SEC_Issue_Date]</f>
        <v>361</v>
      </c>
      <c r="U8" s="131" t="str">
        <f>DataTable[HLD_Portfolio]&amp;DataTable[HLD_Date]</f>
        <v>SCBSFF43397</v>
      </c>
      <c r="V8" t="str">
        <f>DataTable[[#This Row],[RefRng]]&amp;DataTable[[#This Row],[HLD_SecCode]]</f>
        <v>SCBSFF43397CD12MTBANK14519</v>
      </c>
    </row>
    <row r="9" spans="1:22" x14ac:dyDescent="0.2">
      <c r="A9" s="131">
        <v>43397</v>
      </c>
      <c r="B9" t="s">
        <v>17</v>
      </c>
      <c r="C9" t="s">
        <v>18</v>
      </c>
      <c r="D9" t="s">
        <v>38</v>
      </c>
      <c r="F9" t="s">
        <v>44</v>
      </c>
      <c r="G9" t="s">
        <v>40</v>
      </c>
      <c r="H9" t="s">
        <v>41</v>
      </c>
      <c r="I9" s="131">
        <v>43627</v>
      </c>
      <c r="J9" s="6">
        <v>370000000</v>
      </c>
      <c r="K9">
        <v>836301.37</v>
      </c>
      <c r="L9">
        <v>370000000</v>
      </c>
      <c r="M9">
        <v>0.62366699999999997</v>
      </c>
      <c r="N9">
        <v>370000000</v>
      </c>
      <c r="O9">
        <v>1.65</v>
      </c>
      <c r="P9">
        <v>5.1415899999999997E-3</v>
      </c>
      <c r="Q9" t="s">
        <v>42</v>
      </c>
      <c r="R9" t="s">
        <v>23</v>
      </c>
      <c r="S9" s="131">
        <v>43348</v>
      </c>
      <c r="T9" s="6">
        <f>DataTable[HLD_MaturityDate] - DataTable[SEC_Issue_Date]</f>
        <v>279</v>
      </c>
      <c r="U9" s="131" t="str">
        <f>DataTable[HLD_Portfolio]&amp;DataTable[HLD_Date]</f>
        <v>SCBSFF43397</v>
      </c>
      <c r="V9" t="str">
        <f>DataTable[[#This Row],[RefRng]]&amp;DataTable[[#This Row],[HLD_SecCode]]</f>
        <v>SCBSFF43397CD9MTBANK11619</v>
      </c>
    </row>
    <row r="10" spans="1:22" x14ac:dyDescent="0.2">
      <c r="A10" s="131">
        <v>43397</v>
      </c>
      <c r="B10" t="s">
        <v>17</v>
      </c>
      <c r="C10" t="s">
        <v>18</v>
      </c>
      <c r="D10" t="s">
        <v>38</v>
      </c>
      <c r="F10" t="s">
        <v>45</v>
      </c>
      <c r="G10" t="s">
        <v>46</v>
      </c>
      <c r="H10" t="s">
        <v>47</v>
      </c>
      <c r="I10" s="131">
        <v>43595</v>
      </c>
      <c r="J10" s="6">
        <v>1876905000</v>
      </c>
      <c r="K10">
        <v>437944.5</v>
      </c>
      <c r="L10">
        <v>1899500000</v>
      </c>
      <c r="M10">
        <v>0.54984900000000003</v>
      </c>
      <c r="N10">
        <v>50000000</v>
      </c>
      <c r="O10">
        <v>0.05</v>
      </c>
      <c r="P10">
        <v>2.6029079699999999E-2</v>
      </c>
      <c r="Q10" t="s">
        <v>42</v>
      </c>
      <c r="R10" t="s">
        <v>31</v>
      </c>
      <c r="S10" s="131">
        <v>43230</v>
      </c>
      <c r="T10" s="6">
        <f>DataTable[HLD_MaturityDate] - DataTable[SEC_Issue_Date]</f>
        <v>365</v>
      </c>
      <c r="U10" s="131" t="str">
        <f>DataTable[HLD_Portfolio]&amp;DataTable[HLD_Date]</f>
        <v>SCBSFF43397</v>
      </c>
      <c r="V10" t="str">
        <f>DataTable[[#This Row],[RefRng]]&amp;DataTable[[#This Row],[HLD_SecCode]]</f>
        <v>SCBSFF43397F12MABCHK100519</v>
      </c>
    </row>
    <row r="11" spans="1:22" x14ac:dyDescent="0.2">
      <c r="A11" s="131">
        <v>43397</v>
      </c>
      <c r="B11" t="s">
        <v>17</v>
      </c>
      <c r="C11" t="s">
        <v>18</v>
      </c>
      <c r="D11" t="s">
        <v>38</v>
      </c>
      <c r="F11" t="s">
        <v>48</v>
      </c>
      <c r="G11" t="s">
        <v>46</v>
      </c>
      <c r="H11" t="s">
        <v>47</v>
      </c>
      <c r="I11" s="131">
        <v>43580</v>
      </c>
      <c r="J11" s="6">
        <v>986460000</v>
      </c>
      <c r="K11">
        <v>15722254.279999999</v>
      </c>
      <c r="L11">
        <v>946500000</v>
      </c>
      <c r="M11">
        <v>0.50039599999999995</v>
      </c>
      <c r="N11">
        <v>30000000</v>
      </c>
      <c r="O11">
        <v>3.17</v>
      </c>
      <c r="P11">
        <v>1.3895107300000001E-2</v>
      </c>
      <c r="Q11" t="s">
        <v>42</v>
      </c>
      <c r="R11" t="s">
        <v>37</v>
      </c>
      <c r="S11" s="131">
        <v>43217</v>
      </c>
      <c r="T11" s="6">
        <f>DataTable[HLD_MaturityDate] - DataTable[SEC_Issue_Date]</f>
        <v>363</v>
      </c>
      <c r="U11" s="131" t="str">
        <f>DataTable[HLD_Portfolio]&amp;DataTable[HLD_Date]</f>
        <v>SCBSFF43397</v>
      </c>
      <c r="V11" t="str">
        <f>DataTable[[#This Row],[RefRng]]&amp;DataTable[[#This Row],[HLD_SecCode]]</f>
        <v>SCBSFF43397F12MABCHK250419</v>
      </c>
    </row>
    <row r="12" spans="1:22" x14ac:dyDescent="0.2">
      <c r="A12" s="131">
        <v>43397</v>
      </c>
      <c r="B12" t="s">
        <v>17</v>
      </c>
      <c r="C12" t="s">
        <v>18</v>
      </c>
      <c r="D12" t="s">
        <v>38</v>
      </c>
      <c r="F12" t="s">
        <v>49</v>
      </c>
      <c r="G12" t="s">
        <v>50</v>
      </c>
      <c r="H12" t="s">
        <v>51</v>
      </c>
      <c r="I12" s="131">
        <v>43410</v>
      </c>
      <c r="J12" s="6">
        <v>1150870000</v>
      </c>
      <c r="K12">
        <v>27005538.579999998</v>
      </c>
      <c r="L12">
        <v>1158500000</v>
      </c>
      <c r="M12">
        <v>3.6080000000000001E-2</v>
      </c>
      <c r="N12">
        <v>35000000</v>
      </c>
      <c r="O12">
        <v>2.4066999999999998</v>
      </c>
      <c r="P12">
        <v>1.63310685E-2</v>
      </c>
      <c r="Q12" t="s">
        <v>42</v>
      </c>
      <c r="R12" t="s">
        <v>37</v>
      </c>
      <c r="S12" s="131">
        <v>43047</v>
      </c>
      <c r="T12" s="6">
        <f>DataTable[HLD_MaturityDate] - DataTable[SEC_Issue_Date]</f>
        <v>363</v>
      </c>
      <c r="U12" s="131" t="str">
        <f>DataTable[HLD_Portfolio]&amp;DataTable[HLD_Date]</f>
        <v>SCBSFF43397</v>
      </c>
      <c r="V12" t="str">
        <f>DataTable[[#This Row],[RefRng]]&amp;DataTable[[#This Row],[HLD_SecCode]]</f>
        <v>SCBSFF43397F12MADCB061118b</v>
      </c>
    </row>
    <row r="13" spans="1:22" x14ac:dyDescent="0.2">
      <c r="A13" s="131">
        <v>43397</v>
      </c>
      <c r="B13" t="s">
        <v>17</v>
      </c>
      <c r="C13" t="s">
        <v>18</v>
      </c>
      <c r="D13" t="s">
        <v>38</v>
      </c>
      <c r="F13" t="s">
        <v>52</v>
      </c>
      <c r="G13" t="s">
        <v>53</v>
      </c>
      <c r="H13" t="s">
        <v>47</v>
      </c>
      <c r="I13" s="131">
        <v>43559</v>
      </c>
      <c r="J13" s="6">
        <v>2366300000</v>
      </c>
      <c r="K13">
        <v>58861712.5</v>
      </c>
      <c r="L13">
        <v>2477500000</v>
      </c>
      <c r="M13">
        <v>0.44128000000000001</v>
      </c>
      <c r="N13">
        <v>500000000</v>
      </c>
      <c r="O13">
        <v>4.5</v>
      </c>
      <c r="P13">
        <v>3.36245051E-2</v>
      </c>
      <c r="Q13" t="s">
        <v>42</v>
      </c>
      <c r="R13" t="s">
        <v>28</v>
      </c>
      <c r="S13" s="131">
        <v>43199</v>
      </c>
      <c r="T13" s="6">
        <f>DataTable[HLD_MaturityDate] - DataTable[SEC_Issue_Date]</f>
        <v>360</v>
      </c>
      <c r="U13" s="131" t="str">
        <f>DataTable[HLD_Portfolio]&amp;DataTable[HLD_Date]</f>
        <v>SCBSFF43397</v>
      </c>
      <c r="V13" t="str">
        <f>DataTable[[#This Row],[RefRng]]&amp;DataTable[[#This Row],[HLD_SecCode]]</f>
        <v>SCBSFF43397F12MBOCMC040419</v>
      </c>
    </row>
    <row r="14" spans="1:22" x14ac:dyDescent="0.2">
      <c r="A14" s="131">
        <v>43397</v>
      </c>
      <c r="B14" t="s">
        <v>17</v>
      </c>
      <c r="C14" t="s">
        <v>18</v>
      </c>
      <c r="D14" t="s">
        <v>38</v>
      </c>
      <c r="F14" t="s">
        <v>54</v>
      </c>
      <c r="G14" t="s">
        <v>53</v>
      </c>
      <c r="H14" t="s">
        <v>47</v>
      </c>
      <c r="I14" s="131">
        <v>43566</v>
      </c>
      <c r="J14" s="6">
        <v>1893040000</v>
      </c>
      <c r="K14">
        <v>46098153.219999999</v>
      </c>
      <c r="L14">
        <v>1981400000</v>
      </c>
      <c r="M14">
        <v>0.460061</v>
      </c>
      <c r="N14">
        <v>400000000</v>
      </c>
      <c r="O14">
        <v>4.45</v>
      </c>
      <c r="P14">
        <v>2.6885861E-2</v>
      </c>
      <c r="Q14" t="s">
        <v>42</v>
      </c>
      <c r="R14" t="s">
        <v>28</v>
      </c>
      <c r="S14" s="131">
        <v>43201</v>
      </c>
      <c r="T14" s="6">
        <f>DataTable[HLD_MaturityDate] - DataTable[SEC_Issue_Date]</f>
        <v>365</v>
      </c>
      <c r="U14" s="131" t="str">
        <f>DataTable[HLD_Portfolio]&amp;DataTable[HLD_Date]</f>
        <v>SCBSFF43397</v>
      </c>
      <c r="V14" t="str">
        <f>DataTable[[#This Row],[RefRng]]&amp;DataTable[[#This Row],[HLD_SecCode]]</f>
        <v>SCBSFF43397F12MBOCMC110419</v>
      </c>
    </row>
    <row r="15" spans="1:22" x14ac:dyDescent="0.2">
      <c r="A15" s="131">
        <v>43397</v>
      </c>
      <c r="B15" t="s">
        <v>17</v>
      </c>
      <c r="C15" t="s">
        <v>18</v>
      </c>
      <c r="D15" t="s">
        <v>38</v>
      </c>
      <c r="F15" t="s">
        <v>55</v>
      </c>
      <c r="G15" t="s">
        <v>53</v>
      </c>
      <c r="H15" t="s">
        <v>47</v>
      </c>
      <c r="I15" s="131">
        <v>43580</v>
      </c>
      <c r="J15" s="6">
        <v>2627667000</v>
      </c>
      <c r="K15">
        <v>801438.44</v>
      </c>
      <c r="L15">
        <v>2691500000</v>
      </c>
      <c r="M15">
        <v>0.50817800000000002</v>
      </c>
      <c r="N15">
        <v>70000000</v>
      </c>
      <c r="O15">
        <v>0.06</v>
      </c>
      <c r="P15">
        <v>3.64433225E-2</v>
      </c>
      <c r="Q15" t="s">
        <v>42</v>
      </c>
      <c r="R15" t="s">
        <v>31</v>
      </c>
      <c r="S15" s="131">
        <v>43215</v>
      </c>
      <c r="T15" s="6">
        <f>DataTable[HLD_MaturityDate] - DataTable[SEC_Issue_Date]</f>
        <v>365</v>
      </c>
      <c r="U15" s="131" t="str">
        <f>DataTable[HLD_Portfolio]&amp;DataTable[HLD_Date]</f>
        <v>SCBSFF43397</v>
      </c>
      <c r="V15" t="str">
        <f>DataTable[[#This Row],[RefRng]]&amp;DataTable[[#This Row],[HLD_SecCode]]</f>
        <v>SCBSFF43397F12MBOCMC250419</v>
      </c>
    </row>
    <row r="16" spans="1:22" x14ac:dyDescent="0.2">
      <c r="A16" s="131">
        <v>43397</v>
      </c>
      <c r="B16" t="s">
        <v>17</v>
      </c>
      <c r="C16" t="s">
        <v>18</v>
      </c>
      <c r="D16" t="s">
        <v>38</v>
      </c>
      <c r="F16" t="s">
        <v>56</v>
      </c>
      <c r="G16" t="s">
        <v>57</v>
      </c>
      <c r="H16" t="s">
        <v>58</v>
      </c>
      <c r="I16" s="131">
        <v>43679</v>
      </c>
      <c r="J16" s="6">
        <v>300000000</v>
      </c>
      <c r="K16">
        <v>1159726.03</v>
      </c>
      <c r="L16">
        <v>300000000</v>
      </c>
      <c r="M16">
        <v>0.76262399999999997</v>
      </c>
      <c r="N16">
        <v>300000000</v>
      </c>
      <c r="O16">
        <v>1.7</v>
      </c>
      <c r="P16">
        <v>4.1755346E-3</v>
      </c>
      <c r="Q16" t="s">
        <v>42</v>
      </c>
      <c r="R16" t="s">
        <v>23</v>
      </c>
      <c r="S16" s="131">
        <v>43315</v>
      </c>
      <c r="T16" s="6">
        <f>DataTable[HLD_MaturityDate] - DataTable[SEC_Issue_Date]</f>
        <v>364</v>
      </c>
      <c r="U16" s="131" t="str">
        <f>DataTable[HLD_Portfolio]&amp;DataTable[HLD_Date]</f>
        <v>SCBSFF43397</v>
      </c>
      <c r="V16" t="str">
        <f>DataTable[[#This Row],[RefRng]]&amp;DataTable[[#This Row],[HLD_SecCode]]</f>
        <v>SCBSFF43397F12MGHB020819a</v>
      </c>
    </row>
    <row r="17" spans="1:22" x14ac:dyDescent="0.2">
      <c r="A17" s="131">
        <v>43397</v>
      </c>
      <c r="B17" t="s">
        <v>17</v>
      </c>
      <c r="C17" t="s">
        <v>18</v>
      </c>
      <c r="D17" t="s">
        <v>38</v>
      </c>
      <c r="F17" t="s">
        <v>59</v>
      </c>
      <c r="G17" t="s">
        <v>57</v>
      </c>
      <c r="H17" t="s">
        <v>58</v>
      </c>
      <c r="I17" s="131">
        <v>43683</v>
      </c>
      <c r="J17" s="6">
        <v>650000000</v>
      </c>
      <c r="K17">
        <v>2421917.81</v>
      </c>
      <c r="L17">
        <v>650000000</v>
      </c>
      <c r="M17">
        <v>0.77329899999999996</v>
      </c>
      <c r="N17">
        <v>650000000</v>
      </c>
      <c r="O17">
        <v>1.7</v>
      </c>
      <c r="P17">
        <v>9.0457325000000005E-3</v>
      </c>
      <c r="Q17" t="s">
        <v>42</v>
      </c>
      <c r="R17" t="s">
        <v>23</v>
      </c>
      <c r="S17" s="131">
        <v>43318</v>
      </c>
      <c r="T17" s="6">
        <f>DataTable[HLD_MaturityDate] - DataTable[SEC_Issue_Date]</f>
        <v>365</v>
      </c>
      <c r="U17" s="131" t="str">
        <f>DataTable[HLD_Portfolio]&amp;DataTable[HLD_Date]</f>
        <v>SCBSFF43397</v>
      </c>
      <c r="V17" t="str">
        <f>DataTable[[#This Row],[RefRng]]&amp;DataTable[[#This Row],[HLD_SecCode]]</f>
        <v>SCBSFF43397F12MGHB060819</v>
      </c>
    </row>
    <row r="18" spans="1:22" x14ac:dyDescent="0.2">
      <c r="A18" s="131">
        <v>43397</v>
      </c>
      <c r="B18" t="s">
        <v>17</v>
      </c>
      <c r="C18" t="s">
        <v>18</v>
      </c>
      <c r="D18" t="s">
        <v>38</v>
      </c>
      <c r="F18" t="s">
        <v>60</v>
      </c>
      <c r="G18" t="s">
        <v>57</v>
      </c>
      <c r="H18" t="s">
        <v>58</v>
      </c>
      <c r="I18" s="131">
        <v>43686</v>
      </c>
      <c r="J18" s="6">
        <v>150000000</v>
      </c>
      <c r="K18">
        <v>537945.21</v>
      </c>
      <c r="L18">
        <v>150000000</v>
      </c>
      <c r="M18">
        <v>0.78130100000000002</v>
      </c>
      <c r="N18">
        <v>150000000</v>
      </c>
      <c r="O18">
        <v>1.7</v>
      </c>
      <c r="P18">
        <v>2.0871861E-3</v>
      </c>
      <c r="Q18" t="s">
        <v>42</v>
      </c>
      <c r="R18" t="s">
        <v>23</v>
      </c>
      <c r="S18" s="131">
        <v>43321</v>
      </c>
      <c r="T18" s="6">
        <f>DataTable[HLD_MaturityDate] - DataTable[SEC_Issue_Date]</f>
        <v>365</v>
      </c>
      <c r="U18" s="131" t="str">
        <f>DataTable[HLD_Portfolio]&amp;DataTable[HLD_Date]</f>
        <v>SCBSFF43397</v>
      </c>
      <c r="V18" t="str">
        <f>DataTable[[#This Row],[RefRng]]&amp;DataTable[[#This Row],[HLD_SecCode]]</f>
        <v>SCBSFF43397F12MGHB090819</v>
      </c>
    </row>
    <row r="19" spans="1:22" x14ac:dyDescent="0.2">
      <c r="A19" s="131">
        <v>43397</v>
      </c>
      <c r="B19" t="s">
        <v>17</v>
      </c>
      <c r="C19" t="s">
        <v>18</v>
      </c>
      <c r="D19" t="s">
        <v>38</v>
      </c>
      <c r="F19" t="s">
        <v>61</v>
      </c>
      <c r="G19" t="s">
        <v>57</v>
      </c>
      <c r="H19" t="s">
        <v>58</v>
      </c>
      <c r="I19" s="131">
        <v>43448</v>
      </c>
      <c r="J19" s="6">
        <v>70000000</v>
      </c>
      <c r="K19">
        <v>966575.34</v>
      </c>
      <c r="L19">
        <v>70000000</v>
      </c>
      <c r="M19">
        <v>0.13941400000000001</v>
      </c>
      <c r="N19">
        <v>70000000</v>
      </c>
      <c r="O19">
        <v>1.6</v>
      </c>
      <c r="P19">
        <v>9.839409999999999E-4</v>
      </c>
      <c r="Q19" t="s">
        <v>42</v>
      </c>
      <c r="R19" t="s">
        <v>23</v>
      </c>
      <c r="S19" s="131">
        <v>43083</v>
      </c>
      <c r="T19" s="6">
        <f>DataTable[HLD_MaturityDate] - DataTable[SEC_Issue_Date]</f>
        <v>365</v>
      </c>
      <c r="U19" s="131" t="str">
        <f>DataTable[HLD_Portfolio]&amp;DataTable[HLD_Date]</f>
        <v>SCBSFF43397</v>
      </c>
      <c r="V19" t="str">
        <f>DataTable[[#This Row],[RefRng]]&amp;DataTable[[#This Row],[HLD_SecCode]]</f>
        <v>SCBSFF43397F12MGHB141218</v>
      </c>
    </row>
    <row r="20" spans="1:22" x14ac:dyDescent="0.2">
      <c r="A20" s="131">
        <v>43397</v>
      </c>
      <c r="B20" t="s">
        <v>17</v>
      </c>
      <c r="C20" t="s">
        <v>18</v>
      </c>
      <c r="D20" t="s">
        <v>38</v>
      </c>
      <c r="F20" t="s">
        <v>62</v>
      </c>
      <c r="G20" t="s">
        <v>57</v>
      </c>
      <c r="H20" t="s">
        <v>58</v>
      </c>
      <c r="I20" s="131">
        <v>43481</v>
      </c>
      <c r="J20" s="6">
        <v>68000000</v>
      </c>
      <c r="K20">
        <v>840591.78</v>
      </c>
      <c r="L20">
        <v>68000000</v>
      </c>
      <c r="M20">
        <v>0.229293</v>
      </c>
      <c r="N20">
        <v>68000000</v>
      </c>
      <c r="O20">
        <v>1.6</v>
      </c>
      <c r="P20">
        <v>9.5446449999999998E-4</v>
      </c>
      <c r="Q20" t="s">
        <v>42</v>
      </c>
      <c r="R20" t="s">
        <v>23</v>
      </c>
      <c r="S20" s="131">
        <v>43116</v>
      </c>
      <c r="T20" s="6">
        <f>DataTable[HLD_MaturityDate] - DataTable[SEC_Issue_Date]</f>
        <v>365</v>
      </c>
      <c r="U20" s="131" t="str">
        <f>DataTable[HLD_Portfolio]&amp;DataTable[HLD_Date]</f>
        <v>SCBSFF43397</v>
      </c>
      <c r="V20" t="str">
        <f>DataTable[[#This Row],[RefRng]]&amp;DataTable[[#This Row],[HLD_SecCode]]</f>
        <v>SCBSFF43397F12MGHB160119</v>
      </c>
    </row>
    <row r="21" spans="1:22" x14ac:dyDescent="0.2">
      <c r="A21" s="131">
        <v>43397</v>
      </c>
      <c r="B21" t="s">
        <v>17</v>
      </c>
      <c r="C21" t="s">
        <v>18</v>
      </c>
      <c r="D21" t="s">
        <v>38</v>
      </c>
      <c r="F21" t="s">
        <v>63</v>
      </c>
      <c r="G21" t="s">
        <v>57</v>
      </c>
      <c r="H21" t="s">
        <v>58</v>
      </c>
      <c r="I21" s="131">
        <v>43482</v>
      </c>
      <c r="J21" s="6">
        <v>200000000</v>
      </c>
      <c r="K21">
        <v>2463561.64</v>
      </c>
      <c r="L21">
        <v>200000000</v>
      </c>
      <c r="M21">
        <v>0.232012</v>
      </c>
      <c r="N21">
        <v>200000000</v>
      </c>
      <c r="O21">
        <v>1.6</v>
      </c>
      <c r="P21">
        <v>2.8071271E-3</v>
      </c>
      <c r="Q21" t="s">
        <v>42</v>
      </c>
      <c r="R21" t="s">
        <v>23</v>
      </c>
      <c r="S21" s="131">
        <v>43117</v>
      </c>
      <c r="T21" s="6">
        <f>DataTable[HLD_MaturityDate] - DataTable[SEC_Issue_Date]</f>
        <v>365</v>
      </c>
      <c r="U21" s="131" t="str">
        <f>DataTable[HLD_Portfolio]&amp;DataTable[HLD_Date]</f>
        <v>SCBSFF43397</v>
      </c>
      <c r="V21" t="str">
        <f>DataTable[[#This Row],[RefRng]]&amp;DataTable[[#This Row],[HLD_SecCode]]</f>
        <v>SCBSFF43397F12MGHB170119</v>
      </c>
    </row>
    <row r="22" spans="1:22" x14ac:dyDescent="0.2">
      <c r="A22" s="131">
        <v>43397</v>
      </c>
      <c r="B22" t="s">
        <v>17</v>
      </c>
      <c r="C22" t="s">
        <v>18</v>
      </c>
      <c r="D22" t="s">
        <v>38</v>
      </c>
      <c r="F22" t="s">
        <v>64</v>
      </c>
      <c r="G22" t="s">
        <v>57</v>
      </c>
      <c r="H22" t="s">
        <v>58</v>
      </c>
      <c r="I22" s="131">
        <v>43483</v>
      </c>
      <c r="J22" s="6">
        <v>157000000</v>
      </c>
      <c r="K22">
        <v>1927013.7</v>
      </c>
      <c r="L22">
        <v>157000000</v>
      </c>
      <c r="M22">
        <v>0.234732</v>
      </c>
      <c r="N22">
        <v>157000000</v>
      </c>
      <c r="O22">
        <v>1.6</v>
      </c>
      <c r="P22">
        <v>2.2034992999999999E-3</v>
      </c>
      <c r="Q22" t="s">
        <v>42</v>
      </c>
      <c r="R22" t="s">
        <v>23</v>
      </c>
      <c r="S22" s="131">
        <v>43118</v>
      </c>
      <c r="T22" s="6">
        <f>DataTable[HLD_MaturityDate] - DataTable[SEC_Issue_Date]</f>
        <v>365</v>
      </c>
      <c r="U22" s="131" t="str">
        <f>DataTable[HLD_Portfolio]&amp;DataTable[HLD_Date]</f>
        <v>SCBSFF43397</v>
      </c>
      <c r="V22" t="str">
        <f>DataTable[[#This Row],[RefRng]]&amp;DataTable[[#This Row],[HLD_SecCode]]</f>
        <v>SCBSFF43397F12MGHB180119</v>
      </c>
    </row>
    <row r="23" spans="1:22" x14ac:dyDescent="0.2">
      <c r="A23" s="131">
        <v>43397</v>
      </c>
      <c r="B23" t="s">
        <v>17</v>
      </c>
      <c r="C23" t="s">
        <v>18</v>
      </c>
      <c r="D23" t="s">
        <v>38</v>
      </c>
      <c r="F23" t="s">
        <v>65</v>
      </c>
      <c r="G23" t="s">
        <v>57</v>
      </c>
      <c r="H23" t="s">
        <v>58</v>
      </c>
      <c r="I23" s="131">
        <v>43486</v>
      </c>
      <c r="J23" s="6">
        <v>300000000</v>
      </c>
      <c r="K23">
        <v>3669041.1</v>
      </c>
      <c r="L23">
        <v>300000000</v>
      </c>
      <c r="M23">
        <v>0.24288799999999999</v>
      </c>
      <c r="N23">
        <v>300000000</v>
      </c>
      <c r="O23">
        <v>1.6</v>
      </c>
      <c r="P23">
        <v>4.2103258999999999E-3</v>
      </c>
      <c r="Q23" t="s">
        <v>42</v>
      </c>
      <c r="R23" t="s">
        <v>23</v>
      </c>
      <c r="S23" s="131">
        <v>43119</v>
      </c>
      <c r="T23" s="6">
        <f>DataTable[HLD_MaturityDate] - DataTable[SEC_Issue_Date]</f>
        <v>367</v>
      </c>
      <c r="U23" s="131" t="str">
        <f>DataTable[HLD_Portfolio]&amp;DataTable[HLD_Date]</f>
        <v>SCBSFF43397</v>
      </c>
      <c r="V23" t="str">
        <f>DataTable[[#This Row],[RefRng]]&amp;DataTable[[#This Row],[HLD_SecCode]]</f>
        <v>SCBSFF43397F12MGHB210119</v>
      </c>
    </row>
    <row r="24" spans="1:22" x14ac:dyDescent="0.2">
      <c r="A24" s="131">
        <v>43397</v>
      </c>
      <c r="B24" t="s">
        <v>17</v>
      </c>
      <c r="C24" t="s">
        <v>18</v>
      </c>
      <c r="D24" t="s">
        <v>38</v>
      </c>
      <c r="F24" t="s">
        <v>1263</v>
      </c>
      <c r="G24" t="s">
        <v>53</v>
      </c>
      <c r="H24" t="s">
        <v>47</v>
      </c>
      <c r="I24" s="131">
        <v>43487</v>
      </c>
      <c r="J24" s="6">
        <v>750762000</v>
      </c>
      <c r="K24">
        <v>625.64</v>
      </c>
      <c r="L24">
        <v>749600000</v>
      </c>
      <c r="M24">
        <v>0.24999399999999999</v>
      </c>
      <c r="N24">
        <v>20000000</v>
      </c>
      <c r="O24">
        <v>0.01</v>
      </c>
      <c r="P24">
        <v>1.04092117E-2</v>
      </c>
      <c r="Q24" t="s">
        <v>42</v>
      </c>
      <c r="R24" t="s">
        <v>31</v>
      </c>
      <c r="S24" s="131">
        <v>43395</v>
      </c>
      <c r="T24" s="6">
        <f>DataTable[HLD_MaturityDate] - DataTable[SEC_Issue_Date]</f>
        <v>92</v>
      </c>
      <c r="U24" s="131" t="str">
        <f>DataTable[HLD_Portfolio]&amp;DataTable[HLD_Date]</f>
        <v>SCBSFF43397</v>
      </c>
      <c r="V24" t="str">
        <f>DataTable[[#This Row],[RefRng]]&amp;DataTable[[#This Row],[HLD_SecCode]]</f>
        <v>SCBSFF43397F3MBOCMC220119a</v>
      </c>
    </row>
    <row r="25" spans="1:22" x14ac:dyDescent="0.2">
      <c r="A25" s="131">
        <v>43397</v>
      </c>
      <c r="B25" t="s">
        <v>17</v>
      </c>
      <c r="C25" t="s">
        <v>18</v>
      </c>
      <c r="D25" t="s">
        <v>38</v>
      </c>
      <c r="F25" t="s">
        <v>66</v>
      </c>
      <c r="G25" t="s">
        <v>53</v>
      </c>
      <c r="H25" t="s">
        <v>47</v>
      </c>
      <c r="I25" s="131">
        <v>43409</v>
      </c>
      <c r="J25" s="6">
        <v>938452500</v>
      </c>
      <c r="K25">
        <v>182476.88</v>
      </c>
      <c r="L25">
        <v>950000000</v>
      </c>
      <c r="M25">
        <v>3.3333000000000002E-2</v>
      </c>
      <c r="N25">
        <v>25000000</v>
      </c>
      <c r="O25">
        <v>0.04</v>
      </c>
      <c r="P25">
        <v>1.30140338E-2</v>
      </c>
      <c r="Q25" t="s">
        <v>42</v>
      </c>
      <c r="R25" t="s">
        <v>31</v>
      </c>
      <c r="S25" s="131">
        <v>43223</v>
      </c>
      <c r="T25" s="6">
        <f>DataTable[HLD_MaturityDate] - DataTable[SEC_Issue_Date]</f>
        <v>186</v>
      </c>
      <c r="U25" s="131" t="str">
        <f>DataTable[HLD_Portfolio]&amp;DataTable[HLD_Date]</f>
        <v>SCBSFF43397</v>
      </c>
      <c r="V25" t="str">
        <f>DataTable[[#This Row],[RefRng]]&amp;DataTable[[#This Row],[HLD_SecCode]]</f>
        <v>SCBSFF43397F6MBOCMC051118</v>
      </c>
    </row>
    <row r="26" spans="1:22" x14ac:dyDescent="0.2">
      <c r="A26" s="131">
        <v>43397</v>
      </c>
      <c r="B26" t="s">
        <v>17</v>
      </c>
      <c r="C26" t="s">
        <v>18</v>
      </c>
      <c r="D26" t="s">
        <v>38</v>
      </c>
      <c r="F26" t="s">
        <v>67</v>
      </c>
      <c r="G26" t="s">
        <v>53</v>
      </c>
      <c r="H26" t="s">
        <v>47</v>
      </c>
      <c r="I26" s="131">
        <v>43543</v>
      </c>
      <c r="J26" s="6">
        <v>375381000</v>
      </c>
      <c r="K26">
        <v>18247.689999999999</v>
      </c>
      <c r="L26">
        <v>380000000</v>
      </c>
      <c r="M26">
        <v>0.40547299999999997</v>
      </c>
      <c r="N26">
        <v>10000000</v>
      </c>
      <c r="O26">
        <v>0.05</v>
      </c>
      <c r="P26">
        <v>5.2048544999999998E-3</v>
      </c>
      <c r="Q26" t="s">
        <v>42</v>
      </c>
      <c r="R26" t="s">
        <v>31</v>
      </c>
      <c r="S26" s="131">
        <v>43363</v>
      </c>
      <c r="T26" s="6">
        <f>DataTable[HLD_MaturityDate] - DataTable[SEC_Issue_Date]</f>
        <v>180</v>
      </c>
      <c r="U26" s="131" t="str">
        <f>DataTable[HLD_Portfolio]&amp;DataTable[HLD_Date]</f>
        <v>SCBSFF43397</v>
      </c>
      <c r="V26" t="str">
        <f>DataTable[[#This Row],[RefRng]]&amp;DataTable[[#This Row],[HLD_SecCode]]</f>
        <v>SCBSFF43397F6MBOCMC190319</v>
      </c>
    </row>
    <row r="27" spans="1:22" x14ac:dyDescent="0.2">
      <c r="A27" s="131">
        <v>43397</v>
      </c>
      <c r="B27" t="s">
        <v>17</v>
      </c>
      <c r="C27" t="s">
        <v>18</v>
      </c>
      <c r="D27" t="s">
        <v>38</v>
      </c>
      <c r="F27" t="s">
        <v>68</v>
      </c>
      <c r="G27" t="s">
        <v>69</v>
      </c>
      <c r="H27" t="s">
        <v>47</v>
      </c>
      <c r="I27" s="131">
        <v>44196</v>
      </c>
      <c r="J27" s="6">
        <v>347165.51</v>
      </c>
      <c r="K27">
        <v>870.29</v>
      </c>
      <c r="L27">
        <v>347165.51</v>
      </c>
      <c r="M27">
        <v>0</v>
      </c>
      <c r="N27">
        <v>347165.51</v>
      </c>
      <c r="O27">
        <v>0</v>
      </c>
      <c r="P27">
        <v>4.8254999999999998E-6</v>
      </c>
      <c r="Q27" t="s">
        <v>42</v>
      </c>
      <c r="R27" t="s">
        <v>23</v>
      </c>
      <c r="S27" s="131">
        <v>42066</v>
      </c>
      <c r="T27" s="6">
        <f>DataTable[HLD_MaturityDate] - DataTable[SEC_Issue_Date]</f>
        <v>2130</v>
      </c>
      <c r="U27" s="131" t="str">
        <f>DataTable[HLD_Portfolio]&amp;DataTable[HLD_Date]</f>
        <v>SCBSFF43397</v>
      </c>
      <c r="V27" t="str">
        <f>DataTable[[#This Row],[RefRng]]&amp;DataTable[[#This Row],[HLD_SecCode]]</f>
        <v>SCBSFF43397INVCTISCOsff1</v>
      </c>
    </row>
    <row r="28" spans="1:22" x14ac:dyDescent="0.2">
      <c r="A28" s="131">
        <v>43397</v>
      </c>
      <c r="B28" t="s">
        <v>17</v>
      </c>
      <c r="C28" t="s">
        <v>18</v>
      </c>
      <c r="D28" t="s">
        <v>38</v>
      </c>
      <c r="F28" t="s">
        <v>70</v>
      </c>
      <c r="G28" t="s">
        <v>71</v>
      </c>
      <c r="H28" t="s">
        <v>27</v>
      </c>
      <c r="I28" s="131">
        <v>44196</v>
      </c>
      <c r="J28" s="6">
        <v>287668.24</v>
      </c>
      <c r="K28">
        <v>342.84</v>
      </c>
      <c r="L28">
        <v>287668.24</v>
      </c>
      <c r="M28">
        <v>0</v>
      </c>
      <c r="N28">
        <v>287668.24</v>
      </c>
      <c r="O28">
        <v>0</v>
      </c>
      <c r="P28">
        <v>3.9932000000000002E-6</v>
      </c>
      <c r="Q28" t="s">
        <v>42</v>
      </c>
      <c r="R28" t="s">
        <v>23</v>
      </c>
      <c r="S28" s="131">
        <v>39535</v>
      </c>
      <c r="T28" s="6">
        <f>DataTable[HLD_MaturityDate] - DataTable[SEC_Issue_Date]</f>
        <v>4661</v>
      </c>
      <c r="U28" s="131" t="str">
        <f>DataTable[HLD_Portfolio]&amp;DataTable[HLD_Date]</f>
        <v>SCBSFF43397</v>
      </c>
      <c r="V28" t="str">
        <f>DataTable[[#This Row],[RefRng]]&amp;DataTable[[#This Row],[HLD_SecCode]]</f>
        <v>SCBSFF43397INVSKTBsff</v>
      </c>
    </row>
    <row r="29" spans="1:22" x14ac:dyDescent="0.2">
      <c r="A29" s="131">
        <v>43397</v>
      </c>
      <c r="B29" t="s">
        <v>17</v>
      </c>
      <c r="C29" t="s">
        <v>18</v>
      </c>
      <c r="D29" t="s">
        <v>38</v>
      </c>
      <c r="F29" t="s">
        <v>72</v>
      </c>
      <c r="G29" t="s">
        <v>73</v>
      </c>
      <c r="H29" t="s">
        <v>58</v>
      </c>
      <c r="I29" s="131">
        <v>44196</v>
      </c>
      <c r="J29" s="6">
        <v>497966.31</v>
      </c>
      <c r="K29">
        <v>1345.19</v>
      </c>
      <c r="L29">
        <v>497966.31</v>
      </c>
      <c r="M29">
        <v>0</v>
      </c>
      <c r="N29">
        <v>497966.31</v>
      </c>
      <c r="O29">
        <v>0</v>
      </c>
      <c r="P29">
        <v>6.9229000000000002E-6</v>
      </c>
      <c r="Q29" t="s">
        <v>42</v>
      </c>
      <c r="R29" t="s">
        <v>23</v>
      </c>
      <c r="S29" s="131">
        <v>38594</v>
      </c>
      <c r="T29" s="6">
        <f>DataTable[HLD_MaturityDate] - DataTable[SEC_Issue_Date]</f>
        <v>5602</v>
      </c>
      <c r="U29" s="131" t="str">
        <f>DataTable[HLD_Portfolio]&amp;DataTable[HLD_Date]</f>
        <v>SCBSFF43397</v>
      </c>
      <c r="V29" t="str">
        <f>DataTable[[#This Row],[RefRng]]&amp;DataTable[[#This Row],[HLD_SecCode]]</f>
        <v>SCBSFF43397INVSUOBTsff</v>
      </c>
    </row>
    <row r="30" spans="1:22" x14ac:dyDescent="0.2">
      <c r="A30" s="131">
        <v>43397</v>
      </c>
      <c r="B30" t="s">
        <v>17</v>
      </c>
      <c r="C30" t="s">
        <v>18</v>
      </c>
      <c r="D30" t="s">
        <v>38</v>
      </c>
      <c r="F30" t="s">
        <v>74</v>
      </c>
      <c r="G30" t="s">
        <v>26</v>
      </c>
      <c r="H30" t="s">
        <v>27</v>
      </c>
      <c r="I30" s="131">
        <v>43468</v>
      </c>
      <c r="J30" s="6">
        <v>1500000000</v>
      </c>
      <c r="K30">
        <v>2157534.25</v>
      </c>
      <c r="L30">
        <v>1500000000</v>
      </c>
      <c r="M30">
        <v>0.19395499999999999</v>
      </c>
      <c r="N30">
        <v>1500000000</v>
      </c>
      <c r="O30">
        <v>1.5</v>
      </c>
      <c r="P30">
        <v>2.0827189999999999E-2</v>
      </c>
      <c r="Q30" t="s">
        <v>42</v>
      </c>
      <c r="R30" t="s">
        <v>23</v>
      </c>
      <c r="S30" s="131">
        <v>43363</v>
      </c>
      <c r="T30" s="6">
        <f>DataTable[HLD_MaturityDate] - DataTable[SEC_Issue_Date]</f>
        <v>105</v>
      </c>
      <c r="U30" s="131" t="str">
        <f>DataTable[HLD_Portfolio]&amp;DataTable[HLD_Date]</f>
        <v>SCBSFF43397</v>
      </c>
      <c r="V30" t="str">
        <f>DataTable[[#This Row],[RefRng]]&amp;DataTable[[#This Row],[HLD_SecCode]]</f>
        <v>SCBSFF43397S4MSCB030119</v>
      </c>
    </row>
    <row r="31" spans="1:22" x14ac:dyDescent="0.2">
      <c r="A31" s="131">
        <v>43397</v>
      </c>
      <c r="B31" t="s">
        <v>17</v>
      </c>
      <c r="C31" t="s">
        <v>18</v>
      </c>
      <c r="D31" t="s">
        <v>75</v>
      </c>
      <c r="F31" t="s">
        <v>76</v>
      </c>
      <c r="G31" t="s">
        <v>77</v>
      </c>
      <c r="H31" t="s">
        <v>27</v>
      </c>
      <c r="I31" s="131">
        <v>43452</v>
      </c>
      <c r="J31" s="6">
        <v>997491240</v>
      </c>
      <c r="L31">
        <v>997491240</v>
      </c>
      <c r="M31">
        <v>0.147587</v>
      </c>
      <c r="N31">
        <v>1000000000</v>
      </c>
      <c r="O31">
        <v>1.7</v>
      </c>
      <c r="P31">
        <v>1.3830067099999999E-2</v>
      </c>
      <c r="Q31" t="s">
        <v>42</v>
      </c>
      <c r="R31" t="s">
        <v>23</v>
      </c>
      <c r="S31" s="131">
        <v>43363</v>
      </c>
      <c r="T31" s="6">
        <f>DataTable[HLD_MaturityDate] - DataTable[SEC_Issue_Date]</f>
        <v>89</v>
      </c>
      <c r="U31" s="131" t="str">
        <f>DataTable[HLD_Portfolio]&amp;DataTable[HLD_Date]</f>
        <v>SCBSFF43397</v>
      </c>
      <c r="V31" t="str">
        <f>DataTable[[#This Row],[RefRng]]&amp;DataTable[[#This Row],[HLD_SecCode]]</f>
        <v>SCBSFF43397MBKET18D18A</v>
      </c>
    </row>
    <row r="32" spans="1:22" x14ac:dyDescent="0.2">
      <c r="A32" s="131">
        <v>43397</v>
      </c>
      <c r="B32" t="s">
        <v>17</v>
      </c>
      <c r="C32" t="s">
        <v>18</v>
      </c>
      <c r="D32" t="s">
        <v>75</v>
      </c>
      <c r="F32" t="s">
        <v>79</v>
      </c>
      <c r="G32" t="s">
        <v>80</v>
      </c>
      <c r="H32" t="s">
        <v>47</v>
      </c>
      <c r="I32" s="131">
        <v>43514</v>
      </c>
      <c r="J32" s="6">
        <v>149185351.5</v>
      </c>
      <c r="L32">
        <v>149203377</v>
      </c>
      <c r="M32">
        <v>0.31608199999999997</v>
      </c>
      <c r="N32">
        <v>150000000</v>
      </c>
      <c r="O32">
        <v>1.68</v>
      </c>
      <c r="P32">
        <v>2.0684326E-3</v>
      </c>
      <c r="Q32" t="s">
        <v>42</v>
      </c>
      <c r="R32" t="s">
        <v>23</v>
      </c>
      <c r="S32" s="131">
        <v>43244</v>
      </c>
      <c r="T32" s="6">
        <f>DataTable[HLD_MaturityDate] - DataTable[SEC_Issue_Date]</f>
        <v>270</v>
      </c>
      <c r="U32" s="131" t="str">
        <f>DataTable[HLD_Portfolio]&amp;DataTable[HLD_Date]</f>
        <v>SCBSFF43397</v>
      </c>
      <c r="V32" t="str">
        <f>DataTable[[#This Row],[RefRng]]&amp;DataTable[[#This Row],[HLD_SecCode]]</f>
        <v>SCBSFF43397SPALI19218A</v>
      </c>
    </row>
    <row r="33" spans="1:22" x14ac:dyDescent="0.2">
      <c r="A33" s="131">
        <v>43397</v>
      </c>
      <c r="B33" t="s">
        <v>17</v>
      </c>
      <c r="C33" t="s">
        <v>18</v>
      </c>
      <c r="D33" t="s">
        <v>81</v>
      </c>
      <c r="F33" t="s">
        <v>82</v>
      </c>
      <c r="G33" t="s">
        <v>83</v>
      </c>
      <c r="H33" t="s">
        <v>29</v>
      </c>
      <c r="I33" s="131">
        <v>43418</v>
      </c>
      <c r="J33" s="6">
        <v>699540030</v>
      </c>
      <c r="L33">
        <v>699540030</v>
      </c>
      <c r="M33">
        <v>5.4757E-2</v>
      </c>
      <c r="N33">
        <v>700000000</v>
      </c>
      <c r="O33">
        <v>1.2</v>
      </c>
      <c r="P33">
        <v>9.6990180999999998E-3</v>
      </c>
      <c r="Q33" t="s">
        <v>42</v>
      </c>
      <c r="R33" t="s">
        <v>23</v>
      </c>
      <c r="S33" s="131">
        <v>43054</v>
      </c>
      <c r="T33" s="6">
        <f>DataTable[HLD_MaturityDate] - DataTable[SEC_Issue_Date]</f>
        <v>364</v>
      </c>
      <c r="U33" s="131" t="str">
        <f>DataTable[HLD_Portfolio]&amp;DataTable[HLD_Date]</f>
        <v>SCBSFF43397</v>
      </c>
      <c r="V33" t="str">
        <f>DataTable[[#This Row],[RefRng]]&amp;DataTable[[#This Row],[HLD_SecCode]]</f>
        <v>SCBSFF43397TB18N14A</v>
      </c>
    </row>
    <row r="34" spans="1:22" x14ac:dyDescent="0.2">
      <c r="A34" s="131">
        <v>43397</v>
      </c>
      <c r="B34" t="s">
        <v>17</v>
      </c>
      <c r="C34" t="s">
        <v>18</v>
      </c>
      <c r="D34" t="s">
        <v>81</v>
      </c>
      <c r="F34" t="s">
        <v>84</v>
      </c>
      <c r="G34" t="s">
        <v>83</v>
      </c>
      <c r="H34" t="s">
        <v>29</v>
      </c>
      <c r="I34" s="131">
        <v>43558</v>
      </c>
      <c r="J34" s="6">
        <v>9926513.0999999996</v>
      </c>
      <c r="L34">
        <v>9930351.5</v>
      </c>
      <c r="M34">
        <v>0.43513499999999999</v>
      </c>
      <c r="N34">
        <v>10000000</v>
      </c>
      <c r="O34">
        <v>1.6</v>
      </c>
      <c r="P34">
        <v>1.3762959999999999E-4</v>
      </c>
      <c r="Q34" t="s">
        <v>42</v>
      </c>
      <c r="R34" t="s">
        <v>23</v>
      </c>
      <c r="S34" s="131">
        <v>43194</v>
      </c>
      <c r="T34" s="6">
        <f>DataTable[HLD_MaturityDate] - DataTable[SEC_Issue_Date]</f>
        <v>364</v>
      </c>
      <c r="U34" s="131" t="str">
        <f>DataTable[HLD_Portfolio]&amp;DataTable[HLD_Date]</f>
        <v>SCBSFF43397</v>
      </c>
      <c r="V34" t="str">
        <f>DataTable[[#This Row],[RefRng]]&amp;DataTable[[#This Row],[HLD_SecCode]]</f>
        <v>SCBSFF43397TB19403A</v>
      </c>
    </row>
    <row r="35" spans="1:22" x14ac:dyDescent="0.2">
      <c r="A35" s="131">
        <v>43397</v>
      </c>
      <c r="B35" t="s">
        <v>17</v>
      </c>
      <c r="C35" t="s">
        <v>18</v>
      </c>
      <c r="D35" t="s">
        <v>85</v>
      </c>
      <c r="F35" t="s">
        <v>86</v>
      </c>
      <c r="G35" t="s">
        <v>87</v>
      </c>
      <c r="I35" s="131">
        <v>43440</v>
      </c>
      <c r="J35" s="6">
        <v>3994025360</v>
      </c>
      <c r="L35">
        <v>3993829840</v>
      </c>
      <c r="M35">
        <v>0.114895</v>
      </c>
      <c r="N35">
        <v>4000000000</v>
      </c>
      <c r="O35">
        <v>1.3426089999999999</v>
      </c>
      <c r="P35">
        <v>5.53765653E-2</v>
      </c>
      <c r="Q35" t="s">
        <v>42</v>
      </c>
      <c r="R35" t="s">
        <v>23</v>
      </c>
      <c r="S35" s="131">
        <v>43349</v>
      </c>
      <c r="T35" s="6">
        <f>DataTable[HLD_MaturityDate] - DataTable[SEC_Issue_Date]</f>
        <v>91</v>
      </c>
      <c r="U35" s="131" t="str">
        <f>DataTable[HLD_Portfolio]&amp;DataTable[HLD_Date]</f>
        <v>SCBSFF43397</v>
      </c>
      <c r="V35" t="str">
        <f>DataTable[[#This Row],[RefRng]]&amp;DataTable[[#This Row],[HLD_SecCode]]</f>
        <v>SCBSFF43397CB18D06C</v>
      </c>
    </row>
    <row r="36" spans="1:22" x14ac:dyDescent="0.2">
      <c r="A36" s="131">
        <v>43397</v>
      </c>
      <c r="B36" t="s">
        <v>17</v>
      </c>
      <c r="C36" t="s">
        <v>18</v>
      </c>
      <c r="D36" t="s">
        <v>85</v>
      </c>
      <c r="F36" t="s">
        <v>88</v>
      </c>
      <c r="G36" t="s">
        <v>87</v>
      </c>
      <c r="I36" s="131">
        <v>43447</v>
      </c>
      <c r="J36" s="6">
        <v>6000712686.8999996</v>
      </c>
      <c r="L36">
        <v>6000620613.6999998</v>
      </c>
      <c r="M36">
        <v>0.13397899999999999</v>
      </c>
      <c r="N36">
        <v>6010000000</v>
      </c>
      <c r="O36">
        <v>1.1643289999999999</v>
      </c>
      <c r="P36">
        <v>8.3198985599999997E-2</v>
      </c>
      <c r="Q36" t="s">
        <v>42</v>
      </c>
      <c r="R36" t="s">
        <v>23</v>
      </c>
      <c r="S36" s="131">
        <v>43356</v>
      </c>
      <c r="T36" s="6">
        <f>DataTable[HLD_MaturityDate] - DataTable[SEC_Issue_Date]</f>
        <v>91</v>
      </c>
      <c r="U36" s="131" t="str">
        <f>DataTable[HLD_Portfolio]&amp;DataTable[HLD_Date]</f>
        <v>SCBSFF43397</v>
      </c>
      <c r="V36" t="str">
        <f>DataTable[[#This Row],[RefRng]]&amp;DataTable[[#This Row],[HLD_SecCode]]</f>
        <v>SCBSFF43397CB18D13B</v>
      </c>
    </row>
    <row r="37" spans="1:22" x14ac:dyDescent="0.2">
      <c r="A37" s="131">
        <v>43397</v>
      </c>
      <c r="B37" t="s">
        <v>17</v>
      </c>
      <c r="C37" t="s">
        <v>18</v>
      </c>
      <c r="D37" t="s">
        <v>85</v>
      </c>
      <c r="F37" t="s">
        <v>89</v>
      </c>
      <c r="G37" t="s">
        <v>87</v>
      </c>
      <c r="I37" s="131">
        <v>43454</v>
      </c>
      <c r="J37" s="6">
        <v>2495195550</v>
      </c>
      <c r="L37">
        <v>2494729675</v>
      </c>
      <c r="M37">
        <v>0.153085</v>
      </c>
      <c r="N37">
        <v>2500000000</v>
      </c>
      <c r="O37">
        <v>1.376952</v>
      </c>
      <c r="P37">
        <v>3.4595513799999998E-2</v>
      </c>
      <c r="Q37" t="s">
        <v>42</v>
      </c>
      <c r="R37" t="s">
        <v>23</v>
      </c>
      <c r="S37" s="131">
        <v>43363</v>
      </c>
      <c r="T37" s="6">
        <f>DataTable[HLD_MaturityDate] - DataTable[SEC_Issue_Date]</f>
        <v>91</v>
      </c>
      <c r="U37" s="131" t="str">
        <f>DataTable[HLD_Portfolio]&amp;DataTable[HLD_Date]</f>
        <v>SCBSFF43397</v>
      </c>
      <c r="V37" t="str">
        <f>DataTable[[#This Row],[RefRng]]&amp;DataTable[[#This Row],[HLD_SecCode]]</f>
        <v>SCBSFF43397CB18D20B</v>
      </c>
    </row>
    <row r="38" spans="1:22" x14ac:dyDescent="0.2">
      <c r="A38" s="131">
        <v>43397</v>
      </c>
      <c r="B38" t="s">
        <v>17</v>
      </c>
      <c r="C38" t="s">
        <v>18</v>
      </c>
      <c r="D38" t="s">
        <v>85</v>
      </c>
      <c r="F38" t="s">
        <v>198</v>
      </c>
      <c r="G38" t="s">
        <v>87</v>
      </c>
      <c r="I38" s="131">
        <v>43405</v>
      </c>
      <c r="J38" s="6">
        <v>51987562.119999997</v>
      </c>
      <c r="L38">
        <v>51987562.119999997</v>
      </c>
      <c r="M38">
        <v>1.9174E-2</v>
      </c>
      <c r="N38">
        <v>52000000</v>
      </c>
      <c r="O38">
        <v>1.2475000000000001</v>
      </c>
      <c r="P38">
        <v>7.207998E-4</v>
      </c>
      <c r="Q38" t="s">
        <v>42</v>
      </c>
      <c r="R38" t="s">
        <v>23</v>
      </c>
      <c r="S38" s="131">
        <v>43223</v>
      </c>
      <c r="T38" s="6">
        <f>DataTable[HLD_MaturityDate] - DataTable[SEC_Issue_Date]</f>
        <v>182</v>
      </c>
      <c r="U38" s="131" t="str">
        <f>DataTable[HLD_Portfolio]&amp;DataTable[HLD_Date]</f>
        <v>SCBSFF43397</v>
      </c>
      <c r="V38" t="str">
        <f>DataTable[[#This Row],[RefRng]]&amp;DataTable[[#This Row],[HLD_SecCode]]</f>
        <v>SCBSFF43397CB18N01A</v>
      </c>
    </row>
    <row r="39" spans="1:22" x14ac:dyDescent="0.2">
      <c r="A39" s="131">
        <v>43397</v>
      </c>
      <c r="B39" t="s">
        <v>17</v>
      </c>
      <c r="C39" t="s">
        <v>18</v>
      </c>
      <c r="D39" t="s">
        <v>85</v>
      </c>
      <c r="F39" t="s">
        <v>90</v>
      </c>
      <c r="G39" t="s">
        <v>87</v>
      </c>
      <c r="I39" s="131">
        <v>43405</v>
      </c>
      <c r="J39" s="6">
        <v>3280191528.79</v>
      </c>
      <c r="L39">
        <v>3280187033.8200002</v>
      </c>
      <c r="M39">
        <v>1.9174E-2</v>
      </c>
      <c r="N39">
        <v>3281000000</v>
      </c>
      <c r="O39">
        <v>1.292341</v>
      </c>
      <c r="P39">
        <v>4.5479365799999998E-2</v>
      </c>
      <c r="Q39" t="s">
        <v>42</v>
      </c>
      <c r="R39" t="s">
        <v>23</v>
      </c>
      <c r="S39" s="131">
        <v>43314</v>
      </c>
      <c r="T39" s="6">
        <f>DataTable[HLD_MaturityDate] - DataTable[SEC_Issue_Date]</f>
        <v>91</v>
      </c>
      <c r="U39" s="131" t="str">
        <f>DataTable[HLD_Portfolio]&amp;DataTable[HLD_Date]</f>
        <v>SCBSFF43397</v>
      </c>
      <c r="V39" t="str">
        <f>DataTable[[#This Row],[RefRng]]&amp;DataTable[[#This Row],[HLD_SecCode]]</f>
        <v>SCBSFF43397CB18N01B</v>
      </c>
    </row>
    <row r="40" spans="1:22" x14ac:dyDescent="0.2">
      <c r="A40" s="131">
        <v>43397</v>
      </c>
      <c r="B40" t="s">
        <v>17</v>
      </c>
      <c r="C40" t="s">
        <v>18</v>
      </c>
      <c r="D40" t="s">
        <v>85</v>
      </c>
      <c r="F40" t="s">
        <v>1251</v>
      </c>
      <c r="G40" t="s">
        <v>87</v>
      </c>
      <c r="I40" s="131">
        <v>43410</v>
      </c>
      <c r="J40" s="6">
        <v>2598967904</v>
      </c>
      <c r="L40">
        <v>2598967904</v>
      </c>
      <c r="M40">
        <v>3.2863999999999997E-2</v>
      </c>
      <c r="N40">
        <v>2600000000</v>
      </c>
      <c r="O40">
        <v>1.207911</v>
      </c>
      <c r="P40">
        <v>3.6034301999999997E-2</v>
      </c>
      <c r="Q40" t="s">
        <v>42</v>
      </c>
      <c r="R40" t="s">
        <v>23</v>
      </c>
      <c r="S40" s="131">
        <v>43397</v>
      </c>
      <c r="T40" s="6">
        <f>DataTable[HLD_MaturityDate] - DataTable[SEC_Issue_Date]</f>
        <v>13</v>
      </c>
      <c r="U40" s="131" t="str">
        <f>DataTable[HLD_Portfolio]&amp;DataTable[HLD_Date]</f>
        <v>SCBSFF43397</v>
      </c>
      <c r="V40" t="str">
        <f>DataTable[[#This Row],[RefRng]]&amp;DataTable[[#This Row],[HLD_SecCode]]</f>
        <v>SCBSFF43397CB18N06A</v>
      </c>
    </row>
    <row r="41" spans="1:22" x14ac:dyDescent="0.2">
      <c r="A41" s="131">
        <v>43397</v>
      </c>
      <c r="B41" t="s">
        <v>17</v>
      </c>
      <c r="C41" t="s">
        <v>18</v>
      </c>
      <c r="D41" t="s">
        <v>85</v>
      </c>
      <c r="F41" t="s">
        <v>91</v>
      </c>
      <c r="G41" t="s">
        <v>87</v>
      </c>
      <c r="I41" s="131">
        <v>43412</v>
      </c>
      <c r="J41" s="6">
        <v>950578992.29999995</v>
      </c>
      <c r="L41">
        <v>950578992.29999995</v>
      </c>
      <c r="M41">
        <v>3.8337999999999997E-2</v>
      </c>
      <c r="N41">
        <v>951000000</v>
      </c>
      <c r="O41">
        <v>1.1546920000000001</v>
      </c>
      <c r="P41">
        <v>1.3179635800000001E-2</v>
      </c>
      <c r="Q41" t="s">
        <v>42</v>
      </c>
      <c r="R41" t="s">
        <v>23</v>
      </c>
      <c r="S41" s="131">
        <v>43230</v>
      </c>
      <c r="T41" s="6">
        <f>DataTable[HLD_MaturityDate] - DataTable[SEC_Issue_Date]</f>
        <v>182</v>
      </c>
      <c r="U41" s="131" t="str">
        <f>DataTable[HLD_Portfolio]&amp;DataTable[HLD_Date]</f>
        <v>SCBSFF43397</v>
      </c>
      <c r="V41" t="str">
        <f>DataTable[[#This Row],[RefRng]]&amp;DataTable[[#This Row],[HLD_SecCode]]</f>
        <v>SCBSFF43397CB18N08A</v>
      </c>
    </row>
    <row r="42" spans="1:22" x14ac:dyDescent="0.2">
      <c r="A42" s="131">
        <v>43397</v>
      </c>
      <c r="B42" t="s">
        <v>17</v>
      </c>
      <c r="C42" t="s">
        <v>18</v>
      </c>
      <c r="D42" t="s">
        <v>85</v>
      </c>
      <c r="F42" t="s">
        <v>92</v>
      </c>
      <c r="G42" t="s">
        <v>87</v>
      </c>
      <c r="I42" s="131">
        <v>43412</v>
      </c>
      <c r="J42" s="6">
        <v>4260919016.5500002</v>
      </c>
      <c r="L42">
        <v>4260905886.5100002</v>
      </c>
      <c r="M42">
        <v>3.8337999999999997E-2</v>
      </c>
      <c r="N42">
        <v>4263000000</v>
      </c>
      <c r="O42">
        <v>1.281339</v>
      </c>
      <c r="P42">
        <v>5.9077006100000003E-2</v>
      </c>
      <c r="Q42" t="s">
        <v>42</v>
      </c>
      <c r="R42" t="s">
        <v>23</v>
      </c>
      <c r="S42" s="131">
        <v>43321</v>
      </c>
      <c r="T42" s="6">
        <f>DataTable[HLD_MaturityDate] - DataTable[SEC_Issue_Date]</f>
        <v>91</v>
      </c>
      <c r="U42" s="131" t="str">
        <f>DataTable[HLD_Portfolio]&amp;DataTable[HLD_Date]</f>
        <v>SCBSFF43397</v>
      </c>
      <c r="V42" t="str">
        <f>DataTable[[#This Row],[RefRng]]&amp;DataTable[[#This Row],[HLD_SecCode]]</f>
        <v>SCBSFF43397CB18N08B</v>
      </c>
    </row>
    <row r="43" spans="1:22" x14ac:dyDescent="0.2">
      <c r="A43" s="131">
        <v>43397</v>
      </c>
      <c r="B43" t="s">
        <v>17</v>
      </c>
      <c r="C43" t="s">
        <v>18</v>
      </c>
      <c r="D43" t="s">
        <v>85</v>
      </c>
      <c r="F43" t="s">
        <v>93</v>
      </c>
      <c r="G43" t="s">
        <v>87</v>
      </c>
      <c r="I43" s="131">
        <v>43419</v>
      </c>
      <c r="J43" s="6">
        <v>166885658.44</v>
      </c>
      <c r="L43">
        <v>166885658.44</v>
      </c>
      <c r="M43">
        <v>5.7493000000000002E-2</v>
      </c>
      <c r="N43">
        <v>167000000</v>
      </c>
      <c r="O43">
        <v>1.1908529999999999</v>
      </c>
      <c r="P43">
        <v>2.3138447E-3</v>
      </c>
      <c r="Q43" t="s">
        <v>42</v>
      </c>
      <c r="R43" t="s">
        <v>23</v>
      </c>
      <c r="S43" s="131">
        <v>43237</v>
      </c>
      <c r="T43" s="6">
        <f>DataTable[HLD_MaturityDate] - DataTable[SEC_Issue_Date]</f>
        <v>182</v>
      </c>
      <c r="U43" s="131" t="str">
        <f>DataTable[HLD_Portfolio]&amp;DataTable[HLD_Date]</f>
        <v>SCBSFF43397</v>
      </c>
      <c r="V43" t="str">
        <f>DataTable[[#This Row],[RefRng]]&amp;DataTable[[#This Row],[HLD_SecCode]]</f>
        <v>SCBSFF43397CB18N15A</v>
      </c>
    </row>
    <row r="44" spans="1:22" x14ac:dyDescent="0.2">
      <c r="A44" s="131">
        <v>43397</v>
      </c>
      <c r="B44" t="s">
        <v>17</v>
      </c>
      <c r="C44" t="s">
        <v>18</v>
      </c>
      <c r="D44" t="s">
        <v>85</v>
      </c>
      <c r="F44" t="s">
        <v>94</v>
      </c>
      <c r="G44" t="s">
        <v>87</v>
      </c>
      <c r="I44" s="131">
        <v>43419</v>
      </c>
      <c r="J44" s="6">
        <v>2008541021.4000001</v>
      </c>
      <c r="L44">
        <v>2008539735</v>
      </c>
      <c r="M44">
        <v>5.7493000000000002E-2</v>
      </c>
      <c r="N44">
        <v>2010000000</v>
      </c>
      <c r="O44">
        <v>1.2636369999999999</v>
      </c>
      <c r="P44">
        <v>2.7848121399999998E-2</v>
      </c>
      <c r="Q44" t="s">
        <v>42</v>
      </c>
      <c r="R44" t="s">
        <v>23</v>
      </c>
      <c r="S44" s="131">
        <v>43328</v>
      </c>
      <c r="T44" s="6">
        <f>DataTable[HLD_MaturityDate] - DataTable[SEC_Issue_Date]</f>
        <v>91</v>
      </c>
      <c r="U44" s="131" t="str">
        <f>DataTable[HLD_Portfolio]&amp;DataTable[HLD_Date]</f>
        <v>SCBSFF43397</v>
      </c>
      <c r="V44" t="str">
        <f>DataTable[[#This Row],[RefRng]]&amp;DataTable[[#This Row],[HLD_SecCode]]</f>
        <v>SCBSFF43397CB18N15B</v>
      </c>
    </row>
    <row r="45" spans="1:22" x14ac:dyDescent="0.2">
      <c r="A45" s="131">
        <v>43397</v>
      </c>
      <c r="B45" t="s">
        <v>17</v>
      </c>
      <c r="C45" t="s">
        <v>18</v>
      </c>
      <c r="D45" t="s">
        <v>85</v>
      </c>
      <c r="F45" t="s">
        <v>95</v>
      </c>
      <c r="G45" t="s">
        <v>87</v>
      </c>
      <c r="I45" s="131">
        <v>43426</v>
      </c>
      <c r="J45" s="6">
        <v>1049016129</v>
      </c>
      <c r="L45">
        <v>1049016129</v>
      </c>
      <c r="M45">
        <v>7.6638999999999999E-2</v>
      </c>
      <c r="N45">
        <v>1050000000</v>
      </c>
      <c r="O45">
        <v>1.2226189999999999</v>
      </c>
      <c r="P45">
        <v>1.4544451999999999E-2</v>
      </c>
      <c r="Q45" t="s">
        <v>42</v>
      </c>
      <c r="R45" t="s">
        <v>23</v>
      </c>
      <c r="S45" s="131">
        <v>43244</v>
      </c>
      <c r="T45" s="6">
        <f>DataTable[HLD_MaturityDate] - DataTable[SEC_Issue_Date]</f>
        <v>182</v>
      </c>
      <c r="U45" s="131" t="str">
        <f>DataTable[HLD_Portfolio]&amp;DataTable[HLD_Date]</f>
        <v>SCBSFF43397</v>
      </c>
      <c r="V45" t="str">
        <f>DataTable[[#This Row],[RefRng]]&amp;DataTable[[#This Row],[HLD_SecCode]]</f>
        <v>SCBSFF43397CB18N22A</v>
      </c>
    </row>
    <row r="46" spans="1:22" x14ac:dyDescent="0.2">
      <c r="A46" s="131">
        <v>43397</v>
      </c>
      <c r="B46" t="s">
        <v>17</v>
      </c>
      <c r="C46" t="s">
        <v>18</v>
      </c>
      <c r="D46" t="s">
        <v>85</v>
      </c>
      <c r="F46" t="s">
        <v>96</v>
      </c>
      <c r="G46" t="s">
        <v>87</v>
      </c>
      <c r="I46" s="131">
        <v>43426</v>
      </c>
      <c r="J46" s="6">
        <v>3996152760</v>
      </c>
      <c r="L46">
        <v>3996068880</v>
      </c>
      <c r="M46">
        <v>7.664E-2</v>
      </c>
      <c r="N46">
        <v>4000000000</v>
      </c>
      <c r="O46">
        <v>1.282381</v>
      </c>
      <c r="P46">
        <v>5.5406061399999998E-2</v>
      </c>
      <c r="Q46" t="s">
        <v>42</v>
      </c>
      <c r="R46" t="s">
        <v>23</v>
      </c>
      <c r="S46" s="131">
        <v>43335</v>
      </c>
      <c r="T46" s="6">
        <f>DataTable[HLD_MaturityDate] - DataTable[SEC_Issue_Date]</f>
        <v>91</v>
      </c>
      <c r="U46" s="131" t="str">
        <f>DataTable[HLD_Portfolio]&amp;DataTable[HLD_Date]</f>
        <v>SCBSFF43397</v>
      </c>
      <c r="V46" t="str">
        <f>DataTable[[#This Row],[RefRng]]&amp;DataTable[[#This Row],[HLD_SecCode]]</f>
        <v>SCBSFF43397CB18N22B</v>
      </c>
    </row>
    <row r="47" spans="1:22" x14ac:dyDescent="0.2">
      <c r="A47" s="131">
        <v>43397</v>
      </c>
      <c r="B47" t="s">
        <v>17</v>
      </c>
      <c r="C47" t="s">
        <v>18</v>
      </c>
      <c r="D47" t="s">
        <v>85</v>
      </c>
      <c r="F47" t="s">
        <v>97</v>
      </c>
      <c r="G47" t="s">
        <v>87</v>
      </c>
      <c r="I47" s="131">
        <v>43433</v>
      </c>
      <c r="J47" s="6">
        <v>1518335235.2</v>
      </c>
      <c r="L47">
        <v>1518335235.2</v>
      </c>
      <c r="M47">
        <v>9.5772999999999997E-2</v>
      </c>
      <c r="N47">
        <v>1520000000</v>
      </c>
      <c r="O47">
        <v>1.1434280000000001</v>
      </c>
      <c r="P47">
        <v>2.10514914E-2</v>
      </c>
      <c r="Q47" t="s">
        <v>42</v>
      </c>
      <c r="R47" t="s">
        <v>23</v>
      </c>
      <c r="S47" s="131">
        <v>43251</v>
      </c>
      <c r="T47" s="6">
        <f>DataTable[HLD_MaturityDate] - DataTable[SEC_Issue_Date]</f>
        <v>182</v>
      </c>
      <c r="U47" s="131" t="str">
        <f>DataTable[HLD_Portfolio]&amp;DataTable[HLD_Date]</f>
        <v>SCBSFF43397</v>
      </c>
      <c r="V47" t="str">
        <f>DataTable[[#This Row],[RefRng]]&amp;DataTable[[#This Row],[HLD_SecCode]]</f>
        <v>SCBSFF43397CB18N29A</v>
      </c>
    </row>
    <row r="48" spans="1:22" x14ac:dyDescent="0.2">
      <c r="A48" s="131">
        <v>43397</v>
      </c>
      <c r="B48" t="s">
        <v>17</v>
      </c>
      <c r="C48" t="s">
        <v>18</v>
      </c>
      <c r="D48" t="s">
        <v>85</v>
      </c>
      <c r="F48" t="s">
        <v>98</v>
      </c>
      <c r="G48" t="s">
        <v>87</v>
      </c>
      <c r="I48" s="131">
        <v>43433</v>
      </c>
      <c r="J48" s="6">
        <v>3126432426</v>
      </c>
      <c r="L48">
        <v>3126280026.3000002</v>
      </c>
      <c r="M48">
        <v>9.5771999999999996E-2</v>
      </c>
      <c r="N48">
        <v>3130000000</v>
      </c>
      <c r="O48">
        <v>1.240904</v>
      </c>
      <c r="P48">
        <v>4.3347518799999998E-2</v>
      </c>
      <c r="Q48" t="s">
        <v>42</v>
      </c>
      <c r="R48" t="s">
        <v>23</v>
      </c>
      <c r="S48" s="131">
        <v>43342</v>
      </c>
      <c r="T48" s="6">
        <f>DataTable[HLD_MaturityDate] - DataTable[SEC_Issue_Date]</f>
        <v>91</v>
      </c>
      <c r="U48" s="131" t="str">
        <f>DataTable[HLD_Portfolio]&amp;DataTable[HLD_Date]</f>
        <v>SCBSFF43397</v>
      </c>
      <c r="V48" t="str">
        <f>DataTable[[#This Row],[RefRng]]&amp;DataTable[[#This Row],[HLD_SecCode]]</f>
        <v>SCBSFF43397CB18N29B</v>
      </c>
    </row>
    <row r="49" spans="1:22" x14ac:dyDescent="0.2">
      <c r="A49" s="131">
        <v>43397</v>
      </c>
      <c r="B49" t="s">
        <v>17</v>
      </c>
      <c r="C49" t="s">
        <v>18</v>
      </c>
      <c r="D49" t="s">
        <v>85</v>
      </c>
      <c r="F49" t="s">
        <v>99</v>
      </c>
      <c r="G49" t="s">
        <v>87</v>
      </c>
      <c r="I49" s="131">
        <v>43398</v>
      </c>
      <c r="J49" s="6">
        <v>758000000</v>
      </c>
      <c r="L49">
        <v>758000000</v>
      </c>
      <c r="M49">
        <v>2.7399999999999998E-3</v>
      </c>
      <c r="N49">
        <v>758000000</v>
      </c>
      <c r="O49">
        <v>1.1714910000000001</v>
      </c>
      <c r="P49">
        <v>1.05095568E-2</v>
      </c>
      <c r="Q49" t="s">
        <v>42</v>
      </c>
      <c r="R49" t="s">
        <v>23</v>
      </c>
      <c r="S49" s="131">
        <v>43216</v>
      </c>
      <c r="T49" s="6">
        <f>DataTable[HLD_MaturityDate] - DataTable[SEC_Issue_Date]</f>
        <v>182</v>
      </c>
      <c r="U49" s="131" t="str">
        <f>DataTable[HLD_Portfolio]&amp;DataTable[HLD_Date]</f>
        <v>SCBSFF43397</v>
      </c>
      <c r="V49" t="str">
        <f>DataTable[[#This Row],[RefRng]]&amp;DataTable[[#This Row],[HLD_SecCode]]</f>
        <v>SCBSFF43397CB18O25A</v>
      </c>
    </row>
    <row r="50" spans="1:22" x14ac:dyDescent="0.2">
      <c r="A50" s="131">
        <v>43397</v>
      </c>
      <c r="B50" t="s">
        <v>17</v>
      </c>
      <c r="C50" t="s">
        <v>18</v>
      </c>
      <c r="D50" t="s">
        <v>85</v>
      </c>
      <c r="F50" t="s">
        <v>100</v>
      </c>
      <c r="G50" t="s">
        <v>87</v>
      </c>
      <c r="I50" s="131">
        <v>43398</v>
      </c>
      <c r="J50" s="6">
        <v>3691000000</v>
      </c>
      <c r="L50">
        <v>3691000000</v>
      </c>
      <c r="M50">
        <v>2.7399999999999998E-3</v>
      </c>
      <c r="N50">
        <v>3691000000</v>
      </c>
      <c r="O50">
        <v>1.276985</v>
      </c>
      <c r="P50">
        <v>5.1175164000000002E-2</v>
      </c>
      <c r="Q50" t="s">
        <v>42</v>
      </c>
      <c r="R50" t="s">
        <v>23</v>
      </c>
      <c r="S50" s="131">
        <v>43307</v>
      </c>
      <c r="T50" s="6">
        <f>DataTable[HLD_MaturityDate] - DataTable[SEC_Issue_Date]</f>
        <v>91</v>
      </c>
      <c r="U50" s="131" t="str">
        <f>DataTable[HLD_Portfolio]&amp;DataTable[HLD_Date]</f>
        <v>SCBSFF43397</v>
      </c>
      <c r="V50" t="str">
        <f>DataTable[[#This Row],[RefRng]]&amp;DataTable[[#This Row],[HLD_SecCode]]</f>
        <v>SCBSFF43397CB18O25B</v>
      </c>
    </row>
    <row r="51" spans="1:22" x14ac:dyDescent="0.2">
      <c r="A51" s="131">
        <v>43397</v>
      </c>
      <c r="B51" t="s">
        <v>17</v>
      </c>
      <c r="C51" t="s">
        <v>18</v>
      </c>
      <c r="D51" t="s">
        <v>85</v>
      </c>
      <c r="F51" t="s">
        <v>864</v>
      </c>
      <c r="G51" t="s">
        <v>87</v>
      </c>
      <c r="I51" s="131">
        <v>43403</v>
      </c>
      <c r="J51" s="6">
        <v>399933920</v>
      </c>
      <c r="L51">
        <v>399933920</v>
      </c>
      <c r="M51">
        <v>1.3696E-2</v>
      </c>
      <c r="N51">
        <v>400000000</v>
      </c>
      <c r="O51">
        <v>1.2061550000000001</v>
      </c>
      <c r="P51">
        <v>5.5450241000000004E-3</v>
      </c>
      <c r="Q51" t="s">
        <v>42</v>
      </c>
      <c r="R51" t="s">
        <v>23</v>
      </c>
      <c r="S51" s="131">
        <v>43389</v>
      </c>
      <c r="T51" s="6">
        <f>DataTable[HLD_MaturityDate] - DataTable[SEC_Issue_Date]</f>
        <v>14</v>
      </c>
      <c r="U51" s="131" t="str">
        <f>DataTable[HLD_Portfolio]&amp;DataTable[HLD_Date]</f>
        <v>SCBSFF43397</v>
      </c>
      <c r="V51" t="str">
        <f>DataTable[[#This Row],[RefRng]]&amp;DataTable[[#This Row],[HLD_SecCode]]</f>
        <v>SCBSFF43397CB18O30A</v>
      </c>
    </row>
    <row r="52" spans="1:22" x14ac:dyDescent="0.2">
      <c r="A52" s="131">
        <v>43397</v>
      </c>
      <c r="B52" t="s">
        <v>17</v>
      </c>
      <c r="C52" t="s">
        <v>18</v>
      </c>
      <c r="D52" t="s">
        <v>85</v>
      </c>
      <c r="F52" t="s">
        <v>101</v>
      </c>
      <c r="G52" t="s">
        <v>87</v>
      </c>
      <c r="I52" s="131">
        <v>43468</v>
      </c>
      <c r="J52" s="6">
        <v>2991566250</v>
      </c>
      <c r="L52">
        <v>2991449310</v>
      </c>
      <c r="M52">
        <v>0.19125400000000001</v>
      </c>
      <c r="N52">
        <v>3000000000</v>
      </c>
      <c r="O52">
        <v>1.490442</v>
      </c>
      <c r="P52">
        <v>4.1477619399999999E-2</v>
      </c>
      <c r="Q52" t="s">
        <v>42</v>
      </c>
      <c r="R52" t="s">
        <v>23</v>
      </c>
      <c r="S52" s="131">
        <v>43377</v>
      </c>
      <c r="T52" s="6">
        <f>DataTable[HLD_MaturityDate] - DataTable[SEC_Issue_Date]</f>
        <v>91</v>
      </c>
      <c r="U52" s="131" t="str">
        <f>DataTable[HLD_Portfolio]&amp;DataTable[HLD_Date]</f>
        <v>SCBSFF43397</v>
      </c>
      <c r="V52" t="str">
        <f>DataTable[[#This Row],[RefRng]]&amp;DataTable[[#This Row],[HLD_SecCode]]</f>
        <v>SCBSFF43397CB19103B</v>
      </c>
    </row>
    <row r="53" spans="1:22" x14ac:dyDescent="0.2">
      <c r="A53" s="131">
        <v>43397</v>
      </c>
      <c r="B53" t="s">
        <v>17</v>
      </c>
      <c r="C53" t="s">
        <v>18</v>
      </c>
      <c r="D53" t="s">
        <v>85</v>
      </c>
      <c r="F53" t="s">
        <v>836</v>
      </c>
      <c r="G53" t="s">
        <v>87</v>
      </c>
      <c r="I53" s="131">
        <v>43475</v>
      </c>
      <c r="J53" s="6">
        <v>4036885087.5</v>
      </c>
      <c r="L53">
        <v>4036762777.5</v>
      </c>
      <c r="M53">
        <v>0.21030699999999999</v>
      </c>
      <c r="N53">
        <v>4050000000</v>
      </c>
      <c r="O53">
        <v>1.554413</v>
      </c>
      <c r="P53">
        <v>5.5970809099999998E-2</v>
      </c>
      <c r="Q53" t="s">
        <v>42</v>
      </c>
      <c r="R53" t="s">
        <v>23</v>
      </c>
      <c r="S53" s="131">
        <v>43384</v>
      </c>
      <c r="T53" s="6">
        <f>DataTable[HLD_MaturityDate] - DataTable[SEC_Issue_Date]</f>
        <v>91</v>
      </c>
      <c r="U53" s="131" t="str">
        <f>DataTable[HLD_Portfolio]&amp;DataTable[HLD_Date]</f>
        <v>SCBSFF43397</v>
      </c>
      <c r="V53" t="str">
        <f>DataTable[[#This Row],[RefRng]]&amp;DataTable[[#This Row],[HLD_SecCode]]</f>
        <v>SCBSFF43397CB19110B</v>
      </c>
    </row>
    <row r="54" spans="1:22" x14ac:dyDescent="0.2">
      <c r="A54" s="131">
        <v>43397</v>
      </c>
      <c r="B54" t="s">
        <v>17</v>
      </c>
      <c r="C54" t="s">
        <v>18</v>
      </c>
      <c r="D54" t="s">
        <v>85</v>
      </c>
      <c r="F54" t="s">
        <v>1215</v>
      </c>
      <c r="G54" t="s">
        <v>87</v>
      </c>
      <c r="I54" s="131">
        <v>43482</v>
      </c>
      <c r="J54" s="6">
        <v>2491257425</v>
      </c>
      <c r="L54">
        <v>2491016475</v>
      </c>
      <c r="M54">
        <v>0.22931000000000001</v>
      </c>
      <c r="N54">
        <v>2500000000</v>
      </c>
      <c r="O54">
        <v>1.567053</v>
      </c>
      <c r="P54">
        <v>3.4540912299999997E-2</v>
      </c>
      <c r="Q54" t="s">
        <v>42</v>
      </c>
      <c r="R54" t="s">
        <v>23</v>
      </c>
      <c r="S54" s="131">
        <v>43391</v>
      </c>
      <c r="T54" s="6">
        <f>DataTable[HLD_MaturityDate] - DataTable[SEC_Issue_Date]</f>
        <v>91</v>
      </c>
      <c r="U54" s="131" t="str">
        <f>DataTable[HLD_Portfolio]&amp;DataTable[HLD_Date]</f>
        <v>SCBSFF43397</v>
      </c>
      <c r="V54" t="str">
        <f>DataTable[[#This Row],[RefRng]]&amp;DataTable[[#This Row],[HLD_SecCode]]</f>
        <v>SCBSFF43397CB19117B</v>
      </c>
    </row>
    <row r="55" spans="1:22" x14ac:dyDescent="0.2">
      <c r="A55" s="131">
        <v>43397</v>
      </c>
      <c r="B55" t="s">
        <v>17</v>
      </c>
      <c r="C55" t="s">
        <v>18</v>
      </c>
      <c r="D55" t="s">
        <v>85</v>
      </c>
      <c r="F55" t="s">
        <v>1262</v>
      </c>
      <c r="G55" t="s">
        <v>87</v>
      </c>
      <c r="I55" s="131">
        <v>43489</v>
      </c>
      <c r="J55" s="6">
        <v>3486380906.6799998</v>
      </c>
      <c r="L55">
        <v>3486380906.6799998</v>
      </c>
      <c r="M55">
        <v>0.25205499999999997</v>
      </c>
      <c r="N55">
        <v>3500000000</v>
      </c>
      <c r="O55">
        <v>1.5668390000000001</v>
      </c>
      <c r="P55">
        <v>4.83381508E-2</v>
      </c>
      <c r="Q55" t="s">
        <v>42</v>
      </c>
      <c r="R55" t="s">
        <v>23</v>
      </c>
      <c r="S55" s="131">
        <v>43398</v>
      </c>
      <c r="T55" s="6">
        <f>DataTable[HLD_MaturityDate] - DataTable[SEC_Issue_Date]</f>
        <v>91</v>
      </c>
      <c r="U55" s="131" t="str">
        <f>DataTable[HLD_Portfolio]&amp;DataTable[HLD_Date]</f>
        <v>SCBSFF43397</v>
      </c>
      <c r="V55" t="str">
        <f>DataTable[[#This Row],[RefRng]]&amp;DataTable[[#This Row],[HLD_SecCode]]</f>
        <v>SCBSFF43397CB19124B</v>
      </c>
    </row>
    <row r="56" spans="1:22" x14ac:dyDescent="0.2">
      <c r="A56" s="131">
        <v>43397</v>
      </c>
      <c r="B56" t="s">
        <v>17</v>
      </c>
      <c r="C56" t="s">
        <v>18</v>
      </c>
      <c r="D56" t="s">
        <v>102</v>
      </c>
      <c r="F56" t="s">
        <v>103</v>
      </c>
      <c r="G56" t="s">
        <v>104</v>
      </c>
      <c r="H56" t="s">
        <v>51</v>
      </c>
      <c r="I56" s="131">
        <v>43404</v>
      </c>
      <c r="J56" s="6">
        <v>100032805</v>
      </c>
      <c r="K56">
        <v>2292055</v>
      </c>
      <c r="L56">
        <v>100032805</v>
      </c>
      <c r="M56">
        <v>1.6315E-2</v>
      </c>
      <c r="N56">
        <v>100000000</v>
      </c>
      <c r="O56">
        <v>1.5</v>
      </c>
      <c r="P56">
        <v>1.4187188999999999E-3</v>
      </c>
      <c r="Q56" t="s">
        <v>42</v>
      </c>
      <c r="R56" t="s">
        <v>23</v>
      </c>
      <c r="S56" s="131">
        <v>41578</v>
      </c>
      <c r="T56" s="6">
        <f>DataTable[HLD_MaturityDate] - DataTable[SEC_Issue_Date]</f>
        <v>1826</v>
      </c>
      <c r="U56" s="131" t="str">
        <f>DataTable[HLD_Portfolio]&amp;DataTable[HLD_Date]</f>
        <v>SCBSFF43397</v>
      </c>
      <c r="V56" t="str">
        <f>DataTable[[#This Row],[RefRng]]&amp;DataTable[[#This Row],[HLD_SecCode]]</f>
        <v>SCBSFF43397CPALL18OB</v>
      </c>
    </row>
    <row r="57" spans="1:22" x14ac:dyDescent="0.2">
      <c r="A57" s="131">
        <v>43397</v>
      </c>
      <c r="B57" t="s">
        <v>17</v>
      </c>
      <c r="C57" t="s">
        <v>106</v>
      </c>
      <c r="D57" t="s">
        <v>107</v>
      </c>
      <c r="F57" t="s">
        <v>108</v>
      </c>
      <c r="G57" t="s">
        <v>26</v>
      </c>
      <c r="H57" t="s">
        <v>27</v>
      </c>
      <c r="I57" s="131">
        <v>43559</v>
      </c>
      <c r="J57" s="6">
        <v>79170680.420000002</v>
      </c>
      <c r="L57">
        <v>0</v>
      </c>
      <c r="M57">
        <v>0</v>
      </c>
      <c r="N57">
        <v>0</v>
      </c>
      <c r="O57">
        <v>0</v>
      </c>
      <c r="P57">
        <v>1.0976897E-3</v>
      </c>
      <c r="Q57" t="s">
        <v>109</v>
      </c>
      <c r="R57" t="s">
        <v>23</v>
      </c>
      <c r="S57" s="131">
        <v>2</v>
      </c>
      <c r="T57" s="6">
        <f>DataTable[HLD_MaturityDate] - DataTable[SEC_Issue_Date]</f>
        <v>43557</v>
      </c>
      <c r="U57" s="131" t="str">
        <f>DataTable[HLD_Portfolio]&amp;DataTable[HLD_Date]</f>
        <v>SCBSFF43397</v>
      </c>
      <c r="V57" t="str">
        <f>DataTable[[#This Row],[RefRng]]&amp;DataTable[[#This Row],[HLD_SecCode]]</f>
        <v>SCBSFF43397FWCNHTHB19404A</v>
      </c>
    </row>
    <row r="58" spans="1:22" x14ac:dyDescent="0.2">
      <c r="A58" s="131">
        <v>43397</v>
      </c>
      <c r="B58" t="s">
        <v>17</v>
      </c>
      <c r="C58" t="s">
        <v>106</v>
      </c>
      <c r="D58" t="s">
        <v>107</v>
      </c>
      <c r="F58" t="s">
        <v>110</v>
      </c>
      <c r="G58" t="s">
        <v>26</v>
      </c>
      <c r="H58" t="s">
        <v>27</v>
      </c>
      <c r="I58" s="131">
        <v>43566</v>
      </c>
      <c r="J58" s="6">
        <v>63917129.609999999</v>
      </c>
      <c r="L58">
        <v>0</v>
      </c>
      <c r="M58">
        <v>0</v>
      </c>
      <c r="N58">
        <v>0</v>
      </c>
      <c r="O58">
        <v>0</v>
      </c>
      <c r="P58">
        <v>8.8620150000000004E-4</v>
      </c>
      <c r="Q58" t="s">
        <v>109</v>
      </c>
      <c r="R58" t="s">
        <v>23</v>
      </c>
      <c r="S58" s="131">
        <v>2</v>
      </c>
      <c r="T58" s="6">
        <f>DataTable[HLD_MaturityDate] - DataTable[SEC_Issue_Date]</f>
        <v>43564</v>
      </c>
      <c r="U58" s="131" t="str">
        <f>DataTable[HLD_Portfolio]&amp;DataTable[HLD_Date]</f>
        <v>SCBSFF43397</v>
      </c>
      <c r="V58" t="str">
        <f>DataTable[[#This Row],[RefRng]]&amp;DataTable[[#This Row],[HLD_SecCode]]</f>
        <v>SCBSFF43397FWCNHTHB19411A</v>
      </c>
    </row>
    <row r="59" spans="1:22" x14ac:dyDescent="0.2">
      <c r="A59" s="131">
        <v>43397</v>
      </c>
      <c r="B59" t="s">
        <v>17</v>
      </c>
      <c r="C59" t="s">
        <v>106</v>
      </c>
      <c r="D59" t="s">
        <v>107</v>
      </c>
      <c r="F59" t="s">
        <v>111</v>
      </c>
      <c r="G59" t="s">
        <v>26</v>
      </c>
      <c r="H59" t="s">
        <v>27</v>
      </c>
      <c r="I59" s="131">
        <v>43409</v>
      </c>
      <c r="J59" s="6">
        <v>18885407.559999999</v>
      </c>
      <c r="L59">
        <v>0</v>
      </c>
      <c r="M59">
        <v>0</v>
      </c>
      <c r="N59">
        <v>0</v>
      </c>
      <c r="O59">
        <v>0</v>
      </c>
      <c r="P59">
        <v>2.6184340000000002E-4</v>
      </c>
      <c r="Q59" t="s">
        <v>109</v>
      </c>
      <c r="R59" t="s">
        <v>23</v>
      </c>
      <c r="S59" s="131">
        <v>2</v>
      </c>
      <c r="T59" s="6">
        <f>DataTable[HLD_MaturityDate] - DataTable[SEC_Issue_Date]</f>
        <v>43407</v>
      </c>
      <c r="U59" s="131" t="str">
        <f>DataTable[HLD_Portfolio]&amp;DataTable[HLD_Date]</f>
        <v>SCBSFF43397</v>
      </c>
      <c r="V59" t="str">
        <f>DataTable[[#This Row],[RefRng]]&amp;DataTable[[#This Row],[HLD_SecCode]]</f>
        <v>SCBSFF43397FWEURTHB18N05B</v>
      </c>
    </row>
    <row r="60" spans="1:22" x14ac:dyDescent="0.2">
      <c r="A60" s="131">
        <v>43397</v>
      </c>
      <c r="B60" t="s">
        <v>17</v>
      </c>
      <c r="C60" t="s">
        <v>106</v>
      </c>
      <c r="D60" t="s">
        <v>107</v>
      </c>
      <c r="F60" t="s">
        <v>1264</v>
      </c>
      <c r="G60" t="s">
        <v>115</v>
      </c>
      <c r="H60" t="s">
        <v>116</v>
      </c>
      <c r="I60" s="131">
        <v>43487</v>
      </c>
      <c r="J60" s="6">
        <v>-1039222.18</v>
      </c>
      <c r="L60">
        <v>0</v>
      </c>
      <c r="M60">
        <v>0</v>
      </c>
      <c r="N60">
        <v>0</v>
      </c>
      <c r="O60">
        <v>0</v>
      </c>
      <c r="P60">
        <v>-1.44087E-5</v>
      </c>
      <c r="Q60" t="s">
        <v>109</v>
      </c>
      <c r="R60" t="s">
        <v>23</v>
      </c>
      <c r="S60" s="131">
        <v>2</v>
      </c>
      <c r="T60" s="6">
        <f>DataTable[HLD_MaturityDate] - DataTable[SEC_Issue_Date]</f>
        <v>43485</v>
      </c>
      <c r="U60" s="131" t="str">
        <f>DataTable[HLD_Portfolio]&amp;DataTable[HLD_Date]</f>
        <v>SCBSFF43397</v>
      </c>
      <c r="V60" t="str">
        <f>DataTable[[#This Row],[RefRng]]&amp;DataTable[[#This Row],[HLD_SecCode]]</f>
        <v>SCBSFF43397FWEURTHB19122B</v>
      </c>
    </row>
    <row r="61" spans="1:22" x14ac:dyDescent="0.2">
      <c r="A61" s="131">
        <v>43397</v>
      </c>
      <c r="B61" t="s">
        <v>17</v>
      </c>
      <c r="C61" t="s">
        <v>106</v>
      </c>
      <c r="D61" t="s">
        <v>107</v>
      </c>
      <c r="F61" t="s">
        <v>112</v>
      </c>
      <c r="G61" t="s">
        <v>26</v>
      </c>
      <c r="H61" t="s">
        <v>27</v>
      </c>
      <c r="I61" s="131">
        <v>43543</v>
      </c>
      <c r="J61" s="6">
        <v>5305742.7699999996</v>
      </c>
      <c r="L61">
        <v>0</v>
      </c>
      <c r="M61">
        <v>0</v>
      </c>
      <c r="N61">
        <v>0</v>
      </c>
      <c r="O61">
        <v>0</v>
      </c>
      <c r="P61">
        <v>7.3563299999999994E-5</v>
      </c>
      <c r="Q61" t="s">
        <v>109</v>
      </c>
      <c r="R61" t="s">
        <v>23</v>
      </c>
      <c r="S61" s="131">
        <v>2</v>
      </c>
      <c r="T61" s="6">
        <f>DataTable[HLD_MaturityDate] - DataTable[SEC_Issue_Date]</f>
        <v>43541</v>
      </c>
      <c r="U61" s="131" t="str">
        <f>DataTable[HLD_Portfolio]&amp;DataTable[HLD_Date]</f>
        <v>SCBSFF43397</v>
      </c>
      <c r="V61" t="str">
        <f>DataTable[[#This Row],[RefRng]]&amp;DataTable[[#This Row],[HLD_SecCode]]</f>
        <v>SCBSFF43397FWEURTHB19319B</v>
      </c>
    </row>
    <row r="62" spans="1:22" x14ac:dyDescent="0.2">
      <c r="A62" s="131">
        <v>43397</v>
      </c>
      <c r="B62" t="s">
        <v>17</v>
      </c>
      <c r="C62" t="s">
        <v>106</v>
      </c>
      <c r="D62" t="s">
        <v>107</v>
      </c>
      <c r="F62" t="s">
        <v>113</v>
      </c>
      <c r="G62" t="s">
        <v>26</v>
      </c>
      <c r="H62" t="s">
        <v>27</v>
      </c>
      <c r="I62" s="131">
        <v>43580</v>
      </c>
      <c r="J62" s="6">
        <v>86764760.760000005</v>
      </c>
      <c r="L62">
        <v>0</v>
      </c>
      <c r="M62">
        <v>0</v>
      </c>
      <c r="N62">
        <v>0</v>
      </c>
      <c r="O62">
        <v>0</v>
      </c>
      <c r="P62">
        <v>1.2029804999999999E-3</v>
      </c>
      <c r="Q62" t="s">
        <v>109</v>
      </c>
      <c r="R62" t="s">
        <v>23</v>
      </c>
      <c r="S62" s="131">
        <v>2</v>
      </c>
      <c r="T62" s="6">
        <f>DataTable[HLD_MaturityDate] - DataTable[SEC_Issue_Date]</f>
        <v>43578</v>
      </c>
      <c r="U62" s="131" t="str">
        <f>DataTable[HLD_Portfolio]&amp;DataTable[HLD_Date]</f>
        <v>SCBSFF43397</v>
      </c>
      <c r="V62" t="str">
        <f>DataTable[[#This Row],[RefRng]]&amp;DataTable[[#This Row],[HLD_SecCode]]</f>
        <v>SCBSFF43397FWEURTHB19425A</v>
      </c>
    </row>
    <row r="63" spans="1:22" x14ac:dyDescent="0.2">
      <c r="A63" s="131">
        <v>43397</v>
      </c>
      <c r="B63" t="s">
        <v>17</v>
      </c>
      <c r="C63" t="s">
        <v>106</v>
      </c>
      <c r="D63" t="s">
        <v>107</v>
      </c>
      <c r="F63" t="s">
        <v>114</v>
      </c>
      <c r="G63" t="s">
        <v>115</v>
      </c>
      <c r="H63" t="s">
        <v>116</v>
      </c>
      <c r="I63" s="131">
        <v>43595</v>
      </c>
      <c r="J63" s="6">
        <v>37623598.600000001</v>
      </c>
      <c r="L63">
        <v>0</v>
      </c>
      <c r="M63">
        <v>0</v>
      </c>
      <c r="N63">
        <v>0</v>
      </c>
      <c r="O63">
        <v>0</v>
      </c>
      <c r="P63">
        <v>5.2164560000000004E-4</v>
      </c>
      <c r="Q63" t="s">
        <v>109</v>
      </c>
      <c r="R63" t="s">
        <v>23</v>
      </c>
      <c r="S63" s="131">
        <v>2</v>
      </c>
      <c r="T63" s="6">
        <f>DataTable[HLD_MaturityDate] - DataTable[SEC_Issue_Date]</f>
        <v>43593</v>
      </c>
      <c r="U63" s="131" t="str">
        <f>DataTable[HLD_Portfolio]&amp;DataTable[HLD_Date]</f>
        <v>SCBSFF43397</v>
      </c>
      <c r="V63" t="str">
        <f>DataTable[[#This Row],[RefRng]]&amp;DataTable[[#This Row],[HLD_SecCode]]</f>
        <v>SCBSFF43397FWEURTHB19510A</v>
      </c>
    </row>
    <row r="64" spans="1:22" x14ac:dyDescent="0.2">
      <c r="A64" s="131">
        <v>43397</v>
      </c>
      <c r="B64" t="s">
        <v>17</v>
      </c>
      <c r="C64" t="s">
        <v>106</v>
      </c>
      <c r="D64" t="s">
        <v>107</v>
      </c>
      <c r="F64" t="s">
        <v>117</v>
      </c>
      <c r="G64" t="s">
        <v>115</v>
      </c>
      <c r="H64" t="s">
        <v>116</v>
      </c>
      <c r="I64" s="131">
        <v>43410</v>
      </c>
      <c r="J64" s="6">
        <v>3048825.5</v>
      </c>
      <c r="L64">
        <v>0</v>
      </c>
      <c r="M64">
        <v>0</v>
      </c>
      <c r="N64">
        <v>0</v>
      </c>
      <c r="O64">
        <v>0</v>
      </c>
      <c r="P64">
        <v>4.2271499999999997E-5</v>
      </c>
      <c r="Q64" t="s">
        <v>109</v>
      </c>
      <c r="R64" t="s">
        <v>23</v>
      </c>
      <c r="S64" s="131">
        <v>2</v>
      </c>
      <c r="T64" s="6">
        <f>DataTable[HLD_MaturityDate] - DataTable[SEC_Issue_Date]</f>
        <v>43408</v>
      </c>
      <c r="U64" s="131" t="str">
        <f>DataTable[HLD_Portfolio]&amp;DataTable[HLD_Date]</f>
        <v>SCBSFF43397</v>
      </c>
      <c r="V64" t="str">
        <f>DataTable[[#This Row],[RefRng]]&amp;DataTable[[#This Row],[HLD_SecCode]]</f>
        <v>SCBSFF43397FWUSDTHB18N06C</v>
      </c>
    </row>
    <row r="65" spans="1:22" x14ac:dyDescent="0.2">
      <c r="A65" s="131">
        <v>43397</v>
      </c>
      <c r="B65" t="s">
        <v>17</v>
      </c>
      <c r="C65" t="s">
        <v>106</v>
      </c>
      <c r="D65" t="s">
        <v>107</v>
      </c>
      <c r="F65" t="s">
        <v>118</v>
      </c>
      <c r="G65" t="s">
        <v>26</v>
      </c>
      <c r="H65" t="s">
        <v>27</v>
      </c>
      <c r="I65" s="131">
        <v>43580</v>
      </c>
      <c r="J65" s="6">
        <v>-47821091.549999997</v>
      </c>
      <c r="L65">
        <v>0</v>
      </c>
      <c r="M65">
        <v>0</v>
      </c>
      <c r="N65">
        <v>0</v>
      </c>
      <c r="O65">
        <v>0</v>
      </c>
      <c r="P65">
        <v>-6.6303230000000002E-4</v>
      </c>
      <c r="Q65" t="s">
        <v>109</v>
      </c>
      <c r="R65" t="s">
        <v>23</v>
      </c>
      <c r="S65" s="131">
        <v>2</v>
      </c>
      <c r="T65" s="6">
        <f>DataTable[HLD_MaturityDate] - DataTable[SEC_Issue_Date]</f>
        <v>43578</v>
      </c>
      <c r="U65" s="131" t="str">
        <f>DataTable[HLD_Portfolio]&amp;DataTable[HLD_Date]</f>
        <v>SCBSFF43397</v>
      </c>
      <c r="V65" t="str">
        <f>DataTable[[#This Row],[RefRng]]&amp;DataTable[[#This Row],[HLD_SecCode]]</f>
        <v>SCBSFF43397FWUSDTHB19425A</v>
      </c>
    </row>
    <row r="66" spans="1:22" x14ac:dyDescent="0.2">
      <c r="A66" s="131">
        <v>43397</v>
      </c>
      <c r="B66" t="s">
        <v>17</v>
      </c>
      <c r="C66" t="s">
        <v>120</v>
      </c>
      <c r="D66" t="s">
        <v>121</v>
      </c>
      <c r="E66" t="s">
        <v>1256</v>
      </c>
      <c r="F66" t="s">
        <v>1262</v>
      </c>
      <c r="I66" s="131"/>
      <c r="J66" s="6">
        <v>-3486380906.6799998</v>
      </c>
      <c r="L66">
        <v>-3486380906.6799998</v>
      </c>
      <c r="O66">
        <v>0</v>
      </c>
      <c r="P66">
        <v>-4.83381508E-2</v>
      </c>
      <c r="Q66" t="s">
        <v>42</v>
      </c>
      <c r="R66" t="s">
        <v>23</v>
      </c>
      <c r="S66" s="131">
        <v>43398</v>
      </c>
      <c r="T66" s="6">
        <f>DataTable[HLD_MaturityDate] - DataTable[SEC_Issue_Date]</f>
        <v>-43398</v>
      </c>
      <c r="U66" s="131" t="str">
        <f>DataTable[HLD_Portfolio]&amp;DataTable[HLD_Date]</f>
        <v>SCBSFF43397</v>
      </c>
      <c r="V66" t="str">
        <f>DataTable[[#This Row],[RefRng]]&amp;DataTable[[#This Row],[HLD_SecCode]]</f>
        <v>SCBSFF43397CB19124B</v>
      </c>
    </row>
    <row r="67" spans="1:22" x14ac:dyDescent="0.2">
      <c r="A67" s="131">
        <v>43397</v>
      </c>
      <c r="B67" t="s">
        <v>17</v>
      </c>
      <c r="C67" t="s">
        <v>120</v>
      </c>
      <c r="D67" t="s">
        <v>122</v>
      </c>
      <c r="E67" t="s">
        <v>122</v>
      </c>
      <c r="F67" t="s">
        <v>122</v>
      </c>
      <c r="I67" s="131"/>
      <c r="J67" s="6">
        <v>-212296.24</v>
      </c>
      <c r="O67">
        <v>0</v>
      </c>
      <c r="P67">
        <v>-2.9434999999999999E-6</v>
      </c>
      <c r="S67" s="131"/>
      <c r="T67" s="6">
        <f>DataTable[HLD_MaturityDate] - DataTable[SEC_Issue_Date]</f>
        <v>0</v>
      </c>
      <c r="U67" s="131" t="str">
        <f>DataTable[HLD_Portfolio]&amp;DataTable[HLD_Date]</f>
        <v>SCBSFF43397</v>
      </c>
      <c r="V67" t="str">
        <f>DataTable[[#This Row],[RefRng]]&amp;DataTable[[#This Row],[HLD_SecCode]]</f>
        <v>SCBSFF43397AUDITING FEE</v>
      </c>
    </row>
    <row r="68" spans="1:22" x14ac:dyDescent="0.2">
      <c r="A68" s="131">
        <v>43397</v>
      </c>
      <c r="B68" t="s">
        <v>17</v>
      </c>
      <c r="C68" t="s">
        <v>120</v>
      </c>
      <c r="D68" t="s">
        <v>122</v>
      </c>
      <c r="E68" t="s">
        <v>122</v>
      </c>
      <c r="F68" t="s">
        <v>122</v>
      </c>
      <c r="I68" s="131"/>
      <c r="J68" s="6">
        <v>-1526.6</v>
      </c>
      <c r="O68">
        <v>0</v>
      </c>
      <c r="P68">
        <v>-2.1200000000000001E-8</v>
      </c>
      <c r="S68" s="131"/>
      <c r="T68" s="6">
        <f>DataTable[HLD_MaturityDate] - DataTable[SEC_Issue_Date]</f>
        <v>0</v>
      </c>
      <c r="U68" s="131" t="str">
        <f>DataTable[HLD_Portfolio]&amp;DataTable[HLD_Date]</f>
        <v>SCBSFF43397</v>
      </c>
      <c r="V68" t="str">
        <f>DataTable[[#This Row],[RefRng]]&amp;DataTable[[#This Row],[HLD_SecCode]]</f>
        <v>SCBSFF43397AUDITING FEE</v>
      </c>
    </row>
    <row r="69" spans="1:22" x14ac:dyDescent="0.2">
      <c r="A69" s="131">
        <v>43397</v>
      </c>
      <c r="B69" t="s">
        <v>17</v>
      </c>
      <c r="C69" t="s">
        <v>120</v>
      </c>
      <c r="D69" t="s">
        <v>123</v>
      </c>
      <c r="I69" s="131"/>
      <c r="J69" s="6">
        <v>-1538751.35</v>
      </c>
      <c r="K69">
        <v>0</v>
      </c>
      <c r="O69">
        <v>0</v>
      </c>
      <c r="P69">
        <v>-2.1334600000000001E-5</v>
      </c>
      <c r="S69" s="131"/>
      <c r="T69" s="6">
        <f>DataTable[HLD_MaturityDate] - DataTable[SEC_Issue_Date]</f>
        <v>0</v>
      </c>
      <c r="U69" s="131" t="str">
        <f>DataTable[HLD_Portfolio]&amp;DataTable[HLD_Date]</f>
        <v>SCBSFF43397</v>
      </c>
      <c r="V69" t="str">
        <f>DataTable[[#This Row],[RefRng]]&amp;DataTable[[#This Row],[HLD_SecCode]]</f>
        <v>SCBSFF43397</v>
      </c>
    </row>
    <row r="70" spans="1:22" x14ac:dyDescent="0.2">
      <c r="A70" s="131">
        <v>43397</v>
      </c>
      <c r="B70" t="s">
        <v>17</v>
      </c>
      <c r="C70" t="s">
        <v>120</v>
      </c>
      <c r="D70" t="s">
        <v>127</v>
      </c>
      <c r="E70" t="s">
        <v>127</v>
      </c>
      <c r="I70" s="131"/>
      <c r="J70" s="6">
        <v>0</v>
      </c>
      <c r="L70">
        <v>0</v>
      </c>
      <c r="O70">
        <v>0</v>
      </c>
      <c r="P70">
        <v>0</v>
      </c>
      <c r="S70" s="131"/>
      <c r="T70" s="6">
        <f>DataTable[HLD_MaturityDate] - DataTable[SEC_Issue_Date]</f>
        <v>0</v>
      </c>
      <c r="U70" s="131" t="str">
        <f>DataTable[HLD_Portfolio]&amp;DataTable[HLD_Date]</f>
        <v>SCBSFF43397</v>
      </c>
      <c r="V70" t="str">
        <f>DataTable[[#This Row],[RefRng]]&amp;DataTable[[#This Row],[HLD_SecCode]]</f>
        <v>SCBSFF43397</v>
      </c>
    </row>
    <row r="71" spans="1:22" x14ac:dyDescent="0.2">
      <c r="A71" s="131">
        <v>43397</v>
      </c>
      <c r="B71" t="s">
        <v>17</v>
      </c>
      <c r="C71" t="s">
        <v>120</v>
      </c>
      <c r="D71" t="s">
        <v>124</v>
      </c>
      <c r="E71" t="s">
        <v>124</v>
      </c>
      <c r="F71" t="s">
        <v>124</v>
      </c>
      <c r="I71" s="131"/>
      <c r="J71" s="6">
        <v>-4182.17</v>
      </c>
      <c r="O71">
        <v>0</v>
      </c>
      <c r="P71">
        <v>-5.8000000000000003E-8</v>
      </c>
      <c r="S71" s="131"/>
      <c r="T71" s="6">
        <f>DataTable[HLD_MaturityDate] - DataTable[SEC_Issue_Date]</f>
        <v>0</v>
      </c>
      <c r="U71" s="131" t="str">
        <f>DataTable[HLD_Portfolio]&amp;DataTable[HLD_Date]</f>
        <v>SCBSFF43397</v>
      </c>
      <c r="V71" t="str">
        <f>DataTable[[#This Row],[RefRng]]&amp;DataTable[[#This Row],[HLD_SecCode]]</f>
        <v>SCBSFF43397A NEWSPAPER_NAV</v>
      </c>
    </row>
    <row r="72" spans="1:22" x14ac:dyDescent="0.2">
      <c r="A72" s="131">
        <v>43397</v>
      </c>
      <c r="B72" t="s">
        <v>17</v>
      </c>
      <c r="C72" t="s">
        <v>120</v>
      </c>
      <c r="D72" t="s">
        <v>124</v>
      </c>
      <c r="E72" t="s">
        <v>124</v>
      </c>
      <c r="F72" t="s">
        <v>124</v>
      </c>
      <c r="I72" s="131"/>
      <c r="J72" s="6">
        <v>-3399.6</v>
      </c>
      <c r="O72">
        <v>0</v>
      </c>
      <c r="P72">
        <v>-4.7099999999999998E-8</v>
      </c>
      <c r="S72" s="131"/>
      <c r="T72" s="6">
        <f>DataTable[HLD_MaturityDate] - DataTable[SEC_Issue_Date]</f>
        <v>0</v>
      </c>
      <c r="U72" s="131" t="str">
        <f>DataTable[HLD_Portfolio]&amp;DataTable[HLD_Date]</f>
        <v>SCBSFF43397</v>
      </c>
      <c r="V72" t="str">
        <f>DataTable[[#This Row],[RefRng]]&amp;DataTable[[#This Row],[HLD_SecCode]]</f>
        <v>SCBSFF43397A NEWSPAPER_NAV</v>
      </c>
    </row>
    <row r="73" spans="1:22" x14ac:dyDescent="0.2">
      <c r="A73" s="131">
        <v>43397</v>
      </c>
      <c r="B73" t="s">
        <v>17</v>
      </c>
      <c r="C73" t="s">
        <v>120</v>
      </c>
      <c r="D73" t="s">
        <v>126</v>
      </c>
      <c r="E73" t="s">
        <v>126</v>
      </c>
      <c r="I73" s="131"/>
      <c r="J73" s="6">
        <v>-37520067.020000003</v>
      </c>
      <c r="L73">
        <v>-37520067.020000003</v>
      </c>
      <c r="O73">
        <v>0</v>
      </c>
      <c r="P73">
        <v>-5.2021010000000004E-4</v>
      </c>
      <c r="S73" s="131"/>
      <c r="T73" s="6">
        <f>DataTable[HLD_MaturityDate] - DataTable[SEC_Issue_Date]</f>
        <v>0</v>
      </c>
      <c r="U73" s="131" t="str">
        <f>DataTable[HLD_Portfolio]&amp;DataTable[HLD_Date]</f>
        <v>SCBSFF43397</v>
      </c>
      <c r="V73" t="str">
        <f>DataTable[[#This Row],[RefRng]]&amp;DataTable[[#This Row],[HLD_SecCode]]</f>
        <v>SCBSFF43397</v>
      </c>
    </row>
    <row r="74" spans="1:22" x14ac:dyDescent="0.2">
      <c r="A74" s="131">
        <v>43397</v>
      </c>
      <c r="B74" t="s">
        <v>17</v>
      </c>
      <c r="C74" t="s">
        <v>120</v>
      </c>
      <c r="D74" t="s">
        <v>125</v>
      </c>
      <c r="E74" t="s">
        <v>125</v>
      </c>
      <c r="I74" s="131"/>
      <c r="J74" s="6">
        <v>-481779.83</v>
      </c>
      <c r="L74">
        <v>-481779.83</v>
      </c>
      <c r="O74">
        <v>0</v>
      </c>
      <c r="P74">
        <v>-6.6798E-6</v>
      </c>
      <c r="S74" s="131"/>
      <c r="T74" s="6">
        <f>DataTable[HLD_MaturityDate] - DataTable[SEC_Issue_Date]</f>
        <v>0</v>
      </c>
      <c r="U74" s="131" t="str">
        <f>DataTable[HLD_Portfolio]&amp;DataTable[HLD_Date]</f>
        <v>SCBSFF43397</v>
      </c>
      <c r="V74" t="str">
        <f>DataTable[[#This Row],[RefRng]]&amp;DataTable[[#This Row],[HLD_SecCode]]</f>
        <v>SCBSFF43397</v>
      </c>
    </row>
    <row r="75" spans="1:22" x14ac:dyDescent="0.2">
      <c r="A75" s="131">
        <v>43397</v>
      </c>
      <c r="B75" t="s">
        <v>17</v>
      </c>
      <c r="C75" t="s">
        <v>128</v>
      </c>
      <c r="D75" t="s">
        <v>125</v>
      </c>
      <c r="E75" t="s">
        <v>125</v>
      </c>
      <c r="I75" s="131"/>
      <c r="J75" s="6">
        <v>-42288.84</v>
      </c>
      <c r="L75">
        <v>-42288.84</v>
      </c>
      <c r="O75">
        <v>0</v>
      </c>
      <c r="P75">
        <v>-5.863E-7</v>
      </c>
      <c r="S75" s="131"/>
      <c r="T75" s="6">
        <f>DataTable[HLD_MaturityDate] - DataTable[SEC_Issue_Date]</f>
        <v>0</v>
      </c>
      <c r="U75" s="131" t="str">
        <f>DataTable[HLD_Portfolio]&amp;DataTable[HLD_Date]</f>
        <v>SCBSFF43397</v>
      </c>
      <c r="V75" t="str">
        <f>DataTable[[#This Row],[RefRng]]&amp;DataTable[[#This Row],[HLD_SecCode]]</f>
        <v>SCBSFF43397</v>
      </c>
    </row>
    <row r="76" spans="1:22" x14ac:dyDescent="0.2">
      <c r="A76" s="131">
        <v>43397</v>
      </c>
      <c r="B76" t="s">
        <v>17</v>
      </c>
      <c r="C76" t="s">
        <v>128</v>
      </c>
      <c r="D76" t="s">
        <v>126</v>
      </c>
      <c r="E76" t="s">
        <v>126</v>
      </c>
      <c r="I76" s="131"/>
      <c r="J76" s="6">
        <v>-3293372.04</v>
      </c>
      <c r="L76">
        <v>-3293372.04</v>
      </c>
      <c r="O76">
        <v>0</v>
      </c>
      <c r="P76">
        <v>-4.5662099999999998E-5</v>
      </c>
      <c r="S76" s="131"/>
      <c r="T76" s="6">
        <f>DataTable[HLD_MaturityDate] - DataTable[SEC_Issue_Date]</f>
        <v>0</v>
      </c>
      <c r="U76" s="131" t="str">
        <f>DataTable[HLD_Portfolio]&amp;DataTable[HLD_Date]</f>
        <v>SCBSFF43397</v>
      </c>
      <c r="V76" t="str">
        <f>DataTable[[#This Row],[RefRng]]&amp;DataTable[[#This Row],[HLD_SecCode]]</f>
        <v>SCBSFF43397</v>
      </c>
    </row>
    <row r="77" spans="1:22" x14ac:dyDescent="0.2">
      <c r="A77" s="131">
        <v>43397</v>
      </c>
      <c r="B77" t="s">
        <v>17</v>
      </c>
      <c r="C77" t="s">
        <v>128</v>
      </c>
      <c r="D77" t="s">
        <v>127</v>
      </c>
      <c r="E77" t="s">
        <v>127</v>
      </c>
      <c r="I77" s="131"/>
      <c r="J77" s="6">
        <v>0</v>
      </c>
      <c r="L77">
        <v>0</v>
      </c>
      <c r="O77">
        <v>0</v>
      </c>
      <c r="P77">
        <v>0</v>
      </c>
      <c r="S77" s="131"/>
      <c r="T77" s="6">
        <f>DataTable[HLD_MaturityDate] - DataTable[SEC_Issue_Date]</f>
        <v>0</v>
      </c>
      <c r="U77" s="131" t="str">
        <f>DataTable[HLD_Portfolio]&amp;DataTable[HLD_Date]</f>
        <v>SCBSFF43397</v>
      </c>
      <c r="V77" t="str">
        <f>DataTable[[#This Row],[RefRng]]&amp;DataTable[[#This Row],[HLD_SecCode]]</f>
        <v>SCBSFF43397</v>
      </c>
    </row>
    <row r="78" spans="1:22" x14ac:dyDescent="0.2">
      <c r="A78" s="131">
        <v>43397</v>
      </c>
      <c r="B78" t="s">
        <v>130</v>
      </c>
      <c r="C78" t="s">
        <v>18</v>
      </c>
      <c r="D78" t="s">
        <v>19</v>
      </c>
      <c r="F78" t="s">
        <v>133</v>
      </c>
      <c r="G78" t="s">
        <v>134</v>
      </c>
      <c r="I78" s="131"/>
      <c r="J78" s="6">
        <v>0</v>
      </c>
      <c r="L78">
        <v>0</v>
      </c>
      <c r="M78">
        <v>0</v>
      </c>
      <c r="N78">
        <v>0</v>
      </c>
      <c r="O78">
        <v>0</v>
      </c>
      <c r="P78">
        <v>0</v>
      </c>
      <c r="Q78" t="s">
        <v>22</v>
      </c>
      <c r="R78" t="s">
        <v>135</v>
      </c>
      <c r="S78" s="131">
        <v>2</v>
      </c>
      <c r="T78" s="6">
        <f>DataTable[HLD_MaturityDate] - DataTable[SEC_Issue_Date]</f>
        <v>-2</v>
      </c>
      <c r="U78" s="131" t="str">
        <f>DataTable[HLD_Portfolio]&amp;DataTable[HLD_Date]</f>
        <v>SCBSFFPLUS43397</v>
      </c>
      <c r="V78" t="str">
        <f>DataTable[[#This Row],[RefRng]]&amp;DataTable[[#This Row],[HLD_SecCode]]</f>
        <v>SCBSFFPLUS43397-AED CASH-</v>
      </c>
    </row>
    <row r="79" spans="1:22" x14ac:dyDescent="0.2">
      <c r="A79" s="131">
        <v>43397</v>
      </c>
      <c r="B79" t="s">
        <v>130</v>
      </c>
      <c r="C79" t="s">
        <v>18</v>
      </c>
      <c r="D79" t="s">
        <v>19</v>
      </c>
      <c r="F79" t="s">
        <v>25</v>
      </c>
      <c r="G79" t="s">
        <v>26</v>
      </c>
      <c r="H79" t="s">
        <v>27</v>
      </c>
      <c r="I79" s="131"/>
      <c r="J79" s="6">
        <v>0</v>
      </c>
      <c r="L79">
        <v>0</v>
      </c>
      <c r="M79">
        <v>0</v>
      </c>
      <c r="N79">
        <v>0</v>
      </c>
      <c r="O79">
        <v>0</v>
      </c>
      <c r="P79">
        <v>0</v>
      </c>
      <c r="Q79" t="s">
        <v>22</v>
      </c>
      <c r="R79" t="s">
        <v>28</v>
      </c>
      <c r="S79" s="131">
        <v>2</v>
      </c>
      <c r="T79" s="6">
        <f>DataTable[HLD_MaturityDate] - DataTable[SEC_Issue_Date]</f>
        <v>-2</v>
      </c>
      <c r="U79" s="131" t="str">
        <f>DataTable[HLD_Portfolio]&amp;DataTable[HLD_Date]</f>
        <v>SCBSFFPLUS43397</v>
      </c>
      <c r="V79" t="str">
        <f>DataTable[[#This Row],[RefRng]]&amp;DataTable[[#This Row],[HLD_SecCode]]</f>
        <v>SCBSFFPLUS43397-CNY CASH-</v>
      </c>
    </row>
    <row r="80" spans="1:22" x14ac:dyDescent="0.2">
      <c r="A80" s="131">
        <v>43397</v>
      </c>
      <c r="B80" t="s">
        <v>130</v>
      </c>
      <c r="C80" t="s">
        <v>18</v>
      </c>
      <c r="D80" t="s">
        <v>19</v>
      </c>
      <c r="F80" t="s">
        <v>30</v>
      </c>
      <c r="G80" t="s">
        <v>26</v>
      </c>
      <c r="H80" t="s">
        <v>27</v>
      </c>
      <c r="I80" s="131"/>
      <c r="J80" s="6">
        <v>0</v>
      </c>
      <c r="L80">
        <v>0</v>
      </c>
      <c r="M80">
        <v>0</v>
      </c>
      <c r="N80">
        <v>0</v>
      </c>
      <c r="O80">
        <v>0</v>
      </c>
      <c r="P80">
        <v>0</v>
      </c>
      <c r="Q80" t="s">
        <v>22</v>
      </c>
      <c r="R80" t="s">
        <v>31</v>
      </c>
      <c r="S80" s="131">
        <v>2</v>
      </c>
      <c r="T80" s="6">
        <f>DataTable[HLD_MaturityDate] - DataTable[SEC_Issue_Date]</f>
        <v>-2</v>
      </c>
      <c r="U80" s="131" t="str">
        <f>DataTable[HLD_Portfolio]&amp;DataTable[HLD_Date]</f>
        <v>SCBSFFPLUS43397</v>
      </c>
      <c r="V80" t="str">
        <f>DataTable[[#This Row],[RefRng]]&amp;DataTable[[#This Row],[HLD_SecCode]]</f>
        <v>SCBSFFPLUS43397-EUR CASH-</v>
      </c>
    </row>
    <row r="81" spans="1:22" x14ac:dyDescent="0.2">
      <c r="A81" s="131">
        <v>43397</v>
      </c>
      <c r="B81" t="s">
        <v>130</v>
      </c>
      <c r="C81" t="s">
        <v>18</v>
      </c>
      <c r="D81" t="s">
        <v>19</v>
      </c>
      <c r="F81" t="s">
        <v>136</v>
      </c>
      <c r="G81" t="s">
        <v>137</v>
      </c>
      <c r="H81" t="s">
        <v>27</v>
      </c>
      <c r="I81" s="131"/>
      <c r="J81" s="6">
        <v>0</v>
      </c>
      <c r="L81">
        <v>0</v>
      </c>
      <c r="M81">
        <v>0</v>
      </c>
      <c r="N81">
        <v>0</v>
      </c>
      <c r="O81">
        <v>0</v>
      </c>
      <c r="P81">
        <v>0</v>
      </c>
      <c r="Q81" t="s">
        <v>22</v>
      </c>
      <c r="R81" t="s">
        <v>138</v>
      </c>
      <c r="S81" s="131">
        <v>2</v>
      </c>
      <c r="T81" s="6">
        <f>DataTable[HLD_MaturityDate] - DataTable[SEC_Issue_Date]</f>
        <v>-2</v>
      </c>
      <c r="U81" s="131" t="str">
        <f>DataTable[HLD_Portfolio]&amp;DataTable[HLD_Date]</f>
        <v>SCBSFFPLUS43397</v>
      </c>
      <c r="V81" t="str">
        <f>DataTable[[#This Row],[RefRng]]&amp;DataTable[[#This Row],[HLD_SecCode]]</f>
        <v>SCBSFFPLUS43397-GBP CASH-</v>
      </c>
    </row>
    <row r="82" spans="1:22" x14ac:dyDescent="0.2">
      <c r="A82" s="131">
        <v>43397</v>
      </c>
      <c r="B82" t="s">
        <v>130</v>
      </c>
      <c r="C82" t="s">
        <v>18</v>
      </c>
      <c r="D82" t="s">
        <v>19</v>
      </c>
      <c r="F82" t="s">
        <v>32</v>
      </c>
      <c r="G82" t="s">
        <v>26</v>
      </c>
      <c r="H82" t="s">
        <v>27</v>
      </c>
      <c r="I82" s="131"/>
      <c r="J82" s="6">
        <v>0</v>
      </c>
      <c r="L82">
        <v>0</v>
      </c>
      <c r="M82">
        <v>0</v>
      </c>
      <c r="N82">
        <v>0</v>
      </c>
      <c r="O82">
        <v>0</v>
      </c>
      <c r="P82">
        <v>0</v>
      </c>
      <c r="Q82" t="s">
        <v>22</v>
      </c>
      <c r="R82" t="s">
        <v>33</v>
      </c>
      <c r="S82" s="131">
        <v>2</v>
      </c>
      <c r="T82" s="6">
        <f>DataTable[HLD_MaturityDate] - DataTable[SEC_Issue_Date]</f>
        <v>-2</v>
      </c>
      <c r="U82" s="131" t="str">
        <f>DataTable[HLD_Portfolio]&amp;DataTable[HLD_Date]</f>
        <v>SCBSFFPLUS43397</v>
      </c>
      <c r="V82" t="str">
        <f>DataTable[[#This Row],[RefRng]]&amp;DataTable[[#This Row],[HLD_SecCode]]</f>
        <v>SCBSFFPLUS43397-HKD CASH-</v>
      </c>
    </row>
    <row r="83" spans="1:22" x14ac:dyDescent="0.2">
      <c r="A83" s="131">
        <v>43397</v>
      </c>
      <c r="B83" t="s">
        <v>130</v>
      </c>
      <c r="C83" t="s">
        <v>18</v>
      </c>
      <c r="D83" t="s">
        <v>19</v>
      </c>
      <c r="F83" t="s">
        <v>139</v>
      </c>
      <c r="G83" t="s">
        <v>26</v>
      </c>
      <c r="H83" t="s">
        <v>27</v>
      </c>
      <c r="I83" s="131"/>
      <c r="J83" s="6">
        <v>0</v>
      </c>
      <c r="L83">
        <v>0</v>
      </c>
      <c r="M83">
        <v>0</v>
      </c>
      <c r="N83">
        <v>0</v>
      </c>
      <c r="O83">
        <v>0</v>
      </c>
      <c r="P83">
        <v>0</v>
      </c>
      <c r="Q83" t="s">
        <v>22</v>
      </c>
      <c r="R83" t="s">
        <v>140</v>
      </c>
      <c r="S83" s="131">
        <v>2</v>
      </c>
      <c r="T83" s="6">
        <f>DataTable[HLD_MaturityDate] - DataTable[SEC_Issue_Date]</f>
        <v>-2</v>
      </c>
      <c r="U83" s="131" t="str">
        <f>DataTable[HLD_Portfolio]&amp;DataTable[HLD_Date]</f>
        <v>SCBSFFPLUS43397</v>
      </c>
      <c r="V83" t="str">
        <f>DataTable[[#This Row],[RefRng]]&amp;DataTable[[#This Row],[HLD_SecCode]]</f>
        <v>SCBSFFPLUS43397-JPY CASH-</v>
      </c>
    </row>
    <row r="84" spans="1:22" x14ac:dyDescent="0.2">
      <c r="A84" s="131">
        <v>43397</v>
      </c>
      <c r="B84" t="s">
        <v>130</v>
      </c>
      <c r="C84" t="s">
        <v>18</v>
      </c>
      <c r="D84" t="s">
        <v>19</v>
      </c>
      <c r="F84" t="s">
        <v>36</v>
      </c>
      <c r="G84" t="s">
        <v>26</v>
      </c>
      <c r="H84" t="s">
        <v>27</v>
      </c>
      <c r="I84" s="131"/>
      <c r="J84" s="6">
        <v>0</v>
      </c>
      <c r="L84">
        <v>0</v>
      </c>
      <c r="M84">
        <v>0</v>
      </c>
      <c r="N84">
        <v>0</v>
      </c>
      <c r="O84">
        <v>0</v>
      </c>
      <c r="P84">
        <v>0</v>
      </c>
      <c r="Q84" t="s">
        <v>22</v>
      </c>
      <c r="R84" t="s">
        <v>37</v>
      </c>
      <c r="S84" s="131">
        <v>2</v>
      </c>
      <c r="T84" s="6">
        <f>DataTable[HLD_MaturityDate] - DataTable[SEC_Issue_Date]</f>
        <v>-2</v>
      </c>
      <c r="U84" s="131" t="str">
        <f>DataTable[HLD_Portfolio]&amp;DataTable[HLD_Date]</f>
        <v>SCBSFFPLUS43397</v>
      </c>
      <c r="V84" t="str">
        <f>DataTable[[#This Row],[RefRng]]&amp;DataTable[[#This Row],[HLD_SecCode]]</f>
        <v>SCBSFFPLUS43397-US CASH-</v>
      </c>
    </row>
    <row r="85" spans="1:22" x14ac:dyDescent="0.2">
      <c r="A85" s="131">
        <v>43397</v>
      </c>
      <c r="B85" t="s">
        <v>130</v>
      </c>
      <c r="C85" t="s">
        <v>18</v>
      </c>
      <c r="D85" t="s">
        <v>19</v>
      </c>
      <c r="F85" t="s">
        <v>20</v>
      </c>
      <c r="G85" t="s">
        <v>21</v>
      </c>
      <c r="I85" s="131"/>
      <c r="J85" s="6">
        <v>3424268.39</v>
      </c>
      <c r="K85">
        <v>598984.39</v>
      </c>
      <c r="L85">
        <v>3424268.39</v>
      </c>
      <c r="M85">
        <v>0</v>
      </c>
      <c r="N85">
        <v>0</v>
      </c>
      <c r="O85">
        <v>0</v>
      </c>
      <c r="P85">
        <v>1.9227400000000002E-5</v>
      </c>
      <c r="Q85" t="s">
        <v>22</v>
      </c>
      <c r="R85" t="s">
        <v>23</v>
      </c>
      <c r="S85" s="131">
        <v>2</v>
      </c>
      <c r="T85" s="6">
        <f>DataTable[HLD_MaturityDate] - DataTable[SEC_Issue_Date]</f>
        <v>-2</v>
      </c>
      <c r="U85" s="131" t="str">
        <f>DataTable[HLD_Portfolio]&amp;DataTable[HLD_Date]</f>
        <v>SCBSFFPLUS43397</v>
      </c>
      <c r="V85" t="str">
        <f>DataTable[[#This Row],[RefRng]]&amp;DataTable[[#This Row],[HLD_SecCode]]</f>
        <v>SCBSFFPLUS43397CASH</v>
      </c>
    </row>
    <row r="86" spans="1:22" x14ac:dyDescent="0.2">
      <c r="A86" s="131">
        <v>43397</v>
      </c>
      <c r="B86" t="s">
        <v>130</v>
      </c>
      <c r="C86" t="s">
        <v>18</v>
      </c>
      <c r="D86" t="s">
        <v>38</v>
      </c>
      <c r="F86" t="s">
        <v>141</v>
      </c>
      <c r="G86" t="s">
        <v>142</v>
      </c>
      <c r="H86" t="s">
        <v>35</v>
      </c>
      <c r="I86" s="131">
        <v>43497</v>
      </c>
      <c r="J86" s="6">
        <v>3753810000</v>
      </c>
      <c r="L86">
        <v>3752365339.3400002</v>
      </c>
      <c r="N86">
        <v>100000000</v>
      </c>
      <c r="O86">
        <v>0.14000000000000001</v>
      </c>
      <c r="P86">
        <v>1.7939693E-2</v>
      </c>
      <c r="Q86" t="s">
        <v>42</v>
      </c>
      <c r="R86" t="s">
        <v>31</v>
      </c>
      <c r="S86" s="131">
        <v>43136</v>
      </c>
      <c r="T86" s="6">
        <f>DataTable[HLD_MaturityDate] - DataTable[SEC_Issue_Date]</f>
        <v>361</v>
      </c>
      <c r="U86" s="131" t="str">
        <f>DataTable[HLD_Portfolio]&amp;DataTable[HLD_Date]</f>
        <v>SCBSFFPLUS43397</v>
      </c>
      <c r="V86" t="str">
        <f>DataTable[[#This Row],[RefRng]]&amp;DataTable[[#This Row],[HLD_SecCode]]</f>
        <v>SCBSFFPLUS43397CD12MCMBL010219</v>
      </c>
    </row>
    <row r="87" spans="1:22" x14ac:dyDescent="0.2">
      <c r="A87" s="131">
        <v>43397</v>
      </c>
      <c r="B87" t="s">
        <v>130</v>
      </c>
      <c r="C87" t="s">
        <v>18</v>
      </c>
      <c r="D87" t="s">
        <v>38</v>
      </c>
      <c r="F87" t="s">
        <v>143</v>
      </c>
      <c r="G87" t="s">
        <v>144</v>
      </c>
      <c r="H87" t="s">
        <v>47</v>
      </c>
      <c r="I87" s="131">
        <v>43481</v>
      </c>
      <c r="J87" s="6">
        <v>985702670.39999998</v>
      </c>
      <c r="K87">
        <v>19318175</v>
      </c>
      <c r="L87">
        <v>985922984.21000004</v>
      </c>
      <c r="N87">
        <v>30000000</v>
      </c>
      <c r="O87">
        <v>2.6850000000000001</v>
      </c>
      <c r="P87">
        <v>4.8030575000000001E-3</v>
      </c>
      <c r="Q87" t="s">
        <v>42</v>
      </c>
      <c r="R87" t="s">
        <v>37</v>
      </c>
      <c r="S87" s="131">
        <v>43116</v>
      </c>
      <c r="T87" s="6">
        <f>DataTable[HLD_MaturityDate] - DataTable[SEC_Issue_Date]</f>
        <v>365</v>
      </c>
      <c r="U87" s="131" t="str">
        <f>DataTable[HLD_Portfolio]&amp;DataTable[HLD_Date]</f>
        <v>SCBSFFPLUS43397</v>
      </c>
      <c r="V87" t="str">
        <f>DataTable[[#This Row],[RefRng]]&amp;DataTable[[#This Row],[HLD_SecCode]]</f>
        <v>SCBSFFPLUS43397CD12MICBCD16119</v>
      </c>
    </row>
    <row r="88" spans="1:22" x14ac:dyDescent="0.2">
      <c r="A88" s="131">
        <v>43397</v>
      </c>
      <c r="B88" t="s">
        <v>130</v>
      </c>
      <c r="C88" t="s">
        <v>18</v>
      </c>
      <c r="D88" t="s">
        <v>38</v>
      </c>
      <c r="F88" t="s">
        <v>145</v>
      </c>
      <c r="G88" t="s">
        <v>40</v>
      </c>
      <c r="H88" t="s">
        <v>41</v>
      </c>
      <c r="I88" s="131">
        <v>43602</v>
      </c>
      <c r="J88" s="6">
        <v>2000000000</v>
      </c>
      <c r="K88">
        <v>14556164.380000001</v>
      </c>
      <c r="L88">
        <v>2000000000</v>
      </c>
      <c r="M88">
        <v>0.55652400000000002</v>
      </c>
      <c r="N88">
        <v>2000000000</v>
      </c>
      <c r="O88">
        <v>1.65</v>
      </c>
      <c r="P88">
        <v>9.6276899999999995E-3</v>
      </c>
      <c r="Q88" t="s">
        <v>42</v>
      </c>
      <c r="R88" t="s">
        <v>23</v>
      </c>
      <c r="S88" s="131">
        <v>43237</v>
      </c>
      <c r="T88" s="6">
        <f>DataTable[HLD_MaturityDate] - DataTable[SEC_Issue_Date]</f>
        <v>365</v>
      </c>
      <c r="U88" s="131" t="str">
        <f>DataTable[HLD_Portfolio]&amp;DataTable[HLD_Date]</f>
        <v>SCBSFFPLUS43397</v>
      </c>
      <c r="V88" t="str">
        <f>DataTable[[#This Row],[RefRng]]&amp;DataTable[[#This Row],[HLD_SecCode]]</f>
        <v>SCBSFFPLUS43397CD12MTBANK17519</v>
      </c>
    </row>
    <row r="89" spans="1:22" x14ac:dyDescent="0.2">
      <c r="A89" s="131">
        <v>43397</v>
      </c>
      <c r="B89" t="s">
        <v>130</v>
      </c>
      <c r="C89" t="s">
        <v>18</v>
      </c>
      <c r="D89" t="s">
        <v>38</v>
      </c>
      <c r="F89" t="s">
        <v>146</v>
      </c>
      <c r="G89" t="s">
        <v>147</v>
      </c>
      <c r="H89" t="s">
        <v>47</v>
      </c>
      <c r="I89" s="131">
        <v>43530</v>
      </c>
      <c r="J89" s="6">
        <v>3753810000</v>
      </c>
      <c r="L89">
        <v>3753810000</v>
      </c>
      <c r="N89">
        <v>100000000</v>
      </c>
      <c r="O89">
        <v>0</v>
      </c>
      <c r="P89">
        <v>1.7939693E-2</v>
      </c>
      <c r="Q89" t="s">
        <v>42</v>
      </c>
      <c r="R89" t="s">
        <v>31</v>
      </c>
      <c r="S89" s="131">
        <v>43165</v>
      </c>
      <c r="T89" s="6">
        <f>DataTable[HLD_MaturityDate] - DataTable[SEC_Issue_Date]</f>
        <v>365</v>
      </c>
      <c r="U89" s="131" t="str">
        <f>DataTable[HLD_Portfolio]&amp;DataTable[HLD_Date]</f>
        <v>SCBSFFPLUS43397</v>
      </c>
      <c r="V89" t="str">
        <f>DataTable[[#This Row],[RefRng]]&amp;DataTable[[#This Row],[HLD_SecCode]]</f>
        <v>SCBSFFPLUS43397CD1YBOCHK060319</v>
      </c>
    </row>
    <row r="90" spans="1:22" x14ac:dyDescent="0.2">
      <c r="A90" s="131">
        <v>43397</v>
      </c>
      <c r="B90" t="s">
        <v>130</v>
      </c>
      <c r="C90" t="s">
        <v>18</v>
      </c>
      <c r="D90" t="s">
        <v>38</v>
      </c>
      <c r="F90" t="s">
        <v>148</v>
      </c>
      <c r="G90" t="s">
        <v>147</v>
      </c>
      <c r="H90" t="s">
        <v>47</v>
      </c>
      <c r="I90" s="131">
        <v>43441</v>
      </c>
      <c r="J90" s="6">
        <v>1876905000</v>
      </c>
      <c r="L90">
        <v>1876927418.8599999</v>
      </c>
      <c r="N90">
        <v>50000000</v>
      </c>
      <c r="O90">
        <v>-0.01</v>
      </c>
      <c r="P90">
        <v>8.9698464999999998E-3</v>
      </c>
      <c r="Q90" t="s">
        <v>42</v>
      </c>
      <c r="R90" t="s">
        <v>31</v>
      </c>
      <c r="S90" s="131">
        <v>43076</v>
      </c>
      <c r="T90" s="6">
        <f>DataTable[HLD_MaturityDate] - DataTable[SEC_Issue_Date]</f>
        <v>365</v>
      </c>
      <c r="U90" s="131" t="str">
        <f>DataTable[HLD_Portfolio]&amp;DataTable[HLD_Date]</f>
        <v>SCBSFFPLUS43397</v>
      </c>
      <c r="V90" t="str">
        <f>DataTable[[#This Row],[RefRng]]&amp;DataTable[[#This Row],[HLD_SecCode]]</f>
        <v>SCBSFFPLUS43397CD1YBOCHK071218</v>
      </c>
    </row>
    <row r="91" spans="1:22" x14ac:dyDescent="0.2">
      <c r="A91" s="131">
        <v>43397</v>
      </c>
      <c r="B91" t="s">
        <v>130</v>
      </c>
      <c r="C91" t="s">
        <v>18</v>
      </c>
      <c r="D91" t="s">
        <v>38</v>
      </c>
      <c r="F91" t="s">
        <v>149</v>
      </c>
      <c r="G91" t="s">
        <v>150</v>
      </c>
      <c r="H91" t="s">
        <v>47</v>
      </c>
      <c r="I91" s="131">
        <v>43504</v>
      </c>
      <c r="J91" s="6">
        <v>1644100000</v>
      </c>
      <c r="K91">
        <v>32991606.670000002</v>
      </c>
      <c r="L91">
        <v>1644100000</v>
      </c>
      <c r="N91">
        <v>50000000</v>
      </c>
      <c r="O91">
        <v>2.8</v>
      </c>
      <c r="P91">
        <v>8.0149257999999994E-3</v>
      </c>
      <c r="Q91" t="s">
        <v>42</v>
      </c>
      <c r="R91" t="s">
        <v>37</v>
      </c>
      <c r="S91" s="131">
        <v>43140</v>
      </c>
      <c r="T91" s="6">
        <f>DataTable[HLD_MaturityDate] - DataTable[SEC_Issue_Date]</f>
        <v>364</v>
      </c>
      <c r="U91" s="131" t="str">
        <f>DataTable[HLD_Portfolio]&amp;DataTable[HLD_Date]</f>
        <v>SCBSFFPLUS43397</v>
      </c>
      <c r="V91" t="str">
        <f>DataTable[[#This Row],[RefRng]]&amp;DataTable[[#This Row],[HLD_SecCode]]</f>
        <v>SCBSFFPLUS43397CD1YICBCSE08219</v>
      </c>
    </row>
    <row r="92" spans="1:22" x14ac:dyDescent="0.2">
      <c r="A92" s="131">
        <v>43397</v>
      </c>
      <c r="B92" t="s">
        <v>130</v>
      </c>
      <c r="C92" t="s">
        <v>18</v>
      </c>
      <c r="D92" t="s">
        <v>38</v>
      </c>
      <c r="F92" t="s">
        <v>151</v>
      </c>
      <c r="G92" t="s">
        <v>46</v>
      </c>
      <c r="H92" t="s">
        <v>47</v>
      </c>
      <c r="I92" s="131">
        <v>43509</v>
      </c>
      <c r="J92" s="6">
        <v>3753810000</v>
      </c>
      <c r="K92">
        <v>1324260.75</v>
      </c>
      <c r="L92">
        <v>3865000000</v>
      </c>
      <c r="M92">
        <v>0.31106299999999998</v>
      </c>
      <c r="N92">
        <v>100000000</v>
      </c>
      <c r="O92">
        <v>0.05</v>
      </c>
      <c r="P92">
        <v>1.7946021699999998E-2</v>
      </c>
      <c r="Q92" t="s">
        <v>42</v>
      </c>
      <c r="R92" t="s">
        <v>31</v>
      </c>
      <c r="S92" s="131">
        <v>43144</v>
      </c>
      <c r="T92" s="6">
        <f>DataTable[HLD_MaturityDate] - DataTable[SEC_Issue_Date]</f>
        <v>365</v>
      </c>
      <c r="U92" s="131" t="str">
        <f>DataTable[HLD_Portfolio]&amp;DataTable[HLD_Date]</f>
        <v>SCBSFFPLUS43397</v>
      </c>
      <c r="V92" t="str">
        <f>DataTable[[#This Row],[RefRng]]&amp;DataTable[[#This Row],[HLD_SecCode]]</f>
        <v>SCBSFFPLUS43397F12MABCHK130219</v>
      </c>
    </row>
    <row r="93" spans="1:22" x14ac:dyDescent="0.2">
      <c r="A93" s="131">
        <v>43397</v>
      </c>
      <c r="B93" t="s">
        <v>130</v>
      </c>
      <c r="C93" t="s">
        <v>18</v>
      </c>
      <c r="D93" t="s">
        <v>38</v>
      </c>
      <c r="F93" t="s">
        <v>152</v>
      </c>
      <c r="G93" t="s">
        <v>46</v>
      </c>
      <c r="H93" t="s">
        <v>47</v>
      </c>
      <c r="I93" s="131">
        <v>43546</v>
      </c>
      <c r="J93" s="6">
        <v>1126143000</v>
      </c>
      <c r="K93">
        <v>271525.59000000003</v>
      </c>
      <c r="L93">
        <v>1140000000</v>
      </c>
      <c r="M93">
        <v>0.41382000000000002</v>
      </c>
      <c r="N93">
        <v>30000000</v>
      </c>
      <c r="O93">
        <v>0.04</v>
      </c>
      <c r="P93">
        <v>5.3832055E-3</v>
      </c>
      <c r="Q93" t="s">
        <v>42</v>
      </c>
      <c r="R93" t="s">
        <v>31</v>
      </c>
      <c r="S93" s="131">
        <v>43181</v>
      </c>
      <c r="T93" s="6">
        <f>DataTable[HLD_MaturityDate] - DataTable[SEC_Issue_Date]</f>
        <v>365</v>
      </c>
      <c r="U93" s="131" t="str">
        <f>DataTable[HLD_Portfolio]&amp;DataTable[HLD_Date]</f>
        <v>SCBSFFPLUS43397</v>
      </c>
      <c r="V93" t="str">
        <f>DataTable[[#This Row],[RefRng]]&amp;DataTable[[#This Row],[HLD_SecCode]]</f>
        <v>SCBSFFPLUS43397F12MABCHK220319</v>
      </c>
    </row>
    <row r="94" spans="1:22" x14ac:dyDescent="0.2">
      <c r="A94" s="131">
        <v>43397</v>
      </c>
      <c r="B94" t="s">
        <v>130</v>
      </c>
      <c r="C94" t="s">
        <v>18</v>
      </c>
      <c r="D94" t="s">
        <v>38</v>
      </c>
      <c r="F94" t="s">
        <v>153</v>
      </c>
      <c r="G94" t="s">
        <v>46</v>
      </c>
      <c r="H94" t="s">
        <v>47</v>
      </c>
      <c r="I94" s="131">
        <v>43608</v>
      </c>
      <c r="J94" s="6">
        <v>3003048000</v>
      </c>
      <c r="K94">
        <v>1798492.08</v>
      </c>
      <c r="L94">
        <v>3010400000</v>
      </c>
      <c r="M94">
        <v>0.58563100000000001</v>
      </c>
      <c r="N94">
        <v>80000000</v>
      </c>
      <c r="O94">
        <v>0.14000000000000001</v>
      </c>
      <c r="P94">
        <v>1.4360349499999999E-2</v>
      </c>
      <c r="Q94" t="s">
        <v>42</v>
      </c>
      <c r="R94" t="s">
        <v>31</v>
      </c>
      <c r="S94" s="131">
        <v>43244</v>
      </c>
      <c r="T94" s="6">
        <f>DataTable[HLD_MaturityDate] - DataTable[SEC_Issue_Date]</f>
        <v>364</v>
      </c>
      <c r="U94" s="131" t="str">
        <f>DataTable[HLD_Portfolio]&amp;DataTable[HLD_Date]</f>
        <v>SCBSFFPLUS43397</v>
      </c>
      <c r="V94" t="str">
        <f>DataTable[[#This Row],[RefRng]]&amp;DataTable[[#This Row],[HLD_SecCode]]</f>
        <v>SCBSFFPLUS43397F12MABCHK230519</v>
      </c>
    </row>
    <row r="95" spans="1:22" x14ac:dyDescent="0.2">
      <c r="A95" s="131">
        <v>43397</v>
      </c>
      <c r="B95" t="s">
        <v>130</v>
      </c>
      <c r="C95" t="s">
        <v>18</v>
      </c>
      <c r="D95" t="s">
        <v>38</v>
      </c>
      <c r="F95" t="s">
        <v>154</v>
      </c>
      <c r="G95" t="s">
        <v>46</v>
      </c>
      <c r="H95" t="s">
        <v>47</v>
      </c>
      <c r="I95" s="131">
        <v>43641</v>
      </c>
      <c r="J95" s="6">
        <v>2794970000</v>
      </c>
      <c r="K95">
        <v>31446518.02</v>
      </c>
      <c r="L95">
        <v>2803725000</v>
      </c>
      <c r="M95">
        <v>0.66302300000000003</v>
      </c>
      <c r="N95">
        <v>85000000</v>
      </c>
      <c r="O95">
        <v>3.32</v>
      </c>
      <c r="P95">
        <v>1.3507621500000001E-2</v>
      </c>
      <c r="Q95" t="s">
        <v>42</v>
      </c>
      <c r="R95" t="s">
        <v>37</v>
      </c>
      <c r="S95" s="131">
        <v>43276</v>
      </c>
      <c r="T95" s="6">
        <f>DataTable[HLD_MaturityDate] - DataTable[SEC_Issue_Date]</f>
        <v>365</v>
      </c>
      <c r="U95" s="131" t="str">
        <f>DataTable[HLD_Portfolio]&amp;DataTable[HLD_Date]</f>
        <v>SCBSFFPLUS43397</v>
      </c>
      <c r="V95" t="str">
        <f>DataTable[[#This Row],[RefRng]]&amp;DataTable[[#This Row],[HLD_SecCode]]</f>
        <v>SCBSFFPLUS43397F12MABCHK250619</v>
      </c>
    </row>
    <row r="96" spans="1:22" x14ac:dyDescent="0.2">
      <c r="A96" s="131">
        <v>43397</v>
      </c>
      <c r="B96" t="s">
        <v>130</v>
      </c>
      <c r="C96" t="s">
        <v>18</v>
      </c>
      <c r="D96" t="s">
        <v>38</v>
      </c>
      <c r="F96" t="s">
        <v>155</v>
      </c>
      <c r="G96" t="s">
        <v>46</v>
      </c>
      <c r="H96" t="s">
        <v>47</v>
      </c>
      <c r="I96" s="131">
        <v>43581</v>
      </c>
      <c r="J96" s="6">
        <v>1972920000</v>
      </c>
      <c r="K96">
        <v>31618235.129999999</v>
      </c>
      <c r="L96">
        <v>1887600000</v>
      </c>
      <c r="M96">
        <v>0.50308799999999998</v>
      </c>
      <c r="N96">
        <v>60000000</v>
      </c>
      <c r="O96">
        <v>3.17</v>
      </c>
      <c r="P96">
        <v>9.5798137000000002E-3</v>
      </c>
      <c r="Q96" t="s">
        <v>42</v>
      </c>
      <c r="R96" t="s">
        <v>37</v>
      </c>
      <c r="S96" s="131">
        <v>43216</v>
      </c>
      <c r="T96" s="6">
        <f>DataTable[HLD_MaturityDate] - DataTable[SEC_Issue_Date]</f>
        <v>365</v>
      </c>
      <c r="U96" s="131" t="str">
        <f>DataTable[HLD_Portfolio]&amp;DataTable[HLD_Date]</f>
        <v>SCBSFFPLUS43397</v>
      </c>
      <c r="V96" t="str">
        <f>DataTable[[#This Row],[RefRng]]&amp;DataTable[[#This Row],[HLD_SecCode]]</f>
        <v>SCBSFFPLUS43397F12MABCHK260419</v>
      </c>
    </row>
    <row r="97" spans="1:22" x14ac:dyDescent="0.2">
      <c r="A97" s="131">
        <v>43397</v>
      </c>
      <c r="B97" t="s">
        <v>130</v>
      </c>
      <c r="C97" t="s">
        <v>18</v>
      </c>
      <c r="D97" t="s">
        <v>38</v>
      </c>
      <c r="F97" t="s">
        <v>156</v>
      </c>
      <c r="G97" t="s">
        <v>46</v>
      </c>
      <c r="H97" t="s">
        <v>47</v>
      </c>
      <c r="I97" s="131">
        <v>43551</v>
      </c>
      <c r="J97" s="6">
        <v>3003048000</v>
      </c>
      <c r="K97">
        <v>1945307.76</v>
      </c>
      <c r="L97">
        <v>3051200000</v>
      </c>
      <c r="M97">
        <v>0.42757699999999998</v>
      </c>
      <c r="N97">
        <v>80000000</v>
      </c>
      <c r="O97">
        <v>0.11</v>
      </c>
      <c r="P97">
        <v>1.4361051200000001E-2</v>
      </c>
      <c r="Q97" t="s">
        <v>42</v>
      </c>
      <c r="R97" t="s">
        <v>31</v>
      </c>
      <c r="S97" s="131">
        <v>43186</v>
      </c>
      <c r="T97" s="6">
        <f>DataTable[HLD_MaturityDate] - DataTable[SEC_Issue_Date]</f>
        <v>365</v>
      </c>
      <c r="U97" s="131" t="str">
        <f>DataTable[HLD_Portfolio]&amp;DataTable[HLD_Date]</f>
        <v>SCBSFFPLUS43397</v>
      </c>
      <c r="V97" t="str">
        <f>DataTable[[#This Row],[RefRng]]&amp;DataTable[[#This Row],[HLD_SecCode]]</f>
        <v>SCBSFFPLUS43397F12MABCHK270319</v>
      </c>
    </row>
    <row r="98" spans="1:22" x14ac:dyDescent="0.2">
      <c r="A98" s="131">
        <v>43397</v>
      </c>
      <c r="B98" t="s">
        <v>130</v>
      </c>
      <c r="C98" t="s">
        <v>18</v>
      </c>
      <c r="D98" t="s">
        <v>38</v>
      </c>
      <c r="F98" t="s">
        <v>157</v>
      </c>
      <c r="G98" t="s">
        <v>46</v>
      </c>
      <c r="H98" t="s">
        <v>47</v>
      </c>
      <c r="I98" s="131">
        <v>43552</v>
      </c>
      <c r="J98" s="6">
        <v>3003048000</v>
      </c>
      <c r="K98">
        <v>1848125.79</v>
      </c>
      <c r="L98">
        <v>3065600000</v>
      </c>
      <c r="M98">
        <v>0.43036099999999999</v>
      </c>
      <c r="N98">
        <v>80000000</v>
      </c>
      <c r="O98">
        <v>0.105</v>
      </c>
      <c r="P98">
        <v>1.4360586700000001E-2</v>
      </c>
      <c r="Q98" t="s">
        <v>42</v>
      </c>
      <c r="R98" t="s">
        <v>31</v>
      </c>
      <c r="S98" s="131">
        <v>43187</v>
      </c>
      <c r="T98" s="6">
        <f>DataTable[HLD_MaturityDate] - DataTable[SEC_Issue_Date]</f>
        <v>365</v>
      </c>
      <c r="U98" s="131" t="str">
        <f>DataTable[HLD_Portfolio]&amp;DataTable[HLD_Date]</f>
        <v>SCBSFFPLUS43397</v>
      </c>
      <c r="V98" t="str">
        <f>DataTable[[#This Row],[RefRng]]&amp;DataTable[[#This Row],[HLD_SecCode]]</f>
        <v>SCBSFFPLUS43397F12MABCHK280319</v>
      </c>
    </row>
    <row r="99" spans="1:22" x14ac:dyDescent="0.2">
      <c r="A99" s="131">
        <v>43397</v>
      </c>
      <c r="B99" t="s">
        <v>130</v>
      </c>
      <c r="C99" t="s">
        <v>18</v>
      </c>
      <c r="D99" t="s">
        <v>38</v>
      </c>
      <c r="F99" t="s">
        <v>158</v>
      </c>
      <c r="G99" t="s">
        <v>46</v>
      </c>
      <c r="H99" t="s">
        <v>47</v>
      </c>
      <c r="I99" s="131">
        <v>43496</v>
      </c>
      <c r="J99" s="6">
        <v>3753810000</v>
      </c>
      <c r="K99">
        <v>4176113.63</v>
      </c>
      <c r="L99">
        <v>3880000000</v>
      </c>
      <c r="M99">
        <v>0.27488699999999999</v>
      </c>
      <c r="N99">
        <v>100000000</v>
      </c>
      <c r="O99">
        <v>0.15</v>
      </c>
      <c r="P99">
        <v>1.7959650899999999E-2</v>
      </c>
      <c r="Q99" t="s">
        <v>42</v>
      </c>
      <c r="R99" t="s">
        <v>31</v>
      </c>
      <c r="S99" s="131">
        <v>43131</v>
      </c>
      <c r="T99" s="6">
        <f>DataTable[HLD_MaturityDate] - DataTable[SEC_Issue_Date]</f>
        <v>365</v>
      </c>
      <c r="U99" s="131" t="str">
        <f>DataTable[HLD_Portfolio]&amp;DataTable[HLD_Date]</f>
        <v>SCBSFFPLUS43397</v>
      </c>
      <c r="V99" t="str">
        <f>DataTable[[#This Row],[RefRng]]&amp;DataTable[[#This Row],[HLD_SecCode]]</f>
        <v>SCBSFFPLUS43397F12MABCHK310119</v>
      </c>
    </row>
    <row r="100" spans="1:22" x14ac:dyDescent="0.2">
      <c r="A100" s="131">
        <v>43397</v>
      </c>
      <c r="B100" t="s">
        <v>130</v>
      </c>
      <c r="C100" t="s">
        <v>18</v>
      </c>
      <c r="D100" t="s">
        <v>38</v>
      </c>
      <c r="F100" t="s">
        <v>159</v>
      </c>
      <c r="G100" t="s">
        <v>46</v>
      </c>
      <c r="H100" t="s">
        <v>47</v>
      </c>
      <c r="I100" s="131">
        <v>43616</v>
      </c>
      <c r="J100" s="6">
        <v>1876905000</v>
      </c>
      <c r="K100">
        <v>1080263.1000000001</v>
      </c>
      <c r="L100">
        <v>1855000000</v>
      </c>
      <c r="M100">
        <v>0.60781600000000002</v>
      </c>
      <c r="N100">
        <v>50000000</v>
      </c>
      <c r="O100">
        <v>0.14000000000000001</v>
      </c>
      <c r="P100">
        <v>8.9750092E-3</v>
      </c>
      <c r="Q100" t="s">
        <v>42</v>
      </c>
      <c r="R100" t="s">
        <v>31</v>
      </c>
      <c r="S100" s="131">
        <v>43250</v>
      </c>
      <c r="T100" s="6">
        <f>DataTable[HLD_MaturityDate] - DataTable[SEC_Issue_Date]</f>
        <v>366</v>
      </c>
      <c r="U100" s="131" t="str">
        <f>DataTable[HLD_Portfolio]&amp;DataTable[HLD_Date]</f>
        <v>SCBSFFPLUS43397</v>
      </c>
      <c r="V100" t="str">
        <f>DataTable[[#This Row],[RefRng]]&amp;DataTable[[#This Row],[HLD_SecCode]]</f>
        <v>SCBSFFPLUS43397F12MABCHK310519</v>
      </c>
    </row>
    <row r="101" spans="1:22" x14ac:dyDescent="0.2">
      <c r="A101" s="131">
        <v>43397</v>
      </c>
      <c r="B101" t="s">
        <v>130</v>
      </c>
      <c r="C101" t="s">
        <v>18</v>
      </c>
      <c r="D101" t="s">
        <v>38</v>
      </c>
      <c r="F101" t="s">
        <v>49</v>
      </c>
      <c r="G101" t="s">
        <v>50</v>
      </c>
      <c r="H101" t="s">
        <v>51</v>
      </c>
      <c r="I101" s="131">
        <v>43410</v>
      </c>
      <c r="J101" s="6">
        <v>1150870000</v>
      </c>
      <c r="K101">
        <v>27005538.579999998</v>
      </c>
      <c r="L101">
        <v>1158500000</v>
      </c>
      <c r="M101">
        <v>3.6080000000000001E-2</v>
      </c>
      <c r="N101">
        <v>35000000</v>
      </c>
      <c r="O101">
        <v>2.4066999999999998</v>
      </c>
      <c r="P101">
        <v>5.6291409000000002E-3</v>
      </c>
      <c r="Q101" t="s">
        <v>42</v>
      </c>
      <c r="R101" t="s">
        <v>37</v>
      </c>
      <c r="S101" s="131">
        <v>43047</v>
      </c>
      <c r="T101" s="6">
        <f>DataTable[HLD_MaturityDate] - DataTable[SEC_Issue_Date]</f>
        <v>363</v>
      </c>
      <c r="U101" s="131" t="str">
        <f>DataTable[HLD_Portfolio]&amp;DataTable[HLD_Date]</f>
        <v>SCBSFFPLUS43397</v>
      </c>
      <c r="V101" t="str">
        <f>DataTable[[#This Row],[RefRng]]&amp;DataTable[[#This Row],[HLD_SecCode]]</f>
        <v>SCBSFFPLUS43397F12MADCB061118b</v>
      </c>
    </row>
    <row r="102" spans="1:22" x14ac:dyDescent="0.2">
      <c r="A102" s="131">
        <v>43397</v>
      </c>
      <c r="B102" t="s">
        <v>130</v>
      </c>
      <c r="C102" t="s">
        <v>18</v>
      </c>
      <c r="D102" t="s">
        <v>38</v>
      </c>
      <c r="F102" t="s">
        <v>160</v>
      </c>
      <c r="G102" t="s">
        <v>50</v>
      </c>
      <c r="H102" t="s">
        <v>51</v>
      </c>
      <c r="I102" s="131">
        <v>43452</v>
      </c>
      <c r="J102" s="6">
        <v>3580942000</v>
      </c>
      <c r="K102">
        <v>89712544.159999996</v>
      </c>
      <c r="L102">
        <v>3542000000</v>
      </c>
      <c r="M102">
        <v>0.15212000000000001</v>
      </c>
      <c r="N102">
        <v>400000000</v>
      </c>
      <c r="O102">
        <v>2.9</v>
      </c>
      <c r="P102">
        <v>1.7542287899999998E-2</v>
      </c>
      <c r="Q102" t="s">
        <v>42</v>
      </c>
      <c r="R102" t="s">
        <v>135</v>
      </c>
      <c r="S102" s="131">
        <v>43087</v>
      </c>
      <c r="T102" s="6">
        <f>DataTable[HLD_MaturityDate] - DataTable[SEC_Issue_Date]</f>
        <v>365</v>
      </c>
      <c r="U102" s="131" t="str">
        <f>DataTable[HLD_Portfolio]&amp;DataTable[HLD_Date]</f>
        <v>SCBSFFPLUS43397</v>
      </c>
      <c r="V102" t="str">
        <f>DataTable[[#This Row],[RefRng]]&amp;DataTable[[#This Row],[HLD_SecCode]]</f>
        <v>SCBSFFPLUS43397F12MADCB181218a</v>
      </c>
    </row>
    <row r="103" spans="1:22" x14ac:dyDescent="0.2">
      <c r="A103" s="131">
        <v>43397</v>
      </c>
      <c r="B103" t="s">
        <v>130</v>
      </c>
      <c r="C103" t="s">
        <v>18</v>
      </c>
      <c r="D103" t="s">
        <v>38</v>
      </c>
      <c r="F103" t="s">
        <v>161</v>
      </c>
      <c r="G103" t="s">
        <v>53</v>
      </c>
      <c r="H103" t="s">
        <v>47</v>
      </c>
      <c r="I103" s="131">
        <v>43587</v>
      </c>
      <c r="J103" s="6">
        <v>2627667000</v>
      </c>
      <c r="K103">
        <v>762023.43</v>
      </c>
      <c r="L103">
        <v>2660000000</v>
      </c>
      <c r="M103">
        <v>0.52761100000000005</v>
      </c>
      <c r="N103">
        <v>70000000</v>
      </c>
      <c r="O103">
        <v>0.06</v>
      </c>
      <c r="P103">
        <v>1.25614269E-2</v>
      </c>
      <c r="Q103" t="s">
        <v>42</v>
      </c>
      <c r="R103" t="s">
        <v>31</v>
      </c>
      <c r="S103" s="131">
        <v>43224</v>
      </c>
      <c r="T103" s="6">
        <f>DataTable[HLD_MaturityDate] - DataTable[SEC_Issue_Date]</f>
        <v>363</v>
      </c>
      <c r="U103" s="131" t="str">
        <f>DataTable[HLD_Portfolio]&amp;DataTable[HLD_Date]</f>
        <v>SCBSFFPLUS43397</v>
      </c>
      <c r="V103" t="str">
        <f>DataTable[[#This Row],[RefRng]]&amp;DataTable[[#This Row],[HLD_SecCode]]</f>
        <v>SCBSFFPLUS43397F12MBOCMC02519b</v>
      </c>
    </row>
    <row r="104" spans="1:22" x14ac:dyDescent="0.2">
      <c r="A104" s="131">
        <v>43397</v>
      </c>
      <c r="B104" t="s">
        <v>130</v>
      </c>
      <c r="C104" t="s">
        <v>18</v>
      </c>
      <c r="D104" t="s">
        <v>38</v>
      </c>
      <c r="F104" t="s">
        <v>162</v>
      </c>
      <c r="G104" t="s">
        <v>53</v>
      </c>
      <c r="H104" t="s">
        <v>47</v>
      </c>
      <c r="I104" s="131">
        <v>43473</v>
      </c>
      <c r="J104" s="6">
        <v>3288200000</v>
      </c>
      <c r="K104">
        <v>70723701.670000002</v>
      </c>
      <c r="L104">
        <v>3230500000</v>
      </c>
      <c r="M104">
        <v>0.209953</v>
      </c>
      <c r="N104">
        <v>100000000</v>
      </c>
      <c r="O104">
        <v>2.67</v>
      </c>
      <c r="P104">
        <v>1.60525067E-2</v>
      </c>
      <c r="Q104" t="s">
        <v>42</v>
      </c>
      <c r="R104" t="s">
        <v>37</v>
      </c>
      <c r="S104" s="131">
        <v>43108</v>
      </c>
      <c r="T104" s="6">
        <f>DataTable[HLD_MaturityDate] - DataTable[SEC_Issue_Date]</f>
        <v>365</v>
      </c>
      <c r="U104" s="131" t="str">
        <f>DataTable[HLD_Portfolio]&amp;DataTable[HLD_Date]</f>
        <v>SCBSFFPLUS43397</v>
      </c>
      <c r="V104" t="str">
        <f>DataTable[[#This Row],[RefRng]]&amp;DataTable[[#This Row],[HLD_SecCode]]</f>
        <v>SCBSFFPLUS43397F12MBOCMC080119</v>
      </c>
    </row>
    <row r="105" spans="1:22" x14ac:dyDescent="0.2">
      <c r="A105" s="131">
        <v>43397</v>
      </c>
      <c r="B105" t="s">
        <v>130</v>
      </c>
      <c r="C105" t="s">
        <v>18</v>
      </c>
      <c r="D105" t="s">
        <v>38</v>
      </c>
      <c r="F105" t="s">
        <v>163</v>
      </c>
      <c r="G105" t="s">
        <v>53</v>
      </c>
      <c r="H105" t="s">
        <v>47</v>
      </c>
      <c r="I105" s="131">
        <v>43474</v>
      </c>
      <c r="J105" s="6">
        <v>3222436000</v>
      </c>
      <c r="K105">
        <v>69070230.299999997</v>
      </c>
      <c r="L105">
        <v>3155600000</v>
      </c>
      <c r="M105">
        <v>0.2127</v>
      </c>
      <c r="N105">
        <v>98000000</v>
      </c>
      <c r="O105">
        <v>2.67</v>
      </c>
      <c r="P105">
        <v>1.5730314400000001E-2</v>
      </c>
      <c r="Q105" t="s">
        <v>42</v>
      </c>
      <c r="R105" t="s">
        <v>37</v>
      </c>
      <c r="S105" s="131">
        <v>43109</v>
      </c>
      <c r="T105" s="6">
        <f>DataTable[HLD_MaturityDate] - DataTable[SEC_Issue_Date]</f>
        <v>365</v>
      </c>
      <c r="U105" s="131" t="str">
        <f>DataTable[HLD_Portfolio]&amp;DataTable[HLD_Date]</f>
        <v>SCBSFFPLUS43397</v>
      </c>
      <c r="V105" t="str">
        <f>DataTable[[#This Row],[RefRng]]&amp;DataTable[[#This Row],[HLD_SecCode]]</f>
        <v>SCBSFFPLUS43397F12MBOCMC090119</v>
      </c>
    </row>
    <row r="106" spans="1:22" x14ac:dyDescent="0.2">
      <c r="A106" s="131">
        <v>43397</v>
      </c>
      <c r="B106" t="s">
        <v>130</v>
      </c>
      <c r="C106" t="s">
        <v>18</v>
      </c>
      <c r="D106" t="s">
        <v>38</v>
      </c>
      <c r="F106" t="s">
        <v>164</v>
      </c>
      <c r="G106" t="s">
        <v>53</v>
      </c>
      <c r="H106" t="s">
        <v>47</v>
      </c>
      <c r="I106" s="131">
        <v>43452</v>
      </c>
      <c r="J106" s="6">
        <v>2959380000</v>
      </c>
      <c r="K106">
        <v>68361678</v>
      </c>
      <c r="L106">
        <v>2945700000</v>
      </c>
      <c r="M106">
        <v>0.15216399999999999</v>
      </c>
      <c r="N106">
        <v>90000000</v>
      </c>
      <c r="O106">
        <v>2.7</v>
      </c>
      <c r="P106">
        <v>1.4469767E-2</v>
      </c>
      <c r="Q106" t="s">
        <v>42</v>
      </c>
      <c r="R106" t="s">
        <v>37</v>
      </c>
      <c r="S106" s="131">
        <v>43090</v>
      </c>
      <c r="T106" s="6">
        <f>DataTable[HLD_MaturityDate] - DataTable[SEC_Issue_Date]</f>
        <v>362</v>
      </c>
      <c r="U106" s="131" t="str">
        <f>DataTable[HLD_Portfolio]&amp;DataTable[HLD_Date]</f>
        <v>SCBSFFPLUS43397</v>
      </c>
      <c r="V106" t="str">
        <f>DataTable[[#This Row],[RefRng]]&amp;DataTable[[#This Row],[HLD_SecCode]]</f>
        <v>SCBSFFPLUS43397F12MBOCMC181218</v>
      </c>
    </row>
    <row r="107" spans="1:22" x14ac:dyDescent="0.2">
      <c r="A107" s="131">
        <v>43397</v>
      </c>
      <c r="B107" t="s">
        <v>130</v>
      </c>
      <c r="C107" t="s">
        <v>18</v>
      </c>
      <c r="D107" t="s">
        <v>38</v>
      </c>
      <c r="F107" t="s">
        <v>165</v>
      </c>
      <c r="G107" t="s">
        <v>53</v>
      </c>
      <c r="H107" t="s">
        <v>47</v>
      </c>
      <c r="I107" s="131">
        <v>43644</v>
      </c>
      <c r="J107" s="6">
        <v>2794970000</v>
      </c>
      <c r="K107">
        <v>31412357.280000001</v>
      </c>
      <c r="L107">
        <v>2805637500</v>
      </c>
      <c r="M107">
        <v>0.67047100000000004</v>
      </c>
      <c r="N107">
        <v>85000000</v>
      </c>
      <c r="O107">
        <v>3.4</v>
      </c>
      <c r="P107">
        <v>1.3507458199999999E-2</v>
      </c>
      <c r="Q107" t="s">
        <v>42</v>
      </c>
      <c r="R107" t="s">
        <v>37</v>
      </c>
      <c r="S107" s="131">
        <v>43279</v>
      </c>
      <c r="T107" s="6">
        <f>DataTable[HLD_MaturityDate] - DataTable[SEC_Issue_Date]</f>
        <v>365</v>
      </c>
      <c r="U107" s="131" t="str">
        <f>DataTable[HLD_Portfolio]&amp;DataTable[HLD_Date]</f>
        <v>SCBSFFPLUS43397</v>
      </c>
      <c r="V107" t="str">
        <f>DataTable[[#This Row],[RefRng]]&amp;DataTable[[#This Row],[HLD_SecCode]]</f>
        <v>SCBSFFPLUS43397F12MBOCMC280619</v>
      </c>
    </row>
    <row r="108" spans="1:22" x14ac:dyDescent="0.2">
      <c r="A108" s="131">
        <v>43397</v>
      </c>
      <c r="B108" t="s">
        <v>130</v>
      </c>
      <c r="C108" t="s">
        <v>18</v>
      </c>
      <c r="D108" t="s">
        <v>38</v>
      </c>
      <c r="F108" t="s">
        <v>166</v>
      </c>
      <c r="G108" t="s">
        <v>57</v>
      </c>
      <c r="H108" t="s">
        <v>58</v>
      </c>
      <c r="I108" s="131">
        <v>43678</v>
      </c>
      <c r="J108" s="6">
        <v>670000000</v>
      </c>
      <c r="K108">
        <v>2652465.75</v>
      </c>
      <c r="L108">
        <v>670000000</v>
      </c>
      <c r="M108">
        <v>0.75995599999999996</v>
      </c>
      <c r="N108">
        <v>670000000</v>
      </c>
      <c r="O108">
        <v>1.7</v>
      </c>
      <c r="P108">
        <v>3.2146482000000001E-3</v>
      </c>
      <c r="Q108" t="s">
        <v>42</v>
      </c>
      <c r="R108" t="s">
        <v>23</v>
      </c>
      <c r="S108" s="131">
        <v>43313</v>
      </c>
      <c r="T108" s="6">
        <f>DataTable[HLD_MaturityDate] - DataTable[SEC_Issue_Date]</f>
        <v>365</v>
      </c>
      <c r="U108" s="131" t="str">
        <f>DataTable[HLD_Portfolio]&amp;DataTable[HLD_Date]</f>
        <v>SCBSFFPLUS43397</v>
      </c>
      <c r="V108" t="str">
        <f>DataTable[[#This Row],[RefRng]]&amp;DataTable[[#This Row],[HLD_SecCode]]</f>
        <v>SCBSFFPLUS43397F12MGHB010819</v>
      </c>
    </row>
    <row r="109" spans="1:22" x14ac:dyDescent="0.2">
      <c r="A109" s="131">
        <v>43397</v>
      </c>
      <c r="B109" t="s">
        <v>130</v>
      </c>
      <c r="C109" t="s">
        <v>18</v>
      </c>
      <c r="D109" t="s">
        <v>38</v>
      </c>
      <c r="F109" t="s">
        <v>167</v>
      </c>
      <c r="G109" t="s">
        <v>57</v>
      </c>
      <c r="H109" t="s">
        <v>58</v>
      </c>
      <c r="I109" s="131">
        <v>43679</v>
      </c>
      <c r="J109" s="6">
        <v>1000000000</v>
      </c>
      <c r="K109">
        <v>3912328.77</v>
      </c>
      <c r="L109">
        <v>1000000000</v>
      </c>
      <c r="M109">
        <v>0.762625</v>
      </c>
      <c r="N109">
        <v>1000000000</v>
      </c>
      <c r="O109">
        <v>1.7</v>
      </c>
      <c r="P109">
        <v>4.7977599000000003E-3</v>
      </c>
      <c r="Q109" t="s">
        <v>42</v>
      </c>
      <c r="R109" t="s">
        <v>23</v>
      </c>
      <c r="S109" s="131">
        <v>43314</v>
      </c>
      <c r="T109" s="6">
        <f>DataTable[HLD_MaturityDate] - DataTable[SEC_Issue_Date]</f>
        <v>365</v>
      </c>
      <c r="U109" s="131" t="str">
        <f>DataTable[HLD_Portfolio]&amp;DataTable[HLD_Date]</f>
        <v>SCBSFFPLUS43397</v>
      </c>
      <c r="V109" t="str">
        <f>DataTable[[#This Row],[RefRng]]&amp;DataTable[[#This Row],[HLD_SecCode]]</f>
        <v>SCBSFFPLUS43397F12MGHB020819</v>
      </c>
    </row>
    <row r="110" spans="1:22" x14ac:dyDescent="0.2">
      <c r="A110" s="131">
        <v>43397</v>
      </c>
      <c r="B110" t="s">
        <v>130</v>
      </c>
      <c r="C110" t="s">
        <v>18</v>
      </c>
      <c r="D110" t="s">
        <v>38</v>
      </c>
      <c r="F110" t="s">
        <v>56</v>
      </c>
      <c r="G110" t="s">
        <v>57</v>
      </c>
      <c r="H110" t="s">
        <v>58</v>
      </c>
      <c r="I110" s="131">
        <v>43679</v>
      </c>
      <c r="J110" s="6">
        <v>700000000</v>
      </c>
      <c r="K110">
        <v>2706027.4</v>
      </c>
      <c r="L110">
        <v>700000000</v>
      </c>
      <c r="M110">
        <v>0.76262399999999997</v>
      </c>
      <c r="N110">
        <v>700000000</v>
      </c>
      <c r="O110">
        <v>1.7</v>
      </c>
      <c r="P110">
        <v>3.3582760999999999E-3</v>
      </c>
      <c r="Q110" t="s">
        <v>42</v>
      </c>
      <c r="R110" t="s">
        <v>23</v>
      </c>
      <c r="S110" s="131">
        <v>43315</v>
      </c>
      <c r="T110" s="6">
        <f>DataTable[HLD_MaturityDate] - DataTable[SEC_Issue_Date]</f>
        <v>364</v>
      </c>
      <c r="U110" s="131" t="str">
        <f>DataTable[HLD_Portfolio]&amp;DataTable[HLD_Date]</f>
        <v>SCBSFFPLUS43397</v>
      </c>
      <c r="V110" t="str">
        <f>DataTable[[#This Row],[RefRng]]&amp;DataTable[[#This Row],[HLD_SecCode]]</f>
        <v>SCBSFFPLUS43397F12MGHB020819a</v>
      </c>
    </row>
    <row r="111" spans="1:22" x14ac:dyDescent="0.2">
      <c r="A111" s="131">
        <v>43397</v>
      </c>
      <c r="B111" t="s">
        <v>130</v>
      </c>
      <c r="C111" t="s">
        <v>18</v>
      </c>
      <c r="D111" t="s">
        <v>38</v>
      </c>
      <c r="F111" t="s">
        <v>168</v>
      </c>
      <c r="G111" t="s">
        <v>57</v>
      </c>
      <c r="H111" t="s">
        <v>58</v>
      </c>
      <c r="I111" s="131">
        <v>43672</v>
      </c>
      <c r="J111" s="6">
        <v>160000000</v>
      </c>
      <c r="K111">
        <v>678136.99</v>
      </c>
      <c r="L111">
        <v>160000000</v>
      </c>
      <c r="M111">
        <v>0.74393600000000004</v>
      </c>
      <c r="N111">
        <v>160000000</v>
      </c>
      <c r="O111">
        <v>1.7</v>
      </c>
      <c r="P111">
        <v>7.678909E-4</v>
      </c>
      <c r="Q111" t="s">
        <v>42</v>
      </c>
      <c r="R111" t="s">
        <v>23</v>
      </c>
      <c r="S111" s="131">
        <v>43307</v>
      </c>
      <c r="T111" s="6">
        <f>DataTable[HLD_MaturityDate] - DataTable[SEC_Issue_Date]</f>
        <v>365</v>
      </c>
      <c r="U111" s="131" t="str">
        <f>DataTable[HLD_Portfolio]&amp;DataTable[HLD_Date]</f>
        <v>SCBSFFPLUS43397</v>
      </c>
      <c r="V111" t="str">
        <f>DataTable[[#This Row],[RefRng]]&amp;DataTable[[#This Row],[HLD_SecCode]]</f>
        <v>SCBSFFPLUS43397F12MGHB260719</v>
      </c>
    </row>
    <row r="112" spans="1:22" x14ac:dyDescent="0.2">
      <c r="A112" s="131">
        <v>43397</v>
      </c>
      <c r="B112" t="s">
        <v>130</v>
      </c>
      <c r="C112" t="s">
        <v>18</v>
      </c>
      <c r="D112" t="s">
        <v>38</v>
      </c>
      <c r="F112" t="s">
        <v>169</v>
      </c>
      <c r="G112" t="s">
        <v>170</v>
      </c>
      <c r="H112" t="s">
        <v>51</v>
      </c>
      <c r="I112" s="131">
        <v>43739</v>
      </c>
      <c r="J112" s="6">
        <v>2959380000</v>
      </c>
      <c r="K112">
        <v>8384910</v>
      </c>
      <c r="L112">
        <v>2914650000</v>
      </c>
      <c r="M112">
        <v>0.92035400000000001</v>
      </c>
      <c r="N112">
        <v>90000000</v>
      </c>
      <c r="O112">
        <v>3.4</v>
      </c>
      <c r="P112">
        <v>1.4183134300000001E-2</v>
      </c>
      <c r="Q112" t="s">
        <v>42</v>
      </c>
      <c r="R112" t="s">
        <v>37</v>
      </c>
      <c r="S112" s="131">
        <v>43368</v>
      </c>
      <c r="T112" s="6">
        <f>DataTable[HLD_MaturityDate] - DataTable[SEC_Issue_Date]</f>
        <v>371</v>
      </c>
      <c r="U112" s="131" t="str">
        <f>DataTable[HLD_Portfolio]&amp;DataTable[HLD_Date]</f>
        <v>SCBSFFPLUS43397</v>
      </c>
      <c r="V112" t="str">
        <f>DataTable[[#This Row],[RefRng]]&amp;DataTable[[#This Row],[HLD_SecCode]]</f>
        <v>SCBSFFPLUS43397F12MUNB011019</v>
      </c>
    </row>
    <row r="113" spans="1:22" x14ac:dyDescent="0.2">
      <c r="A113" s="131">
        <v>43397</v>
      </c>
      <c r="B113" t="s">
        <v>130</v>
      </c>
      <c r="C113" t="s">
        <v>18</v>
      </c>
      <c r="D113" t="s">
        <v>38</v>
      </c>
      <c r="F113" t="s">
        <v>171</v>
      </c>
      <c r="G113" t="s">
        <v>170</v>
      </c>
      <c r="H113" t="s">
        <v>51</v>
      </c>
      <c r="I113" s="131">
        <v>43740</v>
      </c>
      <c r="J113" s="6">
        <v>2959380000</v>
      </c>
      <c r="K113">
        <v>8105413</v>
      </c>
      <c r="L113">
        <v>2922750000</v>
      </c>
      <c r="M113">
        <v>0.92295799999999995</v>
      </c>
      <c r="N113">
        <v>90000000</v>
      </c>
      <c r="O113">
        <v>3.4</v>
      </c>
      <c r="P113">
        <v>1.41817986E-2</v>
      </c>
      <c r="Q113" t="s">
        <v>42</v>
      </c>
      <c r="R113" t="s">
        <v>37</v>
      </c>
      <c r="S113" s="131">
        <v>43369</v>
      </c>
      <c r="T113" s="6">
        <f>DataTable[HLD_MaturityDate] - DataTable[SEC_Issue_Date]</f>
        <v>371</v>
      </c>
      <c r="U113" s="131" t="str">
        <f>DataTable[HLD_Portfolio]&amp;DataTable[HLD_Date]</f>
        <v>SCBSFFPLUS43397</v>
      </c>
      <c r="V113" t="str">
        <f>DataTable[[#This Row],[RefRng]]&amp;DataTable[[#This Row],[HLD_SecCode]]</f>
        <v>SCBSFFPLUS43397F12MUNB021019a</v>
      </c>
    </row>
    <row r="114" spans="1:22" x14ac:dyDescent="0.2">
      <c r="A114" s="131">
        <v>43397</v>
      </c>
      <c r="B114" t="s">
        <v>130</v>
      </c>
      <c r="C114" t="s">
        <v>18</v>
      </c>
      <c r="D114" t="s">
        <v>38</v>
      </c>
      <c r="F114" t="s">
        <v>1223</v>
      </c>
      <c r="G114" t="s">
        <v>53</v>
      </c>
      <c r="H114" t="s">
        <v>47</v>
      </c>
      <c r="I114" s="131">
        <v>43481</v>
      </c>
      <c r="J114" s="6">
        <v>1876905000</v>
      </c>
      <c r="K114">
        <v>4692.26</v>
      </c>
      <c r="L114">
        <v>1892500000</v>
      </c>
      <c r="M114">
        <v>0.23332800000000001</v>
      </c>
      <c r="N114">
        <v>50000000</v>
      </c>
      <c r="O114">
        <v>0.01</v>
      </c>
      <c r="P114">
        <v>8.9698689000000005E-3</v>
      </c>
      <c r="Q114" t="s">
        <v>42</v>
      </c>
      <c r="R114" t="s">
        <v>31</v>
      </c>
      <c r="S114" s="131">
        <v>43389</v>
      </c>
      <c r="T114" s="6">
        <f>DataTable[HLD_MaturityDate] - DataTable[SEC_Issue_Date]</f>
        <v>92</v>
      </c>
      <c r="U114" s="131" t="str">
        <f>DataTable[HLD_Portfolio]&amp;DataTable[HLD_Date]</f>
        <v>SCBSFFPLUS43397</v>
      </c>
      <c r="V114" t="str">
        <f>DataTable[[#This Row],[RefRng]]&amp;DataTable[[#This Row],[HLD_SecCode]]</f>
        <v>SCBSFFPLUS43397F3MBOCMC160119</v>
      </c>
    </row>
    <row r="115" spans="1:22" x14ac:dyDescent="0.2">
      <c r="A115" s="131">
        <v>43397</v>
      </c>
      <c r="B115" t="s">
        <v>130</v>
      </c>
      <c r="C115" t="s">
        <v>18</v>
      </c>
      <c r="D115" t="s">
        <v>38</v>
      </c>
      <c r="F115" t="s">
        <v>1263</v>
      </c>
      <c r="G115" t="s">
        <v>53</v>
      </c>
      <c r="H115" t="s">
        <v>47</v>
      </c>
      <c r="I115" s="131">
        <v>43487</v>
      </c>
      <c r="J115" s="6">
        <v>1126143000</v>
      </c>
      <c r="K115">
        <v>938.45</v>
      </c>
      <c r="L115">
        <v>1124400000</v>
      </c>
      <c r="M115">
        <v>0.24999399999999999</v>
      </c>
      <c r="N115">
        <v>30000000</v>
      </c>
      <c r="O115">
        <v>0.01</v>
      </c>
      <c r="P115">
        <v>5.3819124000000001E-3</v>
      </c>
      <c r="Q115" t="s">
        <v>42</v>
      </c>
      <c r="R115" t="s">
        <v>31</v>
      </c>
      <c r="S115" s="131">
        <v>43395</v>
      </c>
      <c r="T115" s="6">
        <f>DataTable[HLD_MaturityDate] - DataTable[SEC_Issue_Date]</f>
        <v>92</v>
      </c>
      <c r="U115" s="131" t="str">
        <f>DataTable[HLD_Portfolio]&amp;DataTable[HLD_Date]</f>
        <v>SCBSFFPLUS43397</v>
      </c>
      <c r="V115" t="str">
        <f>DataTable[[#This Row],[RefRng]]&amp;DataTable[[#This Row],[HLD_SecCode]]</f>
        <v>SCBSFFPLUS43397F3MBOCMC220119a</v>
      </c>
    </row>
    <row r="116" spans="1:22" x14ac:dyDescent="0.2">
      <c r="A116" s="131">
        <v>43397</v>
      </c>
      <c r="B116" t="s">
        <v>130</v>
      </c>
      <c r="C116" t="s">
        <v>18</v>
      </c>
      <c r="D116" t="s">
        <v>38</v>
      </c>
      <c r="F116" t="s">
        <v>172</v>
      </c>
      <c r="G116" t="s">
        <v>46</v>
      </c>
      <c r="H116" t="s">
        <v>47</v>
      </c>
      <c r="I116" s="131">
        <v>43536</v>
      </c>
      <c r="J116" s="6">
        <v>1299954000</v>
      </c>
      <c r="K116">
        <v>3723566.87</v>
      </c>
      <c r="L116">
        <v>1296265000</v>
      </c>
      <c r="M116">
        <v>0.37716899999999998</v>
      </c>
      <c r="N116">
        <v>310000000</v>
      </c>
      <c r="O116">
        <v>2.5499999999999998</v>
      </c>
      <c r="P116">
        <v>6.2303567000000001E-3</v>
      </c>
      <c r="Q116" t="s">
        <v>42</v>
      </c>
      <c r="R116" t="s">
        <v>33</v>
      </c>
      <c r="S116" s="131">
        <v>43357</v>
      </c>
      <c r="T116" s="6">
        <f>DataTable[HLD_MaturityDate] - DataTable[SEC_Issue_Date]</f>
        <v>179</v>
      </c>
      <c r="U116" s="131" t="str">
        <f>DataTable[HLD_Portfolio]&amp;DataTable[HLD_Date]</f>
        <v>SCBSFFPLUS43397</v>
      </c>
      <c r="V116" t="str">
        <f>DataTable[[#This Row],[RefRng]]&amp;DataTable[[#This Row],[HLD_SecCode]]</f>
        <v>SCBSFFPLUS43397F6MABCHK120319</v>
      </c>
    </row>
    <row r="117" spans="1:22" x14ac:dyDescent="0.2">
      <c r="A117" s="131">
        <v>43397</v>
      </c>
      <c r="B117" t="s">
        <v>130</v>
      </c>
      <c r="C117" t="s">
        <v>18</v>
      </c>
      <c r="D117" t="s">
        <v>38</v>
      </c>
      <c r="F117" t="s">
        <v>173</v>
      </c>
      <c r="G117" t="s">
        <v>50</v>
      </c>
      <c r="H117" t="s">
        <v>51</v>
      </c>
      <c r="I117" s="131">
        <v>43398</v>
      </c>
      <c r="J117" s="6">
        <v>1315280000</v>
      </c>
      <c r="K117">
        <v>20058020</v>
      </c>
      <c r="L117">
        <v>1258000000</v>
      </c>
      <c r="M117">
        <v>2.7780000000000001E-3</v>
      </c>
      <c r="N117">
        <v>40000000</v>
      </c>
      <c r="O117">
        <v>3</v>
      </c>
      <c r="P117">
        <v>6.3816640000000004E-3</v>
      </c>
      <c r="Q117" t="s">
        <v>42</v>
      </c>
      <c r="R117" t="s">
        <v>37</v>
      </c>
      <c r="S117" s="131">
        <v>43215</v>
      </c>
      <c r="T117" s="6">
        <f>DataTable[HLD_MaturityDate] - DataTable[SEC_Issue_Date]</f>
        <v>183</v>
      </c>
      <c r="U117" s="131" t="str">
        <f>DataTable[HLD_Portfolio]&amp;DataTable[HLD_Date]</f>
        <v>SCBSFFPLUS43397</v>
      </c>
      <c r="V117" t="str">
        <f>DataTable[[#This Row],[RefRng]]&amp;DataTable[[#This Row],[HLD_SecCode]]</f>
        <v>SCBSFFPLUS43397F6MADCB251018</v>
      </c>
    </row>
    <row r="118" spans="1:22" x14ac:dyDescent="0.2">
      <c r="A118" s="131">
        <v>43397</v>
      </c>
      <c r="B118" t="s">
        <v>130</v>
      </c>
      <c r="C118" t="s">
        <v>18</v>
      </c>
      <c r="D118" t="s">
        <v>38</v>
      </c>
      <c r="F118" t="s">
        <v>174</v>
      </c>
      <c r="G118" t="s">
        <v>50</v>
      </c>
      <c r="H118" t="s">
        <v>51</v>
      </c>
      <c r="I118" s="131">
        <v>43430</v>
      </c>
      <c r="J118" s="6">
        <v>1644100000</v>
      </c>
      <c r="K118">
        <v>21099283.329999998</v>
      </c>
      <c r="L118">
        <v>1603000000</v>
      </c>
      <c r="M118">
        <v>9.1417999999999999E-2</v>
      </c>
      <c r="N118">
        <v>50000000</v>
      </c>
      <c r="O118">
        <v>3</v>
      </c>
      <c r="P118">
        <v>7.9580915999999998E-3</v>
      </c>
      <c r="Q118" t="s">
        <v>42</v>
      </c>
      <c r="R118" t="s">
        <v>37</v>
      </c>
      <c r="S118" s="131">
        <v>43244</v>
      </c>
      <c r="T118" s="6">
        <f>DataTable[HLD_MaturityDate] - DataTable[SEC_Issue_Date]</f>
        <v>186</v>
      </c>
      <c r="U118" s="131" t="str">
        <f>DataTable[HLD_Portfolio]&amp;DataTable[HLD_Date]</f>
        <v>SCBSFFPLUS43397</v>
      </c>
      <c r="V118" t="str">
        <f>DataTable[[#This Row],[RefRng]]&amp;DataTable[[#This Row],[HLD_SecCode]]</f>
        <v>SCBSFFPLUS43397F6MADCB261118</v>
      </c>
    </row>
    <row r="119" spans="1:22" x14ac:dyDescent="0.2">
      <c r="A119" s="131">
        <v>43397</v>
      </c>
      <c r="B119" t="s">
        <v>130</v>
      </c>
      <c r="C119" t="s">
        <v>18</v>
      </c>
      <c r="D119" t="s">
        <v>38</v>
      </c>
      <c r="F119" t="s">
        <v>66</v>
      </c>
      <c r="G119" t="s">
        <v>53</v>
      </c>
      <c r="H119" t="s">
        <v>47</v>
      </c>
      <c r="I119" s="131">
        <v>43409</v>
      </c>
      <c r="J119" s="6">
        <v>2815357500</v>
      </c>
      <c r="K119">
        <v>547430.63</v>
      </c>
      <c r="L119">
        <v>2850000000</v>
      </c>
      <c r="M119">
        <v>3.3333000000000002E-2</v>
      </c>
      <c r="N119">
        <v>75000000</v>
      </c>
      <c r="O119">
        <v>0.04</v>
      </c>
      <c r="P119">
        <v>1.3457386E-2</v>
      </c>
      <c r="Q119" t="s">
        <v>42</v>
      </c>
      <c r="R119" t="s">
        <v>31</v>
      </c>
      <c r="S119" s="131">
        <v>43223</v>
      </c>
      <c r="T119" s="6">
        <f>DataTable[HLD_MaturityDate] - DataTable[SEC_Issue_Date]</f>
        <v>186</v>
      </c>
      <c r="U119" s="131" t="str">
        <f>DataTable[HLD_Portfolio]&amp;DataTable[HLD_Date]</f>
        <v>SCBSFFPLUS43397</v>
      </c>
      <c r="V119" t="str">
        <f>DataTable[[#This Row],[RefRng]]&amp;DataTable[[#This Row],[HLD_SecCode]]</f>
        <v>SCBSFFPLUS43397F6MBOCMC051118</v>
      </c>
    </row>
    <row r="120" spans="1:22" x14ac:dyDescent="0.2">
      <c r="A120" s="131">
        <v>43397</v>
      </c>
      <c r="B120" t="s">
        <v>130</v>
      </c>
      <c r="C120" t="s">
        <v>18</v>
      </c>
      <c r="D120" t="s">
        <v>38</v>
      </c>
      <c r="F120" t="s">
        <v>175</v>
      </c>
      <c r="G120" t="s">
        <v>53</v>
      </c>
      <c r="H120" t="s">
        <v>47</v>
      </c>
      <c r="I120" s="131">
        <v>43423</v>
      </c>
      <c r="J120" s="6">
        <v>1644100000</v>
      </c>
      <c r="K120">
        <v>21470119.219999999</v>
      </c>
      <c r="L120">
        <v>1596250000</v>
      </c>
      <c r="M120">
        <v>7.2071999999999997E-2</v>
      </c>
      <c r="N120">
        <v>50000000</v>
      </c>
      <c r="O120">
        <v>2.92</v>
      </c>
      <c r="P120">
        <v>7.9598638999999992E-3</v>
      </c>
      <c r="Q120" t="s">
        <v>42</v>
      </c>
      <c r="R120" t="s">
        <v>37</v>
      </c>
      <c r="S120" s="131">
        <v>43237</v>
      </c>
      <c r="T120" s="6">
        <f>DataTable[HLD_MaturityDate] - DataTable[SEC_Issue_Date]</f>
        <v>186</v>
      </c>
      <c r="U120" s="131" t="str">
        <f>DataTable[HLD_Portfolio]&amp;DataTable[HLD_Date]</f>
        <v>SCBSFFPLUS43397</v>
      </c>
      <c r="V120" t="str">
        <f>DataTable[[#This Row],[RefRng]]&amp;DataTable[[#This Row],[HLD_SecCode]]</f>
        <v>SCBSFFPLUS43397F6MBOCMC191118</v>
      </c>
    </row>
    <row r="121" spans="1:22" x14ac:dyDescent="0.2">
      <c r="A121" s="131">
        <v>43397</v>
      </c>
      <c r="B121" t="s">
        <v>130</v>
      </c>
      <c r="C121" t="s">
        <v>18</v>
      </c>
      <c r="D121" t="s">
        <v>38</v>
      </c>
      <c r="F121" t="s">
        <v>176</v>
      </c>
      <c r="G121" t="s">
        <v>53</v>
      </c>
      <c r="H121" t="s">
        <v>47</v>
      </c>
      <c r="I121" s="131">
        <v>43424</v>
      </c>
      <c r="J121" s="6">
        <v>460348000</v>
      </c>
      <c r="K121">
        <v>5974294.04</v>
      </c>
      <c r="L121">
        <v>449330000</v>
      </c>
      <c r="M121">
        <v>7.4838000000000002E-2</v>
      </c>
      <c r="N121">
        <v>14000000</v>
      </c>
      <c r="O121">
        <v>2.92</v>
      </c>
      <c r="P121">
        <v>2.2285833999999998E-3</v>
      </c>
      <c r="Q121" t="s">
        <v>42</v>
      </c>
      <c r="R121" t="s">
        <v>37</v>
      </c>
      <c r="S121" s="131">
        <v>43238</v>
      </c>
      <c r="T121" s="6">
        <f>DataTable[HLD_MaturityDate] - DataTable[SEC_Issue_Date]</f>
        <v>186</v>
      </c>
      <c r="U121" s="131" t="str">
        <f>DataTable[HLD_Portfolio]&amp;DataTable[HLD_Date]</f>
        <v>SCBSFFPLUS43397</v>
      </c>
      <c r="V121" t="str">
        <f>DataTable[[#This Row],[RefRng]]&amp;DataTable[[#This Row],[HLD_SecCode]]</f>
        <v>SCBSFFPLUS43397F6MBOCMC201118</v>
      </c>
    </row>
    <row r="122" spans="1:22" x14ac:dyDescent="0.2">
      <c r="A122" s="131">
        <v>43397</v>
      </c>
      <c r="B122" t="s">
        <v>130</v>
      </c>
      <c r="C122" t="s">
        <v>18</v>
      </c>
      <c r="D122" t="s">
        <v>38</v>
      </c>
      <c r="F122" t="s">
        <v>177</v>
      </c>
      <c r="G122" t="s">
        <v>71</v>
      </c>
      <c r="H122" t="s">
        <v>27</v>
      </c>
      <c r="I122" s="131">
        <v>44196</v>
      </c>
      <c r="J122" s="6">
        <v>9535.0499999999993</v>
      </c>
      <c r="K122">
        <v>11.36</v>
      </c>
      <c r="L122">
        <v>9535.0499999999993</v>
      </c>
      <c r="M122">
        <v>0</v>
      </c>
      <c r="N122">
        <v>9535.0499999999993</v>
      </c>
      <c r="O122">
        <v>0</v>
      </c>
      <c r="P122">
        <v>4.5599999999999998E-8</v>
      </c>
      <c r="Q122" t="s">
        <v>42</v>
      </c>
      <c r="R122" t="s">
        <v>23</v>
      </c>
      <c r="S122" s="131">
        <v>41946</v>
      </c>
      <c r="T122" s="6">
        <f>DataTable[HLD_MaturityDate] - DataTable[SEC_Issue_Date]</f>
        <v>2250</v>
      </c>
      <c r="U122" s="131" t="str">
        <f>DataTable[HLD_Portfolio]&amp;DataTable[HLD_Date]</f>
        <v>SCBSFFPLUS43397</v>
      </c>
      <c r="V122" t="str">
        <f>DataTable[[#This Row],[RefRng]]&amp;DataTable[[#This Row],[HLD_SecCode]]</f>
        <v>SCBSFFPLUS43397INVSKTBsffplus</v>
      </c>
    </row>
    <row r="123" spans="1:22" x14ac:dyDescent="0.2">
      <c r="A123" s="131">
        <v>43397</v>
      </c>
      <c r="B123" t="s">
        <v>130</v>
      </c>
      <c r="C123" t="s">
        <v>18</v>
      </c>
      <c r="D123" t="s">
        <v>38</v>
      </c>
      <c r="F123" t="s">
        <v>178</v>
      </c>
      <c r="G123" t="s">
        <v>26</v>
      </c>
      <c r="H123" t="s">
        <v>27</v>
      </c>
      <c r="I123" s="131">
        <v>44196</v>
      </c>
      <c r="J123" s="6">
        <v>74274358.329999998</v>
      </c>
      <c r="K123">
        <v>59832.13</v>
      </c>
      <c r="L123">
        <v>85887038.310000002</v>
      </c>
      <c r="M123">
        <v>0</v>
      </c>
      <c r="N123">
        <v>15694197.34</v>
      </c>
      <c r="O123">
        <v>0</v>
      </c>
      <c r="P123">
        <v>3.552478E-4</v>
      </c>
      <c r="Q123" t="s">
        <v>42</v>
      </c>
      <c r="R123" t="s">
        <v>28</v>
      </c>
      <c r="S123" s="131">
        <v>41614</v>
      </c>
      <c r="T123" s="6">
        <f>DataTable[HLD_MaturityDate] - DataTable[SEC_Issue_Date]</f>
        <v>2582</v>
      </c>
      <c r="U123" s="131" t="str">
        <f>DataTable[HLD_Portfolio]&amp;DataTable[HLD_Date]</f>
        <v>SCBSFFPLUS43397</v>
      </c>
      <c r="V123" t="str">
        <f>DataTable[[#This Row],[RefRng]]&amp;DataTable[[#This Row],[HLD_SecCode]]</f>
        <v>SCBSFFPLUS43397INVSSCBCYsffp</v>
      </c>
    </row>
    <row r="124" spans="1:22" x14ac:dyDescent="0.2">
      <c r="A124" s="131">
        <v>43397</v>
      </c>
      <c r="B124" t="s">
        <v>130</v>
      </c>
      <c r="C124" t="s">
        <v>18</v>
      </c>
      <c r="D124" t="s">
        <v>38</v>
      </c>
      <c r="F124" t="s">
        <v>179</v>
      </c>
      <c r="G124" t="s">
        <v>26</v>
      </c>
      <c r="H124" t="s">
        <v>27</v>
      </c>
      <c r="I124" s="131">
        <v>44196</v>
      </c>
      <c r="J124" s="6">
        <v>123605089.01000001</v>
      </c>
      <c r="K124">
        <v>19914</v>
      </c>
      <c r="L124">
        <v>129319397.17</v>
      </c>
      <c r="M124">
        <v>0</v>
      </c>
      <c r="N124">
        <v>3759050.21</v>
      </c>
      <c r="O124">
        <v>0</v>
      </c>
      <c r="P124">
        <v>5.9081159999999999E-4</v>
      </c>
      <c r="Q124" t="s">
        <v>42</v>
      </c>
      <c r="R124" t="s">
        <v>37</v>
      </c>
      <c r="S124" s="131">
        <v>41617</v>
      </c>
      <c r="T124" s="6">
        <f>DataTable[HLD_MaturityDate] - DataTable[SEC_Issue_Date]</f>
        <v>2579</v>
      </c>
      <c r="U124" s="131" t="str">
        <f>DataTable[HLD_Portfolio]&amp;DataTable[HLD_Date]</f>
        <v>SCBSFFPLUS43397</v>
      </c>
      <c r="V124" t="str">
        <f>DataTable[[#This Row],[RefRng]]&amp;DataTable[[#This Row],[HLD_SecCode]]</f>
        <v>SCBSFFPLUS43397INVSSCBUSsffp</v>
      </c>
    </row>
    <row r="125" spans="1:22" x14ac:dyDescent="0.2">
      <c r="A125" s="131">
        <v>43397</v>
      </c>
      <c r="B125" t="s">
        <v>130</v>
      </c>
      <c r="C125" t="s">
        <v>18</v>
      </c>
      <c r="D125" t="s">
        <v>38</v>
      </c>
      <c r="F125" t="s">
        <v>180</v>
      </c>
      <c r="G125" t="s">
        <v>73</v>
      </c>
      <c r="H125" t="s">
        <v>58</v>
      </c>
      <c r="I125" s="131">
        <v>44196</v>
      </c>
      <c r="J125" s="6">
        <v>758730392.33000004</v>
      </c>
      <c r="K125">
        <v>1644382.65</v>
      </c>
      <c r="L125">
        <v>758730392.33000004</v>
      </c>
      <c r="M125">
        <v>0</v>
      </c>
      <c r="N125">
        <v>758730392.33000004</v>
      </c>
      <c r="O125">
        <v>0</v>
      </c>
      <c r="P125">
        <v>3.6338786999999999E-3</v>
      </c>
      <c r="Q125" t="s">
        <v>42</v>
      </c>
      <c r="R125" t="s">
        <v>23</v>
      </c>
      <c r="S125" s="131">
        <v>41652</v>
      </c>
      <c r="T125" s="6">
        <f>DataTable[HLD_MaturityDate] - DataTable[SEC_Issue_Date]</f>
        <v>2544</v>
      </c>
      <c r="U125" s="131" t="str">
        <f>DataTable[HLD_Portfolio]&amp;DataTable[HLD_Date]</f>
        <v>SCBSFFPLUS43397</v>
      </c>
      <c r="V125" t="str">
        <f>DataTable[[#This Row],[RefRng]]&amp;DataTable[[#This Row],[HLD_SecCode]]</f>
        <v>SCBSFFPLUS43397INVSUOBTsffplus</v>
      </c>
    </row>
    <row r="126" spans="1:22" x14ac:dyDescent="0.2">
      <c r="A126" s="131">
        <v>43397</v>
      </c>
      <c r="B126" t="s">
        <v>130</v>
      </c>
      <c r="C126" t="s">
        <v>18</v>
      </c>
      <c r="D126" t="s">
        <v>38</v>
      </c>
      <c r="F126" t="s">
        <v>74</v>
      </c>
      <c r="G126" t="s">
        <v>26</v>
      </c>
      <c r="H126" t="s">
        <v>27</v>
      </c>
      <c r="I126" s="131">
        <v>43468</v>
      </c>
      <c r="J126" s="6">
        <v>1500000000</v>
      </c>
      <c r="K126">
        <v>2157534.25</v>
      </c>
      <c r="L126">
        <v>1500000000</v>
      </c>
      <c r="M126">
        <v>0.19395499999999999</v>
      </c>
      <c r="N126">
        <v>1500000000</v>
      </c>
      <c r="O126">
        <v>1.5</v>
      </c>
      <c r="P126">
        <v>7.1789048999999997E-3</v>
      </c>
      <c r="Q126" t="s">
        <v>42</v>
      </c>
      <c r="R126" t="s">
        <v>23</v>
      </c>
      <c r="S126" s="131">
        <v>43363</v>
      </c>
      <c r="T126" s="6">
        <f>DataTable[HLD_MaturityDate] - DataTable[SEC_Issue_Date]</f>
        <v>105</v>
      </c>
      <c r="U126" s="131" t="str">
        <f>DataTable[HLD_Portfolio]&amp;DataTable[HLD_Date]</f>
        <v>SCBSFFPLUS43397</v>
      </c>
      <c r="V126" t="str">
        <f>DataTable[[#This Row],[RefRng]]&amp;DataTable[[#This Row],[HLD_SecCode]]</f>
        <v>SCBSFFPLUS43397S4MSCB030119</v>
      </c>
    </row>
    <row r="127" spans="1:22" x14ac:dyDescent="0.2">
      <c r="A127" s="131">
        <v>43397</v>
      </c>
      <c r="B127" t="s">
        <v>130</v>
      </c>
      <c r="C127" t="s">
        <v>18</v>
      </c>
      <c r="D127" t="s">
        <v>75</v>
      </c>
      <c r="F127" t="s">
        <v>181</v>
      </c>
      <c r="G127" t="s">
        <v>182</v>
      </c>
      <c r="H127" t="s">
        <v>51</v>
      </c>
      <c r="I127" s="131">
        <v>43502</v>
      </c>
      <c r="J127" s="6">
        <v>1353013829.5999999</v>
      </c>
      <c r="L127">
        <v>1353444133.5999999</v>
      </c>
      <c r="M127">
        <v>0.283468</v>
      </c>
      <c r="N127">
        <v>1360000000</v>
      </c>
      <c r="O127">
        <v>1.7</v>
      </c>
      <c r="P127">
        <v>6.4661377999999997E-3</v>
      </c>
      <c r="Q127" t="s">
        <v>42</v>
      </c>
      <c r="R127" t="s">
        <v>23</v>
      </c>
      <c r="S127" s="131">
        <v>43318</v>
      </c>
      <c r="T127" s="6">
        <f>DataTable[HLD_MaturityDate] - DataTable[SEC_Issue_Date]</f>
        <v>184</v>
      </c>
      <c r="U127" s="131" t="str">
        <f>DataTable[HLD_Portfolio]&amp;DataTable[HLD_Date]</f>
        <v>SCBSFFPLUS43397</v>
      </c>
      <c r="V127" t="str">
        <f>DataTable[[#This Row],[RefRng]]&amp;DataTable[[#This Row],[HLD_SecCode]]</f>
        <v>SCBSFFPLUS43397BANPU19206A</v>
      </c>
    </row>
    <row r="128" spans="1:22" x14ac:dyDescent="0.2">
      <c r="A128" s="131">
        <v>43397</v>
      </c>
      <c r="B128" t="s">
        <v>130</v>
      </c>
      <c r="C128" t="s">
        <v>18</v>
      </c>
      <c r="D128" t="s">
        <v>75</v>
      </c>
      <c r="F128" t="s">
        <v>183</v>
      </c>
      <c r="G128" t="s">
        <v>184</v>
      </c>
      <c r="H128" t="s">
        <v>47</v>
      </c>
      <c r="I128" s="131">
        <v>43424</v>
      </c>
      <c r="J128" s="6">
        <v>299621037</v>
      </c>
      <c r="L128">
        <v>299626494</v>
      </c>
      <c r="M128">
        <v>7.1155999999999997E-2</v>
      </c>
      <c r="N128">
        <v>300000000</v>
      </c>
      <c r="O128">
        <v>1.75</v>
      </c>
      <c r="P128">
        <v>1.4319077000000001E-3</v>
      </c>
      <c r="Q128" t="s">
        <v>42</v>
      </c>
      <c r="R128" t="s">
        <v>23</v>
      </c>
      <c r="S128" s="131">
        <v>43328</v>
      </c>
      <c r="T128" s="6">
        <f>DataTable[HLD_MaturityDate] - DataTable[SEC_Issue_Date]</f>
        <v>96</v>
      </c>
      <c r="U128" s="131" t="str">
        <f>DataTable[HLD_Portfolio]&amp;DataTable[HLD_Date]</f>
        <v>SCBSFFPLUS43397</v>
      </c>
      <c r="V128" t="str">
        <f>DataTable[[#This Row],[RefRng]]&amp;DataTable[[#This Row],[HLD_SecCode]]</f>
        <v>SCBSFFPLUS43397BTSG18N20A</v>
      </c>
    </row>
    <row r="129" spans="1:22" x14ac:dyDescent="0.2">
      <c r="A129" s="131">
        <v>43397</v>
      </c>
      <c r="B129" t="s">
        <v>130</v>
      </c>
      <c r="C129" t="s">
        <v>18</v>
      </c>
      <c r="D129" t="s">
        <v>75</v>
      </c>
      <c r="F129" t="s">
        <v>185</v>
      </c>
      <c r="G129" t="s">
        <v>186</v>
      </c>
      <c r="H129" t="s">
        <v>51</v>
      </c>
      <c r="I129" s="131">
        <v>43447</v>
      </c>
      <c r="J129" s="6">
        <v>1995718440</v>
      </c>
      <c r="L129">
        <v>1995753420</v>
      </c>
      <c r="M129">
        <v>0.13395099999999999</v>
      </c>
      <c r="N129">
        <v>2000000000</v>
      </c>
      <c r="O129">
        <v>1.585</v>
      </c>
      <c r="P129">
        <v>9.5376634000000002E-3</v>
      </c>
      <c r="Q129" t="s">
        <v>42</v>
      </c>
      <c r="R129" t="s">
        <v>23</v>
      </c>
      <c r="S129" s="131">
        <v>43207</v>
      </c>
      <c r="T129" s="6">
        <f>DataTable[HLD_MaturityDate] - DataTable[SEC_Issue_Date]</f>
        <v>240</v>
      </c>
      <c r="U129" s="131" t="str">
        <f>DataTable[HLD_Portfolio]&amp;DataTable[HLD_Date]</f>
        <v>SCBSFFPLUS43397</v>
      </c>
      <c r="V129" t="str">
        <f>DataTable[[#This Row],[RefRng]]&amp;DataTable[[#This Row],[HLD_SecCode]]</f>
        <v>SCBSFFPLUS43397CPF18D13A</v>
      </c>
    </row>
    <row r="130" spans="1:22" x14ac:dyDescent="0.2">
      <c r="A130" s="131">
        <v>43397</v>
      </c>
      <c r="B130" t="s">
        <v>130</v>
      </c>
      <c r="C130" t="s">
        <v>18</v>
      </c>
      <c r="D130" t="s">
        <v>75</v>
      </c>
      <c r="F130" t="s">
        <v>187</v>
      </c>
      <c r="G130" t="s">
        <v>186</v>
      </c>
      <c r="H130" t="s">
        <v>51</v>
      </c>
      <c r="I130" s="131">
        <v>43494</v>
      </c>
      <c r="J130" s="6">
        <v>398075276</v>
      </c>
      <c r="L130">
        <v>398063124</v>
      </c>
      <c r="M130">
        <v>0.26174799999999998</v>
      </c>
      <c r="N130">
        <v>400000000</v>
      </c>
      <c r="O130">
        <v>1.85</v>
      </c>
      <c r="P130">
        <v>1.9024267000000001E-3</v>
      </c>
      <c r="Q130" t="s">
        <v>42</v>
      </c>
      <c r="R130" t="s">
        <v>23</v>
      </c>
      <c r="S130" s="131">
        <v>43360</v>
      </c>
      <c r="T130" s="6">
        <f>DataTable[HLD_MaturityDate] - DataTable[SEC_Issue_Date]</f>
        <v>134</v>
      </c>
      <c r="U130" s="131" t="str">
        <f>DataTable[HLD_Portfolio]&amp;DataTable[HLD_Date]</f>
        <v>SCBSFFPLUS43397</v>
      </c>
      <c r="V130" t="str">
        <f>DataTable[[#This Row],[RefRng]]&amp;DataTable[[#This Row],[HLD_SecCode]]</f>
        <v>SCBSFFPLUS43397CPF19129A</v>
      </c>
    </row>
    <row r="131" spans="1:22" x14ac:dyDescent="0.2">
      <c r="A131" s="131">
        <v>43397</v>
      </c>
      <c r="B131" t="s">
        <v>130</v>
      </c>
      <c r="C131" t="s">
        <v>18</v>
      </c>
      <c r="D131" t="s">
        <v>75</v>
      </c>
      <c r="F131" t="s">
        <v>188</v>
      </c>
      <c r="G131" t="s">
        <v>189</v>
      </c>
      <c r="H131" t="s">
        <v>51</v>
      </c>
      <c r="I131" s="131">
        <v>43440</v>
      </c>
      <c r="J131" s="6">
        <v>1397490248</v>
      </c>
      <c r="L131">
        <v>1397346958</v>
      </c>
      <c r="M131">
        <v>0.11486300000000001</v>
      </c>
      <c r="N131">
        <v>1400000000</v>
      </c>
      <c r="O131">
        <v>1.65</v>
      </c>
      <c r="P131">
        <v>6.6786933999999996E-3</v>
      </c>
      <c r="Q131" t="s">
        <v>42</v>
      </c>
      <c r="R131" t="s">
        <v>23</v>
      </c>
      <c r="S131" s="131">
        <v>43174</v>
      </c>
      <c r="T131" s="6">
        <f>DataTable[HLD_MaturityDate] - DataTable[SEC_Issue_Date]</f>
        <v>266</v>
      </c>
      <c r="U131" s="131" t="str">
        <f>DataTable[HLD_Portfolio]&amp;DataTable[HLD_Date]</f>
        <v>SCBSFFPLUS43397</v>
      </c>
      <c r="V131" t="str">
        <f>DataTable[[#This Row],[RefRng]]&amp;DataTable[[#This Row],[HLD_SecCode]]</f>
        <v>SCBSFFPLUS43397CPFTH18D06A</v>
      </c>
    </row>
    <row r="132" spans="1:22" x14ac:dyDescent="0.2">
      <c r="A132" s="131">
        <v>43397</v>
      </c>
      <c r="B132" t="s">
        <v>130</v>
      </c>
      <c r="C132" t="s">
        <v>18</v>
      </c>
      <c r="D132" t="s">
        <v>75</v>
      </c>
      <c r="F132" t="s">
        <v>190</v>
      </c>
      <c r="G132" t="s">
        <v>189</v>
      </c>
      <c r="H132" t="s">
        <v>51</v>
      </c>
      <c r="I132" s="131">
        <v>43550</v>
      </c>
      <c r="J132" s="6">
        <v>992061120</v>
      </c>
      <c r="L132">
        <v>992765050</v>
      </c>
      <c r="M132">
        <v>0.413132</v>
      </c>
      <c r="N132">
        <v>1000000000</v>
      </c>
      <c r="O132">
        <v>1.75</v>
      </c>
      <c r="P132">
        <v>4.7411221999999996E-3</v>
      </c>
      <c r="Q132" t="s">
        <v>42</v>
      </c>
      <c r="R132" t="s">
        <v>23</v>
      </c>
      <c r="S132" s="131">
        <v>43326</v>
      </c>
      <c r="T132" s="6">
        <f>DataTable[HLD_MaturityDate] - DataTable[SEC_Issue_Date]</f>
        <v>224</v>
      </c>
      <c r="U132" s="131" t="str">
        <f>DataTable[HLD_Portfolio]&amp;DataTable[HLD_Date]</f>
        <v>SCBSFFPLUS43397</v>
      </c>
      <c r="V132" t="str">
        <f>DataTable[[#This Row],[RefRng]]&amp;DataTable[[#This Row],[HLD_SecCode]]</f>
        <v>SCBSFFPLUS43397CPFTH19326B</v>
      </c>
    </row>
    <row r="133" spans="1:22" x14ac:dyDescent="0.2">
      <c r="A133" s="131">
        <v>43397</v>
      </c>
      <c r="B133" t="s">
        <v>130</v>
      </c>
      <c r="C133" t="s">
        <v>18</v>
      </c>
      <c r="D133" t="s">
        <v>75</v>
      </c>
      <c r="F133" t="s">
        <v>191</v>
      </c>
      <c r="G133" t="s">
        <v>192</v>
      </c>
      <c r="H133" t="s">
        <v>193</v>
      </c>
      <c r="I133" s="131">
        <v>43417</v>
      </c>
      <c r="J133" s="6">
        <v>1498751730</v>
      </c>
      <c r="L133">
        <v>1498751730</v>
      </c>
      <c r="M133">
        <v>5.2012999999999997E-2</v>
      </c>
      <c r="N133">
        <v>1500000000</v>
      </c>
      <c r="O133">
        <v>1.6</v>
      </c>
      <c r="P133">
        <v>7.1626284E-3</v>
      </c>
      <c r="Q133" t="s">
        <v>42</v>
      </c>
      <c r="R133" t="s">
        <v>23</v>
      </c>
      <c r="S133" s="131">
        <v>43329</v>
      </c>
      <c r="T133" s="6">
        <f>DataTable[HLD_MaturityDate] - DataTable[SEC_Issue_Date]</f>
        <v>88</v>
      </c>
      <c r="U133" s="131" t="str">
        <f>DataTable[HLD_Portfolio]&amp;DataTable[HLD_Date]</f>
        <v>SCBSFFPLUS43397</v>
      </c>
      <c r="V133" t="str">
        <f>DataTable[[#This Row],[RefRng]]&amp;DataTable[[#This Row],[HLD_SecCode]]</f>
        <v>SCBSFFPLUS43397CPN18N13A</v>
      </c>
    </row>
    <row r="134" spans="1:22" x14ac:dyDescent="0.2">
      <c r="A134" s="131">
        <v>43397</v>
      </c>
      <c r="B134" t="s">
        <v>130</v>
      </c>
      <c r="C134" t="s">
        <v>18</v>
      </c>
      <c r="D134" t="s">
        <v>75</v>
      </c>
      <c r="F134" t="s">
        <v>837</v>
      </c>
      <c r="G134" t="s">
        <v>78</v>
      </c>
      <c r="H134" t="s">
        <v>51</v>
      </c>
      <c r="I134" s="131">
        <v>43438</v>
      </c>
      <c r="J134" s="6">
        <v>1497308940</v>
      </c>
      <c r="L134">
        <v>1497308940</v>
      </c>
      <c r="M134">
        <v>0.109393</v>
      </c>
      <c r="N134">
        <v>1500000000</v>
      </c>
      <c r="O134">
        <v>1.64</v>
      </c>
      <c r="P134">
        <v>7.1557332000000001E-3</v>
      </c>
      <c r="Q134" t="s">
        <v>42</v>
      </c>
      <c r="R134" t="s">
        <v>23</v>
      </c>
      <c r="S134" s="131">
        <v>43382</v>
      </c>
      <c r="T134" s="6">
        <f>DataTable[HLD_MaturityDate] - DataTable[SEC_Issue_Date]</f>
        <v>56</v>
      </c>
      <c r="U134" s="131" t="str">
        <f>DataTable[HLD_Portfolio]&amp;DataTable[HLD_Date]</f>
        <v>SCBSFFPLUS43397</v>
      </c>
      <c r="V134" t="str">
        <f>DataTable[[#This Row],[RefRng]]&amp;DataTable[[#This Row],[HLD_SecCode]]</f>
        <v>SCBSFFPLUS43397MPSC18D04A</v>
      </c>
    </row>
    <row r="135" spans="1:22" x14ac:dyDescent="0.2">
      <c r="A135" s="131">
        <v>43397</v>
      </c>
      <c r="B135" t="s">
        <v>130</v>
      </c>
      <c r="C135" t="s">
        <v>18</v>
      </c>
      <c r="D135" t="s">
        <v>75</v>
      </c>
      <c r="F135" t="s">
        <v>1277</v>
      </c>
      <c r="G135" t="s">
        <v>194</v>
      </c>
      <c r="H135" t="s">
        <v>29</v>
      </c>
      <c r="I135" s="131">
        <v>43487</v>
      </c>
      <c r="J135" s="6">
        <v>49729593.5</v>
      </c>
      <c r="L135">
        <v>49729593.5</v>
      </c>
      <c r="M135">
        <v>0.24251700000000001</v>
      </c>
      <c r="N135">
        <v>50000000</v>
      </c>
      <c r="O135">
        <v>2.23</v>
      </c>
      <c r="P135">
        <v>2.376608E-4</v>
      </c>
      <c r="Q135" t="s">
        <v>42</v>
      </c>
      <c r="R135" t="s">
        <v>23</v>
      </c>
      <c r="S135" s="131">
        <v>43397</v>
      </c>
      <c r="T135" s="6">
        <f>DataTable[HLD_MaturityDate] - DataTable[SEC_Issue_Date]</f>
        <v>90</v>
      </c>
      <c r="U135" s="131" t="str">
        <f>DataTable[HLD_Portfolio]&amp;DataTable[HLD_Date]</f>
        <v>SCBSFFPLUS43397</v>
      </c>
      <c r="V135" t="str">
        <f>DataTable[[#This Row],[RefRng]]&amp;DataTable[[#This Row],[HLD_SecCode]]</f>
        <v>SCBSFFPLUS43397SIRI19122A</v>
      </c>
    </row>
    <row r="136" spans="1:22" x14ac:dyDescent="0.2">
      <c r="A136" s="131">
        <v>43397</v>
      </c>
      <c r="B136" t="s">
        <v>130</v>
      </c>
      <c r="C136" t="s">
        <v>18</v>
      </c>
      <c r="D136" t="s">
        <v>75</v>
      </c>
      <c r="F136" t="s">
        <v>195</v>
      </c>
      <c r="G136" t="s">
        <v>80</v>
      </c>
      <c r="H136" t="s">
        <v>47</v>
      </c>
      <c r="I136" s="131">
        <v>43496</v>
      </c>
      <c r="J136" s="6">
        <v>696873826.12</v>
      </c>
      <c r="L136">
        <v>697052328.02999997</v>
      </c>
      <c r="M136">
        <v>0.26729399999999998</v>
      </c>
      <c r="N136">
        <v>700000000</v>
      </c>
      <c r="O136">
        <v>1.575</v>
      </c>
      <c r="P136">
        <v>3.3304036000000002E-3</v>
      </c>
      <c r="Q136" t="s">
        <v>42</v>
      </c>
      <c r="R136" t="s">
        <v>23</v>
      </c>
      <c r="S136" s="131">
        <v>43227</v>
      </c>
      <c r="T136" s="6">
        <f>DataTable[HLD_MaturityDate] - DataTable[SEC_Issue_Date]</f>
        <v>269</v>
      </c>
      <c r="U136" s="131" t="str">
        <f>DataTable[HLD_Portfolio]&amp;DataTable[HLD_Date]</f>
        <v>SCBSFFPLUS43397</v>
      </c>
      <c r="V136" t="str">
        <f>DataTable[[#This Row],[RefRng]]&amp;DataTable[[#This Row],[HLD_SecCode]]</f>
        <v>SCBSFFPLUS43397SPALI19131A</v>
      </c>
    </row>
    <row r="137" spans="1:22" x14ac:dyDescent="0.2">
      <c r="A137" s="131">
        <v>43397</v>
      </c>
      <c r="B137" t="s">
        <v>130</v>
      </c>
      <c r="C137" t="s">
        <v>18</v>
      </c>
      <c r="D137" t="s">
        <v>75</v>
      </c>
      <c r="F137" t="s">
        <v>79</v>
      </c>
      <c r="G137" t="s">
        <v>80</v>
      </c>
      <c r="H137" t="s">
        <v>47</v>
      </c>
      <c r="I137" s="131">
        <v>43514</v>
      </c>
      <c r="J137" s="6">
        <v>845383658.5</v>
      </c>
      <c r="L137">
        <v>845485803</v>
      </c>
      <c r="M137">
        <v>0.31608199999999997</v>
      </c>
      <c r="N137">
        <v>850000000</v>
      </c>
      <c r="O137">
        <v>1.68</v>
      </c>
      <c r="P137">
        <v>4.0401413999999998E-3</v>
      </c>
      <c r="Q137" t="s">
        <v>42</v>
      </c>
      <c r="R137" t="s">
        <v>23</v>
      </c>
      <c r="S137" s="131">
        <v>43244</v>
      </c>
      <c r="T137" s="6">
        <f>DataTable[HLD_MaturityDate] - DataTable[SEC_Issue_Date]</f>
        <v>270</v>
      </c>
      <c r="U137" s="131" t="str">
        <f>DataTable[HLD_Portfolio]&amp;DataTable[HLD_Date]</f>
        <v>SCBSFFPLUS43397</v>
      </c>
      <c r="V137" t="str">
        <f>DataTable[[#This Row],[RefRng]]&amp;DataTable[[#This Row],[HLD_SecCode]]</f>
        <v>SCBSFFPLUS43397SPALI19218A</v>
      </c>
    </row>
    <row r="138" spans="1:22" x14ac:dyDescent="0.2">
      <c r="A138" s="131">
        <v>43397</v>
      </c>
      <c r="B138" t="s">
        <v>130</v>
      </c>
      <c r="C138" t="s">
        <v>18</v>
      </c>
      <c r="D138" t="s">
        <v>81</v>
      </c>
      <c r="F138" t="s">
        <v>82</v>
      </c>
      <c r="G138" t="s">
        <v>83</v>
      </c>
      <c r="H138" t="s">
        <v>29</v>
      </c>
      <c r="I138" s="131">
        <v>43418</v>
      </c>
      <c r="J138" s="6">
        <v>1488007938.8599999</v>
      </c>
      <c r="L138">
        <v>1487994508.0799999</v>
      </c>
      <c r="M138">
        <v>5.4757E-2</v>
      </c>
      <c r="N138">
        <v>1489000000</v>
      </c>
      <c r="O138">
        <v>1.2332240000000001</v>
      </c>
      <c r="P138">
        <v>7.1112831E-3</v>
      </c>
      <c r="Q138" t="s">
        <v>42</v>
      </c>
      <c r="R138" t="s">
        <v>23</v>
      </c>
      <c r="S138" s="131">
        <v>43054</v>
      </c>
      <c r="T138" s="6">
        <f>DataTable[HLD_MaturityDate] - DataTable[SEC_Issue_Date]</f>
        <v>364</v>
      </c>
      <c r="U138" s="131" t="str">
        <f>DataTable[HLD_Portfolio]&amp;DataTable[HLD_Date]</f>
        <v>SCBSFFPLUS43397</v>
      </c>
      <c r="V138" t="str">
        <f>DataTable[[#This Row],[RefRng]]&amp;DataTable[[#This Row],[HLD_SecCode]]</f>
        <v>SCBSFFPLUS43397TB18N14A</v>
      </c>
    </row>
    <row r="139" spans="1:22" x14ac:dyDescent="0.2">
      <c r="A139" s="131">
        <v>43397</v>
      </c>
      <c r="B139" t="s">
        <v>130</v>
      </c>
      <c r="C139" t="s">
        <v>18</v>
      </c>
      <c r="D139" t="s">
        <v>81</v>
      </c>
      <c r="F139" t="s">
        <v>84</v>
      </c>
      <c r="G139" t="s">
        <v>83</v>
      </c>
      <c r="H139" t="s">
        <v>29</v>
      </c>
      <c r="I139" s="131">
        <v>43558</v>
      </c>
      <c r="J139" s="6">
        <v>1181255058.9000001</v>
      </c>
      <c r="L139">
        <v>1183194758.9000001</v>
      </c>
      <c r="M139">
        <v>0.43513499999999999</v>
      </c>
      <c r="N139">
        <v>1190000000</v>
      </c>
      <c r="O139">
        <v>1.312079</v>
      </c>
      <c r="P139">
        <v>5.6452919000000001E-3</v>
      </c>
      <c r="Q139" t="s">
        <v>42</v>
      </c>
      <c r="R139" t="s">
        <v>23</v>
      </c>
      <c r="S139" s="131">
        <v>43194</v>
      </c>
      <c r="T139" s="6">
        <f>DataTable[HLD_MaturityDate] - DataTable[SEC_Issue_Date]</f>
        <v>364</v>
      </c>
      <c r="U139" s="131" t="str">
        <f>DataTable[HLD_Portfolio]&amp;DataTable[HLD_Date]</f>
        <v>SCBSFFPLUS43397</v>
      </c>
      <c r="V139" t="str">
        <f>DataTable[[#This Row],[RefRng]]&amp;DataTable[[#This Row],[HLD_SecCode]]</f>
        <v>SCBSFFPLUS43397TB19403A</v>
      </c>
    </row>
    <row r="140" spans="1:22" x14ac:dyDescent="0.2">
      <c r="A140" s="131">
        <v>43397</v>
      </c>
      <c r="B140" t="s">
        <v>130</v>
      </c>
      <c r="C140" t="s">
        <v>18</v>
      </c>
      <c r="D140" t="s">
        <v>85</v>
      </c>
      <c r="F140" t="s">
        <v>86</v>
      </c>
      <c r="G140" t="s">
        <v>87</v>
      </c>
      <c r="I140" s="131">
        <v>43440</v>
      </c>
      <c r="J140" s="6">
        <v>6989544380</v>
      </c>
      <c r="L140">
        <v>6989202220</v>
      </c>
      <c r="M140">
        <v>0.114895</v>
      </c>
      <c r="N140">
        <v>7000000000</v>
      </c>
      <c r="O140">
        <v>1.3426100000000001</v>
      </c>
      <c r="P140">
        <v>3.34034702E-2</v>
      </c>
      <c r="Q140" t="s">
        <v>42</v>
      </c>
      <c r="R140" t="s">
        <v>23</v>
      </c>
      <c r="S140" s="131">
        <v>43349</v>
      </c>
      <c r="T140" s="6">
        <f>DataTable[HLD_MaturityDate] - DataTable[SEC_Issue_Date]</f>
        <v>91</v>
      </c>
      <c r="U140" s="131" t="str">
        <f>DataTable[HLD_Portfolio]&amp;DataTable[HLD_Date]</f>
        <v>SCBSFFPLUS43397</v>
      </c>
      <c r="V140" t="str">
        <f>DataTable[[#This Row],[RefRng]]&amp;DataTable[[#This Row],[HLD_SecCode]]</f>
        <v>SCBSFFPLUS43397CB18D06C</v>
      </c>
    </row>
    <row r="141" spans="1:22" x14ac:dyDescent="0.2">
      <c r="A141" s="131">
        <v>43397</v>
      </c>
      <c r="B141" t="s">
        <v>130</v>
      </c>
      <c r="C141" t="s">
        <v>18</v>
      </c>
      <c r="D141" t="s">
        <v>85</v>
      </c>
      <c r="F141" t="s">
        <v>196</v>
      </c>
      <c r="G141" t="s">
        <v>87</v>
      </c>
      <c r="I141" s="131">
        <v>43447</v>
      </c>
      <c r="J141" s="6">
        <v>570031367.01999998</v>
      </c>
      <c r="L141">
        <v>570031367.01999998</v>
      </c>
      <c r="M141">
        <v>0.133989</v>
      </c>
      <c r="N141">
        <v>571000000</v>
      </c>
      <c r="O141">
        <v>1.265779</v>
      </c>
      <c r="P141">
        <v>2.7242156000000001E-3</v>
      </c>
      <c r="Q141" t="s">
        <v>42</v>
      </c>
      <c r="R141" t="s">
        <v>23</v>
      </c>
      <c r="S141" s="131">
        <v>43265</v>
      </c>
      <c r="T141" s="6">
        <f>DataTable[HLD_MaturityDate] - DataTable[SEC_Issue_Date]</f>
        <v>182</v>
      </c>
      <c r="U141" s="131" t="str">
        <f>DataTable[HLD_Portfolio]&amp;DataTable[HLD_Date]</f>
        <v>SCBSFFPLUS43397</v>
      </c>
      <c r="V141" t="str">
        <f>DataTable[[#This Row],[RefRng]]&amp;DataTable[[#This Row],[HLD_SecCode]]</f>
        <v>SCBSFFPLUS43397CB18D13A</v>
      </c>
    </row>
    <row r="142" spans="1:22" x14ac:dyDescent="0.2">
      <c r="A142" s="131">
        <v>43397</v>
      </c>
      <c r="B142" t="s">
        <v>130</v>
      </c>
      <c r="C142" t="s">
        <v>18</v>
      </c>
      <c r="D142" t="s">
        <v>85</v>
      </c>
      <c r="F142" t="s">
        <v>88</v>
      </c>
      <c r="G142" t="s">
        <v>87</v>
      </c>
      <c r="I142" s="131">
        <v>43447</v>
      </c>
      <c r="J142" s="6">
        <v>5139037127.7700005</v>
      </c>
      <c r="L142">
        <v>5138959150.7200003</v>
      </c>
      <c r="M142">
        <v>0.13397899999999999</v>
      </c>
      <c r="N142">
        <v>5147000000</v>
      </c>
      <c r="O142">
        <v>1.1655310000000001</v>
      </c>
      <c r="P142">
        <v>2.4559780199999999E-2</v>
      </c>
      <c r="Q142" t="s">
        <v>42</v>
      </c>
      <c r="R142" t="s">
        <v>23</v>
      </c>
      <c r="S142" s="131">
        <v>43356</v>
      </c>
      <c r="T142" s="6">
        <f>DataTable[HLD_MaturityDate] - DataTable[SEC_Issue_Date]</f>
        <v>91</v>
      </c>
      <c r="U142" s="131" t="str">
        <f>DataTable[HLD_Portfolio]&amp;DataTable[HLD_Date]</f>
        <v>SCBSFFPLUS43397</v>
      </c>
      <c r="V142" t="str">
        <f>DataTable[[#This Row],[RefRng]]&amp;DataTable[[#This Row],[HLD_SecCode]]</f>
        <v>SCBSFFPLUS43397CB18D13B</v>
      </c>
    </row>
    <row r="143" spans="1:22" x14ac:dyDescent="0.2">
      <c r="A143" s="131">
        <v>43397</v>
      </c>
      <c r="B143" t="s">
        <v>130</v>
      </c>
      <c r="C143" t="s">
        <v>18</v>
      </c>
      <c r="D143" t="s">
        <v>85</v>
      </c>
      <c r="F143" t="s">
        <v>89</v>
      </c>
      <c r="G143" t="s">
        <v>87</v>
      </c>
      <c r="I143" s="131">
        <v>43454</v>
      </c>
      <c r="J143" s="6">
        <v>4490353911.7799997</v>
      </c>
      <c r="L143">
        <v>4489515748.0799999</v>
      </c>
      <c r="M143">
        <v>0.153085</v>
      </c>
      <c r="N143">
        <v>4499000000</v>
      </c>
      <c r="O143">
        <v>1.376922</v>
      </c>
      <c r="P143">
        <v>2.14596825E-2</v>
      </c>
      <c r="Q143" t="s">
        <v>42</v>
      </c>
      <c r="R143" t="s">
        <v>23</v>
      </c>
      <c r="S143" s="131">
        <v>43363</v>
      </c>
      <c r="T143" s="6">
        <f>DataTable[HLD_MaturityDate] - DataTable[SEC_Issue_Date]</f>
        <v>91</v>
      </c>
      <c r="U143" s="131" t="str">
        <f>DataTable[HLD_Portfolio]&amp;DataTable[HLD_Date]</f>
        <v>SCBSFFPLUS43397</v>
      </c>
      <c r="V143" t="str">
        <f>DataTable[[#This Row],[RefRng]]&amp;DataTable[[#This Row],[HLD_SecCode]]</f>
        <v>SCBSFFPLUS43397CB18D20B</v>
      </c>
    </row>
    <row r="144" spans="1:22" x14ac:dyDescent="0.2">
      <c r="A144" s="131">
        <v>43397</v>
      </c>
      <c r="B144" t="s">
        <v>130</v>
      </c>
      <c r="C144" t="s">
        <v>18</v>
      </c>
      <c r="D144" t="s">
        <v>85</v>
      </c>
      <c r="F144" t="s">
        <v>197</v>
      </c>
      <c r="G144" t="s">
        <v>87</v>
      </c>
      <c r="I144" s="131">
        <v>43461</v>
      </c>
      <c r="J144" s="6">
        <v>1033494268.24</v>
      </c>
      <c r="L144">
        <v>1033327845.2</v>
      </c>
      <c r="M144">
        <v>0.172151</v>
      </c>
      <c r="N144">
        <v>1036000000</v>
      </c>
      <c r="O144">
        <v>1.498219</v>
      </c>
      <c r="P144">
        <v>4.9391338000000003E-3</v>
      </c>
      <c r="Q144" t="s">
        <v>42</v>
      </c>
      <c r="R144" t="s">
        <v>23</v>
      </c>
      <c r="S144" s="131">
        <v>43370</v>
      </c>
      <c r="T144" s="6">
        <f>DataTable[HLD_MaturityDate] - DataTable[SEC_Issue_Date]</f>
        <v>91</v>
      </c>
      <c r="U144" s="131" t="str">
        <f>DataTable[HLD_Portfolio]&amp;DataTable[HLD_Date]</f>
        <v>SCBSFFPLUS43397</v>
      </c>
      <c r="V144" t="str">
        <f>DataTable[[#This Row],[RefRng]]&amp;DataTable[[#This Row],[HLD_SecCode]]</f>
        <v>SCBSFFPLUS43397CB18D27B</v>
      </c>
    </row>
    <row r="145" spans="1:22" x14ac:dyDescent="0.2">
      <c r="A145" s="131">
        <v>43397</v>
      </c>
      <c r="B145" t="s">
        <v>130</v>
      </c>
      <c r="C145" t="s">
        <v>18</v>
      </c>
      <c r="D145" t="s">
        <v>85</v>
      </c>
      <c r="F145" t="s">
        <v>198</v>
      </c>
      <c r="G145" t="s">
        <v>87</v>
      </c>
      <c r="I145" s="131">
        <v>43405</v>
      </c>
      <c r="J145" s="6">
        <v>1062763812.03</v>
      </c>
      <c r="L145">
        <v>1062763812.03</v>
      </c>
      <c r="M145">
        <v>1.9174E-2</v>
      </c>
      <c r="N145">
        <v>1063000000</v>
      </c>
      <c r="O145">
        <v>1.158838</v>
      </c>
      <c r="P145">
        <v>5.0790148E-3</v>
      </c>
      <c r="Q145" t="s">
        <v>42</v>
      </c>
      <c r="R145" t="s">
        <v>23</v>
      </c>
      <c r="S145" s="131">
        <v>43223</v>
      </c>
      <c r="T145" s="6">
        <f>DataTable[HLD_MaturityDate] - DataTable[SEC_Issue_Date]</f>
        <v>182</v>
      </c>
      <c r="U145" s="131" t="str">
        <f>DataTable[HLD_Portfolio]&amp;DataTable[HLD_Date]</f>
        <v>SCBSFFPLUS43397</v>
      </c>
      <c r="V145" t="str">
        <f>DataTable[[#This Row],[RefRng]]&amp;DataTable[[#This Row],[HLD_SecCode]]</f>
        <v>SCBSFFPLUS43397CB18N01A</v>
      </c>
    </row>
    <row r="146" spans="1:22" x14ac:dyDescent="0.2">
      <c r="A146" s="131">
        <v>43397</v>
      </c>
      <c r="B146" t="s">
        <v>130</v>
      </c>
      <c r="C146" t="s">
        <v>18</v>
      </c>
      <c r="D146" t="s">
        <v>85</v>
      </c>
      <c r="F146" t="s">
        <v>90</v>
      </c>
      <c r="G146" t="s">
        <v>87</v>
      </c>
      <c r="I146" s="131">
        <v>43405</v>
      </c>
      <c r="J146" s="6">
        <v>3118235564.29</v>
      </c>
      <c r="L146">
        <v>3118231291.2600002</v>
      </c>
      <c r="M146">
        <v>1.9174E-2</v>
      </c>
      <c r="N146">
        <v>3119000000</v>
      </c>
      <c r="O146">
        <v>1.285431</v>
      </c>
      <c r="P146">
        <v>1.4902243000000001E-2</v>
      </c>
      <c r="Q146" t="s">
        <v>42</v>
      </c>
      <c r="R146" t="s">
        <v>23</v>
      </c>
      <c r="S146" s="131">
        <v>43314</v>
      </c>
      <c r="T146" s="6">
        <f>DataTable[HLD_MaturityDate] - DataTable[SEC_Issue_Date]</f>
        <v>91</v>
      </c>
      <c r="U146" s="131" t="str">
        <f>DataTable[HLD_Portfolio]&amp;DataTable[HLD_Date]</f>
        <v>SCBSFFPLUS43397</v>
      </c>
      <c r="V146" t="str">
        <f>DataTable[[#This Row],[RefRng]]&amp;DataTable[[#This Row],[HLD_SecCode]]</f>
        <v>SCBSFFPLUS43397CB18N01B</v>
      </c>
    </row>
    <row r="147" spans="1:22" x14ac:dyDescent="0.2">
      <c r="A147" s="131">
        <v>43397</v>
      </c>
      <c r="B147" t="s">
        <v>130</v>
      </c>
      <c r="C147" t="s">
        <v>18</v>
      </c>
      <c r="D147" t="s">
        <v>85</v>
      </c>
      <c r="F147" t="s">
        <v>1251</v>
      </c>
      <c r="G147" t="s">
        <v>87</v>
      </c>
      <c r="I147" s="131">
        <v>43410</v>
      </c>
      <c r="J147" s="6">
        <v>58976771.109999999</v>
      </c>
      <c r="L147">
        <v>58976771.109999999</v>
      </c>
      <c r="M147">
        <v>3.2863999999999997E-2</v>
      </c>
      <c r="N147">
        <v>59000000</v>
      </c>
      <c r="O147">
        <v>1.198</v>
      </c>
      <c r="P147">
        <v>2.8185370000000001E-4</v>
      </c>
      <c r="Q147" t="s">
        <v>42</v>
      </c>
      <c r="R147" t="s">
        <v>23</v>
      </c>
      <c r="S147" s="131">
        <v>43397</v>
      </c>
      <c r="T147" s="6">
        <f>DataTable[HLD_MaturityDate] - DataTable[SEC_Issue_Date]</f>
        <v>13</v>
      </c>
      <c r="U147" s="131" t="str">
        <f>DataTable[HLD_Portfolio]&amp;DataTable[HLD_Date]</f>
        <v>SCBSFFPLUS43397</v>
      </c>
      <c r="V147" t="str">
        <f>DataTable[[#This Row],[RefRng]]&amp;DataTable[[#This Row],[HLD_SecCode]]</f>
        <v>SCBSFFPLUS43397CB18N06A</v>
      </c>
    </row>
    <row r="148" spans="1:22" x14ac:dyDescent="0.2">
      <c r="A148" s="131">
        <v>43397</v>
      </c>
      <c r="B148" t="s">
        <v>130</v>
      </c>
      <c r="C148" t="s">
        <v>18</v>
      </c>
      <c r="D148" t="s">
        <v>85</v>
      </c>
      <c r="F148" t="s">
        <v>91</v>
      </c>
      <c r="G148" t="s">
        <v>87</v>
      </c>
      <c r="I148" s="131">
        <v>43412</v>
      </c>
      <c r="J148" s="6">
        <v>1860123729.54</v>
      </c>
      <c r="L148">
        <v>1860123729.54</v>
      </c>
      <c r="M148">
        <v>3.8337999999999997E-2</v>
      </c>
      <c r="N148">
        <v>1861000000</v>
      </c>
      <c r="O148">
        <v>1.228165</v>
      </c>
      <c r="P148">
        <v>8.8896478000000008E-3</v>
      </c>
      <c r="Q148" t="s">
        <v>42</v>
      </c>
      <c r="R148" t="s">
        <v>23</v>
      </c>
      <c r="S148" s="131">
        <v>43230</v>
      </c>
      <c r="T148" s="6">
        <f>DataTable[HLD_MaturityDate] - DataTable[SEC_Issue_Date]</f>
        <v>182</v>
      </c>
      <c r="U148" s="131" t="str">
        <f>DataTable[HLD_Portfolio]&amp;DataTable[HLD_Date]</f>
        <v>SCBSFFPLUS43397</v>
      </c>
      <c r="V148" t="str">
        <f>DataTable[[#This Row],[RefRng]]&amp;DataTable[[#This Row],[HLD_SecCode]]</f>
        <v>SCBSFFPLUS43397CB18N08A</v>
      </c>
    </row>
    <row r="149" spans="1:22" x14ac:dyDescent="0.2">
      <c r="A149" s="131">
        <v>43397</v>
      </c>
      <c r="B149" t="s">
        <v>130</v>
      </c>
      <c r="C149" t="s">
        <v>18</v>
      </c>
      <c r="D149" t="s">
        <v>85</v>
      </c>
      <c r="F149" t="s">
        <v>92</v>
      </c>
      <c r="G149" t="s">
        <v>87</v>
      </c>
      <c r="I149" s="131">
        <v>43412</v>
      </c>
      <c r="J149" s="6">
        <v>5716234005.6499996</v>
      </c>
      <c r="L149">
        <v>5716220680.3800001</v>
      </c>
      <c r="M149">
        <v>3.8337999999999997E-2</v>
      </c>
      <c r="N149">
        <v>5719000000</v>
      </c>
      <c r="O149">
        <v>1.2676259999999999</v>
      </c>
      <c r="P149">
        <v>2.73182402E-2</v>
      </c>
      <c r="Q149" t="s">
        <v>42</v>
      </c>
      <c r="R149" t="s">
        <v>23</v>
      </c>
      <c r="S149" s="131">
        <v>43321</v>
      </c>
      <c r="T149" s="6">
        <f>DataTable[HLD_MaturityDate] - DataTable[SEC_Issue_Date]</f>
        <v>91</v>
      </c>
      <c r="U149" s="131" t="str">
        <f>DataTable[HLD_Portfolio]&amp;DataTable[HLD_Date]</f>
        <v>SCBSFFPLUS43397</v>
      </c>
      <c r="V149" t="str">
        <f>DataTable[[#This Row],[RefRng]]&amp;DataTable[[#This Row],[HLD_SecCode]]</f>
        <v>SCBSFFPLUS43397CB18N08B</v>
      </c>
    </row>
    <row r="150" spans="1:22" x14ac:dyDescent="0.2">
      <c r="A150" s="131">
        <v>43397</v>
      </c>
      <c r="B150" t="s">
        <v>130</v>
      </c>
      <c r="C150" t="s">
        <v>18</v>
      </c>
      <c r="D150" t="s">
        <v>85</v>
      </c>
      <c r="F150" t="s">
        <v>93</v>
      </c>
      <c r="G150" t="s">
        <v>87</v>
      </c>
      <c r="I150" s="131">
        <v>43419</v>
      </c>
      <c r="J150" s="6">
        <v>837428835.96000004</v>
      </c>
      <c r="L150">
        <v>837428835.96000004</v>
      </c>
      <c r="M150">
        <v>5.7493000000000002E-2</v>
      </c>
      <c r="N150">
        <v>838000000</v>
      </c>
      <c r="O150">
        <v>1.185459</v>
      </c>
      <c r="P150">
        <v>4.0021248000000004E-3</v>
      </c>
      <c r="Q150" t="s">
        <v>42</v>
      </c>
      <c r="R150" t="s">
        <v>23</v>
      </c>
      <c r="S150" s="131">
        <v>43237</v>
      </c>
      <c r="T150" s="6">
        <f>DataTable[HLD_MaturityDate] - DataTable[SEC_Issue_Date]</f>
        <v>182</v>
      </c>
      <c r="U150" s="131" t="str">
        <f>DataTable[HLD_Portfolio]&amp;DataTable[HLD_Date]</f>
        <v>SCBSFFPLUS43397</v>
      </c>
      <c r="V150" t="str">
        <f>DataTable[[#This Row],[RefRng]]&amp;DataTable[[#This Row],[HLD_SecCode]]</f>
        <v>SCBSFFPLUS43397CB18N15A</v>
      </c>
    </row>
    <row r="151" spans="1:22" x14ac:dyDescent="0.2">
      <c r="A151" s="131">
        <v>43397</v>
      </c>
      <c r="B151" t="s">
        <v>130</v>
      </c>
      <c r="C151" t="s">
        <v>18</v>
      </c>
      <c r="D151" t="s">
        <v>85</v>
      </c>
      <c r="F151" t="s">
        <v>94</v>
      </c>
      <c r="G151" t="s">
        <v>87</v>
      </c>
      <c r="I151" s="131">
        <v>43419</v>
      </c>
      <c r="J151" s="6">
        <v>7958249912.3599997</v>
      </c>
      <c r="L151">
        <v>7958244895.04</v>
      </c>
      <c r="M151">
        <v>5.7493000000000002E-2</v>
      </c>
      <c r="N151">
        <v>7964000000</v>
      </c>
      <c r="O151">
        <v>1.256931</v>
      </c>
      <c r="P151">
        <v>3.8032974599999998E-2</v>
      </c>
      <c r="Q151" t="s">
        <v>42</v>
      </c>
      <c r="R151" t="s">
        <v>23</v>
      </c>
      <c r="S151" s="131">
        <v>43328</v>
      </c>
      <c r="T151" s="6">
        <f>DataTable[HLD_MaturityDate] - DataTable[SEC_Issue_Date]</f>
        <v>91</v>
      </c>
      <c r="U151" s="131" t="str">
        <f>DataTable[HLD_Portfolio]&amp;DataTable[HLD_Date]</f>
        <v>SCBSFFPLUS43397</v>
      </c>
      <c r="V151" t="str">
        <f>DataTable[[#This Row],[RefRng]]&amp;DataTable[[#This Row],[HLD_SecCode]]</f>
        <v>SCBSFFPLUS43397CB18N15B</v>
      </c>
    </row>
    <row r="152" spans="1:22" x14ac:dyDescent="0.2">
      <c r="A152" s="131">
        <v>43397</v>
      </c>
      <c r="B152" t="s">
        <v>130</v>
      </c>
      <c r="C152" t="s">
        <v>18</v>
      </c>
      <c r="D152" t="s">
        <v>85</v>
      </c>
      <c r="F152" t="s">
        <v>95</v>
      </c>
      <c r="G152" t="s">
        <v>87</v>
      </c>
      <c r="I152" s="131">
        <v>43426</v>
      </c>
      <c r="J152" s="6">
        <v>2854298277.9499998</v>
      </c>
      <c r="L152">
        <v>2854298277.9499998</v>
      </c>
      <c r="M152">
        <v>7.6638999999999999E-2</v>
      </c>
      <c r="N152">
        <v>2857000000</v>
      </c>
      <c r="O152">
        <v>1.233892</v>
      </c>
      <c r="P152">
        <v>1.36408702E-2</v>
      </c>
      <c r="Q152" t="s">
        <v>42</v>
      </c>
      <c r="R152" t="s">
        <v>23</v>
      </c>
      <c r="S152" s="131">
        <v>43244</v>
      </c>
      <c r="T152" s="6">
        <f>DataTable[HLD_MaturityDate] - DataTable[SEC_Issue_Date]</f>
        <v>182</v>
      </c>
      <c r="U152" s="131" t="str">
        <f>DataTable[HLD_Portfolio]&amp;DataTable[HLD_Date]</f>
        <v>SCBSFFPLUS43397</v>
      </c>
      <c r="V152" t="str">
        <f>DataTable[[#This Row],[RefRng]]&amp;DataTable[[#This Row],[HLD_SecCode]]</f>
        <v>SCBSFFPLUS43397CB18N22A</v>
      </c>
    </row>
    <row r="153" spans="1:22" x14ac:dyDescent="0.2">
      <c r="A153" s="131">
        <v>43397</v>
      </c>
      <c r="B153" t="s">
        <v>130</v>
      </c>
      <c r="C153" t="s">
        <v>18</v>
      </c>
      <c r="D153" t="s">
        <v>85</v>
      </c>
      <c r="F153" t="s">
        <v>96</v>
      </c>
      <c r="G153" t="s">
        <v>87</v>
      </c>
      <c r="I153" s="131">
        <v>43426</v>
      </c>
      <c r="J153" s="6">
        <v>4783412712.96</v>
      </c>
      <c r="L153">
        <v>4783328827.1999998</v>
      </c>
      <c r="M153">
        <v>7.664E-2</v>
      </c>
      <c r="N153">
        <v>4788000000</v>
      </c>
      <c r="O153">
        <v>1.273002</v>
      </c>
      <c r="P153">
        <v>2.28602288E-2</v>
      </c>
      <c r="Q153" t="s">
        <v>42</v>
      </c>
      <c r="R153" t="s">
        <v>23</v>
      </c>
      <c r="S153" s="131">
        <v>43335</v>
      </c>
      <c r="T153" s="6">
        <f>DataTable[HLD_MaturityDate] - DataTable[SEC_Issue_Date]</f>
        <v>91</v>
      </c>
      <c r="U153" s="131" t="str">
        <f>DataTable[HLD_Portfolio]&amp;DataTable[HLD_Date]</f>
        <v>SCBSFFPLUS43397</v>
      </c>
      <c r="V153" t="str">
        <f>DataTable[[#This Row],[RefRng]]&amp;DataTable[[#This Row],[HLD_SecCode]]</f>
        <v>SCBSFFPLUS43397CB18N22B</v>
      </c>
    </row>
    <row r="154" spans="1:22" x14ac:dyDescent="0.2">
      <c r="A154" s="131">
        <v>43397</v>
      </c>
      <c r="B154" t="s">
        <v>130</v>
      </c>
      <c r="C154" t="s">
        <v>18</v>
      </c>
      <c r="D154" t="s">
        <v>85</v>
      </c>
      <c r="F154" t="s">
        <v>97</v>
      </c>
      <c r="G154" t="s">
        <v>87</v>
      </c>
      <c r="I154" s="131">
        <v>43433</v>
      </c>
      <c r="J154" s="6">
        <v>995844277.60000002</v>
      </c>
      <c r="L154">
        <v>995844437.12</v>
      </c>
      <c r="M154">
        <v>9.5772999999999997E-2</v>
      </c>
      <c r="N154">
        <v>997000000</v>
      </c>
      <c r="O154">
        <v>1.2101200000000001</v>
      </c>
      <c r="P154">
        <v>4.7592021999999998E-3</v>
      </c>
      <c r="Q154" t="s">
        <v>42</v>
      </c>
      <c r="R154" t="s">
        <v>23</v>
      </c>
      <c r="S154" s="131">
        <v>43251</v>
      </c>
      <c r="T154" s="6">
        <f>DataTable[HLD_MaturityDate] - DataTable[SEC_Issue_Date]</f>
        <v>182</v>
      </c>
      <c r="U154" s="131" t="str">
        <f>DataTable[HLD_Portfolio]&amp;DataTable[HLD_Date]</f>
        <v>SCBSFFPLUS43397</v>
      </c>
      <c r="V154" t="str">
        <f>DataTable[[#This Row],[RefRng]]&amp;DataTable[[#This Row],[HLD_SecCode]]</f>
        <v>SCBSFFPLUS43397CB18N29A</v>
      </c>
    </row>
    <row r="155" spans="1:22" x14ac:dyDescent="0.2">
      <c r="A155" s="131">
        <v>43397</v>
      </c>
      <c r="B155" t="s">
        <v>130</v>
      </c>
      <c r="C155" t="s">
        <v>18</v>
      </c>
      <c r="D155" t="s">
        <v>85</v>
      </c>
      <c r="F155" t="s">
        <v>98</v>
      </c>
      <c r="G155" t="s">
        <v>87</v>
      </c>
      <c r="I155" s="131">
        <v>43433</v>
      </c>
      <c r="J155" s="6">
        <v>7050948575.1899996</v>
      </c>
      <c r="L155">
        <v>7050593931.0299997</v>
      </c>
      <c r="M155">
        <v>9.5771999999999996E-2</v>
      </c>
      <c r="N155">
        <v>7059000000</v>
      </c>
      <c r="O155">
        <v>1.2433479999999999</v>
      </c>
      <c r="P155">
        <v>3.3696924699999999E-2</v>
      </c>
      <c r="Q155" t="s">
        <v>42</v>
      </c>
      <c r="R155" t="s">
        <v>23</v>
      </c>
      <c r="S155" s="131">
        <v>43342</v>
      </c>
      <c r="T155" s="6">
        <f>DataTable[HLD_MaturityDate] - DataTable[SEC_Issue_Date]</f>
        <v>91</v>
      </c>
      <c r="U155" s="131" t="str">
        <f>DataTable[HLD_Portfolio]&amp;DataTable[HLD_Date]</f>
        <v>SCBSFFPLUS43397</v>
      </c>
      <c r="V155" t="str">
        <f>DataTable[[#This Row],[RefRng]]&amp;DataTable[[#This Row],[HLD_SecCode]]</f>
        <v>SCBSFFPLUS43397CB18N29B</v>
      </c>
    </row>
    <row r="156" spans="1:22" x14ac:dyDescent="0.2">
      <c r="A156" s="131">
        <v>43397</v>
      </c>
      <c r="B156" t="s">
        <v>130</v>
      </c>
      <c r="C156" t="s">
        <v>18</v>
      </c>
      <c r="D156" t="s">
        <v>85</v>
      </c>
      <c r="F156" t="s">
        <v>99</v>
      </c>
      <c r="G156" t="s">
        <v>87</v>
      </c>
      <c r="I156" s="131">
        <v>43398</v>
      </c>
      <c r="J156" s="6">
        <v>410000000</v>
      </c>
      <c r="L156">
        <v>410000000</v>
      </c>
      <c r="M156">
        <v>2.7399999999999998E-3</v>
      </c>
      <c r="N156">
        <v>410000000</v>
      </c>
      <c r="O156">
        <v>1.1568210000000001</v>
      </c>
      <c r="P156">
        <v>1.9594157000000002E-3</v>
      </c>
      <c r="Q156" t="s">
        <v>42</v>
      </c>
      <c r="R156" t="s">
        <v>23</v>
      </c>
      <c r="S156" s="131">
        <v>43216</v>
      </c>
      <c r="T156" s="6">
        <f>DataTable[HLD_MaturityDate] - DataTable[SEC_Issue_Date]</f>
        <v>182</v>
      </c>
      <c r="U156" s="131" t="str">
        <f>DataTable[HLD_Portfolio]&amp;DataTable[HLD_Date]</f>
        <v>SCBSFFPLUS43397</v>
      </c>
      <c r="V156" t="str">
        <f>DataTable[[#This Row],[RefRng]]&amp;DataTable[[#This Row],[HLD_SecCode]]</f>
        <v>SCBSFFPLUS43397CB18O25A</v>
      </c>
    </row>
    <row r="157" spans="1:22" x14ac:dyDescent="0.2">
      <c r="A157" s="131">
        <v>43397</v>
      </c>
      <c r="B157" t="s">
        <v>130</v>
      </c>
      <c r="C157" t="s">
        <v>18</v>
      </c>
      <c r="D157" t="s">
        <v>85</v>
      </c>
      <c r="F157" t="s">
        <v>100</v>
      </c>
      <c r="G157" t="s">
        <v>87</v>
      </c>
      <c r="I157" s="131">
        <v>43398</v>
      </c>
      <c r="J157" s="6">
        <v>5950000000</v>
      </c>
      <c r="L157">
        <v>5950000000</v>
      </c>
      <c r="M157">
        <v>2.7399999999999998E-3</v>
      </c>
      <c r="N157">
        <v>5950000000</v>
      </c>
      <c r="O157">
        <v>1.30081</v>
      </c>
      <c r="P157">
        <v>2.8435422500000002E-2</v>
      </c>
      <c r="Q157" t="s">
        <v>42</v>
      </c>
      <c r="R157" t="s">
        <v>23</v>
      </c>
      <c r="S157" s="131">
        <v>43307</v>
      </c>
      <c r="T157" s="6">
        <f>DataTable[HLD_MaturityDate] - DataTable[SEC_Issue_Date]</f>
        <v>91</v>
      </c>
      <c r="U157" s="131" t="str">
        <f>DataTable[HLD_Portfolio]&amp;DataTable[HLD_Date]</f>
        <v>SCBSFFPLUS43397</v>
      </c>
      <c r="V157" t="str">
        <f>DataTable[[#This Row],[RefRng]]&amp;DataTable[[#This Row],[HLD_SecCode]]</f>
        <v>SCBSFFPLUS43397CB18O25B</v>
      </c>
    </row>
    <row r="158" spans="1:22" x14ac:dyDescent="0.2">
      <c r="A158" s="131">
        <v>43397</v>
      </c>
      <c r="B158" t="s">
        <v>130</v>
      </c>
      <c r="C158" t="s">
        <v>18</v>
      </c>
      <c r="D158" t="s">
        <v>85</v>
      </c>
      <c r="F158" t="s">
        <v>864</v>
      </c>
      <c r="G158" t="s">
        <v>87</v>
      </c>
      <c r="I158" s="131">
        <v>43403</v>
      </c>
      <c r="J158" s="6">
        <v>2389605172</v>
      </c>
      <c r="L158">
        <v>2389605172</v>
      </c>
      <c r="M158">
        <v>1.3696E-2</v>
      </c>
      <c r="N158">
        <v>2390000000</v>
      </c>
      <c r="O158">
        <v>1.2061550000000001</v>
      </c>
      <c r="P158">
        <v>1.1420072700000001E-2</v>
      </c>
      <c r="Q158" t="s">
        <v>42</v>
      </c>
      <c r="R158" t="s">
        <v>23</v>
      </c>
      <c r="S158" s="131">
        <v>43389</v>
      </c>
      <c r="T158" s="6">
        <f>DataTable[HLD_MaturityDate] - DataTable[SEC_Issue_Date]</f>
        <v>14</v>
      </c>
      <c r="U158" s="131" t="str">
        <f>DataTable[HLD_Portfolio]&amp;DataTable[HLD_Date]</f>
        <v>SCBSFFPLUS43397</v>
      </c>
      <c r="V158" t="str">
        <f>DataTable[[#This Row],[RefRng]]&amp;DataTable[[#This Row],[HLD_SecCode]]</f>
        <v>SCBSFFPLUS43397CB18O30A</v>
      </c>
    </row>
    <row r="159" spans="1:22" x14ac:dyDescent="0.2">
      <c r="A159" s="131">
        <v>43397</v>
      </c>
      <c r="B159" t="s">
        <v>130</v>
      </c>
      <c r="C159" t="s">
        <v>18</v>
      </c>
      <c r="D159" t="s">
        <v>85</v>
      </c>
      <c r="F159" t="s">
        <v>199</v>
      </c>
      <c r="G159" t="s">
        <v>87</v>
      </c>
      <c r="I159" s="131">
        <v>43468</v>
      </c>
      <c r="J159" s="6">
        <v>302188644.77999997</v>
      </c>
      <c r="L159">
        <v>302134383.54000002</v>
      </c>
      <c r="M159">
        <v>0.191223</v>
      </c>
      <c r="N159">
        <v>303000000</v>
      </c>
      <c r="O159">
        <v>1.4938940000000001</v>
      </c>
      <c r="P159">
        <v>1.4441784999999999E-3</v>
      </c>
      <c r="Q159" t="s">
        <v>42</v>
      </c>
      <c r="R159" t="s">
        <v>23</v>
      </c>
      <c r="S159" s="131">
        <v>43286</v>
      </c>
      <c r="T159" s="6">
        <f>DataTable[HLD_MaturityDate] - DataTable[SEC_Issue_Date]</f>
        <v>182</v>
      </c>
      <c r="U159" s="131" t="str">
        <f>DataTable[HLD_Portfolio]&amp;DataTable[HLD_Date]</f>
        <v>SCBSFFPLUS43397</v>
      </c>
      <c r="V159" t="str">
        <f>DataTable[[#This Row],[RefRng]]&amp;DataTable[[#This Row],[HLD_SecCode]]</f>
        <v>SCBSFFPLUS43397CB19103A</v>
      </c>
    </row>
    <row r="160" spans="1:22" x14ac:dyDescent="0.2">
      <c r="A160" s="131">
        <v>43397</v>
      </c>
      <c r="B160" t="s">
        <v>130</v>
      </c>
      <c r="C160" t="s">
        <v>18</v>
      </c>
      <c r="D160" t="s">
        <v>85</v>
      </c>
      <c r="F160" t="s">
        <v>101</v>
      </c>
      <c r="G160" t="s">
        <v>87</v>
      </c>
      <c r="I160" s="131">
        <v>43468</v>
      </c>
      <c r="J160" s="6">
        <v>6449816835</v>
      </c>
      <c r="L160">
        <v>6449566394.04</v>
      </c>
      <c r="M160">
        <v>0.19125400000000001</v>
      </c>
      <c r="N160">
        <v>6468000000</v>
      </c>
      <c r="O160">
        <v>1.4903040000000001</v>
      </c>
      <c r="P160">
        <v>3.0824078500000001E-2</v>
      </c>
      <c r="Q160" t="s">
        <v>42</v>
      </c>
      <c r="R160" t="s">
        <v>23</v>
      </c>
      <c r="S160" s="131">
        <v>43377</v>
      </c>
      <c r="T160" s="6">
        <f>DataTable[HLD_MaturityDate] - DataTable[SEC_Issue_Date]</f>
        <v>91</v>
      </c>
      <c r="U160" s="131" t="str">
        <f>DataTable[HLD_Portfolio]&amp;DataTable[HLD_Date]</f>
        <v>SCBSFFPLUS43397</v>
      </c>
      <c r="V160" t="str">
        <f>DataTable[[#This Row],[RefRng]]&amp;DataTable[[#This Row],[HLD_SecCode]]</f>
        <v>SCBSFFPLUS43397CB19103B</v>
      </c>
    </row>
    <row r="161" spans="1:22" x14ac:dyDescent="0.2">
      <c r="A161" s="131">
        <v>43397</v>
      </c>
      <c r="B161" t="s">
        <v>130</v>
      </c>
      <c r="C161" t="s">
        <v>18</v>
      </c>
      <c r="D161" t="s">
        <v>85</v>
      </c>
      <c r="F161" t="s">
        <v>836</v>
      </c>
      <c r="G161" t="s">
        <v>87</v>
      </c>
      <c r="I161" s="131">
        <v>43475</v>
      </c>
      <c r="J161" s="6">
        <v>4983808750</v>
      </c>
      <c r="L161">
        <v>4983656300</v>
      </c>
      <c r="M161">
        <v>0.21030699999999999</v>
      </c>
      <c r="N161">
        <v>5000000000</v>
      </c>
      <c r="O161">
        <v>1.5545469999999999</v>
      </c>
      <c r="P161">
        <v>2.38179341E-2</v>
      </c>
      <c r="Q161" t="s">
        <v>42</v>
      </c>
      <c r="R161" t="s">
        <v>23</v>
      </c>
      <c r="S161" s="131">
        <v>43384</v>
      </c>
      <c r="T161" s="6">
        <f>DataTable[HLD_MaturityDate] - DataTable[SEC_Issue_Date]</f>
        <v>91</v>
      </c>
      <c r="U161" s="131" t="str">
        <f>DataTable[HLD_Portfolio]&amp;DataTable[HLD_Date]</f>
        <v>SCBSFFPLUS43397</v>
      </c>
      <c r="V161" t="str">
        <f>DataTable[[#This Row],[RefRng]]&amp;DataTable[[#This Row],[HLD_SecCode]]</f>
        <v>SCBSFFPLUS43397CB19110B</v>
      </c>
    </row>
    <row r="162" spans="1:22" x14ac:dyDescent="0.2">
      <c r="A162" s="131">
        <v>43397</v>
      </c>
      <c r="B162" t="s">
        <v>130</v>
      </c>
      <c r="C162" t="s">
        <v>18</v>
      </c>
      <c r="D162" t="s">
        <v>85</v>
      </c>
      <c r="F162" t="s">
        <v>802</v>
      </c>
      <c r="G162" t="s">
        <v>87</v>
      </c>
      <c r="I162" s="131">
        <v>43482</v>
      </c>
      <c r="J162" s="6">
        <v>398562228</v>
      </c>
      <c r="L162">
        <v>398562228</v>
      </c>
      <c r="M162">
        <v>0.22931000000000001</v>
      </c>
      <c r="N162">
        <v>400000000</v>
      </c>
      <c r="O162">
        <v>1.5674999999999999</v>
      </c>
      <c r="P162">
        <v>1.9047538E-3</v>
      </c>
      <c r="Q162" t="s">
        <v>42</v>
      </c>
      <c r="R162" t="s">
        <v>23</v>
      </c>
      <c r="S162" s="131">
        <v>43300</v>
      </c>
      <c r="T162" s="6">
        <f>DataTable[HLD_MaturityDate] - DataTable[SEC_Issue_Date]</f>
        <v>182</v>
      </c>
      <c r="U162" s="131" t="str">
        <f>DataTable[HLD_Portfolio]&amp;DataTable[HLD_Date]</f>
        <v>SCBSFFPLUS43397</v>
      </c>
      <c r="V162" t="str">
        <f>DataTable[[#This Row],[RefRng]]&amp;DataTable[[#This Row],[HLD_SecCode]]</f>
        <v>SCBSFFPLUS43397CB19117A</v>
      </c>
    </row>
    <row r="163" spans="1:22" x14ac:dyDescent="0.2">
      <c r="A163" s="131">
        <v>43397</v>
      </c>
      <c r="B163" t="s">
        <v>130</v>
      </c>
      <c r="C163" t="s">
        <v>18</v>
      </c>
      <c r="D163" t="s">
        <v>85</v>
      </c>
      <c r="F163" t="s">
        <v>1215</v>
      </c>
      <c r="G163" t="s">
        <v>87</v>
      </c>
      <c r="I163" s="131">
        <v>43482</v>
      </c>
      <c r="J163" s="6">
        <v>6391529705.5200005</v>
      </c>
      <c r="L163">
        <v>6390951419.2799997</v>
      </c>
      <c r="M163">
        <v>0.22931000000000001</v>
      </c>
      <c r="N163">
        <v>6414000000</v>
      </c>
      <c r="O163">
        <v>1.567083</v>
      </c>
      <c r="P163">
        <v>3.0545520600000001E-2</v>
      </c>
      <c r="Q163" t="s">
        <v>42</v>
      </c>
      <c r="R163" t="s">
        <v>23</v>
      </c>
      <c r="S163" s="131">
        <v>43391</v>
      </c>
      <c r="T163" s="6">
        <f>DataTable[HLD_MaturityDate] - DataTable[SEC_Issue_Date]</f>
        <v>91</v>
      </c>
      <c r="U163" s="131" t="str">
        <f>DataTable[HLD_Portfolio]&amp;DataTable[HLD_Date]</f>
        <v>SCBSFFPLUS43397</v>
      </c>
      <c r="V163" t="str">
        <f>DataTable[[#This Row],[RefRng]]&amp;DataTable[[#This Row],[HLD_SecCode]]</f>
        <v>SCBSFFPLUS43397CB19117B</v>
      </c>
    </row>
    <row r="164" spans="1:22" x14ac:dyDescent="0.2">
      <c r="A164" s="131">
        <v>43397</v>
      </c>
      <c r="B164" t="s">
        <v>130</v>
      </c>
      <c r="C164" t="s">
        <v>18</v>
      </c>
      <c r="D164" t="s">
        <v>85</v>
      </c>
      <c r="F164" t="s">
        <v>1262</v>
      </c>
      <c r="G164" t="s">
        <v>87</v>
      </c>
      <c r="I164" s="131">
        <v>43489</v>
      </c>
      <c r="J164" s="6">
        <v>5976652981.8199997</v>
      </c>
      <c r="L164">
        <v>5976652981.8199997</v>
      </c>
      <c r="M164">
        <v>0.25205499999999997</v>
      </c>
      <c r="N164">
        <v>6000000000</v>
      </c>
      <c r="O164">
        <v>1.56684</v>
      </c>
      <c r="P164">
        <v>2.8562798800000001E-2</v>
      </c>
      <c r="Q164" t="s">
        <v>42</v>
      </c>
      <c r="R164" t="s">
        <v>23</v>
      </c>
      <c r="S164" s="131">
        <v>43398</v>
      </c>
      <c r="T164" s="6">
        <f>DataTable[HLD_MaturityDate] - DataTable[SEC_Issue_Date]</f>
        <v>91</v>
      </c>
      <c r="U164" s="131" t="str">
        <f>DataTable[HLD_Portfolio]&amp;DataTable[HLD_Date]</f>
        <v>SCBSFFPLUS43397</v>
      </c>
      <c r="V164" t="str">
        <f>DataTable[[#This Row],[RefRng]]&amp;DataTable[[#This Row],[HLD_SecCode]]</f>
        <v>SCBSFFPLUS43397CB19124B</v>
      </c>
    </row>
    <row r="165" spans="1:22" x14ac:dyDescent="0.2">
      <c r="A165" s="131">
        <v>43397</v>
      </c>
      <c r="B165" t="s">
        <v>130</v>
      </c>
      <c r="C165" t="s">
        <v>18</v>
      </c>
      <c r="D165" t="s">
        <v>102</v>
      </c>
      <c r="F165" t="s">
        <v>240</v>
      </c>
      <c r="G165" t="s">
        <v>241</v>
      </c>
      <c r="H165" t="s">
        <v>51</v>
      </c>
      <c r="I165" s="131">
        <v>43454</v>
      </c>
      <c r="J165" s="6">
        <v>15069532.35</v>
      </c>
      <c r="K165">
        <v>239560.2</v>
      </c>
      <c r="L165">
        <v>15058608.6</v>
      </c>
      <c r="M165">
        <v>0.15220800000000001</v>
      </c>
      <c r="N165">
        <v>15000000</v>
      </c>
      <c r="O165">
        <v>1.97</v>
      </c>
      <c r="P165">
        <v>7.3163099999999998E-5</v>
      </c>
      <c r="Q165" t="s">
        <v>42</v>
      </c>
      <c r="R165" t="s">
        <v>23</v>
      </c>
      <c r="S165" s="131">
        <v>40897</v>
      </c>
      <c r="T165" s="6">
        <f>DataTable[HLD_MaturityDate] - DataTable[SEC_Issue_Date]</f>
        <v>2557</v>
      </c>
      <c r="U165" s="131" t="str">
        <f>DataTable[HLD_Portfolio]&amp;DataTable[HLD_Date]</f>
        <v>SCBSFFPLUS43397</v>
      </c>
      <c r="V165" t="str">
        <f>DataTable[[#This Row],[RefRng]]&amp;DataTable[[#This Row],[HLD_SecCode]]</f>
        <v>SCBSFFPLUS43397BH18DA</v>
      </c>
    </row>
    <row r="166" spans="1:22" x14ac:dyDescent="0.2">
      <c r="A166" s="131">
        <v>43397</v>
      </c>
      <c r="B166" t="s">
        <v>130</v>
      </c>
      <c r="C166" t="s">
        <v>18</v>
      </c>
      <c r="D166" t="s">
        <v>102</v>
      </c>
      <c r="F166" t="s">
        <v>242</v>
      </c>
      <c r="G166" t="s">
        <v>243</v>
      </c>
      <c r="H166" t="s">
        <v>51</v>
      </c>
      <c r="I166" s="131">
        <v>43990</v>
      </c>
      <c r="J166" s="6">
        <v>50074247.5</v>
      </c>
      <c r="K166">
        <v>516013.5</v>
      </c>
      <c r="L166">
        <v>50725098.5</v>
      </c>
      <c r="M166">
        <v>1.5604579999999999</v>
      </c>
      <c r="N166">
        <v>50000000</v>
      </c>
      <c r="O166">
        <v>1.7949999999999999</v>
      </c>
      <c r="P166">
        <v>2.4177399999999999E-4</v>
      </c>
      <c r="Q166" t="s">
        <v>42</v>
      </c>
      <c r="R166" t="s">
        <v>23</v>
      </c>
      <c r="S166" s="131">
        <v>42712</v>
      </c>
      <c r="T166" s="6">
        <f>DataTable[HLD_MaturityDate] - DataTable[SEC_Issue_Date]</f>
        <v>1278</v>
      </c>
      <c r="U166" s="131" t="str">
        <f>DataTable[HLD_Portfolio]&amp;DataTable[HLD_Date]</f>
        <v>SCBSFFPLUS43397</v>
      </c>
      <c r="V166" t="str">
        <f>DataTable[[#This Row],[RefRng]]&amp;DataTable[[#This Row],[HLD_SecCode]]</f>
        <v>SCBSFFPLUS43397BJC206A</v>
      </c>
    </row>
    <row r="167" spans="1:22" x14ac:dyDescent="0.2">
      <c r="A167" s="131">
        <v>43397</v>
      </c>
      <c r="B167" t="s">
        <v>130</v>
      </c>
      <c r="C167" t="s">
        <v>18</v>
      </c>
      <c r="D167" t="s">
        <v>102</v>
      </c>
      <c r="F167" t="s">
        <v>244</v>
      </c>
      <c r="G167" t="s">
        <v>245</v>
      </c>
      <c r="H167" t="s">
        <v>47</v>
      </c>
      <c r="I167" s="131">
        <v>43783</v>
      </c>
      <c r="J167" s="6">
        <v>8121348.3200000003</v>
      </c>
      <c r="K167">
        <v>126527.12</v>
      </c>
      <c r="L167">
        <v>8146133.8399999999</v>
      </c>
      <c r="M167">
        <v>1.018888</v>
      </c>
      <c r="N167">
        <v>8000000</v>
      </c>
      <c r="O167">
        <v>1.75</v>
      </c>
      <c r="P167">
        <v>3.9417099999999999E-5</v>
      </c>
      <c r="Q167" t="s">
        <v>42</v>
      </c>
      <c r="R167" t="s">
        <v>23</v>
      </c>
      <c r="S167" s="131">
        <v>41957</v>
      </c>
      <c r="T167" s="6">
        <f>DataTable[HLD_MaturityDate] - DataTable[SEC_Issue_Date]</f>
        <v>1826</v>
      </c>
      <c r="U167" s="131" t="str">
        <f>DataTable[HLD_Portfolio]&amp;DataTable[HLD_Date]</f>
        <v>SCBSFFPLUS43397</v>
      </c>
      <c r="V167" t="str">
        <f>DataTable[[#This Row],[RefRng]]&amp;DataTable[[#This Row],[HLD_SecCode]]</f>
        <v>SCBSFFPLUS43397BTG19NA</v>
      </c>
    </row>
    <row r="168" spans="1:22" x14ac:dyDescent="0.2">
      <c r="A168" s="131">
        <v>43397</v>
      </c>
      <c r="B168" t="s">
        <v>130</v>
      </c>
      <c r="C168" t="s">
        <v>18</v>
      </c>
      <c r="D168" t="s">
        <v>102</v>
      </c>
      <c r="F168" t="s">
        <v>103</v>
      </c>
      <c r="G168" t="s">
        <v>104</v>
      </c>
      <c r="H168" t="s">
        <v>51</v>
      </c>
      <c r="I168" s="131">
        <v>43404</v>
      </c>
      <c r="J168" s="6">
        <v>40012823.200000003</v>
      </c>
      <c r="K168">
        <v>916822</v>
      </c>
      <c r="L168">
        <v>40007125.600000001</v>
      </c>
      <c r="M168">
        <v>1.6315E-2</v>
      </c>
      <c r="N168">
        <v>40000000</v>
      </c>
      <c r="O168">
        <v>2.4</v>
      </c>
      <c r="P168">
        <v>1.956053E-4</v>
      </c>
      <c r="Q168" t="s">
        <v>42</v>
      </c>
      <c r="R168" t="s">
        <v>23</v>
      </c>
      <c r="S168" s="131">
        <v>41578</v>
      </c>
      <c r="T168" s="6">
        <f>DataTable[HLD_MaturityDate] - DataTable[SEC_Issue_Date]</f>
        <v>1826</v>
      </c>
      <c r="U168" s="131" t="str">
        <f>DataTable[HLD_Portfolio]&amp;DataTable[HLD_Date]</f>
        <v>SCBSFFPLUS43397</v>
      </c>
      <c r="V168" t="str">
        <f>DataTable[[#This Row],[RefRng]]&amp;DataTable[[#This Row],[HLD_SecCode]]</f>
        <v>SCBSFFPLUS43397CPALL18OB</v>
      </c>
    </row>
    <row r="169" spans="1:22" x14ac:dyDescent="0.2">
      <c r="A169" s="131">
        <v>43397</v>
      </c>
      <c r="B169" t="s">
        <v>130</v>
      </c>
      <c r="C169" t="s">
        <v>18</v>
      </c>
      <c r="D169" t="s">
        <v>102</v>
      </c>
      <c r="F169" t="s">
        <v>246</v>
      </c>
      <c r="G169" t="s">
        <v>104</v>
      </c>
      <c r="H169" t="s">
        <v>51</v>
      </c>
      <c r="I169" s="131">
        <v>43551</v>
      </c>
      <c r="J169" s="6">
        <v>1009610.61</v>
      </c>
      <c r="K169">
        <v>3298.63</v>
      </c>
      <c r="L169">
        <v>1007199.83</v>
      </c>
      <c r="M169">
        <v>0.41497699999999998</v>
      </c>
      <c r="N169">
        <v>1000000</v>
      </c>
      <c r="O169">
        <v>2.6</v>
      </c>
      <c r="P169">
        <v>4.8408000000000003E-6</v>
      </c>
      <c r="Q169" t="s">
        <v>42</v>
      </c>
      <c r="R169" t="s">
        <v>23</v>
      </c>
      <c r="S169" s="131">
        <v>41725</v>
      </c>
      <c r="T169" s="6">
        <f>DataTable[HLD_MaturityDate] - DataTable[SEC_Issue_Date]</f>
        <v>1826</v>
      </c>
      <c r="U169" s="131" t="str">
        <f>DataTable[HLD_Portfolio]&amp;DataTable[HLD_Date]</f>
        <v>SCBSFFPLUS43397</v>
      </c>
      <c r="V169" t="str">
        <f>DataTable[[#This Row],[RefRng]]&amp;DataTable[[#This Row],[HLD_SecCode]]</f>
        <v>SCBSFFPLUS43397CPALL193A</v>
      </c>
    </row>
    <row r="170" spans="1:22" x14ac:dyDescent="0.2">
      <c r="A170" s="131">
        <v>43397</v>
      </c>
      <c r="B170" t="s">
        <v>130</v>
      </c>
      <c r="C170" t="s">
        <v>18</v>
      </c>
      <c r="D170" t="s">
        <v>102</v>
      </c>
      <c r="F170" t="s">
        <v>247</v>
      </c>
      <c r="G170" t="s">
        <v>248</v>
      </c>
      <c r="H170" t="s">
        <v>29</v>
      </c>
      <c r="I170" s="131">
        <v>43434</v>
      </c>
      <c r="J170" s="6">
        <v>70024811.5</v>
      </c>
      <c r="K170">
        <v>661336.9</v>
      </c>
      <c r="L170">
        <v>70000000</v>
      </c>
      <c r="M170">
        <v>9.7717999999999999E-2</v>
      </c>
      <c r="N170">
        <v>70000000</v>
      </c>
      <c r="O170">
        <v>2.33</v>
      </c>
      <c r="P170">
        <v>3.3781350000000002E-4</v>
      </c>
      <c r="Q170" t="s">
        <v>42</v>
      </c>
      <c r="R170" t="s">
        <v>23</v>
      </c>
      <c r="S170" s="131">
        <v>43069</v>
      </c>
      <c r="T170" s="6">
        <f>DataTable[HLD_MaturityDate] - DataTable[SEC_Issue_Date]</f>
        <v>365</v>
      </c>
      <c r="U170" s="131" t="str">
        <f>DataTable[HLD_Portfolio]&amp;DataTable[HLD_Date]</f>
        <v>SCBSFFPLUS43397</v>
      </c>
      <c r="V170" t="str">
        <f>DataTable[[#This Row],[RefRng]]&amp;DataTable[[#This Row],[HLD_SecCode]]</f>
        <v>SCBSFFPLUS43397DMT18NB</v>
      </c>
    </row>
    <row r="171" spans="1:22" x14ac:dyDescent="0.2">
      <c r="A171" s="131">
        <v>43397</v>
      </c>
      <c r="B171" t="s">
        <v>130</v>
      </c>
      <c r="C171" t="s">
        <v>18</v>
      </c>
      <c r="D171" t="s">
        <v>102</v>
      </c>
      <c r="F171" t="s">
        <v>249</v>
      </c>
      <c r="G171" t="s">
        <v>248</v>
      </c>
      <c r="H171" t="s">
        <v>29</v>
      </c>
      <c r="I171" s="131">
        <v>44165</v>
      </c>
      <c r="J171" s="6">
        <v>68464927.769999996</v>
      </c>
      <c r="K171">
        <v>861725.13</v>
      </c>
      <c r="L171">
        <v>69000000</v>
      </c>
      <c r="M171">
        <v>1.9891380000000001</v>
      </c>
      <c r="N171">
        <v>69000000</v>
      </c>
      <c r="O171">
        <v>3.08</v>
      </c>
      <c r="P171">
        <v>3.3131639999999998E-4</v>
      </c>
      <c r="Q171" t="s">
        <v>42</v>
      </c>
      <c r="R171" t="s">
        <v>23</v>
      </c>
      <c r="S171" s="131">
        <v>43069</v>
      </c>
      <c r="T171" s="6">
        <f>DataTable[HLD_MaturityDate] - DataTable[SEC_Issue_Date]</f>
        <v>1096</v>
      </c>
      <c r="U171" s="131" t="str">
        <f>DataTable[HLD_Portfolio]&amp;DataTable[HLD_Date]</f>
        <v>SCBSFFPLUS43397</v>
      </c>
      <c r="V171" t="str">
        <f>DataTable[[#This Row],[RefRng]]&amp;DataTable[[#This Row],[HLD_SecCode]]</f>
        <v>SCBSFFPLUS43397DMT20NA</v>
      </c>
    </row>
    <row r="172" spans="1:22" x14ac:dyDescent="0.2">
      <c r="A172" s="131">
        <v>43397</v>
      </c>
      <c r="B172" t="s">
        <v>130</v>
      </c>
      <c r="C172" t="s">
        <v>18</v>
      </c>
      <c r="D172" t="s">
        <v>102</v>
      </c>
      <c r="F172" t="s">
        <v>200</v>
      </c>
      <c r="G172" t="s">
        <v>201</v>
      </c>
      <c r="H172" t="s">
        <v>29</v>
      </c>
      <c r="I172" s="131">
        <v>43792</v>
      </c>
      <c r="J172" s="6">
        <v>314355812.70999998</v>
      </c>
      <c r="K172">
        <v>4452747.3899999997</v>
      </c>
      <c r="L172">
        <v>313000000</v>
      </c>
      <c r="M172">
        <v>1.0397540000000001</v>
      </c>
      <c r="N172">
        <v>313000000</v>
      </c>
      <c r="O172">
        <v>3.35</v>
      </c>
      <c r="P172">
        <v>1.5236061000000001E-3</v>
      </c>
      <c r="Q172" t="s">
        <v>42</v>
      </c>
      <c r="R172" t="s">
        <v>23</v>
      </c>
      <c r="S172" s="131">
        <v>42697</v>
      </c>
      <c r="T172" s="6">
        <f>DataTable[HLD_MaturityDate] - DataTable[SEC_Issue_Date]</f>
        <v>1095</v>
      </c>
      <c r="U172" s="131" t="str">
        <f>DataTable[HLD_Portfolio]&amp;DataTable[HLD_Date]</f>
        <v>SCBSFFPLUS43397</v>
      </c>
      <c r="V172" t="str">
        <f>DataTable[[#This Row],[RefRng]]&amp;DataTable[[#This Row],[HLD_SecCode]]</f>
        <v>SCBSFFPLUS43397GOLD19NA</v>
      </c>
    </row>
    <row r="173" spans="1:22" x14ac:dyDescent="0.2">
      <c r="A173" s="131">
        <v>43397</v>
      </c>
      <c r="B173" t="s">
        <v>130</v>
      </c>
      <c r="C173" t="s">
        <v>18</v>
      </c>
      <c r="D173" t="s">
        <v>102</v>
      </c>
      <c r="F173" t="s">
        <v>202</v>
      </c>
      <c r="G173" t="s">
        <v>203</v>
      </c>
      <c r="H173" t="s">
        <v>58</v>
      </c>
      <c r="I173" s="131">
        <v>43795</v>
      </c>
      <c r="J173" s="6">
        <v>9998037.4000000004</v>
      </c>
      <c r="K173">
        <v>89534.2</v>
      </c>
      <c r="L173">
        <v>10066762.699999999</v>
      </c>
      <c r="M173">
        <v>1.060325</v>
      </c>
      <c r="N173">
        <v>10000000</v>
      </c>
      <c r="O173">
        <v>1.52</v>
      </c>
      <c r="P173">
        <v>4.8209099999999999E-5</v>
      </c>
      <c r="Q173" t="s">
        <v>42</v>
      </c>
      <c r="R173" t="s">
        <v>23</v>
      </c>
      <c r="S173" s="131">
        <v>42881</v>
      </c>
      <c r="T173" s="6">
        <f>DataTable[HLD_MaturityDate] - DataTable[SEC_Issue_Date]</f>
        <v>914</v>
      </c>
      <c r="U173" s="131" t="str">
        <f>DataTable[HLD_Portfolio]&amp;DataTable[HLD_Date]</f>
        <v>SCBSFFPLUS43397</v>
      </c>
      <c r="V173" t="str">
        <f>DataTable[[#This Row],[RefRng]]&amp;DataTable[[#This Row],[HLD_SecCode]]</f>
        <v>SCBSFFPLUS43397ICBCTL19NA</v>
      </c>
    </row>
    <row r="174" spans="1:22" x14ac:dyDescent="0.2">
      <c r="A174" s="131">
        <v>43397</v>
      </c>
      <c r="B174" t="s">
        <v>130</v>
      </c>
      <c r="C174" t="s">
        <v>18</v>
      </c>
      <c r="D174" t="s">
        <v>102</v>
      </c>
      <c r="F174" t="s">
        <v>204</v>
      </c>
      <c r="G174" t="s">
        <v>115</v>
      </c>
      <c r="H174" t="s">
        <v>116</v>
      </c>
      <c r="I174" s="131">
        <v>43419</v>
      </c>
      <c r="J174" s="6">
        <v>500029600</v>
      </c>
      <c r="K174">
        <v>5369865</v>
      </c>
      <c r="L174">
        <v>500000000</v>
      </c>
      <c r="M174">
        <v>5.7488999999999998E-2</v>
      </c>
      <c r="N174">
        <v>500000000</v>
      </c>
      <c r="O174">
        <v>1.6</v>
      </c>
      <c r="P174">
        <v>2.4153357E-3</v>
      </c>
      <c r="Q174" t="s">
        <v>42</v>
      </c>
      <c r="R174" t="s">
        <v>23</v>
      </c>
      <c r="S174" s="131">
        <v>43153</v>
      </c>
      <c r="T174" s="6">
        <f>DataTable[HLD_MaturityDate] - DataTable[SEC_Issue_Date]</f>
        <v>266</v>
      </c>
      <c r="U174" s="131" t="str">
        <f>DataTable[HLD_Portfolio]&amp;DataTable[HLD_Date]</f>
        <v>SCBSFFPLUS43397</v>
      </c>
      <c r="V174" t="str">
        <f>DataTable[[#This Row],[RefRng]]&amp;DataTable[[#This Row],[HLD_SecCode]]</f>
        <v>SCBSFFPLUS43397KK18N15A</v>
      </c>
    </row>
    <row r="175" spans="1:22" x14ac:dyDescent="0.2">
      <c r="A175" s="131">
        <v>43397</v>
      </c>
      <c r="B175" t="s">
        <v>130</v>
      </c>
      <c r="C175" t="s">
        <v>18</v>
      </c>
      <c r="D175" t="s">
        <v>102</v>
      </c>
      <c r="F175" t="s">
        <v>205</v>
      </c>
      <c r="G175" t="s">
        <v>115</v>
      </c>
      <c r="H175" t="s">
        <v>116</v>
      </c>
      <c r="I175" s="131">
        <v>43424</v>
      </c>
      <c r="J175" s="6">
        <v>500037255</v>
      </c>
      <c r="K175">
        <v>5282190</v>
      </c>
      <c r="L175">
        <v>500000000</v>
      </c>
      <c r="M175">
        <v>7.1163000000000004E-2</v>
      </c>
      <c r="N175">
        <v>500000000</v>
      </c>
      <c r="O175">
        <v>1.6</v>
      </c>
      <c r="P175">
        <v>2.4149533000000002E-3</v>
      </c>
      <c r="Q175" t="s">
        <v>42</v>
      </c>
      <c r="R175" t="s">
        <v>23</v>
      </c>
      <c r="S175" s="131">
        <v>43157</v>
      </c>
      <c r="T175" s="6">
        <f>DataTable[HLD_MaturityDate] - DataTable[SEC_Issue_Date]</f>
        <v>267</v>
      </c>
      <c r="U175" s="131" t="str">
        <f>DataTable[HLD_Portfolio]&amp;DataTable[HLD_Date]</f>
        <v>SCBSFFPLUS43397</v>
      </c>
      <c r="V175" t="str">
        <f>DataTable[[#This Row],[RefRng]]&amp;DataTable[[#This Row],[HLD_SecCode]]</f>
        <v>SCBSFFPLUS43397KK18N20A</v>
      </c>
    </row>
    <row r="176" spans="1:22" x14ac:dyDescent="0.2">
      <c r="A176" s="131">
        <v>43397</v>
      </c>
      <c r="B176" t="s">
        <v>130</v>
      </c>
      <c r="C176" t="s">
        <v>18</v>
      </c>
      <c r="D176" t="s">
        <v>102</v>
      </c>
      <c r="F176" t="s">
        <v>206</v>
      </c>
      <c r="G176" t="s">
        <v>115</v>
      </c>
      <c r="H176" t="s">
        <v>116</v>
      </c>
      <c r="I176" s="131">
        <v>43426</v>
      </c>
      <c r="J176" s="6">
        <v>500037330</v>
      </c>
      <c r="K176">
        <v>5260275</v>
      </c>
      <c r="L176">
        <v>500000000</v>
      </c>
      <c r="M176">
        <v>7.6631000000000005E-2</v>
      </c>
      <c r="N176">
        <v>500000000</v>
      </c>
      <c r="O176">
        <v>1.6</v>
      </c>
      <c r="P176">
        <v>2.4148489000000001E-3</v>
      </c>
      <c r="Q176" t="s">
        <v>42</v>
      </c>
      <c r="R176" t="s">
        <v>23</v>
      </c>
      <c r="S176" s="131">
        <v>43158</v>
      </c>
      <c r="T176" s="6">
        <f>DataTable[HLD_MaturityDate] - DataTable[SEC_Issue_Date]</f>
        <v>268</v>
      </c>
      <c r="U176" s="131" t="str">
        <f>DataTable[HLD_Portfolio]&amp;DataTable[HLD_Date]</f>
        <v>SCBSFFPLUS43397</v>
      </c>
      <c r="V176" t="str">
        <f>DataTable[[#This Row],[RefRng]]&amp;DataTable[[#This Row],[HLD_SecCode]]</f>
        <v>SCBSFFPLUS43397KK18N22A</v>
      </c>
    </row>
    <row r="177" spans="1:22" x14ac:dyDescent="0.2">
      <c r="A177" s="131">
        <v>43397</v>
      </c>
      <c r="B177" t="s">
        <v>130</v>
      </c>
      <c r="C177" t="s">
        <v>18</v>
      </c>
      <c r="D177" t="s">
        <v>102</v>
      </c>
      <c r="F177" t="s">
        <v>207</v>
      </c>
      <c r="G177" t="s">
        <v>115</v>
      </c>
      <c r="H177" t="s">
        <v>116</v>
      </c>
      <c r="I177" s="131">
        <v>43427</v>
      </c>
      <c r="J177" s="6">
        <v>500037645</v>
      </c>
      <c r="K177">
        <v>5260275</v>
      </c>
      <c r="L177">
        <v>500000000</v>
      </c>
      <c r="M177">
        <v>7.9364000000000004E-2</v>
      </c>
      <c r="N177">
        <v>500000000</v>
      </c>
      <c r="O177">
        <v>1.6</v>
      </c>
      <c r="P177">
        <v>2.4148504000000002E-3</v>
      </c>
      <c r="Q177" t="s">
        <v>42</v>
      </c>
      <c r="R177" t="s">
        <v>23</v>
      </c>
      <c r="S177" s="131">
        <v>43158</v>
      </c>
      <c r="T177" s="6">
        <f>DataTable[HLD_MaturityDate] - DataTable[SEC_Issue_Date]</f>
        <v>269</v>
      </c>
      <c r="U177" s="131" t="str">
        <f>DataTable[HLD_Portfolio]&amp;DataTable[HLD_Date]</f>
        <v>SCBSFFPLUS43397</v>
      </c>
      <c r="V177" t="str">
        <f>DataTable[[#This Row],[RefRng]]&amp;DataTable[[#This Row],[HLD_SecCode]]</f>
        <v>SCBSFFPLUS43397KK18N23A</v>
      </c>
    </row>
    <row r="178" spans="1:22" x14ac:dyDescent="0.2">
      <c r="A178" s="131">
        <v>43397</v>
      </c>
      <c r="B178" t="s">
        <v>130</v>
      </c>
      <c r="C178" t="s">
        <v>18</v>
      </c>
      <c r="D178" t="s">
        <v>102</v>
      </c>
      <c r="F178" t="s">
        <v>208</v>
      </c>
      <c r="G178" t="s">
        <v>115</v>
      </c>
      <c r="H178" t="s">
        <v>116</v>
      </c>
      <c r="I178" s="131">
        <v>43434</v>
      </c>
      <c r="J178" s="6">
        <v>130014918.8</v>
      </c>
      <c r="K178">
        <v>1322081.8</v>
      </c>
      <c r="L178">
        <v>130000000</v>
      </c>
      <c r="M178">
        <v>9.8490999999999995E-2</v>
      </c>
      <c r="N178">
        <v>130000000</v>
      </c>
      <c r="O178">
        <v>1.6</v>
      </c>
      <c r="P178">
        <v>6.2766769999999996E-4</v>
      </c>
      <c r="Q178" t="s">
        <v>42</v>
      </c>
      <c r="R178" t="s">
        <v>23</v>
      </c>
      <c r="S178" s="131">
        <v>43166</v>
      </c>
      <c r="T178" s="6">
        <f>DataTable[HLD_MaturityDate] - DataTable[SEC_Issue_Date]</f>
        <v>268</v>
      </c>
      <c r="U178" s="131" t="str">
        <f>DataTable[HLD_Portfolio]&amp;DataTable[HLD_Date]</f>
        <v>SCBSFFPLUS43397</v>
      </c>
      <c r="V178" t="str">
        <f>DataTable[[#This Row],[RefRng]]&amp;DataTable[[#This Row],[HLD_SecCode]]</f>
        <v>SCBSFFPLUS43397KK18N30B</v>
      </c>
    </row>
    <row r="179" spans="1:22" x14ac:dyDescent="0.2">
      <c r="A179" s="131">
        <v>43397</v>
      </c>
      <c r="B179" t="s">
        <v>130</v>
      </c>
      <c r="C179" t="s">
        <v>18</v>
      </c>
      <c r="D179" t="s">
        <v>102</v>
      </c>
      <c r="F179" t="s">
        <v>209</v>
      </c>
      <c r="G179" t="s">
        <v>115</v>
      </c>
      <c r="H179" t="s">
        <v>116</v>
      </c>
      <c r="I179" s="131">
        <v>43483</v>
      </c>
      <c r="J179" s="6">
        <v>199944838</v>
      </c>
      <c r="K179">
        <v>1613150</v>
      </c>
      <c r="L179">
        <v>200000000</v>
      </c>
      <c r="M179">
        <v>0.23196600000000001</v>
      </c>
      <c r="N179">
        <v>200000000</v>
      </c>
      <c r="O179">
        <v>1.6</v>
      </c>
      <c r="P179">
        <v>9.632582E-4</v>
      </c>
      <c r="Q179" t="s">
        <v>42</v>
      </c>
      <c r="R179" t="s">
        <v>23</v>
      </c>
      <c r="S179" s="131">
        <v>43214</v>
      </c>
      <c r="T179" s="6">
        <f>DataTable[HLD_MaturityDate] - DataTable[SEC_Issue_Date]</f>
        <v>269</v>
      </c>
      <c r="U179" s="131" t="str">
        <f>DataTable[HLD_Portfolio]&amp;DataTable[HLD_Date]</f>
        <v>SCBSFFPLUS43397</v>
      </c>
      <c r="V179" t="str">
        <f>DataTable[[#This Row],[RefRng]]&amp;DataTable[[#This Row],[HLD_SecCode]]</f>
        <v>SCBSFFPLUS43397KK19118A</v>
      </c>
    </row>
    <row r="180" spans="1:22" x14ac:dyDescent="0.2">
      <c r="A180" s="131">
        <v>43397</v>
      </c>
      <c r="B180" t="s">
        <v>130</v>
      </c>
      <c r="C180" t="s">
        <v>18</v>
      </c>
      <c r="D180" t="s">
        <v>102</v>
      </c>
      <c r="F180" t="s">
        <v>210</v>
      </c>
      <c r="G180" t="s">
        <v>115</v>
      </c>
      <c r="H180" t="s">
        <v>116</v>
      </c>
      <c r="I180" s="131">
        <v>43483</v>
      </c>
      <c r="J180" s="6">
        <v>849765706</v>
      </c>
      <c r="K180">
        <v>6818632</v>
      </c>
      <c r="L180">
        <v>850000000</v>
      </c>
      <c r="M180">
        <v>0.23196600000000001</v>
      </c>
      <c r="N180">
        <v>850000000</v>
      </c>
      <c r="O180">
        <v>1.6</v>
      </c>
      <c r="P180">
        <v>4.0936701999999998E-3</v>
      </c>
      <c r="Q180" t="s">
        <v>42</v>
      </c>
      <c r="R180" t="s">
        <v>23</v>
      </c>
      <c r="S180" s="131">
        <v>43215</v>
      </c>
      <c r="T180" s="6">
        <f>DataTable[HLD_MaturityDate] - DataTable[SEC_Issue_Date]</f>
        <v>268</v>
      </c>
      <c r="U180" s="131" t="str">
        <f>DataTable[HLD_Portfolio]&amp;DataTable[HLD_Date]</f>
        <v>SCBSFFPLUS43397</v>
      </c>
      <c r="V180" t="str">
        <f>DataTable[[#This Row],[RefRng]]&amp;DataTable[[#This Row],[HLD_SecCode]]</f>
        <v>SCBSFFPLUS43397KK19118B</v>
      </c>
    </row>
    <row r="181" spans="1:22" x14ac:dyDescent="0.2">
      <c r="A181" s="131">
        <v>43397</v>
      </c>
      <c r="B181" t="s">
        <v>130</v>
      </c>
      <c r="C181" t="s">
        <v>18</v>
      </c>
      <c r="D181" t="s">
        <v>102</v>
      </c>
      <c r="F181" t="s">
        <v>211</v>
      </c>
      <c r="G181" t="s">
        <v>115</v>
      </c>
      <c r="H181" t="s">
        <v>116</v>
      </c>
      <c r="I181" s="131">
        <v>43910</v>
      </c>
      <c r="J181" s="6">
        <v>917515806.5</v>
      </c>
      <c r="K181">
        <v>1525621</v>
      </c>
      <c r="L181">
        <v>925000000</v>
      </c>
      <c r="M181">
        <v>1.37131</v>
      </c>
      <c r="N181">
        <v>925000000</v>
      </c>
      <c r="O181">
        <v>1.72</v>
      </c>
      <c r="P181">
        <v>4.3921565000000001E-3</v>
      </c>
      <c r="Q181" t="s">
        <v>42</v>
      </c>
      <c r="R181" t="s">
        <v>23</v>
      </c>
      <c r="S181" s="131">
        <v>43179</v>
      </c>
      <c r="T181" s="6">
        <f>DataTable[HLD_MaturityDate] - DataTable[SEC_Issue_Date]</f>
        <v>731</v>
      </c>
      <c r="U181" s="131" t="str">
        <f>DataTable[HLD_Portfolio]&amp;DataTable[HLD_Date]</f>
        <v>SCBSFFPLUS43397</v>
      </c>
      <c r="V181" t="str">
        <f>DataTable[[#This Row],[RefRng]]&amp;DataTable[[#This Row],[HLD_SecCode]]</f>
        <v>SCBSFFPLUS43397KK203A</v>
      </c>
    </row>
    <row r="182" spans="1:22" x14ac:dyDescent="0.2">
      <c r="A182" s="131">
        <v>43397</v>
      </c>
      <c r="B182" t="s">
        <v>130</v>
      </c>
      <c r="C182" t="s">
        <v>18</v>
      </c>
      <c r="D182" t="s">
        <v>102</v>
      </c>
      <c r="F182" t="s">
        <v>212</v>
      </c>
      <c r="G182" t="s">
        <v>213</v>
      </c>
      <c r="H182" t="s">
        <v>116</v>
      </c>
      <c r="I182" s="131">
        <v>43738</v>
      </c>
      <c r="J182" s="6">
        <v>1153589196.9100001</v>
      </c>
      <c r="K182">
        <v>1349516.42</v>
      </c>
      <c r="L182">
        <v>1159000000</v>
      </c>
      <c r="M182">
        <v>0.913045</v>
      </c>
      <c r="N182">
        <v>1159000000</v>
      </c>
      <c r="O182">
        <v>1.7</v>
      </c>
      <c r="P182">
        <v>5.5195243999999997E-3</v>
      </c>
      <c r="Q182" t="s">
        <v>42</v>
      </c>
      <c r="R182" t="s">
        <v>23</v>
      </c>
      <c r="S182" s="131">
        <v>43189</v>
      </c>
      <c r="T182" s="6">
        <f>DataTable[HLD_MaturityDate] - DataTable[SEC_Issue_Date]</f>
        <v>549</v>
      </c>
      <c r="U182" s="131" t="str">
        <f>DataTable[HLD_Portfolio]&amp;DataTable[HLD_Date]</f>
        <v>SCBSFFPLUS43397</v>
      </c>
      <c r="V182" t="str">
        <f>DataTable[[#This Row],[RefRng]]&amp;DataTable[[#This Row],[HLD_SecCode]]</f>
        <v>SCBSFFPLUS43397LHBANK199A</v>
      </c>
    </row>
    <row r="183" spans="1:22" x14ac:dyDescent="0.2">
      <c r="A183" s="131">
        <v>43397</v>
      </c>
      <c r="B183" t="s">
        <v>130</v>
      </c>
      <c r="C183" t="s">
        <v>18</v>
      </c>
      <c r="D183" t="s">
        <v>102</v>
      </c>
      <c r="F183" t="s">
        <v>214</v>
      </c>
      <c r="G183" t="s">
        <v>213</v>
      </c>
      <c r="H183" t="s">
        <v>116</v>
      </c>
      <c r="I183" s="131">
        <v>43920</v>
      </c>
      <c r="J183" s="6">
        <v>158711192</v>
      </c>
      <c r="K183">
        <v>191780.8</v>
      </c>
      <c r="L183">
        <v>160000000</v>
      </c>
      <c r="M183">
        <v>1.3980630000000001</v>
      </c>
      <c r="N183">
        <v>160000000</v>
      </c>
      <c r="O183">
        <v>1.75</v>
      </c>
      <c r="P183">
        <v>7.5940730000000002E-4</v>
      </c>
      <c r="Q183" t="s">
        <v>42</v>
      </c>
      <c r="R183" t="s">
        <v>23</v>
      </c>
      <c r="S183" s="131">
        <v>43189</v>
      </c>
      <c r="T183" s="6">
        <f>DataTable[HLD_MaturityDate] - DataTable[SEC_Issue_Date]</f>
        <v>731</v>
      </c>
      <c r="U183" s="131" t="str">
        <f>DataTable[HLD_Portfolio]&amp;DataTable[HLD_Date]</f>
        <v>SCBSFFPLUS43397</v>
      </c>
      <c r="V183" t="str">
        <f>DataTable[[#This Row],[RefRng]]&amp;DataTable[[#This Row],[HLD_SecCode]]</f>
        <v>SCBSFFPLUS43397LHBANK203A</v>
      </c>
    </row>
    <row r="184" spans="1:22" x14ac:dyDescent="0.2">
      <c r="A184" s="131">
        <v>43397</v>
      </c>
      <c r="B184" t="s">
        <v>130</v>
      </c>
      <c r="C184" t="s">
        <v>18</v>
      </c>
      <c r="D184" t="s">
        <v>102</v>
      </c>
      <c r="F184" t="s">
        <v>215</v>
      </c>
      <c r="G184" t="s">
        <v>216</v>
      </c>
      <c r="H184" t="s">
        <v>47</v>
      </c>
      <c r="I184" s="131">
        <v>43417</v>
      </c>
      <c r="J184" s="6">
        <v>13507784.640000001</v>
      </c>
      <c r="K184">
        <v>72360</v>
      </c>
      <c r="L184">
        <v>13502823.93</v>
      </c>
      <c r="M184">
        <v>5.1869999999999999E-2</v>
      </c>
      <c r="N184">
        <v>13500000</v>
      </c>
      <c r="O184">
        <v>2.1649630000000002</v>
      </c>
      <c r="P184">
        <v>6.4900400000000006E-5</v>
      </c>
      <c r="Q184" t="s">
        <v>42</v>
      </c>
      <c r="R184" t="s">
        <v>23</v>
      </c>
      <c r="S184" s="131">
        <v>42137</v>
      </c>
      <c r="T184" s="6">
        <f>DataTable[HLD_MaturityDate] - DataTable[SEC_Issue_Date]</f>
        <v>1280</v>
      </c>
      <c r="U184" s="131" t="str">
        <f>DataTable[HLD_Portfolio]&amp;DataTable[HLD_Date]</f>
        <v>SCBSFFPLUS43397</v>
      </c>
      <c r="V184" t="str">
        <f>DataTable[[#This Row],[RefRng]]&amp;DataTable[[#This Row],[HLD_SecCode]]</f>
        <v>SCBSFFPLUS43397PS18NA</v>
      </c>
    </row>
    <row r="185" spans="1:22" x14ac:dyDescent="0.2">
      <c r="A185" s="131">
        <v>43397</v>
      </c>
      <c r="B185" t="s">
        <v>130</v>
      </c>
      <c r="C185" t="s">
        <v>18</v>
      </c>
      <c r="D185" t="s">
        <v>102</v>
      </c>
      <c r="F185" t="s">
        <v>217</v>
      </c>
      <c r="G185" t="s">
        <v>218</v>
      </c>
      <c r="H185" t="s">
        <v>116</v>
      </c>
      <c r="I185" s="131">
        <v>44260</v>
      </c>
      <c r="J185" s="6">
        <v>357825696.36000001</v>
      </c>
      <c r="K185">
        <v>1074080.7</v>
      </c>
      <c r="L185">
        <v>363000000</v>
      </c>
      <c r="M185">
        <v>2.2738260000000001</v>
      </c>
      <c r="N185">
        <v>363000000</v>
      </c>
      <c r="O185">
        <v>2.16</v>
      </c>
      <c r="P185">
        <v>1.7152045000000001E-3</v>
      </c>
      <c r="Q185" t="s">
        <v>42</v>
      </c>
      <c r="R185" t="s">
        <v>23</v>
      </c>
      <c r="S185" s="131">
        <v>43164</v>
      </c>
      <c r="T185" s="6">
        <f>DataTable[HLD_MaturityDate] - DataTable[SEC_Issue_Date]</f>
        <v>1096</v>
      </c>
      <c r="U185" s="131" t="str">
        <f>DataTable[HLD_Portfolio]&amp;DataTable[HLD_Date]</f>
        <v>SCBSFFPLUS43397</v>
      </c>
      <c r="V185" t="str">
        <f>DataTable[[#This Row],[RefRng]]&amp;DataTable[[#This Row],[HLD_SecCode]]</f>
        <v>SCBSFFPLUS43397QH213A</v>
      </c>
    </row>
    <row r="186" spans="1:22" x14ac:dyDescent="0.2">
      <c r="A186" s="131">
        <v>43397</v>
      </c>
      <c r="B186" t="s">
        <v>130</v>
      </c>
      <c r="C186" t="s">
        <v>18</v>
      </c>
      <c r="D186" t="s">
        <v>102</v>
      </c>
      <c r="F186" t="s">
        <v>219</v>
      </c>
      <c r="G186" t="s">
        <v>26</v>
      </c>
      <c r="H186" t="s">
        <v>27</v>
      </c>
      <c r="I186" s="131">
        <v>43514</v>
      </c>
      <c r="J186" s="6">
        <v>615824403.03999996</v>
      </c>
      <c r="K186">
        <v>1863190.56</v>
      </c>
      <c r="L186">
        <v>616000000</v>
      </c>
      <c r="M186">
        <v>0.31611499999999998</v>
      </c>
      <c r="N186">
        <v>616000000</v>
      </c>
      <c r="O186">
        <v>1.6</v>
      </c>
      <c r="P186">
        <v>2.9519677E-3</v>
      </c>
      <c r="Q186" t="s">
        <v>42</v>
      </c>
      <c r="R186" t="s">
        <v>23</v>
      </c>
      <c r="S186" s="131">
        <v>43329</v>
      </c>
      <c r="T186" s="6">
        <f>DataTable[HLD_MaturityDate] - DataTable[SEC_Issue_Date]</f>
        <v>185</v>
      </c>
      <c r="U186" s="131" t="str">
        <f>DataTable[HLD_Portfolio]&amp;DataTable[HLD_Date]</f>
        <v>SCBSFFPLUS43397</v>
      </c>
      <c r="V186" t="str">
        <f>DataTable[[#This Row],[RefRng]]&amp;DataTable[[#This Row],[HLD_SecCode]]</f>
        <v>SCBSFFPLUS43397SCB19218A</v>
      </c>
    </row>
    <row r="187" spans="1:22" x14ac:dyDescent="0.2">
      <c r="A187" s="131">
        <v>43397</v>
      </c>
      <c r="B187" t="s">
        <v>130</v>
      </c>
      <c r="C187" t="s">
        <v>18</v>
      </c>
      <c r="D187" t="s">
        <v>102</v>
      </c>
      <c r="F187" t="s">
        <v>220</v>
      </c>
      <c r="G187" t="s">
        <v>80</v>
      </c>
      <c r="H187" t="s">
        <v>47</v>
      </c>
      <c r="I187" s="131">
        <v>44270</v>
      </c>
      <c r="J187" s="6">
        <v>111591790.61</v>
      </c>
      <c r="K187">
        <v>258816.33</v>
      </c>
      <c r="L187">
        <v>113000000</v>
      </c>
      <c r="M187">
        <v>2.3043559999999998</v>
      </c>
      <c r="N187">
        <v>113000000</v>
      </c>
      <c r="O187">
        <v>2.09</v>
      </c>
      <c r="P187">
        <v>5.3454109999999996E-4</v>
      </c>
      <c r="Q187" t="s">
        <v>42</v>
      </c>
      <c r="R187" t="s">
        <v>23</v>
      </c>
      <c r="S187" s="131">
        <v>43174</v>
      </c>
      <c r="T187" s="6">
        <f>DataTable[HLD_MaturityDate] - DataTable[SEC_Issue_Date]</f>
        <v>1096</v>
      </c>
      <c r="U187" s="131" t="str">
        <f>DataTable[HLD_Portfolio]&amp;DataTable[HLD_Date]</f>
        <v>SCBSFFPLUS43397</v>
      </c>
      <c r="V187" t="str">
        <f>DataTable[[#This Row],[RefRng]]&amp;DataTable[[#This Row],[HLD_SecCode]]</f>
        <v>SCBSFFPLUS43397SPALI213A</v>
      </c>
    </row>
    <row r="188" spans="1:22" x14ac:dyDescent="0.2">
      <c r="A188" s="131">
        <v>43397</v>
      </c>
      <c r="B188" t="s">
        <v>130</v>
      </c>
      <c r="C188" t="s">
        <v>18</v>
      </c>
      <c r="D188" t="s">
        <v>102</v>
      </c>
      <c r="F188" t="s">
        <v>221</v>
      </c>
      <c r="G188" t="s">
        <v>222</v>
      </c>
      <c r="H188" t="s">
        <v>193</v>
      </c>
      <c r="I188" s="131">
        <v>43912</v>
      </c>
      <c r="J188" s="6">
        <v>446448681</v>
      </c>
      <c r="K188">
        <v>728262</v>
      </c>
      <c r="L188">
        <v>450000000</v>
      </c>
      <c r="M188">
        <v>1.375853</v>
      </c>
      <c r="N188">
        <v>450000000</v>
      </c>
      <c r="O188">
        <v>1.79</v>
      </c>
      <c r="P188">
        <v>2.1370866000000001E-3</v>
      </c>
      <c r="Q188" t="s">
        <v>42</v>
      </c>
      <c r="R188" t="s">
        <v>23</v>
      </c>
      <c r="S188" s="131">
        <v>43181</v>
      </c>
      <c r="T188" s="6">
        <f>DataTable[HLD_MaturityDate] - DataTable[SEC_Issue_Date]</f>
        <v>731</v>
      </c>
      <c r="U188" s="131" t="str">
        <f>DataTable[HLD_Portfolio]&amp;DataTable[HLD_Date]</f>
        <v>SCBSFFPLUS43397</v>
      </c>
      <c r="V188" t="str">
        <f>DataTable[[#This Row],[RefRng]]&amp;DataTable[[#This Row],[HLD_SecCode]]</f>
        <v>SCBSFFPLUS43397TBEV203A</v>
      </c>
    </row>
    <row r="189" spans="1:22" x14ac:dyDescent="0.2">
      <c r="A189" s="131">
        <v>43397</v>
      </c>
      <c r="B189" t="s">
        <v>130</v>
      </c>
      <c r="C189" t="s">
        <v>18</v>
      </c>
      <c r="D189" t="s">
        <v>102</v>
      </c>
      <c r="F189" t="s">
        <v>223</v>
      </c>
      <c r="G189" t="s">
        <v>222</v>
      </c>
      <c r="H189" t="s">
        <v>193</v>
      </c>
      <c r="I189" s="131">
        <v>44277</v>
      </c>
      <c r="J189" s="6">
        <v>1478484595.28</v>
      </c>
      <c r="K189">
        <v>2844147.74</v>
      </c>
      <c r="L189">
        <v>1498131868.9400001</v>
      </c>
      <c r="M189">
        <v>2.3226810000000002</v>
      </c>
      <c r="N189">
        <v>1498000000</v>
      </c>
      <c r="O189">
        <v>2.0995659999999998</v>
      </c>
      <c r="P189">
        <v>7.0793627999999999E-3</v>
      </c>
      <c r="Q189" t="s">
        <v>42</v>
      </c>
      <c r="R189" t="s">
        <v>23</v>
      </c>
      <c r="S189" s="131">
        <v>43181</v>
      </c>
      <c r="T189" s="6">
        <f>DataTable[HLD_MaturityDate] - DataTable[SEC_Issue_Date]</f>
        <v>1096</v>
      </c>
      <c r="U189" s="131" t="str">
        <f>DataTable[HLD_Portfolio]&amp;DataTable[HLD_Date]</f>
        <v>SCBSFFPLUS43397</v>
      </c>
      <c r="V189" t="str">
        <f>DataTable[[#This Row],[RefRng]]&amp;DataTable[[#This Row],[HLD_SecCode]]</f>
        <v>SCBSFFPLUS43397TBEV213A</v>
      </c>
    </row>
    <row r="190" spans="1:22" x14ac:dyDescent="0.2">
      <c r="A190" s="131">
        <v>43397</v>
      </c>
      <c r="B190" t="s">
        <v>130</v>
      </c>
      <c r="C190" t="s">
        <v>18</v>
      </c>
      <c r="D190" t="s">
        <v>102</v>
      </c>
      <c r="F190" t="s">
        <v>224</v>
      </c>
      <c r="G190" t="s">
        <v>225</v>
      </c>
      <c r="H190" t="s">
        <v>116</v>
      </c>
      <c r="I190" s="131">
        <v>43740</v>
      </c>
      <c r="J190" s="6">
        <v>165093258.94</v>
      </c>
      <c r="K190">
        <v>436642.68</v>
      </c>
      <c r="L190">
        <v>165768765.63999999</v>
      </c>
      <c r="M190">
        <v>0.91543300000000005</v>
      </c>
      <c r="N190">
        <v>161900000</v>
      </c>
      <c r="O190">
        <v>1.7</v>
      </c>
      <c r="P190">
        <v>7.910778E-4</v>
      </c>
      <c r="Q190" t="s">
        <v>42</v>
      </c>
      <c r="R190" t="s">
        <v>23</v>
      </c>
      <c r="S190" s="131">
        <v>41914</v>
      </c>
      <c r="T190" s="6">
        <f>DataTable[HLD_MaturityDate] - DataTable[SEC_Issue_Date]</f>
        <v>1826</v>
      </c>
      <c r="U190" s="131" t="str">
        <f>DataTable[HLD_Portfolio]&amp;DataTable[HLD_Date]</f>
        <v>SCBSFFPLUS43397</v>
      </c>
      <c r="V190" t="str">
        <f>DataTable[[#This Row],[RefRng]]&amp;DataTable[[#This Row],[HLD_SecCode]]</f>
        <v>SCBSFFPLUS43397THCOM19OB</v>
      </c>
    </row>
    <row r="191" spans="1:22" x14ac:dyDescent="0.2">
      <c r="A191" s="131">
        <v>43397</v>
      </c>
      <c r="B191" t="s">
        <v>130</v>
      </c>
      <c r="C191" t="s">
        <v>18</v>
      </c>
      <c r="D191" t="s">
        <v>102</v>
      </c>
      <c r="F191" t="s">
        <v>226</v>
      </c>
      <c r="G191" t="s">
        <v>69</v>
      </c>
      <c r="H191" t="s">
        <v>47</v>
      </c>
      <c r="I191" s="131">
        <v>43433</v>
      </c>
      <c r="J191" s="6">
        <v>300091527</v>
      </c>
      <c r="K191">
        <v>2265615</v>
      </c>
      <c r="L191">
        <v>300000000</v>
      </c>
      <c r="M191">
        <v>9.5202999999999996E-2</v>
      </c>
      <c r="N191">
        <v>300000000</v>
      </c>
      <c r="O191">
        <v>1.85</v>
      </c>
      <c r="P191">
        <v>1.4449837E-3</v>
      </c>
      <c r="Q191" t="s">
        <v>42</v>
      </c>
      <c r="R191" t="s">
        <v>23</v>
      </c>
      <c r="S191" s="131">
        <v>42884</v>
      </c>
      <c r="T191" s="6">
        <f>DataTable[HLD_MaturityDate] - DataTable[SEC_Issue_Date]</f>
        <v>549</v>
      </c>
      <c r="U191" s="131" t="str">
        <f>DataTable[HLD_Portfolio]&amp;DataTable[HLD_Date]</f>
        <v>SCBSFFPLUS43397</v>
      </c>
      <c r="V191" t="str">
        <f>DataTable[[#This Row],[RefRng]]&amp;DataTable[[#This Row],[HLD_SecCode]]</f>
        <v>SCBSFFPLUS43397TISCO18NA</v>
      </c>
    </row>
    <row r="192" spans="1:22" x14ac:dyDescent="0.2">
      <c r="A192" s="131">
        <v>43397</v>
      </c>
      <c r="B192" t="s">
        <v>130</v>
      </c>
      <c r="C192" t="s">
        <v>18</v>
      </c>
      <c r="D192" t="s">
        <v>102</v>
      </c>
      <c r="F192" t="s">
        <v>227</v>
      </c>
      <c r="G192" t="s">
        <v>69</v>
      </c>
      <c r="H192" t="s">
        <v>47</v>
      </c>
      <c r="I192" s="131">
        <v>43686</v>
      </c>
      <c r="J192" s="6">
        <v>622995193.75</v>
      </c>
      <c r="K192">
        <v>2215068.75</v>
      </c>
      <c r="L192">
        <v>625000000</v>
      </c>
      <c r="M192">
        <v>0.78085800000000005</v>
      </c>
      <c r="N192">
        <v>625000000</v>
      </c>
      <c r="O192">
        <v>1.68</v>
      </c>
      <c r="P192">
        <v>2.9879189999999999E-3</v>
      </c>
      <c r="Q192" t="s">
        <v>42</v>
      </c>
      <c r="R192" t="s">
        <v>23</v>
      </c>
      <c r="S192" s="131">
        <v>43140</v>
      </c>
      <c r="T192" s="6">
        <f>DataTable[HLD_MaturityDate] - DataTable[SEC_Issue_Date]</f>
        <v>546</v>
      </c>
      <c r="U192" s="131" t="str">
        <f>DataTable[HLD_Portfolio]&amp;DataTable[HLD_Date]</f>
        <v>SCBSFFPLUS43397</v>
      </c>
      <c r="V192" t="str">
        <f>DataTable[[#This Row],[RefRng]]&amp;DataTable[[#This Row],[HLD_SecCode]]</f>
        <v>SCBSFFPLUS43397TISCO198A</v>
      </c>
    </row>
    <row r="193" spans="1:22" x14ac:dyDescent="0.2">
      <c r="A193" s="131">
        <v>43397</v>
      </c>
      <c r="B193" t="s">
        <v>130</v>
      </c>
      <c r="C193" t="s">
        <v>18</v>
      </c>
      <c r="D193" t="s">
        <v>102</v>
      </c>
      <c r="F193" t="s">
        <v>228</v>
      </c>
      <c r="G193" t="s">
        <v>69</v>
      </c>
      <c r="H193" t="s">
        <v>47</v>
      </c>
      <c r="I193" s="131">
        <v>43972</v>
      </c>
      <c r="J193" s="6">
        <v>18894364.75</v>
      </c>
      <c r="K193">
        <v>143020.6</v>
      </c>
      <c r="L193">
        <v>19000000</v>
      </c>
      <c r="M193">
        <v>1.5318659999999999</v>
      </c>
      <c r="N193">
        <v>19000000</v>
      </c>
      <c r="O193">
        <v>1.75</v>
      </c>
      <c r="P193">
        <v>9.0980899999999995E-5</v>
      </c>
      <c r="Q193" t="s">
        <v>42</v>
      </c>
      <c r="R193" t="s">
        <v>23</v>
      </c>
      <c r="S193" s="131">
        <v>43241</v>
      </c>
      <c r="T193" s="6">
        <f>DataTable[HLD_MaturityDate] - DataTable[SEC_Issue_Date]</f>
        <v>731</v>
      </c>
      <c r="U193" s="131" t="str">
        <f>DataTable[HLD_Portfolio]&amp;DataTable[HLD_Date]</f>
        <v>SCBSFFPLUS43397</v>
      </c>
      <c r="V193" t="str">
        <f>DataTable[[#This Row],[RefRng]]&amp;DataTable[[#This Row],[HLD_SecCode]]</f>
        <v>SCBSFFPLUS43397TISCO205B</v>
      </c>
    </row>
    <row r="194" spans="1:22" x14ac:dyDescent="0.2">
      <c r="A194" s="131">
        <v>43397</v>
      </c>
      <c r="B194" t="s">
        <v>130</v>
      </c>
      <c r="C194" t="s">
        <v>18</v>
      </c>
      <c r="D194" t="s">
        <v>102</v>
      </c>
      <c r="F194" t="s">
        <v>229</v>
      </c>
      <c r="G194" t="s">
        <v>230</v>
      </c>
      <c r="H194" t="s">
        <v>29</v>
      </c>
      <c r="I194" s="131">
        <v>43518</v>
      </c>
      <c r="J194" s="6">
        <v>5448217414</v>
      </c>
      <c r="K194">
        <v>102943796.5</v>
      </c>
      <c r="L194">
        <v>5450000000</v>
      </c>
      <c r="M194">
        <v>0.32573999999999997</v>
      </c>
      <c r="N194">
        <v>5450000000</v>
      </c>
      <c r="O194">
        <v>2.78</v>
      </c>
      <c r="P194">
        <v>2.6529347000000002E-2</v>
      </c>
      <c r="Q194" t="s">
        <v>42</v>
      </c>
      <c r="R194" t="s">
        <v>23</v>
      </c>
      <c r="S194" s="131">
        <v>43150</v>
      </c>
      <c r="T194" s="6">
        <f>DataTable[HLD_MaturityDate] - DataTable[SEC_Issue_Date]</f>
        <v>368</v>
      </c>
      <c r="U194" s="131" t="str">
        <f>DataTable[HLD_Portfolio]&amp;DataTable[HLD_Date]</f>
        <v>SCBSFFPLUS43397</v>
      </c>
      <c r="V194" t="str">
        <f>DataTable[[#This Row],[RefRng]]&amp;DataTable[[#This Row],[HLD_SecCode]]</f>
        <v>SCBSFFPLUS43397TRUE192B</v>
      </c>
    </row>
    <row r="195" spans="1:22" x14ac:dyDescent="0.2">
      <c r="A195" s="131">
        <v>43397</v>
      </c>
      <c r="B195" t="s">
        <v>130</v>
      </c>
      <c r="C195" t="s">
        <v>18</v>
      </c>
      <c r="D195" t="s">
        <v>102</v>
      </c>
      <c r="F195" t="s">
        <v>231</v>
      </c>
      <c r="G195" t="s">
        <v>232</v>
      </c>
      <c r="H195" t="s">
        <v>29</v>
      </c>
      <c r="I195" s="131">
        <v>43494</v>
      </c>
      <c r="J195" s="6">
        <v>497958646.07999998</v>
      </c>
      <c r="K195">
        <v>4707120.9000000004</v>
      </c>
      <c r="L195">
        <v>498000000</v>
      </c>
      <c r="M195">
        <v>0.26142500000000002</v>
      </c>
      <c r="N195">
        <v>498000000</v>
      </c>
      <c r="O195">
        <v>2.2999999999999998</v>
      </c>
      <c r="P195">
        <v>2.4022712000000002E-3</v>
      </c>
      <c r="Q195" t="s">
        <v>42</v>
      </c>
      <c r="R195" t="s">
        <v>23</v>
      </c>
      <c r="S195" s="131">
        <v>43248</v>
      </c>
      <c r="T195" s="6">
        <f>DataTable[HLD_MaturityDate] - DataTable[SEC_Issue_Date]</f>
        <v>246</v>
      </c>
      <c r="U195" s="131" t="str">
        <f>DataTable[HLD_Portfolio]&amp;DataTable[HLD_Date]</f>
        <v>SCBSFFPLUS43397</v>
      </c>
      <c r="V195" t="str">
        <f>DataTable[[#This Row],[RefRng]]&amp;DataTable[[#This Row],[HLD_SecCode]]</f>
        <v>SCBSFFPLUS43397TUC19129B</v>
      </c>
    </row>
    <row r="196" spans="1:22" x14ac:dyDescent="0.2">
      <c r="A196" s="131">
        <v>43397</v>
      </c>
      <c r="B196" t="s">
        <v>130</v>
      </c>
      <c r="C196" t="s">
        <v>18</v>
      </c>
      <c r="D196" t="s">
        <v>102</v>
      </c>
      <c r="F196" t="s">
        <v>233</v>
      </c>
      <c r="G196" t="s">
        <v>232</v>
      </c>
      <c r="H196" t="s">
        <v>29</v>
      </c>
      <c r="I196" s="131">
        <v>44410</v>
      </c>
      <c r="J196" s="6">
        <v>1366701850.0799999</v>
      </c>
      <c r="K196">
        <v>11648612.199999999</v>
      </c>
      <c r="L196">
        <v>1368000000</v>
      </c>
      <c r="M196">
        <v>2.6247090000000002</v>
      </c>
      <c r="N196">
        <v>1368000000</v>
      </c>
      <c r="O196">
        <v>3.7</v>
      </c>
      <c r="P196">
        <v>6.5872231999999998E-3</v>
      </c>
      <c r="Q196" t="s">
        <v>42</v>
      </c>
      <c r="R196" t="s">
        <v>23</v>
      </c>
      <c r="S196" s="131">
        <v>43314</v>
      </c>
      <c r="T196" s="6">
        <f>DataTable[HLD_MaturityDate] - DataTable[SEC_Issue_Date]</f>
        <v>1096</v>
      </c>
      <c r="U196" s="131" t="str">
        <f>DataTable[HLD_Portfolio]&amp;DataTable[HLD_Date]</f>
        <v>SCBSFFPLUS43397</v>
      </c>
      <c r="V196" t="str">
        <f>DataTable[[#This Row],[RefRng]]&amp;DataTable[[#This Row],[HLD_SecCode]]</f>
        <v>SCBSFFPLUS43397TUC218A</v>
      </c>
    </row>
    <row r="197" spans="1:22" x14ac:dyDescent="0.2">
      <c r="A197" s="131">
        <v>43397</v>
      </c>
      <c r="B197" t="s">
        <v>130</v>
      </c>
      <c r="C197" t="s">
        <v>18</v>
      </c>
      <c r="D197" t="s">
        <v>102</v>
      </c>
      <c r="F197" t="s">
        <v>234</v>
      </c>
      <c r="G197" t="s">
        <v>235</v>
      </c>
      <c r="H197" t="s">
        <v>116</v>
      </c>
      <c r="I197" s="131">
        <v>44313</v>
      </c>
      <c r="J197" s="6">
        <v>69261635.099999994</v>
      </c>
      <c r="K197">
        <v>412520.47</v>
      </c>
      <c r="L197">
        <v>70000000</v>
      </c>
      <c r="M197">
        <v>2.422148</v>
      </c>
      <c r="N197">
        <v>70000000</v>
      </c>
      <c r="O197">
        <v>2.39</v>
      </c>
      <c r="P197">
        <v>3.3297719999999999E-4</v>
      </c>
      <c r="Q197" t="s">
        <v>42</v>
      </c>
      <c r="R197" t="s">
        <v>23</v>
      </c>
      <c r="S197" s="131">
        <v>43217</v>
      </c>
      <c r="T197" s="6">
        <f>DataTable[HLD_MaturityDate] - DataTable[SEC_Issue_Date]</f>
        <v>1096</v>
      </c>
      <c r="U197" s="131" t="str">
        <f>DataTable[HLD_Portfolio]&amp;DataTable[HLD_Date]</f>
        <v>SCBSFFPLUS43397</v>
      </c>
      <c r="V197" t="str">
        <f>DataTable[[#This Row],[RefRng]]&amp;DataTable[[#This Row],[HLD_SecCode]]</f>
        <v>SCBSFFPLUS43397WHA214A</v>
      </c>
    </row>
    <row r="198" spans="1:22" x14ac:dyDescent="0.2">
      <c r="A198" s="131">
        <v>43397</v>
      </c>
      <c r="B198" t="s">
        <v>130</v>
      </c>
      <c r="C198" t="s">
        <v>18</v>
      </c>
      <c r="D198" t="s">
        <v>102</v>
      </c>
      <c r="F198" t="s">
        <v>236</v>
      </c>
      <c r="G198" t="s">
        <v>237</v>
      </c>
      <c r="H198" t="s">
        <v>47</v>
      </c>
      <c r="I198" s="131">
        <v>44285</v>
      </c>
      <c r="J198" s="6">
        <v>260097159.5</v>
      </c>
      <c r="K198">
        <v>405562.9</v>
      </c>
      <c r="L198">
        <v>262000000</v>
      </c>
      <c r="M198">
        <v>2.3531439999999999</v>
      </c>
      <c r="N198">
        <v>262000000</v>
      </c>
      <c r="O198">
        <v>2.2599999999999998</v>
      </c>
      <c r="P198">
        <v>1.2449588000000001E-3</v>
      </c>
      <c r="Q198" t="s">
        <v>42</v>
      </c>
      <c r="R198" t="s">
        <v>23</v>
      </c>
      <c r="S198" s="131">
        <v>43189</v>
      </c>
      <c r="T198" s="6">
        <f>DataTable[HLD_MaturityDate] - DataTable[SEC_Issue_Date]</f>
        <v>1096</v>
      </c>
      <c r="U198" s="131" t="str">
        <f>DataTable[HLD_Portfolio]&amp;DataTable[HLD_Date]</f>
        <v>SCBSFFPLUS43397</v>
      </c>
      <c r="V198" t="str">
        <f>DataTable[[#This Row],[RefRng]]&amp;DataTable[[#This Row],[HLD_SecCode]]</f>
        <v>SCBSFFPLUS43397WHART213A</v>
      </c>
    </row>
    <row r="199" spans="1:22" x14ac:dyDescent="0.2">
      <c r="A199" s="131">
        <v>43397</v>
      </c>
      <c r="B199" t="s">
        <v>130</v>
      </c>
      <c r="C199" t="s">
        <v>18</v>
      </c>
      <c r="D199" t="s">
        <v>102</v>
      </c>
      <c r="F199" t="s">
        <v>238</v>
      </c>
      <c r="G199" t="s">
        <v>239</v>
      </c>
      <c r="H199" t="s">
        <v>116</v>
      </c>
      <c r="I199" s="131">
        <v>44061</v>
      </c>
      <c r="J199" s="6">
        <v>393130397.39999998</v>
      </c>
      <c r="K199">
        <v>2419497.6</v>
      </c>
      <c r="L199">
        <v>390000000</v>
      </c>
      <c r="M199">
        <v>1.7444759999999999</v>
      </c>
      <c r="N199">
        <v>390000000</v>
      </c>
      <c r="O199">
        <v>3.33</v>
      </c>
      <c r="P199">
        <v>1.8903577000000001E-3</v>
      </c>
      <c r="Q199" t="s">
        <v>42</v>
      </c>
      <c r="R199" t="s">
        <v>23</v>
      </c>
      <c r="S199" s="131">
        <v>42965</v>
      </c>
      <c r="T199" s="6">
        <f>DataTable[HLD_MaturityDate] - DataTable[SEC_Issue_Date]</f>
        <v>1096</v>
      </c>
      <c r="U199" s="131" t="str">
        <f>DataTable[HLD_Portfolio]&amp;DataTable[HLD_Date]</f>
        <v>SCBSFFPLUS43397</v>
      </c>
      <c r="V199" t="str">
        <f>DataTable[[#This Row],[RefRng]]&amp;DataTable[[#This Row],[HLD_SecCode]]</f>
        <v>SCBSFFPLUS43397WHAUP208A</v>
      </c>
    </row>
    <row r="200" spans="1:22" x14ac:dyDescent="0.2">
      <c r="A200" s="131">
        <v>43397</v>
      </c>
      <c r="B200" t="s">
        <v>130</v>
      </c>
      <c r="C200" t="s">
        <v>18</v>
      </c>
      <c r="D200" t="s">
        <v>250</v>
      </c>
      <c r="F200" t="s">
        <v>251</v>
      </c>
      <c r="G200" t="s">
        <v>252</v>
      </c>
      <c r="H200" t="s">
        <v>47</v>
      </c>
      <c r="I200" s="131">
        <v>43531</v>
      </c>
      <c r="J200" s="6">
        <v>3288200000</v>
      </c>
      <c r="K200">
        <v>62088523.109999999</v>
      </c>
      <c r="L200">
        <v>3288200000</v>
      </c>
      <c r="M200">
        <v>0.36820700000000001</v>
      </c>
      <c r="N200">
        <v>100000000</v>
      </c>
      <c r="O200">
        <v>2.93</v>
      </c>
      <c r="P200">
        <v>1.6011238600000002E-2</v>
      </c>
      <c r="Q200" t="s">
        <v>42</v>
      </c>
      <c r="R200" t="s">
        <v>37</v>
      </c>
      <c r="S200" s="131">
        <v>43166</v>
      </c>
      <c r="T200" s="6">
        <f>DataTable[HLD_MaturityDate] - DataTable[SEC_Issue_Date]</f>
        <v>365</v>
      </c>
      <c r="U200" s="131" t="str">
        <f>DataTable[HLD_Portfolio]&amp;DataTable[HLD_Date]</f>
        <v>SCBSFFPLUS43397</v>
      </c>
      <c r="V200" t="str">
        <f>DataTable[[#This Row],[RefRng]]&amp;DataTable[[#This Row],[HLD_SecCode]]</f>
        <v>SCBSFFPLUS43397EMTNMASQ070319</v>
      </c>
    </row>
    <row r="201" spans="1:22" x14ac:dyDescent="0.2">
      <c r="A201" s="131">
        <v>43397</v>
      </c>
      <c r="B201" t="s">
        <v>130</v>
      </c>
      <c r="C201" t="s">
        <v>18</v>
      </c>
      <c r="D201" t="s">
        <v>250</v>
      </c>
      <c r="F201" t="s">
        <v>253</v>
      </c>
      <c r="G201" t="s">
        <v>252</v>
      </c>
      <c r="H201" t="s">
        <v>47</v>
      </c>
      <c r="I201" s="131">
        <v>43593</v>
      </c>
      <c r="J201" s="6">
        <v>2630560000</v>
      </c>
      <c r="K201">
        <v>40744451.560000002</v>
      </c>
      <c r="L201">
        <v>2630560000</v>
      </c>
      <c r="M201">
        <v>0.53489200000000003</v>
      </c>
      <c r="N201">
        <v>80000000</v>
      </c>
      <c r="O201">
        <v>3.28</v>
      </c>
      <c r="P201">
        <v>1.27663312E-2</v>
      </c>
      <c r="Q201" t="s">
        <v>42</v>
      </c>
      <c r="R201" t="s">
        <v>37</v>
      </c>
      <c r="S201" s="131">
        <v>43228</v>
      </c>
      <c r="T201" s="6">
        <f>DataTable[HLD_MaturityDate] - DataTable[SEC_Issue_Date]</f>
        <v>365</v>
      </c>
      <c r="U201" s="131" t="str">
        <f>DataTable[HLD_Portfolio]&amp;DataTable[HLD_Date]</f>
        <v>SCBSFFPLUS43397</v>
      </c>
      <c r="V201" t="str">
        <f>DataTable[[#This Row],[RefRng]]&amp;DataTable[[#This Row],[HLD_SecCode]]</f>
        <v>SCBSFFPLUS43397EMTNMASQ080519</v>
      </c>
    </row>
    <row r="202" spans="1:22" x14ac:dyDescent="0.2">
      <c r="A202" s="131">
        <v>43397</v>
      </c>
      <c r="B202" t="s">
        <v>130</v>
      </c>
      <c r="C202" t="s">
        <v>18</v>
      </c>
      <c r="D202" t="s">
        <v>250</v>
      </c>
      <c r="F202" t="s">
        <v>254</v>
      </c>
      <c r="G202" t="s">
        <v>252</v>
      </c>
      <c r="H202" t="s">
        <v>47</v>
      </c>
      <c r="I202" s="131">
        <v>43564</v>
      </c>
      <c r="J202" s="6">
        <v>3288200000</v>
      </c>
      <c r="K202">
        <v>57437546.890000001</v>
      </c>
      <c r="L202">
        <v>3288200000</v>
      </c>
      <c r="M202">
        <v>0.45718700000000001</v>
      </c>
      <c r="N202">
        <v>100000000</v>
      </c>
      <c r="O202">
        <v>3.16</v>
      </c>
      <c r="P202">
        <v>1.5989011300000001E-2</v>
      </c>
      <c r="Q202" t="s">
        <v>42</v>
      </c>
      <c r="R202" t="s">
        <v>37</v>
      </c>
      <c r="S202" s="131">
        <v>43199</v>
      </c>
      <c r="T202" s="6">
        <f>DataTable[HLD_MaturityDate] - DataTable[SEC_Issue_Date]</f>
        <v>365</v>
      </c>
      <c r="U202" s="131" t="str">
        <f>DataTable[HLD_Portfolio]&amp;DataTable[HLD_Date]</f>
        <v>SCBSFFPLUS43397</v>
      </c>
      <c r="V202" t="str">
        <f>DataTable[[#This Row],[RefRng]]&amp;DataTable[[#This Row],[HLD_SecCode]]</f>
        <v>SCBSFFPLUS43397EMTNMASQ090419</v>
      </c>
    </row>
    <row r="203" spans="1:22" x14ac:dyDescent="0.2">
      <c r="A203" s="131">
        <v>43397</v>
      </c>
      <c r="B203" t="s">
        <v>130</v>
      </c>
      <c r="C203" t="s">
        <v>18</v>
      </c>
      <c r="D203" t="s">
        <v>250</v>
      </c>
      <c r="F203" t="s">
        <v>255</v>
      </c>
      <c r="G203" t="s">
        <v>252</v>
      </c>
      <c r="H203" t="s">
        <v>47</v>
      </c>
      <c r="I203" s="131">
        <v>43598</v>
      </c>
      <c r="J203" s="6">
        <v>2630560000</v>
      </c>
      <c r="K203">
        <v>40510624</v>
      </c>
      <c r="L203">
        <v>2630560000</v>
      </c>
      <c r="M203">
        <v>0.54823200000000005</v>
      </c>
      <c r="N203">
        <v>80000000</v>
      </c>
      <c r="O203">
        <v>3.3</v>
      </c>
      <c r="P203">
        <v>1.27652137E-2</v>
      </c>
      <c r="Q203" t="s">
        <v>42</v>
      </c>
      <c r="R203" t="s">
        <v>37</v>
      </c>
      <c r="S203" s="131">
        <v>43230</v>
      </c>
      <c r="T203" s="6">
        <f>DataTable[HLD_MaturityDate] - DataTable[SEC_Issue_Date]</f>
        <v>368</v>
      </c>
      <c r="U203" s="131" t="str">
        <f>DataTable[HLD_Portfolio]&amp;DataTable[HLD_Date]</f>
        <v>SCBSFFPLUS43397</v>
      </c>
      <c r="V203" t="str">
        <f>DataTable[[#This Row],[RefRng]]&amp;DataTable[[#This Row],[HLD_SecCode]]</f>
        <v>SCBSFFPLUS43397EMTNMASQ130519</v>
      </c>
    </row>
    <row r="204" spans="1:22" x14ac:dyDescent="0.2">
      <c r="A204" s="131">
        <v>43397</v>
      </c>
      <c r="B204" t="s">
        <v>130</v>
      </c>
      <c r="C204" t="s">
        <v>18</v>
      </c>
      <c r="D204" t="s">
        <v>250</v>
      </c>
      <c r="F204" t="s">
        <v>256</v>
      </c>
      <c r="G204" t="s">
        <v>252</v>
      </c>
      <c r="H204" t="s">
        <v>47</v>
      </c>
      <c r="I204" s="131">
        <v>43545</v>
      </c>
      <c r="J204" s="6">
        <v>3003048000</v>
      </c>
      <c r="K204">
        <v>892572.6</v>
      </c>
      <c r="L204">
        <v>3003048000</v>
      </c>
      <c r="M204">
        <v>0.40825</v>
      </c>
      <c r="N204">
        <v>80000000</v>
      </c>
      <c r="O204">
        <v>0.05</v>
      </c>
      <c r="P204">
        <v>1.43560201E-2</v>
      </c>
      <c r="Q204" t="s">
        <v>42</v>
      </c>
      <c r="R204" t="s">
        <v>31</v>
      </c>
      <c r="S204" s="131">
        <v>43180</v>
      </c>
      <c r="T204" s="6">
        <f>DataTable[HLD_MaturityDate] - DataTable[SEC_Issue_Date]</f>
        <v>365</v>
      </c>
      <c r="U204" s="131" t="str">
        <f>DataTable[HLD_Portfolio]&amp;DataTable[HLD_Date]</f>
        <v>SCBSFFPLUS43397</v>
      </c>
      <c r="V204" t="str">
        <f>DataTable[[#This Row],[RefRng]]&amp;DataTable[[#This Row],[HLD_SecCode]]</f>
        <v>SCBSFFPLUS43397EMTNMASQ210319</v>
      </c>
    </row>
    <row r="205" spans="1:22" x14ac:dyDescent="0.2">
      <c r="A205" s="131">
        <v>43397</v>
      </c>
      <c r="B205" t="s">
        <v>130</v>
      </c>
      <c r="C205" t="s">
        <v>106</v>
      </c>
      <c r="D205" t="s">
        <v>107</v>
      </c>
      <c r="F205" t="s">
        <v>257</v>
      </c>
      <c r="G205" t="s">
        <v>26</v>
      </c>
      <c r="H205" t="s">
        <v>27</v>
      </c>
      <c r="I205" s="131">
        <v>43452</v>
      </c>
      <c r="J205" s="6">
        <v>-68856131.340000004</v>
      </c>
      <c r="L205">
        <v>0</v>
      </c>
      <c r="M205">
        <v>0</v>
      </c>
      <c r="N205">
        <v>0</v>
      </c>
      <c r="O205">
        <v>0</v>
      </c>
      <c r="P205">
        <v>-3.290678E-4</v>
      </c>
      <c r="Q205" t="s">
        <v>109</v>
      </c>
      <c r="R205" t="s">
        <v>23</v>
      </c>
      <c r="S205" s="131">
        <v>2</v>
      </c>
      <c r="T205" s="6">
        <f>DataTable[HLD_MaturityDate] - DataTable[SEC_Issue_Date]</f>
        <v>43450</v>
      </c>
      <c r="U205" s="131" t="str">
        <f>DataTable[HLD_Portfolio]&amp;DataTable[HLD_Date]</f>
        <v>SCBSFFPLUS43397</v>
      </c>
      <c r="V205" t="str">
        <f>DataTable[[#This Row],[RefRng]]&amp;DataTable[[#This Row],[HLD_SecCode]]</f>
        <v>SCBSFFPLUS43397FWAEDTHB18D18A</v>
      </c>
    </row>
    <row r="206" spans="1:22" x14ac:dyDescent="0.2">
      <c r="A206" s="131">
        <v>43397</v>
      </c>
      <c r="B206" t="s">
        <v>130</v>
      </c>
      <c r="C206" t="s">
        <v>106</v>
      </c>
      <c r="D206" t="s">
        <v>107</v>
      </c>
      <c r="F206" t="s">
        <v>258</v>
      </c>
      <c r="G206" t="s">
        <v>26</v>
      </c>
      <c r="H206" t="s">
        <v>27</v>
      </c>
      <c r="I206" s="131">
        <v>43441</v>
      </c>
      <c r="J206" s="6">
        <v>98840671.230000004</v>
      </c>
      <c r="L206">
        <v>0</v>
      </c>
      <c r="M206">
        <v>0</v>
      </c>
      <c r="N206">
        <v>0</v>
      </c>
      <c r="O206">
        <v>0</v>
      </c>
      <c r="P206">
        <v>4.7236579999999998E-4</v>
      </c>
      <c r="Q206" t="s">
        <v>109</v>
      </c>
      <c r="R206" t="s">
        <v>23</v>
      </c>
      <c r="S206" s="131">
        <v>2</v>
      </c>
      <c r="T206" s="6">
        <f>DataTable[HLD_MaturityDate] - DataTable[SEC_Issue_Date]</f>
        <v>43439</v>
      </c>
      <c r="U206" s="131" t="str">
        <f>DataTable[HLD_Portfolio]&amp;DataTable[HLD_Date]</f>
        <v>SCBSFFPLUS43397</v>
      </c>
      <c r="V206" t="str">
        <f>DataTable[[#This Row],[RefRng]]&amp;DataTable[[#This Row],[HLD_SecCode]]</f>
        <v>SCBSFFPLUS43397FWEURTHB18D07B</v>
      </c>
    </row>
    <row r="207" spans="1:22" x14ac:dyDescent="0.2">
      <c r="A207" s="131">
        <v>43397</v>
      </c>
      <c r="B207" t="s">
        <v>130</v>
      </c>
      <c r="C207" t="s">
        <v>106</v>
      </c>
      <c r="D207" t="s">
        <v>107</v>
      </c>
      <c r="F207" t="s">
        <v>259</v>
      </c>
      <c r="G207" t="s">
        <v>26</v>
      </c>
      <c r="H207" t="s">
        <v>27</v>
      </c>
      <c r="I207" s="131">
        <v>43409</v>
      </c>
      <c r="J207" s="6">
        <v>56656222.659999996</v>
      </c>
      <c r="L207">
        <v>0</v>
      </c>
      <c r="M207">
        <v>0</v>
      </c>
      <c r="N207">
        <v>0</v>
      </c>
      <c r="O207">
        <v>0</v>
      </c>
      <c r="P207">
        <v>2.7076360000000002E-4</v>
      </c>
      <c r="Q207" t="s">
        <v>109</v>
      </c>
      <c r="R207" t="s">
        <v>23</v>
      </c>
      <c r="S207" s="131">
        <v>2</v>
      </c>
      <c r="T207" s="6">
        <f>DataTable[HLD_MaturityDate] - DataTable[SEC_Issue_Date]</f>
        <v>43407</v>
      </c>
      <c r="U207" s="131" t="str">
        <f>DataTable[HLD_Portfolio]&amp;DataTable[HLD_Date]</f>
        <v>SCBSFFPLUS43397</v>
      </c>
      <c r="V207" t="str">
        <f>DataTable[[#This Row],[RefRng]]&amp;DataTable[[#This Row],[HLD_SecCode]]</f>
        <v>SCBSFFPLUS43397FWEURTHB18N05A</v>
      </c>
    </row>
    <row r="208" spans="1:22" x14ac:dyDescent="0.2">
      <c r="A208" s="131">
        <v>43397</v>
      </c>
      <c r="B208" t="s">
        <v>130</v>
      </c>
      <c r="C208" t="s">
        <v>106</v>
      </c>
      <c r="D208" t="s">
        <v>107</v>
      </c>
      <c r="F208" t="s">
        <v>1224</v>
      </c>
      <c r="G208" t="s">
        <v>115</v>
      </c>
      <c r="H208" t="s">
        <v>116</v>
      </c>
      <c r="I208" s="131">
        <v>43481</v>
      </c>
      <c r="J208" s="6">
        <v>16461181.810000001</v>
      </c>
      <c r="L208">
        <v>0</v>
      </c>
      <c r="M208">
        <v>0</v>
      </c>
      <c r="N208">
        <v>0</v>
      </c>
      <c r="O208">
        <v>0</v>
      </c>
      <c r="P208">
        <v>7.8669000000000002E-5</v>
      </c>
      <c r="Q208" t="s">
        <v>109</v>
      </c>
      <c r="R208" t="s">
        <v>23</v>
      </c>
      <c r="S208" s="131">
        <v>2</v>
      </c>
      <c r="T208" s="6">
        <f>DataTable[HLD_MaturityDate] - DataTable[SEC_Issue_Date]</f>
        <v>43479</v>
      </c>
      <c r="U208" s="131" t="str">
        <f>DataTable[HLD_Portfolio]&amp;DataTable[HLD_Date]</f>
        <v>SCBSFFPLUS43397</v>
      </c>
      <c r="V208" t="str">
        <f>DataTable[[#This Row],[RefRng]]&amp;DataTable[[#This Row],[HLD_SecCode]]</f>
        <v>SCBSFFPLUS43397FWEURTHB19116A</v>
      </c>
    </row>
    <row r="209" spans="1:22" x14ac:dyDescent="0.2">
      <c r="A209" s="131">
        <v>43397</v>
      </c>
      <c r="B209" t="s">
        <v>130</v>
      </c>
      <c r="C209" t="s">
        <v>106</v>
      </c>
      <c r="D209" t="s">
        <v>107</v>
      </c>
      <c r="F209" t="s">
        <v>1265</v>
      </c>
      <c r="G209" t="s">
        <v>115</v>
      </c>
      <c r="H209" t="s">
        <v>116</v>
      </c>
      <c r="I209" s="131">
        <v>43487</v>
      </c>
      <c r="J209" s="6">
        <v>-1558833.26</v>
      </c>
      <c r="L209">
        <v>0</v>
      </c>
      <c r="M209">
        <v>0</v>
      </c>
      <c r="N209">
        <v>0</v>
      </c>
      <c r="O209">
        <v>0</v>
      </c>
      <c r="P209">
        <v>-7.4498000000000002E-6</v>
      </c>
      <c r="Q209" t="s">
        <v>109</v>
      </c>
      <c r="R209" t="s">
        <v>23</v>
      </c>
      <c r="S209" s="131">
        <v>2</v>
      </c>
      <c r="T209" s="6">
        <f>DataTable[HLD_MaturityDate] - DataTable[SEC_Issue_Date]</f>
        <v>43485</v>
      </c>
      <c r="U209" s="131" t="str">
        <f>DataTable[HLD_Portfolio]&amp;DataTable[HLD_Date]</f>
        <v>SCBSFFPLUS43397</v>
      </c>
      <c r="V209" t="str">
        <f>DataTable[[#This Row],[RefRng]]&amp;DataTable[[#This Row],[HLD_SecCode]]</f>
        <v>SCBSFFPLUS43397FWEURTHB19122A</v>
      </c>
    </row>
    <row r="210" spans="1:22" x14ac:dyDescent="0.2">
      <c r="A210" s="131">
        <v>43397</v>
      </c>
      <c r="B210" t="s">
        <v>130</v>
      </c>
      <c r="C210" t="s">
        <v>106</v>
      </c>
      <c r="D210" t="s">
        <v>107</v>
      </c>
      <c r="F210" t="s">
        <v>260</v>
      </c>
      <c r="G210" t="s">
        <v>26</v>
      </c>
      <c r="H210" t="s">
        <v>27</v>
      </c>
      <c r="I210" s="131">
        <v>43496</v>
      </c>
      <c r="J210" s="6">
        <v>175394148.41999999</v>
      </c>
      <c r="L210">
        <v>0</v>
      </c>
      <c r="M210">
        <v>0</v>
      </c>
      <c r="N210">
        <v>0</v>
      </c>
      <c r="O210">
        <v>0</v>
      </c>
      <c r="P210">
        <v>8.3821959999999995E-4</v>
      </c>
      <c r="Q210" t="s">
        <v>109</v>
      </c>
      <c r="R210" t="s">
        <v>23</v>
      </c>
      <c r="S210" s="131">
        <v>2</v>
      </c>
      <c r="T210" s="6">
        <f>DataTable[HLD_MaturityDate] - DataTable[SEC_Issue_Date]</f>
        <v>43494</v>
      </c>
      <c r="U210" s="131" t="str">
        <f>DataTable[HLD_Portfolio]&amp;DataTable[HLD_Date]</f>
        <v>SCBSFFPLUS43397</v>
      </c>
      <c r="V210" t="str">
        <f>DataTable[[#This Row],[RefRng]]&amp;DataTable[[#This Row],[HLD_SecCode]]</f>
        <v>SCBSFFPLUS43397FWEURTHB19131A</v>
      </c>
    </row>
    <row r="211" spans="1:22" x14ac:dyDescent="0.2">
      <c r="A211" s="131">
        <v>43397</v>
      </c>
      <c r="B211" t="s">
        <v>130</v>
      </c>
      <c r="C211" t="s">
        <v>106</v>
      </c>
      <c r="D211" t="s">
        <v>107</v>
      </c>
      <c r="F211" t="s">
        <v>261</v>
      </c>
      <c r="G211" t="s">
        <v>26</v>
      </c>
      <c r="H211" t="s">
        <v>27</v>
      </c>
      <c r="I211" s="131">
        <v>43497</v>
      </c>
      <c r="J211" s="6">
        <v>167065900.28</v>
      </c>
      <c r="L211">
        <v>0</v>
      </c>
      <c r="M211">
        <v>0</v>
      </c>
      <c r="N211">
        <v>0</v>
      </c>
      <c r="O211">
        <v>0</v>
      </c>
      <c r="P211">
        <v>7.9841839999999999E-4</v>
      </c>
      <c r="Q211" t="s">
        <v>109</v>
      </c>
      <c r="R211" t="s">
        <v>23</v>
      </c>
      <c r="S211" s="131">
        <v>2</v>
      </c>
      <c r="T211" s="6">
        <f>DataTable[HLD_MaturityDate] - DataTable[SEC_Issue_Date]</f>
        <v>43495</v>
      </c>
      <c r="U211" s="131" t="str">
        <f>DataTable[HLD_Portfolio]&amp;DataTable[HLD_Date]</f>
        <v>SCBSFFPLUS43397</v>
      </c>
      <c r="V211" t="str">
        <f>DataTable[[#This Row],[RefRng]]&amp;DataTable[[#This Row],[HLD_SecCode]]</f>
        <v>SCBSFFPLUS43397FWEURTHB19201A</v>
      </c>
    </row>
    <row r="212" spans="1:22" x14ac:dyDescent="0.2">
      <c r="A212" s="131">
        <v>43397</v>
      </c>
      <c r="B212" t="s">
        <v>130</v>
      </c>
      <c r="C212" t="s">
        <v>106</v>
      </c>
      <c r="D212" t="s">
        <v>107</v>
      </c>
      <c r="F212" t="s">
        <v>262</v>
      </c>
      <c r="G212" t="s">
        <v>26</v>
      </c>
      <c r="H212" t="s">
        <v>27</v>
      </c>
      <c r="I212" s="131">
        <v>43509</v>
      </c>
      <c r="J212" s="6">
        <v>158451655.34</v>
      </c>
      <c r="L212">
        <v>0</v>
      </c>
      <c r="M212">
        <v>0</v>
      </c>
      <c r="N212">
        <v>0</v>
      </c>
      <c r="O212">
        <v>0</v>
      </c>
      <c r="P212">
        <v>7.5725040000000003E-4</v>
      </c>
      <c r="Q212" t="s">
        <v>109</v>
      </c>
      <c r="R212" t="s">
        <v>23</v>
      </c>
      <c r="S212" s="131">
        <v>2</v>
      </c>
      <c r="T212" s="6">
        <f>DataTable[HLD_MaturityDate] - DataTable[SEC_Issue_Date]</f>
        <v>43507</v>
      </c>
      <c r="U212" s="131" t="str">
        <f>DataTable[HLD_Portfolio]&amp;DataTable[HLD_Date]</f>
        <v>SCBSFFPLUS43397</v>
      </c>
      <c r="V212" t="str">
        <f>DataTable[[#This Row],[RefRng]]&amp;DataTable[[#This Row],[HLD_SecCode]]</f>
        <v>SCBSFFPLUS43397FWEURTHB19213A</v>
      </c>
    </row>
    <row r="213" spans="1:22" x14ac:dyDescent="0.2">
      <c r="A213" s="131">
        <v>43397</v>
      </c>
      <c r="B213" t="s">
        <v>130</v>
      </c>
      <c r="C213" t="s">
        <v>106</v>
      </c>
      <c r="D213" t="s">
        <v>107</v>
      </c>
      <c r="F213" t="s">
        <v>263</v>
      </c>
      <c r="G213" t="s">
        <v>26</v>
      </c>
      <c r="H213" t="s">
        <v>27</v>
      </c>
      <c r="I213" s="131">
        <v>43530</v>
      </c>
      <c r="J213" s="6">
        <v>131010657.53</v>
      </c>
      <c r="L213">
        <v>0</v>
      </c>
      <c r="M213">
        <v>0</v>
      </c>
      <c r="N213">
        <v>0</v>
      </c>
      <c r="O213">
        <v>0</v>
      </c>
      <c r="P213">
        <v>6.2610810000000004E-4</v>
      </c>
      <c r="Q213" t="s">
        <v>109</v>
      </c>
      <c r="R213" t="s">
        <v>23</v>
      </c>
      <c r="S213" s="131">
        <v>2</v>
      </c>
      <c r="T213" s="6">
        <f>DataTable[HLD_MaturityDate] - DataTable[SEC_Issue_Date]</f>
        <v>43528</v>
      </c>
      <c r="U213" s="131" t="str">
        <f>DataTable[HLD_Portfolio]&amp;DataTable[HLD_Date]</f>
        <v>SCBSFFPLUS43397</v>
      </c>
      <c r="V213" t="str">
        <f>DataTable[[#This Row],[RefRng]]&amp;DataTable[[#This Row],[HLD_SecCode]]</f>
        <v>SCBSFFPLUS43397FWEURTHB19306A</v>
      </c>
    </row>
    <row r="214" spans="1:22" x14ac:dyDescent="0.2">
      <c r="A214" s="131">
        <v>43397</v>
      </c>
      <c r="B214" t="s">
        <v>130</v>
      </c>
      <c r="C214" t="s">
        <v>106</v>
      </c>
      <c r="D214" t="s">
        <v>107</v>
      </c>
      <c r="F214" t="s">
        <v>264</v>
      </c>
      <c r="G214" t="s">
        <v>26</v>
      </c>
      <c r="H214" t="s">
        <v>27</v>
      </c>
      <c r="I214" s="131">
        <v>43545</v>
      </c>
      <c r="J214" s="6">
        <v>69563071</v>
      </c>
      <c r="L214">
        <v>0</v>
      </c>
      <c r="M214">
        <v>0</v>
      </c>
      <c r="N214">
        <v>0</v>
      </c>
      <c r="O214">
        <v>0</v>
      </c>
      <c r="P214">
        <v>3.3244630000000002E-4</v>
      </c>
      <c r="Q214" t="s">
        <v>109</v>
      </c>
      <c r="R214" t="s">
        <v>23</v>
      </c>
      <c r="S214" s="131">
        <v>2</v>
      </c>
      <c r="T214" s="6">
        <f>DataTable[HLD_MaturityDate] - DataTable[SEC_Issue_Date]</f>
        <v>43543</v>
      </c>
      <c r="U214" s="131" t="str">
        <f>DataTable[HLD_Portfolio]&amp;DataTable[HLD_Date]</f>
        <v>SCBSFFPLUS43397</v>
      </c>
      <c r="V214" t="str">
        <f>DataTable[[#This Row],[RefRng]]&amp;DataTable[[#This Row],[HLD_SecCode]]</f>
        <v>SCBSFFPLUS43397FWEURTHB19321A</v>
      </c>
    </row>
    <row r="215" spans="1:22" x14ac:dyDescent="0.2">
      <c r="A215" s="131">
        <v>43397</v>
      </c>
      <c r="B215" t="s">
        <v>130</v>
      </c>
      <c r="C215" t="s">
        <v>106</v>
      </c>
      <c r="D215" t="s">
        <v>107</v>
      </c>
      <c r="F215" t="s">
        <v>265</v>
      </c>
      <c r="G215" t="s">
        <v>115</v>
      </c>
      <c r="H215" t="s">
        <v>116</v>
      </c>
      <c r="I215" s="131">
        <v>43546</v>
      </c>
      <c r="J215" s="6">
        <v>25076851</v>
      </c>
      <c r="L215">
        <v>0</v>
      </c>
      <c r="M215">
        <v>0</v>
      </c>
      <c r="N215">
        <v>0</v>
      </c>
      <c r="O215">
        <v>0</v>
      </c>
      <c r="P215">
        <v>1.198438E-4</v>
      </c>
      <c r="Q215" t="s">
        <v>109</v>
      </c>
      <c r="R215" t="s">
        <v>23</v>
      </c>
      <c r="S215" s="131">
        <v>2</v>
      </c>
      <c r="T215" s="6">
        <f>DataTable[HLD_MaturityDate] - DataTable[SEC_Issue_Date]</f>
        <v>43544</v>
      </c>
      <c r="U215" s="131" t="str">
        <f>DataTable[HLD_Portfolio]&amp;DataTable[HLD_Date]</f>
        <v>SCBSFFPLUS43397</v>
      </c>
      <c r="V215" t="str">
        <f>DataTable[[#This Row],[RefRng]]&amp;DataTable[[#This Row],[HLD_SecCode]]</f>
        <v>SCBSFFPLUS43397FWEURTHB19322A</v>
      </c>
    </row>
    <row r="216" spans="1:22" x14ac:dyDescent="0.2">
      <c r="A216" s="131">
        <v>43397</v>
      </c>
      <c r="B216" t="s">
        <v>130</v>
      </c>
      <c r="C216" t="s">
        <v>106</v>
      </c>
      <c r="D216" t="s">
        <v>107</v>
      </c>
      <c r="F216" t="s">
        <v>266</v>
      </c>
      <c r="G216" t="s">
        <v>26</v>
      </c>
      <c r="H216" t="s">
        <v>27</v>
      </c>
      <c r="I216" s="131">
        <v>43551</v>
      </c>
      <c r="J216" s="6">
        <v>78176976.840000004</v>
      </c>
      <c r="L216">
        <v>0</v>
      </c>
      <c r="M216">
        <v>0</v>
      </c>
      <c r="N216">
        <v>0</v>
      </c>
      <c r="O216">
        <v>0</v>
      </c>
      <c r="P216">
        <v>3.7361270000000002E-4</v>
      </c>
      <c r="Q216" t="s">
        <v>109</v>
      </c>
      <c r="R216" t="s">
        <v>23</v>
      </c>
      <c r="S216" s="131">
        <v>2</v>
      </c>
      <c r="T216" s="6">
        <f>DataTable[HLD_MaturityDate] - DataTable[SEC_Issue_Date]</f>
        <v>43549</v>
      </c>
      <c r="U216" s="131" t="str">
        <f>DataTable[HLD_Portfolio]&amp;DataTable[HLD_Date]</f>
        <v>SCBSFFPLUS43397</v>
      </c>
      <c r="V216" t="str">
        <f>DataTable[[#This Row],[RefRng]]&amp;DataTable[[#This Row],[HLD_SecCode]]</f>
        <v>SCBSFFPLUS43397FWEURTHB19327A</v>
      </c>
    </row>
    <row r="217" spans="1:22" x14ac:dyDescent="0.2">
      <c r="A217" s="131">
        <v>43397</v>
      </c>
      <c r="B217" t="s">
        <v>130</v>
      </c>
      <c r="C217" t="s">
        <v>106</v>
      </c>
      <c r="D217" t="s">
        <v>107</v>
      </c>
      <c r="F217" t="s">
        <v>267</v>
      </c>
      <c r="G217" t="s">
        <v>26</v>
      </c>
      <c r="H217" t="s">
        <v>27</v>
      </c>
      <c r="I217" s="131">
        <v>43552</v>
      </c>
      <c r="J217" s="6">
        <v>92988642.310000002</v>
      </c>
      <c r="L217">
        <v>0</v>
      </c>
      <c r="M217">
        <v>0</v>
      </c>
      <c r="N217">
        <v>0</v>
      </c>
      <c r="O217">
        <v>0</v>
      </c>
      <c r="P217">
        <v>4.4439849999999999E-4</v>
      </c>
      <c r="Q217" t="s">
        <v>109</v>
      </c>
      <c r="R217" t="s">
        <v>23</v>
      </c>
      <c r="S217" s="131">
        <v>2</v>
      </c>
      <c r="T217" s="6">
        <f>DataTable[HLD_MaturityDate] - DataTable[SEC_Issue_Date]</f>
        <v>43550</v>
      </c>
      <c r="U217" s="131" t="str">
        <f>DataTable[HLD_Portfolio]&amp;DataTable[HLD_Date]</f>
        <v>SCBSFFPLUS43397</v>
      </c>
      <c r="V217" t="str">
        <f>DataTable[[#This Row],[RefRng]]&amp;DataTable[[#This Row],[HLD_SecCode]]</f>
        <v>SCBSFFPLUS43397FWEURTHB19328A</v>
      </c>
    </row>
    <row r="218" spans="1:22" x14ac:dyDescent="0.2">
      <c r="A218" s="131">
        <v>43397</v>
      </c>
      <c r="B218" t="s">
        <v>130</v>
      </c>
      <c r="C218" t="s">
        <v>106</v>
      </c>
      <c r="D218" t="s">
        <v>107</v>
      </c>
      <c r="F218" t="s">
        <v>268</v>
      </c>
      <c r="G218" t="s">
        <v>115</v>
      </c>
      <c r="H218" t="s">
        <v>116</v>
      </c>
      <c r="I218" s="131">
        <v>43587</v>
      </c>
      <c r="J218" s="6">
        <v>55085530.469999999</v>
      </c>
      <c r="L218">
        <v>0</v>
      </c>
      <c r="M218">
        <v>0</v>
      </c>
      <c r="N218">
        <v>0</v>
      </c>
      <c r="O218">
        <v>0</v>
      </c>
      <c r="P218">
        <v>2.6325719999999999E-4</v>
      </c>
      <c r="Q218" t="s">
        <v>109</v>
      </c>
      <c r="R218" t="s">
        <v>23</v>
      </c>
      <c r="S218" s="131">
        <v>2</v>
      </c>
      <c r="T218" s="6">
        <f>DataTable[HLD_MaturityDate] - DataTable[SEC_Issue_Date]</f>
        <v>43585</v>
      </c>
      <c r="U218" s="131" t="str">
        <f>DataTable[HLD_Portfolio]&amp;DataTable[HLD_Date]</f>
        <v>SCBSFFPLUS43397</v>
      </c>
      <c r="V218" t="str">
        <f>DataTable[[#This Row],[RefRng]]&amp;DataTable[[#This Row],[HLD_SecCode]]</f>
        <v>SCBSFFPLUS43397FWEURTHB19502B</v>
      </c>
    </row>
    <row r="219" spans="1:22" x14ac:dyDescent="0.2">
      <c r="A219" s="131">
        <v>43397</v>
      </c>
      <c r="B219" t="s">
        <v>130</v>
      </c>
      <c r="C219" t="s">
        <v>106</v>
      </c>
      <c r="D219" t="s">
        <v>107</v>
      </c>
      <c r="F219" t="s">
        <v>269</v>
      </c>
      <c r="G219" t="s">
        <v>26</v>
      </c>
      <c r="H219" t="s">
        <v>27</v>
      </c>
      <c r="I219" s="131">
        <v>43608</v>
      </c>
      <c r="J219" s="6">
        <v>30159555.25</v>
      </c>
      <c r="L219">
        <v>0</v>
      </c>
      <c r="M219">
        <v>0</v>
      </c>
      <c r="N219">
        <v>0</v>
      </c>
      <c r="O219">
        <v>0</v>
      </c>
      <c r="P219">
        <v>1.441344E-4</v>
      </c>
      <c r="Q219" t="s">
        <v>109</v>
      </c>
      <c r="R219" t="s">
        <v>23</v>
      </c>
      <c r="S219" s="131">
        <v>2</v>
      </c>
      <c r="T219" s="6">
        <f>DataTable[HLD_MaturityDate] - DataTable[SEC_Issue_Date]</f>
        <v>43606</v>
      </c>
      <c r="U219" s="131" t="str">
        <f>DataTable[HLD_Portfolio]&amp;DataTable[HLD_Date]</f>
        <v>SCBSFFPLUS43397</v>
      </c>
      <c r="V219" t="str">
        <f>DataTable[[#This Row],[RefRng]]&amp;DataTable[[#This Row],[HLD_SecCode]]</f>
        <v>SCBSFFPLUS43397FWEURTHB19523A</v>
      </c>
    </row>
    <row r="220" spans="1:22" x14ac:dyDescent="0.2">
      <c r="A220" s="131">
        <v>43397</v>
      </c>
      <c r="B220" t="s">
        <v>130</v>
      </c>
      <c r="C220" t="s">
        <v>106</v>
      </c>
      <c r="D220" t="s">
        <v>107</v>
      </c>
      <c r="F220" t="s">
        <v>270</v>
      </c>
      <c r="G220" t="s">
        <v>26</v>
      </c>
      <c r="H220" t="s">
        <v>27</v>
      </c>
      <c r="I220" s="131">
        <v>43616</v>
      </c>
      <c r="J220" s="6">
        <v>-8886756.5199999996</v>
      </c>
      <c r="L220">
        <v>0</v>
      </c>
      <c r="M220">
        <v>0</v>
      </c>
      <c r="N220">
        <v>0</v>
      </c>
      <c r="O220">
        <v>0</v>
      </c>
      <c r="P220">
        <v>-4.2470399999999999E-5</v>
      </c>
      <c r="Q220" t="s">
        <v>109</v>
      </c>
      <c r="R220" t="s">
        <v>23</v>
      </c>
      <c r="S220" s="131">
        <v>2</v>
      </c>
      <c r="T220" s="6">
        <f>DataTable[HLD_MaturityDate] - DataTable[SEC_Issue_Date]</f>
        <v>43614</v>
      </c>
      <c r="U220" s="131" t="str">
        <f>DataTable[HLD_Portfolio]&amp;DataTable[HLD_Date]</f>
        <v>SCBSFFPLUS43397</v>
      </c>
      <c r="V220" t="str">
        <f>DataTable[[#This Row],[RefRng]]&amp;DataTable[[#This Row],[HLD_SecCode]]</f>
        <v>SCBSFFPLUS43397FWEURTHB19531A</v>
      </c>
    </row>
    <row r="221" spans="1:22" x14ac:dyDescent="0.2">
      <c r="A221" s="131">
        <v>43397</v>
      </c>
      <c r="B221" t="s">
        <v>130</v>
      </c>
      <c r="C221" t="s">
        <v>106</v>
      </c>
      <c r="D221" t="s">
        <v>107</v>
      </c>
      <c r="F221" t="s">
        <v>271</v>
      </c>
      <c r="G221" t="s">
        <v>26</v>
      </c>
      <c r="H221" t="s">
        <v>27</v>
      </c>
      <c r="I221" s="131">
        <v>43536</v>
      </c>
      <c r="J221" s="6">
        <v>-4619423.32</v>
      </c>
      <c r="L221">
        <v>0</v>
      </c>
      <c r="M221">
        <v>0</v>
      </c>
      <c r="N221">
        <v>0</v>
      </c>
      <c r="O221">
        <v>0</v>
      </c>
      <c r="P221">
        <v>-2.2076500000000001E-5</v>
      </c>
      <c r="Q221" t="s">
        <v>109</v>
      </c>
      <c r="R221" t="s">
        <v>23</v>
      </c>
      <c r="S221" s="131">
        <v>2</v>
      </c>
      <c r="T221" s="6">
        <f>DataTable[HLD_MaturityDate] - DataTable[SEC_Issue_Date]</f>
        <v>43534</v>
      </c>
      <c r="U221" s="131" t="str">
        <f>DataTable[HLD_Portfolio]&amp;DataTable[HLD_Date]</f>
        <v>SCBSFFPLUS43397</v>
      </c>
      <c r="V221" t="str">
        <f>DataTable[[#This Row],[RefRng]]&amp;DataTable[[#This Row],[HLD_SecCode]]</f>
        <v>SCBSFFPLUS43397FWHKDTHB19312A</v>
      </c>
    </row>
    <row r="222" spans="1:22" x14ac:dyDescent="0.2">
      <c r="A222" s="131">
        <v>43397</v>
      </c>
      <c r="B222" t="s">
        <v>130</v>
      </c>
      <c r="C222" t="s">
        <v>106</v>
      </c>
      <c r="D222" t="s">
        <v>107</v>
      </c>
      <c r="F222" t="s">
        <v>272</v>
      </c>
      <c r="G222" t="s">
        <v>273</v>
      </c>
      <c r="H222" t="s">
        <v>43</v>
      </c>
      <c r="I222" s="131">
        <v>43452</v>
      </c>
      <c r="J222" s="6">
        <v>-36616870.350000001</v>
      </c>
      <c r="L222">
        <v>0</v>
      </c>
      <c r="M222">
        <v>0</v>
      </c>
      <c r="N222">
        <v>0</v>
      </c>
      <c r="O222">
        <v>0</v>
      </c>
      <c r="P222">
        <v>-1.7499430000000001E-4</v>
      </c>
      <c r="Q222" t="s">
        <v>109</v>
      </c>
      <c r="R222" t="s">
        <v>23</v>
      </c>
      <c r="S222" s="131">
        <v>2</v>
      </c>
      <c r="T222" s="6">
        <f>DataTable[HLD_MaturityDate] - DataTable[SEC_Issue_Date]</f>
        <v>43450</v>
      </c>
      <c r="U222" s="131" t="str">
        <f>DataTable[HLD_Portfolio]&amp;DataTable[HLD_Date]</f>
        <v>SCBSFFPLUS43397</v>
      </c>
      <c r="V222" t="str">
        <f>DataTable[[#This Row],[RefRng]]&amp;DataTable[[#This Row],[HLD_SecCode]]</f>
        <v>SCBSFFPLUS43397FWUSDTHB18D18B</v>
      </c>
    </row>
    <row r="223" spans="1:22" x14ac:dyDescent="0.2">
      <c r="A223" s="131">
        <v>43397</v>
      </c>
      <c r="B223" t="s">
        <v>130</v>
      </c>
      <c r="C223" t="s">
        <v>106</v>
      </c>
      <c r="D223" t="s">
        <v>107</v>
      </c>
      <c r="F223" t="s">
        <v>274</v>
      </c>
      <c r="G223" t="s">
        <v>115</v>
      </c>
      <c r="H223" t="s">
        <v>116</v>
      </c>
      <c r="I223" s="131">
        <v>43410</v>
      </c>
      <c r="J223" s="6">
        <v>3048825.5</v>
      </c>
      <c r="L223">
        <v>0</v>
      </c>
      <c r="M223">
        <v>0</v>
      </c>
      <c r="N223">
        <v>0</v>
      </c>
      <c r="O223">
        <v>0</v>
      </c>
      <c r="P223">
        <v>1.4570500000000001E-5</v>
      </c>
      <c r="Q223" t="s">
        <v>109</v>
      </c>
      <c r="R223" t="s">
        <v>23</v>
      </c>
      <c r="S223" s="131">
        <v>2</v>
      </c>
      <c r="T223" s="6">
        <f>DataTable[HLD_MaturityDate] - DataTable[SEC_Issue_Date]</f>
        <v>43408</v>
      </c>
      <c r="U223" s="131" t="str">
        <f>DataTable[HLD_Portfolio]&amp;DataTable[HLD_Date]</f>
        <v>SCBSFFPLUS43397</v>
      </c>
      <c r="V223" t="str">
        <f>DataTable[[#This Row],[RefRng]]&amp;DataTable[[#This Row],[HLD_SecCode]]</f>
        <v>SCBSFFPLUS43397FWUSDTHB18N06D</v>
      </c>
    </row>
    <row r="224" spans="1:22" x14ac:dyDescent="0.2">
      <c r="A224" s="131">
        <v>43397</v>
      </c>
      <c r="B224" t="s">
        <v>130</v>
      </c>
      <c r="C224" t="s">
        <v>106</v>
      </c>
      <c r="D224" t="s">
        <v>107</v>
      </c>
      <c r="F224" t="s">
        <v>275</v>
      </c>
      <c r="G224" t="s">
        <v>26</v>
      </c>
      <c r="H224" t="s">
        <v>27</v>
      </c>
      <c r="I224" s="131">
        <v>43423</v>
      </c>
      <c r="J224" s="6">
        <v>-57305680.850000001</v>
      </c>
      <c r="L224">
        <v>0</v>
      </c>
      <c r="M224">
        <v>0</v>
      </c>
      <c r="N224">
        <v>0</v>
      </c>
      <c r="O224">
        <v>0</v>
      </c>
      <c r="P224">
        <v>-2.7386739999999999E-4</v>
      </c>
      <c r="Q224" t="s">
        <v>109</v>
      </c>
      <c r="R224" t="s">
        <v>23</v>
      </c>
      <c r="S224" s="131">
        <v>2</v>
      </c>
      <c r="T224" s="6">
        <f>DataTable[HLD_MaturityDate] - DataTable[SEC_Issue_Date]</f>
        <v>43421</v>
      </c>
      <c r="U224" s="131" t="str">
        <f>DataTable[HLD_Portfolio]&amp;DataTable[HLD_Date]</f>
        <v>SCBSFFPLUS43397</v>
      </c>
      <c r="V224" t="str">
        <f>DataTable[[#This Row],[RefRng]]&amp;DataTable[[#This Row],[HLD_SecCode]]</f>
        <v>SCBSFFPLUS43397FWUSDTHB18N19A</v>
      </c>
    </row>
    <row r="225" spans="1:22" x14ac:dyDescent="0.2">
      <c r="A225" s="131">
        <v>43397</v>
      </c>
      <c r="B225" t="s">
        <v>130</v>
      </c>
      <c r="C225" t="s">
        <v>106</v>
      </c>
      <c r="D225" t="s">
        <v>107</v>
      </c>
      <c r="F225" t="s">
        <v>276</v>
      </c>
      <c r="G225" t="s">
        <v>26</v>
      </c>
      <c r="H225" t="s">
        <v>27</v>
      </c>
      <c r="I225" s="131">
        <v>43424</v>
      </c>
      <c r="J225" s="6">
        <v>-13619385.060000001</v>
      </c>
      <c r="L225">
        <v>0</v>
      </c>
      <c r="M225">
        <v>0</v>
      </c>
      <c r="N225">
        <v>0</v>
      </c>
      <c r="O225">
        <v>0</v>
      </c>
      <c r="P225">
        <v>-6.5087900000000004E-5</v>
      </c>
      <c r="Q225" t="s">
        <v>109</v>
      </c>
      <c r="R225" t="s">
        <v>23</v>
      </c>
      <c r="S225" s="131">
        <v>2</v>
      </c>
      <c r="T225" s="6">
        <f>DataTable[HLD_MaturityDate] - DataTable[SEC_Issue_Date]</f>
        <v>43422</v>
      </c>
      <c r="U225" s="131" t="str">
        <f>DataTable[HLD_Portfolio]&amp;DataTable[HLD_Date]</f>
        <v>SCBSFFPLUS43397</v>
      </c>
      <c r="V225" t="str">
        <f>DataTable[[#This Row],[RefRng]]&amp;DataTable[[#This Row],[HLD_SecCode]]</f>
        <v>SCBSFFPLUS43397FWUSDTHB18N20A</v>
      </c>
    </row>
    <row r="226" spans="1:22" x14ac:dyDescent="0.2">
      <c r="A226" s="131">
        <v>43397</v>
      </c>
      <c r="B226" t="s">
        <v>130</v>
      </c>
      <c r="C226" t="s">
        <v>106</v>
      </c>
      <c r="D226" t="s">
        <v>107</v>
      </c>
      <c r="F226" t="s">
        <v>277</v>
      </c>
      <c r="G226" t="s">
        <v>26</v>
      </c>
      <c r="H226" t="s">
        <v>27</v>
      </c>
      <c r="I226" s="131">
        <v>43430</v>
      </c>
      <c r="J226" s="6">
        <v>-50039854.439999998</v>
      </c>
      <c r="L226">
        <v>0</v>
      </c>
      <c r="M226">
        <v>0</v>
      </c>
      <c r="N226">
        <v>0</v>
      </c>
      <c r="O226">
        <v>0</v>
      </c>
      <c r="P226">
        <v>-2.391436E-4</v>
      </c>
      <c r="Q226" t="s">
        <v>109</v>
      </c>
      <c r="R226" t="s">
        <v>23</v>
      </c>
      <c r="S226" s="131">
        <v>2</v>
      </c>
      <c r="T226" s="6">
        <f>DataTable[HLD_MaturityDate] - DataTable[SEC_Issue_Date]</f>
        <v>43428</v>
      </c>
      <c r="U226" s="131" t="str">
        <f>DataTable[HLD_Portfolio]&amp;DataTable[HLD_Date]</f>
        <v>SCBSFFPLUS43397</v>
      </c>
      <c r="V226" t="str">
        <f>DataTable[[#This Row],[RefRng]]&amp;DataTable[[#This Row],[HLD_SecCode]]</f>
        <v>SCBSFFPLUS43397FWUSDTHB18N26A</v>
      </c>
    </row>
    <row r="227" spans="1:22" x14ac:dyDescent="0.2">
      <c r="A227" s="131">
        <v>43397</v>
      </c>
      <c r="B227" t="s">
        <v>130</v>
      </c>
      <c r="C227" t="s">
        <v>106</v>
      </c>
      <c r="D227" t="s">
        <v>107</v>
      </c>
      <c r="F227" t="s">
        <v>278</v>
      </c>
      <c r="G227" t="s">
        <v>26</v>
      </c>
      <c r="H227" t="s">
        <v>27</v>
      </c>
      <c r="I227" s="131">
        <v>43398</v>
      </c>
      <c r="J227" s="6">
        <v>-66559790</v>
      </c>
      <c r="L227">
        <v>0</v>
      </c>
      <c r="M227">
        <v>0</v>
      </c>
      <c r="N227">
        <v>0</v>
      </c>
      <c r="O227">
        <v>0</v>
      </c>
      <c r="P227">
        <v>-3.1809340000000001E-4</v>
      </c>
      <c r="Q227" t="s">
        <v>109</v>
      </c>
      <c r="R227" t="s">
        <v>23</v>
      </c>
      <c r="S227" s="131">
        <v>2</v>
      </c>
      <c r="T227" s="6">
        <f>DataTable[HLD_MaturityDate] - DataTable[SEC_Issue_Date]</f>
        <v>43396</v>
      </c>
      <c r="U227" s="131" t="str">
        <f>DataTable[HLD_Portfolio]&amp;DataTable[HLD_Date]</f>
        <v>SCBSFFPLUS43397</v>
      </c>
      <c r="V227" t="str">
        <f>DataTable[[#This Row],[RefRng]]&amp;DataTable[[#This Row],[HLD_SecCode]]</f>
        <v>SCBSFFPLUS43397FWUSDTHB18O25A</v>
      </c>
    </row>
    <row r="228" spans="1:22" x14ac:dyDescent="0.2">
      <c r="A228" s="131">
        <v>43397</v>
      </c>
      <c r="B228" t="s">
        <v>130</v>
      </c>
      <c r="C228" t="s">
        <v>106</v>
      </c>
      <c r="D228" t="s">
        <v>107</v>
      </c>
      <c r="F228" t="s">
        <v>279</v>
      </c>
      <c r="G228" t="s">
        <v>26</v>
      </c>
      <c r="H228" t="s">
        <v>27</v>
      </c>
      <c r="I228" s="131">
        <v>43473</v>
      </c>
      <c r="J228" s="6">
        <v>-80437936.549999997</v>
      </c>
      <c r="L228">
        <v>0</v>
      </c>
      <c r="M228">
        <v>0</v>
      </c>
      <c r="N228">
        <v>0</v>
      </c>
      <c r="O228">
        <v>0</v>
      </c>
      <c r="P228">
        <v>-3.844179E-4</v>
      </c>
      <c r="Q228" t="s">
        <v>109</v>
      </c>
      <c r="R228" t="s">
        <v>23</v>
      </c>
      <c r="S228" s="131">
        <v>2</v>
      </c>
      <c r="T228" s="6">
        <f>DataTable[HLD_MaturityDate] - DataTable[SEC_Issue_Date]</f>
        <v>43471</v>
      </c>
      <c r="U228" s="131" t="str">
        <f>DataTable[HLD_Portfolio]&amp;DataTable[HLD_Date]</f>
        <v>SCBSFFPLUS43397</v>
      </c>
      <c r="V228" t="str">
        <f>DataTable[[#This Row],[RefRng]]&amp;DataTable[[#This Row],[HLD_SecCode]]</f>
        <v>SCBSFFPLUS43397FWUSDTHB19108A</v>
      </c>
    </row>
    <row r="229" spans="1:22" x14ac:dyDescent="0.2">
      <c r="A229" s="131">
        <v>43397</v>
      </c>
      <c r="B229" t="s">
        <v>130</v>
      </c>
      <c r="C229" t="s">
        <v>106</v>
      </c>
      <c r="D229" t="s">
        <v>107</v>
      </c>
      <c r="F229" t="s">
        <v>280</v>
      </c>
      <c r="G229" t="s">
        <v>26</v>
      </c>
      <c r="H229" t="s">
        <v>27</v>
      </c>
      <c r="I229" s="131">
        <v>43474</v>
      </c>
      <c r="J229" s="6">
        <v>-91438095.909999996</v>
      </c>
      <c r="L229">
        <v>0</v>
      </c>
      <c r="M229">
        <v>0</v>
      </c>
      <c r="N229">
        <v>0</v>
      </c>
      <c r="O229">
        <v>0</v>
      </c>
      <c r="P229">
        <v>-4.369884E-4</v>
      </c>
      <c r="Q229" t="s">
        <v>109</v>
      </c>
      <c r="R229" t="s">
        <v>23</v>
      </c>
      <c r="S229" s="131">
        <v>2</v>
      </c>
      <c r="T229" s="6">
        <f>DataTable[HLD_MaturityDate] - DataTable[SEC_Issue_Date]</f>
        <v>43472</v>
      </c>
      <c r="U229" s="131" t="str">
        <f>DataTable[HLD_Portfolio]&amp;DataTable[HLD_Date]</f>
        <v>SCBSFFPLUS43397</v>
      </c>
      <c r="V229" t="str">
        <f>DataTable[[#This Row],[RefRng]]&amp;DataTable[[#This Row],[HLD_SecCode]]</f>
        <v>SCBSFFPLUS43397FWUSDTHB19109A</v>
      </c>
    </row>
    <row r="230" spans="1:22" x14ac:dyDescent="0.2">
      <c r="A230" s="131">
        <v>43397</v>
      </c>
      <c r="B230" t="s">
        <v>130</v>
      </c>
      <c r="C230" t="s">
        <v>106</v>
      </c>
      <c r="D230" t="s">
        <v>107</v>
      </c>
      <c r="F230" t="s">
        <v>281</v>
      </c>
      <c r="G230" t="s">
        <v>115</v>
      </c>
      <c r="H230" t="s">
        <v>116</v>
      </c>
      <c r="I230" s="131">
        <v>43481</v>
      </c>
      <c r="J230" s="6">
        <v>-27751795.079999998</v>
      </c>
      <c r="L230">
        <v>0</v>
      </c>
      <c r="M230">
        <v>0</v>
      </c>
      <c r="N230">
        <v>0</v>
      </c>
      <c r="O230">
        <v>0</v>
      </c>
      <c r="P230">
        <v>-1.326276E-4</v>
      </c>
      <c r="Q230" t="s">
        <v>109</v>
      </c>
      <c r="R230" t="s">
        <v>23</v>
      </c>
      <c r="S230" s="131">
        <v>2</v>
      </c>
      <c r="T230" s="6">
        <f>DataTable[HLD_MaturityDate] - DataTable[SEC_Issue_Date]</f>
        <v>43479</v>
      </c>
      <c r="U230" s="131" t="str">
        <f>DataTable[HLD_Portfolio]&amp;DataTable[HLD_Date]</f>
        <v>SCBSFFPLUS43397</v>
      </c>
      <c r="V230" t="str">
        <f>DataTable[[#This Row],[RefRng]]&amp;DataTable[[#This Row],[HLD_SecCode]]</f>
        <v>SCBSFFPLUS43397FWUSDTHB19116B</v>
      </c>
    </row>
    <row r="231" spans="1:22" x14ac:dyDescent="0.2">
      <c r="A231" s="131">
        <v>43397</v>
      </c>
      <c r="B231" t="s">
        <v>130</v>
      </c>
      <c r="C231" t="s">
        <v>106</v>
      </c>
      <c r="D231" t="s">
        <v>107</v>
      </c>
      <c r="F231" t="s">
        <v>282</v>
      </c>
      <c r="G231" t="s">
        <v>115</v>
      </c>
      <c r="H231" t="s">
        <v>116</v>
      </c>
      <c r="I231" s="131">
        <v>43504</v>
      </c>
      <c r="J231" s="6">
        <v>-73762676.530000001</v>
      </c>
      <c r="L231">
        <v>0</v>
      </c>
      <c r="M231">
        <v>0</v>
      </c>
      <c r="N231">
        <v>0</v>
      </c>
      <c r="O231">
        <v>0</v>
      </c>
      <c r="P231">
        <v>-3.5251640000000001E-4</v>
      </c>
      <c r="Q231" t="s">
        <v>109</v>
      </c>
      <c r="R231" t="s">
        <v>23</v>
      </c>
      <c r="S231" s="131">
        <v>2</v>
      </c>
      <c r="T231" s="6">
        <f>DataTable[HLD_MaturityDate] - DataTable[SEC_Issue_Date]</f>
        <v>43502</v>
      </c>
      <c r="U231" s="131" t="str">
        <f>DataTable[HLD_Portfolio]&amp;DataTable[HLD_Date]</f>
        <v>SCBSFFPLUS43397</v>
      </c>
      <c r="V231" t="str">
        <f>DataTable[[#This Row],[RefRng]]&amp;DataTable[[#This Row],[HLD_SecCode]]</f>
        <v>SCBSFFPLUS43397FWUSDTHB19208A</v>
      </c>
    </row>
    <row r="232" spans="1:22" x14ac:dyDescent="0.2">
      <c r="A232" s="131">
        <v>43397</v>
      </c>
      <c r="B232" t="s">
        <v>130</v>
      </c>
      <c r="C232" t="s">
        <v>106</v>
      </c>
      <c r="D232" t="s">
        <v>107</v>
      </c>
      <c r="F232" t="s">
        <v>283</v>
      </c>
      <c r="G232" t="s">
        <v>115</v>
      </c>
      <c r="H232" t="s">
        <v>116</v>
      </c>
      <c r="I232" s="131">
        <v>43531</v>
      </c>
      <c r="J232" s="6">
        <v>-169630819.81999999</v>
      </c>
      <c r="L232">
        <v>0</v>
      </c>
      <c r="M232">
        <v>0</v>
      </c>
      <c r="N232">
        <v>0</v>
      </c>
      <c r="O232">
        <v>0</v>
      </c>
      <c r="P232">
        <v>-8.1067629999999997E-4</v>
      </c>
      <c r="Q232" t="s">
        <v>109</v>
      </c>
      <c r="R232" t="s">
        <v>23</v>
      </c>
      <c r="S232" s="131">
        <v>2</v>
      </c>
      <c r="T232" s="6">
        <f>DataTable[HLD_MaturityDate] - DataTable[SEC_Issue_Date]</f>
        <v>43529</v>
      </c>
      <c r="U232" s="131" t="str">
        <f>DataTable[HLD_Portfolio]&amp;DataTable[HLD_Date]</f>
        <v>SCBSFFPLUS43397</v>
      </c>
      <c r="V232" t="str">
        <f>DataTable[[#This Row],[RefRng]]&amp;DataTable[[#This Row],[HLD_SecCode]]</f>
        <v>SCBSFFPLUS43397FWUSDTHB19307A</v>
      </c>
    </row>
    <row r="233" spans="1:22" x14ac:dyDescent="0.2">
      <c r="A233" s="131">
        <v>43397</v>
      </c>
      <c r="B233" t="s">
        <v>130</v>
      </c>
      <c r="C233" t="s">
        <v>106</v>
      </c>
      <c r="D233" t="s">
        <v>107</v>
      </c>
      <c r="F233" t="s">
        <v>284</v>
      </c>
      <c r="G233" t="s">
        <v>26</v>
      </c>
      <c r="H233" t="s">
        <v>27</v>
      </c>
      <c r="I233" s="131">
        <v>43564</v>
      </c>
      <c r="J233" s="6">
        <v>-196264675.49000001</v>
      </c>
      <c r="L233">
        <v>0</v>
      </c>
      <c r="M233">
        <v>0</v>
      </c>
      <c r="N233">
        <v>0</v>
      </c>
      <c r="O233">
        <v>0</v>
      </c>
      <c r="P233">
        <v>-9.3796120000000003E-4</v>
      </c>
      <c r="Q233" t="s">
        <v>109</v>
      </c>
      <c r="R233" t="s">
        <v>23</v>
      </c>
      <c r="S233" s="131">
        <v>2</v>
      </c>
      <c r="T233" s="6">
        <f>DataTable[HLD_MaturityDate] - DataTable[SEC_Issue_Date]</f>
        <v>43562</v>
      </c>
      <c r="U233" s="131" t="str">
        <f>DataTable[HLD_Portfolio]&amp;DataTable[HLD_Date]</f>
        <v>SCBSFFPLUS43397</v>
      </c>
      <c r="V233" t="str">
        <f>DataTable[[#This Row],[RefRng]]&amp;DataTable[[#This Row],[HLD_SecCode]]</f>
        <v>SCBSFFPLUS43397FWUSDTHB19409A</v>
      </c>
    </row>
    <row r="234" spans="1:22" x14ac:dyDescent="0.2">
      <c r="A234" s="131">
        <v>43397</v>
      </c>
      <c r="B234" t="s">
        <v>130</v>
      </c>
      <c r="C234" t="s">
        <v>106</v>
      </c>
      <c r="D234" t="s">
        <v>107</v>
      </c>
      <c r="F234" t="s">
        <v>285</v>
      </c>
      <c r="G234" t="s">
        <v>115</v>
      </c>
      <c r="H234" t="s">
        <v>116</v>
      </c>
      <c r="I234" s="131">
        <v>43581</v>
      </c>
      <c r="J234" s="6">
        <v>-101519440.59999999</v>
      </c>
      <c r="L234">
        <v>0</v>
      </c>
      <c r="M234">
        <v>0</v>
      </c>
      <c r="N234">
        <v>0</v>
      </c>
      <c r="O234">
        <v>0</v>
      </c>
      <c r="P234">
        <v>-4.851678E-4</v>
      </c>
      <c r="Q234" t="s">
        <v>109</v>
      </c>
      <c r="R234" t="s">
        <v>23</v>
      </c>
      <c r="S234" s="131">
        <v>2</v>
      </c>
      <c r="T234" s="6">
        <f>DataTable[HLD_MaturityDate] - DataTable[SEC_Issue_Date]</f>
        <v>43579</v>
      </c>
      <c r="U234" s="131" t="str">
        <f>DataTable[HLD_Portfolio]&amp;DataTable[HLD_Date]</f>
        <v>SCBSFFPLUS43397</v>
      </c>
      <c r="V234" t="str">
        <f>DataTable[[#This Row],[RefRng]]&amp;DataTable[[#This Row],[HLD_SecCode]]</f>
        <v>SCBSFFPLUS43397FWUSDTHB19426A</v>
      </c>
    </row>
    <row r="235" spans="1:22" x14ac:dyDescent="0.2">
      <c r="A235" s="131">
        <v>43397</v>
      </c>
      <c r="B235" t="s">
        <v>130</v>
      </c>
      <c r="C235" t="s">
        <v>106</v>
      </c>
      <c r="D235" t="s">
        <v>107</v>
      </c>
      <c r="F235" t="s">
        <v>286</v>
      </c>
      <c r="G235" t="s">
        <v>26</v>
      </c>
      <c r="H235" t="s">
        <v>27</v>
      </c>
      <c r="I235" s="131">
        <v>43593</v>
      </c>
      <c r="J235" s="6">
        <v>-115227300.13</v>
      </c>
      <c r="L235">
        <v>0</v>
      </c>
      <c r="M235">
        <v>0</v>
      </c>
      <c r="N235">
        <v>0</v>
      </c>
      <c r="O235">
        <v>0</v>
      </c>
      <c r="P235">
        <v>-5.5067850000000004E-4</v>
      </c>
      <c r="Q235" t="s">
        <v>109</v>
      </c>
      <c r="R235" t="s">
        <v>23</v>
      </c>
      <c r="S235" s="131">
        <v>2</v>
      </c>
      <c r="T235" s="6">
        <f>DataTable[HLD_MaturityDate] - DataTable[SEC_Issue_Date]</f>
        <v>43591</v>
      </c>
      <c r="U235" s="131" t="str">
        <f>DataTable[HLD_Portfolio]&amp;DataTable[HLD_Date]</f>
        <v>SCBSFFPLUS43397</v>
      </c>
      <c r="V235" t="str">
        <f>DataTable[[#This Row],[RefRng]]&amp;DataTable[[#This Row],[HLD_SecCode]]</f>
        <v>SCBSFFPLUS43397FWUSDTHB19508A</v>
      </c>
    </row>
    <row r="236" spans="1:22" x14ac:dyDescent="0.2">
      <c r="A236" s="131">
        <v>43397</v>
      </c>
      <c r="B236" t="s">
        <v>130</v>
      </c>
      <c r="C236" t="s">
        <v>106</v>
      </c>
      <c r="D236" t="s">
        <v>107</v>
      </c>
      <c r="F236" t="s">
        <v>287</v>
      </c>
      <c r="G236" t="s">
        <v>26</v>
      </c>
      <c r="H236" t="s">
        <v>27</v>
      </c>
      <c r="I236" s="131">
        <v>43598</v>
      </c>
      <c r="J236" s="6">
        <v>-100451913.05</v>
      </c>
      <c r="L236">
        <v>0</v>
      </c>
      <c r="M236">
        <v>0</v>
      </c>
      <c r="N236">
        <v>0</v>
      </c>
      <c r="O236">
        <v>0</v>
      </c>
      <c r="P236">
        <v>-4.8006600000000002E-4</v>
      </c>
      <c r="Q236" t="s">
        <v>109</v>
      </c>
      <c r="R236" t="s">
        <v>23</v>
      </c>
      <c r="S236" s="131">
        <v>2</v>
      </c>
      <c r="T236" s="6">
        <f>DataTable[HLD_MaturityDate] - DataTable[SEC_Issue_Date]</f>
        <v>43596</v>
      </c>
      <c r="U236" s="131" t="str">
        <f>DataTable[HLD_Portfolio]&amp;DataTable[HLD_Date]</f>
        <v>SCBSFFPLUS43397</v>
      </c>
      <c r="V236" t="str">
        <f>DataTable[[#This Row],[RefRng]]&amp;DataTable[[#This Row],[HLD_SecCode]]</f>
        <v>SCBSFFPLUS43397FWUSDTHB19513B</v>
      </c>
    </row>
    <row r="237" spans="1:22" x14ac:dyDescent="0.2">
      <c r="A237" s="131">
        <v>43397</v>
      </c>
      <c r="B237" t="s">
        <v>130</v>
      </c>
      <c r="C237" t="s">
        <v>106</v>
      </c>
      <c r="D237" t="s">
        <v>107</v>
      </c>
      <c r="F237" t="s">
        <v>288</v>
      </c>
      <c r="G237" t="s">
        <v>115</v>
      </c>
      <c r="H237" t="s">
        <v>116</v>
      </c>
      <c r="I237" s="131">
        <v>43641</v>
      </c>
      <c r="J237" s="6">
        <v>-4365278.9800000004</v>
      </c>
      <c r="L237">
        <v>0</v>
      </c>
      <c r="M237">
        <v>0</v>
      </c>
      <c r="N237">
        <v>0</v>
      </c>
      <c r="O237">
        <v>0</v>
      </c>
      <c r="P237">
        <v>-2.0861900000000001E-5</v>
      </c>
      <c r="Q237" t="s">
        <v>109</v>
      </c>
      <c r="R237" t="s">
        <v>23</v>
      </c>
      <c r="S237" s="131">
        <v>2</v>
      </c>
      <c r="T237" s="6">
        <f>DataTable[HLD_MaturityDate] - DataTable[SEC_Issue_Date]</f>
        <v>43639</v>
      </c>
      <c r="U237" s="131" t="str">
        <f>DataTable[HLD_Portfolio]&amp;DataTable[HLD_Date]</f>
        <v>SCBSFFPLUS43397</v>
      </c>
      <c r="V237" t="str">
        <f>DataTable[[#This Row],[RefRng]]&amp;DataTable[[#This Row],[HLD_SecCode]]</f>
        <v>SCBSFFPLUS43397FWUSDTHB19625A</v>
      </c>
    </row>
    <row r="238" spans="1:22" x14ac:dyDescent="0.2">
      <c r="A238" s="131">
        <v>43397</v>
      </c>
      <c r="B238" t="s">
        <v>130</v>
      </c>
      <c r="C238" t="s">
        <v>106</v>
      </c>
      <c r="D238" t="s">
        <v>107</v>
      </c>
      <c r="F238" t="s">
        <v>289</v>
      </c>
      <c r="G238" t="s">
        <v>26</v>
      </c>
      <c r="H238" t="s">
        <v>27</v>
      </c>
      <c r="I238" s="131">
        <v>43644</v>
      </c>
      <c r="J238" s="6">
        <v>-2280883.71</v>
      </c>
      <c r="L238">
        <v>0</v>
      </c>
      <c r="M238">
        <v>0</v>
      </c>
      <c r="N238">
        <v>0</v>
      </c>
      <c r="O238">
        <v>0</v>
      </c>
      <c r="P238">
        <v>-1.09005E-5</v>
      </c>
      <c r="Q238" t="s">
        <v>109</v>
      </c>
      <c r="R238" t="s">
        <v>23</v>
      </c>
      <c r="S238" s="131">
        <v>2</v>
      </c>
      <c r="T238" s="6">
        <f>DataTable[HLD_MaturityDate] - DataTable[SEC_Issue_Date]</f>
        <v>43642</v>
      </c>
      <c r="U238" s="131" t="str">
        <f>DataTable[HLD_Portfolio]&amp;DataTable[HLD_Date]</f>
        <v>SCBSFFPLUS43397</v>
      </c>
      <c r="V238" t="str">
        <f>DataTable[[#This Row],[RefRng]]&amp;DataTable[[#This Row],[HLD_SecCode]]</f>
        <v>SCBSFFPLUS43397FWUSDTHB19628A</v>
      </c>
    </row>
    <row r="239" spans="1:22" x14ac:dyDescent="0.2">
      <c r="A239" s="131">
        <v>43397</v>
      </c>
      <c r="B239" t="s">
        <v>130</v>
      </c>
      <c r="C239" t="s">
        <v>106</v>
      </c>
      <c r="D239" t="s">
        <v>107</v>
      </c>
      <c r="F239" t="s">
        <v>290</v>
      </c>
      <c r="G239" t="s">
        <v>26</v>
      </c>
      <c r="H239" t="s">
        <v>27</v>
      </c>
      <c r="I239" s="131">
        <v>43739</v>
      </c>
      <c r="J239" s="6">
        <v>-49558917.439999998</v>
      </c>
      <c r="L239">
        <v>0</v>
      </c>
      <c r="M239">
        <v>0</v>
      </c>
      <c r="N239">
        <v>0</v>
      </c>
      <c r="O239">
        <v>0</v>
      </c>
      <c r="P239">
        <v>-2.368452E-4</v>
      </c>
      <c r="Q239" t="s">
        <v>109</v>
      </c>
      <c r="R239" t="s">
        <v>23</v>
      </c>
      <c r="S239" s="131">
        <v>2</v>
      </c>
      <c r="T239" s="6">
        <f>DataTable[HLD_MaturityDate] - DataTable[SEC_Issue_Date]</f>
        <v>43737</v>
      </c>
      <c r="U239" s="131" t="str">
        <f>DataTable[HLD_Portfolio]&amp;DataTable[HLD_Date]</f>
        <v>SCBSFFPLUS43397</v>
      </c>
      <c r="V239" t="str">
        <f>DataTable[[#This Row],[RefRng]]&amp;DataTable[[#This Row],[HLD_SecCode]]</f>
        <v>SCBSFFPLUS43397FWUSDTHB19O01A</v>
      </c>
    </row>
    <row r="240" spans="1:22" x14ac:dyDescent="0.2">
      <c r="A240" s="131">
        <v>43397</v>
      </c>
      <c r="B240" t="s">
        <v>130</v>
      </c>
      <c r="C240" t="s">
        <v>106</v>
      </c>
      <c r="D240" t="s">
        <v>107</v>
      </c>
      <c r="F240" t="s">
        <v>291</v>
      </c>
      <c r="G240" t="s">
        <v>26</v>
      </c>
      <c r="H240" t="s">
        <v>27</v>
      </c>
      <c r="I240" s="131">
        <v>43740</v>
      </c>
      <c r="J240" s="6">
        <v>-41051818.43</v>
      </c>
      <c r="L240">
        <v>0</v>
      </c>
      <c r="M240">
        <v>0</v>
      </c>
      <c r="N240">
        <v>0</v>
      </c>
      <c r="O240">
        <v>0</v>
      </c>
      <c r="P240">
        <v>-1.961892E-4</v>
      </c>
      <c r="Q240" t="s">
        <v>109</v>
      </c>
      <c r="R240" t="s">
        <v>23</v>
      </c>
      <c r="S240" s="131">
        <v>2</v>
      </c>
      <c r="T240" s="6">
        <f>DataTable[HLD_MaturityDate] - DataTable[SEC_Issue_Date]</f>
        <v>43738</v>
      </c>
      <c r="U240" s="131" t="str">
        <f>DataTable[HLD_Portfolio]&amp;DataTable[HLD_Date]</f>
        <v>SCBSFFPLUS43397</v>
      </c>
      <c r="V240" t="str">
        <f>DataTable[[#This Row],[RefRng]]&amp;DataTable[[#This Row],[HLD_SecCode]]</f>
        <v>SCBSFFPLUS43397FWUSDTHB19O02B</v>
      </c>
    </row>
    <row r="241" spans="1:22" x14ac:dyDescent="0.2">
      <c r="A241" s="131">
        <v>43397</v>
      </c>
      <c r="B241" t="s">
        <v>130</v>
      </c>
      <c r="C241" t="s">
        <v>120</v>
      </c>
      <c r="D241" t="s">
        <v>121</v>
      </c>
      <c r="E241" t="s">
        <v>1256</v>
      </c>
      <c r="F241" t="s">
        <v>198</v>
      </c>
      <c r="I241" s="131"/>
      <c r="J241" s="6">
        <v>-99976800</v>
      </c>
      <c r="L241">
        <v>-99976800</v>
      </c>
      <c r="O241">
        <v>0</v>
      </c>
      <c r="P241">
        <v>-4.7779540000000002E-4</v>
      </c>
      <c r="Q241" t="s">
        <v>42</v>
      </c>
      <c r="R241" t="s">
        <v>23</v>
      </c>
      <c r="S241" s="131">
        <v>43223</v>
      </c>
      <c r="T241" s="6">
        <f>DataTable[HLD_MaturityDate] - DataTable[SEC_Issue_Date]</f>
        <v>-43223</v>
      </c>
      <c r="U241" s="131" t="str">
        <f>DataTable[HLD_Portfolio]&amp;DataTable[HLD_Date]</f>
        <v>SCBSFFPLUS43397</v>
      </c>
      <c r="V241" t="str">
        <f>DataTable[[#This Row],[RefRng]]&amp;DataTable[[#This Row],[HLD_SecCode]]</f>
        <v>SCBSFFPLUS43397CB18N01A</v>
      </c>
    </row>
    <row r="242" spans="1:22" x14ac:dyDescent="0.2">
      <c r="A242" s="131">
        <v>43397</v>
      </c>
      <c r="B242" t="s">
        <v>130</v>
      </c>
      <c r="C242" t="s">
        <v>120</v>
      </c>
      <c r="D242" t="s">
        <v>121</v>
      </c>
      <c r="E242" t="s">
        <v>1256</v>
      </c>
      <c r="F242" t="s">
        <v>1251</v>
      </c>
      <c r="I242" s="131"/>
      <c r="J242" s="6">
        <v>-58976771.109999999</v>
      </c>
      <c r="L242">
        <v>-58976771.109999999</v>
      </c>
      <c r="O242">
        <v>0</v>
      </c>
      <c r="P242">
        <v>-2.8185370000000001E-4</v>
      </c>
      <c r="Q242" t="s">
        <v>42</v>
      </c>
      <c r="R242" t="s">
        <v>23</v>
      </c>
      <c r="S242" s="131">
        <v>43397</v>
      </c>
      <c r="T242" s="6">
        <f>DataTable[HLD_MaturityDate] - DataTable[SEC_Issue_Date]</f>
        <v>-43397</v>
      </c>
      <c r="U242" s="131" t="str">
        <f>DataTable[HLD_Portfolio]&amp;DataTable[HLD_Date]</f>
        <v>SCBSFFPLUS43397</v>
      </c>
      <c r="V242" t="str">
        <f>DataTable[[#This Row],[RefRng]]&amp;DataTable[[#This Row],[HLD_SecCode]]</f>
        <v>SCBSFFPLUS43397CB18N06A</v>
      </c>
    </row>
    <row r="243" spans="1:22" x14ac:dyDescent="0.2">
      <c r="A243" s="131">
        <v>43397</v>
      </c>
      <c r="B243" t="s">
        <v>130</v>
      </c>
      <c r="C243" t="s">
        <v>120</v>
      </c>
      <c r="D243" t="s">
        <v>121</v>
      </c>
      <c r="E243" t="s">
        <v>1256</v>
      </c>
      <c r="F243" t="s">
        <v>802</v>
      </c>
      <c r="I243" s="131"/>
      <c r="J243" s="6">
        <v>-398562228</v>
      </c>
      <c r="L243">
        <v>-398562228</v>
      </c>
      <c r="O243">
        <v>0</v>
      </c>
      <c r="P243">
        <v>-1.9047538E-3</v>
      </c>
      <c r="Q243" t="s">
        <v>42</v>
      </c>
      <c r="R243" t="s">
        <v>23</v>
      </c>
      <c r="S243" s="131">
        <v>43300</v>
      </c>
      <c r="T243" s="6">
        <f>DataTable[HLD_MaturityDate] - DataTable[SEC_Issue_Date]</f>
        <v>-43300</v>
      </c>
      <c r="U243" s="131" t="str">
        <f>DataTable[HLD_Portfolio]&amp;DataTable[HLD_Date]</f>
        <v>SCBSFFPLUS43397</v>
      </c>
      <c r="V243" t="str">
        <f>DataTable[[#This Row],[RefRng]]&amp;DataTable[[#This Row],[HLD_SecCode]]</f>
        <v>SCBSFFPLUS43397CB19117A</v>
      </c>
    </row>
    <row r="244" spans="1:22" x14ac:dyDescent="0.2">
      <c r="A244" s="131">
        <v>43397</v>
      </c>
      <c r="B244" t="s">
        <v>130</v>
      </c>
      <c r="C244" t="s">
        <v>120</v>
      </c>
      <c r="D244" t="s">
        <v>121</v>
      </c>
      <c r="E244" t="s">
        <v>1256</v>
      </c>
      <c r="F244" t="s">
        <v>1215</v>
      </c>
      <c r="I244" s="131"/>
      <c r="J244" s="6">
        <v>-412511905.98000002</v>
      </c>
      <c r="L244">
        <v>-412511905.98000002</v>
      </c>
      <c r="O244">
        <v>0</v>
      </c>
      <c r="P244">
        <v>-1.9714201999999998E-3</v>
      </c>
      <c r="Q244" t="s">
        <v>42</v>
      </c>
      <c r="R244" t="s">
        <v>23</v>
      </c>
      <c r="S244" s="131">
        <v>43391</v>
      </c>
      <c r="T244" s="6">
        <f>DataTable[HLD_MaturityDate] - DataTable[SEC_Issue_Date]</f>
        <v>-43391</v>
      </c>
      <c r="U244" s="131" t="str">
        <f>DataTable[HLD_Portfolio]&amp;DataTable[HLD_Date]</f>
        <v>SCBSFFPLUS43397</v>
      </c>
      <c r="V244" t="str">
        <f>DataTable[[#This Row],[RefRng]]&amp;DataTable[[#This Row],[HLD_SecCode]]</f>
        <v>SCBSFFPLUS43397CB19117B</v>
      </c>
    </row>
    <row r="245" spans="1:22" x14ac:dyDescent="0.2">
      <c r="A245" s="131">
        <v>43397</v>
      </c>
      <c r="B245" t="s">
        <v>130</v>
      </c>
      <c r="C245" t="s">
        <v>120</v>
      </c>
      <c r="D245" t="s">
        <v>121</v>
      </c>
      <c r="E245" t="s">
        <v>1256</v>
      </c>
      <c r="F245" t="s">
        <v>1262</v>
      </c>
      <c r="I245" s="131"/>
      <c r="J245" s="6">
        <v>-5976652981.8199997</v>
      </c>
      <c r="L245">
        <v>-5976652981.8199997</v>
      </c>
      <c r="O245">
        <v>0</v>
      </c>
      <c r="P245">
        <v>-2.8562798800000001E-2</v>
      </c>
      <c r="Q245" t="s">
        <v>42</v>
      </c>
      <c r="R245" t="s">
        <v>23</v>
      </c>
      <c r="S245" s="131">
        <v>43398</v>
      </c>
      <c r="T245" s="6">
        <f>DataTable[HLD_MaturityDate] - DataTable[SEC_Issue_Date]</f>
        <v>-43398</v>
      </c>
      <c r="U245" s="131" t="str">
        <f>DataTable[HLD_Portfolio]&amp;DataTable[HLD_Date]</f>
        <v>SCBSFFPLUS43397</v>
      </c>
      <c r="V245" t="str">
        <f>DataTable[[#This Row],[RefRng]]&amp;DataTable[[#This Row],[HLD_SecCode]]</f>
        <v>SCBSFFPLUS43397CB19124B</v>
      </c>
    </row>
    <row r="246" spans="1:22" x14ac:dyDescent="0.2">
      <c r="A246" s="131">
        <v>43397</v>
      </c>
      <c r="B246" t="s">
        <v>130</v>
      </c>
      <c r="C246" t="s">
        <v>120</v>
      </c>
      <c r="D246" t="s">
        <v>122</v>
      </c>
      <c r="E246" t="s">
        <v>122</v>
      </c>
      <c r="F246" t="s">
        <v>122</v>
      </c>
      <c r="I246" s="131"/>
      <c r="J246" s="6">
        <v>-39205.620000000003</v>
      </c>
      <c r="O246">
        <v>0</v>
      </c>
      <c r="P246">
        <v>-1.874E-7</v>
      </c>
      <c r="S246" s="131"/>
      <c r="T246" s="6">
        <f>DataTable[HLD_MaturityDate] - DataTable[SEC_Issue_Date]</f>
        <v>0</v>
      </c>
      <c r="U246" s="131" t="str">
        <f>DataTable[HLD_Portfolio]&amp;DataTable[HLD_Date]</f>
        <v>SCBSFFPLUS43397</v>
      </c>
      <c r="V246" t="str">
        <f>DataTable[[#This Row],[RefRng]]&amp;DataTable[[#This Row],[HLD_SecCode]]</f>
        <v>SCBSFFPLUS43397AUDITING FEE</v>
      </c>
    </row>
    <row r="247" spans="1:22" x14ac:dyDescent="0.2">
      <c r="A247" s="131">
        <v>43397</v>
      </c>
      <c r="B247" t="s">
        <v>130</v>
      </c>
      <c r="C247" t="s">
        <v>120</v>
      </c>
      <c r="D247" t="s">
        <v>122</v>
      </c>
      <c r="E247" t="s">
        <v>122</v>
      </c>
      <c r="F247" t="s">
        <v>122</v>
      </c>
      <c r="I247" s="131"/>
      <c r="J247" s="6">
        <v>-255000</v>
      </c>
      <c r="O247">
        <v>0</v>
      </c>
      <c r="P247">
        <v>-1.2187000000000001E-6</v>
      </c>
      <c r="S247" s="131"/>
      <c r="T247" s="6">
        <f>DataTable[HLD_MaturityDate] - DataTable[SEC_Issue_Date]</f>
        <v>0</v>
      </c>
      <c r="U247" s="131" t="str">
        <f>DataTable[HLD_Portfolio]&amp;DataTable[HLD_Date]</f>
        <v>SCBSFFPLUS43397</v>
      </c>
      <c r="V247" t="str">
        <f>DataTable[[#This Row],[RefRng]]&amp;DataTable[[#This Row],[HLD_SecCode]]</f>
        <v>SCBSFFPLUS43397AUDITING FEE</v>
      </c>
    </row>
    <row r="248" spans="1:22" x14ac:dyDescent="0.2">
      <c r="A248" s="131">
        <v>43397</v>
      </c>
      <c r="B248" t="s">
        <v>130</v>
      </c>
      <c r="C248" t="s">
        <v>120</v>
      </c>
      <c r="D248" t="s">
        <v>122</v>
      </c>
      <c r="E248" t="s">
        <v>122</v>
      </c>
      <c r="F248" t="s">
        <v>122</v>
      </c>
      <c r="I248" s="131"/>
      <c r="J248" s="6">
        <v>-10000</v>
      </c>
      <c r="O248">
        <v>0</v>
      </c>
      <c r="P248">
        <v>-4.7799999999999998E-8</v>
      </c>
      <c r="S248" s="131"/>
      <c r="T248" s="6">
        <f>DataTable[HLD_MaturityDate] - DataTable[SEC_Issue_Date]</f>
        <v>0</v>
      </c>
      <c r="U248" s="131" t="str">
        <f>DataTable[HLD_Portfolio]&amp;DataTable[HLD_Date]</f>
        <v>SCBSFFPLUS43397</v>
      </c>
      <c r="V248" t="str">
        <f>DataTable[[#This Row],[RefRng]]&amp;DataTable[[#This Row],[HLD_SecCode]]</f>
        <v>SCBSFFPLUS43397AUDITING FEE</v>
      </c>
    </row>
    <row r="249" spans="1:22" x14ac:dyDescent="0.2">
      <c r="A249" s="131">
        <v>43397</v>
      </c>
      <c r="B249" t="s">
        <v>130</v>
      </c>
      <c r="C249" t="s">
        <v>120</v>
      </c>
      <c r="D249" t="s">
        <v>123</v>
      </c>
      <c r="I249" s="131"/>
      <c r="J249" s="6">
        <v>-2083810.55</v>
      </c>
      <c r="K249">
        <v>0</v>
      </c>
      <c r="O249">
        <v>0</v>
      </c>
      <c r="P249">
        <v>-9.9587E-6</v>
      </c>
      <c r="S249" s="131"/>
      <c r="T249" s="6">
        <f>DataTable[HLD_MaturityDate] - DataTable[SEC_Issue_Date]</f>
        <v>0</v>
      </c>
      <c r="U249" s="131" t="str">
        <f>DataTable[HLD_Portfolio]&amp;DataTable[HLD_Date]</f>
        <v>SCBSFFPLUS43397</v>
      </c>
      <c r="V249" t="str">
        <f>DataTable[[#This Row],[RefRng]]&amp;DataTable[[#This Row],[HLD_SecCode]]</f>
        <v>SCBSFFPLUS43397</v>
      </c>
    </row>
    <row r="250" spans="1:22" x14ac:dyDescent="0.2">
      <c r="A250" s="131">
        <v>43397</v>
      </c>
      <c r="B250" t="s">
        <v>130</v>
      </c>
      <c r="C250" t="s">
        <v>120</v>
      </c>
      <c r="D250" t="s">
        <v>124</v>
      </c>
      <c r="E250" t="s">
        <v>124</v>
      </c>
      <c r="F250" t="s">
        <v>124</v>
      </c>
      <c r="I250" s="131"/>
      <c r="J250" s="6">
        <v>-4182.17</v>
      </c>
      <c r="O250">
        <v>0</v>
      </c>
      <c r="P250">
        <v>-2E-8</v>
      </c>
      <c r="S250" s="131"/>
      <c r="T250" s="6">
        <f>DataTable[HLD_MaturityDate] - DataTable[SEC_Issue_Date]</f>
        <v>0</v>
      </c>
      <c r="U250" s="131" t="str">
        <f>DataTable[HLD_Portfolio]&amp;DataTable[HLD_Date]</f>
        <v>SCBSFFPLUS43397</v>
      </c>
      <c r="V250" t="str">
        <f>DataTable[[#This Row],[RefRng]]&amp;DataTable[[#This Row],[HLD_SecCode]]</f>
        <v>SCBSFFPLUS43397A NEWSPAPER_NAV</v>
      </c>
    </row>
    <row r="251" spans="1:22" x14ac:dyDescent="0.2">
      <c r="A251" s="131">
        <v>43397</v>
      </c>
      <c r="B251" t="s">
        <v>130</v>
      </c>
      <c r="C251" t="s">
        <v>120</v>
      </c>
      <c r="D251" t="s">
        <v>124</v>
      </c>
      <c r="E251" t="s">
        <v>124</v>
      </c>
      <c r="F251" t="s">
        <v>124</v>
      </c>
      <c r="I251" s="131"/>
      <c r="J251" s="6">
        <v>-3399.6</v>
      </c>
      <c r="O251">
        <v>0</v>
      </c>
      <c r="P251">
        <v>-1.6199999999999999E-8</v>
      </c>
      <c r="S251" s="131"/>
      <c r="T251" s="6">
        <f>DataTable[HLD_MaturityDate] - DataTable[SEC_Issue_Date]</f>
        <v>0</v>
      </c>
      <c r="U251" s="131" t="str">
        <f>DataTable[HLD_Portfolio]&amp;DataTable[HLD_Date]</f>
        <v>SCBSFFPLUS43397</v>
      </c>
      <c r="V251" t="str">
        <f>DataTable[[#This Row],[RefRng]]&amp;DataTable[[#This Row],[HLD_SecCode]]</f>
        <v>SCBSFFPLUS43397A NEWSPAPER_NAV</v>
      </c>
    </row>
    <row r="252" spans="1:22" x14ac:dyDescent="0.2">
      <c r="A252" s="131">
        <v>43397</v>
      </c>
      <c r="B252" t="s">
        <v>130</v>
      </c>
      <c r="C252" t="s">
        <v>120</v>
      </c>
      <c r="D252" t="s">
        <v>125</v>
      </c>
      <c r="E252" t="s">
        <v>125</v>
      </c>
      <c r="I252" s="131"/>
      <c r="J252" s="6">
        <v>-2412765.19</v>
      </c>
      <c r="L252">
        <v>-2412765.19</v>
      </c>
      <c r="O252">
        <v>0</v>
      </c>
      <c r="P252">
        <v>-1.15308E-5</v>
      </c>
      <c r="S252" s="131"/>
      <c r="T252" s="6">
        <f>DataTable[HLD_MaturityDate] - DataTable[SEC_Issue_Date]</f>
        <v>0</v>
      </c>
      <c r="U252" s="131" t="str">
        <f>DataTable[HLD_Portfolio]&amp;DataTable[HLD_Date]</f>
        <v>SCBSFFPLUS43397</v>
      </c>
      <c r="V252" t="str">
        <f>DataTable[[#This Row],[RefRng]]&amp;DataTable[[#This Row],[HLD_SecCode]]</f>
        <v>SCBSFFPLUS43397</v>
      </c>
    </row>
    <row r="253" spans="1:22" x14ac:dyDescent="0.2">
      <c r="A253" s="131">
        <v>43397</v>
      </c>
      <c r="B253" t="s">
        <v>130</v>
      </c>
      <c r="C253" t="s">
        <v>120</v>
      </c>
      <c r="D253" t="s">
        <v>126</v>
      </c>
      <c r="E253" t="s">
        <v>126</v>
      </c>
      <c r="I253" s="131"/>
      <c r="J253" s="6">
        <v>-50539220.619999997</v>
      </c>
      <c r="L253">
        <v>-50539220.619999997</v>
      </c>
      <c r="O253">
        <v>0</v>
      </c>
      <c r="P253">
        <v>-2.4153010000000001E-4</v>
      </c>
      <c r="S253" s="131"/>
      <c r="T253" s="6">
        <f>DataTable[HLD_MaturityDate] - DataTable[SEC_Issue_Date]</f>
        <v>0</v>
      </c>
      <c r="U253" s="131" t="str">
        <f>DataTable[HLD_Portfolio]&amp;DataTable[HLD_Date]</f>
        <v>SCBSFFPLUS43397</v>
      </c>
      <c r="V253" t="str">
        <f>DataTable[[#This Row],[RefRng]]&amp;DataTable[[#This Row],[HLD_SecCode]]</f>
        <v>SCBSFFPLUS43397</v>
      </c>
    </row>
    <row r="254" spans="1:22" x14ac:dyDescent="0.2">
      <c r="A254" s="131">
        <v>43397</v>
      </c>
      <c r="B254" t="s">
        <v>130</v>
      </c>
      <c r="C254" t="s">
        <v>128</v>
      </c>
      <c r="D254" t="s">
        <v>125</v>
      </c>
      <c r="E254" t="s">
        <v>125</v>
      </c>
      <c r="I254" s="131"/>
      <c r="J254" s="6">
        <v>-214697.02</v>
      </c>
      <c r="L254">
        <v>-214697.02</v>
      </c>
      <c r="O254">
        <v>0</v>
      </c>
      <c r="P254">
        <v>-1.0261E-6</v>
      </c>
      <c r="S254" s="131"/>
      <c r="T254" s="6">
        <f>DataTable[HLD_MaturityDate] - DataTable[SEC_Issue_Date]</f>
        <v>0</v>
      </c>
      <c r="U254" s="131" t="str">
        <f>DataTable[HLD_Portfolio]&amp;DataTable[HLD_Date]</f>
        <v>SCBSFFPLUS43397</v>
      </c>
      <c r="V254" t="str">
        <f>DataTable[[#This Row],[RefRng]]&amp;DataTable[[#This Row],[HLD_SecCode]]</f>
        <v>SCBSFFPLUS43397</v>
      </c>
    </row>
    <row r="255" spans="1:22" x14ac:dyDescent="0.2">
      <c r="A255" s="131">
        <v>43397</v>
      </c>
      <c r="B255" t="s">
        <v>130</v>
      </c>
      <c r="C255" t="s">
        <v>128</v>
      </c>
      <c r="D255" t="s">
        <v>126</v>
      </c>
      <c r="E255" t="s">
        <v>126</v>
      </c>
      <c r="I255" s="131"/>
      <c r="J255" s="6">
        <v>-4496696.92</v>
      </c>
      <c r="L255">
        <v>-4496696.92</v>
      </c>
      <c r="O255">
        <v>0</v>
      </c>
      <c r="P255">
        <v>-2.1489999999999999E-5</v>
      </c>
      <c r="S255" s="131"/>
      <c r="T255" s="6">
        <f>DataTable[HLD_MaturityDate] - DataTable[SEC_Issue_Date]</f>
        <v>0</v>
      </c>
      <c r="U255" s="131" t="str">
        <f>DataTable[HLD_Portfolio]&amp;DataTable[HLD_Date]</f>
        <v>SCBSFFPLUS43397</v>
      </c>
      <c r="V255" t="str">
        <f>DataTable[[#This Row],[RefRng]]&amp;DataTable[[#This Row],[HLD_SecCode]]</f>
        <v>SCBSFFPLUS43397</v>
      </c>
    </row>
    <row r="256" spans="1:22" x14ac:dyDescent="0.2">
      <c r="A256" s="131">
        <v>43397</v>
      </c>
      <c r="B256" t="s">
        <v>131</v>
      </c>
      <c r="C256" t="s">
        <v>18</v>
      </c>
      <c r="D256" t="s">
        <v>19</v>
      </c>
      <c r="F256" t="s">
        <v>20</v>
      </c>
      <c r="G256" t="s">
        <v>137</v>
      </c>
      <c r="I256" s="131"/>
      <c r="J256" s="6">
        <v>3539799.75</v>
      </c>
      <c r="K256">
        <v>6697.12</v>
      </c>
      <c r="L256">
        <v>3539799.75</v>
      </c>
      <c r="M256">
        <v>0</v>
      </c>
      <c r="N256">
        <v>0</v>
      </c>
      <c r="O256">
        <v>0</v>
      </c>
      <c r="P256">
        <v>9.9550729999999996E-4</v>
      </c>
      <c r="Q256" t="s">
        <v>22</v>
      </c>
      <c r="R256" t="s">
        <v>23</v>
      </c>
      <c r="S256" s="131">
        <v>2</v>
      </c>
      <c r="T256" s="6">
        <f>DataTable[HLD_MaturityDate] - DataTable[SEC_Issue_Date]</f>
        <v>-2</v>
      </c>
      <c r="U256" s="131" t="str">
        <f>DataTable[HLD_Portfolio]&amp;DataTable[HLD_Date]</f>
        <v>SCBTMF43397</v>
      </c>
      <c r="V256" t="str">
        <f>DataTable[[#This Row],[RefRng]]&amp;DataTable[[#This Row],[HLD_SecCode]]</f>
        <v>SCBTMF43397CASH</v>
      </c>
    </row>
    <row r="257" spans="1:22" x14ac:dyDescent="0.2">
      <c r="A257" s="131">
        <v>43397</v>
      </c>
      <c r="B257" t="s">
        <v>131</v>
      </c>
      <c r="C257" t="s">
        <v>18</v>
      </c>
      <c r="D257" t="s">
        <v>38</v>
      </c>
      <c r="F257" t="s">
        <v>293</v>
      </c>
      <c r="G257" t="s">
        <v>57</v>
      </c>
      <c r="H257" t="s">
        <v>58</v>
      </c>
      <c r="I257" s="131">
        <v>43564</v>
      </c>
      <c r="J257" s="6">
        <v>60000000</v>
      </c>
      <c r="K257">
        <v>490684.93</v>
      </c>
      <c r="L257">
        <v>60000000</v>
      </c>
      <c r="M257">
        <v>0.45444099999999998</v>
      </c>
      <c r="N257">
        <v>60000000</v>
      </c>
      <c r="O257">
        <v>1.5</v>
      </c>
      <c r="P257">
        <v>1.6979831899999999E-2</v>
      </c>
      <c r="Q257" t="s">
        <v>42</v>
      </c>
      <c r="R257" t="s">
        <v>23</v>
      </c>
      <c r="S257" s="131">
        <v>43199</v>
      </c>
      <c r="T257" s="6">
        <f>DataTable[HLD_MaturityDate] - DataTable[SEC_Issue_Date]</f>
        <v>365</v>
      </c>
      <c r="U257" s="131" t="str">
        <f>DataTable[HLD_Portfolio]&amp;DataTable[HLD_Date]</f>
        <v>SCBTMF43397</v>
      </c>
      <c r="V257" t="str">
        <f>DataTable[[#This Row],[RefRng]]&amp;DataTable[[#This Row],[HLD_SecCode]]</f>
        <v>SCBTMF43397F12MGHB090419</v>
      </c>
    </row>
    <row r="258" spans="1:22" x14ac:dyDescent="0.2">
      <c r="A258" s="131">
        <v>43397</v>
      </c>
      <c r="B258" t="s">
        <v>131</v>
      </c>
      <c r="C258" t="s">
        <v>18</v>
      </c>
      <c r="D258" t="s">
        <v>38</v>
      </c>
      <c r="F258" t="s">
        <v>60</v>
      </c>
      <c r="G258" t="s">
        <v>57</v>
      </c>
      <c r="H258" t="s">
        <v>58</v>
      </c>
      <c r="I258" s="131">
        <v>43686</v>
      </c>
      <c r="J258" s="6">
        <v>20000000</v>
      </c>
      <c r="K258">
        <v>71726.03</v>
      </c>
      <c r="L258">
        <v>20000000</v>
      </c>
      <c r="M258">
        <v>0.78130100000000002</v>
      </c>
      <c r="N258">
        <v>20000000</v>
      </c>
      <c r="O258">
        <v>1.7</v>
      </c>
      <c r="P258">
        <v>5.6341656000000002E-3</v>
      </c>
      <c r="Q258" t="s">
        <v>42</v>
      </c>
      <c r="R258" t="s">
        <v>23</v>
      </c>
      <c r="S258" s="131">
        <v>43321</v>
      </c>
      <c r="T258" s="6">
        <f>DataTable[HLD_MaturityDate] - DataTable[SEC_Issue_Date]</f>
        <v>365</v>
      </c>
      <c r="U258" s="131" t="str">
        <f>DataTable[HLD_Portfolio]&amp;DataTable[HLD_Date]</f>
        <v>SCBTMF43397</v>
      </c>
      <c r="V258" t="str">
        <f>DataTable[[#This Row],[RefRng]]&amp;DataTable[[#This Row],[HLD_SecCode]]</f>
        <v>SCBTMF43397F12MGHB090819</v>
      </c>
    </row>
    <row r="259" spans="1:22" x14ac:dyDescent="0.2">
      <c r="A259" s="131">
        <v>43397</v>
      </c>
      <c r="B259" t="s">
        <v>131</v>
      </c>
      <c r="C259" t="s">
        <v>18</v>
      </c>
      <c r="D259" t="s">
        <v>38</v>
      </c>
      <c r="F259" t="s">
        <v>61</v>
      </c>
      <c r="G259" t="s">
        <v>57</v>
      </c>
      <c r="H259" t="s">
        <v>58</v>
      </c>
      <c r="I259" s="131">
        <v>43448</v>
      </c>
      <c r="J259" s="6">
        <v>50000000</v>
      </c>
      <c r="K259">
        <v>690410.96</v>
      </c>
      <c r="L259">
        <v>50000000</v>
      </c>
      <c r="M259">
        <v>0.13941400000000001</v>
      </c>
      <c r="N259">
        <v>50000000</v>
      </c>
      <c r="O259">
        <v>1.6</v>
      </c>
      <c r="P259">
        <v>1.42288793E-2</v>
      </c>
      <c r="Q259" t="s">
        <v>42</v>
      </c>
      <c r="R259" t="s">
        <v>23</v>
      </c>
      <c r="S259" s="131">
        <v>43083</v>
      </c>
      <c r="T259" s="6">
        <f>DataTable[HLD_MaturityDate] - DataTable[SEC_Issue_Date]</f>
        <v>365</v>
      </c>
      <c r="U259" s="131" t="str">
        <f>DataTable[HLD_Portfolio]&amp;DataTable[HLD_Date]</f>
        <v>SCBTMF43397</v>
      </c>
      <c r="V259" t="str">
        <f>DataTable[[#This Row],[RefRng]]&amp;DataTable[[#This Row],[HLD_SecCode]]</f>
        <v>SCBTMF43397F12MGHB141218</v>
      </c>
    </row>
    <row r="260" spans="1:22" x14ac:dyDescent="0.2">
      <c r="A260" s="131">
        <v>43397</v>
      </c>
      <c r="B260" t="s">
        <v>131</v>
      </c>
      <c r="C260" t="s">
        <v>18</v>
      </c>
      <c r="D260" t="s">
        <v>38</v>
      </c>
      <c r="F260" t="s">
        <v>64</v>
      </c>
      <c r="G260" t="s">
        <v>57</v>
      </c>
      <c r="H260" t="s">
        <v>58</v>
      </c>
      <c r="I260" s="131">
        <v>43483</v>
      </c>
      <c r="J260" s="6">
        <v>50000000</v>
      </c>
      <c r="K260">
        <v>613698.63</v>
      </c>
      <c r="L260">
        <v>50000000</v>
      </c>
      <c r="M260">
        <v>0.234732</v>
      </c>
      <c r="N260">
        <v>50000000</v>
      </c>
      <c r="O260">
        <v>1.6</v>
      </c>
      <c r="P260">
        <v>1.4207345999999999E-2</v>
      </c>
      <c r="Q260" t="s">
        <v>42</v>
      </c>
      <c r="R260" t="s">
        <v>23</v>
      </c>
      <c r="S260" s="131">
        <v>43118</v>
      </c>
      <c r="T260" s="6">
        <f>DataTable[HLD_MaturityDate] - DataTable[SEC_Issue_Date]</f>
        <v>365</v>
      </c>
      <c r="U260" s="131" t="str">
        <f>DataTable[HLD_Portfolio]&amp;DataTable[HLD_Date]</f>
        <v>SCBTMF43397</v>
      </c>
      <c r="V260" t="str">
        <f>DataTable[[#This Row],[RefRng]]&amp;DataTable[[#This Row],[HLD_SecCode]]</f>
        <v>SCBTMF43397F12MGHB180119</v>
      </c>
    </row>
    <row r="261" spans="1:22" x14ac:dyDescent="0.2">
      <c r="A261" s="131">
        <v>43397</v>
      </c>
      <c r="B261" t="s">
        <v>131</v>
      </c>
      <c r="C261" t="s">
        <v>18</v>
      </c>
      <c r="D261" t="s">
        <v>38</v>
      </c>
      <c r="F261" t="s">
        <v>168</v>
      </c>
      <c r="G261" t="s">
        <v>57</v>
      </c>
      <c r="H261" t="s">
        <v>58</v>
      </c>
      <c r="I261" s="131">
        <v>43672</v>
      </c>
      <c r="J261" s="6">
        <v>30000000</v>
      </c>
      <c r="K261">
        <v>127150.68</v>
      </c>
      <c r="L261">
        <v>30000000</v>
      </c>
      <c r="M261">
        <v>0.74393600000000004</v>
      </c>
      <c r="N261">
        <v>30000000</v>
      </c>
      <c r="O261">
        <v>1.7</v>
      </c>
      <c r="P261">
        <v>8.4567393000000001E-3</v>
      </c>
      <c r="Q261" t="s">
        <v>42</v>
      </c>
      <c r="R261" t="s">
        <v>23</v>
      </c>
      <c r="S261" s="131">
        <v>43307</v>
      </c>
      <c r="T261" s="6">
        <f>DataTable[HLD_MaturityDate] - DataTable[SEC_Issue_Date]</f>
        <v>365</v>
      </c>
      <c r="U261" s="131" t="str">
        <f>DataTable[HLD_Portfolio]&amp;DataTable[HLD_Date]</f>
        <v>SCBTMF43397</v>
      </c>
      <c r="V261" t="str">
        <f>DataTable[[#This Row],[RefRng]]&amp;DataTable[[#This Row],[HLD_SecCode]]</f>
        <v>SCBTMF43397F12MGHB260719</v>
      </c>
    </row>
    <row r="262" spans="1:22" x14ac:dyDescent="0.2">
      <c r="A262" s="131">
        <v>43397</v>
      </c>
      <c r="B262" t="s">
        <v>131</v>
      </c>
      <c r="C262" t="s">
        <v>18</v>
      </c>
      <c r="D262" t="s">
        <v>38</v>
      </c>
      <c r="F262" t="s">
        <v>294</v>
      </c>
      <c r="G262" t="s">
        <v>73</v>
      </c>
      <c r="H262" t="s">
        <v>58</v>
      </c>
      <c r="I262" s="131">
        <v>44196</v>
      </c>
      <c r="J262" s="6">
        <v>5075021.05</v>
      </c>
      <c r="K262">
        <v>49782.11</v>
      </c>
      <c r="L262">
        <v>5075021.05</v>
      </c>
      <c r="M262">
        <v>0</v>
      </c>
      <c r="N262">
        <v>5075021.05</v>
      </c>
      <c r="O262">
        <v>0</v>
      </c>
      <c r="P262">
        <v>1.4385404E-3</v>
      </c>
      <c r="Q262" t="s">
        <v>42</v>
      </c>
      <c r="R262" t="s">
        <v>23</v>
      </c>
      <c r="S262" s="131">
        <v>40212</v>
      </c>
      <c r="T262" s="6">
        <f>DataTable[HLD_MaturityDate] - DataTable[SEC_Issue_Date]</f>
        <v>3984</v>
      </c>
      <c r="U262" s="131" t="str">
        <f>DataTable[HLD_Portfolio]&amp;DataTable[HLD_Date]</f>
        <v>SCBTMF43397</v>
      </c>
      <c r="V262" t="str">
        <f>DataTable[[#This Row],[RefRng]]&amp;DataTable[[#This Row],[HLD_SecCode]]</f>
        <v>SCBTMF43397INVSUOBTtmf</v>
      </c>
    </row>
    <row r="263" spans="1:22" x14ac:dyDescent="0.2">
      <c r="A263" s="131">
        <v>43397</v>
      </c>
      <c r="B263" t="s">
        <v>131</v>
      </c>
      <c r="C263" t="s">
        <v>18</v>
      </c>
      <c r="D263" t="s">
        <v>85</v>
      </c>
      <c r="F263" t="s">
        <v>86</v>
      </c>
      <c r="G263" t="s">
        <v>87</v>
      </c>
      <c r="I263" s="131">
        <v>43440</v>
      </c>
      <c r="J263" s="6">
        <v>149775951</v>
      </c>
      <c r="L263">
        <v>149768620.5</v>
      </c>
      <c r="M263">
        <v>0.114895</v>
      </c>
      <c r="N263">
        <v>150000000</v>
      </c>
      <c r="O263">
        <v>1.3426</v>
      </c>
      <c r="P263">
        <v>4.2042348700000003E-2</v>
      </c>
      <c r="Q263" t="s">
        <v>42</v>
      </c>
      <c r="R263" t="s">
        <v>23</v>
      </c>
      <c r="S263" s="131">
        <v>43349</v>
      </c>
      <c r="T263" s="6">
        <f>DataTable[HLD_MaturityDate] - DataTable[SEC_Issue_Date]</f>
        <v>91</v>
      </c>
      <c r="U263" s="131" t="str">
        <f>DataTable[HLD_Portfolio]&amp;DataTable[HLD_Date]</f>
        <v>SCBTMF43397</v>
      </c>
      <c r="V263" t="str">
        <f>DataTable[[#This Row],[RefRng]]&amp;DataTable[[#This Row],[HLD_SecCode]]</f>
        <v>SCBTMF43397CB18D06C</v>
      </c>
    </row>
    <row r="264" spans="1:22" x14ac:dyDescent="0.2">
      <c r="A264" s="131">
        <v>43397</v>
      </c>
      <c r="B264" t="s">
        <v>131</v>
      </c>
      <c r="C264" t="s">
        <v>18</v>
      </c>
      <c r="D264" t="s">
        <v>85</v>
      </c>
      <c r="F264" t="s">
        <v>88</v>
      </c>
      <c r="G264" t="s">
        <v>87</v>
      </c>
      <c r="I264" s="131">
        <v>43447</v>
      </c>
      <c r="J264" s="6">
        <v>155746606.08000001</v>
      </c>
      <c r="L264">
        <v>155744759.03999999</v>
      </c>
      <c r="M264">
        <v>0.13397899999999999</v>
      </c>
      <c r="N264">
        <v>156000000</v>
      </c>
      <c r="O264">
        <v>1.220769</v>
      </c>
      <c r="P264">
        <v>4.3718321099999999E-2</v>
      </c>
      <c r="Q264" t="s">
        <v>42</v>
      </c>
      <c r="R264" t="s">
        <v>23</v>
      </c>
      <c r="S264" s="131">
        <v>43356</v>
      </c>
      <c r="T264" s="6">
        <f>DataTable[HLD_MaturityDate] - DataTable[SEC_Issue_Date]</f>
        <v>91</v>
      </c>
      <c r="U264" s="131" t="str">
        <f>DataTable[HLD_Portfolio]&amp;DataTable[HLD_Date]</f>
        <v>SCBTMF43397</v>
      </c>
      <c r="V264" t="str">
        <f>DataTable[[#This Row],[RefRng]]&amp;DataTable[[#This Row],[HLD_SecCode]]</f>
        <v>SCBTMF43397CB18D13B</v>
      </c>
    </row>
    <row r="265" spans="1:22" x14ac:dyDescent="0.2">
      <c r="A265" s="131">
        <v>43397</v>
      </c>
      <c r="B265" t="s">
        <v>131</v>
      </c>
      <c r="C265" t="s">
        <v>18</v>
      </c>
      <c r="D265" t="s">
        <v>85</v>
      </c>
      <c r="F265" t="s">
        <v>89</v>
      </c>
      <c r="G265" t="s">
        <v>87</v>
      </c>
      <c r="I265" s="131">
        <v>43454</v>
      </c>
      <c r="J265" s="6">
        <v>200613722.22</v>
      </c>
      <c r="L265">
        <v>200576430.69</v>
      </c>
      <c r="M265">
        <v>0.153085</v>
      </c>
      <c r="N265">
        <v>201000000</v>
      </c>
      <c r="O265">
        <v>1.3764179999999999</v>
      </c>
      <c r="P265">
        <v>5.6312592199999997E-2</v>
      </c>
      <c r="Q265" t="s">
        <v>42</v>
      </c>
      <c r="R265" t="s">
        <v>23</v>
      </c>
      <c r="S265" s="131">
        <v>43363</v>
      </c>
      <c r="T265" s="6">
        <f>DataTable[HLD_MaturityDate] - DataTable[SEC_Issue_Date]</f>
        <v>91</v>
      </c>
      <c r="U265" s="131" t="str">
        <f>DataTable[HLD_Portfolio]&amp;DataTable[HLD_Date]</f>
        <v>SCBTMF43397</v>
      </c>
      <c r="V265" t="str">
        <f>DataTable[[#This Row],[RefRng]]&amp;DataTable[[#This Row],[HLD_SecCode]]</f>
        <v>SCBTMF43397CB18D20B</v>
      </c>
    </row>
    <row r="266" spans="1:22" x14ac:dyDescent="0.2">
      <c r="A266" s="131">
        <v>43397</v>
      </c>
      <c r="B266" t="s">
        <v>131</v>
      </c>
      <c r="C266" t="s">
        <v>18</v>
      </c>
      <c r="D266" t="s">
        <v>85</v>
      </c>
      <c r="F266" t="s">
        <v>197</v>
      </c>
      <c r="G266" t="s">
        <v>87</v>
      </c>
      <c r="I266" s="131">
        <v>43461</v>
      </c>
      <c r="J266" s="6">
        <v>89786136.599999994</v>
      </c>
      <c r="L266">
        <v>89768515.5</v>
      </c>
      <c r="M266">
        <v>0.172151</v>
      </c>
      <c r="N266">
        <v>90000000</v>
      </c>
      <c r="O266">
        <v>1.494</v>
      </c>
      <c r="P266">
        <v>2.5203111899999998E-2</v>
      </c>
      <c r="Q266" t="s">
        <v>42</v>
      </c>
      <c r="R266" t="s">
        <v>23</v>
      </c>
      <c r="S266" s="131">
        <v>43370</v>
      </c>
      <c r="T266" s="6">
        <f>DataTable[HLD_MaturityDate] - DataTable[SEC_Issue_Date]</f>
        <v>91</v>
      </c>
      <c r="U266" s="131" t="str">
        <f>DataTable[HLD_Portfolio]&amp;DataTable[HLD_Date]</f>
        <v>SCBTMF43397</v>
      </c>
      <c r="V266" t="str">
        <f>DataTable[[#This Row],[RefRng]]&amp;DataTable[[#This Row],[HLD_SecCode]]</f>
        <v>SCBTMF43397CB18D27B</v>
      </c>
    </row>
    <row r="267" spans="1:22" x14ac:dyDescent="0.2">
      <c r="A267" s="131">
        <v>43397</v>
      </c>
      <c r="B267" t="s">
        <v>131</v>
      </c>
      <c r="C267" t="s">
        <v>18</v>
      </c>
      <c r="D267" t="s">
        <v>85</v>
      </c>
      <c r="F267" t="s">
        <v>198</v>
      </c>
      <c r="G267" t="s">
        <v>87</v>
      </c>
      <c r="I267" s="131">
        <v>43405</v>
      </c>
      <c r="J267" s="6">
        <v>49989214.5</v>
      </c>
      <c r="L267">
        <v>49989214.5</v>
      </c>
      <c r="M267">
        <v>1.9174E-2</v>
      </c>
      <c r="N267">
        <v>50000000</v>
      </c>
      <c r="O267">
        <v>1.125</v>
      </c>
      <c r="P267">
        <v>1.40320523E-2</v>
      </c>
      <c r="Q267" t="s">
        <v>42</v>
      </c>
      <c r="R267" t="s">
        <v>23</v>
      </c>
      <c r="S267" s="131">
        <v>43223</v>
      </c>
      <c r="T267" s="6">
        <f>DataTable[HLD_MaturityDate] - DataTable[SEC_Issue_Date]</f>
        <v>182</v>
      </c>
      <c r="U267" s="131" t="str">
        <f>DataTable[HLD_Portfolio]&amp;DataTable[HLD_Date]</f>
        <v>SCBTMF43397</v>
      </c>
      <c r="V267" t="str">
        <f>DataTable[[#This Row],[RefRng]]&amp;DataTable[[#This Row],[HLD_SecCode]]</f>
        <v>SCBTMF43397CB18N01A</v>
      </c>
    </row>
    <row r="268" spans="1:22" x14ac:dyDescent="0.2">
      <c r="A268" s="131">
        <v>43397</v>
      </c>
      <c r="B268" t="s">
        <v>131</v>
      </c>
      <c r="C268" t="s">
        <v>18</v>
      </c>
      <c r="D268" t="s">
        <v>85</v>
      </c>
      <c r="F268" t="s">
        <v>90</v>
      </c>
      <c r="G268" t="s">
        <v>87</v>
      </c>
      <c r="I268" s="131">
        <v>43405</v>
      </c>
      <c r="J268" s="6">
        <v>154961662.30000001</v>
      </c>
      <c r="L268">
        <v>154961422.05000001</v>
      </c>
      <c r="M268">
        <v>1.9174E-2</v>
      </c>
      <c r="N268">
        <v>155000000</v>
      </c>
      <c r="O268">
        <v>1.298095</v>
      </c>
      <c r="P268">
        <v>4.3497986099999997E-2</v>
      </c>
      <c r="Q268" t="s">
        <v>42</v>
      </c>
      <c r="R268" t="s">
        <v>23</v>
      </c>
      <c r="S268" s="131">
        <v>43314</v>
      </c>
      <c r="T268" s="6">
        <f>DataTable[HLD_MaturityDate] - DataTable[SEC_Issue_Date]</f>
        <v>91</v>
      </c>
      <c r="U268" s="131" t="str">
        <f>DataTable[HLD_Portfolio]&amp;DataTable[HLD_Date]</f>
        <v>SCBTMF43397</v>
      </c>
      <c r="V268" t="str">
        <f>DataTable[[#This Row],[RefRng]]&amp;DataTable[[#This Row],[HLD_SecCode]]</f>
        <v>SCBTMF43397CB18N01B</v>
      </c>
    </row>
    <row r="269" spans="1:22" x14ac:dyDescent="0.2">
      <c r="A269" s="131">
        <v>43397</v>
      </c>
      <c r="B269" t="s">
        <v>131</v>
      </c>
      <c r="C269" t="s">
        <v>18</v>
      </c>
      <c r="D269" t="s">
        <v>85</v>
      </c>
      <c r="F269" t="s">
        <v>1251</v>
      </c>
      <c r="G269" t="s">
        <v>87</v>
      </c>
      <c r="I269" s="131">
        <v>43410</v>
      </c>
      <c r="J269" s="6">
        <v>99960305</v>
      </c>
      <c r="L269">
        <v>99960305</v>
      </c>
      <c r="M269">
        <v>3.2863999999999997E-2</v>
      </c>
      <c r="N269">
        <v>100000000</v>
      </c>
      <c r="O269">
        <v>1.20787</v>
      </c>
      <c r="P269">
        <v>2.8059017299999999E-2</v>
      </c>
      <c r="Q269" t="s">
        <v>42</v>
      </c>
      <c r="R269" t="s">
        <v>23</v>
      </c>
      <c r="S269" s="131">
        <v>43397</v>
      </c>
      <c r="T269" s="6">
        <f>DataTable[HLD_MaturityDate] - DataTable[SEC_Issue_Date]</f>
        <v>13</v>
      </c>
      <c r="U269" s="131" t="str">
        <f>DataTable[HLD_Portfolio]&amp;DataTable[HLD_Date]</f>
        <v>SCBTMF43397</v>
      </c>
      <c r="V269" t="str">
        <f>DataTable[[#This Row],[RefRng]]&amp;DataTable[[#This Row],[HLD_SecCode]]</f>
        <v>SCBTMF43397CB18N06A</v>
      </c>
    </row>
    <row r="270" spans="1:22" x14ac:dyDescent="0.2">
      <c r="A270" s="131">
        <v>43397</v>
      </c>
      <c r="B270" t="s">
        <v>131</v>
      </c>
      <c r="C270" t="s">
        <v>18</v>
      </c>
      <c r="D270" t="s">
        <v>85</v>
      </c>
      <c r="F270" t="s">
        <v>91</v>
      </c>
      <c r="G270" t="s">
        <v>87</v>
      </c>
      <c r="I270" s="131">
        <v>43412</v>
      </c>
      <c r="J270" s="6">
        <v>19990300.600000001</v>
      </c>
      <c r="L270">
        <v>19990300.600000001</v>
      </c>
      <c r="M270">
        <v>3.8337999999999997E-2</v>
      </c>
      <c r="N270">
        <v>20000000</v>
      </c>
      <c r="O270">
        <v>1.2649999999999999</v>
      </c>
      <c r="P270">
        <v>5.6113092999999998E-3</v>
      </c>
      <c r="Q270" t="s">
        <v>42</v>
      </c>
      <c r="R270" t="s">
        <v>23</v>
      </c>
      <c r="S270" s="131">
        <v>43230</v>
      </c>
      <c r="T270" s="6">
        <f>DataTable[HLD_MaturityDate] - DataTable[SEC_Issue_Date]</f>
        <v>182</v>
      </c>
      <c r="U270" s="131" t="str">
        <f>DataTable[HLD_Portfolio]&amp;DataTable[HLD_Date]</f>
        <v>SCBTMF43397</v>
      </c>
      <c r="V270" t="str">
        <f>DataTable[[#This Row],[RefRng]]&amp;DataTable[[#This Row],[HLD_SecCode]]</f>
        <v>SCBTMF43397CB18N08A</v>
      </c>
    </row>
    <row r="271" spans="1:22" x14ac:dyDescent="0.2">
      <c r="A271" s="131">
        <v>43397</v>
      </c>
      <c r="B271" t="s">
        <v>131</v>
      </c>
      <c r="C271" t="s">
        <v>18</v>
      </c>
      <c r="D271" t="s">
        <v>85</v>
      </c>
      <c r="F271" t="s">
        <v>92</v>
      </c>
      <c r="G271" t="s">
        <v>87</v>
      </c>
      <c r="I271" s="131">
        <v>43412</v>
      </c>
      <c r="J271" s="6">
        <v>239884449.59999999</v>
      </c>
      <c r="L271">
        <v>239883792</v>
      </c>
      <c r="M271">
        <v>3.8337999999999997E-2</v>
      </c>
      <c r="N271">
        <v>240000000</v>
      </c>
      <c r="O271">
        <v>1.2629790000000001</v>
      </c>
      <c r="P271">
        <v>6.7335948100000001E-2</v>
      </c>
      <c r="Q271" t="s">
        <v>42</v>
      </c>
      <c r="R271" t="s">
        <v>23</v>
      </c>
      <c r="S271" s="131">
        <v>43321</v>
      </c>
      <c r="T271" s="6">
        <f>DataTable[HLD_MaturityDate] - DataTable[SEC_Issue_Date]</f>
        <v>91</v>
      </c>
      <c r="U271" s="131" t="str">
        <f>DataTable[HLD_Portfolio]&amp;DataTable[HLD_Date]</f>
        <v>SCBTMF43397</v>
      </c>
      <c r="V271" t="str">
        <f>DataTable[[#This Row],[RefRng]]&amp;DataTable[[#This Row],[HLD_SecCode]]</f>
        <v>SCBTMF43397CB18N08B</v>
      </c>
    </row>
    <row r="272" spans="1:22" x14ac:dyDescent="0.2">
      <c r="A272" s="131">
        <v>43397</v>
      </c>
      <c r="B272" t="s">
        <v>131</v>
      </c>
      <c r="C272" t="s">
        <v>18</v>
      </c>
      <c r="D272" t="s">
        <v>85</v>
      </c>
      <c r="F272" t="s">
        <v>94</v>
      </c>
      <c r="G272" t="s">
        <v>87</v>
      </c>
      <c r="I272" s="131">
        <v>43419</v>
      </c>
      <c r="J272" s="6">
        <v>359740134</v>
      </c>
      <c r="L272">
        <v>359740029.60000002</v>
      </c>
      <c r="M272">
        <v>5.7493000000000002E-2</v>
      </c>
      <c r="N272">
        <v>360000000</v>
      </c>
      <c r="O272">
        <v>1.256049</v>
      </c>
      <c r="P272">
        <v>0.1009796302</v>
      </c>
      <c r="Q272" t="s">
        <v>42</v>
      </c>
      <c r="R272" t="s">
        <v>23</v>
      </c>
      <c r="S272" s="131">
        <v>43328</v>
      </c>
      <c r="T272" s="6">
        <f>DataTable[HLD_MaturityDate] - DataTable[SEC_Issue_Date]</f>
        <v>91</v>
      </c>
      <c r="U272" s="131" t="str">
        <f>DataTable[HLD_Portfolio]&amp;DataTable[HLD_Date]</f>
        <v>SCBTMF43397</v>
      </c>
      <c r="V272" t="str">
        <f>DataTable[[#This Row],[RefRng]]&amp;DataTable[[#This Row],[HLD_SecCode]]</f>
        <v>SCBTMF43397CB18N15B</v>
      </c>
    </row>
    <row r="273" spans="1:22" x14ac:dyDescent="0.2">
      <c r="A273" s="131">
        <v>43397</v>
      </c>
      <c r="B273" t="s">
        <v>131</v>
      </c>
      <c r="C273" t="s">
        <v>18</v>
      </c>
      <c r="D273" t="s">
        <v>85</v>
      </c>
      <c r="F273" t="s">
        <v>96</v>
      </c>
      <c r="G273" t="s">
        <v>87</v>
      </c>
      <c r="I273" s="131">
        <v>43426</v>
      </c>
      <c r="J273" s="6">
        <v>447568947.83999997</v>
      </c>
      <c r="L273">
        <v>447564754.56</v>
      </c>
      <c r="M273">
        <v>7.664E-2</v>
      </c>
      <c r="N273">
        <v>448000000</v>
      </c>
      <c r="O273">
        <v>1.267692</v>
      </c>
      <c r="P273">
        <v>0.12563331850000001</v>
      </c>
      <c r="Q273" t="s">
        <v>42</v>
      </c>
      <c r="R273" t="s">
        <v>23</v>
      </c>
      <c r="S273" s="131">
        <v>43335</v>
      </c>
      <c r="T273" s="6">
        <f>DataTable[HLD_MaturityDate] - DataTable[SEC_Issue_Date]</f>
        <v>91</v>
      </c>
      <c r="U273" s="131" t="str">
        <f>DataTable[HLD_Portfolio]&amp;DataTable[HLD_Date]</f>
        <v>SCBTMF43397</v>
      </c>
      <c r="V273" t="str">
        <f>DataTable[[#This Row],[RefRng]]&amp;DataTable[[#This Row],[HLD_SecCode]]</f>
        <v>SCBTMF43397CB18N22B</v>
      </c>
    </row>
    <row r="274" spans="1:22" x14ac:dyDescent="0.2">
      <c r="A274" s="131">
        <v>43397</v>
      </c>
      <c r="B274" t="s">
        <v>131</v>
      </c>
      <c r="C274" t="s">
        <v>18</v>
      </c>
      <c r="D274" t="s">
        <v>85</v>
      </c>
      <c r="F274" t="s">
        <v>97</v>
      </c>
      <c r="G274" t="s">
        <v>87</v>
      </c>
      <c r="I274" s="131">
        <v>43433</v>
      </c>
      <c r="J274" s="6">
        <v>69926912.299999997</v>
      </c>
      <c r="L274">
        <v>69926912.299999997</v>
      </c>
      <c r="M274">
        <v>9.5772999999999997E-2</v>
      </c>
      <c r="N274">
        <v>70000000</v>
      </c>
      <c r="O274">
        <v>1.0900000000000001</v>
      </c>
      <c r="P274">
        <v>1.9628596000000002E-2</v>
      </c>
      <c r="Q274" t="s">
        <v>42</v>
      </c>
      <c r="R274" t="s">
        <v>23</v>
      </c>
      <c r="S274" s="131">
        <v>43251</v>
      </c>
      <c r="T274" s="6">
        <f>DataTable[HLD_MaturityDate] - DataTable[SEC_Issue_Date]</f>
        <v>182</v>
      </c>
      <c r="U274" s="131" t="str">
        <f>DataTable[HLD_Portfolio]&amp;DataTable[HLD_Date]</f>
        <v>SCBTMF43397</v>
      </c>
      <c r="V274" t="str">
        <f>DataTable[[#This Row],[RefRng]]&amp;DataTable[[#This Row],[HLD_SecCode]]</f>
        <v>SCBTMF43397CB18N29A</v>
      </c>
    </row>
    <row r="275" spans="1:22" x14ac:dyDescent="0.2">
      <c r="A275" s="131">
        <v>43397</v>
      </c>
      <c r="B275" t="s">
        <v>131</v>
      </c>
      <c r="C275" t="s">
        <v>18</v>
      </c>
      <c r="D275" t="s">
        <v>85</v>
      </c>
      <c r="F275" t="s">
        <v>98</v>
      </c>
      <c r="G275" t="s">
        <v>87</v>
      </c>
      <c r="I275" s="131">
        <v>43433</v>
      </c>
      <c r="J275" s="6">
        <v>199772040</v>
      </c>
      <c r="L275">
        <v>199761880</v>
      </c>
      <c r="M275">
        <v>9.5771999999999996E-2</v>
      </c>
      <c r="N275">
        <v>200000000</v>
      </c>
      <c r="O275">
        <v>1.2431099999999999</v>
      </c>
      <c r="P275">
        <v>5.6076330700000003E-2</v>
      </c>
      <c r="Q275" t="s">
        <v>42</v>
      </c>
      <c r="R275" t="s">
        <v>23</v>
      </c>
      <c r="S275" s="131">
        <v>43342</v>
      </c>
      <c r="T275" s="6">
        <f>DataTable[HLD_MaturityDate] - DataTable[SEC_Issue_Date]</f>
        <v>91</v>
      </c>
      <c r="U275" s="131" t="str">
        <f>DataTable[HLD_Portfolio]&amp;DataTable[HLD_Date]</f>
        <v>SCBTMF43397</v>
      </c>
      <c r="V275" t="str">
        <f>DataTable[[#This Row],[RefRng]]&amp;DataTable[[#This Row],[HLD_SecCode]]</f>
        <v>SCBTMF43397CB18N29B</v>
      </c>
    </row>
    <row r="276" spans="1:22" x14ac:dyDescent="0.2">
      <c r="A276" s="131">
        <v>43397</v>
      </c>
      <c r="B276" t="s">
        <v>131</v>
      </c>
      <c r="C276" t="s">
        <v>18</v>
      </c>
      <c r="D276" t="s">
        <v>85</v>
      </c>
      <c r="F276" t="s">
        <v>99</v>
      </c>
      <c r="G276" t="s">
        <v>87</v>
      </c>
      <c r="I276" s="131">
        <v>43398</v>
      </c>
      <c r="J276" s="6">
        <v>184000000</v>
      </c>
      <c r="L276">
        <v>184000000</v>
      </c>
      <c r="M276">
        <v>2.7399999999999998E-3</v>
      </c>
      <c r="N276">
        <v>184000000</v>
      </c>
      <c r="O276">
        <v>1.2276400000000001</v>
      </c>
      <c r="P276">
        <v>5.1649093899999998E-2</v>
      </c>
      <c r="Q276" t="s">
        <v>42</v>
      </c>
      <c r="R276" t="s">
        <v>23</v>
      </c>
      <c r="S276" s="131">
        <v>43216</v>
      </c>
      <c r="T276" s="6">
        <f>DataTable[HLD_MaturityDate] - DataTable[SEC_Issue_Date]</f>
        <v>182</v>
      </c>
      <c r="U276" s="131" t="str">
        <f>DataTable[HLD_Portfolio]&amp;DataTable[HLD_Date]</f>
        <v>SCBTMF43397</v>
      </c>
      <c r="V276" t="str">
        <f>DataTable[[#This Row],[RefRng]]&amp;DataTable[[#This Row],[HLD_SecCode]]</f>
        <v>SCBTMF43397CB18O25A</v>
      </c>
    </row>
    <row r="277" spans="1:22" x14ac:dyDescent="0.2">
      <c r="A277" s="131">
        <v>43397</v>
      </c>
      <c r="B277" t="s">
        <v>131</v>
      </c>
      <c r="C277" t="s">
        <v>18</v>
      </c>
      <c r="D277" t="s">
        <v>85</v>
      </c>
      <c r="F277" t="s">
        <v>100</v>
      </c>
      <c r="G277" t="s">
        <v>87</v>
      </c>
      <c r="I277" s="131">
        <v>43398</v>
      </c>
      <c r="J277" s="6">
        <v>143000000</v>
      </c>
      <c r="L277">
        <v>143000000</v>
      </c>
      <c r="M277">
        <v>2.7399999999999998E-3</v>
      </c>
      <c r="N277">
        <v>143000000</v>
      </c>
      <c r="O277">
        <v>1.2329760000000001</v>
      </c>
      <c r="P277">
        <v>4.0140328400000001E-2</v>
      </c>
      <c r="Q277" t="s">
        <v>42</v>
      </c>
      <c r="R277" t="s">
        <v>23</v>
      </c>
      <c r="S277" s="131">
        <v>43307</v>
      </c>
      <c r="T277" s="6">
        <f>DataTable[HLD_MaturityDate] - DataTable[SEC_Issue_Date]</f>
        <v>91</v>
      </c>
      <c r="U277" s="131" t="str">
        <f>DataTable[HLD_Portfolio]&amp;DataTable[HLD_Date]</f>
        <v>SCBTMF43397</v>
      </c>
      <c r="V277" t="str">
        <f>DataTable[[#This Row],[RefRng]]&amp;DataTable[[#This Row],[HLD_SecCode]]</f>
        <v>SCBTMF43397CB18O25B</v>
      </c>
    </row>
    <row r="278" spans="1:22" x14ac:dyDescent="0.2">
      <c r="A278" s="131">
        <v>43397</v>
      </c>
      <c r="B278" t="s">
        <v>131</v>
      </c>
      <c r="C278" t="s">
        <v>18</v>
      </c>
      <c r="D278" t="s">
        <v>85</v>
      </c>
      <c r="F278" t="s">
        <v>864</v>
      </c>
      <c r="G278" t="s">
        <v>87</v>
      </c>
      <c r="I278" s="131">
        <v>43403</v>
      </c>
      <c r="J278" s="6">
        <v>220963490.80000001</v>
      </c>
      <c r="L278">
        <v>220963490.80000001</v>
      </c>
      <c r="M278">
        <v>1.3696E-2</v>
      </c>
      <c r="N278">
        <v>221000000</v>
      </c>
      <c r="O278">
        <v>1.2061470000000001</v>
      </c>
      <c r="P278">
        <v>6.20248048E-2</v>
      </c>
      <c r="Q278" t="s">
        <v>42</v>
      </c>
      <c r="R278" t="s">
        <v>23</v>
      </c>
      <c r="S278" s="131">
        <v>43389</v>
      </c>
      <c r="T278" s="6">
        <f>DataTable[HLD_MaturityDate] - DataTable[SEC_Issue_Date]</f>
        <v>14</v>
      </c>
      <c r="U278" s="131" t="str">
        <f>DataTable[HLD_Portfolio]&amp;DataTable[HLD_Date]</f>
        <v>SCBTMF43397</v>
      </c>
      <c r="V278" t="str">
        <f>DataTable[[#This Row],[RefRng]]&amp;DataTable[[#This Row],[HLD_SecCode]]</f>
        <v>SCBTMF43397CB18O30A</v>
      </c>
    </row>
    <row r="279" spans="1:22" x14ac:dyDescent="0.2">
      <c r="A279" s="131">
        <v>43397</v>
      </c>
      <c r="B279" t="s">
        <v>131</v>
      </c>
      <c r="C279" t="s">
        <v>18</v>
      </c>
      <c r="D279" t="s">
        <v>85</v>
      </c>
      <c r="F279" t="s">
        <v>101</v>
      </c>
      <c r="G279" t="s">
        <v>87</v>
      </c>
      <c r="I279" s="131">
        <v>43468</v>
      </c>
      <c r="J279" s="6">
        <v>149578312.5</v>
      </c>
      <c r="L279">
        <v>149572410</v>
      </c>
      <c r="M279">
        <v>0.19125400000000001</v>
      </c>
      <c r="N279">
        <v>150000000</v>
      </c>
      <c r="O279">
        <v>1.4906330000000001</v>
      </c>
      <c r="P279">
        <v>4.1986871199999998E-2</v>
      </c>
      <c r="Q279" t="s">
        <v>42</v>
      </c>
      <c r="R279" t="s">
        <v>23</v>
      </c>
      <c r="S279" s="131">
        <v>43377</v>
      </c>
      <c r="T279" s="6">
        <f>DataTable[HLD_MaturityDate] - DataTable[SEC_Issue_Date]</f>
        <v>91</v>
      </c>
      <c r="U279" s="131" t="str">
        <f>DataTable[HLD_Portfolio]&amp;DataTable[HLD_Date]</f>
        <v>SCBTMF43397</v>
      </c>
      <c r="V279" t="str">
        <f>DataTable[[#This Row],[RefRng]]&amp;DataTable[[#This Row],[HLD_SecCode]]</f>
        <v>SCBTMF43397CB19103B</v>
      </c>
    </row>
    <row r="280" spans="1:22" x14ac:dyDescent="0.2">
      <c r="A280" s="131">
        <v>43397</v>
      </c>
      <c r="B280" t="s">
        <v>131</v>
      </c>
      <c r="C280" t="s">
        <v>18</v>
      </c>
      <c r="D280" t="s">
        <v>85</v>
      </c>
      <c r="F280" t="s">
        <v>836</v>
      </c>
      <c r="G280" t="s">
        <v>87</v>
      </c>
      <c r="I280" s="131">
        <v>43475</v>
      </c>
      <c r="J280" s="6">
        <v>199352350</v>
      </c>
      <c r="L280">
        <v>199346276</v>
      </c>
      <c r="M280">
        <v>0.21030699999999999</v>
      </c>
      <c r="N280">
        <v>200000000</v>
      </c>
      <c r="O280">
        <v>1.5544899999999999</v>
      </c>
      <c r="P280">
        <v>5.5958523000000003E-2</v>
      </c>
      <c r="Q280" t="s">
        <v>42</v>
      </c>
      <c r="R280" t="s">
        <v>23</v>
      </c>
      <c r="S280" s="131">
        <v>43384</v>
      </c>
      <c r="T280" s="6">
        <f>DataTable[HLD_MaturityDate] - DataTable[SEC_Issue_Date]</f>
        <v>91</v>
      </c>
      <c r="U280" s="131" t="str">
        <f>DataTable[HLD_Portfolio]&amp;DataTable[HLD_Date]</f>
        <v>SCBTMF43397</v>
      </c>
      <c r="V280" t="str">
        <f>DataTable[[#This Row],[RefRng]]&amp;DataTable[[#This Row],[HLD_SecCode]]</f>
        <v>SCBTMF43397CB19110B</v>
      </c>
    </row>
    <row r="281" spans="1:22" x14ac:dyDescent="0.2">
      <c r="A281" s="131">
        <v>43397</v>
      </c>
      <c r="B281" t="s">
        <v>131</v>
      </c>
      <c r="C281" t="s">
        <v>18</v>
      </c>
      <c r="D281" t="s">
        <v>85</v>
      </c>
      <c r="F281" t="s">
        <v>1215</v>
      </c>
      <c r="G281" t="s">
        <v>87</v>
      </c>
      <c r="I281" s="131">
        <v>43482</v>
      </c>
      <c r="J281" s="6">
        <v>209265623.69999999</v>
      </c>
      <c r="L281">
        <v>209245388.09999999</v>
      </c>
      <c r="M281">
        <v>0.22931000000000001</v>
      </c>
      <c r="N281">
        <v>210000000</v>
      </c>
      <c r="O281">
        <v>1.567043</v>
      </c>
      <c r="P281">
        <v>5.87411948E-2</v>
      </c>
      <c r="Q281" t="s">
        <v>42</v>
      </c>
      <c r="R281" t="s">
        <v>23</v>
      </c>
      <c r="S281" s="131">
        <v>43391</v>
      </c>
      <c r="T281" s="6">
        <f>DataTable[HLD_MaturityDate] - DataTable[SEC_Issue_Date]</f>
        <v>91</v>
      </c>
      <c r="U281" s="131" t="str">
        <f>DataTable[HLD_Portfolio]&amp;DataTable[HLD_Date]</f>
        <v>SCBTMF43397</v>
      </c>
      <c r="V281" t="str">
        <f>DataTable[[#This Row],[RefRng]]&amp;DataTable[[#This Row],[HLD_SecCode]]</f>
        <v>SCBTMF43397CB19117B</v>
      </c>
    </row>
    <row r="282" spans="1:22" x14ac:dyDescent="0.2">
      <c r="A282" s="131">
        <v>43397</v>
      </c>
      <c r="B282" t="s">
        <v>131</v>
      </c>
      <c r="C282" t="s">
        <v>18</v>
      </c>
      <c r="D282" t="s">
        <v>85</v>
      </c>
      <c r="F282" t="s">
        <v>1262</v>
      </c>
      <c r="G282" t="s">
        <v>87</v>
      </c>
      <c r="I282" s="131">
        <v>43489</v>
      </c>
      <c r="J282" s="6">
        <v>199221763.34</v>
      </c>
      <c r="L282">
        <v>199221763.34</v>
      </c>
      <c r="M282">
        <v>0.25205499999999997</v>
      </c>
      <c r="N282">
        <v>200000000</v>
      </c>
      <c r="O282">
        <v>1.566845</v>
      </c>
      <c r="P282">
        <v>5.5921867100000001E-2</v>
      </c>
      <c r="Q282" t="s">
        <v>42</v>
      </c>
      <c r="R282" t="s">
        <v>23</v>
      </c>
      <c r="S282" s="131">
        <v>43398</v>
      </c>
      <c r="T282" s="6">
        <f>DataTable[HLD_MaturityDate] - DataTable[SEC_Issue_Date]</f>
        <v>91</v>
      </c>
      <c r="U282" s="131" t="str">
        <f>DataTable[HLD_Portfolio]&amp;DataTable[HLD_Date]</f>
        <v>SCBTMF43397</v>
      </c>
      <c r="V282" t="str">
        <f>DataTable[[#This Row],[RefRng]]&amp;DataTable[[#This Row],[HLD_SecCode]]</f>
        <v>SCBTMF43397CB19124B</v>
      </c>
    </row>
    <row r="283" spans="1:22" x14ac:dyDescent="0.2">
      <c r="A283" s="131">
        <v>43397</v>
      </c>
      <c r="B283" t="s">
        <v>131</v>
      </c>
      <c r="C283" t="s">
        <v>120</v>
      </c>
      <c r="D283" t="s">
        <v>121</v>
      </c>
      <c r="E283" t="s">
        <v>1256</v>
      </c>
      <c r="F283" t="s">
        <v>1262</v>
      </c>
      <c r="I283" s="131"/>
      <c r="J283" s="6">
        <v>-199221763.34</v>
      </c>
      <c r="L283">
        <v>-199221763.34</v>
      </c>
      <c r="O283">
        <v>0</v>
      </c>
      <c r="P283">
        <v>-5.5921867100000001E-2</v>
      </c>
      <c r="Q283" t="s">
        <v>42</v>
      </c>
      <c r="R283" t="s">
        <v>23</v>
      </c>
      <c r="S283" s="131">
        <v>43398</v>
      </c>
      <c r="T283" s="6">
        <f>DataTable[HLD_MaturityDate] - DataTable[SEC_Issue_Date]</f>
        <v>-43398</v>
      </c>
      <c r="U283" s="131" t="str">
        <f>DataTable[HLD_Portfolio]&amp;DataTable[HLD_Date]</f>
        <v>SCBTMF43397</v>
      </c>
      <c r="V283" t="str">
        <f>DataTable[[#This Row],[RefRng]]&amp;DataTable[[#This Row],[HLD_SecCode]]</f>
        <v>SCBTMF43397CB19124B</v>
      </c>
    </row>
    <row r="284" spans="1:22" x14ac:dyDescent="0.2">
      <c r="A284" s="131">
        <v>43397</v>
      </c>
      <c r="B284" t="s">
        <v>131</v>
      </c>
      <c r="C284" t="s">
        <v>120</v>
      </c>
      <c r="D284" t="s">
        <v>122</v>
      </c>
      <c r="E284" t="s">
        <v>122</v>
      </c>
      <c r="F284" t="s">
        <v>122</v>
      </c>
      <c r="I284" s="131"/>
      <c r="J284" s="6">
        <v>-26780.95</v>
      </c>
      <c r="O284">
        <v>0</v>
      </c>
      <c r="P284">
        <v>-7.5174999999999996E-6</v>
      </c>
      <c r="S284" s="131"/>
      <c r="T284" s="6">
        <f>DataTable[HLD_MaturityDate] - DataTable[SEC_Issue_Date]</f>
        <v>0</v>
      </c>
      <c r="U284" s="131" t="str">
        <f>DataTable[HLD_Portfolio]&amp;DataTable[HLD_Date]</f>
        <v>SCBTMF43397</v>
      </c>
      <c r="V284" t="str">
        <f>DataTable[[#This Row],[RefRng]]&amp;DataTable[[#This Row],[HLD_SecCode]]</f>
        <v>SCBTMF43397AUDITING FEE</v>
      </c>
    </row>
    <row r="285" spans="1:22" x14ac:dyDescent="0.2">
      <c r="A285" s="131">
        <v>43397</v>
      </c>
      <c r="B285" t="s">
        <v>131</v>
      </c>
      <c r="C285" t="s">
        <v>120</v>
      </c>
      <c r="D285" t="s">
        <v>123</v>
      </c>
      <c r="I285" s="131"/>
      <c r="J285" s="6">
        <v>-70594.44</v>
      </c>
      <c r="K285">
        <v>0</v>
      </c>
      <c r="O285">
        <v>0</v>
      </c>
      <c r="P285">
        <v>-1.9816000000000001E-5</v>
      </c>
      <c r="S285" s="131"/>
      <c r="T285" s="6">
        <f>DataTable[HLD_MaturityDate] - DataTable[SEC_Issue_Date]</f>
        <v>0</v>
      </c>
      <c r="U285" s="131" t="str">
        <f>DataTable[HLD_Portfolio]&amp;DataTable[HLD_Date]</f>
        <v>SCBTMF43397</v>
      </c>
      <c r="V285" t="str">
        <f>DataTable[[#This Row],[RefRng]]&amp;DataTable[[#This Row],[HLD_SecCode]]</f>
        <v>SCBTMF43397</v>
      </c>
    </row>
    <row r="286" spans="1:22" x14ac:dyDescent="0.2">
      <c r="A286" s="131">
        <v>43397</v>
      </c>
      <c r="B286" t="s">
        <v>131</v>
      </c>
      <c r="C286" t="s">
        <v>120</v>
      </c>
      <c r="D286" t="s">
        <v>124</v>
      </c>
      <c r="E286" t="s">
        <v>124</v>
      </c>
      <c r="F286" t="s">
        <v>124</v>
      </c>
      <c r="I286" s="131"/>
      <c r="J286" s="6">
        <v>-4182.17</v>
      </c>
      <c r="O286">
        <v>0</v>
      </c>
      <c r="P286">
        <v>-1.1739000000000001E-6</v>
      </c>
      <c r="S286" s="131"/>
      <c r="T286" s="6">
        <f>DataTable[HLD_MaturityDate] - DataTable[SEC_Issue_Date]</f>
        <v>0</v>
      </c>
      <c r="U286" s="131" t="str">
        <f>DataTable[HLD_Portfolio]&amp;DataTable[HLD_Date]</f>
        <v>SCBTMF43397</v>
      </c>
      <c r="V286" t="str">
        <f>DataTable[[#This Row],[RefRng]]&amp;DataTable[[#This Row],[HLD_SecCode]]</f>
        <v>SCBTMF43397A NEWSPAPER_NAV</v>
      </c>
    </row>
    <row r="287" spans="1:22" x14ac:dyDescent="0.2">
      <c r="A287" s="131">
        <v>43397</v>
      </c>
      <c r="B287" t="s">
        <v>131</v>
      </c>
      <c r="C287" t="s">
        <v>120</v>
      </c>
      <c r="D287" t="s">
        <v>124</v>
      </c>
      <c r="E287" t="s">
        <v>124</v>
      </c>
      <c r="F287" t="s">
        <v>124</v>
      </c>
      <c r="I287" s="131"/>
      <c r="J287" s="6">
        <v>-3399.6</v>
      </c>
      <c r="O287">
        <v>0</v>
      </c>
      <c r="P287">
        <v>-9.5429999999999991E-7</v>
      </c>
      <c r="S287" s="131"/>
      <c r="T287" s="6">
        <f>DataTable[HLD_MaturityDate] - DataTable[SEC_Issue_Date]</f>
        <v>0</v>
      </c>
      <c r="U287" s="131" t="str">
        <f>DataTable[HLD_Portfolio]&amp;DataTable[HLD_Date]</f>
        <v>SCBTMF43397</v>
      </c>
      <c r="V287" t="str">
        <f>DataTable[[#This Row],[RefRng]]&amp;DataTable[[#This Row],[HLD_SecCode]]</f>
        <v>SCBTMF43397A NEWSPAPER_NAV</v>
      </c>
    </row>
    <row r="288" spans="1:22" x14ac:dyDescent="0.2">
      <c r="A288" s="131">
        <v>43397</v>
      </c>
      <c r="B288" t="s">
        <v>131</v>
      </c>
      <c r="C288" t="s">
        <v>120</v>
      </c>
      <c r="D288" t="s">
        <v>125</v>
      </c>
      <c r="E288" t="s">
        <v>125</v>
      </c>
      <c r="I288" s="131"/>
      <c r="J288" s="6">
        <v>-59448.43</v>
      </c>
      <c r="L288">
        <v>-59448.43</v>
      </c>
      <c r="O288">
        <v>0</v>
      </c>
      <c r="P288">
        <v>-1.6687299999999999E-5</v>
      </c>
      <c r="S288" s="131"/>
      <c r="T288" s="6">
        <f>DataTable[HLD_MaturityDate] - DataTable[SEC_Issue_Date]</f>
        <v>0</v>
      </c>
      <c r="U288" s="131" t="str">
        <f>DataTable[HLD_Portfolio]&amp;DataTable[HLD_Date]</f>
        <v>SCBTMF43397</v>
      </c>
      <c r="V288" t="str">
        <f>DataTable[[#This Row],[RefRng]]&amp;DataTable[[#This Row],[HLD_SecCode]]</f>
        <v>SCBTMF43397</v>
      </c>
    </row>
    <row r="289" spans="1:22" x14ac:dyDescent="0.2">
      <c r="A289" s="131">
        <v>43397</v>
      </c>
      <c r="B289" t="s">
        <v>131</v>
      </c>
      <c r="C289" t="s">
        <v>120</v>
      </c>
      <c r="D289" t="s">
        <v>126</v>
      </c>
      <c r="E289" t="s">
        <v>126</v>
      </c>
      <c r="I289" s="131"/>
      <c r="J289" s="6">
        <v>-1718548.51</v>
      </c>
      <c r="L289">
        <v>-1718548.51</v>
      </c>
      <c r="O289">
        <v>0</v>
      </c>
      <c r="P289">
        <v>-4.8239929999999999E-4</v>
      </c>
      <c r="S289" s="131"/>
      <c r="T289" s="6">
        <f>DataTable[HLD_MaturityDate] - DataTable[SEC_Issue_Date]</f>
        <v>0</v>
      </c>
      <c r="U289" s="131" t="str">
        <f>DataTable[HLD_Portfolio]&amp;DataTable[HLD_Date]</f>
        <v>SCBTMF43397</v>
      </c>
      <c r="V289" t="str">
        <f>DataTable[[#This Row],[RefRng]]&amp;DataTable[[#This Row],[HLD_SecCode]]</f>
        <v>SCBTMF43397</v>
      </c>
    </row>
    <row r="290" spans="1:22" x14ac:dyDescent="0.2">
      <c r="A290" s="131">
        <v>43397</v>
      </c>
      <c r="B290" t="s">
        <v>131</v>
      </c>
      <c r="C290" t="s">
        <v>120</v>
      </c>
      <c r="D290" t="s">
        <v>127</v>
      </c>
      <c r="E290" t="s">
        <v>127</v>
      </c>
      <c r="I290" s="131"/>
      <c r="J290" s="6">
        <v>0</v>
      </c>
      <c r="L290">
        <v>0</v>
      </c>
      <c r="O290">
        <v>0</v>
      </c>
      <c r="P290">
        <v>0</v>
      </c>
      <c r="S290" s="131"/>
      <c r="T290" s="6">
        <f>DataTable[HLD_MaturityDate] - DataTable[SEC_Issue_Date]</f>
        <v>0</v>
      </c>
      <c r="U290" s="131" t="str">
        <f>DataTable[HLD_Portfolio]&amp;DataTable[HLD_Date]</f>
        <v>SCBTMF43397</v>
      </c>
      <c r="V290" t="str">
        <f>DataTable[[#This Row],[RefRng]]&amp;DataTable[[#This Row],[HLD_SecCode]]</f>
        <v>SCBTMF43397</v>
      </c>
    </row>
    <row r="291" spans="1:22" x14ac:dyDescent="0.2">
      <c r="A291" s="131">
        <v>43397</v>
      </c>
      <c r="B291" t="s">
        <v>131</v>
      </c>
      <c r="C291" t="s">
        <v>128</v>
      </c>
      <c r="D291" t="s">
        <v>125</v>
      </c>
      <c r="E291" t="s">
        <v>125</v>
      </c>
      <c r="I291" s="131"/>
      <c r="J291" s="6">
        <v>-5221.9799999999996</v>
      </c>
      <c r="L291">
        <v>-5221.9799999999996</v>
      </c>
      <c r="O291">
        <v>0</v>
      </c>
      <c r="P291">
        <v>-1.4658E-6</v>
      </c>
      <c r="S291" s="131"/>
      <c r="T291" s="6">
        <f>DataTable[HLD_MaturityDate] - DataTable[SEC_Issue_Date]</f>
        <v>0</v>
      </c>
      <c r="U291" s="131" t="str">
        <f>DataTable[HLD_Portfolio]&amp;DataTable[HLD_Date]</f>
        <v>SCBTMF43397</v>
      </c>
      <c r="V291" t="str">
        <f>DataTable[[#This Row],[RefRng]]&amp;DataTable[[#This Row],[HLD_SecCode]]</f>
        <v>SCBTMF43397</v>
      </c>
    </row>
    <row r="292" spans="1:22" x14ac:dyDescent="0.2">
      <c r="A292" s="131">
        <v>43397</v>
      </c>
      <c r="B292" t="s">
        <v>131</v>
      </c>
      <c r="C292" t="s">
        <v>128</v>
      </c>
      <c r="D292" t="s">
        <v>126</v>
      </c>
      <c r="E292" t="s">
        <v>126</v>
      </c>
      <c r="I292" s="131"/>
      <c r="J292" s="6">
        <v>-150958.12</v>
      </c>
      <c r="L292">
        <v>-150958.12</v>
      </c>
      <c r="O292">
        <v>0</v>
      </c>
      <c r="P292">
        <v>-4.2374199999999998E-5</v>
      </c>
      <c r="S292" s="131"/>
      <c r="T292" s="6">
        <f>DataTable[HLD_MaturityDate] - DataTable[SEC_Issue_Date]</f>
        <v>0</v>
      </c>
      <c r="U292" s="131" t="str">
        <f>DataTable[HLD_Portfolio]&amp;DataTable[HLD_Date]</f>
        <v>SCBTMF43397</v>
      </c>
      <c r="V292" t="str">
        <f>DataTable[[#This Row],[RefRng]]&amp;DataTable[[#This Row],[HLD_SecCode]]</f>
        <v>SCBTMF43397</v>
      </c>
    </row>
    <row r="293" spans="1:22" x14ac:dyDescent="0.2">
      <c r="A293" s="131">
        <v>43397</v>
      </c>
      <c r="B293" t="s">
        <v>131</v>
      </c>
      <c r="C293" t="s">
        <v>128</v>
      </c>
      <c r="D293" t="s">
        <v>127</v>
      </c>
      <c r="E293" t="s">
        <v>127</v>
      </c>
      <c r="I293" s="131"/>
      <c r="J293" s="6">
        <v>0</v>
      </c>
      <c r="L293">
        <v>0</v>
      </c>
      <c r="O293">
        <v>0</v>
      </c>
      <c r="P293">
        <v>0</v>
      </c>
      <c r="S293" s="131"/>
      <c r="T293" s="6">
        <f>DataTable[HLD_MaturityDate] - DataTable[SEC_Issue_Date]</f>
        <v>0</v>
      </c>
      <c r="U293" s="131" t="str">
        <f>DataTable[HLD_Portfolio]&amp;DataTable[HLD_Date]</f>
        <v>SCBTMF43397</v>
      </c>
      <c r="V293" t="str">
        <f>DataTable[[#This Row],[RefRng]]&amp;DataTable[[#This Row],[HLD_SecCode]]</f>
        <v>SCBTMF43397</v>
      </c>
    </row>
    <row r="294" spans="1:22" x14ac:dyDescent="0.2">
      <c r="A294" s="131">
        <v>43397</v>
      </c>
      <c r="B294" t="s">
        <v>132</v>
      </c>
      <c r="C294" t="s">
        <v>18</v>
      </c>
      <c r="D294" t="s">
        <v>19</v>
      </c>
      <c r="F294" t="s">
        <v>20</v>
      </c>
      <c r="G294" t="s">
        <v>137</v>
      </c>
      <c r="I294" s="131"/>
      <c r="J294" s="6">
        <v>2440005.86</v>
      </c>
      <c r="K294">
        <v>6782.49</v>
      </c>
      <c r="L294">
        <v>2440005.86</v>
      </c>
      <c r="M294">
        <v>0</v>
      </c>
      <c r="N294">
        <v>0</v>
      </c>
      <c r="O294">
        <v>0</v>
      </c>
      <c r="P294">
        <v>2.0727699999999999E-4</v>
      </c>
      <c r="Q294" t="s">
        <v>22</v>
      </c>
      <c r="R294" t="s">
        <v>23</v>
      </c>
      <c r="S294" s="131">
        <v>2</v>
      </c>
      <c r="T294" s="6">
        <f>DataTable[HLD_MaturityDate] - DataTable[SEC_Issue_Date]</f>
        <v>-2</v>
      </c>
      <c r="U294" s="131" t="str">
        <f>DataTable[HLD_Portfolio]&amp;DataTable[HLD_Date]</f>
        <v>SCBTMFPLUS43397</v>
      </c>
      <c r="V294" t="str">
        <f>DataTable[[#This Row],[RefRng]]&amp;DataTable[[#This Row],[HLD_SecCode]]</f>
        <v>SCBTMFPLUS43397CASH</v>
      </c>
    </row>
    <row r="295" spans="1:22" x14ac:dyDescent="0.2">
      <c r="A295" s="131">
        <v>43397</v>
      </c>
      <c r="B295" t="s">
        <v>132</v>
      </c>
      <c r="C295" t="s">
        <v>18</v>
      </c>
      <c r="D295" t="s">
        <v>38</v>
      </c>
      <c r="F295" t="s">
        <v>296</v>
      </c>
      <c r="G295" t="s">
        <v>57</v>
      </c>
      <c r="H295" t="s">
        <v>58</v>
      </c>
      <c r="I295" s="131">
        <v>43441</v>
      </c>
      <c r="J295" s="6">
        <v>150000000</v>
      </c>
      <c r="K295">
        <v>2110684.9300000002</v>
      </c>
      <c r="L295">
        <v>150000000</v>
      </c>
      <c r="M295">
        <v>0.12031600000000001</v>
      </c>
      <c r="N295">
        <v>150000000</v>
      </c>
      <c r="O295">
        <v>1.6</v>
      </c>
      <c r="P295">
        <v>1.2885890800000001E-2</v>
      </c>
      <c r="Q295" t="s">
        <v>42</v>
      </c>
      <c r="R295" t="s">
        <v>23</v>
      </c>
      <c r="S295" s="131">
        <v>43077</v>
      </c>
      <c r="T295" s="6">
        <f>DataTable[HLD_MaturityDate] - DataTable[SEC_Issue_Date]</f>
        <v>364</v>
      </c>
      <c r="U295" s="131" t="str">
        <f>DataTable[HLD_Portfolio]&amp;DataTable[HLD_Date]</f>
        <v>SCBTMFPLUS43397</v>
      </c>
      <c r="V295" t="str">
        <f>DataTable[[#This Row],[RefRng]]&amp;DataTable[[#This Row],[HLD_SecCode]]</f>
        <v>SCBTMFPLUS43397F12MGHB071218</v>
      </c>
    </row>
    <row r="296" spans="1:22" x14ac:dyDescent="0.2">
      <c r="A296" s="131">
        <v>43397</v>
      </c>
      <c r="B296" t="s">
        <v>132</v>
      </c>
      <c r="C296" t="s">
        <v>18</v>
      </c>
      <c r="D296" t="s">
        <v>38</v>
      </c>
      <c r="F296" t="s">
        <v>293</v>
      </c>
      <c r="G296" t="s">
        <v>57</v>
      </c>
      <c r="H296" t="s">
        <v>58</v>
      </c>
      <c r="I296" s="131">
        <v>43564</v>
      </c>
      <c r="J296" s="6">
        <v>120000000</v>
      </c>
      <c r="K296">
        <v>981369.86</v>
      </c>
      <c r="L296">
        <v>120000000</v>
      </c>
      <c r="M296">
        <v>0.45444099999999998</v>
      </c>
      <c r="N296">
        <v>120000000</v>
      </c>
      <c r="O296">
        <v>1.5</v>
      </c>
      <c r="P296">
        <v>1.0248804800000001E-2</v>
      </c>
      <c r="Q296" t="s">
        <v>42</v>
      </c>
      <c r="R296" t="s">
        <v>23</v>
      </c>
      <c r="S296" s="131">
        <v>43199</v>
      </c>
      <c r="T296" s="6">
        <f>DataTable[HLD_MaturityDate] - DataTable[SEC_Issue_Date]</f>
        <v>365</v>
      </c>
      <c r="U296" s="131" t="str">
        <f>DataTable[HLD_Portfolio]&amp;DataTable[HLD_Date]</f>
        <v>SCBTMFPLUS43397</v>
      </c>
      <c r="V296" t="str">
        <f>DataTable[[#This Row],[RefRng]]&amp;DataTable[[#This Row],[HLD_SecCode]]</f>
        <v>SCBTMFPLUS43397F12MGHB090419</v>
      </c>
    </row>
    <row r="297" spans="1:22" x14ac:dyDescent="0.2">
      <c r="A297" s="131">
        <v>43397</v>
      </c>
      <c r="B297" t="s">
        <v>132</v>
      </c>
      <c r="C297" t="s">
        <v>18</v>
      </c>
      <c r="D297" t="s">
        <v>38</v>
      </c>
      <c r="F297" t="s">
        <v>60</v>
      </c>
      <c r="G297" t="s">
        <v>57</v>
      </c>
      <c r="H297" t="s">
        <v>58</v>
      </c>
      <c r="I297" s="131">
        <v>43686</v>
      </c>
      <c r="J297" s="6">
        <v>60000000</v>
      </c>
      <c r="K297">
        <v>215178.08</v>
      </c>
      <c r="L297">
        <v>60000000</v>
      </c>
      <c r="M297">
        <v>0.78130100000000002</v>
      </c>
      <c r="N297">
        <v>60000000</v>
      </c>
      <c r="O297">
        <v>1.7</v>
      </c>
      <c r="P297">
        <v>5.1010630999999999E-3</v>
      </c>
      <c r="Q297" t="s">
        <v>42</v>
      </c>
      <c r="R297" t="s">
        <v>23</v>
      </c>
      <c r="S297" s="131">
        <v>43321</v>
      </c>
      <c r="T297" s="6">
        <f>DataTable[HLD_MaturityDate] - DataTable[SEC_Issue_Date]</f>
        <v>365</v>
      </c>
      <c r="U297" s="131" t="str">
        <f>DataTable[HLD_Portfolio]&amp;DataTable[HLD_Date]</f>
        <v>SCBTMFPLUS43397</v>
      </c>
      <c r="V297" t="str">
        <f>DataTable[[#This Row],[RefRng]]&amp;DataTable[[#This Row],[HLD_SecCode]]</f>
        <v>SCBTMFPLUS43397F12MGHB090819</v>
      </c>
    </row>
    <row r="298" spans="1:22" x14ac:dyDescent="0.2">
      <c r="A298" s="131">
        <v>43397</v>
      </c>
      <c r="B298" t="s">
        <v>132</v>
      </c>
      <c r="C298" t="s">
        <v>18</v>
      </c>
      <c r="D298" t="s">
        <v>38</v>
      </c>
      <c r="F298" t="s">
        <v>64</v>
      </c>
      <c r="G298" t="s">
        <v>57</v>
      </c>
      <c r="H298" t="s">
        <v>58</v>
      </c>
      <c r="I298" s="131">
        <v>43483</v>
      </c>
      <c r="J298" s="6">
        <v>50000000</v>
      </c>
      <c r="K298">
        <v>613698.63</v>
      </c>
      <c r="L298">
        <v>50000000</v>
      </c>
      <c r="M298">
        <v>0.234732</v>
      </c>
      <c r="N298">
        <v>50000000</v>
      </c>
      <c r="O298">
        <v>1.6</v>
      </c>
      <c r="P298">
        <v>4.2876842999999996E-3</v>
      </c>
      <c r="Q298" t="s">
        <v>42</v>
      </c>
      <c r="R298" t="s">
        <v>23</v>
      </c>
      <c r="S298" s="131">
        <v>43118</v>
      </c>
      <c r="T298" s="6">
        <f>DataTable[HLD_MaturityDate] - DataTable[SEC_Issue_Date]</f>
        <v>365</v>
      </c>
      <c r="U298" s="131" t="str">
        <f>DataTable[HLD_Portfolio]&amp;DataTable[HLD_Date]</f>
        <v>SCBTMFPLUS43397</v>
      </c>
      <c r="V298" t="str">
        <f>DataTable[[#This Row],[RefRng]]&amp;DataTable[[#This Row],[HLD_SecCode]]</f>
        <v>SCBTMFPLUS43397F12MGHB180119</v>
      </c>
    </row>
    <row r="299" spans="1:22" x14ac:dyDescent="0.2">
      <c r="A299" s="131">
        <v>43397</v>
      </c>
      <c r="B299" t="s">
        <v>132</v>
      </c>
      <c r="C299" t="s">
        <v>18</v>
      </c>
      <c r="D299" t="s">
        <v>38</v>
      </c>
      <c r="F299" t="s">
        <v>168</v>
      </c>
      <c r="G299" t="s">
        <v>57</v>
      </c>
      <c r="H299" t="s">
        <v>58</v>
      </c>
      <c r="I299" s="131">
        <v>43672</v>
      </c>
      <c r="J299" s="6">
        <v>200000000</v>
      </c>
      <c r="K299">
        <v>847671.23</v>
      </c>
      <c r="L299">
        <v>200000000</v>
      </c>
      <c r="M299">
        <v>0.74393600000000004</v>
      </c>
      <c r="N299">
        <v>200000000</v>
      </c>
      <c r="O299">
        <v>1.7</v>
      </c>
      <c r="P299">
        <v>1.7014591400000001E-2</v>
      </c>
      <c r="Q299" t="s">
        <v>42</v>
      </c>
      <c r="R299" t="s">
        <v>23</v>
      </c>
      <c r="S299" s="131">
        <v>43307</v>
      </c>
      <c r="T299" s="6">
        <f>DataTable[HLD_MaturityDate] - DataTable[SEC_Issue_Date]</f>
        <v>365</v>
      </c>
      <c r="U299" s="131" t="str">
        <f>DataTable[HLD_Portfolio]&amp;DataTable[HLD_Date]</f>
        <v>SCBTMFPLUS43397</v>
      </c>
      <c r="V299" t="str">
        <f>DataTable[[#This Row],[RefRng]]&amp;DataTable[[#This Row],[HLD_SecCode]]</f>
        <v>SCBTMFPLUS43397F12MGHB260719</v>
      </c>
    </row>
    <row r="300" spans="1:22" x14ac:dyDescent="0.2">
      <c r="A300" s="131">
        <v>43397</v>
      </c>
      <c r="B300" t="s">
        <v>132</v>
      </c>
      <c r="C300" t="s">
        <v>18</v>
      </c>
      <c r="D300" t="s">
        <v>38</v>
      </c>
      <c r="F300" t="s">
        <v>297</v>
      </c>
      <c r="G300" t="s">
        <v>71</v>
      </c>
      <c r="H300" t="s">
        <v>27</v>
      </c>
      <c r="I300" s="131">
        <v>55153</v>
      </c>
      <c r="J300" s="6">
        <v>2041</v>
      </c>
      <c r="K300">
        <v>2.4300000000000002</v>
      </c>
      <c r="L300">
        <v>2041</v>
      </c>
      <c r="M300">
        <v>0</v>
      </c>
      <c r="N300">
        <v>2041</v>
      </c>
      <c r="O300">
        <v>0</v>
      </c>
      <c r="P300">
        <v>1.7310000000000001E-7</v>
      </c>
      <c r="Q300" t="s">
        <v>42</v>
      </c>
      <c r="R300" t="s">
        <v>23</v>
      </c>
      <c r="S300" s="131">
        <v>41247</v>
      </c>
      <c r="T300" s="6">
        <f>DataTable[HLD_MaturityDate] - DataTable[SEC_Issue_Date]</f>
        <v>13906</v>
      </c>
      <c r="U300" s="131" t="str">
        <f>DataTable[HLD_Portfolio]&amp;DataTable[HLD_Date]</f>
        <v>SCBTMFPLUS43397</v>
      </c>
      <c r="V300" t="str">
        <f>DataTable[[#This Row],[RefRng]]&amp;DataTable[[#This Row],[HLD_SecCode]]</f>
        <v>SCBTMFPLUS43397INVSKTBtmfplus</v>
      </c>
    </row>
    <row r="301" spans="1:22" x14ac:dyDescent="0.2">
      <c r="A301" s="131">
        <v>43397</v>
      </c>
      <c r="B301" t="s">
        <v>132</v>
      </c>
      <c r="C301" t="s">
        <v>18</v>
      </c>
      <c r="D301" t="s">
        <v>38</v>
      </c>
      <c r="F301" t="s">
        <v>298</v>
      </c>
      <c r="G301" t="s">
        <v>73</v>
      </c>
      <c r="H301" t="s">
        <v>58</v>
      </c>
      <c r="I301" s="131">
        <v>44196</v>
      </c>
      <c r="J301" s="6">
        <v>20816728.559999999</v>
      </c>
      <c r="K301">
        <v>146729.57</v>
      </c>
      <c r="L301">
        <v>20816728.559999999</v>
      </c>
      <c r="M301">
        <v>0</v>
      </c>
      <c r="N301">
        <v>20816728.559999999</v>
      </c>
      <c r="O301">
        <v>0</v>
      </c>
      <c r="P301">
        <v>1.7758965000000001E-3</v>
      </c>
      <c r="Q301" t="s">
        <v>42</v>
      </c>
      <c r="R301" t="s">
        <v>23</v>
      </c>
      <c r="S301" s="131">
        <v>41164</v>
      </c>
      <c r="T301" s="6">
        <f>DataTable[HLD_MaturityDate] - DataTable[SEC_Issue_Date]</f>
        <v>3032</v>
      </c>
      <c r="U301" s="131" t="str">
        <f>DataTable[HLD_Portfolio]&amp;DataTable[HLD_Date]</f>
        <v>SCBTMFPLUS43397</v>
      </c>
      <c r="V301" t="str">
        <f>DataTable[[#This Row],[RefRng]]&amp;DataTable[[#This Row],[HLD_SecCode]]</f>
        <v>SCBTMFPLUS43397INVSUOBTtmfplus</v>
      </c>
    </row>
    <row r="302" spans="1:22" x14ac:dyDescent="0.2">
      <c r="A302" s="131">
        <v>43397</v>
      </c>
      <c r="B302" t="s">
        <v>132</v>
      </c>
      <c r="C302" t="s">
        <v>18</v>
      </c>
      <c r="D302" t="s">
        <v>81</v>
      </c>
      <c r="F302" t="s">
        <v>82</v>
      </c>
      <c r="G302" t="s">
        <v>83</v>
      </c>
      <c r="H302" t="s">
        <v>29</v>
      </c>
      <c r="I302" s="131">
        <v>43418</v>
      </c>
      <c r="J302" s="6">
        <v>67954572.599999994</v>
      </c>
      <c r="L302">
        <v>67954572.599999994</v>
      </c>
      <c r="M302">
        <v>5.4757E-2</v>
      </c>
      <c r="N302">
        <v>68000000</v>
      </c>
      <c r="O302">
        <v>1.22</v>
      </c>
      <c r="P302">
        <v>5.7566974999999996E-3</v>
      </c>
      <c r="Q302" t="s">
        <v>42</v>
      </c>
      <c r="R302" t="s">
        <v>23</v>
      </c>
      <c r="S302" s="131">
        <v>43054</v>
      </c>
      <c r="T302" s="6">
        <f>DataTable[HLD_MaturityDate] - DataTable[SEC_Issue_Date]</f>
        <v>364</v>
      </c>
      <c r="U302" s="131" t="str">
        <f>DataTable[HLD_Portfolio]&amp;DataTable[HLD_Date]</f>
        <v>SCBTMFPLUS43397</v>
      </c>
      <c r="V302" t="str">
        <f>DataTable[[#This Row],[RefRng]]&amp;DataTable[[#This Row],[HLD_SecCode]]</f>
        <v>SCBTMFPLUS43397TB18N14A</v>
      </c>
    </row>
    <row r="303" spans="1:22" x14ac:dyDescent="0.2">
      <c r="A303" s="131">
        <v>43397</v>
      </c>
      <c r="B303" t="s">
        <v>132</v>
      </c>
      <c r="C303" t="s">
        <v>18</v>
      </c>
      <c r="D303" t="s">
        <v>85</v>
      </c>
      <c r="F303" t="s">
        <v>299</v>
      </c>
      <c r="G303" t="s">
        <v>87</v>
      </c>
      <c r="I303" s="131">
        <v>43440</v>
      </c>
      <c r="J303" s="6">
        <v>49924743.5</v>
      </c>
      <c r="L303">
        <v>49924743.5</v>
      </c>
      <c r="M303">
        <v>0.114866</v>
      </c>
      <c r="N303">
        <v>50000000</v>
      </c>
      <c r="O303">
        <v>1.31</v>
      </c>
      <c r="P303">
        <v>4.2293202E-3</v>
      </c>
      <c r="Q303" t="s">
        <v>42</v>
      </c>
      <c r="R303" t="s">
        <v>23</v>
      </c>
      <c r="S303" s="131">
        <v>43076</v>
      </c>
      <c r="T303" s="6">
        <f>DataTable[HLD_MaturityDate] - DataTable[SEC_Issue_Date]</f>
        <v>364</v>
      </c>
      <c r="U303" s="131" t="str">
        <f>DataTable[HLD_Portfolio]&amp;DataTable[HLD_Date]</f>
        <v>SCBTMFPLUS43397</v>
      </c>
      <c r="V303" t="str">
        <f>DataTable[[#This Row],[RefRng]]&amp;DataTable[[#This Row],[HLD_SecCode]]</f>
        <v>SCBTMFPLUS43397CB18D06A</v>
      </c>
    </row>
    <row r="304" spans="1:22" x14ac:dyDescent="0.2">
      <c r="A304" s="131">
        <v>43397</v>
      </c>
      <c r="B304" t="s">
        <v>132</v>
      </c>
      <c r="C304" t="s">
        <v>18</v>
      </c>
      <c r="D304" t="s">
        <v>85</v>
      </c>
      <c r="F304" t="s">
        <v>86</v>
      </c>
      <c r="G304" t="s">
        <v>87</v>
      </c>
      <c r="I304" s="131">
        <v>43440</v>
      </c>
      <c r="J304" s="6">
        <v>998506340</v>
      </c>
      <c r="L304">
        <v>998457460</v>
      </c>
      <c r="M304">
        <v>0.114895</v>
      </c>
      <c r="N304">
        <v>1000000000</v>
      </c>
      <c r="O304">
        <v>1.3426119999999999</v>
      </c>
      <c r="P304">
        <v>8.4587375500000006E-2</v>
      </c>
      <c r="Q304" t="s">
        <v>42</v>
      </c>
      <c r="R304" t="s">
        <v>23</v>
      </c>
      <c r="S304" s="131">
        <v>43349</v>
      </c>
      <c r="T304" s="6">
        <f>DataTable[HLD_MaturityDate] - DataTable[SEC_Issue_Date]</f>
        <v>91</v>
      </c>
      <c r="U304" s="131" t="str">
        <f>DataTable[HLD_Portfolio]&amp;DataTable[HLD_Date]</f>
        <v>SCBTMFPLUS43397</v>
      </c>
      <c r="V304" t="str">
        <f>DataTable[[#This Row],[RefRng]]&amp;DataTable[[#This Row],[HLD_SecCode]]</f>
        <v>SCBTMFPLUS43397CB18D06C</v>
      </c>
    </row>
    <row r="305" spans="1:22" x14ac:dyDescent="0.2">
      <c r="A305" s="131">
        <v>43397</v>
      </c>
      <c r="B305" t="s">
        <v>132</v>
      </c>
      <c r="C305" t="s">
        <v>18</v>
      </c>
      <c r="D305" t="s">
        <v>85</v>
      </c>
      <c r="F305" t="s">
        <v>88</v>
      </c>
      <c r="G305" t="s">
        <v>87</v>
      </c>
      <c r="I305" s="131">
        <v>43447</v>
      </c>
      <c r="J305" s="6">
        <v>958476643.20000005</v>
      </c>
      <c r="L305">
        <v>958464672</v>
      </c>
      <c r="M305">
        <v>0.13397899999999999</v>
      </c>
      <c r="N305">
        <v>960000000</v>
      </c>
      <c r="O305">
        <v>1.193222</v>
      </c>
      <c r="P305">
        <v>8.1196303400000003E-2</v>
      </c>
      <c r="Q305" t="s">
        <v>42</v>
      </c>
      <c r="R305" t="s">
        <v>23</v>
      </c>
      <c r="S305" s="131">
        <v>43356</v>
      </c>
      <c r="T305" s="6">
        <f>DataTable[HLD_MaturityDate] - DataTable[SEC_Issue_Date]</f>
        <v>91</v>
      </c>
      <c r="U305" s="131" t="str">
        <f>DataTable[HLD_Portfolio]&amp;DataTable[HLD_Date]</f>
        <v>SCBTMFPLUS43397</v>
      </c>
      <c r="V305" t="str">
        <f>DataTable[[#This Row],[RefRng]]&amp;DataTable[[#This Row],[HLD_SecCode]]</f>
        <v>SCBTMFPLUS43397CB18D13B</v>
      </c>
    </row>
    <row r="306" spans="1:22" x14ac:dyDescent="0.2">
      <c r="A306" s="131">
        <v>43397</v>
      </c>
      <c r="B306" t="s">
        <v>132</v>
      </c>
      <c r="C306" t="s">
        <v>18</v>
      </c>
      <c r="D306" t="s">
        <v>85</v>
      </c>
      <c r="F306" t="s">
        <v>89</v>
      </c>
      <c r="G306" t="s">
        <v>87</v>
      </c>
      <c r="I306" s="131">
        <v>43454</v>
      </c>
      <c r="J306" s="6">
        <v>598846932</v>
      </c>
      <c r="L306">
        <v>598735092</v>
      </c>
      <c r="M306">
        <v>0.153085</v>
      </c>
      <c r="N306">
        <v>600000000</v>
      </c>
      <c r="O306">
        <v>1.3769830000000001</v>
      </c>
      <c r="P306">
        <v>5.0730664699999997E-2</v>
      </c>
      <c r="Q306" t="s">
        <v>42</v>
      </c>
      <c r="R306" t="s">
        <v>23</v>
      </c>
      <c r="S306" s="131">
        <v>43363</v>
      </c>
      <c r="T306" s="6">
        <f>DataTable[HLD_MaturityDate] - DataTable[SEC_Issue_Date]</f>
        <v>91</v>
      </c>
      <c r="U306" s="131" t="str">
        <f>DataTable[HLD_Portfolio]&amp;DataTable[HLD_Date]</f>
        <v>SCBTMFPLUS43397</v>
      </c>
      <c r="V306" t="str">
        <f>DataTable[[#This Row],[RefRng]]&amp;DataTable[[#This Row],[HLD_SecCode]]</f>
        <v>SCBTMFPLUS43397CB18D20B</v>
      </c>
    </row>
    <row r="307" spans="1:22" x14ac:dyDescent="0.2">
      <c r="A307" s="131">
        <v>43397</v>
      </c>
      <c r="B307" t="s">
        <v>132</v>
      </c>
      <c r="C307" t="s">
        <v>18</v>
      </c>
      <c r="D307" t="s">
        <v>85</v>
      </c>
      <c r="F307" t="s">
        <v>197</v>
      </c>
      <c r="G307" t="s">
        <v>87</v>
      </c>
      <c r="I307" s="131">
        <v>43461</v>
      </c>
      <c r="J307" s="6">
        <v>847980179</v>
      </c>
      <c r="L307">
        <v>847876266.5</v>
      </c>
      <c r="M307">
        <v>0.172151</v>
      </c>
      <c r="N307">
        <v>850000000</v>
      </c>
      <c r="O307">
        <v>1.451176</v>
      </c>
      <c r="P307">
        <v>7.18357159E-2</v>
      </c>
      <c r="Q307" t="s">
        <v>42</v>
      </c>
      <c r="R307" t="s">
        <v>23</v>
      </c>
      <c r="S307" s="131">
        <v>43370</v>
      </c>
      <c r="T307" s="6">
        <f>DataTable[HLD_MaturityDate] - DataTable[SEC_Issue_Date]</f>
        <v>91</v>
      </c>
      <c r="U307" s="131" t="str">
        <f>DataTable[HLD_Portfolio]&amp;DataTable[HLD_Date]</f>
        <v>SCBTMFPLUS43397</v>
      </c>
      <c r="V307" t="str">
        <f>DataTable[[#This Row],[RefRng]]&amp;DataTable[[#This Row],[HLD_SecCode]]</f>
        <v>SCBTMFPLUS43397CB18D27B</v>
      </c>
    </row>
    <row r="308" spans="1:22" x14ac:dyDescent="0.2">
      <c r="A308" s="131">
        <v>43397</v>
      </c>
      <c r="B308" t="s">
        <v>132</v>
      </c>
      <c r="C308" t="s">
        <v>18</v>
      </c>
      <c r="D308" t="s">
        <v>85</v>
      </c>
      <c r="F308" t="s">
        <v>198</v>
      </c>
      <c r="G308" t="s">
        <v>87</v>
      </c>
      <c r="I308" s="131">
        <v>43405</v>
      </c>
      <c r="J308" s="6">
        <v>245942123.58000001</v>
      </c>
      <c r="L308">
        <v>245942123.58000001</v>
      </c>
      <c r="M308">
        <v>1.9174E-2</v>
      </c>
      <c r="N308">
        <v>246000000</v>
      </c>
      <c r="O308">
        <v>1.227033</v>
      </c>
      <c r="P308">
        <v>2.0834718700000001E-2</v>
      </c>
      <c r="Q308" t="s">
        <v>42</v>
      </c>
      <c r="R308" t="s">
        <v>23</v>
      </c>
      <c r="S308" s="131">
        <v>43223</v>
      </c>
      <c r="T308" s="6">
        <f>DataTable[HLD_MaturityDate] - DataTable[SEC_Issue_Date]</f>
        <v>182</v>
      </c>
      <c r="U308" s="131" t="str">
        <f>DataTable[HLD_Portfolio]&amp;DataTable[HLD_Date]</f>
        <v>SCBTMFPLUS43397</v>
      </c>
      <c r="V308" t="str">
        <f>DataTable[[#This Row],[RefRng]]&amp;DataTable[[#This Row],[HLD_SecCode]]</f>
        <v>SCBTMFPLUS43397CB18N01A</v>
      </c>
    </row>
    <row r="309" spans="1:22" x14ac:dyDescent="0.2">
      <c r="A309" s="131">
        <v>43397</v>
      </c>
      <c r="B309" t="s">
        <v>132</v>
      </c>
      <c r="C309" t="s">
        <v>18</v>
      </c>
      <c r="D309" t="s">
        <v>85</v>
      </c>
      <c r="F309" t="s">
        <v>90</v>
      </c>
      <c r="G309" t="s">
        <v>87</v>
      </c>
      <c r="I309" s="131">
        <v>43405</v>
      </c>
      <c r="J309" s="6">
        <v>1139724507.5999999</v>
      </c>
      <c r="L309">
        <v>1139723208</v>
      </c>
      <c r="M309">
        <v>1.9174E-2</v>
      </c>
      <c r="N309">
        <v>1140000000</v>
      </c>
      <c r="O309">
        <v>1.266359</v>
      </c>
      <c r="P309">
        <v>9.6550518500000002E-2</v>
      </c>
      <c r="Q309" t="s">
        <v>42</v>
      </c>
      <c r="R309" t="s">
        <v>23</v>
      </c>
      <c r="S309" s="131">
        <v>43314</v>
      </c>
      <c r="T309" s="6">
        <f>DataTable[HLD_MaturityDate] - DataTable[SEC_Issue_Date]</f>
        <v>91</v>
      </c>
      <c r="U309" s="131" t="str">
        <f>DataTable[HLD_Portfolio]&amp;DataTable[HLD_Date]</f>
        <v>SCBTMFPLUS43397</v>
      </c>
      <c r="V309" t="str">
        <f>DataTable[[#This Row],[RefRng]]&amp;DataTable[[#This Row],[HLD_SecCode]]</f>
        <v>SCBTMFPLUS43397CB18N01B</v>
      </c>
    </row>
    <row r="310" spans="1:22" x14ac:dyDescent="0.2">
      <c r="A310" s="131">
        <v>43397</v>
      </c>
      <c r="B310" t="s">
        <v>132</v>
      </c>
      <c r="C310" t="s">
        <v>18</v>
      </c>
      <c r="D310" t="s">
        <v>85</v>
      </c>
      <c r="F310" t="s">
        <v>1251</v>
      </c>
      <c r="G310" t="s">
        <v>87</v>
      </c>
      <c r="I310" s="131">
        <v>43410</v>
      </c>
      <c r="J310" s="6">
        <v>969614948.79999995</v>
      </c>
      <c r="L310">
        <v>969614948.79999995</v>
      </c>
      <c r="M310">
        <v>3.2863999999999997E-2</v>
      </c>
      <c r="N310">
        <v>970000000</v>
      </c>
      <c r="O310">
        <v>1.2079139999999999</v>
      </c>
      <c r="P310">
        <v>8.2139872799999999E-2</v>
      </c>
      <c r="Q310" t="s">
        <v>42</v>
      </c>
      <c r="R310" t="s">
        <v>23</v>
      </c>
      <c r="S310" s="131">
        <v>43397</v>
      </c>
      <c r="T310" s="6">
        <f>DataTable[HLD_MaturityDate] - DataTable[SEC_Issue_Date]</f>
        <v>13</v>
      </c>
      <c r="U310" s="131" t="str">
        <f>DataTable[HLD_Portfolio]&amp;DataTable[HLD_Date]</f>
        <v>SCBTMFPLUS43397</v>
      </c>
      <c r="V310" t="str">
        <f>DataTable[[#This Row],[RefRng]]&amp;DataTable[[#This Row],[HLD_SecCode]]</f>
        <v>SCBTMFPLUS43397CB18N06A</v>
      </c>
    </row>
    <row r="311" spans="1:22" x14ac:dyDescent="0.2">
      <c r="A311" s="131">
        <v>43397</v>
      </c>
      <c r="B311" t="s">
        <v>132</v>
      </c>
      <c r="C311" t="s">
        <v>18</v>
      </c>
      <c r="D311" t="s">
        <v>85</v>
      </c>
      <c r="F311" t="s">
        <v>91</v>
      </c>
      <c r="G311" t="s">
        <v>87</v>
      </c>
      <c r="I311" s="131">
        <v>43412</v>
      </c>
      <c r="J311" s="6">
        <v>138934144.58000001</v>
      </c>
      <c r="L311">
        <v>138934144.58000001</v>
      </c>
      <c r="M311">
        <v>3.8337999999999997E-2</v>
      </c>
      <c r="N311">
        <v>139000000</v>
      </c>
      <c r="O311">
        <v>1.2357910000000001</v>
      </c>
      <c r="P311">
        <v>1.1769654500000001E-2</v>
      </c>
      <c r="Q311" t="s">
        <v>42</v>
      </c>
      <c r="R311" t="s">
        <v>23</v>
      </c>
      <c r="S311" s="131">
        <v>43230</v>
      </c>
      <c r="T311" s="6">
        <f>DataTable[HLD_MaturityDate] - DataTable[SEC_Issue_Date]</f>
        <v>182</v>
      </c>
      <c r="U311" s="131" t="str">
        <f>DataTable[HLD_Portfolio]&amp;DataTable[HLD_Date]</f>
        <v>SCBTMFPLUS43397</v>
      </c>
      <c r="V311" t="str">
        <f>DataTable[[#This Row],[RefRng]]&amp;DataTable[[#This Row],[HLD_SecCode]]</f>
        <v>SCBTMFPLUS43397CB18N08A</v>
      </c>
    </row>
    <row r="312" spans="1:22" x14ac:dyDescent="0.2">
      <c r="A312" s="131">
        <v>43397</v>
      </c>
      <c r="B312" t="s">
        <v>132</v>
      </c>
      <c r="C312" t="s">
        <v>18</v>
      </c>
      <c r="D312" t="s">
        <v>85</v>
      </c>
      <c r="F312" t="s">
        <v>92</v>
      </c>
      <c r="G312" t="s">
        <v>87</v>
      </c>
      <c r="I312" s="131">
        <v>43412</v>
      </c>
      <c r="J312" s="6">
        <v>671696739.84000003</v>
      </c>
      <c r="L312">
        <v>671696410.55999994</v>
      </c>
      <c r="M312">
        <v>3.8337999999999997E-2</v>
      </c>
      <c r="N312">
        <v>672000000</v>
      </c>
      <c r="O312">
        <v>1.1783650000000001</v>
      </c>
      <c r="P312">
        <v>5.6902056700000002E-2</v>
      </c>
      <c r="Q312" t="s">
        <v>42</v>
      </c>
      <c r="R312" t="s">
        <v>23</v>
      </c>
      <c r="S312" s="131">
        <v>43321</v>
      </c>
      <c r="T312" s="6">
        <f>DataTable[HLD_MaturityDate] - DataTable[SEC_Issue_Date]</f>
        <v>91</v>
      </c>
      <c r="U312" s="131" t="str">
        <f>DataTable[HLD_Portfolio]&amp;DataTable[HLD_Date]</f>
        <v>SCBTMFPLUS43397</v>
      </c>
      <c r="V312" t="str">
        <f>DataTable[[#This Row],[RefRng]]&amp;DataTable[[#This Row],[HLD_SecCode]]</f>
        <v>SCBTMFPLUS43397CB18N08B</v>
      </c>
    </row>
    <row r="313" spans="1:22" x14ac:dyDescent="0.2">
      <c r="A313" s="131">
        <v>43397</v>
      </c>
      <c r="B313" t="s">
        <v>132</v>
      </c>
      <c r="C313" t="s">
        <v>18</v>
      </c>
      <c r="D313" t="s">
        <v>85</v>
      </c>
      <c r="F313" t="s">
        <v>93</v>
      </c>
      <c r="G313" t="s">
        <v>87</v>
      </c>
      <c r="I313" s="131">
        <v>43419</v>
      </c>
      <c r="J313" s="6">
        <v>30979057.329999998</v>
      </c>
      <c r="L313">
        <v>30979057.329999998</v>
      </c>
      <c r="M313">
        <v>5.7493000000000002E-2</v>
      </c>
      <c r="N313">
        <v>31000000</v>
      </c>
      <c r="O313">
        <v>1.175</v>
      </c>
      <c r="P313">
        <v>2.6243570999999999E-3</v>
      </c>
      <c r="Q313" t="s">
        <v>42</v>
      </c>
      <c r="R313" t="s">
        <v>23</v>
      </c>
      <c r="S313" s="131">
        <v>43237</v>
      </c>
      <c r="T313" s="6">
        <f>DataTable[HLD_MaturityDate] - DataTable[SEC_Issue_Date]</f>
        <v>182</v>
      </c>
      <c r="U313" s="131" t="str">
        <f>DataTable[HLD_Portfolio]&amp;DataTable[HLD_Date]</f>
        <v>SCBTMFPLUS43397</v>
      </c>
      <c r="V313" t="str">
        <f>DataTable[[#This Row],[RefRng]]&amp;DataTable[[#This Row],[HLD_SecCode]]</f>
        <v>SCBTMFPLUS43397CB18N15A</v>
      </c>
    </row>
    <row r="314" spans="1:22" x14ac:dyDescent="0.2">
      <c r="A314" s="131">
        <v>43397</v>
      </c>
      <c r="B314" t="s">
        <v>132</v>
      </c>
      <c r="C314" t="s">
        <v>18</v>
      </c>
      <c r="D314" t="s">
        <v>85</v>
      </c>
      <c r="F314" t="s">
        <v>94</v>
      </c>
      <c r="G314" t="s">
        <v>87</v>
      </c>
      <c r="I314" s="131">
        <v>43419</v>
      </c>
      <c r="J314" s="6">
        <v>1003292752.28</v>
      </c>
      <c r="L314">
        <v>1003292300.48</v>
      </c>
      <c r="M314">
        <v>5.7493000000000002E-2</v>
      </c>
      <c r="N314">
        <v>1004000000</v>
      </c>
      <c r="O314">
        <v>1.22601</v>
      </c>
      <c r="P314">
        <v>8.4992851199999997E-2</v>
      </c>
      <c r="Q314" t="s">
        <v>42</v>
      </c>
      <c r="R314" t="s">
        <v>23</v>
      </c>
      <c r="S314" s="131">
        <v>43328</v>
      </c>
      <c r="T314" s="6">
        <f>DataTable[HLD_MaturityDate] - DataTable[SEC_Issue_Date]</f>
        <v>91</v>
      </c>
      <c r="U314" s="131" t="str">
        <f>DataTable[HLD_Portfolio]&amp;DataTable[HLD_Date]</f>
        <v>SCBTMFPLUS43397</v>
      </c>
      <c r="V314" t="str">
        <f>DataTable[[#This Row],[RefRng]]&amp;DataTable[[#This Row],[HLD_SecCode]]</f>
        <v>SCBTMFPLUS43397CB18N15B</v>
      </c>
    </row>
    <row r="315" spans="1:22" x14ac:dyDescent="0.2">
      <c r="A315" s="131">
        <v>43397</v>
      </c>
      <c r="B315" t="s">
        <v>132</v>
      </c>
      <c r="C315" t="s">
        <v>18</v>
      </c>
      <c r="D315" t="s">
        <v>85</v>
      </c>
      <c r="F315" t="s">
        <v>96</v>
      </c>
      <c r="G315" t="s">
        <v>87</v>
      </c>
      <c r="I315" s="131">
        <v>43426</v>
      </c>
      <c r="J315" s="6">
        <v>338675885.49000001</v>
      </c>
      <c r="L315">
        <v>338670603.87</v>
      </c>
      <c r="M315">
        <v>7.664E-2</v>
      </c>
      <c r="N315">
        <v>339000000</v>
      </c>
      <c r="O315">
        <v>1.267868</v>
      </c>
      <c r="P315">
        <v>2.8690558200000001E-2</v>
      </c>
      <c r="Q315" t="s">
        <v>42</v>
      </c>
      <c r="R315" t="s">
        <v>23</v>
      </c>
      <c r="S315" s="131">
        <v>43335</v>
      </c>
      <c r="T315" s="6">
        <f>DataTable[HLD_MaturityDate] - DataTable[SEC_Issue_Date]</f>
        <v>91</v>
      </c>
      <c r="U315" s="131" t="str">
        <f>DataTable[HLD_Portfolio]&amp;DataTable[HLD_Date]</f>
        <v>SCBTMFPLUS43397</v>
      </c>
      <c r="V315" t="str">
        <f>DataTable[[#This Row],[RefRng]]&amp;DataTable[[#This Row],[HLD_SecCode]]</f>
        <v>SCBTMFPLUS43397CB18N22B</v>
      </c>
    </row>
    <row r="316" spans="1:22" x14ac:dyDescent="0.2">
      <c r="A316" s="131">
        <v>43397</v>
      </c>
      <c r="B316" t="s">
        <v>132</v>
      </c>
      <c r="C316" t="s">
        <v>18</v>
      </c>
      <c r="D316" t="s">
        <v>85</v>
      </c>
      <c r="F316" t="s">
        <v>97</v>
      </c>
      <c r="G316" t="s">
        <v>87</v>
      </c>
      <c r="I316" s="131">
        <v>43433</v>
      </c>
      <c r="J316" s="6">
        <v>20974256.309999999</v>
      </c>
      <c r="L316">
        <v>20974256.309999999</v>
      </c>
      <c r="M316">
        <v>9.5772999999999997E-2</v>
      </c>
      <c r="N316">
        <v>21000000</v>
      </c>
      <c r="O316">
        <v>1.28</v>
      </c>
      <c r="P316">
        <v>1.7768112E-3</v>
      </c>
      <c r="Q316" t="s">
        <v>42</v>
      </c>
      <c r="R316" t="s">
        <v>23</v>
      </c>
      <c r="S316" s="131">
        <v>43251</v>
      </c>
      <c r="T316" s="6">
        <f>DataTable[HLD_MaturityDate] - DataTable[SEC_Issue_Date]</f>
        <v>182</v>
      </c>
      <c r="U316" s="131" t="str">
        <f>DataTable[HLD_Portfolio]&amp;DataTable[HLD_Date]</f>
        <v>SCBTMFPLUS43397</v>
      </c>
      <c r="V316" t="str">
        <f>DataTable[[#This Row],[RefRng]]&amp;DataTable[[#This Row],[HLD_SecCode]]</f>
        <v>SCBTMFPLUS43397CB18N29A</v>
      </c>
    </row>
    <row r="317" spans="1:22" x14ac:dyDescent="0.2">
      <c r="A317" s="131">
        <v>43397</v>
      </c>
      <c r="B317" t="s">
        <v>132</v>
      </c>
      <c r="C317" t="s">
        <v>18</v>
      </c>
      <c r="D317" t="s">
        <v>85</v>
      </c>
      <c r="F317" t="s">
        <v>98</v>
      </c>
      <c r="G317" t="s">
        <v>87</v>
      </c>
      <c r="I317" s="131">
        <v>43433</v>
      </c>
      <c r="J317" s="6">
        <v>665240893.20000005</v>
      </c>
      <c r="L317">
        <v>665207872.91999996</v>
      </c>
      <c r="M317">
        <v>9.5771999999999996E-2</v>
      </c>
      <c r="N317">
        <v>666000000</v>
      </c>
      <c r="O317">
        <v>1.241832</v>
      </c>
      <c r="P317">
        <v>5.6355156699999999E-2</v>
      </c>
      <c r="Q317" t="s">
        <v>42</v>
      </c>
      <c r="R317" t="s">
        <v>23</v>
      </c>
      <c r="S317" s="131">
        <v>43342</v>
      </c>
      <c r="T317" s="6">
        <f>DataTable[HLD_MaturityDate] - DataTable[SEC_Issue_Date]</f>
        <v>91</v>
      </c>
      <c r="U317" s="131" t="str">
        <f>DataTable[HLD_Portfolio]&amp;DataTable[HLD_Date]</f>
        <v>SCBTMFPLUS43397</v>
      </c>
      <c r="V317" t="str">
        <f>DataTable[[#This Row],[RefRng]]&amp;DataTable[[#This Row],[HLD_SecCode]]</f>
        <v>SCBTMFPLUS43397CB18N29B</v>
      </c>
    </row>
    <row r="318" spans="1:22" x14ac:dyDescent="0.2">
      <c r="A318" s="131">
        <v>43397</v>
      </c>
      <c r="B318" t="s">
        <v>132</v>
      </c>
      <c r="C318" t="s">
        <v>18</v>
      </c>
      <c r="D318" t="s">
        <v>85</v>
      </c>
      <c r="F318" t="s">
        <v>99</v>
      </c>
      <c r="G318" t="s">
        <v>87</v>
      </c>
      <c r="I318" s="131">
        <v>43398</v>
      </c>
      <c r="J318" s="6">
        <v>265000000</v>
      </c>
      <c r="L318">
        <v>265000000</v>
      </c>
      <c r="M318">
        <v>2.7399999999999998E-3</v>
      </c>
      <c r="N318">
        <v>265000000</v>
      </c>
      <c r="O318">
        <v>1.2160530000000001</v>
      </c>
      <c r="P318">
        <v>2.2449185999999999E-2</v>
      </c>
      <c r="Q318" t="s">
        <v>42</v>
      </c>
      <c r="R318" t="s">
        <v>23</v>
      </c>
      <c r="S318" s="131">
        <v>43216</v>
      </c>
      <c r="T318" s="6">
        <f>DataTable[HLD_MaturityDate] - DataTable[SEC_Issue_Date]</f>
        <v>182</v>
      </c>
      <c r="U318" s="131" t="str">
        <f>DataTable[HLD_Portfolio]&amp;DataTable[HLD_Date]</f>
        <v>SCBTMFPLUS43397</v>
      </c>
      <c r="V318" t="str">
        <f>DataTable[[#This Row],[RefRng]]&amp;DataTable[[#This Row],[HLD_SecCode]]</f>
        <v>SCBTMFPLUS43397CB18O25A</v>
      </c>
    </row>
    <row r="319" spans="1:22" x14ac:dyDescent="0.2">
      <c r="A319" s="131">
        <v>43397</v>
      </c>
      <c r="B319" t="s">
        <v>132</v>
      </c>
      <c r="C319" t="s">
        <v>18</v>
      </c>
      <c r="D319" t="s">
        <v>85</v>
      </c>
      <c r="F319" t="s">
        <v>100</v>
      </c>
      <c r="G319" t="s">
        <v>87</v>
      </c>
      <c r="I319" s="131">
        <v>43398</v>
      </c>
      <c r="J319" s="6">
        <v>5000000</v>
      </c>
      <c r="L319">
        <v>5000000</v>
      </c>
      <c r="M319">
        <v>2.7399999999999998E-3</v>
      </c>
      <c r="N319">
        <v>5000000</v>
      </c>
      <c r="O319">
        <v>1.222683</v>
      </c>
      <c r="P319">
        <v>4.235695E-4</v>
      </c>
      <c r="Q319" t="s">
        <v>42</v>
      </c>
      <c r="R319" t="s">
        <v>23</v>
      </c>
      <c r="S319" s="131">
        <v>43307</v>
      </c>
      <c r="T319" s="6">
        <f>DataTable[HLD_MaturityDate] - DataTable[SEC_Issue_Date]</f>
        <v>91</v>
      </c>
      <c r="U319" s="131" t="str">
        <f>DataTable[HLD_Portfolio]&amp;DataTable[HLD_Date]</f>
        <v>SCBTMFPLUS43397</v>
      </c>
      <c r="V319" t="str">
        <f>DataTable[[#This Row],[RefRng]]&amp;DataTable[[#This Row],[HLD_SecCode]]</f>
        <v>SCBTMFPLUS43397CB18O25B</v>
      </c>
    </row>
    <row r="320" spans="1:22" x14ac:dyDescent="0.2">
      <c r="A320" s="131">
        <v>43397</v>
      </c>
      <c r="B320" t="s">
        <v>132</v>
      </c>
      <c r="C320" t="s">
        <v>18</v>
      </c>
      <c r="D320" t="s">
        <v>85</v>
      </c>
      <c r="F320" t="s">
        <v>864</v>
      </c>
      <c r="G320" t="s">
        <v>87</v>
      </c>
      <c r="I320" s="131">
        <v>43403</v>
      </c>
      <c r="J320" s="6">
        <v>88985297.200000003</v>
      </c>
      <c r="L320">
        <v>88985297.200000003</v>
      </c>
      <c r="M320">
        <v>1.3696E-2</v>
      </c>
      <c r="N320">
        <v>89000000</v>
      </c>
      <c r="O320">
        <v>1.2061470000000001</v>
      </c>
      <c r="P320">
        <v>7.5382924000000004E-3</v>
      </c>
      <c r="Q320" t="s">
        <v>42</v>
      </c>
      <c r="R320" t="s">
        <v>23</v>
      </c>
      <c r="S320" s="131">
        <v>43389</v>
      </c>
      <c r="T320" s="6">
        <f>DataTable[HLD_MaturityDate] - DataTable[SEC_Issue_Date]</f>
        <v>14</v>
      </c>
      <c r="U320" s="131" t="str">
        <f>DataTable[HLD_Portfolio]&amp;DataTable[HLD_Date]</f>
        <v>SCBTMFPLUS43397</v>
      </c>
      <c r="V320" t="str">
        <f>DataTable[[#This Row],[RefRng]]&amp;DataTable[[#This Row],[HLD_SecCode]]</f>
        <v>SCBTMFPLUS43397CB18O30A</v>
      </c>
    </row>
    <row r="321" spans="1:22" x14ac:dyDescent="0.2">
      <c r="A321" s="131">
        <v>43397</v>
      </c>
      <c r="B321" t="s">
        <v>132</v>
      </c>
      <c r="C321" t="s">
        <v>18</v>
      </c>
      <c r="D321" t="s">
        <v>85</v>
      </c>
      <c r="F321" t="s">
        <v>199</v>
      </c>
      <c r="G321" t="s">
        <v>87</v>
      </c>
      <c r="I321" s="131">
        <v>43468</v>
      </c>
      <c r="J321" s="6">
        <v>12962710.02</v>
      </c>
      <c r="L321">
        <v>12962710.02</v>
      </c>
      <c r="M321">
        <v>0.191223</v>
      </c>
      <c r="N321">
        <v>13000000</v>
      </c>
      <c r="O321">
        <v>1.5</v>
      </c>
      <c r="P321">
        <v>1.0981217999999999E-3</v>
      </c>
      <c r="Q321" t="s">
        <v>42</v>
      </c>
      <c r="R321" t="s">
        <v>23</v>
      </c>
      <c r="S321" s="131">
        <v>43286</v>
      </c>
      <c r="T321" s="6">
        <f>DataTable[HLD_MaturityDate] - DataTable[SEC_Issue_Date]</f>
        <v>182</v>
      </c>
      <c r="U321" s="131" t="str">
        <f>DataTable[HLD_Portfolio]&amp;DataTable[HLD_Date]</f>
        <v>SCBTMFPLUS43397</v>
      </c>
      <c r="V321" t="str">
        <f>DataTable[[#This Row],[RefRng]]&amp;DataTable[[#This Row],[HLD_SecCode]]</f>
        <v>SCBTMFPLUS43397CB19103A</v>
      </c>
    </row>
    <row r="322" spans="1:22" x14ac:dyDescent="0.2">
      <c r="A322" s="131">
        <v>43397</v>
      </c>
      <c r="B322" t="s">
        <v>132</v>
      </c>
      <c r="C322" t="s">
        <v>18</v>
      </c>
      <c r="D322" t="s">
        <v>85</v>
      </c>
      <c r="F322" t="s">
        <v>101</v>
      </c>
      <c r="G322" t="s">
        <v>87</v>
      </c>
      <c r="I322" s="131">
        <v>43468</v>
      </c>
      <c r="J322" s="6">
        <v>448734937.5</v>
      </c>
      <c r="L322">
        <v>448717198.5</v>
      </c>
      <c r="M322">
        <v>0.19125400000000001</v>
      </c>
      <c r="N322">
        <v>450000000</v>
      </c>
      <c r="O322">
        <v>1.490669</v>
      </c>
      <c r="P322">
        <v>3.8014090799999997E-2</v>
      </c>
      <c r="Q322" t="s">
        <v>42</v>
      </c>
      <c r="R322" t="s">
        <v>23</v>
      </c>
      <c r="S322" s="131">
        <v>43377</v>
      </c>
      <c r="T322" s="6">
        <f>DataTable[HLD_MaturityDate] - DataTable[SEC_Issue_Date]</f>
        <v>91</v>
      </c>
      <c r="U322" s="131" t="str">
        <f>DataTable[HLD_Portfolio]&amp;DataTable[HLD_Date]</f>
        <v>SCBTMFPLUS43397</v>
      </c>
      <c r="V322" t="str">
        <f>DataTable[[#This Row],[RefRng]]&amp;DataTable[[#This Row],[HLD_SecCode]]</f>
        <v>SCBTMFPLUS43397CB19103B</v>
      </c>
    </row>
    <row r="323" spans="1:22" x14ac:dyDescent="0.2">
      <c r="A323" s="131">
        <v>43397</v>
      </c>
      <c r="B323" t="s">
        <v>132</v>
      </c>
      <c r="C323" t="s">
        <v>18</v>
      </c>
      <c r="D323" t="s">
        <v>85</v>
      </c>
      <c r="F323" t="s">
        <v>836</v>
      </c>
      <c r="G323" t="s">
        <v>87</v>
      </c>
      <c r="I323" s="131">
        <v>43475</v>
      </c>
      <c r="J323" s="6">
        <v>847247487.5</v>
      </c>
      <c r="L323">
        <v>847221579.5</v>
      </c>
      <c r="M323">
        <v>0.21030699999999999</v>
      </c>
      <c r="N323">
        <v>850000000</v>
      </c>
      <c r="O323">
        <v>1.554543</v>
      </c>
      <c r="P323">
        <v>7.1773646799999993E-2</v>
      </c>
      <c r="Q323" t="s">
        <v>42</v>
      </c>
      <c r="R323" t="s">
        <v>23</v>
      </c>
      <c r="S323" s="131">
        <v>43384</v>
      </c>
      <c r="T323" s="6">
        <f>DataTable[HLD_MaturityDate] - DataTable[SEC_Issue_Date]</f>
        <v>91</v>
      </c>
      <c r="U323" s="131" t="str">
        <f>DataTable[HLD_Portfolio]&amp;DataTable[HLD_Date]</f>
        <v>SCBTMFPLUS43397</v>
      </c>
      <c r="V323" t="str">
        <f>DataTable[[#This Row],[RefRng]]&amp;DataTable[[#This Row],[HLD_SecCode]]</f>
        <v>SCBTMFPLUS43397CB19110B</v>
      </c>
    </row>
    <row r="324" spans="1:22" x14ac:dyDescent="0.2">
      <c r="A324" s="131">
        <v>43397</v>
      </c>
      <c r="B324" t="s">
        <v>132</v>
      </c>
      <c r="C324" t="s">
        <v>18</v>
      </c>
      <c r="D324" t="s">
        <v>85</v>
      </c>
      <c r="F324" t="s">
        <v>1215</v>
      </c>
      <c r="G324" t="s">
        <v>87</v>
      </c>
      <c r="I324" s="131">
        <v>43482</v>
      </c>
      <c r="J324" s="6">
        <v>448426336.5</v>
      </c>
      <c r="L324">
        <v>448382956.5</v>
      </c>
      <c r="M324">
        <v>0.22931000000000001</v>
      </c>
      <c r="N324">
        <v>450000000</v>
      </c>
      <c r="O324">
        <v>1.5670599999999999</v>
      </c>
      <c r="P324">
        <v>3.7987948000000001E-2</v>
      </c>
      <c r="Q324" t="s">
        <v>42</v>
      </c>
      <c r="R324" t="s">
        <v>23</v>
      </c>
      <c r="S324" s="131">
        <v>43391</v>
      </c>
      <c r="T324" s="6">
        <f>DataTable[HLD_MaturityDate] - DataTable[SEC_Issue_Date]</f>
        <v>91</v>
      </c>
      <c r="U324" s="131" t="str">
        <f>DataTable[HLD_Portfolio]&amp;DataTable[HLD_Date]</f>
        <v>SCBTMFPLUS43397</v>
      </c>
      <c r="V324" t="str">
        <f>DataTable[[#This Row],[RefRng]]&amp;DataTable[[#This Row],[HLD_SecCode]]</f>
        <v>SCBTMFPLUS43397CB19117B</v>
      </c>
    </row>
    <row r="325" spans="1:22" x14ac:dyDescent="0.2">
      <c r="A325" s="131">
        <v>43397</v>
      </c>
      <c r="B325" t="s">
        <v>132</v>
      </c>
      <c r="C325" t="s">
        <v>18</v>
      </c>
      <c r="D325" t="s">
        <v>85</v>
      </c>
      <c r="F325" t="s">
        <v>1262</v>
      </c>
      <c r="G325" t="s">
        <v>87</v>
      </c>
      <c r="I325" s="131">
        <v>43489</v>
      </c>
      <c r="J325" s="6">
        <v>249027209.74000001</v>
      </c>
      <c r="L325">
        <v>249027209.74000001</v>
      </c>
      <c r="M325">
        <v>0.25205499999999997</v>
      </c>
      <c r="N325">
        <v>250000000</v>
      </c>
      <c r="O325">
        <v>1.5668359999999999</v>
      </c>
      <c r="P325">
        <v>2.1096068400000001E-2</v>
      </c>
      <c r="Q325" t="s">
        <v>42</v>
      </c>
      <c r="R325" t="s">
        <v>23</v>
      </c>
      <c r="S325" s="131">
        <v>43398</v>
      </c>
      <c r="T325" s="6">
        <f>DataTable[HLD_MaturityDate] - DataTable[SEC_Issue_Date]</f>
        <v>91</v>
      </c>
      <c r="U325" s="131" t="str">
        <f>DataTable[HLD_Portfolio]&amp;DataTable[HLD_Date]</f>
        <v>SCBTMFPLUS43397</v>
      </c>
      <c r="V325" t="str">
        <f>DataTable[[#This Row],[RefRng]]&amp;DataTable[[#This Row],[HLD_SecCode]]</f>
        <v>SCBTMFPLUS43397CB19124B</v>
      </c>
    </row>
    <row r="326" spans="1:22" x14ac:dyDescent="0.2">
      <c r="A326" s="131">
        <v>43397</v>
      </c>
      <c r="B326" t="s">
        <v>132</v>
      </c>
      <c r="C326" t="s">
        <v>18</v>
      </c>
      <c r="D326" t="s">
        <v>105</v>
      </c>
      <c r="F326" t="s">
        <v>300</v>
      </c>
      <c r="G326" t="s">
        <v>57</v>
      </c>
      <c r="H326" t="s">
        <v>58</v>
      </c>
      <c r="I326" s="131">
        <v>43457</v>
      </c>
      <c r="J326" s="6">
        <v>100201341</v>
      </c>
      <c r="K326">
        <v>913863</v>
      </c>
      <c r="L326">
        <v>100197979</v>
      </c>
      <c r="M326">
        <v>0.16039700000000001</v>
      </c>
      <c r="N326">
        <v>100000000</v>
      </c>
      <c r="O326">
        <v>1.43</v>
      </c>
      <c r="P326">
        <v>8.5658642000000004E-3</v>
      </c>
      <c r="Q326" t="s">
        <v>42</v>
      </c>
      <c r="R326" t="s">
        <v>23</v>
      </c>
      <c r="S326" s="131">
        <v>42178</v>
      </c>
      <c r="T326" s="6">
        <f>DataTable[HLD_MaturityDate] - DataTable[SEC_Issue_Date]</f>
        <v>1279</v>
      </c>
      <c r="U326" s="131" t="str">
        <f>DataTable[HLD_Portfolio]&amp;DataTable[HLD_Date]</f>
        <v>SCBTMFPLUS43397</v>
      </c>
      <c r="V326" t="str">
        <f>DataTable[[#This Row],[RefRng]]&amp;DataTable[[#This Row],[HLD_SecCode]]</f>
        <v>SCBTMFPLUS43397GHB18DA</v>
      </c>
    </row>
    <row r="327" spans="1:22" x14ac:dyDescent="0.2">
      <c r="A327" s="131">
        <v>43397</v>
      </c>
      <c r="B327" t="s">
        <v>132</v>
      </c>
      <c r="C327" t="s">
        <v>18</v>
      </c>
      <c r="D327" t="s">
        <v>102</v>
      </c>
      <c r="F327" t="s">
        <v>301</v>
      </c>
      <c r="G327" t="s">
        <v>21</v>
      </c>
      <c r="H327" t="s">
        <v>302</v>
      </c>
      <c r="I327" s="131">
        <v>43525</v>
      </c>
      <c r="J327" s="6">
        <v>30011982</v>
      </c>
      <c r="K327">
        <v>82553.399999999994</v>
      </c>
      <c r="L327">
        <v>30041494.199999999</v>
      </c>
      <c r="M327">
        <v>0.34490300000000002</v>
      </c>
      <c r="N327">
        <v>30000000</v>
      </c>
      <c r="O327">
        <v>1.48</v>
      </c>
      <c r="P327">
        <v>2.5494256999999999E-3</v>
      </c>
      <c r="Q327" t="s">
        <v>42</v>
      </c>
      <c r="R327" t="s">
        <v>23</v>
      </c>
      <c r="S327" s="131">
        <v>42429</v>
      </c>
      <c r="T327" s="6">
        <f>DataTable[HLD_MaturityDate] - DataTable[SEC_Issue_Date]</f>
        <v>1096</v>
      </c>
      <c r="U327" s="131" t="str">
        <f>DataTable[HLD_Portfolio]&amp;DataTable[HLD_Date]</f>
        <v>SCBTMFPLUS43397</v>
      </c>
      <c r="V327" t="str">
        <f>DataTable[[#This Row],[RefRng]]&amp;DataTable[[#This Row],[HLD_SecCode]]</f>
        <v>SCBTMFPLUS43397BAY193A</v>
      </c>
    </row>
    <row r="328" spans="1:22" x14ac:dyDescent="0.2">
      <c r="A328" s="131">
        <v>43397</v>
      </c>
      <c r="B328" t="s">
        <v>132</v>
      </c>
      <c r="C328" t="s">
        <v>18</v>
      </c>
      <c r="D328" t="s">
        <v>102</v>
      </c>
      <c r="F328" t="s">
        <v>226</v>
      </c>
      <c r="G328" t="s">
        <v>69</v>
      </c>
      <c r="H328" t="s">
        <v>47</v>
      </c>
      <c r="I328" s="131">
        <v>43433</v>
      </c>
      <c r="J328" s="6">
        <v>4001220.36</v>
      </c>
      <c r="K328">
        <v>30208.2</v>
      </c>
      <c r="L328">
        <v>4000895.88</v>
      </c>
      <c r="M328">
        <v>9.5202999999999996E-2</v>
      </c>
      <c r="N328">
        <v>4000000</v>
      </c>
      <c r="O328">
        <v>1.53</v>
      </c>
      <c r="P328">
        <v>3.415181E-4</v>
      </c>
      <c r="Q328" t="s">
        <v>42</v>
      </c>
      <c r="R328" t="s">
        <v>23</v>
      </c>
      <c r="S328" s="131">
        <v>42884</v>
      </c>
      <c r="T328" s="6">
        <f>DataTable[HLD_MaturityDate] - DataTable[SEC_Issue_Date]</f>
        <v>549</v>
      </c>
      <c r="U328" s="131" t="str">
        <f>DataTable[HLD_Portfolio]&amp;DataTable[HLD_Date]</f>
        <v>SCBTMFPLUS43397</v>
      </c>
      <c r="V328" t="str">
        <f>DataTable[[#This Row],[RefRng]]&amp;DataTable[[#This Row],[HLD_SecCode]]</f>
        <v>SCBTMFPLUS43397TISCO18NA</v>
      </c>
    </row>
    <row r="329" spans="1:22" x14ac:dyDescent="0.2">
      <c r="A329" s="131">
        <v>43397</v>
      </c>
      <c r="B329" t="s">
        <v>132</v>
      </c>
      <c r="C329" t="s">
        <v>119</v>
      </c>
      <c r="D329" t="s">
        <v>295</v>
      </c>
      <c r="E329" t="s">
        <v>1256</v>
      </c>
      <c r="F329" t="s">
        <v>90</v>
      </c>
      <c r="I329" s="131"/>
      <c r="J329" s="6">
        <v>199953216</v>
      </c>
      <c r="L329">
        <v>199953216</v>
      </c>
      <c r="O329">
        <v>0</v>
      </c>
      <c r="P329">
        <v>1.6938818599999999E-2</v>
      </c>
      <c r="Q329" t="s">
        <v>42</v>
      </c>
      <c r="R329" t="s">
        <v>23</v>
      </c>
      <c r="S329" s="131">
        <v>43314</v>
      </c>
      <c r="T329" s="6">
        <f>DataTable[HLD_MaturityDate] - DataTable[SEC_Issue_Date]</f>
        <v>-43314</v>
      </c>
      <c r="U329" s="131" t="str">
        <f>DataTable[HLD_Portfolio]&amp;DataTable[HLD_Date]</f>
        <v>SCBTMFPLUS43397</v>
      </c>
      <c r="V329" t="str">
        <f>DataTable[[#This Row],[RefRng]]&amp;DataTable[[#This Row],[HLD_SecCode]]</f>
        <v>SCBTMFPLUS43397CB18N01B</v>
      </c>
    </row>
    <row r="330" spans="1:22" x14ac:dyDescent="0.2">
      <c r="A330" s="131">
        <v>43397</v>
      </c>
      <c r="B330" t="s">
        <v>132</v>
      </c>
      <c r="C330" t="s">
        <v>120</v>
      </c>
      <c r="D330" t="s">
        <v>121</v>
      </c>
      <c r="E330" t="s">
        <v>1256</v>
      </c>
      <c r="F330" t="s">
        <v>1262</v>
      </c>
      <c r="I330" s="131"/>
      <c r="J330" s="6">
        <v>-249027209.74000001</v>
      </c>
      <c r="L330">
        <v>-249027209.74000001</v>
      </c>
      <c r="O330">
        <v>0</v>
      </c>
      <c r="P330">
        <v>-2.1096068400000001E-2</v>
      </c>
      <c r="Q330" t="s">
        <v>42</v>
      </c>
      <c r="R330" t="s">
        <v>23</v>
      </c>
      <c r="S330" s="131">
        <v>43398</v>
      </c>
      <c r="T330" s="6">
        <f>DataTable[HLD_MaturityDate] - DataTable[SEC_Issue_Date]</f>
        <v>-43398</v>
      </c>
      <c r="U330" s="131" t="str">
        <f>DataTable[HLD_Portfolio]&amp;DataTable[HLD_Date]</f>
        <v>SCBTMFPLUS43397</v>
      </c>
      <c r="V330" t="str">
        <f>DataTable[[#This Row],[RefRng]]&amp;DataTable[[#This Row],[HLD_SecCode]]</f>
        <v>SCBTMFPLUS43397CB19124B</v>
      </c>
    </row>
    <row r="331" spans="1:22" x14ac:dyDescent="0.2">
      <c r="A331" s="131">
        <v>43397</v>
      </c>
      <c r="B331" t="s">
        <v>132</v>
      </c>
      <c r="C331" t="s">
        <v>120</v>
      </c>
      <c r="D331" t="s">
        <v>122</v>
      </c>
      <c r="E331" t="s">
        <v>122</v>
      </c>
      <c r="F331" t="s">
        <v>122</v>
      </c>
      <c r="I331" s="131"/>
      <c r="J331" s="6">
        <v>-229000</v>
      </c>
      <c r="O331">
        <v>0</v>
      </c>
      <c r="P331">
        <v>-1.93995E-5</v>
      </c>
      <c r="S331" s="131"/>
      <c r="T331" s="6">
        <f>DataTable[HLD_MaturityDate] - DataTable[SEC_Issue_Date]</f>
        <v>0</v>
      </c>
      <c r="U331" s="131" t="str">
        <f>DataTable[HLD_Portfolio]&amp;DataTable[HLD_Date]</f>
        <v>SCBTMFPLUS43397</v>
      </c>
      <c r="V331" t="str">
        <f>DataTable[[#This Row],[RefRng]]&amp;DataTable[[#This Row],[HLD_SecCode]]</f>
        <v>SCBTMFPLUS43397AUDITING FEE</v>
      </c>
    </row>
    <row r="332" spans="1:22" x14ac:dyDescent="0.2">
      <c r="A332" s="131">
        <v>43397</v>
      </c>
      <c r="B332" t="s">
        <v>132</v>
      </c>
      <c r="C332" t="s">
        <v>120</v>
      </c>
      <c r="D332" t="s">
        <v>122</v>
      </c>
      <c r="E332" t="s">
        <v>122</v>
      </c>
      <c r="F332" t="s">
        <v>122</v>
      </c>
      <c r="I332" s="131"/>
      <c r="J332" s="6">
        <v>-11000</v>
      </c>
      <c r="O332">
        <v>0</v>
      </c>
      <c r="P332">
        <v>-9.3190000000000003E-7</v>
      </c>
      <c r="S332" s="131"/>
      <c r="T332" s="6">
        <f>DataTable[HLD_MaturityDate] - DataTable[SEC_Issue_Date]</f>
        <v>0</v>
      </c>
      <c r="U332" s="131" t="str">
        <f>DataTable[HLD_Portfolio]&amp;DataTable[HLD_Date]</f>
        <v>SCBTMFPLUS43397</v>
      </c>
      <c r="V332" t="str">
        <f>DataTable[[#This Row],[RefRng]]&amp;DataTable[[#This Row],[HLD_SecCode]]</f>
        <v>SCBTMFPLUS43397AUDITING FEE</v>
      </c>
    </row>
    <row r="333" spans="1:22" x14ac:dyDescent="0.2">
      <c r="A333" s="131">
        <v>43397</v>
      </c>
      <c r="B333" t="s">
        <v>132</v>
      </c>
      <c r="C333" t="s">
        <v>120</v>
      </c>
      <c r="D333" t="s">
        <v>122</v>
      </c>
      <c r="E333" t="s">
        <v>122</v>
      </c>
      <c r="F333" t="s">
        <v>122</v>
      </c>
      <c r="I333" s="131"/>
      <c r="J333" s="6">
        <v>-35506.620000000003</v>
      </c>
      <c r="O333">
        <v>0</v>
      </c>
      <c r="P333">
        <v>-3.0079E-6</v>
      </c>
      <c r="S333" s="131"/>
      <c r="T333" s="6">
        <f>DataTable[HLD_MaturityDate] - DataTable[SEC_Issue_Date]</f>
        <v>0</v>
      </c>
      <c r="U333" s="131" t="str">
        <f>DataTable[HLD_Portfolio]&amp;DataTable[HLD_Date]</f>
        <v>SCBTMFPLUS43397</v>
      </c>
      <c r="V333" t="str">
        <f>DataTable[[#This Row],[RefRng]]&amp;DataTable[[#This Row],[HLD_SecCode]]</f>
        <v>SCBTMFPLUS43397AUDITING FEE</v>
      </c>
    </row>
    <row r="334" spans="1:22" x14ac:dyDescent="0.2">
      <c r="A334" s="131">
        <v>43397</v>
      </c>
      <c r="B334" t="s">
        <v>132</v>
      </c>
      <c r="C334" t="s">
        <v>120</v>
      </c>
      <c r="D334" t="s">
        <v>123</v>
      </c>
      <c r="I334" s="131"/>
      <c r="J334" s="6">
        <v>-61485.279999999999</v>
      </c>
      <c r="K334">
        <v>0</v>
      </c>
      <c r="O334">
        <v>0</v>
      </c>
      <c r="P334">
        <v>-5.2086999999999998E-6</v>
      </c>
      <c r="S334" s="131"/>
      <c r="T334" s="6">
        <f>DataTable[HLD_MaturityDate] - DataTable[SEC_Issue_Date]</f>
        <v>0</v>
      </c>
      <c r="U334" s="131" t="str">
        <f>DataTable[HLD_Portfolio]&amp;DataTable[HLD_Date]</f>
        <v>SCBTMFPLUS43397</v>
      </c>
      <c r="V334" t="str">
        <f>DataTable[[#This Row],[RefRng]]&amp;DataTable[[#This Row],[HLD_SecCode]]</f>
        <v>SCBTMFPLUS43397</v>
      </c>
    </row>
    <row r="335" spans="1:22" x14ac:dyDescent="0.2">
      <c r="A335" s="131">
        <v>43397</v>
      </c>
      <c r="B335" t="s">
        <v>132</v>
      </c>
      <c r="C335" t="s">
        <v>120</v>
      </c>
      <c r="D335" t="s">
        <v>125</v>
      </c>
      <c r="E335" t="s">
        <v>125</v>
      </c>
      <c r="I335" s="131"/>
      <c r="J335" s="6">
        <v>-201989.91</v>
      </c>
      <c r="L335">
        <v>-201989.91</v>
      </c>
      <c r="O335">
        <v>0</v>
      </c>
      <c r="P335">
        <v>-1.71114E-5</v>
      </c>
      <c r="S335" s="131"/>
      <c r="T335" s="6">
        <f>DataTable[HLD_MaturityDate] - DataTable[SEC_Issue_Date]</f>
        <v>0</v>
      </c>
      <c r="U335" s="131" t="str">
        <f>DataTable[HLD_Portfolio]&amp;DataTable[HLD_Date]</f>
        <v>SCBTMFPLUS43397</v>
      </c>
      <c r="V335" t="str">
        <f>DataTable[[#This Row],[RefRng]]&amp;DataTable[[#This Row],[HLD_SecCode]]</f>
        <v>SCBTMFPLUS43397</v>
      </c>
    </row>
    <row r="336" spans="1:22" x14ac:dyDescent="0.2">
      <c r="A336" s="131">
        <v>43397</v>
      </c>
      <c r="B336" t="s">
        <v>132</v>
      </c>
      <c r="C336" t="s">
        <v>120</v>
      </c>
      <c r="D336" t="s">
        <v>126</v>
      </c>
      <c r="E336" t="s">
        <v>126</v>
      </c>
      <c r="I336" s="131"/>
      <c r="J336" s="6">
        <v>-1384864.51</v>
      </c>
      <c r="L336">
        <v>-1384864.51</v>
      </c>
      <c r="O336">
        <v>0</v>
      </c>
      <c r="P336">
        <v>-1.173173E-4</v>
      </c>
      <c r="S336" s="131"/>
      <c r="T336" s="6">
        <f>DataTable[HLD_MaturityDate] - DataTable[SEC_Issue_Date]</f>
        <v>0</v>
      </c>
      <c r="U336" s="131" t="str">
        <f>DataTable[HLD_Portfolio]&amp;DataTable[HLD_Date]</f>
        <v>SCBTMFPLUS43397</v>
      </c>
      <c r="V336" t="str">
        <f>DataTable[[#This Row],[RefRng]]&amp;DataTable[[#This Row],[HLD_SecCode]]</f>
        <v>SCBTMFPLUS43397</v>
      </c>
    </row>
    <row r="337" spans="1:22" x14ac:dyDescent="0.2">
      <c r="A337" s="131">
        <v>43397</v>
      </c>
      <c r="B337" t="s">
        <v>132</v>
      </c>
      <c r="C337" t="s">
        <v>128</v>
      </c>
      <c r="D337" t="s">
        <v>125</v>
      </c>
      <c r="E337" t="s">
        <v>125</v>
      </c>
      <c r="I337" s="131"/>
      <c r="J337" s="6">
        <v>-17302.59</v>
      </c>
      <c r="L337">
        <v>-17302.59</v>
      </c>
      <c r="O337">
        <v>0</v>
      </c>
      <c r="P337">
        <v>-1.4658E-6</v>
      </c>
      <c r="S337" s="131"/>
      <c r="T337" s="6">
        <f>DataTable[HLD_MaturityDate] - DataTable[SEC_Issue_Date]</f>
        <v>0</v>
      </c>
      <c r="U337" s="131" t="str">
        <f>DataTable[HLD_Portfolio]&amp;DataTable[HLD_Date]</f>
        <v>SCBTMFPLUS43397</v>
      </c>
      <c r="V337" t="str">
        <f>DataTable[[#This Row],[RefRng]]&amp;DataTable[[#This Row],[HLD_SecCode]]</f>
        <v>SCBTMFPLUS43397</v>
      </c>
    </row>
    <row r="338" spans="1:22" x14ac:dyDescent="0.2">
      <c r="A338" s="131">
        <v>43397</v>
      </c>
      <c r="B338" t="s">
        <v>132</v>
      </c>
      <c r="C338" t="s">
        <v>128</v>
      </c>
      <c r="D338" t="s">
        <v>126</v>
      </c>
      <c r="E338" t="s">
        <v>126</v>
      </c>
      <c r="I338" s="131"/>
      <c r="J338" s="6">
        <v>-118671.95</v>
      </c>
      <c r="L338">
        <v>-118671.95</v>
      </c>
      <c r="O338">
        <v>0</v>
      </c>
      <c r="P338">
        <v>-1.0053200000000001E-5</v>
      </c>
      <c r="S338" s="131"/>
      <c r="T338" s="6">
        <f>DataTable[HLD_MaturityDate] - DataTable[SEC_Issue_Date]</f>
        <v>0</v>
      </c>
      <c r="U338" s="131" t="str">
        <f>DataTable[HLD_Portfolio]&amp;DataTable[HLD_Date]</f>
        <v>SCBTMFPLUS43397</v>
      </c>
      <c r="V338" t="str">
        <f>DataTable[[#This Row],[RefRng]]&amp;DataTable[[#This Row],[HLD_SecCode]]</f>
        <v>SCBTMFPLUS43397</v>
      </c>
    </row>
    <row r="339" spans="1:22" x14ac:dyDescent="0.2">
      <c r="A339" s="131">
        <v>43397</v>
      </c>
      <c r="B339" t="s">
        <v>337</v>
      </c>
      <c r="C339" t="s">
        <v>18</v>
      </c>
      <c r="D339" t="s">
        <v>19</v>
      </c>
      <c r="F339" t="s">
        <v>133</v>
      </c>
      <c r="G339" t="s">
        <v>134</v>
      </c>
      <c r="I339" s="131"/>
      <c r="J339" s="6">
        <v>0</v>
      </c>
      <c r="L339">
        <v>0</v>
      </c>
      <c r="M339">
        <v>0</v>
      </c>
      <c r="N339">
        <v>0</v>
      </c>
      <c r="O339">
        <v>0</v>
      </c>
      <c r="P339">
        <v>0</v>
      </c>
      <c r="Q339" t="s">
        <v>22</v>
      </c>
      <c r="R339" t="s">
        <v>135</v>
      </c>
      <c r="S339" s="131">
        <v>2</v>
      </c>
      <c r="T339" s="6">
        <f>DataTable[HLD_MaturityDate] - DataTable[SEC_Issue_Date]</f>
        <v>-2</v>
      </c>
      <c r="U339" s="131" t="str">
        <f>DataTable[HLD_Portfolio]&amp;DataTable[HLD_Date]</f>
        <v>SCBRF43397</v>
      </c>
      <c r="V339" t="str">
        <f>DataTable[[#This Row],[RefRng]]&amp;DataTable[[#This Row],[HLD_SecCode]]</f>
        <v>SCBRF43397-AED CASH-</v>
      </c>
    </row>
    <row r="340" spans="1:22" x14ac:dyDescent="0.2">
      <c r="A340" s="131">
        <v>43397</v>
      </c>
      <c r="B340" t="s">
        <v>337</v>
      </c>
      <c r="C340" t="s">
        <v>18</v>
      </c>
      <c r="D340" t="s">
        <v>19</v>
      </c>
      <c r="F340" t="s">
        <v>25</v>
      </c>
      <c r="G340" t="s">
        <v>26</v>
      </c>
      <c r="H340" t="s">
        <v>27</v>
      </c>
      <c r="I340" s="131"/>
      <c r="J340" s="6">
        <v>0</v>
      </c>
      <c r="L340">
        <v>0</v>
      </c>
      <c r="M340">
        <v>0</v>
      </c>
      <c r="N340">
        <v>0</v>
      </c>
      <c r="O340">
        <v>0</v>
      </c>
      <c r="P340">
        <v>0</v>
      </c>
      <c r="Q340" t="s">
        <v>22</v>
      </c>
      <c r="R340" t="s">
        <v>28</v>
      </c>
      <c r="S340" s="131">
        <v>2</v>
      </c>
      <c r="T340" s="6">
        <f>DataTable[HLD_MaturityDate] - DataTable[SEC_Issue_Date]</f>
        <v>-2</v>
      </c>
      <c r="U340" s="131" t="str">
        <f>DataTable[HLD_Portfolio]&amp;DataTable[HLD_Date]</f>
        <v>SCBRF43397</v>
      </c>
      <c r="V340" t="str">
        <f>DataTable[[#This Row],[RefRng]]&amp;DataTable[[#This Row],[HLD_SecCode]]</f>
        <v>SCBRF43397-CNY CASH-</v>
      </c>
    </row>
    <row r="341" spans="1:22" x14ac:dyDescent="0.2">
      <c r="A341" s="131">
        <v>43397</v>
      </c>
      <c r="B341" t="s">
        <v>337</v>
      </c>
      <c r="C341" t="s">
        <v>18</v>
      </c>
      <c r="D341" t="s">
        <v>19</v>
      </c>
      <c r="F341" t="s">
        <v>36</v>
      </c>
      <c r="G341" t="s">
        <v>26</v>
      </c>
      <c r="H341" t="s">
        <v>27</v>
      </c>
      <c r="I341" s="131"/>
      <c r="J341" s="6">
        <v>0</v>
      </c>
      <c r="L341">
        <v>0</v>
      </c>
      <c r="M341">
        <v>0</v>
      </c>
      <c r="N341">
        <v>0</v>
      </c>
      <c r="O341">
        <v>0</v>
      </c>
      <c r="P341">
        <v>0</v>
      </c>
      <c r="Q341" t="s">
        <v>22</v>
      </c>
      <c r="R341" t="s">
        <v>37</v>
      </c>
      <c r="S341" s="131">
        <v>2</v>
      </c>
      <c r="T341" s="6">
        <f>DataTable[HLD_MaturityDate] - DataTable[SEC_Issue_Date]</f>
        <v>-2</v>
      </c>
      <c r="U341" s="131" t="str">
        <f>DataTable[HLD_Portfolio]&amp;DataTable[HLD_Date]</f>
        <v>SCBRF43397</v>
      </c>
      <c r="V341" t="str">
        <f>DataTable[[#This Row],[RefRng]]&amp;DataTable[[#This Row],[HLD_SecCode]]</f>
        <v>SCBRF43397-US CASH-</v>
      </c>
    </row>
    <row r="342" spans="1:22" x14ac:dyDescent="0.2">
      <c r="A342" s="131">
        <v>43397</v>
      </c>
      <c r="B342" t="s">
        <v>337</v>
      </c>
      <c r="C342" t="s">
        <v>18</v>
      </c>
      <c r="D342" t="s">
        <v>19</v>
      </c>
      <c r="F342" t="s">
        <v>20</v>
      </c>
      <c r="G342" t="s">
        <v>21</v>
      </c>
      <c r="I342" s="131"/>
      <c r="J342" s="6">
        <v>693017.86</v>
      </c>
      <c r="K342">
        <v>905.44</v>
      </c>
      <c r="L342">
        <v>693017.86</v>
      </c>
      <c r="M342">
        <v>0</v>
      </c>
      <c r="N342">
        <v>0</v>
      </c>
      <c r="O342">
        <v>0</v>
      </c>
      <c r="P342">
        <v>1.1763520999999999E-3</v>
      </c>
      <c r="Q342" t="s">
        <v>22</v>
      </c>
      <c r="R342" t="s">
        <v>23</v>
      </c>
      <c r="S342" s="131">
        <v>2</v>
      </c>
      <c r="T342" s="6">
        <f>DataTable[HLD_MaturityDate] - DataTable[SEC_Issue_Date]</f>
        <v>-2</v>
      </c>
      <c r="U342" s="131" t="str">
        <f>DataTable[HLD_Portfolio]&amp;DataTable[HLD_Date]</f>
        <v>SCBRF43397</v>
      </c>
      <c r="V342" t="str">
        <f>DataTable[[#This Row],[RefRng]]&amp;DataTable[[#This Row],[HLD_SecCode]]</f>
        <v>SCBRF43397CASH</v>
      </c>
    </row>
    <row r="343" spans="1:22" x14ac:dyDescent="0.2">
      <c r="A343" s="131">
        <v>43397</v>
      </c>
      <c r="B343" t="s">
        <v>337</v>
      </c>
      <c r="C343" t="s">
        <v>18</v>
      </c>
      <c r="D343" t="s">
        <v>38</v>
      </c>
      <c r="F343" t="s">
        <v>466</v>
      </c>
      <c r="G343" t="s">
        <v>69</v>
      </c>
      <c r="H343" t="s">
        <v>47</v>
      </c>
      <c r="I343" s="131">
        <v>44196</v>
      </c>
      <c r="J343" s="6">
        <v>195888.14</v>
      </c>
      <c r="K343">
        <v>491.06</v>
      </c>
      <c r="L343">
        <v>195888.14</v>
      </c>
      <c r="M343">
        <v>0</v>
      </c>
      <c r="N343">
        <v>195888.14</v>
      </c>
      <c r="O343">
        <v>0</v>
      </c>
      <c r="P343">
        <v>3.3290579999999999E-4</v>
      </c>
      <c r="Q343" t="s">
        <v>42</v>
      </c>
      <c r="R343" t="s">
        <v>23</v>
      </c>
      <c r="S343" s="131">
        <v>38728</v>
      </c>
      <c r="T343" s="6">
        <f>DataTable[HLD_MaturityDate] - DataTable[SEC_Issue_Date]</f>
        <v>5468</v>
      </c>
      <c r="U343" s="131" t="str">
        <f>DataTable[HLD_Portfolio]&amp;DataTable[HLD_Date]</f>
        <v>SCBRF43397</v>
      </c>
      <c r="V343" t="str">
        <f>DataTable[[#This Row],[RefRng]]&amp;DataTable[[#This Row],[HLD_SecCode]]</f>
        <v>SCBRF43397INVCTISCOrf</v>
      </c>
    </row>
    <row r="344" spans="1:22" x14ac:dyDescent="0.2">
      <c r="A344" s="131">
        <v>43397</v>
      </c>
      <c r="B344" t="s">
        <v>337</v>
      </c>
      <c r="C344" t="s">
        <v>18</v>
      </c>
      <c r="D344" t="s">
        <v>38</v>
      </c>
      <c r="F344" t="s">
        <v>467</v>
      </c>
      <c r="G344" t="s">
        <v>71</v>
      </c>
      <c r="H344" t="s">
        <v>27</v>
      </c>
      <c r="I344" s="131">
        <v>44196</v>
      </c>
      <c r="J344" s="6">
        <v>43832.959999999999</v>
      </c>
      <c r="K344">
        <v>52.24</v>
      </c>
      <c r="L344">
        <v>43832.959999999999</v>
      </c>
      <c r="M344">
        <v>0</v>
      </c>
      <c r="N344">
        <v>43832.959999999999</v>
      </c>
      <c r="O344">
        <v>0</v>
      </c>
      <c r="P344">
        <v>7.4394999999999995E-5</v>
      </c>
      <c r="Q344" t="s">
        <v>42</v>
      </c>
      <c r="R344" t="s">
        <v>23</v>
      </c>
      <c r="S344" s="131">
        <v>39535</v>
      </c>
      <c r="T344" s="6">
        <f>DataTable[HLD_MaturityDate] - DataTable[SEC_Issue_Date]</f>
        <v>4661</v>
      </c>
      <c r="U344" s="131" t="str">
        <f>DataTable[HLD_Portfolio]&amp;DataTable[HLD_Date]</f>
        <v>SCBRF43397</v>
      </c>
      <c r="V344" t="str">
        <f>DataTable[[#This Row],[RefRng]]&amp;DataTable[[#This Row],[HLD_SecCode]]</f>
        <v>SCBRF43397INVSKTBrf</v>
      </c>
    </row>
    <row r="345" spans="1:22" x14ac:dyDescent="0.2">
      <c r="A345" s="131">
        <v>43397</v>
      </c>
      <c r="B345" t="s">
        <v>337</v>
      </c>
      <c r="C345" t="s">
        <v>18</v>
      </c>
      <c r="D345" t="s">
        <v>38</v>
      </c>
      <c r="F345" t="s">
        <v>468</v>
      </c>
      <c r="G345" t="s">
        <v>73</v>
      </c>
      <c r="H345" t="s">
        <v>58</v>
      </c>
      <c r="I345" s="131">
        <v>44196</v>
      </c>
      <c r="J345" s="6">
        <v>1434247.11</v>
      </c>
      <c r="K345">
        <v>29712.1</v>
      </c>
      <c r="L345">
        <v>1434247.11</v>
      </c>
      <c r="M345">
        <v>0</v>
      </c>
      <c r="N345">
        <v>1434247.11</v>
      </c>
      <c r="O345">
        <v>0</v>
      </c>
      <c r="P345">
        <v>2.4817316999999998E-3</v>
      </c>
      <c r="Q345" t="s">
        <v>42</v>
      </c>
      <c r="R345" t="s">
        <v>23</v>
      </c>
      <c r="S345" s="131">
        <v>38596</v>
      </c>
      <c r="T345" s="6">
        <f>DataTable[HLD_MaturityDate] - DataTable[SEC_Issue_Date]</f>
        <v>5600</v>
      </c>
      <c r="U345" s="131" t="str">
        <f>DataTable[HLD_Portfolio]&amp;DataTable[HLD_Date]</f>
        <v>SCBRF43397</v>
      </c>
      <c r="V345" t="str">
        <f>DataTable[[#This Row],[RefRng]]&amp;DataTable[[#This Row],[HLD_SecCode]]</f>
        <v>SCBRF43397INVSUOBTrf</v>
      </c>
    </row>
    <row r="346" spans="1:22" x14ac:dyDescent="0.2">
      <c r="A346" s="131">
        <v>43397</v>
      </c>
      <c r="B346" t="s">
        <v>337</v>
      </c>
      <c r="C346" t="s">
        <v>18</v>
      </c>
      <c r="D346" t="s">
        <v>75</v>
      </c>
      <c r="F346" t="s">
        <v>469</v>
      </c>
      <c r="G346" t="s">
        <v>470</v>
      </c>
      <c r="I346" s="131">
        <v>44196</v>
      </c>
      <c r="J346" s="6">
        <v>24185.75</v>
      </c>
      <c r="L346">
        <v>24185.75</v>
      </c>
      <c r="N346">
        <v>24185.75</v>
      </c>
      <c r="O346">
        <v>0</v>
      </c>
      <c r="P346">
        <v>4.1000100000000001E-5</v>
      </c>
      <c r="Q346" t="s">
        <v>42</v>
      </c>
      <c r="R346" t="s">
        <v>23</v>
      </c>
      <c r="S346" s="131">
        <v>43024</v>
      </c>
      <c r="T346" s="6">
        <f>DataTable[HLD_MaturityDate] - DataTable[SEC_Issue_Date]</f>
        <v>1172</v>
      </c>
      <c r="U346" s="131" t="str">
        <f>DataTable[HLD_Portfolio]&amp;DataTable[HLD_Date]</f>
        <v>SCBRF43397</v>
      </c>
      <c r="V346" t="str">
        <f>DataTable[[#This Row],[RefRng]]&amp;DataTable[[#This Row],[HLD_SecCode]]</f>
        <v>SCBRF43397BANSUAN161017</v>
      </c>
    </row>
    <row r="347" spans="1:22" x14ac:dyDescent="0.2">
      <c r="A347" s="131">
        <v>43397</v>
      </c>
      <c r="B347" t="s">
        <v>337</v>
      </c>
      <c r="C347" t="s">
        <v>18</v>
      </c>
      <c r="D347" t="s">
        <v>85</v>
      </c>
      <c r="F347" t="s">
        <v>198</v>
      </c>
      <c r="G347" t="s">
        <v>87</v>
      </c>
      <c r="I347" s="131">
        <v>43405</v>
      </c>
      <c r="J347" s="6">
        <v>13996778.880000001</v>
      </c>
      <c r="L347">
        <v>13996778.880000001</v>
      </c>
      <c r="M347">
        <v>1.9174E-2</v>
      </c>
      <c r="N347">
        <v>14000000</v>
      </c>
      <c r="O347">
        <v>1.2</v>
      </c>
      <c r="P347">
        <v>2.3727608099999999E-2</v>
      </c>
      <c r="Q347" t="s">
        <v>42</v>
      </c>
      <c r="R347" t="s">
        <v>23</v>
      </c>
      <c r="S347" s="131">
        <v>43223</v>
      </c>
      <c r="T347" s="6">
        <f>DataTable[HLD_MaturityDate] - DataTable[SEC_Issue_Date]</f>
        <v>182</v>
      </c>
      <c r="U347" s="131" t="str">
        <f>DataTable[HLD_Portfolio]&amp;DataTable[HLD_Date]</f>
        <v>SCBRF43397</v>
      </c>
      <c r="V347" t="str">
        <f>DataTable[[#This Row],[RefRng]]&amp;DataTable[[#This Row],[HLD_SecCode]]</f>
        <v>SCBRF43397CB18N01A</v>
      </c>
    </row>
    <row r="348" spans="1:22" x14ac:dyDescent="0.2">
      <c r="A348" s="131">
        <v>43397</v>
      </c>
      <c r="B348" t="s">
        <v>337</v>
      </c>
      <c r="C348" t="s">
        <v>18</v>
      </c>
      <c r="D348" t="s">
        <v>85</v>
      </c>
      <c r="F348" t="s">
        <v>92</v>
      </c>
      <c r="G348" t="s">
        <v>87</v>
      </c>
      <c r="I348" s="131">
        <v>43412</v>
      </c>
      <c r="J348" s="6">
        <v>6996725.8899999997</v>
      </c>
      <c r="L348">
        <v>6996725.8899999997</v>
      </c>
      <c r="M348">
        <v>3.8337999999999997E-2</v>
      </c>
      <c r="N348">
        <v>7000000</v>
      </c>
      <c r="O348">
        <v>1.22</v>
      </c>
      <c r="P348">
        <v>1.1860984E-2</v>
      </c>
      <c r="Q348" t="s">
        <v>42</v>
      </c>
      <c r="R348" t="s">
        <v>23</v>
      </c>
      <c r="S348" s="131">
        <v>43321</v>
      </c>
      <c r="T348" s="6">
        <f>DataTable[HLD_MaturityDate] - DataTable[SEC_Issue_Date]</f>
        <v>91</v>
      </c>
      <c r="U348" s="131" t="str">
        <f>DataTable[HLD_Portfolio]&amp;DataTable[HLD_Date]</f>
        <v>SCBRF43397</v>
      </c>
      <c r="V348" t="str">
        <f>DataTable[[#This Row],[RefRng]]&amp;DataTable[[#This Row],[HLD_SecCode]]</f>
        <v>SCBRF43397CB18N08B</v>
      </c>
    </row>
    <row r="349" spans="1:22" x14ac:dyDescent="0.2">
      <c r="A349" s="131">
        <v>43397</v>
      </c>
      <c r="B349" t="s">
        <v>337</v>
      </c>
      <c r="C349" t="s">
        <v>18</v>
      </c>
      <c r="D349" t="s">
        <v>102</v>
      </c>
      <c r="F349" t="s">
        <v>471</v>
      </c>
      <c r="G349" t="s">
        <v>472</v>
      </c>
      <c r="I349" s="131">
        <v>43959</v>
      </c>
      <c r="J349" s="6">
        <v>9969870.0999999996</v>
      </c>
      <c r="K349">
        <v>113643.84</v>
      </c>
      <c r="L349">
        <v>10000000</v>
      </c>
      <c r="M349">
        <v>1.5005010000000001</v>
      </c>
      <c r="N349">
        <v>10000000</v>
      </c>
      <c r="O349">
        <v>2.44</v>
      </c>
      <c r="P349">
        <v>1.70937663E-2</v>
      </c>
      <c r="Q349" t="s">
        <v>42</v>
      </c>
      <c r="R349" t="s">
        <v>23</v>
      </c>
      <c r="S349" s="131">
        <v>42863</v>
      </c>
      <c r="T349" s="6">
        <f>DataTable[HLD_MaturityDate] - DataTable[SEC_Issue_Date]</f>
        <v>1096</v>
      </c>
      <c r="U349" s="131" t="str">
        <f>DataTable[HLD_Portfolio]&amp;DataTable[HLD_Date]</f>
        <v>SCBRF43397</v>
      </c>
      <c r="V349" t="str">
        <f>DataTable[[#This Row],[RefRng]]&amp;DataTable[[#This Row],[HLD_SecCode]]</f>
        <v>SCBRF43397CALE205A</v>
      </c>
    </row>
    <row r="350" spans="1:22" x14ac:dyDescent="0.2">
      <c r="A350" s="131">
        <v>43397</v>
      </c>
      <c r="B350" t="s">
        <v>337</v>
      </c>
      <c r="C350" t="s">
        <v>18</v>
      </c>
      <c r="D350" t="s">
        <v>102</v>
      </c>
      <c r="F350" t="s">
        <v>473</v>
      </c>
      <c r="G350" t="s">
        <v>474</v>
      </c>
      <c r="H350" t="s">
        <v>47</v>
      </c>
      <c r="I350" s="131">
        <v>44109</v>
      </c>
      <c r="J350" s="6">
        <v>4971527.2</v>
      </c>
      <c r="K350">
        <v>6246.6</v>
      </c>
      <c r="L350">
        <v>5000000</v>
      </c>
      <c r="M350">
        <v>1.8857999999999999</v>
      </c>
      <c r="N350">
        <v>5000000</v>
      </c>
      <c r="O350">
        <v>2.2799999999999998</v>
      </c>
      <c r="P350">
        <v>8.4384177000000008E-3</v>
      </c>
      <c r="Q350" t="s">
        <v>42</v>
      </c>
      <c r="R350" t="s">
        <v>23</v>
      </c>
      <c r="S350" s="131">
        <v>43013</v>
      </c>
      <c r="T350" s="6">
        <f>DataTable[HLD_MaturityDate] - DataTable[SEC_Issue_Date]</f>
        <v>1096</v>
      </c>
      <c r="U350" s="131" t="str">
        <f>DataTable[HLD_Portfolio]&amp;DataTable[HLD_Date]</f>
        <v>SCBRF43397</v>
      </c>
      <c r="V350" t="str">
        <f>DataTable[[#This Row],[RefRng]]&amp;DataTable[[#This Row],[HLD_SecCode]]</f>
        <v>SCBRF43397AMATA20OA</v>
      </c>
    </row>
    <row r="351" spans="1:22" x14ac:dyDescent="0.2">
      <c r="A351" s="131">
        <v>43397</v>
      </c>
      <c r="B351" t="s">
        <v>337</v>
      </c>
      <c r="C351" t="s">
        <v>18</v>
      </c>
      <c r="D351" t="s">
        <v>102</v>
      </c>
      <c r="F351" t="s">
        <v>475</v>
      </c>
      <c r="G351" t="s">
        <v>182</v>
      </c>
      <c r="H351" t="s">
        <v>51</v>
      </c>
      <c r="I351" s="131">
        <v>44287</v>
      </c>
      <c r="J351" s="6">
        <v>14916356.140000001</v>
      </c>
      <c r="K351">
        <v>49709.52</v>
      </c>
      <c r="L351">
        <v>14699335.140000001</v>
      </c>
      <c r="M351">
        <v>2.2798660000000002</v>
      </c>
      <c r="N351">
        <v>14000000</v>
      </c>
      <c r="O351">
        <v>3.25</v>
      </c>
      <c r="P351">
        <v>2.5370761700000001E-2</v>
      </c>
      <c r="Q351" t="s">
        <v>42</v>
      </c>
      <c r="R351" t="s">
        <v>23</v>
      </c>
      <c r="S351" s="131">
        <v>40634</v>
      </c>
      <c r="T351" s="6">
        <f>DataTable[HLD_MaturityDate] - DataTable[SEC_Issue_Date]</f>
        <v>3653</v>
      </c>
      <c r="U351" s="131" t="str">
        <f>DataTable[HLD_Portfolio]&amp;DataTable[HLD_Date]</f>
        <v>SCBRF43397</v>
      </c>
      <c r="V351" t="str">
        <f>DataTable[[#This Row],[RefRng]]&amp;DataTable[[#This Row],[HLD_SecCode]]</f>
        <v>SCBRF43397BANPU214A</v>
      </c>
    </row>
    <row r="352" spans="1:22" x14ac:dyDescent="0.2">
      <c r="A352" s="131">
        <v>43397</v>
      </c>
      <c r="B352" t="s">
        <v>337</v>
      </c>
      <c r="C352" t="s">
        <v>18</v>
      </c>
      <c r="D352" t="s">
        <v>102</v>
      </c>
      <c r="F352" t="s">
        <v>476</v>
      </c>
      <c r="G352" t="s">
        <v>182</v>
      </c>
      <c r="H352" t="s">
        <v>51</v>
      </c>
      <c r="I352" s="131">
        <v>45477</v>
      </c>
      <c r="J352" s="6">
        <v>10679798.699999999</v>
      </c>
      <c r="K352">
        <v>148602.70000000001</v>
      </c>
      <c r="L352">
        <v>10993880.9</v>
      </c>
      <c r="M352">
        <v>4.9223530000000002</v>
      </c>
      <c r="N352">
        <v>10000000</v>
      </c>
      <c r="O352">
        <v>2.89</v>
      </c>
      <c r="P352">
        <v>1.8356513800000002E-2</v>
      </c>
      <c r="Q352" t="s">
        <v>42</v>
      </c>
      <c r="R352" t="s">
        <v>23</v>
      </c>
      <c r="S352" s="131">
        <v>41824</v>
      </c>
      <c r="T352" s="6">
        <f>DataTable[HLD_MaturityDate] - DataTable[SEC_Issue_Date]</f>
        <v>3653</v>
      </c>
      <c r="U352" s="131" t="str">
        <f>DataTable[HLD_Portfolio]&amp;DataTable[HLD_Date]</f>
        <v>SCBRF43397</v>
      </c>
      <c r="V352" t="str">
        <f>DataTable[[#This Row],[RefRng]]&amp;DataTable[[#This Row],[HLD_SecCode]]</f>
        <v>SCBRF43397BANPU247A</v>
      </c>
    </row>
    <row r="353" spans="1:22" x14ac:dyDescent="0.2">
      <c r="A353" s="131">
        <v>43397</v>
      </c>
      <c r="B353" t="s">
        <v>337</v>
      </c>
      <c r="C353" t="s">
        <v>18</v>
      </c>
      <c r="D353" t="s">
        <v>102</v>
      </c>
      <c r="F353" t="s">
        <v>477</v>
      </c>
      <c r="G353" t="s">
        <v>182</v>
      </c>
      <c r="H353" t="s">
        <v>51</v>
      </c>
      <c r="I353" s="131">
        <v>46498</v>
      </c>
      <c r="J353" s="6">
        <v>10426385.199999999</v>
      </c>
      <c r="K353">
        <v>4569.8999999999996</v>
      </c>
      <c r="L353">
        <v>10481362.1</v>
      </c>
      <c r="M353">
        <v>7.1346020000000001</v>
      </c>
      <c r="N353">
        <v>10000000</v>
      </c>
      <c r="O353">
        <v>3.51</v>
      </c>
      <c r="P353">
        <v>1.7682755200000001E-2</v>
      </c>
      <c r="Q353" t="s">
        <v>42</v>
      </c>
      <c r="R353" t="s">
        <v>23</v>
      </c>
      <c r="S353" s="131">
        <v>42846</v>
      </c>
      <c r="T353" s="6">
        <f>DataTable[HLD_MaturityDate] - DataTable[SEC_Issue_Date]</f>
        <v>3652</v>
      </c>
      <c r="U353" s="131" t="str">
        <f>DataTable[HLD_Portfolio]&amp;DataTable[HLD_Date]</f>
        <v>SCBRF43397</v>
      </c>
      <c r="V353" t="str">
        <f>DataTable[[#This Row],[RefRng]]&amp;DataTable[[#This Row],[HLD_SecCode]]</f>
        <v>SCBRF43397BANPU274A</v>
      </c>
    </row>
    <row r="354" spans="1:22" x14ac:dyDescent="0.2">
      <c r="A354" s="131">
        <v>43397</v>
      </c>
      <c r="B354" t="s">
        <v>337</v>
      </c>
      <c r="C354" t="s">
        <v>18</v>
      </c>
      <c r="D354" t="s">
        <v>102</v>
      </c>
      <c r="F354" t="s">
        <v>479</v>
      </c>
      <c r="G354" t="s">
        <v>480</v>
      </c>
      <c r="H354" t="s">
        <v>47</v>
      </c>
      <c r="I354" s="131">
        <v>45021</v>
      </c>
      <c r="J354" s="6">
        <v>42852804.280000001</v>
      </c>
      <c r="K354">
        <v>59309.8</v>
      </c>
      <c r="L354">
        <v>44000000</v>
      </c>
      <c r="M354">
        <v>4.1632870000000004</v>
      </c>
      <c r="N354">
        <v>44000000</v>
      </c>
      <c r="O354">
        <v>2.46</v>
      </c>
      <c r="P354">
        <v>7.2745439100000003E-2</v>
      </c>
      <c r="Q354" t="s">
        <v>42</v>
      </c>
      <c r="R354" t="s">
        <v>23</v>
      </c>
      <c r="S354" s="131">
        <v>43195</v>
      </c>
      <c r="T354" s="6">
        <f>DataTable[HLD_MaturityDate] - DataTable[SEC_Issue_Date]</f>
        <v>1826</v>
      </c>
      <c r="U354" s="131" t="str">
        <f>DataTable[HLD_Portfolio]&amp;DataTable[HLD_Date]</f>
        <v>SCBRF43397</v>
      </c>
      <c r="V354" t="str">
        <f>DataTable[[#This Row],[RefRng]]&amp;DataTable[[#This Row],[HLD_SecCode]]</f>
        <v>SCBRF43397BEM234A</v>
      </c>
    </row>
    <row r="355" spans="1:22" x14ac:dyDescent="0.2">
      <c r="A355" s="131">
        <v>43397</v>
      </c>
      <c r="B355" t="s">
        <v>337</v>
      </c>
      <c r="C355" t="s">
        <v>18</v>
      </c>
      <c r="D355" t="s">
        <v>102</v>
      </c>
      <c r="F355" t="s">
        <v>481</v>
      </c>
      <c r="G355" t="s">
        <v>243</v>
      </c>
      <c r="H355" t="s">
        <v>51</v>
      </c>
      <c r="I355" s="131">
        <v>44446</v>
      </c>
      <c r="J355" s="6">
        <v>10555499.5</v>
      </c>
      <c r="K355">
        <v>37497.82</v>
      </c>
      <c r="L355">
        <v>10799206.859999999</v>
      </c>
      <c r="M355">
        <v>2.7275</v>
      </c>
      <c r="N355">
        <v>10600000</v>
      </c>
      <c r="O355">
        <v>2.0150000000000001</v>
      </c>
      <c r="P355">
        <v>1.7957452299999999E-2</v>
      </c>
      <c r="Q355" t="s">
        <v>42</v>
      </c>
      <c r="R355" t="s">
        <v>23</v>
      </c>
      <c r="S355" s="131">
        <v>42620</v>
      </c>
      <c r="T355" s="6">
        <f>DataTable[HLD_MaturityDate] - DataTable[SEC_Issue_Date]</f>
        <v>1826</v>
      </c>
      <c r="U355" s="131" t="str">
        <f>DataTable[HLD_Portfolio]&amp;DataTable[HLD_Date]</f>
        <v>SCBRF43397</v>
      </c>
      <c r="V355" t="str">
        <f>DataTable[[#This Row],[RefRng]]&amp;DataTable[[#This Row],[HLD_SecCode]]</f>
        <v>SCBRF43397BJC219A</v>
      </c>
    </row>
    <row r="356" spans="1:22" x14ac:dyDescent="0.2">
      <c r="A356" s="131">
        <v>43397</v>
      </c>
      <c r="B356" t="s">
        <v>337</v>
      </c>
      <c r="C356" t="s">
        <v>18</v>
      </c>
      <c r="D356" t="s">
        <v>102</v>
      </c>
      <c r="F356" t="s">
        <v>482</v>
      </c>
      <c r="G356" t="s">
        <v>243</v>
      </c>
      <c r="H356" t="s">
        <v>51</v>
      </c>
      <c r="I356" s="131">
        <v>45176</v>
      </c>
      <c r="J356" s="6">
        <v>1992713.44</v>
      </c>
      <c r="K356">
        <v>8074.52</v>
      </c>
      <c r="L356">
        <v>2030077.62</v>
      </c>
      <c r="M356">
        <v>4.4663839999999997</v>
      </c>
      <c r="N356">
        <v>2000000</v>
      </c>
      <c r="O356">
        <v>2.74</v>
      </c>
      <c r="P356">
        <v>3.3917741000000002E-3</v>
      </c>
      <c r="Q356" t="s">
        <v>42</v>
      </c>
      <c r="R356" t="s">
        <v>23</v>
      </c>
      <c r="S356" s="131">
        <v>42620</v>
      </c>
      <c r="T356" s="6">
        <f>DataTable[HLD_MaturityDate] - DataTable[SEC_Issue_Date]</f>
        <v>2556</v>
      </c>
      <c r="U356" s="131" t="str">
        <f>DataTable[HLD_Portfolio]&amp;DataTable[HLD_Date]</f>
        <v>SCBRF43397</v>
      </c>
      <c r="V356" t="str">
        <f>DataTable[[#This Row],[RefRng]]&amp;DataTable[[#This Row],[HLD_SecCode]]</f>
        <v>SCBRF43397BJC239A</v>
      </c>
    </row>
    <row r="357" spans="1:22" x14ac:dyDescent="0.2">
      <c r="A357" s="131">
        <v>43397</v>
      </c>
      <c r="B357" t="s">
        <v>337</v>
      </c>
      <c r="C357" t="s">
        <v>18</v>
      </c>
      <c r="D357" t="s">
        <v>102</v>
      </c>
      <c r="F357" t="s">
        <v>483</v>
      </c>
      <c r="G357" t="s">
        <v>245</v>
      </c>
      <c r="H357" t="s">
        <v>47</v>
      </c>
      <c r="I357" s="131">
        <v>44341</v>
      </c>
      <c r="J357" s="6">
        <v>14878406.25</v>
      </c>
      <c r="K357">
        <v>144616.5</v>
      </c>
      <c r="L357">
        <v>15000000</v>
      </c>
      <c r="M357">
        <v>2.4681129999999998</v>
      </c>
      <c r="N357">
        <v>15000000</v>
      </c>
      <c r="O357">
        <v>2.2999999999999998</v>
      </c>
      <c r="P357">
        <v>2.5467316399999999E-2</v>
      </c>
      <c r="Q357" t="s">
        <v>42</v>
      </c>
      <c r="R357" t="s">
        <v>23</v>
      </c>
      <c r="S357" s="131">
        <v>42515</v>
      </c>
      <c r="T357" s="6">
        <f>DataTable[HLD_MaturityDate] - DataTable[SEC_Issue_Date]</f>
        <v>1826</v>
      </c>
      <c r="U357" s="131" t="str">
        <f>DataTable[HLD_Portfolio]&amp;DataTable[HLD_Date]</f>
        <v>SCBRF43397</v>
      </c>
      <c r="V357" t="str">
        <f>DataTable[[#This Row],[RefRng]]&amp;DataTable[[#This Row],[HLD_SecCode]]</f>
        <v>SCBRF43397BTG215A</v>
      </c>
    </row>
    <row r="358" spans="1:22" x14ac:dyDescent="0.2">
      <c r="A358" s="131">
        <v>43397</v>
      </c>
      <c r="B358" t="s">
        <v>337</v>
      </c>
      <c r="C358" t="s">
        <v>18</v>
      </c>
      <c r="D358" t="s">
        <v>102</v>
      </c>
      <c r="F358" t="s">
        <v>484</v>
      </c>
      <c r="G358" t="s">
        <v>245</v>
      </c>
      <c r="H358" t="s">
        <v>47</v>
      </c>
      <c r="I358" s="131">
        <v>44763</v>
      </c>
      <c r="J358" s="6">
        <v>7013578.5300000003</v>
      </c>
      <c r="K358">
        <v>54312.3</v>
      </c>
      <c r="L358">
        <v>7000000</v>
      </c>
      <c r="M358">
        <v>3.4931860000000001</v>
      </c>
      <c r="N358">
        <v>7000000</v>
      </c>
      <c r="O358">
        <v>2.95</v>
      </c>
      <c r="P358">
        <v>1.1981624099999999E-2</v>
      </c>
      <c r="Q358" t="s">
        <v>42</v>
      </c>
      <c r="R358" t="s">
        <v>23</v>
      </c>
      <c r="S358" s="131">
        <v>42937</v>
      </c>
      <c r="T358" s="6">
        <f>DataTable[HLD_MaturityDate] - DataTable[SEC_Issue_Date]</f>
        <v>1826</v>
      </c>
      <c r="U358" s="131" t="str">
        <f>DataTable[HLD_Portfolio]&amp;DataTable[HLD_Date]</f>
        <v>SCBRF43397</v>
      </c>
      <c r="V358" t="str">
        <f>DataTable[[#This Row],[RefRng]]&amp;DataTable[[#This Row],[HLD_SecCode]]</f>
        <v>SCBRF43397BTG227A</v>
      </c>
    </row>
    <row r="359" spans="1:22" x14ac:dyDescent="0.2">
      <c r="A359" s="131">
        <v>43397</v>
      </c>
      <c r="B359" t="s">
        <v>337</v>
      </c>
      <c r="C359" t="s">
        <v>18</v>
      </c>
      <c r="D359" t="s">
        <v>102</v>
      </c>
      <c r="F359" t="s">
        <v>485</v>
      </c>
      <c r="G359" t="s">
        <v>245</v>
      </c>
      <c r="H359" t="s">
        <v>47</v>
      </c>
      <c r="I359" s="131">
        <v>45013</v>
      </c>
      <c r="J359" s="6">
        <v>10754306.09</v>
      </c>
      <c r="K359">
        <v>20505.21</v>
      </c>
      <c r="L359">
        <v>11000000</v>
      </c>
      <c r="M359">
        <v>4.1377689999999996</v>
      </c>
      <c r="N359">
        <v>11000000</v>
      </c>
      <c r="O359">
        <v>2.52</v>
      </c>
      <c r="P359">
        <v>1.8265666900000001E-2</v>
      </c>
      <c r="Q359" t="s">
        <v>42</v>
      </c>
      <c r="R359" t="s">
        <v>23</v>
      </c>
      <c r="S359" s="131">
        <v>43187</v>
      </c>
      <c r="T359" s="6">
        <f>DataTable[HLD_MaturityDate] - DataTable[SEC_Issue_Date]</f>
        <v>1826</v>
      </c>
      <c r="U359" s="131" t="str">
        <f>DataTable[HLD_Portfolio]&amp;DataTable[HLD_Date]</f>
        <v>SCBRF43397</v>
      </c>
      <c r="V359" t="str">
        <f>DataTable[[#This Row],[RefRng]]&amp;DataTable[[#This Row],[HLD_SecCode]]</f>
        <v>SCBRF43397BTG233A</v>
      </c>
    </row>
    <row r="360" spans="1:22" x14ac:dyDescent="0.2">
      <c r="A360" s="131">
        <v>43397</v>
      </c>
      <c r="B360" t="s">
        <v>337</v>
      </c>
      <c r="C360" t="s">
        <v>18</v>
      </c>
      <c r="D360" t="s">
        <v>102</v>
      </c>
      <c r="F360" t="s">
        <v>486</v>
      </c>
      <c r="G360" t="s">
        <v>487</v>
      </c>
      <c r="H360" t="s">
        <v>47</v>
      </c>
      <c r="I360" s="131">
        <v>43779</v>
      </c>
      <c r="J360" s="6">
        <v>25115930.25</v>
      </c>
      <c r="K360">
        <v>283068.5</v>
      </c>
      <c r="L360">
        <v>25174995</v>
      </c>
      <c r="M360">
        <v>1.0156019999999999</v>
      </c>
      <c r="N360">
        <v>25000000</v>
      </c>
      <c r="O360">
        <v>1.77</v>
      </c>
      <c r="P360">
        <v>4.3056869999999997E-2</v>
      </c>
      <c r="Q360" t="s">
        <v>42</v>
      </c>
      <c r="R360" t="s">
        <v>23</v>
      </c>
      <c r="S360" s="131">
        <v>42684</v>
      </c>
      <c r="T360" s="6">
        <f>DataTable[HLD_MaturityDate] - DataTable[SEC_Issue_Date]</f>
        <v>1095</v>
      </c>
      <c r="U360" s="131" t="str">
        <f>DataTable[HLD_Portfolio]&amp;DataTable[HLD_Date]</f>
        <v>SCBRF43397</v>
      </c>
      <c r="V360" t="str">
        <f>DataTable[[#This Row],[RefRng]]&amp;DataTable[[#This Row],[HLD_SecCode]]</f>
        <v>SCBRF43397BTSC19NA</v>
      </c>
    </row>
    <row r="361" spans="1:22" x14ac:dyDescent="0.2">
      <c r="A361" s="131">
        <v>43397</v>
      </c>
      <c r="B361" t="s">
        <v>337</v>
      </c>
      <c r="C361" t="s">
        <v>18</v>
      </c>
      <c r="D361" t="s">
        <v>102</v>
      </c>
      <c r="F361" t="s">
        <v>488</v>
      </c>
      <c r="G361" t="s">
        <v>184</v>
      </c>
      <c r="H361" t="s">
        <v>47</v>
      </c>
      <c r="I361" s="131">
        <v>44191</v>
      </c>
      <c r="J361" s="6">
        <v>20826763.649999999</v>
      </c>
      <c r="K361">
        <v>155940.75</v>
      </c>
      <c r="L361">
        <v>21000000</v>
      </c>
      <c r="M361">
        <v>2.0873219999999999</v>
      </c>
      <c r="N361">
        <v>21000000</v>
      </c>
      <c r="O361">
        <v>2.2400000000000002</v>
      </c>
      <c r="P361">
        <v>3.5570283100000002E-2</v>
      </c>
      <c r="Q361" t="s">
        <v>42</v>
      </c>
      <c r="R361" t="s">
        <v>23</v>
      </c>
      <c r="S361" s="131">
        <v>43095</v>
      </c>
      <c r="T361" s="6">
        <f>DataTable[HLD_MaturityDate] - DataTable[SEC_Issue_Date]</f>
        <v>1096</v>
      </c>
      <c r="U361" s="131" t="str">
        <f>DataTable[HLD_Portfolio]&amp;DataTable[HLD_Date]</f>
        <v>SCBRF43397</v>
      </c>
      <c r="V361" t="str">
        <f>DataTable[[#This Row],[RefRng]]&amp;DataTable[[#This Row],[HLD_SecCode]]</f>
        <v>SCBRF43397BTSG20DA</v>
      </c>
    </row>
    <row r="362" spans="1:22" x14ac:dyDescent="0.2">
      <c r="A362" s="131">
        <v>43397</v>
      </c>
      <c r="B362" t="s">
        <v>337</v>
      </c>
      <c r="C362" t="s">
        <v>18</v>
      </c>
      <c r="D362" t="s">
        <v>102</v>
      </c>
      <c r="F362" t="s">
        <v>489</v>
      </c>
      <c r="G362" t="s">
        <v>490</v>
      </c>
      <c r="H362" t="s">
        <v>116</v>
      </c>
      <c r="I362" s="131">
        <v>43997</v>
      </c>
      <c r="J362" s="6">
        <v>29854829.699999999</v>
      </c>
      <c r="K362">
        <v>241939.8</v>
      </c>
      <c r="L362">
        <v>30000000</v>
      </c>
      <c r="M362">
        <v>1.5867020000000001</v>
      </c>
      <c r="N362">
        <v>30000000</v>
      </c>
      <c r="O362">
        <v>2.23</v>
      </c>
      <c r="P362">
        <v>5.1020621100000003E-2</v>
      </c>
      <c r="Q362" t="s">
        <v>42</v>
      </c>
      <c r="R362" t="s">
        <v>23</v>
      </c>
      <c r="S362" s="131">
        <v>43266</v>
      </c>
      <c r="T362" s="6">
        <f>DataTable[HLD_MaturityDate] - DataTable[SEC_Issue_Date]</f>
        <v>731</v>
      </c>
      <c r="U362" s="131" t="str">
        <f>DataTable[HLD_Portfolio]&amp;DataTable[HLD_Date]</f>
        <v>SCBRF43397</v>
      </c>
      <c r="V362" t="str">
        <f>DataTable[[#This Row],[RefRng]]&amp;DataTable[[#This Row],[HLD_SecCode]]</f>
        <v>SCBRF43397CBG206A</v>
      </c>
    </row>
    <row r="363" spans="1:22" x14ac:dyDescent="0.2">
      <c r="A363" s="131">
        <v>43397</v>
      </c>
      <c r="B363" t="s">
        <v>337</v>
      </c>
      <c r="C363" t="s">
        <v>18</v>
      </c>
      <c r="D363" t="s">
        <v>102</v>
      </c>
      <c r="F363" t="s">
        <v>491</v>
      </c>
      <c r="G363" t="s">
        <v>492</v>
      </c>
      <c r="H363" t="s">
        <v>116</v>
      </c>
      <c r="I363" s="131">
        <v>44138</v>
      </c>
      <c r="J363" s="6">
        <v>10948591.279999999</v>
      </c>
      <c r="K363">
        <v>118136.97</v>
      </c>
      <c r="L363">
        <v>11039495.060000001</v>
      </c>
      <c r="M363">
        <v>1.967209</v>
      </c>
      <c r="N363">
        <v>11000000</v>
      </c>
      <c r="O363">
        <v>2.058182</v>
      </c>
      <c r="P363">
        <v>1.8760530099999999E-2</v>
      </c>
      <c r="Q363" t="s">
        <v>42</v>
      </c>
      <c r="R363" t="s">
        <v>23</v>
      </c>
      <c r="S363" s="131">
        <v>43042</v>
      </c>
      <c r="T363" s="6">
        <f>DataTable[HLD_MaturityDate] - DataTable[SEC_Issue_Date]</f>
        <v>1096</v>
      </c>
      <c r="U363" s="131" t="str">
        <f>DataTable[HLD_Portfolio]&amp;DataTable[HLD_Date]</f>
        <v>SCBRF43397</v>
      </c>
      <c r="V363" t="str">
        <f>DataTable[[#This Row],[RefRng]]&amp;DataTable[[#This Row],[HLD_SecCode]]</f>
        <v>SCBRF43397CK20NA</v>
      </c>
    </row>
    <row r="364" spans="1:22" x14ac:dyDescent="0.2">
      <c r="A364" s="131">
        <v>43397</v>
      </c>
      <c r="B364" t="s">
        <v>337</v>
      </c>
      <c r="C364" t="s">
        <v>18</v>
      </c>
      <c r="D364" t="s">
        <v>102</v>
      </c>
      <c r="F364" t="s">
        <v>493</v>
      </c>
      <c r="G364" t="s">
        <v>186</v>
      </c>
      <c r="H364" t="s">
        <v>51</v>
      </c>
      <c r="I364" s="131">
        <v>44410</v>
      </c>
      <c r="J364" s="6">
        <v>10605237.699999999</v>
      </c>
      <c r="K364">
        <v>112767.1</v>
      </c>
      <c r="L364">
        <v>10742766.1</v>
      </c>
      <c r="M364">
        <v>2.5730089999999999</v>
      </c>
      <c r="N364">
        <v>10000000</v>
      </c>
      <c r="O364">
        <v>2.12</v>
      </c>
      <c r="P364">
        <v>1.8169367400000001E-2</v>
      </c>
      <c r="Q364" t="s">
        <v>42</v>
      </c>
      <c r="R364" t="s">
        <v>23</v>
      </c>
      <c r="S364" s="131">
        <v>41488</v>
      </c>
      <c r="T364" s="6">
        <f>DataTable[HLD_MaturityDate] - DataTable[SEC_Issue_Date]</f>
        <v>2922</v>
      </c>
      <c r="U364" s="131" t="str">
        <f>DataTable[HLD_Portfolio]&amp;DataTable[HLD_Date]</f>
        <v>SCBRF43397</v>
      </c>
      <c r="V364" t="str">
        <f>DataTable[[#This Row],[RefRng]]&amp;DataTable[[#This Row],[HLD_SecCode]]</f>
        <v>SCBRF43397CPF218B</v>
      </c>
    </row>
    <row r="365" spans="1:22" x14ac:dyDescent="0.2">
      <c r="A365" s="131">
        <v>43397</v>
      </c>
      <c r="B365" t="s">
        <v>337</v>
      </c>
      <c r="C365" t="s">
        <v>18</v>
      </c>
      <c r="D365" t="s">
        <v>102</v>
      </c>
      <c r="F365" t="s">
        <v>494</v>
      </c>
      <c r="G365" t="s">
        <v>186</v>
      </c>
      <c r="H365" t="s">
        <v>51</v>
      </c>
      <c r="I365" s="131">
        <v>45681</v>
      </c>
      <c r="J365" s="6">
        <v>27573089.600000001</v>
      </c>
      <c r="K365">
        <v>217594.44</v>
      </c>
      <c r="L365">
        <v>28000000</v>
      </c>
      <c r="M365">
        <v>5.5962709999999998</v>
      </c>
      <c r="N365">
        <v>28000000</v>
      </c>
      <c r="O365">
        <v>3.05</v>
      </c>
      <c r="P365">
        <v>4.7111300799999999E-2</v>
      </c>
      <c r="Q365" t="s">
        <v>42</v>
      </c>
      <c r="R365" t="s">
        <v>23</v>
      </c>
      <c r="S365" s="131">
        <v>43124</v>
      </c>
      <c r="T365" s="6">
        <f>DataTable[HLD_MaturityDate] - DataTable[SEC_Issue_Date]</f>
        <v>2557</v>
      </c>
      <c r="U365" s="131" t="str">
        <f>DataTable[HLD_Portfolio]&amp;DataTable[HLD_Date]</f>
        <v>SCBRF43397</v>
      </c>
      <c r="V365" t="str">
        <f>DataTable[[#This Row],[RefRng]]&amp;DataTable[[#This Row],[HLD_SecCode]]</f>
        <v>SCBRF43397CPF251A</v>
      </c>
    </row>
    <row r="366" spans="1:22" x14ac:dyDescent="0.2">
      <c r="A366" s="131">
        <v>43397</v>
      </c>
      <c r="B366" t="s">
        <v>337</v>
      </c>
      <c r="C366" t="s">
        <v>18</v>
      </c>
      <c r="D366" t="s">
        <v>102</v>
      </c>
      <c r="F366" t="s">
        <v>249</v>
      </c>
      <c r="G366" t="s">
        <v>248</v>
      </c>
      <c r="H366" t="s">
        <v>29</v>
      </c>
      <c r="I366" s="131">
        <v>44165</v>
      </c>
      <c r="J366" s="6">
        <v>7937962.6399999997</v>
      </c>
      <c r="K366">
        <v>99910.16</v>
      </c>
      <c r="L366">
        <v>8000000</v>
      </c>
      <c r="M366">
        <v>1.9891380000000001</v>
      </c>
      <c r="N366">
        <v>8000000</v>
      </c>
      <c r="O366">
        <v>3.08</v>
      </c>
      <c r="P366">
        <v>1.3625956200000001E-2</v>
      </c>
      <c r="Q366" t="s">
        <v>42</v>
      </c>
      <c r="R366" t="s">
        <v>23</v>
      </c>
      <c r="S366" s="131">
        <v>43069</v>
      </c>
      <c r="T366" s="6">
        <f>DataTable[HLD_MaturityDate] - DataTable[SEC_Issue_Date]</f>
        <v>1096</v>
      </c>
      <c r="U366" s="131" t="str">
        <f>DataTable[HLD_Portfolio]&amp;DataTable[HLD_Date]</f>
        <v>SCBRF43397</v>
      </c>
      <c r="V366" t="str">
        <f>DataTable[[#This Row],[RefRng]]&amp;DataTable[[#This Row],[HLD_SecCode]]</f>
        <v>SCBRF43397DMT20NA</v>
      </c>
    </row>
    <row r="367" spans="1:22" x14ac:dyDescent="0.2">
      <c r="A367" s="131">
        <v>43397</v>
      </c>
      <c r="B367" t="s">
        <v>337</v>
      </c>
      <c r="C367" t="s">
        <v>18</v>
      </c>
      <c r="D367" t="s">
        <v>102</v>
      </c>
      <c r="F367" t="s">
        <v>200</v>
      </c>
      <c r="G367" t="s">
        <v>201</v>
      </c>
      <c r="H367" t="s">
        <v>29</v>
      </c>
      <c r="I367" s="131">
        <v>43792</v>
      </c>
      <c r="J367" s="6">
        <v>17073638.390000001</v>
      </c>
      <c r="K367">
        <v>241842.51</v>
      </c>
      <c r="L367">
        <v>17000000</v>
      </c>
      <c r="M367">
        <v>1.0397540000000001</v>
      </c>
      <c r="N367">
        <v>17000000</v>
      </c>
      <c r="O367">
        <v>3.35</v>
      </c>
      <c r="P367">
        <v>2.93535355E-2</v>
      </c>
      <c r="Q367" t="s">
        <v>42</v>
      </c>
      <c r="R367" t="s">
        <v>23</v>
      </c>
      <c r="S367" s="131">
        <v>42697</v>
      </c>
      <c r="T367" s="6">
        <f>DataTable[HLD_MaturityDate] - DataTable[SEC_Issue_Date]</f>
        <v>1095</v>
      </c>
      <c r="U367" s="131" t="str">
        <f>DataTable[HLD_Portfolio]&amp;DataTable[HLD_Date]</f>
        <v>SCBRF43397</v>
      </c>
      <c r="V367" t="str">
        <f>DataTable[[#This Row],[RefRng]]&amp;DataTable[[#This Row],[HLD_SecCode]]</f>
        <v>SCBRF43397GOLD19NA</v>
      </c>
    </row>
    <row r="368" spans="1:22" x14ac:dyDescent="0.2">
      <c r="A368" s="131">
        <v>43397</v>
      </c>
      <c r="B368" t="s">
        <v>337</v>
      </c>
      <c r="C368" t="s">
        <v>18</v>
      </c>
      <c r="D368" t="s">
        <v>102</v>
      </c>
      <c r="F368" t="s">
        <v>495</v>
      </c>
      <c r="G368" t="s">
        <v>497</v>
      </c>
      <c r="H368" t="s">
        <v>496</v>
      </c>
      <c r="I368" s="131">
        <v>44468</v>
      </c>
      <c r="J368" s="6">
        <v>8933136.6600000001</v>
      </c>
      <c r="K368">
        <v>14168.25</v>
      </c>
      <c r="L368">
        <v>9000000</v>
      </c>
      <c r="M368">
        <v>2.8086980000000001</v>
      </c>
      <c r="N368">
        <v>9000000</v>
      </c>
      <c r="O368">
        <v>2.21</v>
      </c>
      <c r="P368">
        <v>1.5167643E-2</v>
      </c>
      <c r="Q368" t="s">
        <v>42</v>
      </c>
      <c r="R368" t="s">
        <v>23</v>
      </c>
      <c r="S368" s="131">
        <v>43007</v>
      </c>
      <c r="T368" s="6">
        <f>DataTable[HLD_MaturityDate] - DataTable[SEC_Issue_Date]</f>
        <v>1461</v>
      </c>
      <c r="U368" s="131" t="str">
        <f>DataTable[HLD_Portfolio]&amp;DataTable[HLD_Date]</f>
        <v>SCBRF43397</v>
      </c>
      <c r="V368" t="str">
        <f>DataTable[[#This Row],[RefRng]]&amp;DataTable[[#This Row],[HLD_SecCode]]</f>
        <v>SCBRF43397GPSC219A</v>
      </c>
    </row>
    <row r="369" spans="1:22" x14ac:dyDescent="0.2">
      <c r="A369" s="131">
        <v>43397</v>
      </c>
      <c r="B369" t="s">
        <v>337</v>
      </c>
      <c r="C369" t="s">
        <v>18</v>
      </c>
      <c r="D369" t="s">
        <v>102</v>
      </c>
      <c r="F369" t="s">
        <v>499</v>
      </c>
      <c r="G369" t="s">
        <v>501</v>
      </c>
      <c r="H369" t="s">
        <v>500</v>
      </c>
      <c r="I369" s="131">
        <v>44325</v>
      </c>
      <c r="J369" s="6">
        <v>4206729.16</v>
      </c>
      <c r="K369">
        <v>91861.92</v>
      </c>
      <c r="L369">
        <v>4252660.8</v>
      </c>
      <c r="M369">
        <v>2.3383229999999999</v>
      </c>
      <c r="N369">
        <v>4000000</v>
      </c>
      <c r="O369">
        <v>2.375</v>
      </c>
      <c r="P369">
        <v>7.2870540999999999E-3</v>
      </c>
      <c r="Q369" t="s">
        <v>42</v>
      </c>
      <c r="R369" t="s">
        <v>23</v>
      </c>
      <c r="S369" s="131">
        <v>41768</v>
      </c>
      <c r="T369" s="6">
        <f>DataTable[HLD_MaturityDate] - DataTable[SEC_Issue_Date]</f>
        <v>2557</v>
      </c>
      <c r="U369" s="131" t="str">
        <f>DataTable[HLD_Portfolio]&amp;DataTable[HLD_Date]</f>
        <v>SCBRF43397</v>
      </c>
      <c r="V369" t="str">
        <f>DataTable[[#This Row],[RefRng]]&amp;DataTable[[#This Row],[HLD_SecCode]]</f>
        <v>SCBRF43397IRPC215B</v>
      </c>
    </row>
    <row r="370" spans="1:22" x14ac:dyDescent="0.2">
      <c r="A370" s="131">
        <v>43397</v>
      </c>
      <c r="B370" t="s">
        <v>337</v>
      </c>
      <c r="C370" t="s">
        <v>18</v>
      </c>
      <c r="D370" t="s">
        <v>102</v>
      </c>
      <c r="F370" t="s">
        <v>502</v>
      </c>
      <c r="G370" t="s">
        <v>503</v>
      </c>
      <c r="H370" t="s">
        <v>41</v>
      </c>
      <c r="I370" s="131">
        <v>43955</v>
      </c>
      <c r="J370" s="6">
        <v>4011782.56</v>
      </c>
      <c r="K370">
        <v>49578.080000000002</v>
      </c>
      <c r="L370">
        <v>4000000</v>
      </c>
      <c r="M370">
        <v>1.490356</v>
      </c>
      <c r="N370">
        <v>4000000</v>
      </c>
      <c r="O370">
        <v>2.6</v>
      </c>
      <c r="P370">
        <v>6.8848965000000003E-3</v>
      </c>
      <c r="Q370" t="s">
        <v>42</v>
      </c>
      <c r="R370" t="s">
        <v>23</v>
      </c>
      <c r="S370" s="131">
        <v>42859</v>
      </c>
      <c r="T370" s="6">
        <f>DataTable[HLD_MaturityDate] - DataTable[SEC_Issue_Date]</f>
        <v>1096</v>
      </c>
      <c r="U370" s="131" t="str">
        <f>DataTable[HLD_Portfolio]&amp;DataTable[HLD_Date]</f>
        <v>SCBRF43397</v>
      </c>
      <c r="V370" t="str">
        <f>DataTable[[#This Row],[RefRng]]&amp;DataTable[[#This Row],[HLD_SecCode]]</f>
        <v>SCBRF43397IVL205A</v>
      </c>
    </row>
    <row r="371" spans="1:22" x14ac:dyDescent="0.2">
      <c r="A371" s="131">
        <v>43397</v>
      </c>
      <c r="B371" t="s">
        <v>337</v>
      </c>
      <c r="C371" t="s">
        <v>18</v>
      </c>
      <c r="D371" t="s">
        <v>102</v>
      </c>
      <c r="F371" t="s">
        <v>214</v>
      </c>
      <c r="G371" t="s">
        <v>213</v>
      </c>
      <c r="H371" t="s">
        <v>116</v>
      </c>
      <c r="I371" s="131">
        <v>43920</v>
      </c>
      <c r="J371" s="6">
        <v>39677798</v>
      </c>
      <c r="K371">
        <v>47945.2</v>
      </c>
      <c r="L371">
        <v>40000000</v>
      </c>
      <c r="M371">
        <v>1.3980630000000001</v>
      </c>
      <c r="N371">
        <v>40000000</v>
      </c>
      <c r="O371">
        <v>1.75</v>
      </c>
      <c r="P371">
        <v>6.7343842099999995E-2</v>
      </c>
      <c r="Q371" t="s">
        <v>42</v>
      </c>
      <c r="R371" t="s">
        <v>23</v>
      </c>
      <c r="S371" s="131">
        <v>43189</v>
      </c>
      <c r="T371" s="6">
        <f>DataTable[HLD_MaturityDate] - DataTable[SEC_Issue_Date]</f>
        <v>731</v>
      </c>
      <c r="U371" s="131" t="str">
        <f>DataTable[HLD_Portfolio]&amp;DataTable[HLD_Date]</f>
        <v>SCBRF43397</v>
      </c>
      <c r="V371" t="str">
        <f>DataTable[[#This Row],[RefRng]]&amp;DataTable[[#This Row],[HLD_SecCode]]</f>
        <v>SCBRF43397LHBANK203A</v>
      </c>
    </row>
    <row r="372" spans="1:22" x14ac:dyDescent="0.2">
      <c r="A372" s="131">
        <v>43397</v>
      </c>
      <c r="B372" t="s">
        <v>337</v>
      </c>
      <c r="C372" t="s">
        <v>18</v>
      </c>
      <c r="D372" t="s">
        <v>102</v>
      </c>
      <c r="F372" t="s">
        <v>504</v>
      </c>
      <c r="G372" t="s">
        <v>505</v>
      </c>
      <c r="H372" t="s">
        <v>47</v>
      </c>
      <c r="I372" s="131">
        <v>43813</v>
      </c>
      <c r="J372" s="6">
        <v>2992090.38</v>
      </c>
      <c r="K372">
        <v>21644.37</v>
      </c>
      <c r="L372">
        <v>3000000</v>
      </c>
      <c r="M372">
        <v>1.1100220000000001</v>
      </c>
      <c r="N372">
        <v>3000000</v>
      </c>
      <c r="O372">
        <v>1.98</v>
      </c>
      <c r="P372">
        <v>5.1089409999999997E-3</v>
      </c>
      <c r="Q372" t="s">
        <v>42</v>
      </c>
      <c r="R372" t="s">
        <v>23</v>
      </c>
      <c r="S372" s="131">
        <v>43083</v>
      </c>
      <c r="T372" s="6">
        <f>DataTable[HLD_MaturityDate] - DataTable[SEC_Issue_Date]</f>
        <v>730</v>
      </c>
      <c r="U372" s="131" t="str">
        <f>DataTable[HLD_Portfolio]&amp;DataTable[HLD_Date]</f>
        <v>SCBRF43397</v>
      </c>
      <c r="V372" t="str">
        <f>DataTable[[#This Row],[RefRng]]&amp;DataTable[[#This Row],[HLD_SecCode]]</f>
        <v>SCBRF43397NTL19DB</v>
      </c>
    </row>
    <row r="373" spans="1:22" x14ac:dyDescent="0.2">
      <c r="A373" s="131">
        <v>43397</v>
      </c>
      <c r="B373" t="s">
        <v>337</v>
      </c>
      <c r="C373" t="s">
        <v>18</v>
      </c>
      <c r="D373" t="s">
        <v>102</v>
      </c>
      <c r="F373" t="s">
        <v>507</v>
      </c>
      <c r="G373" t="s">
        <v>218</v>
      </c>
      <c r="H373" t="s">
        <v>116</v>
      </c>
      <c r="I373" s="131">
        <v>44156</v>
      </c>
      <c r="J373" s="6">
        <v>4937168.3499999996</v>
      </c>
      <c r="K373">
        <v>47315.05</v>
      </c>
      <c r="L373">
        <v>5000000</v>
      </c>
      <c r="M373">
        <v>1.991565</v>
      </c>
      <c r="N373">
        <v>5000000</v>
      </c>
      <c r="O373">
        <v>2.2000000000000002</v>
      </c>
      <c r="P373">
        <v>8.4497918999999998E-3</v>
      </c>
      <c r="Q373" t="s">
        <v>42</v>
      </c>
      <c r="R373" t="s">
        <v>23</v>
      </c>
      <c r="S373" s="131">
        <v>43060</v>
      </c>
      <c r="T373" s="6">
        <f>DataTable[HLD_MaturityDate] - DataTable[SEC_Issue_Date]</f>
        <v>1096</v>
      </c>
      <c r="U373" s="131" t="str">
        <f>DataTable[HLD_Portfolio]&amp;DataTable[HLD_Date]</f>
        <v>SCBRF43397</v>
      </c>
      <c r="V373" t="str">
        <f>DataTable[[#This Row],[RefRng]]&amp;DataTable[[#This Row],[HLD_SecCode]]</f>
        <v>SCBRF43397QH20NA</v>
      </c>
    </row>
    <row r="374" spans="1:22" x14ac:dyDescent="0.2">
      <c r="A374" s="131">
        <v>43397</v>
      </c>
      <c r="B374" t="s">
        <v>337</v>
      </c>
      <c r="C374" t="s">
        <v>18</v>
      </c>
      <c r="D374" t="s">
        <v>102</v>
      </c>
      <c r="F374" t="s">
        <v>217</v>
      </c>
      <c r="G374" t="s">
        <v>218</v>
      </c>
      <c r="H374" t="s">
        <v>116</v>
      </c>
      <c r="I374" s="131">
        <v>44260</v>
      </c>
      <c r="J374" s="6">
        <v>10843202.92</v>
      </c>
      <c r="K374">
        <v>32547.9</v>
      </c>
      <c r="L374">
        <v>11000000</v>
      </c>
      <c r="M374">
        <v>2.2738260000000001</v>
      </c>
      <c r="N374">
        <v>11000000</v>
      </c>
      <c r="O374">
        <v>2.16</v>
      </c>
      <c r="P374">
        <v>1.8436781499999999E-2</v>
      </c>
      <c r="Q374" t="s">
        <v>42</v>
      </c>
      <c r="R374" t="s">
        <v>23</v>
      </c>
      <c r="S374" s="131">
        <v>43164</v>
      </c>
      <c r="T374" s="6">
        <f>DataTable[HLD_MaturityDate] - DataTable[SEC_Issue_Date]</f>
        <v>1096</v>
      </c>
      <c r="U374" s="131" t="str">
        <f>DataTable[HLD_Portfolio]&amp;DataTable[HLD_Date]</f>
        <v>SCBRF43397</v>
      </c>
      <c r="V374" t="str">
        <f>DataTable[[#This Row],[RefRng]]&amp;DataTable[[#This Row],[HLD_SecCode]]</f>
        <v>SCBRF43397QH213A</v>
      </c>
    </row>
    <row r="375" spans="1:22" x14ac:dyDescent="0.2">
      <c r="A375" s="131">
        <v>43397</v>
      </c>
      <c r="B375" t="s">
        <v>337</v>
      </c>
      <c r="C375" t="s">
        <v>18</v>
      </c>
      <c r="D375" t="s">
        <v>102</v>
      </c>
      <c r="F375" t="s">
        <v>508</v>
      </c>
      <c r="G375" t="s">
        <v>80</v>
      </c>
      <c r="H375" t="s">
        <v>47</v>
      </c>
      <c r="I375" s="131">
        <v>43955</v>
      </c>
      <c r="J375" s="6">
        <v>4014733.64</v>
      </c>
      <c r="K375">
        <v>49387.39</v>
      </c>
      <c r="L375">
        <v>4038958.36</v>
      </c>
      <c r="M375">
        <v>1.490872</v>
      </c>
      <c r="N375">
        <v>4000000</v>
      </c>
      <c r="O375">
        <v>1.94</v>
      </c>
      <c r="P375">
        <v>6.8895759000000001E-3</v>
      </c>
      <c r="Q375" t="s">
        <v>42</v>
      </c>
      <c r="R375" t="s">
        <v>23</v>
      </c>
      <c r="S375" s="131">
        <v>42859</v>
      </c>
      <c r="T375" s="6">
        <f>DataTable[HLD_MaturityDate] - DataTable[SEC_Issue_Date]</f>
        <v>1096</v>
      </c>
      <c r="U375" s="131" t="str">
        <f>DataTable[HLD_Portfolio]&amp;DataTable[HLD_Date]</f>
        <v>SCBRF43397</v>
      </c>
      <c r="V375" t="str">
        <f>DataTable[[#This Row],[RefRng]]&amp;DataTable[[#This Row],[HLD_SecCode]]</f>
        <v>SCBRF43397SPALI205A</v>
      </c>
    </row>
    <row r="376" spans="1:22" x14ac:dyDescent="0.2">
      <c r="A376" s="131">
        <v>43397</v>
      </c>
      <c r="B376" t="s">
        <v>337</v>
      </c>
      <c r="C376" t="s">
        <v>18</v>
      </c>
      <c r="D376" t="s">
        <v>102</v>
      </c>
      <c r="F376" t="s">
        <v>220</v>
      </c>
      <c r="G376" t="s">
        <v>80</v>
      </c>
      <c r="H376" t="s">
        <v>47</v>
      </c>
      <c r="I376" s="131">
        <v>44270</v>
      </c>
      <c r="J376" s="6">
        <v>8887841.7300000004</v>
      </c>
      <c r="K376">
        <v>20613.689999999999</v>
      </c>
      <c r="L376">
        <v>9000000</v>
      </c>
      <c r="M376">
        <v>2.3043559999999998</v>
      </c>
      <c r="N376">
        <v>9000000</v>
      </c>
      <c r="O376">
        <v>2.09</v>
      </c>
      <c r="P376">
        <v>1.5101784599999999E-2</v>
      </c>
      <c r="Q376" t="s">
        <v>42</v>
      </c>
      <c r="R376" t="s">
        <v>23</v>
      </c>
      <c r="S376" s="131">
        <v>43174</v>
      </c>
      <c r="T376" s="6">
        <f>DataTable[HLD_MaturityDate] - DataTable[SEC_Issue_Date]</f>
        <v>1096</v>
      </c>
      <c r="U376" s="131" t="str">
        <f>DataTable[HLD_Portfolio]&amp;DataTable[HLD_Date]</f>
        <v>SCBRF43397</v>
      </c>
      <c r="V376" t="str">
        <f>DataTable[[#This Row],[RefRng]]&amp;DataTable[[#This Row],[HLD_SecCode]]</f>
        <v>SCBRF43397SPALI213A</v>
      </c>
    </row>
    <row r="377" spans="1:22" x14ac:dyDescent="0.2">
      <c r="A377" s="131">
        <v>43397</v>
      </c>
      <c r="B377" t="s">
        <v>337</v>
      </c>
      <c r="C377" t="s">
        <v>18</v>
      </c>
      <c r="D377" t="s">
        <v>102</v>
      </c>
      <c r="F377" t="s">
        <v>509</v>
      </c>
      <c r="G377" t="s">
        <v>225</v>
      </c>
      <c r="H377" t="s">
        <v>116</v>
      </c>
      <c r="I377" s="131">
        <v>44471</v>
      </c>
      <c r="J377" s="6">
        <v>10483149.800000001</v>
      </c>
      <c r="K377">
        <v>29490.400000000001</v>
      </c>
      <c r="L377">
        <v>10573090.1</v>
      </c>
      <c r="M377">
        <v>2.7336140000000002</v>
      </c>
      <c r="N377">
        <v>10000000</v>
      </c>
      <c r="O377">
        <v>2.64</v>
      </c>
      <c r="P377">
        <v>1.7821229399999999E-2</v>
      </c>
      <c r="Q377" t="s">
        <v>42</v>
      </c>
      <c r="R377" t="s">
        <v>23</v>
      </c>
      <c r="S377" s="131">
        <v>41914</v>
      </c>
      <c r="T377" s="6">
        <f>DataTable[HLD_MaturityDate] - DataTable[SEC_Issue_Date]</f>
        <v>2557</v>
      </c>
      <c r="U377" s="131" t="str">
        <f>DataTable[HLD_Portfolio]&amp;DataTable[HLD_Date]</f>
        <v>SCBRF43397</v>
      </c>
      <c r="V377" t="str">
        <f>DataTable[[#This Row],[RefRng]]&amp;DataTable[[#This Row],[HLD_SecCode]]</f>
        <v>SCBRF43397THCOM21OB</v>
      </c>
    </row>
    <row r="378" spans="1:22" x14ac:dyDescent="0.2">
      <c r="A378" s="131">
        <v>43397</v>
      </c>
      <c r="B378" t="s">
        <v>337</v>
      </c>
      <c r="C378" t="s">
        <v>18</v>
      </c>
      <c r="D378" t="s">
        <v>102</v>
      </c>
      <c r="F378" t="s">
        <v>510</v>
      </c>
      <c r="G378" t="s">
        <v>511</v>
      </c>
      <c r="H378" t="s">
        <v>47</v>
      </c>
      <c r="I378" s="131">
        <v>44057</v>
      </c>
      <c r="J378" s="6">
        <v>5072307.95</v>
      </c>
      <c r="K378">
        <v>31758.9</v>
      </c>
      <c r="L378">
        <v>5070412.3499999996</v>
      </c>
      <c r="M378">
        <v>1.739471</v>
      </c>
      <c r="N378">
        <v>5000000</v>
      </c>
      <c r="O378">
        <v>2.41</v>
      </c>
      <c r="P378">
        <v>8.6525121000000007E-3</v>
      </c>
      <c r="Q378" t="s">
        <v>42</v>
      </c>
      <c r="R378" t="s">
        <v>23</v>
      </c>
      <c r="S378" s="131">
        <v>42230</v>
      </c>
      <c r="T378" s="6">
        <f>DataTable[HLD_MaturityDate] - DataTable[SEC_Issue_Date]</f>
        <v>1827</v>
      </c>
      <c r="U378" s="131" t="str">
        <f>DataTable[HLD_Portfolio]&amp;DataTable[HLD_Date]</f>
        <v>SCBRF43397</v>
      </c>
      <c r="V378" t="str">
        <f>DataTable[[#This Row],[RefRng]]&amp;DataTable[[#This Row],[HLD_SecCode]]</f>
        <v>SCBRF43397TICON208A</v>
      </c>
    </row>
    <row r="379" spans="1:22" x14ac:dyDescent="0.2">
      <c r="A379" s="131">
        <v>43397</v>
      </c>
      <c r="B379" t="s">
        <v>337</v>
      </c>
      <c r="C379" t="s">
        <v>18</v>
      </c>
      <c r="D379" t="s">
        <v>102</v>
      </c>
      <c r="F379" t="s">
        <v>512</v>
      </c>
      <c r="G379" t="s">
        <v>511</v>
      </c>
      <c r="H379" t="s">
        <v>47</v>
      </c>
      <c r="I379" s="131">
        <v>44269</v>
      </c>
      <c r="J379" s="6">
        <v>1983566.08</v>
      </c>
      <c r="K379">
        <v>4942.46</v>
      </c>
      <c r="L379">
        <v>2000000</v>
      </c>
      <c r="M379">
        <v>2.3000180000000001</v>
      </c>
      <c r="N379">
        <v>2000000</v>
      </c>
      <c r="O379">
        <v>2.2000000000000002</v>
      </c>
      <c r="P379">
        <v>3.3709577999999998E-3</v>
      </c>
      <c r="Q379" t="s">
        <v>42</v>
      </c>
      <c r="R379" t="s">
        <v>23</v>
      </c>
      <c r="S379" s="131">
        <v>43173</v>
      </c>
      <c r="T379" s="6">
        <f>DataTable[HLD_MaturityDate] - DataTable[SEC_Issue_Date]</f>
        <v>1096</v>
      </c>
      <c r="U379" s="131" t="str">
        <f>DataTable[HLD_Portfolio]&amp;DataTable[HLD_Date]</f>
        <v>SCBRF43397</v>
      </c>
      <c r="V379" t="str">
        <f>DataTable[[#This Row],[RefRng]]&amp;DataTable[[#This Row],[HLD_SecCode]]</f>
        <v>SCBRF43397TICON213A</v>
      </c>
    </row>
    <row r="380" spans="1:22" x14ac:dyDescent="0.2">
      <c r="A380" s="131">
        <v>43397</v>
      </c>
      <c r="B380" t="s">
        <v>337</v>
      </c>
      <c r="C380" t="s">
        <v>18</v>
      </c>
      <c r="D380" t="s">
        <v>102</v>
      </c>
      <c r="F380" t="s">
        <v>513</v>
      </c>
      <c r="G380" t="s">
        <v>69</v>
      </c>
      <c r="H380" t="s">
        <v>47</v>
      </c>
      <c r="I380" s="131">
        <v>43594</v>
      </c>
      <c r="J380" s="6">
        <v>4993232.7</v>
      </c>
      <c r="K380">
        <v>40513.699999999997</v>
      </c>
      <c r="L380">
        <v>5003651.95</v>
      </c>
      <c r="M380">
        <v>0.53146899999999997</v>
      </c>
      <c r="N380">
        <v>5000000</v>
      </c>
      <c r="O380">
        <v>1.6</v>
      </c>
      <c r="P380">
        <v>8.5333035000000005E-3</v>
      </c>
      <c r="Q380" t="s">
        <v>42</v>
      </c>
      <c r="R380" t="s">
        <v>23</v>
      </c>
      <c r="S380" s="131">
        <v>43048</v>
      </c>
      <c r="T380" s="6">
        <f>DataTable[HLD_MaturityDate] - DataTable[SEC_Issue_Date]</f>
        <v>546</v>
      </c>
      <c r="U380" s="131" t="str">
        <f>DataTable[HLD_Portfolio]&amp;DataTable[HLD_Date]</f>
        <v>SCBRF43397</v>
      </c>
      <c r="V380" t="str">
        <f>DataTable[[#This Row],[RefRng]]&amp;DataTable[[#This Row],[HLD_SecCode]]</f>
        <v>SCBRF43397TISCO195B</v>
      </c>
    </row>
    <row r="381" spans="1:22" x14ac:dyDescent="0.2">
      <c r="A381" s="131">
        <v>43397</v>
      </c>
      <c r="B381" t="s">
        <v>337</v>
      </c>
      <c r="C381" t="s">
        <v>18</v>
      </c>
      <c r="D381" t="s">
        <v>102</v>
      </c>
      <c r="F381" t="s">
        <v>227</v>
      </c>
      <c r="G381" t="s">
        <v>69</v>
      </c>
      <c r="H381" t="s">
        <v>47</v>
      </c>
      <c r="I381" s="131">
        <v>43686</v>
      </c>
      <c r="J381" s="6">
        <v>9967923.0999999996</v>
      </c>
      <c r="K381">
        <v>35441.1</v>
      </c>
      <c r="L381">
        <v>10000000</v>
      </c>
      <c r="M381">
        <v>0.78085800000000005</v>
      </c>
      <c r="N381">
        <v>10000000</v>
      </c>
      <c r="O381">
        <v>1.68</v>
      </c>
      <c r="P381">
        <v>1.6957894899999999E-2</v>
      </c>
      <c r="Q381" t="s">
        <v>42</v>
      </c>
      <c r="R381" t="s">
        <v>23</v>
      </c>
      <c r="S381" s="131">
        <v>43140</v>
      </c>
      <c r="T381" s="6">
        <f>DataTable[HLD_MaturityDate] - DataTable[SEC_Issue_Date]</f>
        <v>546</v>
      </c>
      <c r="U381" s="131" t="str">
        <f>DataTable[HLD_Portfolio]&amp;DataTable[HLD_Date]</f>
        <v>SCBRF43397</v>
      </c>
      <c r="V381" t="str">
        <f>DataTable[[#This Row],[RefRng]]&amp;DataTable[[#This Row],[HLD_SecCode]]</f>
        <v>SCBRF43397TISCO198A</v>
      </c>
    </row>
    <row r="382" spans="1:22" x14ac:dyDescent="0.2">
      <c r="A382" s="131">
        <v>43397</v>
      </c>
      <c r="B382" t="s">
        <v>337</v>
      </c>
      <c r="C382" t="s">
        <v>18</v>
      </c>
      <c r="D382" t="s">
        <v>102</v>
      </c>
      <c r="F382" t="s">
        <v>514</v>
      </c>
      <c r="G382" t="s">
        <v>230</v>
      </c>
      <c r="H382" t="s">
        <v>29</v>
      </c>
      <c r="I382" s="131">
        <v>43431</v>
      </c>
      <c r="J382" s="6">
        <v>12002926.92</v>
      </c>
      <c r="K382">
        <v>177652.56</v>
      </c>
      <c r="L382">
        <v>12000000</v>
      </c>
      <c r="M382">
        <v>9.0255000000000002E-2</v>
      </c>
      <c r="N382">
        <v>12000000</v>
      </c>
      <c r="O382">
        <v>2.2799999999999998</v>
      </c>
      <c r="P382">
        <v>2.0648751999999999E-2</v>
      </c>
      <c r="Q382" t="s">
        <v>42</v>
      </c>
      <c r="R382" t="s">
        <v>23</v>
      </c>
      <c r="S382" s="131">
        <v>43161</v>
      </c>
      <c r="T382" s="6">
        <f>DataTable[HLD_MaturityDate] - DataTable[SEC_Issue_Date]</f>
        <v>270</v>
      </c>
      <c r="U382" s="131" t="str">
        <f>DataTable[HLD_Portfolio]&amp;DataTable[HLD_Date]</f>
        <v>SCBRF43397</v>
      </c>
      <c r="V382" t="str">
        <f>DataTable[[#This Row],[RefRng]]&amp;DataTable[[#This Row],[HLD_SecCode]]</f>
        <v>SCBRF43397TRUE18N27A</v>
      </c>
    </row>
    <row r="383" spans="1:22" x14ac:dyDescent="0.2">
      <c r="A383" s="131">
        <v>43397</v>
      </c>
      <c r="B383" t="s">
        <v>337</v>
      </c>
      <c r="C383" t="s">
        <v>18</v>
      </c>
      <c r="D383" t="s">
        <v>102</v>
      </c>
      <c r="F383" t="s">
        <v>515</v>
      </c>
      <c r="G383" t="s">
        <v>230</v>
      </c>
      <c r="H383" t="s">
        <v>29</v>
      </c>
      <c r="I383" s="131">
        <v>43494</v>
      </c>
      <c r="J383" s="6">
        <v>10999542.949999999</v>
      </c>
      <c r="K383">
        <v>103972.55</v>
      </c>
      <c r="L383">
        <v>11000000</v>
      </c>
      <c r="M383">
        <v>0.261436</v>
      </c>
      <c r="N383">
        <v>11000000</v>
      </c>
      <c r="O383">
        <v>2.2999999999999998</v>
      </c>
      <c r="P383">
        <v>1.8822892500000001E-2</v>
      </c>
      <c r="Q383" t="s">
        <v>42</v>
      </c>
      <c r="R383" t="s">
        <v>23</v>
      </c>
      <c r="S383" s="131">
        <v>43248</v>
      </c>
      <c r="T383" s="6">
        <f>DataTable[HLD_MaturityDate] - DataTable[SEC_Issue_Date]</f>
        <v>246</v>
      </c>
      <c r="U383" s="131" t="str">
        <f>DataTable[HLD_Portfolio]&amp;DataTable[HLD_Date]</f>
        <v>SCBRF43397</v>
      </c>
      <c r="V383" t="str">
        <f>DataTable[[#This Row],[RefRng]]&amp;DataTable[[#This Row],[HLD_SecCode]]</f>
        <v>SCBRF43397TRUE19129B</v>
      </c>
    </row>
    <row r="384" spans="1:22" x14ac:dyDescent="0.2">
      <c r="A384" s="131">
        <v>43397</v>
      </c>
      <c r="B384" t="s">
        <v>337</v>
      </c>
      <c r="C384" t="s">
        <v>18</v>
      </c>
      <c r="D384" t="s">
        <v>102</v>
      </c>
      <c r="F384" t="s">
        <v>516</v>
      </c>
      <c r="G384" t="s">
        <v>232</v>
      </c>
      <c r="H384" t="s">
        <v>29</v>
      </c>
      <c r="I384" s="131">
        <v>43454</v>
      </c>
      <c r="J384" s="6">
        <v>12004938.24</v>
      </c>
      <c r="K384">
        <v>158794.56</v>
      </c>
      <c r="L384">
        <v>12000000</v>
      </c>
      <c r="M384">
        <v>0.15293799999999999</v>
      </c>
      <c r="N384">
        <v>12000000</v>
      </c>
      <c r="O384">
        <v>2.2999999999999998</v>
      </c>
      <c r="P384">
        <v>2.0620193200000001E-2</v>
      </c>
      <c r="Q384" t="s">
        <v>42</v>
      </c>
      <c r="R384" t="s">
        <v>23</v>
      </c>
      <c r="S384" s="131">
        <v>43188</v>
      </c>
      <c r="T384" s="6">
        <f>DataTable[HLD_MaturityDate] - DataTable[SEC_Issue_Date]</f>
        <v>266</v>
      </c>
      <c r="U384" s="131" t="str">
        <f>DataTable[HLD_Portfolio]&amp;DataTable[HLD_Date]</f>
        <v>SCBRF43397</v>
      </c>
      <c r="V384" t="str">
        <f>DataTable[[#This Row],[RefRng]]&amp;DataTable[[#This Row],[HLD_SecCode]]</f>
        <v>SCBRF43397TUC18D20A</v>
      </c>
    </row>
    <row r="385" spans="1:22" x14ac:dyDescent="0.2">
      <c r="A385" s="131">
        <v>43397</v>
      </c>
      <c r="B385" t="s">
        <v>337</v>
      </c>
      <c r="C385" t="s">
        <v>18</v>
      </c>
      <c r="D385" t="s">
        <v>102</v>
      </c>
      <c r="F385" t="s">
        <v>233</v>
      </c>
      <c r="G385" t="s">
        <v>232</v>
      </c>
      <c r="H385" t="s">
        <v>29</v>
      </c>
      <c r="I385" s="131">
        <v>44410</v>
      </c>
      <c r="J385" s="6">
        <v>18981970.140000001</v>
      </c>
      <c r="K385">
        <v>161786.28</v>
      </c>
      <c r="L385">
        <v>19000000</v>
      </c>
      <c r="M385">
        <v>2.6247090000000002</v>
      </c>
      <c r="N385">
        <v>19000000</v>
      </c>
      <c r="O385">
        <v>3.7</v>
      </c>
      <c r="P385">
        <v>3.2452863200000001E-2</v>
      </c>
      <c r="Q385" t="s">
        <v>42</v>
      </c>
      <c r="R385" t="s">
        <v>23</v>
      </c>
      <c r="S385" s="131">
        <v>43314</v>
      </c>
      <c r="T385" s="6">
        <f>DataTable[HLD_MaturityDate] - DataTable[SEC_Issue_Date]</f>
        <v>1096</v>
      </c>
      <c r="U385" s="131" t="str">
        <f>DataTable[HLD_Portfolio]&amp;DataTable[HLD_Date]</f>
        <v>SCBRF43397</v>
      </c>
      <c r="V385" t="str">
        <f>DataTable[[#This Row],[RefRng]]&amp;DataTable[[#This Row],[HLD_SecCode]]</f>
        <v>SCBRF43397TUC218A</v>
      </c>
    </row>
    <row r="386" spans="1:22" x14ac:dyDescent="0.2">
      <c r="A386" s="131">
        <v>43397</v>
      </c>
      <c r="B386" t="s">
        <v>337</v>
      </c>
      <c r="C386" t="s">
        <v>18</v>
      </c>
      <c r="D386" t="s">
        <v>102</v>
      </c>
      <c r="F386" t="s">
        <v>517</v>
      </c>
      <c r="G386" t="s">
        <v>73</v>
      </c>
      <c r="H386" t="s">
        <v>58</v>
      </c>
      <c r="I386" s="131">
        <v>43539</v>
      </c>
      <c r="J386" s="6">
        <v>1599437.5</v>
      </c>
      <c r="K386">
        <v>3243.84</v>
      </c>
      <c r="L386">
        <v>1601553.36</v>
      </c>
      <c r="M386">
        <v>0.38255299999999998</v>
      </c>
      <c r="N386">
        <v>1600000</v>
      </c>
      <c r="O386">
        <v>1.615</v>
      </c>
      <c r="P386">
        <v>2.7168962E-3</v>
      </c>
      <c r="Q386" t="s">
        <v>42</v>
      </c>
      <c r="R386" t="s">
        <v>23</v>
      </c>
      <c r="S386" s="131">
        <v>42444</v>
      </c>
      <c r="T386" s="6">
        <f>DataTable[HLD_MaturityDate] - DataTable[SEC_Issue_Date]</f>
        <v>1095</v>
      </c>
      <c r="U386" s="131" t="str">
        <f>DataTable[HLD_Portfolio]&amp;DataTable[HLD_Date]</f>
        <v>SCBRF43397</v>
      </c>
      <c r="V386" t="str">
        <f>DataTable[[#This Row],[RefRng]]&amp;DataTable[[#This Row],[HLD_SecCode]]</f>
        <v>SCBRF43397UOBT193A</v>
      </c>
    </row>
    <row r="387" spans="1:22" x14ac:dyDescent="0.2">
      <c r="A387" s="131">
        <v>43397</v>
      </c>
      <c r="B387" t="s">
        <v>337</v>
      </c>
      <c r="C387" t="s">
        <v>18</v>
      </c>
      <c r="D387" t="s">
        <v>102</v>
      </c>
      <c r="F387" t="s">
        <v>234</v>
      </c>
      <c r="G387" t="s">
        <v>235</v>
      </c>
      <c r="H387" t="s">
        <v>116</v>
      </c>
      <c r="I387" s="131">
        <v>44313</v>
      </c>
      <c r="J387" s="6">
        <v>20778490.530000001</v>
      </c>
      <c r="K387">
        <v>123756.14</v>
      </c>
      <c r="L387">
        <v>21000000</v>
      </c>
      <c r="M387">
        <v>2.422148</v>
      </c>
      <c r="N387">
        <v>21000000</v>
      </c>
      <c r="O387">
        <v>2.39</v>
      </c>
      <c r="P387">
        <v>3.5433889599999997E-2</v>
      </c>
      <c r="Q387" t="s">
        <v>42</v>
      </c>
      <c r="R387" t="s">
        <v>23</v>
      </c>
      <c r="S387" s="131">
        <v>43217</v>
      </c>
      <c r="T387" s="6">
        <f>DataTable[HLD_MaturityDate] - DataTable[SEC_Issue_Date]</f>
        <v>1096</v>
      </c>
      <c r="U387" s="131" t="str">
        <f>DataTable[HLD_Portfolio]&amp;DataTable[HLD_Date]</f>
        <v>SCBRF43397</v>
      </c>
      <c r="V387" t="str">
        <f>DataTable[[#This Row],[RefRng]]&amp;DataTable[[#This Row],[HLD_SecCode]]</f>
        <v>SCBRF43397WHA214A</v>
      </c>
    </row>
    <row r="388" spans="1:22" x14ac:dyDescent="0.2">
      <c r="A388" s="131">
        <v>43397</v>
      </c>
      <c r="B388" t="s">
        <v>337</v>
      </c>
      <c r="C388" t="s">
        <v>18</v>
      </c>
      <c r="D388" t="s">
        <v>102</v>
      </c>
      <c r="F388" t="s">
        <v>236</v>
      </c>
      <c r="G388" t="s">
        <v>237</v>
      </c>
      <c r="H388" t="s">
        <v>47</v>
      </c>
      <c r="I388" s="131">
        <v>44285</v>
      </c>
      <c r="J388" s="6">
        <v>49636862.5</v>
      </c>
      <c r="K388">
        <v>77397.5</v>
      </c>
      <c r="L388">
        <v>50000000</v>
      </c>
      <c r="M388">
        <v>2.3531439999999999</v>
      </c>
      <c r="N388">
        <v>50000000</v>
      </c>
      <c r="O388">
        <v>2.2599999999999998</v>
      </c>
      <c r="P388">
        <v>8.4276567400000002E-2</v>
      </c>
      <c r="Q388" t="s">
        <v>42</v>
      </c>
      <c r="R388" t="s">
        <v>23</v>
      </c>
      <c r="S388" s="131">
        <v>43189</v>
      </c>
      <c r="T388" s="6">
        <f>DataTable[HLD_MaturityDate] - DataTable[SEC_Issue_Date]</f>
        <v>1096</v>
      </c>
      <c r="U388" s="131" t="str">
        <f>DataTable[HLD_Portfolio]&amp;DataTable[HLD_Date]</f>
        <v>SCBRF43397</v>
      </c>
      <c r="V388" t="str">
        <f>DataTable[[#This Row],[RefRng]]&amp;DataTable[[#This Row],[HLD_SecCode]]</f>
        <v>SCBRF43397WHART213A</v>
      </c>
    </row>
    <row r="389" spans="1:22" x14ac:dyDescent="0.2">
      <c r="A389" s="131">
        <v>43397</v>
      </c>
      <c r="B389" t="s">
        <v>337</v>
      </c>
      <c r="C389" t="s">
        <v>18</v>
      </c>
      <c r="D389" t="s">
        <v>102</v>
      </c>
      <c r="F389" t="s">
        <v>238</v>
      </c>
      <c r="G389" t="s">
        <v>239</v>
      </c>
      <c r="H389" t="s">
        <v>116</v>
      </c>
      <c r="I389" s="131">
        <v>44061</v>
      </c>
      <c r="J389" s="6">
        <v>20160533.199999999</v>
      </c>
      <c r="K389">
        <v>124076.8</v>
      </c>
      <c r="L389">
        <v>20000000</v>
      </c>
      <c r="M389">
        <v>1.7444759999999999</v>
      </c>
      <c r="N389">
        <v>20000000</v>
      </c>
      <c r="O389">
        <v>3.33</v>
      </c>
      <c r="P389">
        <v>3.43868601E-2</v>
      </c>
      <c r="Q389" t="s">
        <v>42</v>
      </c>
      <c r="R389" t="s">
        <v>23</v>
      </c>
      <c r="S389" s="131">
        <v>42965</v>
      </c>
      <c r="T389" s="6">
        <f>DataTable[HLD_MaturityDate] - DataTable[SEC_Issue_Date]</f>
        <v>1096</v>
      </c>
      <c r="U389" s="131" t="str">
        <f>DataTable[HLD_Portfolio]&amp;DataTable[HLD_Date]</f>
        <v>SCBRF43397</v>
      </c>
      <c r="V389" t="str">
        <f>DataTable[[#This Row],[RefRng]]&amp;DataTable[[#This Row],[HLD_SecCode]]</f>
        <v>SCBRF43397WHAUP208A</v>
      </c>
    </row>
    <row r="390" spans="1:22" x14ac:dyDescent="0.2">
      <c r="A390" s="131">
        <v>43397</v>
      </c>
      <c r="B390" t="s">
        <v>337</v>
      </c>
      <c r="C390" t="s">
        <v>119</v>
      </c>
      <c r="D390" t="s">
        <v>295</v>
      </c>
      <c r="E390" t="s">
        <v>1256</v>
      </c>
      <c r="F390" t="s">
        <v>506</v>
      </c>
      <c r="I390" s="131"/>
      <c r="J390" s="6">
        <v>7046914.8399999999</v>
      </c>
      <c r="L390">
        <v>7046914.8399999999</v>
      </c>
      <c r="O390">
        <v>0</v>
      </c>
      <c r="P390">
        <v>1.19460652E-2</v>
      </c>
      <c r="Q390" t="s">
        <v>42</v>
      </c>
      <c r="R390" t="s">
        <v>23</v>
      </c>
      <c r="S390" s="131">
        <v>42901</v>
      </c>
      <c r="T390" s="6">
        <f>DataTable[HLD_MaturityDate] - DataTable[SEC_Issue_Date]</f>
        <v>-42901</v>
      </c>
      <c r="U390" s="131" t="str">
        <f>DataTable[HLD_Portfolio]&amp;DataTable[HLD_Date]</f>
        <v>SCBRF43397</v>
      </c>
      <c r="V390" t="str">
        <f>DataTable[[#This Row],[RefRng]]&amp;DataTable[[#This Row],[HLD_SecCode]]</f>
        <v>SCBRF43397PS20NA</v>
      </c>
    </row>
    <row r="391" spans="1:22" x14ac:dyDescent="0.2">
      <c r="A391" s="131">
        <v>43397</v>
      </c>
      <c r="B391" t="s">
        <v>337</v>
      </c>
      <c r="C391" t="s">
        <v>120</v>
      </c>
      <c r="D391" t="s">
        <v>122</v>
      </c>
      <c r="E391" t="s">
        <v>122</v>
      </c>
      <c r="F391" t="s">
        <v>122</v>
      </c>
      <c r="I391" s="131"/>
      <c r="J391" s="6">
        <v>-36548.120000000003</v>
      </c>
      <c r="O391">
        <v>0</v>
      </c>
      <c r="P391">
        <v>-6.1957099999999997E-5</v>
      </c>
      <c r="S391" s="131"/>
      <c r="T391" s="6">
        <f>DataTable[HLD_MaturityDate] - DataTable[SEC_Issue_Date]</f>
        <v>0</v>
      </c>
      <c r="U391" s="131" t="str">
        <f>DataTable[HLD_Portfolio]&amp;DataTable[HLD_Date]</f>
        <v>SCBRF43397</v>
      </c>
      <c r="V391" t="str">
        <f>DataTable[[#This Row],[RefRng]]&amp;DataTable[[#This Row],[HLD_SecCode]]</f>
        <v>SCBRF43397AUDITING FEE</v>
      </c>
    </row>
    <row r="392" spans="1:22" x14ac:dyDescent="0.2">
      <c r="A392" s="131">
        <v>43397</v>
      </c>
      <c r="B392" t="s">
        <v>337</v>
      </c>
      <c r="C392" t="s">
        <v>120</v>
      </c>
      <c r="D392" t="s">
        <v>122</v>
      </c>
      <c r="E392" t="s">
        <v>122</v>
      </c>
      <c r="F392" t="s">
        <v>122</v>
      </c>
      <c r="I392" s="131"/>
      <c r="J392" s="6">
        <v>-1018.3</v>
      </c>
      <c r="O392">
        <v>0</v>
      </c>
      <c r="P392">
        <v>-1.7262000000000001E-6</v>
      </c>
      <c r="S392" s="131"/>
      <c r="T392" s="6">
        <f>DataTable[HLD_MaturityDate] - DataTable[SEC_Issue_Date]</f>
        <v>0</v>
      </c>
      <c r="U392" s="131" t="str">
        <f>DataTable[HLD_Portfolio]&amp;DataTable[HLD_Date]</f>
        <v>SCBRF43397</v>
      </c>
      <c r="V392" t="str">
        <f>DataTable[[#This Row],[RefRng]]&amp;DataTable[[#This Row],[HLD_SecCode]]</f>
        <v>SCBRF43397AUDITING FEE</v>
      </c>
    </row>
    <row r="393" spans="1:22" x14ac:dyDescent="0.2">
      <c r="A393" s="131">
        <v>43397</v>
      </c>
      <c r="B393" t="s">
        <v>337</v>
      </c>
      <c r="C393" t="s">
        <v>120</v>
      </c>
      <c r="D393" t="s">
        <v>123</v>
      </c>
      <c r="I393" s="131"/>
      <c r="J393" s="6">
        <v>-7887.31</v>
      </c>
      <c r="K393">
        <v>0</v>
      </c>
      <c r="O393">
        <v>0</v>
      </c>
      <c r="P393">
        <v>-1.3370700000000001E-5</v>
      </c>
      <c r="S393" s="131"/>
      <c r="T393" s="6">
        <f>DataTable[HLD_MaturityDate] - DataTable[SEC_Issue_Date]</f>
        <v>0</v>
      </c>
      <c r="U393" s="131" t="str">
        <f>DataTable[HLD_Portfolio]&amp;DataTable[HLD_Date]</f>
        <v>SCBRF43397</v>
      </c>
      <c r="V393" t="str">
        <f>DataTable[[#This Row],[RefRng]]&amp;DataTable[[#This Row],[HLD_SecCode]]</f>
        <v>SCBRF43397</v>
      </c>
    </row>
    <row r="394" spans="1:22" x14ac:dyDescent="0.2">
      <c r="A394" s="131">
        <v>43397</v>
      </c>
      <c r="B394" t="s">
        <v>337</v>
      </c>
      <c r="C394" t="s">
        <v>120</v>
      </c>
      <c r="D394" t="s">
        <v>125</v>
      </c>
      <c r="E394" t="s">
        <v>125</v>
      </c>
      <c r="I394" s="131"/>
      <c r="J394" s="6">
        <v>-12113.56</v>
      </c>
      <c r="L394">
        <v>-12113.56</v>
      </c>
      <c r="O394">
        <v>0</v>
      </c>
      <c r="P394">
        <v>-2.0535099999999999E-5</v>
      </c>
      <c r="S394" s="131"/>
      <c r="T394" s="6">
        <f>DataTable[HLD_MaturityDate] - DataTable[SEC_Issue_Date]</f>
        <v>0</v>
      </c>
      <c r="U394" s="131" t="str">
        <f>DataTable[HLD_Portfolio]&amp;DataTable[HLD_Date]</f>
        <v>SCBRF43397</v>
      </c>
      <c r="V394" t="str">
        <f>DataTable[[#This Row],[RefRng]]&amp;DataTable[[#This Row],[HLD_SecCode]]</f>
        <v>SCBRF43397</v>
      </c>
    </row>
    <row r="395" spans="1:22" x14ac:dyDescent="0.2">
      <c r="A395" s="131">
        <v>43397</v>
      </c>
      <c r="B395" t="s">
        <v>337</v>
      </c>
      <c r="C395" t="s">
        <v>120</v>
      </c>
      <c r="D395" t="s">
        <v>126</v>
      </c>
      <c r="E395" t="s">
        <v>126</v>
      </c>
      <c r="I395" s="131"/>
      <c r="J395" s="6">
        <v>-177550.42</v>
      </c>
      <c r="L395">
        <v>-177550.42</v>
      </c>
      <c r="O395">
        <v>0</v>
      </c>
      <c r="P395">
        <v>-3.0098689999999998E-4</v>
      </c>
      <c r="S395" s="131"/>
      <c r="T395" s="6">
        <f>DataTable[HLD_MaturityDate] - DataTable[SEC_Issue_Date]</f>
        <v>0</v>
      </c>
      <c r="U395" s="131" t="str">
        <f>DataTable[HLD_Portfolio]&amp;DataTable[HLD_Date]</f>
        <v>SCBRF43397</v>
      </c>
      <c r="V395" t="str">
        <f>DataTable[[#This Row],[RefRng]]&amp;DataTable[[#This Row],[HLD_SecCode]]</f>
        <v>SCBRF43397</v>
      </c>
    </row>
    <row r="396" spans="1:22" x14ac:dyDescent="0.2">
      <c r="A396" s="131">
        <v>43397</v>
      </c>
      <c r="B396" t="s">
        <v>337</v>
      </c>
      <c r="C396" t="s">
        <v>120</v>
      </c>
      <c r="D396" t="s">
        <v>127</v>
      </c>
      <c r="E396" t="s">
        <v>127</v>
      </c>
      <c r="I396" s="131"/>
      <c r="J396" s="6">
        <v>0</v>
      </c>
      <c r="L396">
        <v>0</v>
      </c>
      <c r="O396">
        <v>0</v>
      </c>
      <c r="P396">
        <v>0</v>
      </c>
      <c r="S396" s="131"/>
      <c r="T396" s="6">
        <f>DataTable[HLD_MaturityDate] - DataTable[SEC_Issue_Date]</f>
        <v>0</v>
      </c>
      <c r="U396" s="131" t="str">
        <f>DataTable[HLD_Portfolio]&amp;DataTable[HLD_Date]</f>
        <v>SCBRF43397</v>
      </c>
      <c r="V396" t="str">
        <f>DataTable[[#This Row],[RefRng]]&amp;DataTable[[#This Row],[HLD_SecCode]]</f>
        <v>SCBRF43397</v>
      </c>
    </row>
    <row r="397" spans="1:22" x14ac:dyDescent="0.2">
      <c r="A397" s="131">
        <v>43397</v>
      </c>
      <c r="B397" t="s">
        <v>337</v>
      </c>
      <c r="C397" t="s">
        <v>128</v>
      </c>
      <c r="D397" t="s">
        <v>125</v>
      </c>
      <c r="E397" t="s">
        <v>125</v>
      </c>
      <c r="I397" s="131"/>
      <c r="J397" s="6">
        <v>-1037.5999999999999</v>
      </c>
      <c r="O397">
        <v>0</v>
      </c>
      <c r="P397">
        <v>-1.759E-6</v>
      </c>
      <c r="S397" s="131"/>
      <c r="T397" s="6">
        <f>DataTable[HLD_MaturityDate] - DataTable[SEC_Issue_Date]</f>
        <v>0</v>
      </c>
      <c r="U397" s="131" t="str">
        <f>DataTable[HLD_Portfolio]&amp;DataTable[HLD_Date]</f>
        <v>SCBRF43397</v>
      </c>
      <c r="V397" t="str">
        <f>DataTable[[#This Row],[RefRng]]&amp;DataTable[[#This Row],[HLD_SecCode]]</f>
        <v>SCBRF43397</v>
      </c>
    </row>
    <row r="398" spans="1:22" x14ac:dyDescent="0.2">
      <c r="A398" s="131">
        <v>43397</v>
      </c>
      <c r="B398" t="s">
        <v>337</v>
      </c>
      <c r="C398" t="s">
        <v>128</v>
      </c>
      <c r="D398" t="s">
        <v>126</v>
      </c>
      <c r="E398" t="s">
        <v>126</v>
      </c>
      <c r="I398" s="131"/>
      <c r="J398" s="6">
        <v>-15208.22</v>
      </c>
      <c r="O398">
        <v>0</v>
      </c>
      <c r="P398">
        <v>-2.57813E-5</v>
      </c>
      <c r="S398" s="131"/>
      <c r="T398" s="6">
        <f>DataTable[HLD_MaturityDate] - DataTable[SEC_Issue_Date]</f>
        <v>0</v>
      </c>
      <c r="U398" s="131" t="str">
        <f>DataTable[HLD_Portfolio]&amp;DataTable[HLD_Date]</f>
        <v>SCBRF43397</v>
      </c>
      <c r="V398" t="str">
        <f>DataTable[[#This Row],[RefRng]]&amp;DataTable[[#This Row],[HLD_SecCode]]</f>
        <v>SCBRF43397</v>
      </c>
    </row>
    <row r="399" spans="1:22" x14ac:dyDescent="0.2">
      <c r="A399" s="131">
        <v>43397</v>
      </c>
      <c r="B399" t="s">
        <v>337</v>
      </c>
      <c r="C399" t="s">
        <v>128</v>
      </c>
      <c r="D399" t="s">
        <v>127</v>
      </c>
      <c r="E399" t="s">
        <v>127</v>
      </c>
      <c r="I399" s="131"/>
      <c r="J399" s="6">
        <v>0</v>
      </c>
      <c r="O399">
        <v>0</v>
      </c>
      <c r="P399">
        <v>0</v>
      </c>
      <c r="S399" s="131"/>
      <c r="T399" s="6">
        <f>DataTable[HLD_MaturityDate] - DataTable[SEC_Issue_Date]</f>
        <v>0</v>
      </c>
      <c r="U399" s="131" t="str">
        <f>DataTable[HLD_Portfolio]&amp;DataTable[HLD_Date]</f>
        <v>SCBRF43397</v>
      </c>
      <c r="V399" t="str">
        <f>DataTable[[#This Row],[RefRng]]&amp;DataTable[[#This Row],[HLD_SecCode]]</f>
        <v>SCBRF43397</v>
      </c>
    </row>
    <row r="400" spans="1:22" x14ac:dyDescent="0.2">
      <c r="A400" s="131">
        <v>43397</v>
      </c>
      <c r="B400" t="s">
        <v>338</v>
      </c>
      <c r="C400" t="s">
        <v>18</v>
      </c>
      <c r="D400" t="s">
        <v>19</v>
      </c>
      <c r="F400" t="s">
        <v>20</v>
      </c>
      <c r="G400" t="s">
        <v>21</v>
      </c>
      <c r="I400" s="131"/>
      <c r="J400" s="6">
        <v>3097722.44</v>
      </c>
      <c r="K400">
        <v>2473.4699999999998</v>
      </c>
      <c r="L400">
        <v>3097722.44</v>
      </c>
      <c r="M400">
        <v>0</v>
      </c>
      <c r="N400">
        <v>0</v>
      </c>
      <c r="O400">
        <v>0</v>
      </c>
      <c r="P400">
        <v>3.1814899999999999E-4</v>
      </c>
      <c r="Q400" t="s">
        <v>22</v>
      </c>
      <c r="R400" t="s">
        <v>23</v>
      </c>
      <c r="S400" s="131">
        <v>2</v>
      </c>
      <c r="T400" s="6">
        <f>DataTable[HLD_MaturityDate] - DataTable[SEC_Issue_Date]</f>
        <v>-2</v>
      </c>
      <c r="U400" s="131" t="str">
        <f>DataTable[HLD_Portfolio]&amp;DataTable[HLD_Date]</f>
        <v>SCBRM143397</v>
      </c>
      <c r="V400" t="str">
        <f>DataTable[[#This Row],[RefRng]]&amp;DataTable[[#This Row],[HLD_SecCode]]</f>
        <v>SCBRM143397CASH</v>
      </c>
    </row>
    <row r="401" spans="1:22" x14ac:dyDescent="0.2">
      <c r="A401" s="131">
        <v>43397</v>
      </c>
      <c r="B401" t="s">
        <v>338</v>
      </c>
      <c r="C401" t="s">
        <v>18</v>
      </c>
      <c r="D401" t="s">
        <v>38</v>
      </c>
      <c r="F401" t="s">
        <v>145</v>
      </c>
      <c r="G401" t="s">
        <v>40</v>
      </c>
      <c r="H401" t="s">
        <v>41</v>
      </c>
      <c r="I401" s="131">
        <v>43602</v>
      </c>
      <c r="J401" s="6">
        <v>400000000</v>
      </c>
      <c r="K401">
        <v>2911232.88</v>
      </c>
      <c r="L401">
        <v>400000000</v>
      </c>
      <c r="M401">
        <v>0.55652400000000002</v>
      </c>
      <c r="N401">
        <v>400000000</v>
      </c>
      <c r="O401">
        <v>1.65</v>
      </c>
      <c r="P401">
        <v>4.1347648700000003E-2</v>
      </c>
      <c r="Q401" t="s">
        <v>42</v>
      </c>
      <c r="R401" t="s">
        <v>23</v>
      </c>
      <c r="S401" s="131">
        <v>43237</v>
      </c>
      <c r="T401" s="6">
        <f>DataTable[HLD_MaturityDate] - DataTable[SEC_Issue_Date]</f>
        <v>365</v>
      </c>
      <c r="U401" s="131" t="str">
        <f>DataTable[HLD_Portfolio]&amp;DataTable[HLD_Date]</f>
        <v>SCBRM143397</v>
      </c>
      <c r="V401" t="str">
        <f>DataTable[[#This Row],[RefRng]]&amp;DataTable[[#This Row],[HLD_SecCode]]</f>
        <v>SCBRM143397CD12MTBANK17519</v>
      </c>
    </row>
    <row r="402" spans="1:22" x14ac:dyDescent="0.2">
      <c r="A402" s="131">
        <v>43397</v>
      </c>
      <c r="B402" t="s">
        <v>338</v>
      </c>
      <c r="C402" t="s">
        <v>18</v>
      </c>
      <c r="D402" t="s">
        <v>38</v>
      </c>
      <c r="F402" t="s">
        <v>168</v>
      </c>
      <c r="G402" t="s">
        <v>57</v>
      </c>
      <c r="H402" t="s">
        <v>58</v>
      </c>
      <c r="I402" s="131">
        <v>43672</v>
      </c>
      <c r="J402" s="6">
        <v>200000000</v>
      </c>
      <c r="K402">
        <v>847671.23</v>
      </c>
      <c r="L402">
        <v>200000000</v>
      </c>
      <c r="M402">
        <v>0.74393600000000004</v>
      </c>
      <c r="N402">
        <v>200000000</v>
      </c>
      <c r="O402">
        <v>1.7</v>
      </c>
      <c r="P402">
        <v>2.0611435599999998E-2</v>
      </c>
      <c r="Q402" t="s">
        <v>42</v>
      </c>
      <c r="R402" t="s">
        <v>23</v>
      </c>
      <c r="S402" s="131">
        <v>43307</v>
      </c>
      <c r="T402" s="6">
        <f>DataTable[HLD_MaturityDate] - DataTable[SEC_Issue_Date]</f>
        <v>365</v>
      </c>
      <c r="U402" s="131" t="str">
        <f>DataTable[HLD_Portfolio]&amp;DataTable[HLD_Date]</f>
        <v>SCBRM143397</v>
      </c>
      <c r="V402" t="str">
        <f>DataTable[[#This Row],[RefRng]]&amp;DataTable[[#This Row],[HLD_SecCode]]</f>
        <v>SCBRM143397F12MGHB260719</v>
      </c>
    </row>
    <row r="403" spans="1:22" x14ac:dyDescent="0.2">
      <c r="A403" s="131">
        <v>43397</v>
      </c>
      <c r="B403" t="s">
        <v>338</v>
      </c>
      <c r="C403" t="s">
        <v>18</v>
      </c>
      <c r="D403" t="s">
        <v>38</v>
      </c>
      <c r="F403" t="s">
        <v>518</v>
      </c>
      <c r="G403" t="s">
        <v>57</v>
      </c>
      <c r="H403" t="s">
        <v>58</v>
      </c>
      <c r="I403" s="131">
        <v>43434</v>
      </c>
      <c r="J403" s="6">
        <v>202000000</v>
      </c>
      <c r="K403">
        <v>2904372.6</v>
      </c>
      <c r="L403">
        <v>202000000</v>
      </c>
      <c r="M403">
        <v>0.101206</v>
      </c>
      <c r="N403">
        <v>202000000</v>
      </c>
      <c r="O403">
        <v>1.6</v>
      </c>
      <c r="P403">
        <v>2.10277434E-2</v>
      </c>
      <c r="Q403" t="s">
        <v>42</v>
      </c>
      <c r="R403" t="s">
        <v>23</v>
      </c>
      <c r="S403" s="131">
        <v>43070</v>
      </c>
      <c r="T403" s="6">
        <f>DataTable[HLD_MaturityDate] - DataTable[SEC_Issue_Date]</f>
        <v>364</v>
      </c>
      <c r="U403" s="131" t="str">
        <f>DataTable[HLD_Portfolio]&amp;DataTable[HLD_Date]</f>
        <v>SCBRM143397</v>
      </c>
      <c r="V403" t="str">
        <f>DataTable[[#This Row],[RefRng]]&amp;DataTable[[#This Row],[HLD_SecCode]]</f>
        <v>SCBRM143397F12MGHB301118</v>
      </c>
    </row>
    <row r="404" spans="1:22" x14ac:dyDescent="0.2">
      <c r="A404" s="131">
        <v>43397</v>
      </c>
      <c r="B404" t="s">
        <v>338</v>
      </c>
      <c r="C404" t="s">
        <v>18</v>
      </c>
      <c r="D404" t="s">
        <v>38</v>
      </c>
      <c r="F404" t="s">
        <v>519</v>
      </c>
      <c r="G404" t="s">
        <v>71</v>
      </c>
      <c r="H404" t="s">
        <v>27</v>
      </c>
      <c r="I404" s="131">
        <v>44196</v>
      </c>
      <c r="J404" s="6">
        <v>102113.28</v>
      </c>
      <c r="K404">
        <v>121.7</v>
      </c>
      <c r="L404">
        <v>102113.28</v>
      </c>
      <c r="M404">
        <v>0</v>
      </c>
      <c r="N404">
        <v>102113.28</v>
      </c>
      <c r="O404">
        <v>0</v>
      </c>
      <c r="P404">
        <v>1.04916E-5</v>
      </c>
      <c r="Q404" t="s">
        <v>42</v>
      </c>
      <c r="R404" t="s">
        <v>23</v>
      </c>
      <c r="S404" s="131">
        <v>40183</v>
      </c>
      <c r="T404" s="6">
        <f>DataTable[HLD_MaturityDate] - DataTable[SEC_Issue_Date]</f>
        <v>4013</v>
      </c>
      <c r="U404" s="131" t="str">
        <f>DataTable[HLD_Portfolio]&amp;DataTable[HLD_Date]</f>
        <v>SCBRM143397</v>
      </c>
      <c r="V404" t="str">
        <f>DataTable[[#This Row],[RefRng]]&amp;DataTable[[#This Row],[HLD_SecCode]]</f>
        <v>SCBRM143397INVSKTBrm1</v>
      </c>
    </row>
    <row r="405" spans="1:22" x14ac:dyDescent="0.2">
      <c r="A405" s="131">
        <v>43397</v>
      </c>
      <c r="B405" t="s">
        <v>338</v>
      </c>
      <c r="C405" t="s">
        <v>18</v>
      </c>
      <c r="D405" t="s">
        <v>38</v>
      </c>
      <c r="F405" t="s">
        <v>520</v>
      </c>
      <c r="G405" t="s">
        <v>73</v>
      </c>
      <c r="H405" t="s">
        <v>58</v>
      </c>
      <c r="I405" s="131">
        <v>44196</v>
      </c>
      <c r="J405" s="6">
        <v>310271.09000000003</v>
      </c>
      <c r="K405">
        <v>72936.789999999994</v>
      </c>
      <c r="L405">
        <v>310271.09000000003</v>
      </c>
      <c r="M405">
        <v>0</v>
      </c>
      <c r="N405">
        <v>310271.09000000003</v>
      </c>
      <c r="O405">
        <v>0</v>
      </c>
      <c r="P405">
        <v>3.9325600000000002E-5</v>
      </c>
      <c r="Q405" t="s">
        <v>42</v>
      </c>
      <c r="R405" t="s">
        <v>23</v>
      </c>
      <c r="S405" s="131">
        <v>38594</v>
      </c>
      <c r="T405" s="6">
        <f>DataTable[HLD_MaturityDate] - DataTable[SEC_Issue_Date]</f>
        <v>5602</v>
      </c>
      <c r="U405" s="131" t="str">
        <f>DataTable[HLD_Portfolio]&amp;DataTable[HLD_Date]</f>
        <v>SCBRM143397</v>
      </c>
      <c r="V405" t="str">
        <f>DataTable[[#This Row],[RefRng]]&amp;DataTable[[#This Row],[HLD_SecCode]]</f>
        <v>SCBRM143397INVSUOBTrm1</v>
      </c>
    </row>
    <row r="406" spans="1:22" x14ac:dyDescent="0.2">
      <c r="A406" s="131">
        <v>43397</v>
      </c>
      <c r="B406" t="s">
        <v>338</v>
      </c>
      <c r="C406" t="s">
        <v>18</v>
      </c>
      <c r="D406" t="s">
        <v>75</v>
      </c>
      <c r="F406" t="s">
        <v>181</v>
      </c>
      <c r="G406" t="s">
        <v>182</v>
      </c>
      <c r="H406" t="s">
        <v>51</v>
      </c>
      <c r="I406" s="131">
        <v>43502</v>
      </c>
      <c r="J406" s="6">
        <v>99486311</v>
      </c>
      <c r="L406">
        <v>99517951</v>
      </c>
      <c r="M406">
        <v>0.283468</v>
      </c>
      <c r="N406">
        <v>100000000</v>
      </c>
      <c r="O406">
        <v>1.7</v>
      </c>
      <c r="P406">
        <v>1.0209507E-2</v>
      </c>
      <c r="Q406" t="s">
        <v>42</v>
      </c>
      <c r="R406" t="s">
        <v>23</v>
      </c>
      <c r="S406" s="131">
        <v>43318</v>
      </c>
      <c r="T406" s="6">
        <f>DataTable[HLD_MaturityDate] - DataTable[SEC_Issue_Date]</f>
        <v>184</v>
      </c>
      <c r="U406" s="131" t="str">
        <f>DataTable[HLD_Portfolio]&amp;DataTable[HLD_Date]</f>
        <v>SCBRM143397</v>
      </c>
      <c r="V406" t="str">
        <f>DataTable[[#This Row],[RefRng]]&amp;DataTable[[#This Row],[HLD_SecCode]]</f>
        <v>SCBRM143397BANPU19206A</v>
      </c>
    </row>
    <row r="407" spans="1:22" x14ac:dyDescent="0.2">
      <c r="A407" s="131">
        <v>43397</v>
      </c>
      <c r="B407" t="s">
        <v>338</v>
      </c>
      <c r="C407" t="s">
        <v>18</v>
      </c>
      <c r="D407" t="s">
        <v>75</v>
      </c>
      <c r="F407" t="s">
        <v>195</v>
      </c>
      <c r="G407" t="s">
        <v>80</v>
      </c>
      <c r="H407" t="s">
        <v>47</v>
      </c>
      <c r="I407" s="131">
        <v>43496</v>
      </c>
      <c r="J407" s="6">
        <v>298660211.19</v>
      </c>
      <c r="L407">
        <v>298736712.00999999</v>
      </c>
      <c r="M407">
        <v>0.26729399999999998</v>
      </c>
      <c r="N407">
        <v>300000000</v>
      </c>
      <c r="O407">
        <v>1.575</v>
      </c>
      <c r="P407">
        <v>3.06491765E-2</v>
      </c>
      <c r="Q407" t="s">
        <v>42</v>
      </c>
      <c r="R407" t="s">
        <v>23</v>
      </c>
      <c r="S407" s="131">
        <v>43227</v>
      </c>
      <c r="T407" s="6">
        <f>DataTable[HLD_MaturityDate] - DataTable[SEC_Issue_Date]</f>
        <v>269</v>
      </c>
      <c r="U407" s="131" t="str">
        <f>DataTable[HLD_Portfolio]&amp;DataTable[HLD_Date]</f>
        <v>SCBRM143397</v>
      </c>
      <c r="V407" t="str">
        <f>DataTable[[#This Row],[RefRng]]&amp;DataTable[[#This Row],[HLD_SecCode]]</f>
        <v>SCBRM143397SPALI19131A</v>
      </c>
    </row>
    <row r="408" spans="1:22" x14ac:dyDescent="0.2">
      <c r="A408" s="131">
        <v>43397</v>
      </c>
      <c r="B408" t="s">
        <v>338</v>
      </c>
      <c r="C408" t="s">
        <v>18</v>
      </c>
      <c r="D408" t="s">
        <v>75</v>
      </c>
      <c r="F408" t="s">
        <v>521</v>
      </c>
      <c r="G408" t="s">
        <v>232</v>
      </c>
      <c r="H408" t="s">
        <v>29</v>
      </c>
      <c r="I408" s="131">
        <v>43550</v>
      </c>
      <c r="J408" s="6">
        <v>57401300.799999997</v>
      </c>
      <c r="L408">
        <v>57449741.82</v>
      </c>
      <c r="M408">
        <v>0.41214000000000001</v>
      </c>
      <c r="N408">
        <v>58000000</v>
      </c>
      <c r="O408">
        <v>2.2999999999999998</v>
      </c>
      <c r="P408">
        <v>5.8906493999999997E-3</v>
      </c>
      <c r="Q408" t="s">
        <v>42</v>
      </c>
      <c r="R408" t="s">
        <v>23</v>
      </c>
      <c r="S408" s="131">
        <v>43280</v>
      </c>
      <c r="T408" s="6">
        <f>DataTable[HLD_MaturityDate] - DataTable[SEC_Issue_Date]</f>
        <v>270</v>
      </c>
      <c r="U408" s="131" t="str">
        <f>DataTable[HLD_Portfolio]&amp;DataTable[HLD_Date]</f>
        <v>SCBRM143397</v>
      </c>
      <c r="V408" t="str">
        <f>DataTable[[#This Row],[RefRng]]&amp;DataTable[[#This Row],[HLD_SecCode]]</f>
        <v>SCBRM143397TUC19326A</v>
      </c>
    </row>
    <row r="409" spans="1:22" x14ac:dyDescent="0.2">
      <c r="A409" s="131">
        <v>43397</v>
      </c>
      <c r="B409" t="s">
        <v>338</v>
      </c>
      <c r="C409" t="s">
        <v>18</v>
      </c>
      <c r="D409" t="s">
        <v>81</v>
      </c>
      <c r="F409" t="s">
        <v>82</v>
      </c>
      <c r="G409" t="s">
        <v>83</v>
      </c>
      <c r="H409" t="s">
        <v>29</v>
      </c>
      <c r="I409" s="131">
        <v>43418</v>
      </c>
      <c r="J409" s="6">
        <v>39973278</v>
      </c>
      <c r="L409">
        <v>39973278</v>
      </c>
      <c r="M409">
        <v>5.4757E-2</v>
      </c>
      <c r="N409">
        <v>40000000</v>
      </c>
      <c r="O409">
        <v>1.22</v>
      </c>
      <c r="P409">
        <v>4.1021469E-3</v>
      </c>
      <c r="Q409" t="s">
        <v>42</v>
      </c>
      <c r="R409" t="s">
        <v>23</v>
      </c>
      <c r="S409" s="131">
        <v>43054</v>
      </c>
      <c r="T409" s="6">
        <f>DataTable[HLD_MaturityDate] - DataTable[SEC_Issue_Date]</f>
        <v>364</v>
      </c>
      <c r="U409" s="131" t="str">
        <f>DataTable[HLD_Portfolio]&amp;DataTable[HLD_Date]</f>
        <v>SCBRM143397</v>
      </c>
      <c r="V409" t="str">
        <f>DataTable[[#This Row],[RefRng]]&amp;DataTable[[#This Row],[HLD_SecCode]]</f>
        <v>SCBRM143397TB18N14A</v>
      </c>
    </row>
    <row r="410" spans="1:22" x14ac:dyDescent="0.2">
      <c r="A410" s="131">
        <v>43397</v>
      </c>
      <c r="B410" t="s">
        <v>338</v>
      </c>
      <c r="C410" t="s">
        <v>18</v>
      </c>
      <c r="D410" t="s">
        <v>85</v>
      </c>
      <c r="F410" t="s">
        <v>86</v>
      </c>
      <c r="G410" t="s">
        <v>87</v>
      </c>
      <c r="I410" s="131">
        <v>43440</v>
      </c>
      <c r="J410" s="6">
        <v>149775951</v>
      </c>
      <c r="L410">
        <v>149768620.5</v>
      </c>
      <c r="M410">
        <v>0.114895</v>
      </c>
      <c r="N410">
        <v>150000000</v>
      </c>
      <c r="O410">
        <v>1.3426</v>
      </c>
      <c r="P410">
        <v>1.5370341900000001E-2</v>
      </c>
      <c r="Q410" t="s">
        <v>42</v>
      </c>
      <c r="R410" t="s">
        <v>23</v>
      </c>
      <c r="S410" s="131">
        <v>43349</v>
      </c>
      <c r="T410" s="6">
        <f>DataTable[HLD_MaturityDate] - DataTable[SEC_Issue_Date]</f>
        <v>91</v>
      </c>
      <c r="U410" s="131" t="str">
        <f>DataTable[HLD_Portfolio]&amp;DataTable[HLD_Date]</f>
        <v>SCBRM143397</v>
      </c>
      <c r="V410" t="str">
        <f>DataTable[[#This Row],[RefRng]]&amp;DataTable[[#This Row],[HLD_SecCode]]</f>
        <v>SCBRM143397CB18D06C</v>
      </c>
    </row>
    <row r="411" spans="1:22" x14ac:dyDescent="0.2">
      <c r="A411" s="131">
        <v>43397</v>
      </c>
      <c r="B411" t="s">
        <v>338</v>
      </c>
      <c r="C411" t="s">
        <v>18</v>
      </c>
      <c r="D411" t="s">
        <v>85</v>
      </c>
      <c r="F411" t="s">
        <v>88</v>
      </c>
      <c r="G411" t="s">
        <v>87</v>
      </c>
      <c r="I411" s="131">
        <v>43447</v>
      </c>
      <c r="J411" s="6">
        <v>149768280</v>
      </c>
      <c r="L411">
        <v>149765980.5</v>
      </c>
      <c r="M411">
        <v>0.13397899999999999</v>
      </c>
      <c r="N411">
        <v>150000000</v>
      </c>
      <c r="O411">
        <v>1.163953</v>
      </c>
      <c r="P411">
        <v>1.5369554699999999E-2</v>
      </c>
      <c r="Q411" t="s">
        <v>42</v>
      </c>
      <c r="R411" t="s">
        <v>23</v>
      </c>
      <c r="S411" s="131">
        <v>43356</v>
      </c>
      <c r="T411" s="6">
        <f>DataTable[HLD_MaturityDate] - DataTable[SEC_Issue_Date]</f>
        <v>91</v>
      </c>
      <c r="U411" s="131" t="str">
        <f>DataTable[HLD_Portfolio]&amp;DataTable[HLD_Date]</f>
        <v>SCBRM143397</v>
      </c>
      <c r="V411" t="str">
        <f>DataTable[[#This Row],[RefRng]]&amp;DataTable[[#This Row],[HLD_SecCode]]</f>
        <v>SCBRM143397CB18D13B</v>
      </c>
    </row>
    <row r="412" spans="1:22" x14ac:dyDescent="0.2">
      <c r="A412" s="131">
        <v>43397</v>
      </c>
      <c r="B412" t="s">
        <v>338</v>
      </c>
      <c r="C412" t="s">
        <v>18</v>
      </c>
      <c r="D412" t="s">
        <v>85</v>
      </c>
      <c r="F412" t="s">
        <v>570</v>
      </c>
      <c r="G412" t="s">
        <v>87</v>
      </c>
      <c r="I412" s="131">
        <v>43454</v>
      </c>
      <c r="J412" s="6">
        <v>107765219.88</v>
      </c>
      <c r="L412">
        <v>107765219.88</v>
      </c>
      <c r="M412">
        <v>0.153084</v>
      </c>
      <c r="N412">
        <v>108000000</v>
      </c>
      <c r="O412">
        <v>1.42</v>
      </c>
      <c r="P412">
        <v>1.1059107E-2</v>
      </c>
      <c r="Q412" t="s">
        <v>42</v>
      </c>
      <c r="R412" t="s">
        <v>23</v>
      </c>
      <c r="S412" s="131">
        <v>43272</v>
      </c>
      <c r="T412" s="6">
        <f>DataTable[HLD_MaturityDate] - DataTable[SEC_Issue_Date]</f>
        <v>182</v>
      </c>
      <c r="U412" s="131" t="str">
        <f>DataTable[HLD_Portfolio]&amp;DataTable[HLD_Date]</f>
        <v>SCBRM143397</v>
      </c>
      <c r="V412" t="str">
        <f>DataTable[[#This Row],[RefRng]]&amp;DataTable[[#This Row],[HLD_SecCode]]</f>
        <v>SCBRM143397CB18D20A</v>
      </c>
    </row>
    <row r="413" spans="1:22" x14ac:dyDescent="0.2">
      <c r="A413" s="131">
        <v>43397</v>
      </c>
      <c r="B413" t="s">
        <v>338</v>
      </c>
      <c r="C413" t="s">
        <v>18</v>
      </c>
      <c r="D413" t="s">
        <v>85</v>
      </c>
      <c r="F413" t="s">
        <v>197</v>
      </c>
      <c r="G413" t="s">
        <v>87</v>
      </c>
      <c r="I413" s="131">
        <v>43461</v>
      </c>
      <c r="J413" s="6">
        <v>278337023.45999998</v>
      </c>
      <c r="L413">
        <v>278332230.24000001</v>
      </c>
      <c r="M413">
        <v>0.172151</v>
      </c>
      <c r="N413">
        <v>279000000</v>
      </c>
      <c r="O413">
        <v>1.39</v>
      </c>
      <c r="P413">
        <v>2.8563565700000002E-2</v>
      </c>
      <c r="Q413" t="s">
        <v>42</v>
      </c>
      <c r="R413" t="s">
        <v>23</v>
      </c>
      <c r="S413" s="131">
        <v>43370</v>
      </c>
      <c r="T413" s="6">
        <f>DataTable[HLD_MaturityDate] - DataTable[SEC_Issue_Date]</f>
        <v>91</v>
      </c>
      <c r="U413" s="131" t="str">
        <f>DataTable[HLD_Portfolio]&amp;DataTable[HLD_Date]</f>
        <v>SCBRM143397</v>
      </c>
      <c r="V413" t="str">
        <f>DataTable[[#This Row],[RefRng]]&amp;DataTable[[#This Row],[HLD_SecCode]]</f>
        <v>SCBRM143397CB18D27B</v>
      </c>
    </row>
    <row r="414" spans="1:22" x14ac:dyDescent="0.2">
      <c r="A414" s="131">
        <v>43397</v>
      </c>
      <c r="B414" t="s">
        <v>338</v>
      </c>
      <c r="C414" t="s">
        <v>18</v>
      </c>
      <c r="D414" t="s">
        <v>85</v>
      </c>
      <c r="F414" t="s">
        <v>198</v>
      </c>
      <c r="G414" t="s">
        <v>87</v>
      </c>
      <c r="I414" s="131">
        <v>43405</v>
      </c>
      <c r="J414" s="6">
        <v>64984671.049999997</v>
      </c>
      <c r="L414">
        <v>64984671.049999997</v>
      </c>
      <c r="M414">
        <v>1.9174E-2</v>
      </c>
      <c r="N414">
        <v>65000000</v>
      </c>
      <c r="O414">
        <v>1.23</v>
      </c>
      <c r="P414">
        <v>6.6688718000000001E-3</v>
      </c>
      <c r="Q414" t="s">
        <v>42</v>
      </c>
      <c r="R414" t="s">
        <v>23</v>
      </c>
      <c r="S414" s="131">
        <v>43223</v>
      </c>
      <c r="T414" s="6">
        <f>DataTable[HLD_MaturityDate] - DataTable[SEC_Issue_Date]</f>
        <v>182</v>
      </c>
      <c r="U414" s="131" t="str">
        <f>DataTable[HLD_Portfolio]&amp;DataTable[HLD_Date]</f>
        <v>SCBRM143397</v>
      </c>
      <c r="V414" t="str">
        <f>DataTable[[#This Row],[RefRng]]&amp;DataTable[[#This Row],[HLD_SecCode]]</f>
        <v>SCBRM143397CB18N01A</v>
      </c>
    </row>
    <row r="415" spans="1:22" x14ac:dyDescent="0.2">
      <c r="A415" s="131">
        <v>43397</v>
      </c>
      <c r="B415" t="s">
        <v>338</v>
      </c>
      <c r="C415" t="s">
        <v>18</v>
      </c>
      <c r="D415" t="s">
        <v>85</v>
      </c>
      <c r="F415" t="s">
        <v>1251</v>
      </c>
      <c r="G415" t="s">
        <v>87</v>
      </c>
      <c r="I415" s="131">
        <v>43410</v>
      </c>
      <c r="J415" s="6">
        <v>269892820.80000001</v>
      </c>
      <c r="L415">
        <v>269892820.80000001</v>
      </c>
      <c r="M415">
        <v>3.2863999999999997E-2</v>
      </c>
      <c r="N415">
        <v>270000000</v>
      </c>
      <c r="O415">
        <v>1.2079029999999999</v>
      </c>
      <c r="P415">
        <v>2.7697002799999999E-2</v>
      </c>
      <c r="Q415" t="s">
        <v>42</v>
      </c>
      <c r="R415" t="s">
        <v>23</v>
      </c>
      <c r="S415" s="131">
        <v>43397</v>
      </c>
      <c r="T415" s="6">
        <f>DataTable[HLD_MaturityDate] - DataTable[SEC_Issue_Date]</f>
        <v>13</v>
      </c>
      <c r="U415" s="131" t="str">
        <f>DataTable[HLD_Portfolio]&amp;DataTable[HLD_Date]</f>
        <v>SCBRM143397</v>
      </c>
      <c r="V415" t="str">
        <f>DataTable[[#This Row],[RefRng]]&amp;DataTable[[#This Row],[HLD_SecCode]]</f>
        <v>SCBRM143397CB18N06A</v>
      </c>
    </row>
    <row r="416" spans="1:22" x14ac:dyDescent="0.2">
      <c r="A416" s="131">
        <v>43397</v>
      </c>
      <c r="B416" t="s">
        <v>338</v>
      </c>
      <c r="C416" t="s">
        <v>18</v>
      </c>
      <c r="D416" t="s">
        <v>85</v>
      </c>
      <c r="F416" t="s">
        <v>91</v>
      </c>
      <c r="G416" t="s">
        <v>87</v>
      </c>
      <c r="I416" s="131">
        <v>43412</v>
      </c>
      <c r="J416" s="6">
        <v>128941777.14</v>
      </c>
      <c r="L416">
        <v>128941777.14</v>
      </c>
      <c r="M416">
        <v>3.8337999999999997E-2</v>
      </c>
      <c r="N416">
        <v>129000000</v>
      </c>
      <c r="O416">
        <v>1.1772480000000001</v>
      </c>
      <c r="P416">
        <v>1.3232292499999999E-2</v>
      </c>
      <c r="Q416" t="s">
        <v>42</v>
      </c>
      <c r="R416" t="s">
        <v>23</v>
      </c>
      <c r="S416" s="131">
        <v>43230</v>
      </c>
      <c r="T416" s="6">
        <f>DataTable[HLD_MaturityDate] - DataTable[SEC_Issue_Date]</f>
        <v>182</v>
      </c>
      <c r="U416" s="131" t="str">
        <f>DataTable[HLD_Portfolio]&amp;DataTable[HLD_Date]</f>
        <v>SCBRM143397</v>
      </c>
      <c r="V416" t="str">
        <f>DataTable[[#This Row],[RefRng]]&amp;DataTable[[#This Row],[HLD_SecCode]]</f>
        <v>SCBRM143397CB18N08A</v>
      </c>
    </row>
    <row r="417" spans="1:22" x14ac:dyDescent="0.2">
      <c r="A417" s="131">
        <v>43397</v>
      </c>
      <c r="B417" t="s">
        <v>338</v>
      </c>
      <c r="C417" t="s">
        <v>18</v>
      </c>
      <c r="D417" t="s">
        <v>85</v>
      </c>
      <c r="F417" t="s">
        <v>92</v>
      </c>
      <c r="G417" t="s">
        <v>87</v>
      </c>
      <c r="I417" s="131">
        <v>43412</v>
      </c>
      <c r="J417" s="6">
        <v>249881592.5</v>
      </c>
      <c r="L417">
        <v>249881362.5</v>
      </c>
      <c r="M417">
        <v>3.8337999999999997E-2</v>
      </c>
      <c r="N417">
        <v>250000000</v>
      </c>
      <c r="O417">
        <v>1.237797</v>
      </c>
      <c r="P417">
        <v>2.5643405899999999E-2</v>
      </c>
      <c r="Q417" t="s">
        <v>42</v>
      </c>
      <c r="R417" t="s">
        <v>23</v>
      </c>
      <c r="S417" s="131">
        <v>43321</v>
      </c>
      <c r="T417" s="6">
        <f>DataTable[HLD_MaturityDate] - DataTable[SEC_Issue_Date]</f>
        <v>91</v>
      </c>
      <c r="U417" s="131" t="str">
        <f>DataTable[HLD_Portfolio]&amp;DataTable[HLD_Date]</f>
        <v>SCBRM143397</v>
      </c>
      <c r="V417" t="str">
        <f>DataTable[[#This Row],[RefRng]]&amp;DataTable[[#This Row],[HLD_SecCode]]</f>
        <v>SCBRM143397CB18N08B</v>
      </c>
    </row>
    <row r="418" spans="1:22" x14ac:dyDescent="0.2">
      <c r="A418" s="131">
        <v>43397</v>
      </c>
      <c r="B418" t="s">
        <v>338</v>
      </c>
      <c r="C418" t="s">
        <v>18</v>
      </c>
      <c r="D418" t="s">
        <v>85</v>
      </c>
      <c r="F418" t="s">
        <v>94</v>
      </c>
      <c r="G418" t="s">
        <v>87</v>
      </c>
      <c r="I418" s="131">
        <v>43419</v>
      </c>
      <c r="J418" s="6">
        <v>49965626.5</v>
      </c>
      <c r="L418">
        <v>49965626.5</v>
      </c>
      <c r="M418">
        <v>5.7493000000000002E-2</v>
      </c>
      <c r="N418">
        <v>50000000</v>
      </c>
      <c r="O418">
        <v>1.1957139999999999</v>
      </c>
      <c r="P418">
        <v>5.1275838999999997E-3</v>
      </c>
      <c r="Q418" t="s">
        <v>42</v>
      </c>
      <c r="R418" t="s">
        <v>23</v>
      </c>
      <c r="S418" s="131">
        <v>43328</v>
      </c>
      <c r="T418" s="6">
        <f>DataTable[HLD_MaturityDate] - DataTable[SEC_Issue_Date]</f>
        <v>91</v>
      </c>
      <c r="U418" s="131" t="str">
        <f>DataTable[HLD_Portfolio]&amp;DataTable[HLD_Date]</f>
        <v>SCBRM143397</v>
      </c>
      <c r="V418" t="str">
        <f>DataTable[[#This Row],[RefRng]]&amp;DataTable[[#This Row],[HLD_SecCode]]</f>
        <v>SCBRM143397CB18N15B</v>
      </c>
    </row>
    <row r="419" spans="1:22" x14ac:dyDescent="0.2">
      <c r="A419" s="131">
        <v>43397</v>
      </c>
      <c r="B419" t="s">
        <v>338</v>
      </c>
      <c r="C419" t="s">
        <v>18</v>
      </c>
      <c r="D419" t="s">
        <v>85</v>
      </c>
      <c r="F419" t="s">
        <v>95</v>
      </c>
      <c r="G419" t="s">
        <v>87</v>
      </c>
      <c r="I419" s="131">
        <v>43426</v>
      </c>
      <c r="J419" s="6">
        <v>99905733</v>
      </c>
      <c r="L419">
        <v>99905733</v>
      </c>
      <c r="M419">
        <v>7.6638999999999999E-2</v>
      </c>
      <c r="N419">
        <v>100000000</v>
      </c>
      <c r="O419">
        <v>1.23</v>
      </c>
      <c r="P419">
        <v>1.0252549E-2</v>
      </c>
      <c r="Q419" t="s">
        <v>42</v>
      </c>
      <c r="R419" t="s">
        <v>23</v>
      </c>
      <c r="S419" s="131">
        <v>43244</v>
      </c>
      <c r="T419" s="6">
        <f>DataTable[HLD_MaturityDate] - DataTable[SEC_Issue_Date]</f>
        <v>182</v>
      </c>
      <c r="U419" s="131" t="str">
        <f>DataTable[HLD_Portfolio]&amp;DataTable[HLD_Date]</f>
        <v>SCBRM143397</v>
      </c>
      <c r="V419" t="str">
        <f>DataTable[[#This Row],[RefRng]]&amp;DataTable[[#This Row],[HLD_SecCode]]</f>
        <v>SCBRM143397CB18N22A</v>
      </c>
    </row>
    <row r="420" spans="1:22" x14ac:dyDescent="0.2">
      <c r="A420" s="131">
        <v>43397</v>
      </c>
      <c r="B420" t="s">
        <v>338</v>
      </c>
      <c r="C420" t="s">
        <v>18</v>
      </c>
      <c r="D420" t="s">
        <v>85</v>
      </c>
      <c r="F420" t="s">
        <v>97</v>
      </c>
      <c r="G420" t="s">
        <v>87</v>
      </c>
      <c r="I420" s="131">
        <v>43433</v>
      </c>
      <c r="J420" s="6">
        <v>224760300.75</v>
      </c>
      <c r="L420">
        <v>224760300.75</v>
      </c>
      <c r="M420">
        <v>9.5772999999999997E-2</v>
      </c>
      <c r="N420">
        <v>225000000</v>
      </c>
      <c r="O420">
        <v>1.112174</v>
      </c>
      <c r="P420">
        <v>2.3065403000000002E-2</v>
      </c>
      <c r="Q420" t="s">
        <v>42</v>
      </c>
      <c r="R420" t="s">
        <v>23</v>
      </c>
      <c r="S420" s="131">
        <v>43251</v>
      </c>
      <c r="T420" s="6">
        <f>DataTable[HLD_MaturityDate] - DataTable[SEC_Issue_Date]</f>
        <v>182</v>
      </c>
      <c r="U420" s="131" t="str">
        <f>DataTable[HLD_Portfolio]&amp;DataTable[HLD_Date]</f>
        <v>SCBRM143397</v>
      </c>
      <c r="V420" t="str">
        <f>DataTable[[#This Row],[RefRng]]&amp;DataTable[[#This Row],[HLD_SecCode]]</f>
        <v>SCBRM143397CB18N29A</v>
      </c>
    </row>
    <row r="421" spans="1:22" x14ac:dyDescent="0.2">
      <c r="A421" s="131">
        <v>43397</v>
      </c>
      <c r="B421" t="s">
        <v>338</v>
      </c>
      <c r="C421" t="s">
        <v>18</v>
      </c>
      <c r="D421" t="s">
        <v>85</v>
      </c>
      <c r="F421" t="s">
        <v>99</v>
      </c>
      <c r="G421" t="s">
        <v>87</v>
      </c>
      <c r="I421" s="131">
        <v>43398</v>
      </c>
      <c r="J421" s="6">
        <v>25000000</v>
      </c>
      <c r="L421">
        <v>25000000</v>
      </c>
      <c r="M421">
        <v>2.7399999999999998E-3</v>
      </c>
      <c r="N421">
        <v>25000000</v>
      </c>
      <c r="O421">
        <v>1.18</v>
      </c>
      <c r="P421">
        <v>2.5655557E-3</v>
      </c>
      <c r="Q421" t="s">
        <v>42</v>
      </c>
      <c r="R421" t="s">
        <v>23</v>
      </c>
      <c r="S421" s="131">
        <v>43216</v>
      </c>
      <c r="T421" s="6">
        <f>DataTable[HLD_MaturityDate] - DataTable[SEC_Issue_Date]</f>
        <v>182</v>
      </c>
      <c r="U421" s="131" t="str">
        <f>DataTable[HLD_Portfolio]&amp;DataTable[HLD_Date]</f>
        <v>SCBRM143397</v>
      </c>
      <c r="V421" t="str">
        <f>DataTable[[#This Row],[RefRng]]&amp;DataTable[[#This Row],[HLD_SecCode]]</f>
        <v>SCBRM143397CB18O25A</v>
      </c>
    </row>
    <row r="422" spans="1:22" x14ac:dyDescent="0.2">
      <c r="A422" s="131">
        <v>43397</v>
      </c>
      <c r="B422" t="s">
        <v>338</v>
      </c>
      <c r="C422" t="s">
        <v>18</v>
      </c>
      <c r="D422" t="s">
        <v>85</v>
      </c>
      <c r="F422" t="s">
        <v>100</v>
      </c>
      <c r="G422" t="s">
        <v>87</v>
      </c>
      <c r="I422" s="131">
        <v>43398</v>
      </c>
      <c r="J422" s="6">
        <v>158000000</v>
      </c>
      <c r="L422">
        <v>158000000</v>
      </c>
      <c r="M422">
        <v>2.7399999999999998E-3</v>
      </c>
      <c r="N422">
        <v>158000000</v>
      </c>
      <c r="O422">
        <v>1.1427849999999999</v>
      </c>
      <c r="P422">
        <v>1.6214312099999999E-2</v>
      </c>
      <c r="Q422" t="s">
        <v>42</v>
      </c>
      <c r="R422" t="s">
        <v>23</v>
      </c>
      <c r="S422" s="131">
        <v>43307</v>
      </c>
      <c r="T422" s="6">
        <f>DataTable[HLD_MaturityDate] - DataTable[SEC_Issue_Date]</f>
        <v>91</v>
      </c>
      <c r="U422" s="131" t="str">
        <f>DataTable[HLD_Portfolio]&amp;DataTable[HLD_Date]</f>
        <v>SCBRM143397</v>
      </c>
      <c r="V422" t="str">
        <f>DataTable[[#This Row],[RefRng]]&amp;DataTable[[#This Row],[HLD_SecCode]]</f>
        <v>SCBRM143397CB18O25B</v>
      </c>
    </row>
    <row r="423" spans="1:22" x14ac:dyDescent="0.2">
      <c r="A423" s="131">
        <v>43397</v>
      </c>
      <c r="B423" t="s">
        <v>338</v>
      </c>
      <c r="C423" t="s">
        <v>18</v>
      </c>
      <c r="D423" t="s">
        <v>85</v>
      </c>
      <c r="F423" t="s">
        <v>101</v>
      </c>
      <c r="G423" t="s">
        <v>87</v>
      </c>
      <c r="I423" s="131">
        <v>43468</v>
      </c>
      <c r="J423" s="6">
        <v>89746987.5</v>
      </c>
      <c r="L423">
        <v>89743440.599999994</v>
      </c>
      <c r="M423">
        <v>0.19125400000000001</v>
      </c>
      <c r="N423">
        <v>90000000</v>
      </c>
      <c r="O423">
        <v>1.490667</v>
      </c>
      <c r="P423">
        <v>9.2100359E-3</v>
      </c>
      <c r="Q423" t="s">
        <v>42</v>
      </c>
      <c r="R423" t="s">
        <v>23</v>
      </c>
      <c r="S423" s="131">
        <v>43377</v>
      </c>
      <c r="T423" s="6">
        <f>DataTable[HLD_MaturityDate] - DataTable[SEC_Issue_Date]</f>
        <v>91</v>
      </c>
      <c r="U423" s="131" t="str">
        <f>DataTable[HLD_Portfolio]&amp;DataTable[HLD_Date]</f>
        <v>SCBRM143397</v>
      </c>
      <c r="V423" t="str">
        <f>DataTable[[#This Row],[RefRng]]&amp;DataTable[[#This Row],[HLD_SecCode]]</f>
        <v>SCBRM143397CB19103B</v>
      </c>
    </row>
    <row r="424" spans="1:22" x14ac:dyDescent="0.2">
      <c r="A424" s="131">
        <v>43397</v>
      </c>
      <c r="B424" t="s">
        <v>338</v>
      </c>
      <c r="C424" t="s">
        <v>18</v>
      </c>
      <c r="D424" t="s">
        <v>85</v>
      </c>
      <c r="F424" t="s">
        <v>836</v>
      </c>
      <c r="G424" t="s">
        <v>87</v>
      </c>
      <c r="I424" s="131">
        <v>43475</v>
      </c>
      <c r="J424" s="6">
        <v>199352350</v>
      </c>
      <c r="L424">
        <v>199346250</v>
      </c>
      <c r="M424">
        <v>0.21030699999999999</v>
      </c>
      <c r="N424">
        <v>200000000</v>
      </c>
      <c r="O424">
        <v>1.554554</v>
      </c>
      <c r="P424">
        <v>2.0457982400000001E-2</v>
      </c>
      <c r="Q424" t="s">
        <v>42</v>
      </c>
      <c r="R424" t="s">
        <v>23</v>
      </c>
      <c r="S424" s="131">
        <v>43384</v>
      </c>
      <c r="T424" s="6">
        <f>DataTable[HLD_MaturityDate] - DataTable[SEC_Issue_Date]</f>
        <v>91</v>
      </c>
      <c r="U424" s="131" t="str">
        <f>DataTable[HLD_Portfolio]&amp;DataTable[HLD_Date]</f>
        <v>SCBRM143397</v>
      </c>
      <c r="V424" t="str">
        <f>DataTable[[#This Row],[RefRng]]&amp;DataTable[[#This Row],[HLD_SecCode]]</f>
        <v>SCBRM143397CB19110B</v>
      </c>
    </row>
    <row r="425" spans="1:22" x14ac:dyDescent="0.2">
      <c r="A425" s="131">
        <v>43397</v>
      </c>
      <c r="B425" t="s">
        <v>338</v>
      </c>
      <c r="C425" t="s">
        <v>18</v>
      </c>
      <c r="D425" t="s">
        <v>85</v>
      </c>
      <c r="F425" t="s">
        <v>1262</v>
      </c>
      <c r="G425" t="s">
        <v>87</v>
      </c>
      <c r="I425" s="131">
        <v>43489</v>
      </c>
      <c r="J425" s="6">
        <v>179299592.19999999</v>
      </c>
      <c r="L425">
        <v>179299592.19999999</v>
      </c>
      <c r="M425">
        <v>0.25205499999999997</v>
      </c>
      <c r="N425">
        <v>180000000</v>
      </c>
      <c r="O425">
        <v>1.5668329999999999</v>
      </c>
      <c r="P425">
        <v>1.84001237E-2</v>
      </c>
      <c r="Q425" t="s">
        <v>42</v>
      </c>
      <c r="R425" t="s">
        <v>23</v>
      </c>
      <c r="S425" s="131">
        <v>43398</v>
      </c>
      <c r="T425" s="6">
        <f>DataTable[HLD_MaturityDate] - DataTable[SEC_Issue_Date]</f>
        <v>91</v>
      </c>
      <c r="U425" s="131" t="str">
        <f>DataTable[HLD_Portfolio]&amp;DataTable[HLD_Date]</f>
        <v>SCBRM143397</v>
      </c>
      <c r="V425" t="str">
        <f>DataTable[[#This Row],[RefRng]]&amp;DataTable[[#This Row],[HLD_SecCode]]</f>
        <v>SCBRM143397CB19124B</v>
      </c>
    </row>
    <row r="426" spans="1:22" x14ac:dyDescent="0.2">
      <c r="A426" s="131">
        <v>43397</v>
      </c>
      <c r="B426" t="s">
        <v>338</v>
      </c>
      <c r="C426" t="s">
        <v>18</v>
      </c>
      <c r="D426" t="s">
        <v>85</v>
      </c>
      <c r="F426" t="s">
        <v>522</v>
      </c>
      <c r="G426" t="s">
        <v>87</v>
      </c>
      <c r="I426" s="131">
        <v>43538</v>
      </c>
      <c r="J426" s="6">
        <v>49674191.5</v>
      </c>
      <c r="L426">
        <v>49708003</v>
      </c>
      <c r="M426">
        <v>0.38106200000000001</v>
      </c>
      <c r="N426">
        <v>50000000</v>
      </c>
      <c r="O426">
        <v>1.5315000000000001</v>
      </c>
      <c r="P426">
        <v>5.0976761999999998E-3</v>
      </c>
      <c r="Q426" t="s">
        <v>42</v>
      </c>
      <c r="R426" t="s">
        <v>23</v>
      </c>
      <c r="S426" s="131">
        <v>43174</v>
      </c>
      <c r="T426" s="6">
        <f>DataTable[HLD_MaturityDate] - DataTable[SEC_Issue_Date]</f>
        <v>364</v>
      </c>
      <c r="U426" s="131" t="str">
        <f>DataTable[HLD_Portfolio]&amp;DataTable[HLD_Date]</f>
        <v>SCBRM143397</v>
      </c>
      <c r="V426" t="str">
        <f>DataTable[[#This Row],[RefRng]]&amp;DataTable[[#This Row],[HLD_SecCode]]</f>
        <v>SCBRM143397CB19314A</v>
      </c>
    </row>
    <row r="427" spans="1:22" x14ac:dyDescent="0.2">
      <c r="A427" s="131">
        <v>43397</v>
      </c>
      <c r="B427" t="s">
        <v>338</v>
      </c>
      <c r="C427" t="s">
        <v>18</v>
      </c>
      <c r="D427" t="s">
        <v>105</v>
      </c>
      <c r="F427" t="s">
        <v>523</v>
      </c>
      <c r="G427" t="s">
        <v>87</v>
      </c>
      <c r="I427" s="131">
        <v>43516</v>
      </c>
      <c r="J427" s="6">
        <v>49978691</v>
      </c>
      <c r="K427">
        <v>143753.5</v>
      </c>
      <c r="L427">
        <v>50027822.5</v>
      </c>
      <c r="M427">
        <v>0.32056299999999999</v>
      </c>
      <c r="N427">
        <v>50000000</v>
      </c>
      <c r="O427">
        <v>1.3946000000000001</v>
      </c>
      <c r="P427">
        <v>5.1436770000000001E-3</v>
      </c>
      <c r="Q427" t="s">
        <v>42</v>
      </c>
      <c r="R427" t="s">
        <v>23</v>
      </c>
      <c r="S427" s="131">
        <v>42786</v>
      </c>
      <c r="T427" s="6">
        <f>DataTable[HLD_MaturityDate] - DataTable[SEC_Issue_Date]</f>
        <v>730</v>
      </c>
      <c r="U427" s="131" t="str">
        <f>DataTable[HLD_Portfolio]&amp;DataTable[HLD_Date]</f>
        <v>SCBRM143397</v>
      </c>
      <c r="V427" t="str">
        <f>DataTable[[#This Row],[RefRng]]&amp;DataTable[[#This Row],[HLD_SecCode]]</f>
        <v>SCBRM143397BOT192A</v>
      </c>
    </row>
    <row r="428" spans="1:22" x14ac:dyDescent="0.2">
      <c r="A428" s="131">
        <v>43397</v>
      </c>
      <c r="B428" t="s">
        <v>338</v>
      </c>
      <c r="C428" t="s">
        <v>18</v>
      </c>
      <c r="D428" t="s">
        <v>105</v>
      </c>
      <c r="F428" t="s">
        <v>524</v>
      </c>
      <c r="G428" t="s">
        <v>87</v>
      </c>
      <c r="I428" s="131">
        <v>43720</v>
      </c>
      <c r="J428" s="6">
        <v>199717338</v>
      </c>
      <c r="K428">
        <v>388768</v>
      </c>
      <c r="L428">
        <v>200325384</v>
      </c>
      <c r="M428">
        <v>0.86610600000000004</v>
      </c>
      <c r="N428">
        <v>200000000</v>
      </c>
      <c r="O428">
        <v>1.47</v>
      </c>
      <c r="P428">
        <v>2.05353346E-2</v>
      </c>
      <c r="Q428" t="s">
        <v>42</v>
      </c>
      <c r="R428" t="s">
        <v>23</v>
      </c>
      <c r="S428" s="131">
        <v>42625</v>
      </c>
      <c r="T428" s="6">
        <f>DataTable[HLD_MaturityDate] - DataTable[SEC_Issue_Date]</f>
        <v>1095</v>
      </c>
      <c r="U428" s="131" t="str">
        <f>DataTable[HLD_Portfolio]&amp;DataTable[HLD_Date]</f>
        <v>SCBRM143397</v>
      </c>
      <c r="V428" t="str">
        <f>DataTable[[#This Row],[RefRng]]&amp;DataTable[[#This Row],[HLD_SecCode]]</f>
        <v>SCBRM143397BOT199A</v>
      </c>
    </row>
    <row r="429" spans="1:22" x14ac:dyDescent="0.2">
      <c r="A429" s="131">
        <v>43397</v>
      </c>
      <c r="B429" t="s">
        <v>338</v>
      </c>
      <c r="C429" t="s">
        <v>18</v>
      </c>
      <c r="D429" t="s">
        <v>105</v>
      </c>
      <c r="F429" t="s">
        <v>525</v>
      </c>
      <c r="G429" t="s">
        <v>87</v>
      </c>
      <c r="I429" s="131">
        <v>44099</v>
      </c>
      <c r="J429" s="6">
        <v>108959290</v>
      </c>
      <c r="K429">
        <v>141945.1</v>
      </c>
      <c r="L429">
        <v>110109981.3</v>
      </c>
      <c r="M429">
        <v>1.8708610000000001</v>
      </c>
      <c r="N429">
        <v>110000000</v>
      </c>
      <c r="O429">
        <v>1.52</v>
      </c>
      <c r="P429">
        <v>1.1196211899999999E-2</v>
      </c>
      <c r="Q429" t="s">
        <v>42</v>
      </c>
      <c r="R429" t="s">
        <v>23</v>
      </c>
      <c r="S429" s="131">
        <v>43003</v>
      </c>
      <c r="T429" s="6">
        <f>DataTable[HLD_MaturityDate] - DataTable[SEC_Issue_Date]</f>
        <v>1096</v>
      </c>
      <c r="U429" s="131" t="str">
        <f>DataTable[HLD_Portfolio]&amp;DataTable[HLD_Date]</f>
        <v>SCBRM143397</v>
      </c>
      <c r="V429" t="str">
        <f>DataTable[[#This Row],[RefRng]]&amp;DataTable[[#This Row],[HLD_SecCode]]</f>
        <v>SCBRM143397BOT209A</v>
      </c>
    </row>
    <row r="430" spans="1:22" x14ac:dyDescent="0.2">
      <c r="A430" s="131">
        <v>43397</v>
      </c>
      <c r="B430" t="s">
        <v>338</v>
      </c>
      <c r="C430" t="s">
        <v>18</v>
      </c>
      <c r="D430" t="s">
        <v>105</v>
      </c>
      <c r="F430" t="s">
        <v>526</v>
      </c>
      <c r="G430" t="s">
        <v>83</v>
      </c>
      <c r="H430" t="s">
        <v>29</v>
      </c>
      <c r="I430" s="131">
        <v>44008</v>
      </c>
      <c r="J430" s="6">
        <v>90863766.900000006</v>
      </c>
      <c r="K430">
        <v>760807.8</v>
      </c>
      <c r="L430">
        <v>91516166.099999994</v>
      </c>
      <c r="M430">
        <v>1.6168119999999999</v>
      </c>
      <c r="N430">
        <v>90000000</v>
      </c>
      <c r="O430">
        <v>1.5216670000000001</v>
      </c>
      <c r="P430">
        <v>9.4027181000000005E-3</v>
      </c>
      <c r="Q430" t="s">
        <v>42</v>
      </c>
      <c r="R430" t="s">
        <v>23</v>
      </c>
      <c r="S430" s="131">
        <v>42181</v>
      </c>
      <c r="T430" s="6">
        <f>DataTable[HLD_MaturityDate] - DataTable[SEC_Issue_Date]</f>
        <v>1827</v>
      </c>
      <c r="U430" s="131" t="str">
        <f>DataTable[HLD_Portfolio]&amp;DataTable[HLD_Date]</f>
        <v>SCBRM143397</v>
      </c>
      <c r="V430" t="str">
        <f>DataTable[[#This Row],[RefRng]]&amp;DataTable[[#This Row],[HLD_SecCode]]</f>
        <v>SCBRM143397LB206A</v>
      </c>
    </row>
    <row r="431" spans="1:22" x14ac:dyDescent="0.2">
      <c r="A431" s="131">
        <v>43397</v>
      </c>
      <c r="B431" t="s">
        <v>338</v>
      </c>
      <c r="C431" t="s">
        <v>18</v>
      </c>
      <c r="D431" t="s">
        <v>102</v>
      </c>
      <c r="F431" t="s">
        <v>473</v>
      </c>
      <c r="G431" t="s">
        <v>474</v>
      </c>
      <c r="H431" t="s">
        <v>47</v>
      </c>
      <c r="I431" s="131">
        <v>44109</v>
      </c>
      <c r="J431" s="6">
        <v>19886108.800000001</v>
      </c>
      <c r="K431">
        <v>24986.400000000001</v>
      </c>
      <c r="L431">
        <v>20000000</v>
      </c>
      <c r="M431">
        <v>1.8857999999999999</v>
      </c>
      <c r="N431">
        <v>20000000</v>
      </c>
      <c r="O431">
        <v>2.2799999999999998</v>
      </c>
      <c r="P431">
        <v>2.0433209999999999E-3</v>
      </c>
      <c r="Q431" t="s">
        <v>42</v>
      </c>
      <c r="R431" t="s">
        <v>23</v>
      </c>
      <c r="S431" s="131">
        <v>43013</v>
      </c>
      <c r="T431" s="6">
        <f>DataTable[HLD_MaturityDate] - DataTable[SEC_Issue_Date]</f>
        <v>1096</v>
      </c>
      <c r="U431" s="131" t="str">
        <f>DataTable[HLD_Portfolio]&amp;DataTable[HLD_Date]</f>
        <v>SCBRM143397</v>
      </c>
      <c r="V431" t="str">
        <f>DataTable[[#This Row],[RefRng]]&amp;DataTable[[#This Row],[HLD_SecCode]]</f>
        <v>SCBRM143397AMATA20OA</v>
      </c>
    </row>
    <row r="432" spans="1:22" x14ac:dyDescent="0.2">
      <c r="A432" s="131">
        <v>43397</v>
      </c>
      <c r="B432" t="s">
        <v>338</v>
      </c>
      <c r="C432" t="s">
        <v>18</v>
      </c>
      <c r="D432" t="s">
        <v>102</v>
      </c>
      <c r="F432" t="s">
        <v>527</v>
      </c>
      <c r="G432" t="s">
        <v>528</v>
      </c>
      <c r="H432" t="s">
        <v>27</v>
      </c>
      <c r="I432" s="131">
        <v>44297</v>
      </c>
      <c r="J432" s="6">
        <v>6301677.9000000004</v>
      </c>
      <c r="K432">
        <v>10494.24</v>
      </c>
      <c r="L432">
        <v>6367289.4000000004</v>
      </c>
      <c r="M432">
        <v>2.3259789999999998</v>
      </c>
      <c r="N432">
        <v>6000000</v>
      </c>
      <c r="O432">
        <v>2</v>
      </c>
      <c r="P432">
        <v>6.4776920000000004E-4</v>
      </c>
      <c r="Q432" t="s">
        <v>42</v>
      </c>
      <c r="R432" t="s">
        <v>23</v>
      </c>
      <c r="S432" s="131">
        <v>41740</v>
      </c>
      <c r="T432" s="6">
        <f>DataTable[HLD_MaturityDate] - DataTable[SEC_Issue_Date]</f>
        <v>2557</v>
      </c>
      <c r="U432" s="131" t="str">
        <f>DataTable[HLD_Portfolio]&amp;DataTable[HLD_Date]</f>
        <v>SCBRM143397</v>
      </c>
      <c r="V432" t="str">
        <f>DataTable[[#This Row],[RefRng]]&amp;DataTable[[#This Row],[HLD_SecCode]]</f>
        <v>SCBRM143397AWN214B</v>
      </c>
    </row>
    <row r="433" spans="1:22" x14ac:dyDescent="0.2">
      <c r="A433" s="131">
        <v>43397</v>
      </c>
      <c r="B433" t="s">
        <v>338</v>
      </c>
      <c r="C433" t="s">
        <v>18</v>
      </c>
      <c r="D433" t="s">
        <v>102</v>
      </c>
      <c r="F433" t="s">
        <v>529</v>
      </c>
      <c r="G433" t="s">
        <v>182</v>
      </c>
      <c r="H433" t="s">
        <v>51</v>
      </c>
      <c r="I433" s="131">
        <v>44016</v>
      </c>
      <c r="J433" s="6">
        <v>149756698.90000001</v>
      </c>
      <c r="K433">
        <v>1957221.6</v>
      </c>
      <c r="L433">
        <v>148082233.09999999</v>
      </c>
      <c r="M433">
        <v>1.6137319999999999</v>
      </c>
      <c r="N433">
        <v>145000000</v>
      </c>
      <c r="O433">
        <v>3.05</v>
      </c>
      <c r="P433">
        <v>1.5569220599999999E-2</v>
      </c>
      <c r="Q433" t="s">
        <v>42</v>
      </c>
      <c r="R433" t="s">
        <v>23</v>
      </c>
      <c r="S433" s="131">
        <v>41824</v>
      </c>
      <c r="T433" s="6">
        <f>DataTable[HLD_MaturityDate] - DataTable[SEC_Issue_Date]</f>
        <v>2192</v>
      </c>
      <c r="U433" s="131" t="str">
        <f>DataTable[HLD_Portfolio]&amp;DataTable[HLD_Date]</f>
        <v>SCBRM143397</v>
      </c>
      <c r="V433" t="str">
        <f>DataTable[[#This Row],[RefRng]]&amp;DataTable[[#This Row],[HLD_SecCode]]</f>
        <v>SCBRM143397BANPU207B</v>
      </c>
    </row>
    <row r="434" spans="1:22" x14ac:dyDescent="0.2">
      <c r="A434" s="131">
        <v>43397</v>
      </c>
      <c r="B434" t="s">
        <v>338</v>
      </c>
      <c r="C434" t="s">
        <v>18</v>
      </c>
      <c r="D434" t="s">
        <v>102</v>
      </c>
      <c r="F434" t="s">
        <v>530</v>
      </c>
      <c r="G434" t="s">
        <v>21</v>
      </c>
      <c r="H434" t="s">
        <v>302</v>
      </c>
      <c r="I434" s="131">
        <v>43400</v>
      </c>
      <c r="J434" s="6">
        <v>117000331.11</v>
      </c>
      <c r="K434">
        <v>1125571.5900000001</v>
      </c>
      <c r="L434">
        <v>116999960.22</v>
      </c>
      <c r="M434">
        <v>5.4450000000000002E-3</v>
      </c>
      <c r="N434">
        <v>117000000</v>
      </c>
      <c r="O434">
        <v>1.452564</v>
      </c>
      <c r="P434">
        <v>1.2122343400000001E-2</v>
      </c>
      <c r="Q434" t="s">
        <v>42</v>
      </c>
      <c r="R434" t="s">
        <v>23</v>
      </c>
      <c r="S434" s="131">
        <v>42670</v>
      </c>
      <c r="T434" s="6">
        <f>DataTable[HLD_MaturityDate] - DataTable[SEC_Issue_Date]</f>
        <v>730</v>
      </c>
      <c r="U434" s="131" t="str">
        <f>DataTable[HLD_Portfolio]&amp;DataTable[HLD_Date]</f>
        <v>SCBRM143397</v>
      </c>
      <c r="V434" t="str">
        <f>DataTable[[#This Row],[RefRng]]&amp;DataTable[[#This Row],[HLD_SecCode]]</f>
        <v>SCBRM143397BAY18OA</v>
      </c>
    </row>
    <row r="435" spans="1:22" x14ac:dyDescent="0.2">
      <c r="A435" s="131">
        <v>43397</v>
      </c>
      <c r="B435" t="s">
        <v>338</v>
      </c>
      <c r="C435" t="s">
        <v>18</v>
      </c>
      <c r="D435" t="s">
        <v>102</v>
      </c>
      <c r="F435" t="s">
        <v>531</v>
      </c>
      <c r="G435" t="s">
        <v>480</v>
      </c>
      <c r="H435" t="s">
        <v>47</v>
      </c>
      <c r="I435" s="131">
        <v>43640</v>
      </c>
      <c r="J435" s="6">
        <v>10008445</v>
      </c>
      <c r="K435">
        <v>74811</v>
      </c>
      <c r="L435">
        <v>10024562.5</v>
      </c>
      <c r="M435">
        <v>0.65210100000000004</v>
      </c>
      <c r="N435">
        <v>10000000</v>
      </c>
      <c r="O435">
        <v>1.84</v>
      </c>
      <c r="P435">
        <v>1.0347662E-3</v>
      </c>
      <c r="Q435" t="s">
        <v>42</v>
      </c>
      <c r="R435" t="s">
        <v>23</v>
      </c>
      <c r="S435" s="131">
        <v>42545</v>
      </c>
      <c r="T435" s="6">
        <f>DataTable[HLD_MaturityDate] - DataTable[SEC_Issue_Date]</f>
        <v>1095</v>
      </c>
      <c r="U435" s="131" t="str">
        <f>DataTable[HLD_Portfolio]&amp;DataTable[HLD_Date]</f>
        <v>SCBRM143397</v>
      </c>
      <c r="V435" t="str">
        <f>DataTable[[#This Row],[RefRng]]&amp;DataTable[[#This Row],[HLD_SecCode]]</f>
        <v>SCBRM143397BEM196A</v>
      </c>
    </row>
    <row r="436" spans="1:22" x14ac:dyDescent="0.2">
      <c r="A436" s="131">
        <v>43397</v>
      </c>
      <c r="B436" t="s">
        <v>338</v>
      </c>
      <c r="C436" t="s">
        <v>18</v>
      </c>
      <c r="D436" t="s">
        <v>102</v>
      </c>
      <c r="F436" t="s">
        <v>532</v>
      </c>
      <c r="G436" t="s">
        <v>243</v>
      </c>
      <c r="H436" t="s">
        <v>51</v>
      </c>
      <c r="I436" s="131">
        <v>43548</v>
      </c>
      <c r="J436" s="6">
        <v>32065171.52</v>
      </c>
      <c r="K436">
        <v>69304</v>
      </c>
      <c r="L436">
        <v>32087817.600000001</v>
      </c>
      <c r="M436">
        <v>0.40674300000000002</v>
      </c>
      <c r="N436">
        <v>32000000</v>
      </c>
      <c r="O436">
        <v>1.9</v>
      </c>
      <c r="P436">
        <v>3.2977115000000002E-3</v>
      </c>
      <c r="Q436" t="s">
        <v>42</v>
      </c>
      <c r="R436" t="s">
        <v>23</v>
      </c>
      <c r="S436" s="131">
        <v>42818</v>
      </c>
      <c r="T436" s="6">
        <f>DataTable[HLD_MaturityDate] - DataTable[SEC_Issue_Date]</f>
        <v>730</v>
      </c>
      <c r="U436" s="131" t="str">
        <f>DataTable[HLD_Portfolio]&amp;DataTable[HLD_Date]</f>
        <v>SCBRM143397</v>
      </c>
      <c r="V436" t="str">
        <f>DataTable[[#This Row],[RefRng]]&amp;DataTable[[#This Row],[HLD_SecCode]]</f>
        <v>SCBRM143397BJC193A</v>
      </c>
    </row>
    <row r="437" spans="1:22" x14ac:dyDescent="0.2">
      <c r="A437" s="131">
        <v>43397</v>
      </c>
      <c r="B437" t="s">
        <v>338</v>
      </c>
      <c r="C437" t="s">
        <v>18</v>
      </c>
      <c r="D437" t="s">
        <v>102</v>
      </c>
      <c r="F437" t="s">
        <v>533</v>
      </c>
      <c r="G437" t="s">
        <v>243</v>
      </c>
      <c r="H437" t="s">
        <v>51</v>
      </c>
      <c r="I437" s="131">
        <v>43715</v>
      </c>
      <c r="J437" s="6">
        <v>80101359.200000003</v>
      </c>
      <c r="K437">
        <v>246180.8</v>
      </c>
      <c r="L437">
        <v>80516580.799999997</v>
      </c>
      <c r="M437">
        <v>0.84925899999999999</v>
      </c>
      <c r="N437">
        <v>80000000</v>
      </c>
      <c r="O437">
        <v>1.595</v>
      </c>
      <c r="P437">
        <v>8.2454435999999992E-3</v>
      </c>
      <c r="Q437" t="s">
        <v>42</v>
      </c>
      <c r="R437" t="s">
        <v>23</v>
      </c>
      <c r="S437" s="131">
        <v>42620</v>
      </c>
      <c r="T437" s="6">
        <f>DataTable[HLD_MaturityDate] - DataTable[SEC_Issue_Date]</f>
        <v>1095</v>
      </c>
      <c r="U437" s="131" t="str">
        <f>DataTable[HLD_Portfolio]&amp;DataTable[HLD_Date]</f>
        <v>SCBRM143397</v>
      </c>
      <c r="V437" t="str">
        <f>DataTable[[#This Row],[RefRng]]&amp;DataTable[[#This Row],[HLD_SecCode]]</f>
        <v>SCBRM143397BJC199A</v>
      </c>
    </row>
    <row r="438" spans="1:22" x14ac:dyDescent="0.2">
      <c r="A438" s="131">
        <v>43397</v>
      </c>
      <c r="B438" t="s">
        <v>338</v>
      </c>
      <c r="C438" t="s">
        <v>18</v>
      </c>
      <c r="D438" t="s">
        <v>102</v>
      </c>
      <c r="F438" t="s">
        <v>242</v>
      </c>
      <c r="G438" t="s">
        <v>243</v>
      </c>
      <c r="H438" t="s">
        <v>51</v>
      </c>
      <c r="I438" s="131">
        <v>43990</v>
      </c>
      <c r="J438" s="6">
        <v>245363812.75</v>
      </c>
      <c r="K438">
        <v>2528466.15</v>
      </c>
      <c r="L438">
        <v>245316892.80000001</v>
      </c>
      <c r="M438">
        <v>1.5604579999999999</v>
      </c>
      <c r="N438">
        <v>245000000</v>
      </c>
      <c r="O438">
        <v>2.6245720000000001</v>
      </c>
      <c r="P438">
        <v>2.5439258100000001E-2</v>
      </c>
      <c r="Q438" t="s">
        <v>42</v>
      </c>
      <c r="R438" t="s">
        <v>23</v>
      </c>
      <c r="S438" s="131">
        <v>42712</v>
      </c>
      <c r="T438" s="6">
        <f>DataTable[HLD_MaturityDate] - DataTable[SEC_Issue_Date]</f>
        <v>1278</v>
      </c>
      <c r="U438" s="131" t="str">
        <f>DataTable[HLD_Portfolio]&amp;DataTable[HLD_Date]</f>
        <v>SCBRM143397</v>
      </c>
      <c r="V438" t="str">
        <f>DataTable[[#This Row],[RefRng]]&amp;DataTable[[#This Row],[HLD_SecCode]]</f>
        <v>SCBRM143397BJC206A</v>
      </c>
    </row>
    <row r="439" spans="1:22" x14ac:dyDescent="0.2">
      <c r="A439" s="131">
        <v>43397</v>
      </c>
      <c r="B439" t="s">
        <v>338</v>
      </c>
      <c r="C439" t="s">
        <v>18</v>
      </c>
      <c r="D439" t="s">
        <v>102</v>
      </c>
      <c r="F439" t="s">
        <v>481</v>
      </c>
      <c r="G439" t="s">
        <v>243</v>
      </c>
      <c r="H439" t="s">
        <v>51</v>
      </c>
      <c r="I439" s="131">
        <v>44446</v>
      </c>
      <c r="J439" s="6">
        <v>19916036.800000001</v>
      </c>
      <c r="K439">
        <v>70750.600000000006</v>
      </c>
      <c r="L439">
        <v>20303183.800000001</v>
      </c>
      <c r="M439">
        <v>2.7275</v>
      </c>
      <c r="N439">
        <v>20000000</v>
      </c>
      <c r="O439">
        <v>2.145</v>
      </c>
      <c r="P439">
        <v>2.0510887000000002E-3</v>
      </c>
      <c r="Q439" t="s">
        <v>42</v>
      </c>
      <c r="R439" t="s">
        <v>23</v>
      </c>
      <c r="S439" s="131">
        <v>42620</v>
      </c>
      <c r="T439" s="6">
        <f>DataTable[HLD_MaturityDate] - DataTable[SEC_Issue_Date]</f>
        <v>1826</v>
      </c>
      <c r="U439" s="131" t="str">
        <f>DataTable[HLD_Portfolio]&amp;DataTable[HLD_Date]</f>
        <v>SCBRM143397</v>
      </c>
      <c r="V439" t="str">
        <f>DataTable[[#This Row],[RefRng]]&amp;DataTable[[#This Row],[HLD_SecCode]]</f>
        <v>SCBRM143397BJC219A</v>
      </c>
    </row>
    <row r="440" spans="1:22" x14ac:dyDescent="0.2">
      <c r="A440" s="131">
        <v>43397</v>
      </c>
      <c r="B440" t="s">
        <v>338</v>
      </c>
      <c r="C440" t="s">
        <v>18</v>
      </c>
      <c r="D440" t="s">
        <v>102</v>
      </c>
      <c r="F440" t="s">
        <v>486</v>
      </c>
      <c r="G440" t="s">
        <v>487</v>
      </c>
      <c r="H440" t="s">
        <v>47</v>
      </c>
      <c r="I440" s="131">
        <v>43779</v>
      </c>
      <c r="J440" s="6">
        <v>130602837.3</v>
      </c>
      <c r="K440">
        <v>1471956.2</v>
      </c>
      <c r="L440">
        <v>130997509.5</v>
      </c>
      <c r="M440">
        <v>1.0156019999999999</v>
      </c>
      <c r="N440">
        <v>130000000</v>
      </c>
      <c r="O440">
        <v>1.7050000000000001</v>
      </c>
      <c r="P440">
        <v>1.3553809700000001E-2</v>
      </c>
      <c r="Q440" t="s">
        <v>42</v>
      </c>
      <c r="R440" t="s">
        <v>23</v>
      </c>
      <c r="S440" s="131">
        <v>42684</v>
      </c>
      <c r="T440" s="6">
        <f>DataTable[HLD_MaturityDate] - DataTable[SEC_Issue_Date]</f>
        <v>1095</v>
      </c>
      <c r="U440" s="131" t="str">
        <f>DataTable[HLD_Portfolio]&amp;DataTable[HLD_Date]</f>
        <v>SCBRM143397</v>
      </c>
      <c r="V440" t="str">
        <f>DataTable[[#This Row],[RefRng]]&amp;DataTable[[#This Row],[HLD_SecCode]]</f>
        <v>SCBRM143397BTSC19NA</v>
      </c>
    </row>
    <row r="441" spans="1:22" x14ac:dyDescent="0.2">
      <c r="A441" s="131">
        <v>43397</v>
      </c>
      <c r="B441" t="s">
        <v>338</v>
      </c>
      <c r="C441" t="s">
        <v>18</v>
      </c>
      <c r="D441" t="s">
        <v>102</v>
      </c>
      <c r="F441" t="s">
        <v>488</v>
      </c>
      <c r="G441" t="s">
        <v>184</v>
      </c>
      <c r="H441" t="s">
        <v>47</v>
      </c>
      <c r="I441" s="131">
        <v>44191</v>
      </c>
      <c r="J441" s="6">
        <v>51571033.799999997</v>
      </c>
      <c r="K441">
        <v>386139</v>
      </c>
      <c r="L441">
        <v>52000000</v>
      </c>
      <c r="M441">
        <v>2.0873219999999999</v>
      </c>
      <c r="N441">
        <v>52000000</v>
      </c>
      <c r="O441">
        <v>2.2400000000000002</v>
      </c>
      <c r="P441">
        <v>5.3319609E-3</v>
      </c>
      <c r="Q441" t="s">
        <v>42</v>
      </c>
      <c r="R441" t="s">
        <v>23</v>
      </c>
      <c r="S441" s="131">
        <v>43095</v>
      </c>
      <c r="T441" s="6">
        <f>DataTable[HLD_MaturityDate] - DataTable[SEC_Issue_Date]</f>
        <v>1096</v>
      </c>
      <c r="U441" s="131" t="str">
        <f>DataTable[HLD_Portfolio]&amp;DataTable[HLD_Date]</f>
        <v>SCBRM143397</v>
      </c>
      <c r="V441" t="str">
        <f>DataTable[[#This Row],[RefRng]]&amp;DataTable[[#This Row],[HLD_SecCode]]</f>
        <v>SCBRM143397BTSG20DA</v>
      </c>
    </row>
    <row r="442" spans="1:22" x14ac:dyDescent="0.2">
      <c r="A442" s="131">
        <v>43397</v>
      </c>
      <c r="B442" t="s">
        <v>338</v>
      </c>
      <c r="C442" t="s">
        <v>18</v>
      </c>
      <c r="D442" t="s">
        <v>102</v>
      </c>
      <c r="F442" t="s">
        <v>489</v>
      </c>
      <c r="G442" t="s">
        <v>490</v>
      </c>
      <c r="H442" t="s">
        <v>116</v>
      </c>
      <c r="I442" s="131">
        <v>43997</v>
      </c>
      <c r="J442" s="6">
        <v>376170854.22000003</v>
      </c>
      <c r="K442">
        <v>3048441.48</v>
      </c>
      <c r="L442">
        <v>378000000</v>
      </c>
      <c r="M442">
        <v>1.5867020000000001</v>
      </c>
      <c r="N442">
        <v>378000000</v>
      </c>
      <c r="O442">
        <v>2.23</v>
      </c>
      <c r="P442">
        <v>3.8916329299999997E-2</v>
      </c>
      <c r="Q442" t="s">
        <v>42</v>
      </c>
      <c r="R442" t="s">
        <v>23</v>
      </c>
      <c r="S442" s="131">
        <v>43266</v>
      </c>
      <c r="T442" s="6">
        <f>DataTable[HLD_MaturityDate] - DataTable[SEC_Issue_Date]</f>
        <v>731</v>
      </c>
      <c r="U442" s="131" t="str">
        <f>DataTable[HLD_Portfolio]&amp;DataTable[HLD_Date]</f>
        <v>SCBRM143397</v>
      </c>
      <c r="V442" t="str">
        <f>DataTable[[#This Row],[RefRng]]&amp;DataTable[[#This Row],[HLD_SecCode]]</f>
        <v>SCBRM143397CBG206A</v>
      </c>
    </row>
    <row r="443" spans="1:22" x14ac:dyDescent="0.2">
      <c r="A443" s="131">
        <v>43397</v>
      </c>
      <c r="B443" t="s">
        <v>338</v>
      </c>
      <c r="C443" t="s">
        <v>18</v>
      </c>
      <c r="D443" t="s">
        <v>102</v>
      </c>
      <c r="F443" t="s">
        <v>534</v>
      </c>
      <c r="G443" t="s">
        <v>104</v>
      </c>
      <c r="H443" t="s">
        <v>51</v>
      </c>
      <c r="I443" s="131">
        <v>43551</v>
      </c>
      <c r="J443" s="6">
        <v>42504606.68</v>
      </c>
      <c r="K443">
        <v>138872.32000000001</v>
      </c>
      <c r="L443">
        <v>42443107.840000004</v>
      </c>
      <c r="M443">
        <v>0.41497699999999998</v>
      </c>
      <c r="N443">
        <v>42100000</v>
      </c>
      <c r="O443">
        <v>2.3730410000000002</v>
      </c>
      <c r="P443">
        <v>4.3761688999999996E-3</v>
      </c>
      <c r="Q443" t="s">
        <v>42</v>
      </c>
      <c r="R443" t="s">
        <v>23</v>
      </c>
      <c r="S443" s="131">
        <v>41725</v>
      </c>
      <c r="T443" s="6">
        <f>DataTable[HLD_MaturityDate] - DataTable[SEC_Issue_Date]</f>
        <v>1826</v>
      </c>
      <c r="U443" s="131" t="str">
        <f>DataTable[HLD_Portfolio]&amp;DataTable[HLD_Date]</f>
        <v>SCBRM143397</v>
      </c>
      <c r="V443" t="str">
        <f>DataTable[[#This Row],[RefRng]]&amp;DataTable[[#This Row],[HLD_SecCode]]</f>
        <v>SCBRM143397CPALL193B</v>
      </c>
    </row>
    <row r="444" spans="1:22" x14ac:dyDescent="0.2">
      <c r="A444" s="131">
        <v>43397</v>
      </c>
      <c r="B444" t="s">
        <v>338</v>
      </c>
      <c r="C444" t="s">
        <v>18</v>
      </c>
      <c r="D444" t="s">
        <v>102</v>
      </c>
      <c r="F444" t="s">
        <v>535</v>
      </c>
      <c r="G444" t="s">
        <v>104</v>
      </c>
      <c r="H444" t="s">
        <v>51</v>
      </c>
      <c r="I444" s="131">
        <v>43699</v>
      </c>
      <c r="J444" s="6">
        <v>101555489</v>
      </c>
      <c r="K444">
        <v>745205</v>
      </c>
      <c r="L444">
        <v>101381412</v>
      </c>
      <c r="M444">
        <v>0.80907700000000005</v>
      </c>
      <c r="N444">
        <v>100000000</v>
      </c>
      <c r="O444">
        <v>2.5299999999999998</v>
      </c>
      <c r="P444">
        <v>1.04983252E-2</v>
      </c>
      <c r="Q444" t="s">
        <v>42</v>
      </c>
      <c r="R444" t="s">
        <v>23</v>
      </c>
      <c r="S444" s="131">
        <v>41873</v>
      </c>
      <c r="T444" s="6">
        <f>DataTable[HLD_MaturityDate] - DataTable[SEC_Issue_Date]</f>
        <v>1826</v>
      </c>
      <c r="U444" s="131" t="str">
        <f>DataTable[HLD_Portfolio]&amp;DataTable[HLD_Date]</f>
        <v>SCBRM143397</v>
      </c>
      <c r="V444" t="str">
        <f>DataTable[[#This Row],[RefRng]]&amp;DataTable[[#This Row],[HLD_SecCode]]</f>
        <v>SCBRM143397CPALL198B</v>
      </c>
    </row>
    <row r="445" spans="1:22" x14ac:dyDescent="0.2">
      <c r="A445" s="131">
        <v>43397</v>
      </c>
      <c r="B445" t="s">
        <v>338</v>
      </c>
      <c r="C445" t="s">
        <v>18</v>
      </c>
      <c r="D445" t="s">
        <v>102</v>
      </c>
      <c r="F445" t="s">
        <v>536</v>
      </c>
      <c r="G445" t="s">
        <v>104</v>
      </c>
      <c r="H445" t="s">
        <v>51</v>
      </c>
      <c r="I445" s="131">
        <v>44135</v>
      </c>
      <c r="J445" s="6">
        <v>5261563.5999999996</v>
      </c>
      <c r="K445">
        <v>124356.15</v>
      </c>
      <c r="L445">
        <v>5194050.5999999996</v>
      </c>
      <c r="M445">
        <v>1.9218420000000001</v>
      </c>
      <c r="N445">
        <v>5000000</v>
      </c>
      <c r="O445">
        <v>3.1</v>
      </c>
      <c r="P445">
        <v>5.5271509999999999E-4</v>
      </c>
      <c r="Q445" t="s">
        <v>42</v>
      </c>
      <c r="R445" t="s">
        <v>23</v>
      </c>
      <c r="S445" s="131">
        <v>41578</v>
      </c>
      <c r="T445" s="6">
        <f>DataTable[HLD_MaturityDate] - DataTable[SEC_Issue_Date]</f>
        <v>2557</v>
      </c>
      <c r="U445" s="131" t="str">
        <f>DataTable[HLD_Portfolio]&amp;DataTable[HLD_Date]</f>
        <v>SCBRM143397</v>
      </c>
      <c r="V445" t="str">
        <f>DataTable[[#This Row],[RefRng]]&amp;DataTable[[#This Row],[HLD_SecCode]]</f>
        <v>SCBRM143397CPALL20OA</v>
      </c>
    </row>
    <row r="446" spans="1:22" x14ac:dyDescent="0.2">
      <c r="A446" s="131">
        <v>43397</v>
      </c>
      <c r="B446" t="s">
        <v>338</v>
      </c>
      <c r="C446" t="s">
        <v>18</v>
      </c>
      <c r="D446" t="s">
        <v>102</v>
      </c>
      <c r="F446" t="s">
        <v>537</v>
      </c>
      <c r="G446" t="s">
        <v>186</v>
      </c>
      <c r="H446" t="s">
        <v>51</v>
      </c>
      <c r="I446" s="131">
        <v>43679</v>
      </c>
      <c r="J446" s="6">
        <v>23421948.109999999</v>
      </c>
      <c r="K446">
        <v>240309.06</v>
      </c>
      <c r="L446">
        <v>23399546.57</v>
      </c>
      <c r="M446">
        <v>0.75504000000000004</v>
      </c>
      <c r="N446">
        <v>23000000</v>
      </c>
      <c r="O446">
        <v>2.2349999999999999</v>
      </c>
      <c r="P446">
        <v>2.4282736000000001E-3</v>
      </c>
      <c r="Q446" t="s">
        <v>42</v>
      </c>
      <c r="R446" t="s">
        <v>23</v>
      </c>
      <c r="S446" s="131">
        <v>41488</v>
      </c>
      <c r="T446" s="6">
        <f>DataTable[HLD_MaturityDate] - DataTable[SEC_Issue_Date]</f>
        <v>2191</v>
      </c>
      <c r="U446" s="131" t="str">
        <f>DataTable[HLD_Portfolio]&amp;DataTable[HLD_Date]</f>
        <v>SCBRM143397</v>
      </c>
      <c r="V446" t="str">
        <f>DataTable[[#This Row],[RefRng]]&amp;DataTable[[#This Row],[HLD_SecCode]]</f>
        <v>SCBRM143397CPF198B</v>
      </c>
    </row>
    <row r="447" spans="1:22" x14ac:dyDescent="0.2">
      <c r="A447" s="131">
        <v>43397</v>
      </c>
      <c r="B447" t="s">
        <v>338</v>
      </c>
      <c r="C447" t="s">
        <v>18</v>
      </c>
      <c r="D447" t="s">
        <v>102</v>
      </c>
      <c r="F447" t="s">
        <v>538</v>
      </c>
      <c r="G447" t="s">
        <v>186</v>
      </c>
      <c r="H447" t="s">
        <v>51</v>
      </c>
      <c r="I447" s="131">
        <v>43933</v>
      </c>
      <c r="J447" s="6">
        <v>269794867.5</v>
      </c>
      <c r="K447">
        <v>219253.5</v>
      </c>
      <c r="L447">
        <v>270000000</v>
      </c>
      <c r="M447">
        <v>1.429473</v>
      </c>
      <c r="N447">
        <v>270000000</v>
      </c>
      <c r="O447">
        <v>2.2799999999999998</v>
      </c>
      <c r="P447">
        <v>2.7709450900000002E-2</v>
      </c>
      <c r="Q447" t="s">
        <v>42</v>
      </c>
      <c r="R447" t="s">
        <v>23</v>
      </c>
      <c r="S447" s="131">
        <v>42472</v>
      </c>
      <c r="T447" s="6">
        <f>DataTable[HLD_MaturityDate] - DataTable[SEC_Issue_Date]</f>
        <v>1461</v>
      </c>
      <c r="U447" s="131" t="str">
        <f>DataTable[HLD_Portfolio]&amp;DataTable[HLD_Date]</f>
        <v>SCBRM143397</v>
      </c>
      <c r="V447" t="str">
        <f>DataTable[[#This Row],[RefRng]]&amp;DataTable[[#This Row],[HLD_SecCode]]</f>
        <v>SCBRM143397CPF204A</v>
      </c>
    </row>
    <row r="448" spans="1:22" x14ac:dyDescent="0.2">
      <c r="A448" s="131">
        <v>43397</v>
      </c>
      <c r="B448" t="s">
        <v>338</v>
      </c>
      <c r="C448" t="s">
        <v>18</v>
      </c>
      <c r="D448" t="s">
        <v>102</v>
      </c>
      <c r="F448" t="s">
        <v>539</v>
      </c>
      <c r="G448" t="s">
        <v>189</v>
      </c>
      <c r="H448" t="s">
        <v>51</v>
      </c>
      <c r="I448" s="131">
        <v>44027</v>
      </c>
      <c r="J448" s="6">
        <v>25034626.5</v>
      </c>
      <c r="K448">
        <v>175356.25</v>
      </c>
      <c r="L448">
        <v>25186683.25</v>
      </c>
      <c r="M448">
        <v>1.667637</v>
      </c>
      <c r="N448">
        <v>25000000</v>
      </c>
      <c r="O448">
        <v>2.06</v>
      </c>
      <c r="P448">
        <v>2.5871046E-3</v>
      </c>
      <c r="Q448" t="s">
        <v>42</v>
      </c>
      <c r="R448" t="s">
        <v>23</v>
      </c>
      <c r="S448" s="131">
        <v>42566</v>
      </c>
      <c r="T448" s="6">
        <f>DataTable[HLD_MaturityDate] - DataTable[SEC_Issue_Date]</f>
        <v>1461</v>
      </c>
      <c r="U448" s="131" t="str">
        <f>DataTable[HLD_Portfolio]&amp;DataTable[HLD_Date]</f>
        <v>SCBRM143397</v>
      </c>
      <c r="V448" t="str">
        <f>DataTable[[#This Row],[RefRng]]&amp;DataTable[[#This Row],[HLD_SecCode]]</f>
        <v>SCBRM143397CPFTH207A</v>
      </c>
    </row>
    <row r="449" spans="1:22" x14ac:dyDescent="0.2">
      <c r="A449" s="131">
        <v>43397</v>
      </c>
      <c r="B449" t="s">
        <v>338</v>
      </c>
      <c r="C449" t="s">
        <v>18</v>
      </c>
      <c r="D449" t="s">
        <v>102</v>
      </c>
      <c r="F449" t="s">
        <v>249</v>
      </c>
      <c r="G449" t="s">
        <v>248</v>
      </c>
      <c r="H449" t="s">
        <v>29</v>
      </c>
      <c r="I449" s="131">
        <v>44165</v>
      </c>
      <c r="J449" s="6">
        <v>25798378.579999998</v>
      </c>
      <c r="K449">
        <v>324708.02</v>
      </c>
      <c r="L449">
        <v>26000000</v>
      </c>
      <c r="M449">
        <v>1.9891380000000001</v>
      </c>
      <c r="N449">
        <v>26000000</v>
      </c>
      <c r="O449">
        <v>3.08</v>
      </c>
      <c r="P449">
        <v>2.6808093999999998E-3</v>
      </c>
      <c r="Q449" t="s">
        <v>42</v>
      </c>
      <c r="R449" t="s">
        <v>23</v>
      </c>
      <c r="S449" s="131">
        <v>43069</v>
      </c>
      <c r="T449" s="6">
        <f>DataTable[HLD_MaturityDate] - DataTable[SEC_Issue_Date]</f>
        <v>1096</v>
      </c>
      <c r="U449" s="131" t="str">
        <f>DataTable[HLD_Portfolio]&amp;DataTable[HLD_Date]</f>
        <v>SCBRM143397</v>
      </c>
      <c r="V449" t="str">
        <f>DataTable[[#This Row],[RefRng]]&amp;DataTable[[#This Row],[HLD_SecCode]]</f>
        <v>SCBRM143397DMT20NA</v>
      </c>
    </row>
    <row r="450" spans="1:22" x14ac:dyDescent="0.2">
      <c r="A450" s="131">
        <v>43397</v>
      </c>
      <c r="B450" t="s">
        <v>338</v>
      </c>
      <c r="C450" t="s">
        <v>18</v>
      </c>
      <c r="D450" t="s">
        <v>102</v>
      </c>
      <c r="F450" t="s">
        <v>502</v>
      </c>
      <c r="G450" t="s">
        <v>503</v>
      </c>
      <c r="H450" t="s">
        <v>41</v>
      </c>
      <c r="I450" s="131">
        <v>43955</v>
      </c>
      <c r="J450" s="6">
        <v>58170847.119999997</v>
      </c>
      <c r="K450">
        <v>718882.12</v>
      </c>
      <c r="L450">
        <v>58000000</v>
      </c>
      <c r="M450">
        <v>1.490356</v>
      </c>
      <c r="N450">
        <v>58000000</v>
      </c>
      <c r="O450">
        <v>2.6</v>
      </c>
      <c r="P450">
        <v>6.0433952999999997E-3</v>
      </c>
      <c r="Q450" t="s">
        <v>42</v>
      </c>
      <c r="R450" t="s">
        <v>23</v>
      </c>
      <c r="S450" s="131">
        <v>42859</v>
      </c>
      <c r="T450" s="6">
        <f>DataTable[HLD_MaturityDate] - DataTable[SEC_Issue_Date]</f>
        <v>1096</v>
      </c>
      <c r="U450" s="131" t="str">
        <f>DataTable[HLD_Portfolio]&amp;DataTable[HLD_Date]</f>
        <v>SCBRM143397</v>
      </c>
      <c r="V450" t="str">
        <f>DataTable[[#This Row],[RefRng]]&amp;DataTable[[#This Row],[HLD_SecCode]]</f>
        <v>SCBRM143397IVL205A</v>
      </c>
    </row>
    <row r="451" spans="1:22" x14ac:dyDescent="0.2">
      <c r="A451" s="131">
        <v>43397</v>
      </c>
      <c r="B451" t="s">
        <v>338</v>
      </c>
      <c r="C451" t="s">
        <v>18</v>
      </c>
      <c r="D451" t="s">
        <v>102</v>
      </c>
      <c r="F451" t="s">
        <v>540</v>
      </c>
      <c r="G451" t="s">
        <v>541</v>
      </c>
      <c r="H451" t="s">
        <v>302</v>
      </c>
      <c r="I451" s="131">
        <v>43729</v>
      </c>
      <c r="J451" s="6">
        <v>9989425.1999999993</v>
      </c>
      <c r="K451">
        <v>17139.7</v>
      </c>
      <c r="L451">
        <v>10005149.699999999</v>
      </c>
      <c r="M451">
        <v>0.88943399999999995</v>
      </c>
      <c r="N451">
        <v>10000000</v>
      </c>
      <c r="O451">
        <v>1.79</v>
      </c>
      <c r="P451">
        <v>1.026896E-3</v>
      </c>
      <c r="Q451" t="s">
        <v>42</v>
      </c>
      <c r="R451" t="s">
        <v>23</v>
      </c>
      <c r="S451" s="131">
        <v>42999</v>
      </c>
      <c r="T451" s="6">
        <f>DataTable[HLD_MaturityDate] - DataTable[SEC_Issue_Date]</f>
        <v>730</v>
      </c>
      <c r="U451" s="131" t="str">
        <f>DataTable[HLD_Portfolio]&amp;DataTable[HLD_Date]</f>
        <v>SCBRM143397</v>
      </c>
      <c r="V451" t="str">
        <f>DataTable[[#This Row],[RefRng]]&amp;DataTable[[#This Row],[HLD_SecCode]]</f>
        <v>SCBRM143397KCC199A</v>
      </c>
    </row>
    <row r="452" spans="1:22" x14ac:dyDescent="0.2">
      <c r="A452" s="131">
        <v>43397</v>
      </c>
      <c r="B452" t="s">
        <v>338</v>
      </c>
      <c r="C452" t="s">
        <v>18</v>
      </c>
      <c r="D452" t="s">
        <v>102</v>
      </c>
      <c r="F452" t="s">
        <v>542</v>
      </c>
      <c r="G452" t="s">
        <v>541</v>
      </c>
      <c r="H452" t="s">
        <v>302</v>
      </c>
      <c r="I452" s="131">
        <v>43904</v>
      </c>
      <c r="J452" s="6">
        <v>162809476.44</v>
      </c>
      <c r="K452">
        <v>305804.24</v>
      </c>
      <c r="L452">
        <v>164000000</v>
      </c>
      <c r="M452">
        <v>1.3562749999999999</v>
      </c>
      <c r="N452">
        <v>164000000</v>
      </c>
      <c r="O452">
        <v>1.66</v>
      </c>
      <c r="P452">
        <v>1.67392536E-2</v>
      </c>
      <c r="Q452" t="s">
        <v>42</v>
      </c>
      <c r="R452" t="s">
        <v>23</v>
      </c>
      <c r="S452" s="131">
        <v>43173</v>
      </c>
      <c r="T452" s="6">
        <f>DataTable[HLD_MaturityDate] - DataTable[SEC_Issue_Date]</f>
        <v>731</v>
      </c>
      <c r="U452" s="131" t="str">
        <f>DataTable[HLD_Portfolio]&amp;DataTable[HLD_Date]</f>
        <v>SCBRM143397</v>
      </c>
      <c r="V452" t="str">
        <f>DataTable[[#This Row],[RefRng]]&amp;DataTable[[#This Row],[HLD_SecCode]]</f>
        <v>SCBRM143397KCC203A</v>
      </c>
    </row>
    <row r="453" spans="1:22" x14ac:dyDescent="0.2">
      <c r="A453" s="131">
        <v>43397</v>
      </c>
      <c r="B453" t="s">
        <v>338</v>
      </c>
      <c r="C453" t="s">
        <v>18</v>
      </c>
      <c r="D453" t="s">
        <v>102</v>
      </c>
      <c r="F453" t="s">
        <v>543</v>
      </c>
      <c r="G453" t="s">
        <v>544</v>
      </c>
      <c r="H453" t="s">
        <v>47</v>
      </c>
      <c r="I453" s="131">
        <v>43903</v>
      </c>
      <c r="J453" s="6">
        <v>10137735.6</v>
      </c>
      <c r="K453">
        <v>40043.800000000003</v>
      </c>
      <c r="L453">
        <v>10178518.800000001</v>
      </c>
      <c r="M453">
        <v>1.3389930000000001</v>
      </c>
      <c r="N453">
        <v>10000000</v>
      </c>
      <c r="O453">
        <v>2.17</v>
      </c>
      <c r="P453">
        <v>1.0444664000000001E-3</v>
      </c>
      <c r="Q453" t="s">
        <v>42</v>
      </c>
      <c r="R453" t="s">
        <v>23</v>
      </c>
      <c r="S453" s="131">
        <v>42076</v>
      </c>
      <c r="T453" s="6">
        <f>DataTable[HLD_MaturityDate] - DataTable[SEC_Issue_Date]</f>
        <v>1827</v>
      </c>
      <c r="U453" s="131" t="str">
        <f>DataTable[HLD_Portfolio]&amp;DataTable[HLD_Date]</f>
        <v>SCBRM143397</v>
      </c>
      <c r="V453" t="str">
        <f>DataTable[[#This Row],[RefRng]]&amp;DataTable[[#This Row],[HLD_SecCode]]</f>
        <v>SCBRM143397KSL203A</v>
      </c>
    </row>
    <row r="454" spans="1:22" x14ac:dyDescent="0.2">
      <c r="A454" s="131">
        <v>43397</v>
      </c>
      <c r="B454" t="s">
        <v>338</v>
      </c>
      <c r="C454" t="s">
        <v>18</v>
      </c>
      <c r="D454" t="s">
        <v>102</v>
      </c>
      <c r="F454" t="s">
        <v>545</v>
      </c>
      <c r="G454" t="s">
        <v>546</v>
      </c>
      <c r="H454" t="s">
        <v>51</v>
      </c>
      <c r="I454" s="131">
        <v>43583</v>
      </c>
      <c r="J454" s="6">
        <v>350389651.5</v>
      </c>
      <c r="K454">
        <v>3831779.34</v>
      </c>
      <c r="L454">
        <v>350000000</v>
      </c>
      <c r="M454">
        <v>0.50319000000000003</v>
      </c>
      <c r="N454">
        <v>350000000</v>
      </c>
      <c r="O454">
        <v>2.2000000000000002</v>
      </c>
      <c r="P454">
        <v>3.6350992700000001E-2</v>
      </c>
      <c r="Q454" t="s">
        <v>42</v>
      </c>
      <c r="R454" t="s">
        <v>23</v>
      </c>
      <c r="S454" s="131">
        <v>42853</v>
      </c>
      <c r="T454" s="6">
        <f>DataTable[HLD_MaturityDate] - DataTable[SEC_Issue_Date]</f>
        <v>730</v>
      </c>
      <c r="U454" s="131" t="str">
        <f>DataTable[HLD_Portfolio]&amp;DataTable[HLD_Date]</f>
        <v>SCBRM143397</v>
      </c>
      <c r="V454" t="str">
        <f>DataTable[[#This Row],[RefRng]]&amp;DataTable[[#This Row],[HLD_SecCode]]</f>
        <v>SCBRM143397LH194B</v>
      </c>
    </row>
    <row r="455" spans="1:22" x14ac:dyDescent="0.2">
      <c r="A455" s="131">
        <v>43397</v>
      </c>
      <c r="B455" t="s">
        <v>338</v>
      </c>
      <c r="C455" t="s">
        <v>18</v>
      </c>
      <c r="D455" t="s">
        <v>102</v>
      </c>
      <c r="F455" t="s">
        <v>212</v>
      </c>
      <c r="G455" t="s">
        <v>213</v>
      </c>
      <c r="H455" t="s">
        <v>116</v>
      </c>
      <c r="I455" s="131">
        <v>43738</v>
      </c>
      <c r="J455" s="6">
        <v>299594778.49000001</v>
      </c>
      <c r="K455">
        <v>350478.38</v>
      </c>
      <c r="L455">
        <v>301000000</v>
      </c>
      <c r="M455">
        <v>0.913045</v>
      </c>
      <c r="N455">
        <v>301000000</v>
      </c>
      <c r="O455">
        <v>1.7</v>
      </c>
      <c r="P455">
        <v>3.07810507E-2</v>
      </c>
      <c r="Q455" t="s">
        <v>42</v>
      </c>
      <c r="R455" t="s">
        <v>23</v>
      </c>
      <c r="S455" s="131">
        <v>43189</v>
      </c>
      <c r="T455" s="6">
        <f>DataTable[HLD_MaturityDate] - DataTable[SEC_Issue_Date]</f>
        <v>549</v>
      </c>
      <c r="U455" s="131" t="str">
        <f>DataTable[HLD_Portfolio]&amp;DataTable[HLD_Date]</f>
        <v>SCBRM143397</v>
      </c>
      <c r="V455" t="str">
        <f>DataTable[[#This Row],[RefRng]]&amp;DataTable[[#This Row],[HLD_SecCode]]</f>
        <v>SCBRM143397LHBANK199A</v>
      </c>
    </row>
    <row r="456" spans="1:22" x14ac:dyDescent="0.2">
      <c r="A456" s="131">
        <v>43397</v>
      </c>
      <c r="B456" t="s">
        <v>338</v>
      </c>
      <c r="C456" t="s">
        <v>18</v>
      </c>
      <c r="D456" t="s">
        <v>102</v>
      </c>
      <c r="F456" t="s">
        <v>547</v>
      </c>
      <c r="G456" t="s">
        <v>548</v>
      </c>
      <c r="H456" t="s">
        <v>116</v>
      </c>
      <c r="I456" s="131">
        <v>44816</v>
      </c>
      <c r="J456" s="6">
        <v>49774750</v>
      </c>
      <c r="K456">
        <v>164931.5</v>
      </c>
      <c r="L456">
        <v>50713545.5</v>
      </c>
      <c r="M456">
        <v>3.636282</v>
      </c>
      <c r="N456">
        <v>50000000</v>
      </c>
      <c r="O456">
        <v>2.415</v>
      </c>
      <c r="P456">
        <v>5.1249214000000003E-3</v>
      </c>
      <c r="Q456" t="s">
        <v>42</v>
      </c>
      <c r="R456" t="s">
        <v>23</v>
      </c>
      <c r="S456" s="131">
        <v>42990</v>
      </c>
      <c r="T456" s="6">
        <f>DataTable[HLD_MaturityDate] - DataTable[SEC_Issue_Date]</f>
        <v>1826</v>
      </c>
      <c r="U456" s="131" t="str">
        <f>DataTable[HLD_Portfolio]&amp;DataTable[HLD_Date]</f>
        <v>SCBRM143397</v>
      </c>
      <c r="V456" t="str">
        <f>DataTable[[#This Row],[RefRng]]&amp;DataTable[[#This Row],[HLD_SecCode]]</f>
        <v>SCBRM143397MAJOR229A</v>
      </c>
    </row>
    <row r="457" spans="1:22" x14ac:dyDescent="0.2">
      <c r="A457" s="131">
        <v>43397</v>
      </c>
      <c r="B457" t="s">
        <v>338</v>
      </c>
      <c r="C457" t="s">
        <v>18</v>
      </c>
      <c r="D457" t="s">
        <v>102</v>
      </c>
      <c r="F457" t="s">
        <v>514</v>
      </c>
      <c r="G457" t="s">
        <v>230</v>
      </c>
      <c r="H457" t="s">
        <v>29</v>
      </c>
      <c r="I457" s="131">
        <v>43431</v>
      </c>
      <c r="J457" s="6">
        <v>22005366.02</v>
      </c>
      <c r="K457">
        <v>325696.36</v>
      </c>
      <c r="L457">
        <v>22000000</v>
      </c>
      <c r="M457">
        <v>9.0255000000000002E-2</v>
      </c>
      <c r="N457">
        <v>22000000</v>
      </c>
      <c r="O457">
        <v>2.2799999999999998</v>
      </c>
      <c r="P457">
        <v>2.2916633999999999E-3</v>
      </c>
      <c r="Q457" t="s">
        <v>42</v>
      </c>
      <c r="R457" t="s">
        <v>23</v>
      </c>
      <c r="S457" s="131">
        <v>43161</v>
      </c>
      <c r="T457" s="6">
        <f>DataTable[HLD_MaturityDate] - DataTable[SEC_Issue_Date]</f>
        <v>270</v>
      </c>
      <c r="U457" s="131" t="str">
        <f>DataTable[HLD_Portfolio]&amp;DataTable[HLD_Date]</f>
        <v>SCBRM143397</v>
      </c>
      <c r="V457" t="str">
        <f>DataTable[[#This Row],[RefRng]]&amp;DataTable[[#This Row],[HLD_SecCode]]</f>
        <v>SCBRM143397TRUE18N27A</v>
      </c>
    </row>
    <row r="458" spans="1:22" x14ac:dyDescent="0.2">
      <c r="A458" s="131">
        <v>43397</v>
      </c>
      <c r="B458" t="s">
        <v>338</v>
      </c>
      <c r="C458" t="s">
        <v>18</v>
      </c>
      <c r="D458" t="s">
        <v>102</v>
      </c>
      <c r="F458" t="s">
        <v>561</v>
      </c>
      <c r="G458" t="s">
        <v>230</v>
      </c>
      <c r="H458" t="s">
        <v>29</v>
      </c>
      <c r="I458" s="131">
        <v>43494</v>
      </c>
      <c r="J458" s="6">
        <v>46997620.859999999</v>
      </c>
      <c r="K458">
        <v>515325.86</v>
      </c>
      <c r="L458">
        <v>47000000</v>
      </c>
      <c r="M458">
        <v>0.261436</v>
      </c>
      <c r="N458">
        <v>47000000</v>
      </c>
      <c r="O458">
        <v>2.2999999999999998</v>
      </c>
      <c r="P458">
        <v>4.8758845000000002E-3</v>
      </c>
      <c r="Q458" t="s">
        <v>42</v>
      </c>
      <c r="R458" t="s">
        <v>23</v>
      </c>
      <c r="S458" s="131">
        <v>43224</v>
      </c>
      <c r="T458" s="6">
        <f>DataTable[HLD_MaturityDate] - DataTable[SEC_Issue_Date]</f>
        <v>270</v>
      </c>
      <c r="U458" s="131" t="str">
        <f>DataTable[HLD_Portfolio]&amp;DataTable[HLD_Date]</f>
        <v>SCBRM143397</v>
      </c>
      <c r="V458" t="str">
        <f>DataTable[[#This Row],[RefRng]]&amp;DataTable[[#This Row],[HLD_SecCode]]</f>
        <v>SCBRM143397TRUE19129A</v>
      </c>
    </row>
    <row r="459" spans="1:22" x14ac:dyDescent="0.2">
      <c r="A459" s="131">
        <v>43397</v>
      </c>
      <c r="B459" t="s">
        <v>338</v>
      </c>
      <c r="C459" t="s">
        <v>18</v>
      </c>
      <c r="D459" t="s">
        <v>102</v>
      </c>
      <c r="F459" t="s">
        <v>515</v>
      </c>
      <c r="G459" t="s">
        <v>230</v>
      </c>
      <c r="H459" t="s">
        <v>29</v>
      </c>
      <c r="I459" s="131">
        <v>43494</v>
      </c>
      <c r="J459" s="6">
        <v>22999044.350000001</v>
      </c>
      <c r="K459">
        <v>217397.15</v>
      </c>
      <c r="L459">
        <v>23000000</v>
      </c>
      <c r="M459">
        <v>0.261436</v>
      </c>
      <c r="N459">
        <v>23000000</v>
      </c>
      <c r="O459">
        <v>2.2999999999999998</v>
      </c>
      <c r="P459">
        <v>2.3825230000000001E-3</v>
      </c>
      <c r="Q459" t="s">
        <v>42</v>
      </c>
      <c r="R459" t="s">
        <v>23</v>
      </c>
      <c r="S459" s="131">
        <v>43248</v>
      </c>
      <c r="T459" s="6">
        <f>DataTable[HLD_MaturityDate] - DataTable[SEC_Issue_Date]</f>
        <v>246</v>
      </c>
      <c r="U459" s="131" t="str">
        <f>DataTable[HLD_Portfolio]&amp;DataTable[HLD_Date]</f>
        <v>SCBRM143397</v>
      </c>
      <c r="V459" t="str">
        <f>DataTable[[#This Row],[RefRng]]&amp;DataTable[[#This Row],[HLD_SecCode]]</f>
        <v>SCBRM143397TRUE19129B</v>
      </c>
    </row>
    <row r="460" spans="1:22" x14ac:dyDescent="0.2">
      <c r="A460" s="131">
        <v>43397</v>
      </c>
      <c r="B460" t="s">
        <v>338</v>
      </c>
      <c r="C460" t="s">
        <v>18</v>
      </c>
      <c r="D460" t="s">
        <v>102</v>
      </c>
      <c r="F460" t="s">
        <v>229</v>
      </c>
      <c r="G460" t="s">
        <v>230</v>
      </c>
      <c r="H460" t="s">
        <v>29</v>
      </c>
      <c r="I460" s="131">
        <v>43518</v>
      </c>
      <c r="J460" s="6">
        <v>349885522</v>
      </c>
      <c r="K460">
        <v>6611069.5</v>
      </c>
      <c r="L460">
        <v>350000000</v>
      </c>
      <c r="M460">
        <v>0.32573999999999997</v>
      </c>
      <c r="N460">
        <v>350000000</v>
      </c>
      <c r="O460">
        <v>2.78</v>
      </c>
      <c r="P460">
        <v>3.6584474700000001E-2</v>
      </c>
      <c r="Q460" t="s">
        <v>42</v>
      </c>
      <c r="R460" t="s">
        <v>23</v>
      </c>
      <c r="S460" s="131">
        <v>43150</v>
      </c>
      <c r="T460" s="6">
        <f>DataTable[HLD_MaturityDate] - DataTable[SEC_Issue_Date]</f>
        <v>368</v>
      </c>
      <c r="U460" s="131" t="str">
        <f>DataTable[HLD_Portfolio]&amp;DataTable[HLD_Date]</f>
        <v>SCBRM143397</v>
      </c>
      <c r="V460" t="str">
        <f>DataTable[[#This Row],[RefRng]]&amp;DataTable[[#This Row],[HLD_SecCode]]</f>
        <v>SCBRM143397TRUE192B</v>
      </c>
    </row>
    <row r="461" spans="1:22" x14ac:dyDescent="0.2">
      <c r="A461" s="131">
        <v>43397</v>
      </c>
      <c r="B461" t="s">
        <v>338</v>
      </c>
      <c r="C461" t="s">
        <v>18</v>
      </c>
      <c r="D461" t="s">
        <v>102</v>
      </c>
      <c r="F461" t="s">
        <v>233</v>
      </c>
      <c r="G461" t="s">
        <v>232</v>
      </c>
      <c r="H461" t="s">
        <v>29</v>
      </c>
      <c r="I461" s="131">
        <v>44410</v>
      </c>
      <c r="J461" s="6">
        <v>306708675.42000002</v>
      </c>
      <c r="K461">
        <v>2614125.69</v>
      </c>
      <c r="L461">
        <v>307000000</v>
      </c>
      <c r="M461">
        <v>2.6247090000000002</v>
      </c>
      <c r="N461">
        <v>307000000</v>
      </c>
      <c r="O461">
        <v>3.7</v>
      </c>
      <c r="P461">
        <v>3.1743395200000003E-2</v>
      </c>
      <c r="Q461" t="s">
        <v>42</v>
      </c>
      <c r="R461" t="s">
        <v>23</v>
      </c>
      <c r="S461" s="131">
        <v>43314</v>
      </c>
      <c r="T461" s="6">
        <f>DataTable[HLD_MaturityDate] - DataTable[SEC_Issue_Date]</f>
        <v>1096</v>
      </c>
      <c r="U461" s="131" t="str">
        <f>DataTable[HLD_Portfolio]&amp;DataTable[HLD_Date]</f>
        <v>SCBRM143397</v>
      </c>
      <c r="V461" t="str">
        <f>DataTable[[#This Row],[RefRng]]&amp;DataTable[[#This Row],[HLD_SecCode]]</f>
        <v>SCBRM143397TUC218A</v>
      </c>
    </row>
    <row r="462" spans="1:22" x14ac:dyDescent="0.2">
      <c r="A462" s="131">
        <v>43397</v>
      </c>
      <c r="B462" t="s">
        <v>338</v>
      </c>
      <c r="C462" t="s">
        <v>18</v>
      </c>
      <c r="D462" t="s">
        <v>102</v>
      </c>
      <c r="F462" t="s">
        <v>549</v>
      </c>
      <c r="G462" t="s">
        <v>550</v>
      </c>
      <c r="H462" t="s">
        <v>47</v>
      </c>
      <c r="I462" s="131">
        <v>43538</v>
      </c>
      <c r="J462" s="6">
        <v>75613164.099999994</v>
      </c>
      <c r="K462">
        <v>375238.51</v>
      </c>
      <c r="L462">
        <v>75716836.180000007</v>
      </c>
      <c r="M462">
        <v>0.37976599999999999</v>
      </c>
      <c r="N462">
        <v>74900000</v>
      </c>
      <c r="O462">
        <v>1.64</v>
      </c>
      <c r="P462">
        <v>7.7980992000000002E-3</v>
      </c>
      <c r="Q462" t="s">
        <v>42</v>
      </c>
      <c r="R462" t="s">
        <v>23</v>
      </c>
      <c r="S462" s="131">
        <v>41712</v>
      </c>
      <c r="T462" s="6">
        <f>DataTable[HLD_MaturityDate] - DataTable[SEC_Issue_Date]</f>
        <v>1826</v>
      </c>
      <c r="U462" s="131" t="str">
        <f>DataTable[HLD_Portfolio]&amp;DataTable[HLD_Date]</f>
        <v>SCBRM143397</v>
      </c>
      <c r="V462" t="str">
        <f>DataTable[[#This Row],[RefRng]]&amp;DataTable[[#This Row],[HLD_SecCode]]</f>
        <v>SCBRM143397MINT193A</v>
      </c>
    </row>
    <row r="463" spans="1:22" x14ac:dyDescent="0.2">
      <c r="A463" s="131">
        <v>43397</v>
      </c>
      <c r="B463" t="s">
        <v>338</v>
      </c>
      <c r="C463" t="s">
        <v>18</v>
      </c>
      <c r="D463" t="s">
        <v>102</v>
      </c>
      <c r="F463" t="s">
        <v>551</v>
      </c>
      <c r="G463" t="s">
        <v>505</v>
      </c>
      <c r="H463" t="s">
        <v>47</v>
      </c>
      <c r="I463" s="131">
        <v>43610</v>
      </c>
      <c r="J463" s="6">
        <v>70053858.700000003</v>
      </c>
      <c r="K463">
        <v>645534.4</v>
      </c>
      <c r="L463">
        <v>70232719.900000006</v>
      </c>
      <c r="M463">
        <v>0.57361600000000001</v>
      </c>
      <c r="N463">
        <v>70000000</v>
      </c>
      <c r="O463">
        <v>1.61</v>
      </c>
      <c r="P463">
        <v>7.2553293000000001E-3</v>
      </c>
      <c r="Q463" t="s">
        <v>42</v>
      </c>
      <c r="R463" t="s">
        <v>23</v>
      </c>
      <c r="S463" s="131">
        <v>42515</v>
      </c>
      <c r="T463" s="6">
        <f>DataTable[HLD_MaturityDate] - DataTable[SEC_Issue_Date]</f>
        <v>1095</v>
      </c>
      <c r="U463" s="131" t="str">
        <f>DataTable[HLD_Portfolio]&amp;DataTable[HLD_Date]</f>
        <v>SCBRM143397</v>
      </c>
      <c r="V463" t="str">
        <f>DataTable[[#This Row],[RefRng]]&amp;DataTable[[#This Row],[HLD_SecCode]]</f>
        <v>SCBRM143397NTL195A</v>
      </c>
    </row>
    <row r="464" spans="1:22" x14ac:dyDescent="0.2">
      <c r="A464" s="131">
        <v>43397</v>
      </c>
      <c r="B464" t="s">
        <v>338</v>
      </c>
      <c r="C464" t="s">
        <v>18</v>
      </c>
      <c r="D464" t="s">
        <v>102</v>
      </c>
      <c r="F464" t="s">
        <v>504</v>
      </c>
      <c r="G464" t="s">
        <v>505</v>
      </c>
      <c r="H464" t="s">
        <v>47</v>
      </c>
      <c r="I464" s="131">
        <v>43813</v>
      </c>
      <c r="J464" s="6">
        <v>67820715.280000001</v>
      </c>
      <c r="K464">
        <v>490605.72</v>
      </c>
      <c r="L464">
        <v>68000000</v>
      </c>
      <c r="M464">
        <v>1.1100220000000001</v>
      </c>
      <c r="N464">
        <v>68000000</v>
      </c>
      <c r="O464">
        <v>1.98</v>
      </c>
      <c r="P464">
        <v>7.0102599999999999E-3</v>
      </c>
      <c r="Q464" t="s">
        <v>42</v>
      </c>
      <c r="R464" t="s">
        <v>23</v>
      </c>
      <c r="S464" s="131">
        <v>43083</v>
      </c>
      <c r="T464" s="6">
        <f>DataTable[HLD_MaturityDate] - DataTable[SEC_Issue_Date]</f>
        <v>730</v>
      </c>
      <c r="U464" s="131" t="str">
        <f>DataTable[HLD_Portfolio]&amp;DataTable[HLD_Date]</f>
        <v>SCBRM143397</v>
      </c>
      <c r="V464" t="str">
        <f>DataTable[[#This Row],[RefRng]]&amp;DataTable[[#This Row],[HLD_SecCode]]</f>
        <v>SCBRM143397NTL19DB</v>
      </c>
    </row>
    <row r="465" spans="1:22" x14ac:dyDescent="0.2">
      <c r="A465" s="131">
        <v>43397</v>
      </c>
      <c r="B465" t="s">
        <v>338</v>
      </c>
      <c r="C465" t="s">
        <v>18</v>
      </c>
      <c r="D465" t="s">
        <v>102</v>
      </c>
      <c r="F465" t="s">
        <v>552</v>
      </c>
      <c r="G465" t="s">
        <v>216</v>
      </c>
      <c r="H465" t="s">
        <v>47</v>
      </c>
      <c r="I465" s="131">
        <v>43545</v>
      </c>
      <c r="J465" s="6">
        <v>30005857.5</v>
      </c>
      <c r="K465">
        <v>64027.5</v>
      </c>
      <c r="L465">
        <v>30038775.899999999</v>
      </c>
      <c r="M465">
        <v>0.399426</v>
      </c>
      <c r="N465">
        <v>30000000</v>
      </c>
      <c r="O465">
        <v>1.73</v>
      </c>
      <c r="P465">
        <v>3.0858385999999998E-3</v>
      </c>
      <c r="Q465" t="s">
        <v>42</v>
      </c>
      <c r="R465" t="s">
        <v>23</v>
      </c>
      <c r="S465" s="131">
        <v>42446</v>
      </c>
      <c r="T465" s="6">
        <f>DataTable[HLD_MaturityDate] - DataTable[SEC_Issue_Date]</f>
        <v>1099</v>
      </c>
      <c r="U465" s="131" t="str">
        <f>DataTable[HLD_Portfolio]&amp;DataTable[HLD_Date]</f>
        <v>SCBRM143397</v>
      </c>
      <c r="V465" t="str">
        <f>DataTable[[#This Row],[RefRng]]&amp;DataTable[[#This Row],[HLD_SecCode]]</f>
        <v>SCBRM143397PS193A</v>
      </c>
    </row>
    <row r="466" spans="1:22" x14ac:dyDescent="0.2">
      <c r="A466" s="131">
        <v>43397</v>
      </c>
      <c r="B466" t="s">
        <v>338</v>
      </c>
      <c r="C466" t="s">
        <v>18</v>
      </c>
      <c r="D466" t="s">
        <v>102</v>
      </c>
      <c r="F466" t="s">
        <v>553</v>
      </c>
      <c r="G466" t="s">
        <v>216</v>
      </c>
      <c r="H466" t="s">
        <v>47</v>
      </c>
      <c r="I466" s="131">
        <v>43798</v>
      </c>
      <c r="J466" s="6">
        <v>140476709.80000001</v>
      </c>
      <c r="K466">
        <v>837277.15</v>
      </c>
      <c r="L466">
        <v>140000000</v>
      </c>
      <c r="M466">
        <v>1.080533</v>
      </c>
      <c r="N466">
        <v>140000000</v>
      </c>
      <c r="O466">
        <v>2.63</v>
      </c>
      <c r="P466">
        <v>1.45019563E-2</v>
      </c>
      <c r="Q466" t="s">
        <v>42</v>
      </c>
      <c r="R466" t="s">
        <v>23</v>
      </c>
      <c r="S466" s="131">
        <v>42769</v>
      </c>
      <c r="T466" s="6">
        <f>DataTable[HLD_MaturityDate] - DataTable[SEC_Issue_Date]</f>
        <v>1029</v>
      </c>
      <c r="U466" s="131" t="str">
        <f>DataTable[HLD_Portfolio]&amp;DataTable[HLD_Date]</f>
        <v>SCBRM143397</v>
      </c>
      <c r="V466" t="str">
        <f>DataTable[[#This Row],[RefRng]]&amp;DataTable[[#This Row],[HLD_SecCode]]</f>
        <v>SCBRM143397PS19NA</v>
      </c>
    </row>
    <row r="467" spans="1:22" x14ac:dyDescent="0.2">
      <c r="A467" s="131">
        <v>43397</v>
      </c>
      <c r="B467" t="s">
        <v>338</v>
      </c>
      <c r="C467" t="s">
        <v>18</v>
      </c>
      <c r="D467" t="s">
        <v>102</v>
      </c>
      <c r="F467" t="s">
        <v>554</v>
      </c>
      <c r="G467" t="s">
        <v>555</v>
      </c>
      <c r="H467" t="s">
        <v>58</v>
      </c>
      <c r="I467" s="131">
        <v>43600</v>
      </c>
      <c r="J467" s="6">
        <v>10177739.699999999</v>
      </c>
      <c r="K467">
        <v>227753.4</v>
      </c>
      <c r="L467">
        <v>10168801.4</v>
      </c>
      <c r="M467">
        <v>0.54032100000000005</v>
      </c>
      <c r="N467">
        <v>10000000</v>
      </c>
      <c r="O467">
        <v>2</v>
      </c>
      <c r="P467">
        <v>1.0678349E-3</v>
      </c>
      <c r="Q467" t="s">
        <v>42</v>
      </c>
      <c r="R467" t="s">
        <v>23</v>
      </c>
      <c r="S467" s="131">
        <v>41050</v>
      </c>
      <c r="T467" s="6">
        <f>DataTable[HLD_MaturityDate] - DataTable[SEC_Issue_Date]</f>
        <v>2550</v>
      </c>
      <c r="U467" s="131" t="str">
        <f>DataTable[HLD_Portfolio]&amp;DataTable[HLD_Date]</f>
        <v>SCBRM143397</v>
      </c>
      <c r="V467" t="str">
        <f>DataTable[[#This Row],[RefRng]]&amp;DataTable[[#This Row],[HLD_SecCode]]</f>
        <v>SCBRM143397PTTC195B</v>
      </c>
    </row>
    <row r="468" spans="1:22" x14ac:dyDescent="0.2">
      <c r="A468" s="131">
        <v>43397</v>
      </c>
      <c r="B468" t="s">
        <v>338</v>
      </c>
      <c r="C468" t="s">
        <v>18</v>
      </c>
      <c r="D468" t="s">
        <v>102</v>
      </c>
      <c r="F468" t="s">
        <v>556</v>
      </c>
      <c r="G468" t="s">
        <v>218</v>
      </c>
      <c r="H468" t="s">
        <v>116</v>
      </c>
      <c r="I468" s="131">
        <v>43580</v>
      </c>
      <c r="J468" s="6">
        <v>219355314.80000001</v>
      </c>
      <c r="K468">
        <v>2156010.7400000002</v>
      </c>
      <c r="L468">
        <v>219430163.11000001</v>
      </c>
      <c r="M468">
        <v>0.49367699999999998</v>
      </c>
      <c r="N468">
        <v>219400000</v>
      </c>
      <c r="O468">
        <v>1.9375720000000001</v>
      </c>
      <c r="P468">
        <v>2.2731985900000001E-2</v>
      </c>
      <c r="Q468" t="s">
        <v>42</v>
      </c>
      <c r="R468" t="s">
        <v>23</v>
      </c>
      <c r="S468" s="131">
        <v>42485</v>
      </c>
      <c r="T468" s="6">
        <f>DataTable[HLD_MaturityDate] - DataTable[SEC_Issue_Date]</f>
        <v>1095</v>
      </c>
      <c r="U468" s="131" t="str">
        <f>DataTable[HLD_Portfolio]&amp;DataTable[HLD_Date]</f>
        <v>SCBRM143397</v>
      </c>
      <c r="V468" t="str">
        <f>DataTable[[#This Row],[RefRng]]&amp;DataTable[[#This Row],[HLD_SecCode]]</f>
        <v>SCBRM143397QH194A</v>
      </c>
    </row>
    <row r="469" spans="1:22" x14ac:dyDescent="0.2">
      <c r="A469" s="131">
        <v>43397</v>
      </c>
      <c r="B469" t="s">
        <v>338</v>
      </c>
      <c r="C469" t="s">
        <v>18</v>
      </c>
      <c r="D469" t="s">
        <v>102</v>
      </c>
      <c r="F469" t="s">
        <v>557</v>
      </c>
      <c r="G469" t="s">
        <v>218</v>
      </c>
      <c r="H469" t="s">
        <v>116</v>
      </c>
      <c r="I469" s="131">
        <v>43685</v>
      </c>
      <c r="J469" s="6">
        <v>50848304.5</v>
      </c>
      <c r="K469">
        <v>468000</v>
      </c>
      <c r="L469">
        <v>50694908</v>
      </c>
      <c r="M469">
        <v>0.77141400000000004</v>
      </c>
      <c r="N469">
        <v>50000000</v>
      </c>
      <c r="O469">
        <v>2.5649999999999999</v>
      </c>
      <c r="P469">
        <v>5.2661935000000003E-3</v>
      </c>
      <c r="Q469" t="s">
        <v>42</v>
      </c>
      <c r="R469" t="s">
        <v>23</v>
      </c>
      <c r="S469" s="131">
        <v>41859</v>
      </c>
      <c r="T469" s="6">
        <f>DataTable[HLD_MaturityDate] - DataTable[SEC_Issue_Date]</f>
        <v>1826</v>
      </c>
      <c r="U469" s="131" t="str">
        <f>DataTable[HLD_Portfolio]&amp;DataTable[HLD_Date]</f>
        <v>SCBRM143397</v>
      </c>
      <c r="V469" t="str">
        <f>DataTable[[#This Row],[RefRng]]&amp;DataTable[[#This Row],[HLD_SecCode]]</f>
        <v>SCBRM143397QH198A</v>
      </c>
    </row>
    <row r="470" spans="1:22" x14ac:dyDescent="0.2">
      <c r="A470" s="131">
        <v>43397</v>
      </c>
      <c r="B470" t="s">
        <v>338</v>
      </c>
      <c r="C470" t="s">
        <v>18</v>
      </c>
      <c r="D470" t="s">
        <v>102</v>
      </c>
      <c r="F470" t="s">
        <v>217</v>
      </c>
      <c r="G470" t="s">
        <v>218</v>
      </c>
      <c r="H470" t="s">
        <v>116</v>
      </c>
      <c r="I470" s="131">
        <v>44260</v>
      </c>
      <c r="J470" s="6">
        <v>42387065.960000001</v>
      </c>
      <c r="K470">
        <v>127232.7</v>
      </c>
      <c r="L470">
        <v>43000000</v>
      </c>
      <c r="M470">
        <v>2.2738260000000001</v>
      </c>
      <c r="N470">
        <v>43000000</v>
      </c>
      <c r="O470">
        <v>2.16</v>
      </c>
      <c r="P470">
        <v>4.3629120999999996E-3</v>
      </c>
      <c r="Q470" t="s">
        <v>42</v>
      </c>
      <c r="R470" t="s">
        <v>23</v>
      </c>
      <c r="S470" s="131">
        <v>43164</v>
      </c>
      <c r="T470" s="6">
        <f>DataTable[HLD_MaturityDate] - DataTable[SEC_Issue_Date]</f>
        <v>1096</v>
      </c>
      <c r="U470" s="131" t="str">
        <f>DataTable[HLD_Portfolio]&amp;DataTable[HLD_Date]</f>
        <v>SCBRM143397</v>
      </c>
      <c r="V470" t="str">
        <f>DataTable[[#This Row],[RefRng]]&amp;DataTable[[#This Row],[HLD_SecCode]]</f>
        <v>SCBRM143397QH213A</v>
      </c>
    </row>
    <row r="471" spans="1:22" x14ac:dyDescent="0.2">
      <c r="A471" s="131">
        <v>43397</v>
      </c>
      <c r="B471" t="s">
        <v>338</v>
      </c>
      <c r="C471" t="s">
        <v>18</v>
      </c>
      <c r="D471" t="s">
        <v>102</v>
      </c>
      <c r="F471" t="s">
        <v>558</v>
      </c>
      <c r="G471" t="s">
        <v>559</v>
      </c>
      <c r="H471" t="s">
        <v>464</v>
      </c>
      <c r="I471" s="131">
        <v>43960</v>
      </c>
      <c r="J471" s="6">
        <v>9997027.5999999996</v>
      </c>
      <c r="K471">
        <v>115290.4</v>
      </c>
      <c r="L471">
        <v>10000000</v>
      </c>
      <c r="M471">
        <v>1.485908</v>
      </c>
      <c r="N471">
        <v>10000000</v>
      </c>
      <c r="O471">
        <v>2.4900000000000002</v>
      </c>
      <c r="P471">
        <v>1.0377486E-3</v>
      </c>
      <c r="Q471" t="s">
        <v>42</v>
      </c>
      <c r="R471" t="s">
        <v>23</v>
      </c>
      <c r="S471" s="131">
        <v>42864</v>
      </c>
      <c r="T471" s="6">
        <f>DataTable[HLD_MaturityDate] - DataTable[SEC_Issue_Date]</f>
        <v>1096</v>
      </c>
      <c r="U471" s="131" t="str">
        <f>DataTable[HLD_Portfolio]&amp;DataTable[HLD_Date]</f>
        <v>SCBRM143397</v>
      </c>
      <c r="V471" t="str">
        <f>DataTable[[#This Row],[RefRng]]&amp;DataTable[[#This Row],[HLD_SecCode]]</f>
        <v>SCBRM143397SCCC205A</v>
      </c>
    </row>
    <row r="472" spans="1:22" x14ac:dyDescent="0.2">
      <c r="A472" s="131">
        <v>43397</v>
      </c>
      <c r="B472" t="s">
        <v>338</v>
      </c>
      <c r="C472" t="s">
        <v>18</v>
      </c>
      <c r="D472" t="s">
        <v>102</v>
      </c>
      <c r="F472" t="s">
        <v>223</v>
      </c>
      <c r="G472" t="s">
        <v>222</v>
      </c>
      <c r="H472" t="s">
        <v>193</v>
      </c>
      <c r="I472" s="131">
        <v>44277</v>
      </c>
      <c r="J472" s="6">
        <v>49348618</v>
      </c>
      <c r="K472">
        <v>94931.5</v>
      </c>
      <c r="L472">
        <v>50000000</v>
      </c>
      <c r="M472">
        <v>2.3226810000000002</v>
      </c>
      <c r="N472">
        <v>50000000</v>
      </c>
      <c r="O472">
        <v>2.1</v>
      </c>
      <c r="P472">
        <v>5.0740072000000002E-3</v>
      </c>
      <c r="Q472" t="s">
        <v>42</v>
      </c>
      <c r="R472" t="s">
        <v>23</v>
      </c>
      <c r="S472" s="131">
        <v>43181</v>
      </c>
      <c r="T472" s="6">
        <f>DataTable[HLD_MaturityDate] - DataTable[SEC_Issue_Date]</f>
        <v>1096</v>
      </c>
      <c r="U472" s="131" t="str">
        <f>DataTable[HLD_Portfolio]&amp;DataTable[HLD_Date]</f>
        <v>SCBRM143397</v>
      </c>
      <c r="V472" t="str">
        <f>DataTable[[#This Row],[RefRng]]&amp;DataTable[[#This Row],[HLD_SecCode]]</f>
        <v>SCBRM143397TBEV213A</v>
      </c>
    </row>
    <row r="473" spans="1:22" x14ac:dyDescent="0.2">
      <c r="A473" s="131">
        <v>43397</v>
      </c>
      <c r="B473" t="s">
        <v>338</v>
      </c>
      <c r="C473" t="s">
        <v>18</v>
      </c>
      <c r="D473" t="s">
        <v>102</v>
      </c>
      <c r="F473" t="s">
        <v>560</v>
      </c>
      <c r="G473" t="s">
        <v>222</v>
      </c>
      <c r="H473" t="s">
        <v>193</v>
      </c>
      <c r="I473" s="131">
        <v>44639</v>
      </c>
      <c r="J473" s="6">
        <v>400546844</v>
      </c>
      <c r="K473">
        <v>1262464</v>
      </c>
      <c r="L473">
        <v>400000000</v>
      </c>
      <c r="M473">
        <v>3.1859549999999999</v>
      </c>
      <c r="N473">
        <v>400000000</v>
      </c>
      <c r="O473">
        <v>3.2</v>
      </c>
      <c r="P473">
        <v>4.1234566700000003E-2</v>
      </c>
      <c r="Q473" t="s">
        <v>42</v>
      </c>
      <c r="R473" t="s">
        <v>23</v>
      </c>
      <c r="S473" s="131">
        <v>43362</v>
      </c>
      <c r="T473" s="6">
        <f>DataTable[HLD_MaturityDate] - DataTable[SEC_Issue_Date]</f>
        <v>1277</v>
      </c>
      <c r="U473" s="131" t="str">
        <f>DataTable[HLD_Portfolio]&amp;DataTable[HLD_Date]</f>
        <v>SCBRM143397</v>
      </c>
      <c r="V473" t="str">
        <f>DataTable[[#This Row],[RefRng]]&amp;DataTable[[#This Row],[HLD_SecCode]]</f>
        <v>SCBRM143397TBEV223A</v>
      </c>
    </row>
    <row r="474" spans="1:22" x14ac:dyDescent="0.2">
      <c r="A474" s="131">
        <v>43397</v>
      </c>
      <c r="B474" t="s">
        <v>338</v>
      </c>
      <c r="C474" t="s">
        <v>18</v>
      </c>
      <c r="D474" t="s">
        <v>102</v>
      </c>
      <c r="F474" t="s">
        <v>226</v>
      </c>
      <c r="G474" t="s">
        <v>69</v>
      </c>
      <c r="H474" t="s">
        <v>47</v>
      </c>
      <c r="I474" s="131">
        <v>43433</v>
      </c>
      <c r="J474" s="6">
        <v>220067119.80000001</v>
      </c>
      <c r="K474">
        <v>1661451</v>
      </c>
      <c r="L474">
        <v>220000000</v>
      </c>
      <c r="M474">
        <v>9.5202999999999996E-2</v>
      </c>
      <c r="N474">
        <v>220000000</v>
      </c>
      <c r="O474">
        <v>1.85</v>
      </c>
      <c r="P474">
        <v>2.27542801E-2</v>
      </c>
      <c r="Q474" t="s">
        <v>42</v>
      </c>
      <c r="R474" t="s">
        <v>23</v>
      </c>
      <c r="S474" s="131">
        <v>42884</v>
      </c>
      <c r="T474" s="6">
        <f>DataTable[HLD_MaturityDate] - DataTable[SEC_Issue_Date]</f>
        <v>549</v>
      </c>
      <c r="U474" s="131" t="str">
        <f>DataTable[HLD_Portfolio]&amp;DataTable[HLD_Date]</f>
        <v>SCBRM143397</v>
      </c>
      <c r="V474" t="str">
        <f>DataTable[[#This Row],[RefRng]]&amp;DataTable[[#This Row],[HLD_SecCode]]</f>
        <v>SCBRM143397TISCO18NA</v>
      </c>
    </row>
    <row r="475" spans="1:22" x14ac:dyDescent="0.2">
      <c r="A475" s="131">
        <v>43397</v>
      </c>
      <c r="B475" t="s">
        <v>338</v>
      </c>
      <c r="C475" t="s">
        <v>18</v>
      </c>
      <c r="D475" t="s">
        <v>102</v>
      </c>
      <c r="F475" t="s">
        <v>513</v>
      </c>
      <c r="G475" t="s">
        <v>69</v>
      </c>
      <c r="H475" t="s">
        <v>47</v>
      </c>
      <c r="I475" s="131">
        <v>43594</v>
      </c>
      <c r="J475" s="6">
        <v>649120251</v>
      </c>
      <c r="K475">
        <v>5266781</v>
      </c>
      <c r="L475">
        <v>650000000</v>
      </c>
      <c r="M475">
        <v>0.53146899999999997</v>
      </c>
      <c r="N475">
        <v>650000000</v>
      </c>
      <c r="O475">
        <v>1.75</v>
      </c>
      <c r="P475">
        <v>6.7154655600000002E-2</v>
      </c>
      <c r="Q475" t="s">
        <v>42</v>
      </c>
      <c r="R475" t="s">
        <v>23</v>
      </c>
      <c r="S475" s="131">
        <v>43048</v>
      </c>
      <c r="T475" s="6">
        <f>DataTable[HLD_MaturityDate] - DataTable[SEC_Issue_Date]</f>
        <v>546</v>
      </c>
      <c r="U475" s="131" t="str">
        <f>DataTable[HLD_Portfolio]&amp;DataTable[HLD_Date]</f>
        <v>SCBRM143397</v>
      </c>
      <c r="V475" t="str">
        <f>DataTable[[#This Row],[RefRng]]&amp;DataTable[[#This Row],[HLD_SecCode]]</f>
        <v>SCBRM143397TISCO195B</v>
      </c>
    </row>
    <row r="476" spans="1:22" x14ac:dyDescent="0.2">
      <c r="A476" s="131">
        <v>43397</v>
      </c>
      <c r="B476" t="s">
        <v>338</v>
      </c>
      <c r="C476" t="s">
        <v>18</v>
      </c>
      <c r="D476" t="s">
        <v>102</v>
      </c>
      <c r="F476" t="s">
        <v>471</v>
      </c>
      <c r="G476" t="s">
        <v>472</v>
      </c>
      <c r="I476" s="131">
        <v>43959</v>
      </c>
      <c r="J476" s="6">
        <v>124623376.25</v>
      </c>
      <c r="K476">
        <v>1420548</v>
      </c>
      <c r="L476">
        <v>125000000</v>
      </c>
      <c r="M476">
        <v>1.5005010000000001</v>
      </c>
      <c r="N476">
        <v>125000000</v>
      </c>
      <c r="O476">
        <v>2.44</v>
      </c>
      <c r="P476">
        <v>1.29349084E-2</v>
      </c>
      <c r="Q476" t="s">
        <v>42</v>
      </c>
      <c r="R476" t="s">
        <v>23</v>
      </c>
      <c r="S476" s="131">
        <v>42863</v>
      </c>
      <c r="T476" s="6">
        <f>DataTable[HLD_MaturityDate] - DataTable[SEC_Issue_Date]</f>
        <v>1096</v>
      </c>
      <c r="U476" s="131" t="str">
        <f>DataTable[HLD_Portfolio]&amp;DataTable[HLD_Date]</f>
        <v>SCBRM143397</v>
      </c>
      <c r="V476" t="str">
        <f>DataTable[[#This Row],[RefRng]]&amp;DataTable[[#This Row],[HLD_SecCode]]</f>
        <v>SCBRM143397CALE205A</v>
      </c>
    </row>
    <row r="477" spans="1:22" x14ac:dyDescent="0.2">
      <c r="A477" s="131">
        <v>43397</v>
      </c>
      <c r="B477" t="s">
        <v>338</v>
      </c>
      <c r="C477" t="s">
        <v>18</v>
      </c>
      <c r="D477" t="s">
        <v>102</v>
      </c>
      <c r="F477" t="s">
        <v>562</v>
      </c>
      <c r="G477" t="s">
        <v>563</v>
      </c>
      <c r="I477" s="131">
        <v>43437</v>
      </c>
      <c r="J477" s="6">
        <v>800579.14</v>
      </c>
      <c r="K477">
        <v>6817.31</v>
      </c>
      <c r="L477">
        <v>800177.52</v>
      </c>
      <c r="M477">
        <v>0.106096</v>
      </c>
      <c r="N477">
        <v>800000</v>
      </c>
      <c r="O477">
        <v>1.9151210000000001</v>
      </c>
      <c r="P477">
        <v>8.2856799999999996E-5</v>
      </c>
      <c r="Q477" t="s">
        <v>42</v>
      </c>
      <c r="R477" t="s">
        <v>23</v>
      </c>
      <c r="S477" s="131">
        <v>42341</v>
      </c>
      <c r="T477" s="6">
        <f>DataTable[HLD_MaturityDate] - DataTable[SEC_Issue_Date]</f>
        <v>1096</v>
      </c>
      <c r="U477" s="131" t="str">
        <f>DataTable[HLD_Portfolio]&amp;DataTable[HLD_Date]</f>
        <v>SCBRM143397</v>
      </c>
      <c r="V477" t="str">
        <f>DataTable[[#This Row],[RefRng]]&amp;DataTable[[#This Row],[HLD_SecCode]]</f>
        <v>SCBRM143397MBTH18DA</v>
      </c>
    </row>
    <row r="478" spans="1:22" x14ac:dyDescent="0.2">
      <c r="A478" s="131">
        <v>43397</v>
      </c>
      <c r="B478" t="s">
        <v>338</v>
      </c>
      <c r="C478" t="s">
        <v>18</v>
      </c>
      <c r="D478" t="s">
        <v>102</v>
      </c>
      <c r="F478" t="s">
        <v>564</v>
      </c>
      <c r="G478" t="s">
        <v>565</v>
      </c>
      <c r="I478" s="131">
        <v>43848</v>
      </c>
      <c r="J478" s="6">
        <v>34871987.149999999</v>
      </c>
      <c r="K478">
        <v>120630.3</v>
      </c>
      <c r="L478">
        <v>35027041</v>
      </c>
      <c r="M478">
        <v>1.211735</v>
      </c>
      <c r="N478">
        <v>35000000</v>
      </c>
      <c r="O478">
        <v>1.78</v>
      </c>
      <c r="P478">
        <v>3.5910204E-3</v>
      </c>
      <c r="Q478" t="s">
        <v>42</v>
      </c>
      <c r="R478" t="s">
        <v>23</v>
      </c>
      <c r="S478" s="131">
        <v>42965</v>
      </c>
      <c r="T478" s="6">
        <f>DataTable[HLD_MaturityDate] - DataTable[SEC_Issue_Date]</f>
        <v>883</v>
      </c>
      <c r="U478" s="131" t="str">
        <f>DataTable[HLD_Portfolio]&amp;DataTable[HLD_Date]</f>
        <v>SCBRM143397</v>
      </c>
      <c r="V478" t="str">
        <f>DataTable[[#This Row],[RefRng]]&amp;DataTable[[#This Row],[HLD_SecCode]]</f>
        <v>SCBRM143397TLT201B</v>
      </c>
    </row>
    <row r="479" spans="1:22" x14ac:dyDescent="0.2">
      <c r="A479" s="131">
        <v>43397</v>
      </c>
      <c r="B479" t="s">
        <v>338</v>
      </c>
      <c r="C479" t="s">
        <v>119</v>
      </c>
      <c r="D479" t="s">
        <v>295</v>
      </c>
      <c r="E479" t="s">
        <v>1256</v>
      </c>
      <c r="F479" t="s">
        <v>1251</v>
      </c>
      <c r="I479" s="131"/>
      <c r="J479" s="6">
        <v>29987922.600000001</v>
      </c>
      <c r="L479">
        <v>29987922.600000001</v>
      </c>
      <c r="O479">
        <v>0</v>
      </c>
      <c r="P479">
        <v>3.0774273999999999E-3</v>
      </c>
      <c r="Q479" t="s">
        <v>42</v>
      </c>
      <c r="R479" t="s">
        <v>23</v>
      </c>
      <c r="S479" s="131">
        <v>43397</v>
      </c>
      <c r="T479" s="6">
        <f>DataTable[HLD_MaturityDate] - DataTable[SEC_Issue_Date]</f>
        <v>-43397</v>
      </c>
      <c r="U479" s="131" t="str">
        <f>DataTable[HLD_Portfolio]&amp;DataTable[HLD_Date]</f>
        <v>SCBRM143397</v>
      </c>
      <c r="V479" t="str">
        <f>DataTable[[#This Row],[RefRng]]&amp;DataTable[[#This Row],[HLD_SecCode]]</f>
        <v>SCBRM143397CB18N06A</v>
      </c>
    </row>
    <row r="480" spans="1:22" x14ac:dyDescent="0.2">
      <c r="A480" s="131">
        <v>43397</v>
      </c>
      <c r="B480" t="s">
        <v>338</v>
      </c>
      <c r="C480" t="s">
        <v>119</v>
      </c>
      <c r="D480" t="s">
        <v>292</v>
      </c>
      <c r="E480" t="s">
        <v>1256</v>
      </c>
      <c r="F480" t="s">
        <v>20</v>
      </c>
      <c r="I480" s="131"/>
      <c r="J480" s="6">
        <v>1561425.32</v>
      </c>
      <c r="L480">
        <v>1561425.32</v>
      </c>
      <c r="M480">
        <v>0</v>
      </c>
      <c r="O480">
        <v>0</v>
      </c>
      <c r="P480">
        <v>1.602369E-4</v>
      </c>
      <c r="Q480" t="s">
        <v>22</v>
      </c>
      <c r="R480" t="s">
        <v>23</v>
      </c>
      <c r="S480" s="131">
        <v>2</v>
      </c>
      <c r="T480" s="6">
        <f>DataTable[HLD_MaturityDate] - DataTable[SEC_Issue_Date]</f>
        <v>-2</v>
      </c>
      <c r="U480" s="131" t="str">
        <f>DataTable[HLD_Portfolio]&amp;DataTable[HLD_Date]</f>
        <v>SCBRM143397</v>
      </c>
      <c r="V480" t="str">
        <f>DataTable[[#This Row],[RefRng]]&amp;DataTable[[#This Row],[HLD_SecCode]]</f>
        <v>SCBRM143397CASH</v>
      </c>
    </row>
    <row r="481" spans="1:22" x14ac:dyDescent="0.2">
      <c r="A481" s="131">
        <v>43397</v>
      </c>
      <c r="B481" t="s">
        <v>338</v>
      </c>
      <c r="C481" t="s">
        <v>119</v>
      </c>
      <c r="D481" t="s">
        <v>292</v>
      </c>
      <c r="E481" t="s">
        <v>1280</v>
      </c>
      <c r="F481" t="s">
        <v>20</v>
      </c>
      <c r="I481" s="131"/>
      <c r="J481" s="6">
        <v>1287532.7</v>
      </c>
      <c r="L481">
        <v>1287532.7</v>
      </c>
      <c r="M481">
        <v>0</v>
      </c>
      <c r="O481">
        <v>0</v>
      </c>
      <c r="P481">
        <v>1.3212949999999999E-4</v>
      </c>
      <c r="Q481" t="s">
        <v>22</v>
      </c>
      <c r="R481" t="s">
        <v>23</v>
      </c>
      <c r="S481" s="131">
        <v>2</v>
      </c>
      <c r="T481" s="6">
        <f>DataTable[HLD_MaturityDate] - DataTable[SEC_Issue_Date]</f>
        <v>-2</v>
      </c>
      <c r="U481" s="131" t="str">
        <f>DataTable[HLD_Portfolio]&amp;DataTable[HLD_Date]</f>
        <v>SCBRM143397</v>
      </c>
      <c r="V481" t="str">
        <f>DataTable[[#This Row],[RefRng]]&amp;DataTable[[#This Row],[HLD_SecCode]]</f>
        <v>SCBRM143397CASH</v>
      </c>
    </row>
    <row r="482" spans="1:22" x14ac:dyDescent="0.2">
      <c r="A482" s="131">
        <v>43397</v>
      </c>
      <c r="B482" t="s">
        <v>338</v>
      </c>
      <c r="C482" t="s">
        <v>120</v>
      </c>
      <c r="D482" t="s">
        <v>121</v>
      </c>
      <c r="E482" t="s">
        <v>1256</v>
      </c>
      <c r="F482" t="s">
        <v>1262</v>
      </c>
      <c r="I482" s="131"/>
      <c r="J482" s="6">
        <v>-179299592.19999999</v>
      </c>
      <c r="L482">
        <v>-179299592.19999999</v>
      </c>
      <c r="O482">
        <v>0</v>
      </c>
      <c r="P482">
        <v>-1.84001237E-2</v>
      </c>
      <c r="Q482" t="s">
        <v>42</v>
      </c>
      <c r="R482" t="s">
        <v>23</v>
      </c>
      <c r="S482" s="131">
        <v>43398</v>
      </c>
      <c r="T482" s="6">
        <f>DataTable[HLD_MaturityDate] - DataTable[SEC_Issue_Date]</f>
        <v>-43398</v>
      </c>
      <c r="U482" s="131" t="str">
        <f>DataTable[HLD_Portfolio]&amp;DataTable[HLD_Date]</f>
        <v>SCBRM143397</v>
      </c>
      <c r="V482" t="str">
        <f>DataTable[[#This Row],[RefRng]]&amp;DataTable[[#This Row],[HLD_SecCode]]</f>
        <v>SCBRM143397CB19124B</v>
      </c>
    </row>
    <row r="483" spans="1:22" x14ac:dyDescent="0.2">
      <c r="A483" s="131">
        <v>43397</v>
      </c>
      <c r="B483" t="s">
        <v>338</v>
      </c>
      <c r="C483" t="s">
        <v>120</v>
      </c>
      <c r="D483" t="s">
        <v>122</v>
      </c>
      <c r="E483" t="s">
        <v>122</v>
      </c>
      <c r="F483" t="s">
        <v>122</v>
      </c>
      <c r="I483" s="131"/>
      <c r="J483" s="6">
        <v>-68055.39</v>
      </c>
      <c r="O483">
        <v>0</v>
      </c>
      <c r="P483">
        <v>-6.9840000000000004E-6</v>
      </c>
      <c r="S483" s="131"/>
      <c r="T483" s="6">
        <f>DataTable[HLD_MaturityDate] - DataTable[SEC_Issue_Date]</f>
        <v>0</v>
      </c>
      <c r="U483" s="131" t="str">
        <f>DataTable[HLD_Portfolio]&amp;DataTable[HLD_Date]</f>
        <v>SCBRM143397</v>
      </c>
      <c r="V483" t="str">
        <f>DataTable[[#This Row],[RefRng]]&amp;DataTable[[#This Row],[HLD_SecCode]]</f>
        <v>SCBRM143397AUDITING FEE</v>
      </c>
    </row>
    <row r="484" spans="1:22" x14ac:dyDescent="0.2">
      <c r="A484" s="131">
        <v>43397</v>
      </c>
      <c r="B484" t="s">
        <v>338</v>
      </c>
      <c r="C484" t="s">
        <v>120</v>
      </c>
      <c r="D484" t="s">
        <v>566</v>
      </c>
      <c r="E484" t="s">
        <v>1256</v>
      </c>
      <c r="F484" t="s">
        <v>20</v>
      </c>
      <c r="I484" s="131"/>
      <c r="J484" s="6">
        <v>-4.3899999999999997</v>
      </c>
      <c r="L484">
        <v>-4.3899999999999997</v>
      </c>
      <c r="M484">
        <v>0</v>
      </c>
      <c r="O484">
        <v>0</v>
      </c>
      <c r="P484">
        <v>-5.0000000000000003E-10</v>
      </c>
      <c r="Q484" t="s">
        <v>22</v>
      </c>
      <c r="R484" t="s">
        <v>23</v>
      </c>
      <c r="S484" s="131">
        <v>2</v>
      </c>
      <c r="T484" s="6">
        <f>DataTable[HLD_MaturityDate] - DataTable[SEC_Issue_Date]</f>
        <v>-2</v>
      </c>
      <c r="U484" s="131" t="str">
        <f>DataTable[HLD_Portfolio]&amp;DataTable[HLD_Date]</f>
        <v>SCBRM143397</v>
      </c>
      <c r="V484" t="str">
        <f>DataTable[[#This Row],[RefRng]]&amp;DataTable[[#This Row],[HLD_SecCode]]</f>
        <v>SCBRM143397CASH</v>
      </c>
    </row>
    <row r="485" spans="1:22" x14ac:dyDescent="0.2">
      <c r="A485" s="131">
        <v>43397</v>
      </c>
      <c r="B485" t="s">
        <v>338</v>
      </c>
      <c r="C485" t="s">
        <v>120</v>
      </c>
      <c r="D485" t="s">
        <v>123</v>
      </c>
      <c r="I485" s="131"/>
      <c r="J485" s="6">
        <v>-168407.79</v>
      </c>
      <c r="K485">
        <v>0</v>
      </c>
      <c r="O485">
        <v>0</v>
      </c>
      <c r="P485">
        <v>-1.7282399999999999E-5</v>
      </c>
      <c r="S485" s="131"/>
      <c r="T485" s="6">
        <f>DataTable[HLD_MaturityDate] - DataTable[SEC_Issue_Date]</f>
        <v>0</v>
      </c>
      <c r="U485" s="131" t="str">
        <f>DataTable[HLD_Portfolio]&amp;DataTable[HLD_Date]</f>
        <v>SCBRM143397</v>
      </c>
      <c r="V485" t="str">
        <f>DataTable[[#This Row],[RefRng]]&amp;DataTable[[#This Row],[HLD_SecCode]]</f>
        <v>SCBRM143397</v>
      </c>
    </row>
    <row r="486" spans="1:22" x14ac:dyDescent="0.2">
      <c r="A486" s="131">
        <v>43397</v>
      </c>
      <c r="B486" t="s">
        <v>338</v>
      </c>
      <c r="C486" t="s">
        <v>120</v>
      </c>
      <c r="D486" t="s">
        <v>1281</v>
      </c>
      <c r="I486" s="131"/>
      <c r="J486" s="6">
        <v>-4182.17</v>
      </c>
      <c r="K486">
        <v>0</v>
      </c>
      <c r="O486">
        <v>0</v>
      </c>
      <c r="P486">
        <v>-4.2920000000000001E-7</v>
      </c>
      <c r="S486" s="131"/>
      <c r="T486" s="6">
        <f>DataTable[HLD_MaturityDate] - DataTable[SEC_Issue_Date]</f>
        <v>0</v>
      </c>
      <c r="U486" s="131" t="str">
        <f>DataTable[HLD_Portfolio]&amp;DataTable[HLD_Date]</f>
        <v>SCBRM143397</v>
      </c>
      <c r="V486" t="str">
        <f>DataTable[[#This Row],[RefRng]]&amp;DataTable[[#This Row],[HLD_SecCode]]</f>
        <v>SCBRM143397</v>
      </c>
    </row>
    <row r="487" spans="1:22" x14ac:dyDescent="0.2">
      <c r="A487" s="131">
        <v>43397</v>
      </c>
      <c r="B487" t="s">
        <v>338</v>
      </c>
      <c r="C487" t="s">
        <v>120</v>
      </c>
      <c r="D487" t="s">
        <v>125</v>
      </c>
      <c r="E487" t="s">
        <v>125</v>
      </c>
      <c r="I487" s="131"/>
      <c r="J487" s="6">
        <v>-189281.61</v>
      </c>
      <c r="L487">
        <v>-189281.61</v>
      </c>
      <c r="O487">
        <v>0</v>
      </c>
      <c r="P487">
        <v>-1.94245E-5</v>
      </c>
      <c r="S487" s="131"/>
      <c r="T487" s="6">
        <f>DataTable[HLD_MaturityDate] - DataTable[SEC_Issue_Date]</f>
        <v>0</v>
      </c>
      <c r="U487" s="131" t="str">
        <f>DataTable[HLD_Portfolio]&amp;DataTable[HLD_Date]</f>
        <v>SCBRM143397</v>
      </c>
      <c r="V487" t="str">
        <f>DataTable[[#This Row],[RefRng]]&amp;DataTable[[#This Row],[HLD_SecCode]]</f>
        <v>SCBRM143397</v>
      </c>
    </row>
    <row r="488" spans="1:22" x14ac:dyDescent="0.2">
      <c r="A488" s="131">
        <v>43397</v>
      </c>
      <c r="B488" t="s">
        <v>338</v>
      </c>
      <c r="C488" t="s">
        <v>120</v>
      </c>
      <c r="D488" t="s">
        <v>126</v>
      </c>
      <c r="E488" t="s">
        <v>126</v>
      </c>
      <c r="I488" s="131"/>
      <c r="J488" s="6">
        <v>-3145229.3</v>
      </c>
      <c r="L488">
        <v>-3145229.3</v>
      </c>
      <c r="O488">
        <v>0</v>
      </c>
      <c r="P488">
        <v>-3.2277039999999998E-4</v>
      </c>
      <c r="S488" s="131"/>
      <c r="T488" s="6">
        <f>DataTable[HLD_MaturityDate] - DataTable[SEC_Issue_Date]</f>
        <v>0</v>
      </c>
      <c r="U488" s="131" t="str">
        <f>DataTable[HLD_Portfolio]&amp;DataTable[HLD_Date]</f>
        <v>SCBRM143397</v>
      </c>
      <c r="V488" t="str">
        <f>DataTable[[#This Row],[RefRng]]&amp;DataTable[[#This Row],[HLD_SecCode]]</f>
        <v>SCBRM143397</v>
      </c>
    </row>
    <row r="489" spans="1:22" x14ac:dyDescent="0.2">
      <c r="A489" s="131">
        <v>43397</v>
      </c>
      <c r="B489" t="s">
        <v>338</v>
      </c>
      <c r="C489" t="s">
        <v>120</v>
      </c>
      <c r="D489" t="s">
        <v>567</v>
      </c>
      <c r="E489" t="s">
        <v>567</v>
      </c>
      <c r="I489" s="131"/>
      <c r="J489" s="6">
        <v>-630938.67000000004</v>
      </c>
      <c r="L489">
        <v>-630938.67000000004</v>
      </c>
      <c r="O489">
        <v>0</v>
      </c>
      <c r="P489">
        <v>-6.4748300000000005E-5</v>
      </c>
      <c r="S489" s="131"/>
      <c r="T489" s="6">
        <f>DataTable[HLD_MaturityDate] - DataTable[SEC_Issue_Date]</f>
        <v>0</v>
      </c>
      <c r="U489" s="131" t="str">
        <f>DataTable[HLD_Portfolio]&amp;DataTable[HLD_Date]</f>
        <v>SCBRM143397</v>
      </c>
      <c r="V489" t="str">
        <f>DataTable[[#This Row],[RefRng]]&amp;DataTable[[#This Row],[HLD_SecCode]]</f>
        <v>SCBRM143397</v>
      </c>
    </row>
    <row r="490" spans="1:22" x14ac:dyDescent="0.2">
      <c r="A490" s="131">
        <v>43397</v>
      </c>
      <c r="B490" t="s">
        <v>338</v>
      </c>
      <c r="C490" t="s">
        <v>120</v>
      </c>
      <c r="D490" t="s">
        <v>127</v>
      </c>
      <c r="E490" t="s">
        <v>127</v>
      </c>
      <c r="I490" s="131"/>
      <c r="J490" s="6">
        <v>0</v>
      </c>
      <c r="L490">
        <v>0</v>
      </c>
      <c r="O490">
        <v>0</v>
      </c>
      <c r="P490">
        <v>0</v>
      </c>
      <c r="S490" s="131"/>
      <c r="T490" s="6">
        <f>DataTable[HLD_MaturityDate] - DataTable[SEC_Issue_Date]</f>
        <v>0</v>
      </c>
      <c r="U490" s="131" t="str">
        <f>DataTable[HLD_Portfolio]&amp;DataTable[HLD_Date]</f>
        <v>SCBRM143397</v>
      </c>
      <c r="V490" t="str">
        <f>DataTable[[#This Row],[RefRng]]&amp;DataTable[[#This Row],[HLD_SecCode]]</f>
        <v>SCBRM143397</v>
      </c>
    </row>
    <row r="491" spans="1:22" x14ac:dyDescent="0.2">
      <c r="A491" s="131">
        <v>43397</v>
      </c>
      <c r="B491" t="s">
        <v>338</v>
      </c>
      <c r="C491" t="s">
        <v>128</v>
      </c>
      <c r="D491" t="s">
        <v>125</v>
      </c>
      <c r="E491" t="s">
        <v>125</v>
      </c>
      <c r="I491" s="131"/>
      <c r="J491" s="6">
        <v>-17140.23</v>
      </c>
      <c r="L491">
        <v>-17140.23</v>
      </c>
      <c r="O491">
        <v>0</v>
      </c>
      <c r="P491">
        <v>-1.759E-6</v>
      </c>
      <c r="S491" s="131"/>
      <c r="T491" s="6">
        <f>DataTable[HLD_MaturityDate] - DataTable[SEC_Issue_Date]</f>
        <v>0</v>
      </c>
      <c r="U491" s="131" t="str">
        <f>DataTable[HLD_Portfolio]&amp;DataTable[HLD_Date]</f>
        <v>SCBRM143397</v>
      </c>
      <c r="V491" t="str">
        <f>DataTable[[#This Row],[RefRng]]&amp;DataTable[[#This Row],[HLD_SecCode]]</f>
        <v>SCBRM143397</v>
      </c>
    </row>
    <row r="492" spans="1:22" x14ac:dyDescent="0.2">
      <c r="A492" s="131">
        <v>43397</v>
      </c>
      <c r="B492" t="s">
        <v>338</v>
      </c>
      <c r="C492" t="s">
        <v>128</v>
      </c>
      <c r="D492" t="s">
        <v>126</v>
      </c>
      <c r="E492" t="s">
        <v>126</v>
      </c>
      <c r="I492" s="131"/>
      <c r="J492" s="6">
        <v>-284813.53999999998</v>
      </c>
      <c r="L492">
        <v>-284813.53999999998</v>
      </c>
      <c r="O492">
        <v>0</v>
      </c>
      <c r="P492">
        <v>-2.9228199999999999E-5</v>
      </c>
      <c r="S492" s="131"/>
      <c r="T492" s="6">
        <f>DataTable[HLD_MaturityDate] - DataTable[SEC_Issue_Date]</f>
        <v>0</v>
      </c>
      <c r="U492" s="131" t="str">
        <f>DataTable[HLD_Portfolio]&amp;DataTable[HLD_Date]</f>
        <v>SCBRM143397</v>
      </c>
      <c r="V492" t="str">
        <f>DataTable[[#This Row],[RefRng]]&amp;DataTable[[#This Row],[HLD_SecCode]]</f>
        <v>SCBRM143397</v>
      </c>
    </row>
    <row r="493" spans="1:22" x14ac:dyDescent="0.2">
      <c r="A493" s="131">
        <v>43397</v>
      </c>
      <c r="B493" t="s">
        <v>338</v>
      </c>
      <c r="C493" t="s">
        <v>128</v>
      </c>
      <c r="D493" t="s">
        <v>567</v>
      </c>
      <c r="E493" t="s">
        <v>567</v>
      </c>
      <c r="I493" s="131"/>
      <c r="J493" s="6">
        <v>-57134.11</v>
      </c>
      <c r="L493">
        <v>-57134.11</v>
      </c>
      <c r="O493">
        <v>0</v>
      </c>
      <c r="P493">
        <v>-5.8632E-6</v>
      </c>
      <c r="S493" s="131"/>
      <c r="T493" s="6">
        <f>DataTable[HLD_MaturityDate] - DataTable[SEC_Issue_Date]</f>
        <v>0</v>
      </c>
      <c r="U493" s="131" t="str">
        <f>DataTable[HLD_Portfolio]&amp;DataTable[HLD_Date]</f>
        <v>SCBRM143397</v>
      </c>
      <c r="V493" t="str">
        <f>DataTable[[#This Row],[RefRng]]&amp;DataTable[[#This Row],[HLD_SecCode]]</f>
        <v>SCBRM143397</v>
      </c>
    </row>
    <row r="494" spans="1:22" x14ac:dyDescent="0.2">
      <c r="A494" s="131">
        <v>43397</v>
      </c>
      <c r="B494" t="s">
        <v>338</v>
      </c>
      <c r="C494" t="s">
        <v>128</v>
      </c>
      <c r="D494" t="s">
        <v>127</v>
      </c>
      <c r="E494" t="s">
        <v>127</v>
      </c>
      <c r="I494" s="131"/>
      <c r="J494" s="6">
        <v>0</v>
      </c>
      <c r="L494">
        <v>0</v>
      </c>
      <c r="O494">
        <v>0</v>
      </c>
      <c r="P494">
        <v>0</v>
      </c>
      <c r="S494" s="131"/>
      <c r="T494" s="6">
        <f>DataTable[HLD_MaturityDate] - DataTable[SEC_Issue_Date]</f>
        <v>0</v>
      </c>
      <c r="U494" s="131" t="str">
        <f>DataTable[HLD_Portfolio]&amp;DataTable[HLD_Date]</f>
        <v>SCBRM143397</v>
      </c>
      <c r="V494" t="str">
        <f>DataTable[[#This Row],[RefRng]]&amp;DataTable[[#This Row],[HLD_SecCode]]</f>
        <v>SCBRM143397</v>
      </c>
    </row>
    <row r="495" spans="1:22" x14ac:dyDescent="0.2">
      <c r="A495" s="131">
        <v>43397</v>
      </c>
      <c r="B495" t="s">
        <v>339</v>
      </c>
      <c r="C495" t="s">
        <v>18</v>
      </c>
      <c r="D495" t="s">
        <v>19</v>
      </c>
      <c r="F495" t="s">
        <v>20</v>
      </c>
      <c r="G495" t="s">
        <v>21</v>
      </c>
      <c r="I495" s="131"/>
      <c r="J495" s="6">
        <v>5100876.18</v>
      </c>
      <c r="K495">
        <v>3488.96</v>
      </c>
      <c r="L495">
        <v>5100876.18</v>
      </c>
      <c r="M495">
        <v>0</v>
      </c>
      <c r="N495">
        <v>0</v>
      </c>
      <c r="O495">
        <v>0</v>
      </c>
      <c r="P495">
        <v>8.2849539999999998E-4</v>
      </c>
      <c r="Q495" t="s">
        <v>22</v>
      </c>
      <c r="R495" t="s">
        <v>23</v>
      </c>
      <c r="S495" s="131">
        <v>2</v>
      </c>
      <c r="T495" s="6">
        <f>DataTable[HLD_MaturityDate] - DataTable[SEC_Issue_Date]</f>
        <v>-2</v>
      </c>
      <c r="U495" s="131" t="str">
        <f>DataTable[HLD_Portfolio]&amp;DataTable[HLD_Date]</f>
        <v>SCBRM243397</v>
      </c>
      <c r="V495" t="str">
        <f>DataTable[[#This Row],[RefRng]]&amp;DataTable[[#This Row],[HLD_SecCode]]</f>
        <v>SCBRM243397CASH</v>
      </c>
    </row>
    <row r="496" spans="1:22" x14ac:dyDescent="0.2">
      <c r="A496" s="131">
        <v>43397</v>
      </c>
      <c r="B496" t="s">
        <v>339</v>
      </c>
      <c r="C496" t="s">
        <v>18</v>
      </c>
      <c r="D496" t="s">
        <v>38</v>
      </c>
      <c r="F496" t="s">
        <v>568</v>
      </c>
      <c r="G496" t="s">
        <v>40</v>
      </c>
      <c r="H496" t="s">
        <v>41</v>
      </c>
      <c r="I496" s="131">
        <v>43651</v>
      </c>
      <c r="J496" s="6">
        <v>120000000</v>
      </c>
      <c r="K496">
        <v>607561.64</v>
      </c>
      <c r="L496">
        <v>120000000</v>
      </c>
      <c r="M496">
        <v>0.68803000000000003</v>
      </c>
      <c r="N496">
        <v>120000000</v>
      </c>
      <c r="O496">
        <v>1.65</v>
      </c>
      <c r="P496">
        <v>1.9575951800000001E-2</v>
      </c>
      <c r="Q496" t="s">
        <v>42</v>
      </c>
      <c r="R496" t="s">
        <v>23</v>
      </c>
      <c r="S496" s="131">
        <v>43286</v>
      </c>
      <c r="T496" s="6">
        <f>DataTable[HLD_MaturityDate] - DataTable[SEC_Issue_Date]</f>
        <v>365</v>
      </c>
      <c r="U496" s="131" t="str">
        <f>DataTable[HLD_Portfolio]&amp;DataTable[HLD_Date]</f>
        <v>SCBRM243397</v>
      </c>
      <c r="V496" t="str">
        <f>DataTable[[#This Row],[RefRng]]&amp;DataTable[[#This Row],[HLD_SecCode]]</f>
        <v>SCBRM243397CD12MTBANK05719</v>
      </c>
    </row>
    <row r="497" spans="1:22" x14ac:dyDescent="0.2">
      <c r="A497" s="131">
        <v>43397</v>
      </c>
      <c r="B497" t="s">
        <v>339</v>
      </c>
      <c r="C497" t="s">
        <v>18</v>
      </c>
      <c r="D497" t="s">
        <v>38</v>
      </c>
      <c r="F497" t="s">
        <v>569</v>
      </c>
      <c r="G497" t="s">
        <v>73</v>
      </c>
      <c r="H497" t="s">
        <v>58</v>
      </c>
      <c r="I497" s="131">
        <v>44196</v>
      </c>
      <c r="J497" s="6">
        <v>64128950.960000001</v>
      </c>
      <c r="K497">
        <v>75288.070000000007</v>
      </c>
      <c r="L497">
        <v>64128950.960000001</v>
      </c>
      <c r="M497">
        <v>0</v>
      </c>
      <c r="N497">
        <v>64128950.960000001</v>
      </c>
      <c r="O497">
        <v>0</v>
      </c>
      <c r="P497">
        <v>1.04210638E-2</v>
      </c>
      <c r="Q497" t="s">
        <v>42</v>
      </c>
      <c r="R497" t="s">
        <v>23</v>
      </c>
      <c r="S497" s="131">
        <v>38611</v>
      </c>
      <c r="T497" s="6">
        <f>DataTable[HLD_MaturityDate] - DataTable[SEC_Issue_Date]</f>
        <v>5585</v>
      </c>
      <c r="U497" s="131" t="str">
        <f>DataTable[HLD_Portfolio]&amp;DataTable[HLD_Date]</f>
        <v>SCBRM243397</v>
      </c>
      <c r="V497" t="str">
        <f>DataTable[[#This Row],[RefRng]]&amp;DataTable[[#This Row],[HLD_SecCode]]</f>
        <v>SCBRM243397INVSUOBTrm2</v>
      </c>
    </row>
    <row r="498" spans="1:22" x14ac:dyDescent="0.2">
      <c r="A498" s="131">
        <v>43397</v>
      </c>
      <c r="B498" t="s">
        <v>339</v>
      </c>
      <c r="C498" t="s">
        <v>18</v>
      </c>
      <c r="D498" t="s">
        <v>75</v>
      </c>
      <c r="F498" t="s">
        <v>521</v>
      </c>
      <c r="G498" t="s">
        <v>232</v>
      </c>
      <c r="H498" t="s">
        <v>29</v>
      </c>
      <c r="I498" s="131">
        <v>43550</v>
      </c>
      <c r="J498" s="6">
        <v>38597426.399999999</v>
      </c>
      <c r="L498">
        <v>38629998.810000002</v>
      </c>
      <c r="M498">
        <v>0.41214000000000001</v>
      </c>
      <c r="N498">
        <v>39000000</v>
      </c>
      <c r="O498">
        <v>2.2999999999999998</v>
      </c>
      <c r="P498">
        <v>6.2647926000000001E-3</v>
      </c>
      <c r="Q498" t="s">
        <v>42</v>
      </c>
      <c r="R498" t="s">
        <v>23</v>
      </c>
      <c r="S498" s="131">
        <v>43280</v>
      </c>
      <c r="T498" s="6">
        <f>DataTable[HLD_MaturityDate] - DataTable[SEC_Issue_Date]</f>
        <v>270</v>
      </c>
      <c r="U498" s="131" t="str">
        <f>DataTable[HLD_Portfolio]&amp;DataTable[HLD_Date]</f>
        <v>SCBRM243397</v>
      </c>
      <c r="V498" t="str">
        <f>DataTable[[#This Row],[RefRng]]&amp;DataTable[[#This Row],[HLD_SecCode]]</f>
        <v>SCBRM243397TUC19326A</v>
      </c>
    </row>
    <row r="499" spans="1:22" x14ac:dyDescent="0.2">
      <c r="A499" s="131">
        <v>43397</v>
      </c>
      <c r="B499" t="s">
        <v>339</v>
      </c>
      <c r="C499" t="s">
        <v>18</v>
      </c>
      <c r="D499" t="s">
        <v>85</v>
      </c>
      <c r="F499" t="s">
        <v>299</v>
      </c>
      <c r="G499" t="s">
        <v>87</v>
      </c>
      <c r="I499" s="131">
        <v>43440</v>
      </c>
      <c r="J499" s="6">
        <v>232609394.13999999</v>
      </c>
      <c r="L499">
        <v>232603988.53999999</v>
      </c>
      <c r="M499">
        <v>0.114866</v>
      </c>
      <c r="N499">
        <v>233000000</v>
      </c>
      <c r="O499">
        <v>1.479563</v>
      </c>
      <c r="P499">
        <v>3.7755097799999998E-2</v>
      </c>
      <c r="Q499" t="s">
        <v>42</v>
      </c>
      <c r="R499" t="s">
        <v>23</v>
      </c>
      <c r="S499" s="131">
        <v>43076</v>
      </c>
      <c r="T499" s="6">
        <f>DataTable[HLD_MaturityDate] - DataTable[SEC_Issue_Date]</f>
        <v>364</v>
      </c>
      <c r="U499" s="131" t="str">
        <f>DataTable[HLD_Portfolio]&amp;DataTable[HLD_Date]</f>
        <v>SCBRM243397</v>
      </c>
      <c r="V499" t="str">
        <f>DataTable[[#This Row],[RefRng]]&amp;DataTable[[#This Row],[HLD_SecCode]]</f>
        <v>SCBRM243397CB18D06A</v>
      </c>
    </row>
    <row r="500" spans="1:22" x14ac:dyDescent="0.2">
      <c r="A500" s="131">
        <v>43397</v>
      </c>
      <c r="B500" t="s">
        <v>339</v>
      </c>
      <c r="C500" t="s">
        <v>18</v>
      </c>
      <c r="D500" t="s">
        <v>85</v>
      </c>
      <c r="F500" t="s">
        <v>196</v>
      </c>
      <c r="G500" t="s">
        <v>87</v>
      </c>
      <c r="I500" s="131">
        <v>43447</v>
      </c>
      <c r="J500" s="6">
        <v>9981508.1999999993</v>
      </c>
      <c r="L500">
        <v>9981508.1999999993</v>
      </c>
      <c r="M500">
        <v>0.133989</v>
      </c>
      <c r="N500">
        <v>10000000</v>
      </c>
      <c r="O500">
        <v>1.38</v>
      </c>
      <c r="P500">
        <v>1.6201100999999999E-3</v>
      </c>
      <c r="Q500" t="s">
        <v>42</v>
      </c>
      <c r="R500" t="s">
        <v>23</v>
      </c>
      <c r="S500" s="131">
        <v>43265</v>
      </c>
      <c r="T500" s="6">
        <f>DataTable[HLD_MaturityDate] - DataTable[SEC_Issue_Date]</f>
        <v>182</v>
      </c>
      <c r="U500" s="131" t="str">
        <f>DataTable[HLD_Portfolio]&amp;DataTable[HLD_Date]</f>
        <v>SCBRM243397</v>
      </c>
      <c r="V500" t="str">
        <f>DataTable[[#This Row],[RefRng]]&amp;DataTable[[#This Row],[HLD_SecCode]]</f>
        <v>SCBRM243397CB18D13A</v>
      </c>
    </row>
    <row r="501" spans="1:22" x14ac:dyDescent="0.2">
      <c r="A501" s="131">
        <v>43397</v>
      </c>
      <c r="B501" t="s">
        <v>339</v>
      </c>
      <c r="C501" t="s">
        <v>18</v>
      </c>
      <c r="D501" t="s">
        <v>85</v>
      </c>
      <c r="F501" t="s">
        <v>570</v>
      </c>
      <c r="G501" t="s">
        <v>87</v>
      </c>
      <c r="I501" s="131">
        <v>43454</v>
      </c>
      <c r="J501" s="6">
        <v>119762967.59999999</v>
      </c>
      <c r="L501">
        <v>119762967.59999999</v>
      </c>
      <c r="M501">
        <v>0.153084</v>
      </c>
      <c r="N501">
        <v>120000000</v>
      </c>
      <c r="O501">
        <v>1.29</v>
      </c>
      <c r="P501">
        <v>1.94388648E-2</v>
      </c>
      <c r="Q501" t="s">
        <v>42</v>
      </c>
      <c r="R501" t="s">
        <v>23</v>
      </c>
      <c r="S501" s="131">
        <v>43272</v>
      </c>
      <c r="T501" s="6">
        <f>DataTable[HLD_MaturityDate] - DataTable[SEC_Issue_Date]</f>
        <v>182</v>
      </c>
      <c r="U501" s="131" t="str">
        <f>DataTable[HLD_Portfolio]&amp;DataTable[HLD_Date]</f>
        <v>SCBRM243397</v>
      </c>
      <c r="V501" t="str">
        <f>DataTable[[#This Row],[RefRng]]&amp;DataTable[[#This Row],[HLD_SecCode]]</f>
        <v>SCBRM243397CB18D20A</v>
      </c>
    </row>
    <row r="502" spans="1:22" x14ac:dyDescent="0.2">
      <c r="A502" s="131">
        <v>43397</v>
      </c>
      <c r="B502" t="s">
        <v>339</v>
      </c>
      <c r="C502" t="s">
        <v>18</v>
      </c>
      <c r="D502" t="s">
        <v>85</v>
      </c>
      <c r="F502" t="s">
        <v>571</v>
      </c>
      <c r="G502" t="s">
        <v>87</v>
      </c>
      <c r="I502" s="131">
        <v>43461</v>
      </c>
      <c r="J502" s="6">
        <v>3990494.96</v>
      </c>
      <c r="L502">
        <v>3989876.64</v>
      </c>
      <c r="M502">
        <v>0.172185</v>
      </c>
      <c r="N502">
        <v>4000000</v>
      </c>
      <c r="O502">
        <v>1.47</v>
      </c>
      <c r="P502">
        <v>6.4770180000000004E-4</v>
      </c>
      <c r="Q502" t="s">
        <v>42</v>
      </c>
      <c r="R502" t="s">
        <v>23</v>
      </c>
      <c r="S502" s="131">
        <v>43279</v>
      </c>
      <c r="T502" s="6">
        <f>DataTable[HLD_MaturityDate] - DataTable[SEC_Issue_Date]</f>
        <v>182</v>
      </c>
      <c r="U502" s="131" t="str">
        <f>DataTable[HLD_Portfolio]&amp;DataTable[HLD_Date]</f>
        <v>SCBRM243397</v>
      </c>
      <c r="V502" t="str">
        <f>DataTable[[#This Row],[RefRng]]&amp;DataTable[[#This Row],[HLD_SecCode]]</f>
        <v>SCBRM243397CB18D27A</v>
      </c>
    </row>
    <row r="503" spans="1:22" x14ac:dyDescent="0.2">
      <c r="A503" s="131">
        <v>43397</v>
      </c>
      <c r="B503" t="s">
        <v>339</v>
      </c>
      <c r="C503" t="s">
        <v>18</v>
      </c>
      <c r="D503" t="s">
        <v>85</v>
      </c>
      <c r="F503" t="s">
        <v>197</v>
      </c>
      <c r="G503" t="s">
        <v>87</v>
      </c>
      <c r="I503" s="131">
        <v>43461</v>
      </c>
      <c r="J503" s="6">
        <v>460902167.88</v>
      </c>
      <c r="L503">
        <v>460902726.89999998</v>
      </c>
      <c r="M503">
        <v>0.172151</v>
      </c>
      <c r="N503">
        <v>462000000</v>
      </c>
      <c r="O503">
        <v>1.379297</v>
      </c>
      <c r="P503">
        <v>7.4809559999999997E-2</v>
      </c>
      <c r="Q503" t="s">
        <v>42</v>
      </c>
      <c r="R503" t="s">
        <v>23</v>
      </c>
      <c r="S503" s="131">
        <v>43370</v>
      </c>
      <c r="T503" s="6">
        <f>DataTable[HLD_MaturityDate] - DataTable[SEC_Issue_Date]</f>
        <v>91</v>
      </c>
      <c r="U503" s="131" t="str">
        <f>DataTable[HLD_Portfolio]&amp;DataTable[HLD_Date]</f>
        <v>SCBRM243397</v>
      </c>
      <c r="V503" t="str">
        <f>DataTable[[#This Row],[RefRng]]&amp;DataTable[[#This Row],[HLD_SecCode]]</f>
        <v>SCBRM243397CB18D27B</v>
      </c>
    </row>
    <row r="504" spans="1:22" x14ac:dyDescent="0.2">
      <c r="A504" s="131">
        <v>43397</v>
      </c>
      <c r="B504" t="s">
        <v>339</v>
      </c>
      <c r="C504" t="s">
        <v>18</v>
      </c>
      <c r="D504" t="s">
        <v>85</v>
      </c>
      <c r="F504" t="s">
        <v>198</v>
      </c>
      <c r="G504" t="s">
        <v>87</v>
      </c>
      <c r="I504" s="131">
        <v>43405</v>
      </c>
      <c r="J504" s="6">
        <v>99977758</v>
      </c>
      <c r="L504">
        <v>99977758</v>
      </c>
      <c r="M504">
        <v>1.9174E-2</v>
      </c>
      <c r="N504">
        <v>100000000</v>
      </c>
      <c r="O504">
        <v>1.1599999999999999</v>
      </c>
      <c r="P504">
        <v>1.6227504699999999E-2</v>
      </c>
      <c r="Q504" t="s">
        <v>42</v>
      </c>
      <c r="R504" t="s">
        <v>23</v>
      </c>
      <c r="S504" s="131">
        <v>43223</v>
      </c>
      <c r="T504" s="6">
        <f>DataTable[HLD_MaturityDate] - DataTable[SEC_Issue_Date]</f>
        <v>182</v>
      </c>
      <c r="U504" s="131" t="str">
        <f>DataTable[HLD_Portfolio]&amp;DataTable[HLD_Date]</f>
        <v>SCBRM243397</v>
      </c>
      <c r="V504" t="str">
        <f>DataTable[[#This Row],[RefRng]]&amp;DataTable[[#This Row],[HLD_SecCode]]</f>
        <v>SCBRM243397CB18N01A</v>
      </c>
    </row>
    <row r="505" spans="1:22" x14ac:dyDescent="0.2">
      <c r="A505" s="131">
        <v>43397</v>
      </c>
      <c r="B505" t="s">
        <v>339</v>
      </c>
      <c r="C505" t="s">
        <v>18</v>
      </c>
      <c r="D505" t="s">
        <v>85</v>
      </c>
      <c r="F505" t="s">
        <v>1251</v>
      </c>
      <c r="G505" t="s">
        <v>87</v>
      </c>
      <c r="I505" s="131">
        <v>43410</v>
      </c>
      <c r="J505" s="6">
        <v>7996845.1200000001</v>
      </c>
      <c r="L505">
        <v>7996845.1200000001</v>
      </c>
      <c r="M505">
        <v>3.2863999999999997E-2</v>
      </c>
      <c r="N505">
        <v>8000000</v>
      </c>
      <c r="O505">
        <v>1.2</v>
      </c>
      <c r="P505">
        <v>1.2979771000000001E-3</v>
      </c>
      <c r="Q505" t="s">
        <v>42</v>
      </c>
      <c r="R505" t="s">
        <v>23</v>
      </c>
      <c r="S505" s="131">
        <v>43397</v>
      </c>
      <c r="T505" s="6">
        <f>DataTable[HLD_MaturityDate] - DataTable[SEC_Issue_Date]</f>
        <v>13</v>
      </c>
      <c r="U505" s="131" t="str">
        <f>DataTable[HLD_Portfolio]&amp;DataTable[HLD_Date]</f>
        <v>SCBRM243397</v>
      </c>
      <c r="V505" t="str">
        <f>DataTable[[#This Row],[RefRng]]&amp;DataTable[[#This Row],[HLD_SecCode]]</f>
        <v>SCBRM243397CB18N06A</v>
      </c>
    </row>
    <row r="506" spans="1:22" x14ac:dyDescent="0.2">
      <c r="A506" s="131">
        <v>43397</v>
      </c>
      <c r="B506" t="s">
        <v>339</v>
      </c>
      <c r="C506" t="s">
        <v>18</v>
      </c>
      <c r="D506" t="s">
        <v>85</v>
      </c>
      <c r="F506" t="s">
        <v>97</v>
      </c>
      <c r="G506" t="s">
        <v>87</v>
      </c>
      <c r="I506" s="131">
        <v>43433</v>
      </c>
      <c r="J506" s="6">
        <v>5992635.0599999996</v>
      </c>
      <c r="L506">
        <v>5992242.9000000004</v>
      </c>
      <c r="M506">
        <v>9.5772999999999997E-2</v>
      </c>
      <c r="N506">
        <v>6000000</v>
      </c>
      <c r="O506">
        <v>1.35</v>
      </c>
      <c r="P506">
        <v>9.7267149999999999E-4</v>
      </c>
      <c r="Q506" t="s">
        <v>42</v>
      </c>
      <c r="R506" t="s">
        <v>23</v>
      </c>
      <c r="S506" s="131">
        <v>43251</v>
      </c>
      <c r="T506" s="6">
        <f>DataTable[HLD_MaturityDate] - DataTable[SEC_Issue_Date]</f>
        <v>182</v>
      </c>
      <c r="U506" s="131" t="str">
        <f>DataTable[HLD_Portfolio]&amp;DataTable[HLD_Date]</f>
        <v>SCBRM243397</v>
      </c>
      <c r="V506" t="str">
        <f>DataTable[[#This Row],[RefRng]]&amp;DataTable[[#This Row],[HLD_SecCode]]</f>
        <v>SCBRM243397CB18N29A</v>
      </c>
    </row>
    <row r="507" spans="1:22" x14ac:dyDescent="0.2">
      <c r="A507" s="131">
        <v>43397</v>
      </c>
      <c r="B507" t="s">
        <v>339</v>
      </c>
      <c r="C507" t="s">
        <v>18</v>
      </c>
      <c r="D507" t="s">
        <v>85</v>
      </c>
      <c r="F507" t="s">
        <v>199</v>
      </c>
      <c r="G507" t="s">
        <v>87</v>
      </c>
      <c r="I507" s="131">
        <v>43468</v>
      </c>
      <c r="J507" s="6">
        <v>534564731.36000001</v>
      </c>
      <c r="L507">
        <v>534552451.60000002</v>
      </c>
      <c r="M507">
        <v>0.191223</v>
      </c>
      <c r="N507">
        <v>536000000</v>
      </c>
      <c r="O507">
        <v>1.4120109999999999</v>
      </c>
      <c r="P507">
        <v>8.6765815299999993E-2</v>
      </c>
      <c r="Q507" t="s">
        <v>42</v>
      </c>
      <c r="R507" t="s">
        <v>23</v>
      </c>
      <c r="S507" s="131">
        <v>43286</v>
      </c>
      <c r="T507" s="6">
        <f>DataTable[HLD_MaturityDate] - DataTable[SEC_Issue_Date]</f>
        <v>182</v>
      </c>
      <c r="U507" s="131" t="str">
        <f>DataTable[HLD_Portfolio]&amp;DataTable[HLD_Date]</f>
        <v>SCBRM243397</v>
      </c>
      <c r="V507" t="str">
        <f>DataTable[[#This Row],[RefRng]]&amp;DataTable[[#This Row],[HLD_SecCode]]</f>
        <v>SCBRM243397CB19103A</v>
      </c>
    </row>
    <row r="508" spans="1:22" x14ac:dyDescent="0.2">
      <c r="A508" s="131">
        <v>43397</v>
      </c>
      <c r="B508" t="s">
        <v>339</v>
      </c>
      <c r="C508" t="s">
        <v>18</v>
      </c>
      <c r="D508" t="s">
        <v>85</v>
      </c>
      <c r="F508" t="s">
        <v>572</v>
      </c>
      <c r="G508" t="s">
        <v>87</v>
      </c>
      <c r="I508" s="131">
        <v>43475</v>
      </c>
      <c r="J508" s="6">
        <v>36880184.75</v>
      </c>
      <c r="L508">
        <v>36889105.450000003</v>
      </c>
      <c r="M508">
        <v>0.21026800000000001</v>
      </c>
      <c r="N508">
        <v>37000000</v>
      </c>
      <c r="O508">
        <v>1.425</v>
      </c>
      <c r="P508">
        <v>5.9860651000000001E-3</v>
      </c>
      <c r="Q508" t="s">
        <v>42</v>
      </c>
      <c r="R508" t="s">
        <v>23</v>
      </c>
      <c r="S508" s="131">
        <v>43293</v>
      </c>
      <c r="T508" s="6">
        <f>DataTable[HLD_MaturityDate] - DataTable[SEC_Issue_Date]</f>
        <v>182</v>
      </c>
      <c r="U508" s="131" t="str">
        <f>DataTable[HLD_Portfolio]&amp;DataTable[HLD_Date]</f>
        <v>SCBRM243397</v>
      </c>
      <c r="V508" t="str">
        <f>DataTable[[#This Row],[RefRng]]&amp;DataTable[[#This Row],[HLD_SecCode]]</f>
        <v>SCBRM243397CB19110A</v>
      </c>
    </row>
    <row r="509" spans="1:22" x14ac:dyDescent="0.2">
      <c r="A509" s="131">
        <v>43397</v>
      </c>
      <c r="B509" t="s">
        <v>339</v>
      </c>
      <c r="C509" t="s">
        <v>18</v>
      </c>
      <c r="D509" t="s">
        <v>85</v>
      </c>
      <c r="F509" t="s">
        <v>573</v>
      </c>
      <c r="G509" t="s">
        <v>87</v>
      </c>
      <c r="I509" s="131">
        <v>43496</v>
      </c>
      <c r="J509" s="6">
        <v>86625540.689999998</v>
      </c>
      <c r="L509">
        <v>86655656.609999999</v>
      </c>
      <c r="M509">
        <v>0.26733800000000002</v>
      </c>
      <c r="N509">
        <v>87000000</v>
      </c>
      <c r="O509">
        <v>1.48</v>
      </c>
      <c r="P509">
        <v>1.4060291000000001E-2</v>
      </c>
      <c r="Q509" t="s">
        <v>42</v>
      </c>
      <c r="R509" t="s">
        <v>23</v>
      </c>
      <c r="S509" s="131">
        <v>43314</v>
      </c>
      <c r="T509" s="6">
        <f>DataTable[HLD_MaturityDate] - DataTable[SEC_Issue_Date]</f>
        <v>182</v>
      </c>
      <c r="U509" s="131" t="str">
        <f>DataTable[HLD_Portfolio]&amp;DataTable[HLD_Date]</f>
        <v>SCBRM243397</v>
      </c>
      <c r="V509" t="str">
        <f>DataTable[[#This Row],[RefRng]]&amp;DataTable[[#This Row],[HLD_SecCode]]</f>
        <v>SCBRM243397CB19131A</v>
      </c>
    </row>
    <row r="510" spans="1:22" x14ac:dyDescent="0.2">
      <c r="A510" s="131">
        <v>43397</v>
      </c>
      <c r="B510" t="s">
        <v>339</v>
      </c>
      <c r="C510" t="s">
        <v>18</v>
      </c>
      <c r="D510" t="s">
        <v>85</v>
      </c>
      <c r="F510" t="s">
        <v>574</v>
      </c>
      <c r="G510" t="s">
        <v>87</v>
      </c>
      <c r="I510" s="131">
        <v>43510</v>
      </c>
      <c r="J510" s="6">
        <v>68662893.599999994</v>
      </c>
      <c r="L510">
        <v>68685796.769999996</v>
      </c>
      <c r="M510">
        <v>0.30535000000000001</v>
      </c>
      <c r="N510">
        <v>69000000</v>
      </c>
      <c r="O510">
        <v>1.4907969999999999</v>
      </c>
      <c r="P510">
        <v>1.11447531E-2</v>
      </c>
      <c r="Q510" t="s">
        <v>42</v>
      </c>
      <c r="R510" t="s">
        <v>23</v>
      </c>
      <c r="S510" s="131">
        <v>43328</v>
      </c>
      <c r="T510" s="6">
        <f>DataTable[HLD_MaturityDate] - DataTable[SEC_Issue_Date]</f>
        <v>182</v>
      </c>
      <c r="U510" s="131" t="str">
        <f>DataTable[HLD_Portfolio]&amp;DataTable[HLD_Date]</f>
        <v>SCBRM243397</v>
      </c>
      <c r="V510" t="str">
        <f>DataTable[[#This Row],[RefRng]]&amp;DataTable[[#This Row],[HLD_SecCode]]</f>
        <v>SCBRM243397CB19214A</v>
      </c>
    </row>
    <row r="511" spans="1:22" x14ac:dyDescent="0.2">
      <c r="A511" s="131">
        <v>43397</v>
      </c>
      <c r="B511" t="s">
        <v>339</v>
      </c>
      <c r="C511" t="s">
        <v>18</v>
      </c>
      <c r="D511" t="s">
        <v>85</v>
      </c>
      <c r="F511" t="s">
        <v>575</v>
      </c>
      <c r="G511" t="s">
        <v>87</v>
      </c>
      <c r="I511" s="131">
        <v>43524</v>
      </c>
      <c r="J511" s="6">
        <v>126297041.03</v>
      </c>
      <c r="L511">
        <v>126366385.56999999</v>
      </c>
      <c r="M511">
        <v>0.34329500000000002</v>
      </c>
      <c r="N511">
        <v>127000000</v>
      </c>
      <c r="O511">
        <v>1.4524999999999999</v>
      </c>
      <c r="P511">
        <v>2.0499417700000001E-2</v>
      </c>
      <c r="Q511" t="s">
        <v>42</v>
      </c>
      <c r="R511" t="s">
        <v>23</v>
      </c>
      <c r="S511" s="131">
        <v>43342</v>
      </c>
      <c r="T511" s="6">
        <f>DataTable[HLD_MaturityDate] - DataTable[SEC_Issue_Date]</f>
        <v>182</v>
      </c>
      <c r="U511" s="131" t="str">
        <f>DataTable[HLD_Portfolio]&amp;DataTable[HLD_Date]</f>
        <v>SCBRM243397</v>
      </c>
      <c r="V511" t="str">
        <f>DataTable[[#This Row],[RefRng]]&amp;DataTable[[#This Row],[HLD_SecCode]]</f>
        <v>SCBRM243397CB19228A</v>
      </c>
    </row>
    <row r="512" spans="1:22" x14ac:dyDescent="0.2">
      <c r="A512" s="131">
        <v>43397</v>
      </c>
      <c r="B512" t="s">
        <v>339</v>
      </c>
      <c r="C512" t="s">
        <v>18</v>
      </c>
      <c r="D512" t="s">
        <v>85</v>
      </c>
      <c r="F512" t="s">
        <v>576</v>
      </c>
      <c r="G512" t="s">
        <v>87</v>
      </c>
      <c r="I512" s="131">
        <v>43531</v>
      </c>
      <c r="J512" s="6">
        <v>17892100.800000001</v>
      </c>
      <c r="L512">
        <v>17898259.5</v>
      </c>
      <c r="M512">
        <v>0.36219899999999999</v>
      </c>
      <c r="N512">
        <v>18000000</v>
      </c>
      <c r="O512">
        <v>1.56</v>
      </c>
      <c r="P512">
        <v>2.9040874000000002E-3</v>
      </c>
      <c r="Q512" t="s">
        <v>42</v>
      </c>
      <c r="R512" t="s">
        <v>23</v>
      </c>
      <c r="S512" s="131">
        <v>43349</v>
      </c>
      <c r="T512" s="6">
        <f>DataTable[HLD_MaturityDate] - DataTable[SEC_Issue_Date]</f>
        <v>182</v>
      </c>
      <c r="U512" s="131" t="str">
        <f>DataTable[HLD_Portfolio]&amp;DataTable[HLD_Date]</f>
        <v>SCBRM243397</v>
      </c>
      <c r="V512" t="str">
        <f>DataTable[[#This Row],[RefRng]]&amp;DataTable[[#This Row],[HLD_SecCode]]</f>
        <v>SCBRM243397CB19307A</v>
      </c>
    </row>
    <row r="513" spans="1:22" x14ac:dyDescent="0.2">
      <c r="A513" s="131">
        <v>43397</v>
      </c>
      <c r="B513" t="s">
        <v>339</v>
      </c>
      <c r="C513" t="s">
        <v>18</v>
      </c>
      <c r="D513" t="s">
        <v>85</v>
      </c>
      <c r="F513" t="s">
        <v>522</v>
      </c>
      <c r="G513" t="s">
        <v>87</v>
      </c>
      <c r="I513" s="131">
        <v>43538</v>
      </c>
      <c r="J513" s="6">
        <v>251351408.99000001</v>
      </c>
      <c r="L513">
        <v>251566808.13</v>
      </c>
      <c r="M513">
        <v>0.38106200000000001</v>
      </c>
      <c r="N513">
        <v>253000000</v>
      </c>
      <c r="O513">
        <v>1.485306</v>
      </c>
      <c r="P513">
        <v>4.0797135800000002E-2</v>
      </c>
      <c r="Q513" t="s">
        <v>42</v>
      </c>
      <c r="R513" t="s">
        <v>23</v>
      </c>
      <c r="S513" s="131">
        <v>43174</v>
      </c>
      <c r="T513" s="6">
        <f>DataTable[HLD_MaturityDate] - DataTable[SEC_Issue_Date]</f>
        <v>364</v>
      </c>
      <c r="U513" s="131" t="str">
        <f>DataTable[HLD_Portfolio]&amp;DataTable[HLD_Date]</f>
        <v>SCBRM243397</v>
      </c>
      <c r="V513" t="str">
        <f>DataTable[[#This Row],[RefRng]]&amp;DataTable[[#This Row],[HLD_SecCode]]</f>
        <v>SCBRM243397CB19314A</v>
      </c>
    </row>
    <row r="514" spans="1:22" x14ac:dyDescent="0.2">
      <c r="A514" s="131">
        <v>43397</v>
      </c>
      <c r="B514" t="s">
        <v>339</v>
      </c>
      <c r="C514" t="s">
        <v>18</v>
      </c>
      <c r="D514" t="s">
        <v>85</v>
      </c>
      <c r="F514" t="s">
        <v>577</v>
      </c>
      <c r="G514" t="s">
        <v>87</v>
      </c>
      <c r="I514" s="131">
        <v>43545</v>
      </c>
      <c r="J514" s="6">
        <v>86422368.719999999</v>
      </c>
      <c r="L514">
        <v>86435342.159999996</v>
      </c>
      <c r="M514">
        <v>0.40006599999999998</v>
      </c>
      <c r="N514">
        <v>87000000</v>
      </c>
      <c r="O514">
        <v>1.622069</v>
      </c>
      <c r="P514">
        <v>1.4027313899999999E-2</v>
      </c>
      <c r="Q514" t="s">
        <v>42</v>
      </c>
      <c r="R514" t="s">
        <v>23</v>
      </c>
      <c r="S514" s="131">
        <v>43363</v>
      </c>
      <c r="T514" s="6">
        <f>DataTable[HLD_MaturityDate] - DataTable[SEC_Issue_Date]</f>
        <v>182</v>
      </c>
      <c r="U514" s="131" t="str">
        <f>DataTable[HLD_Portfolio]&amp;DataTable[HLD_Date]</f>
        <v>SCBRM243397</v>
      </c>
      <c r="V514" t="str">
        <f>DataTable[[#This Row],[RefRng]]&amp;DataTable[[#This Row],[HLD_SecCode]]</f>
        <v>SCBRM243397CB19321A</v>
      </c>
    </row>
    <row r="515" spans="1:22" x14ac:dyDescent="0.2">
      <c r="A515" s="131">
        <v>43397</v>
      </c>
      <c r="B515" t="s">
        <v>339</v>
      </c>
      <c r="C515" t="s">
        <v>18</v>
      </c>
      <c r="D515" t="s">
        <v>85</v>
      </c>
      <c r="F515" t="s">
        <v>578</v>
      </c>
      <c r="G515" t="s">
        <v>87</v>
      </c>
      <c r="I515" s="131">
        <v>43552</v>
      </c>
      <c r="J515" s="6">
        <v>259141283.28</v>
      </c>
      <c r="L515">
        <v>259282484.28</v>
      </c>
      <c r="M515">
        <v>0.41891299999999998</v>
      </c>
      <c r="N515">
        <v>261000000</v>
      </c>
      <c r="O515">
        <v>1.57</v>
      </c>
      <c r="P515">
        <v>4.2061519200000001E-2</v>
      </c>
      <c r="Q515" t="s">
        <v>42</v>
      </c>
      <c r="R515" t="s">
        <v>23</v>
      </c>
      <c r="S515" s="131">
        <v>43370</v>
      </c>
      <c r="T515" s="6">
        <f>DataTable[HLD_MaturityDate] - DataTable[SEC_Issue_Date]</f>
        <v>182</v>
      </c>
      <c r="U515" s="131" t="str">
        <f>DataTable[HLD_Portfolio]&amp;DataTable[HLD_Date]</f>
        <v>SCBRM243397</v>
      </c>
      <c r="V515" t="str">
        <f>DataTable[[#This Row],[RefRng]]&amp;DataTable[[#This Row],[HLD_SecCode]]</f>
        <v>SCBRM243397CB19328A</v>
      </c>
    </row>
    <row r="516" spans="1:22" x14ac:dyDescent="0.2">
      <c r="A516" s="131">
        <v>43397</v>
      </c>
      <c r="B516" t="s">
        <v>339</v>
      </c>
      <c r="C516" t="s">
        <v>18</v>
      </c>
      <c r="D516" t="s">
        <v>85</v>
      </c>
      <c r="F516" t="s">
        <v>579</v>
      </c>
      <c r="G516" t="s">
        <v>87</v>
      </c>
      <c r="I516" s="131">
        <v>43559</v>
      </c>
      <c r="J516" s="6">
        <v>192563612.36000001</v>
      </c>
      <c r="L516">
        <v>192642543.19999999</v>
      </c>
      <c r="M516">
        <v>0.43783</v>
      </c>
      <c r="N516">
        <v>194000000</v>
      </c>
      <c r="O516">
        <v>1.5974999999999999</v>
      </c>
      <c r="P516">
        <v>3.1255221E-2</v>
      </c>
      <c r="Q516" t="s">
        <v>42</v>
      </c>
      <c r="R516" t="s">
        <v>23</v>
      </c>
      <c r="S516" s="131">
        <v>43377</v>
      </c>
      <c r="T516" s="6">
        <f>DataTable[HLD_MaturityDate] - DataTable[SEC_Issue_Date]</f>
        <v>182</v>
      </c>
      <c r="U516" s="131" t="str">
        <f>DataTable[HLD_Portfolio]&amp;DataTable[HLD_Date]</f>
        <v>SCBRM243397</v>
      </c>
      <c r="V516" t="str">
        <f>DataTable[[#This Row],[RefRng]]&amp;DataTable[[#This Row],[HLD_SecCode]]</f>
        <v>SCBRM243397CB19404A</v>
      </c>
    </row>
    <row r="517" spans="1:22" x14ac:dyDescent="0.2">
      <c r="A517" s="131">
        <v>43397</v>
      </c>
      <c r="B517" t="s">
        <v>339</v>
      </c>
      <c r="C517" t="s">
        <v>18</v>
      </c>
      <c r="D517" t="s">
        <v>85</v>
      </c>
      <c r="F517" t="s">
        <v>580</v>
      </c>
      <c r="G517" t="s">
        <v>87</v>
      </c>
      <c r="I517" s="131">
        <v>43622</v>
      </c>
      <c r="J517" s="6">
        <v>131578804.56</v>
      </c>
      <c r="L517">
        <v>131726731.15000001</v>
      </c>
      <c r="M517">
        <v>0.60714100000000004</v>
      </c>
      <c r="N517">
        <v>133000000</v>
      </c>
      <c r="O517">
        <v>1.5750379999999999</v>
      </c>
      <c r="P517">
        <v>2.13567068E-2</v>
      </c>
      <c r="Q517" t="s">
        <v>42</v>
      </c>
      <c r="R517" t="s">
        <v>23</v>
      </c>
      <c r="S517" s="131">
        <v>43258</v>
      </c>
      <c r="T517" s="6">
        <f>DataTable[HLD_MaturityDate] - DataTable[SEC_Issue_Date]</f>
        <v>364</v>
      </c>
      <c r="U517" s="131" t="str">
        <f>DataTable[HLD_Portfolio]&amp;DataTable[HLD_Date]</f>
        <v>SCBRM243397</v>
      </c>
      <c r="V517" t="str">
        <f>DataTable[[#This Row],[RefRng]]&amp;DataTable[[#This Row],[HLD_SecCode]]</f>
        <v>SCBRM243397CB19606A</v>
      </c>
    </row>
    <row r="518" spans="1:22" x14ac:dyDescent="0.2">
      <c r="A518" s="131">
        <v>43397</v>
      </c>
      <c r="B518" t="s">
        <v>339</v>
      </c>
      <c r="C518" t="s">
        <v>18</v>
      </c>
      <c r="D518" t="s">
        <v>85</v>
      </c>
      <c r="F518" t="s">
        <v>581</v>
      </c>
      <c r="G518" t="s">
        <v>87</v>
      </c>
      <c r="I518" s="131">
        <v>43713</v>
      </c>
      <c r="J518" s="6">
        <v>614454902.88</v>
      </c>
      <c r="L518">
        <v>614804055.84000003</v>
      </c>
      <c r="M518">
        <v>0.84981300000000004</v>
      </c>
      <c r="N518">
        <v>624000000</v>
      </c>
      <c r="O518">
        <v>1.7331730000000001</v>
      </c>
      <c r="P518">
        <v>9.9732880800000007E-2</v>
      </c>
      <c r="Q518" t="s">
        <v>42</v>
      </c>
      <c r="R518" t="s">
        <v>23</v>
      </c>
      <c r="S518" s="131">
        <v>43349</v>
      </c>
      <c r="T518" s="6">
        <f>DataTable[HLD_MaturityDate] - DataTable[SEC_Issue_Date]</f>
        <v>364</v>
      </c>
      <c r="U518" s="131" t="str">
        <f>DataTable[HLD_Portfolio]&amp;DataTable[HLD_Date]</f>
        <v>SCBRM243397</v>
      </c>
      <c r="V518" t="str">
        <f>DataTable[[#This Row],[RefRng]]&amp;DataTable[[#This Row],[HLD_SecCode]]</f>
        <v>SCBRM243397CB19905A</v>
      </c>
    </row>
    <row r="519" spans="1:22" x14ac:dyDescent="0.2">
      <c r="A519" s="131">
        <v>43397</v>
      </c>
      <c r="B519" t="s">
        <v>339</v>
      </c>
      <c r="C519" t="s">
        <v>18</v>
      </c>
      <c r="D519" t="s">
        <v>105</v>
      </c>
      <c r="F519" t="s">
        <v>582</v>
      </c>
      <c r="G519" t="s">
        <v>87</v>
      </c>
      <c r="I519" s="131">
        <v>43545</v>
      </c>
      <c r="J519" s="6">
        <v>29976521.100000001</v>
      </c>
      <c r="K519">
        <v>41917.800000000003</v>
      </c>
      <c r="L519">
        <v>30013432.199999999</v>
      </c>
      <c r="M519">
        <v>0.39932499999999999</v>
      </c>
      <c r="N519">
        <v>30000000</v>
      </c>
      <c r="O519">
        <v>1.4025000000000001</v>
      </c>
      <c r="P519">
        <v>4.8723272999999998E-3</v>
      </c>
      <c r="Q519" t="s">
        <v>42</v>
      </c>
      <c r="R519" t="s">
        <v>23</v>
      </c>
      <c r="S519" s="131">
        <v>42450</v>
      </c>
      <c r="T519" s="6">
        <f>DataTable[HLD_MaturityDate] - DataTable[SEC_Issue_Date]</f>
        <v>1095</v>
      </c>
      <c r="U519" s="131" t="str">
        <f>DataTable[HLD_Portfolio]&amp;DataTable[HLD_Date]</f>
        <v>SCBRM243397</v>
      </c>
      <c r="V519" t="str">
        <f>DataTable[[#This Row],[RefRng]]&amp;DataTable[[#This Row],[HLD_SecCode]]</f>
        <v>SCBRM243397BOT193A</v>
      </c>
    </row>
    <row r="520" spans="1:22" x14ac:dyDescent="0.2">
      <c r="A520" s="131">
        <v>43397</v>
      </c>
      <c r="B520" t="s">
        <v>339</v>
      </c>
      <c r="C520" t="s">
        <v>18</v>
      </c>
      <c r="D520" t="s">
        <v>105</v>
      </c>
      <c r="F520" t="s">
        <v>524</v>
      </c>
      <c r="G520" t="s">
        <v>87</v>
      </c>
      <c r="I520" s="131">
        <v>43720</v>
      </c>
      <c r="J520" s="6">
        <v>176749844.13</v>
      </c>
      <c r="K520">
        <v>344059.68</v>
      </c>
      <c r="L520">
        <v>176966704.53</v>
      </c>
      <c r="M520">
        <v>0.86610600000000004</v>
      </c>
      <c r="N520">
        <v>177000000</v>
      </c>
      <c r="O520">
        <v>1.67875</v>
      </c>
      <c r="P520">
        <v>2.8744314900000002E-2</v>
      </c>
      <c r="Q520" t="s">
        <v>42</v>
      </c>
      <c r="R520" t="s">
        <v>23</v>
      </c>
      <c r="S520" s="131">
        <v>42625</v>
      </c>
      <c r="T520" s="6">
        <f>DataTable[HLD_MaturityDate] - DataTable[SEC_Issue_Date]</f>
        <v>1095</v>
      </c>
      <c r="U520" s="131" t="str">
        <f>DataTable[HLD_Portfolio]&amp;DataTable[HLD_Date]</f>
        <v>SCBRM243397</v>
      </c>
      <c r="V520" t="str">
        <f>DataTable[[#This Row],[RefRng]]&amp;DataTable[[#This Row],[HLD_SecCode]]</f>
        <v>SCBRM243397BOT199A</v>
      </c>
    </row>
    <row r="521" spans="1:22" x14ac:dyDescent="0.2">
      <c r="A521" s="131">
        <v>43397</v>
      </c>
      <c r="B521" t="s">
        <v>339</v>
      </c>
      <c r="C521" t="s">
        <v>18</v>
      </c>
      <c r="D521" t="s">
        <v>105</v>
      </c>
      <c r="F521" t="s">
        <v>583</v>
      </c>
      <c r="G521" t="s">
        <v>87</v>
      </c>
      <c r="I521" s="131">
        <v>43917</v>
      </c>
      <c r="J521" s="6">
        <v>392095538.00999999</v>
      </c>
      <c r="K521">
        <v>533619.32999999996</v>
      </c>
      <c r="L521">
        <v>393117298.70999998</v>
      </c>
      <c r="M521">
        <v>1.3925320000000001</v>
      </c>
      <c r="N521">
        <v>393000000</v>
      </c>
      <c r="O521">
        <v>1.7534510000000001</v>
      </c>
      <c r="P521">
        <v>6.3728089299999999E-2</v>
      </c>
      <c r="Q521" t="s">
        <v>42</v>
      </c>
      <c r="R521" t="s">
        <v>23</v>
      </c>
      <c r="S521" s="131">
        <v>42821</v>
      </c>
      <c r="T521" s="6">
        <f>DataTable[HLD_MaturityDate] - DataTable[SEC_Issue_Date]</f>
        <v>1096</v>
      </c>
      <c r="U521" s="131" t="str">
        <f>DataTable[HLD_Portfolio]&amp;DataTable[HLD_Date]</f>
        <v>SCBRM243397</v>
      </c>
      <c r="V521" t="str">
        <f>DataTable[[#This Row],[RefRng]]&amp;DataTable[[#This Row],[HLD_SecCode]]</f>
        <v>SCBRM243397BOT203A</v>
      </c>
    </row>
    <row r="522" spans="1:22" x14ac:dyDescent="0.2">
      <c r="A522" s="131">
        <v>43397</v>
      </c>
      <c r="B522" t="s">
        <v>339</v>
      </c>
      <c r="C522" t="s">
        <v>18</v>
      </c>
      <c r="D522" t="s">
        <v>105</v>
      </c>
      <c r="F522" t="s">
        <v>525</v>
      </c>
      <c r="G522" t="s">
        <v>87</v>
      </c>
      <c r="I522" s="131">
        <v>44099</v>
      </c>
      <c r="J522" s="6">
        <v>341240685.5</v>
      </c>
      <c r="K522">
        <v>444546.25</v>
      </c>
      <c r="L522">
        <v>344961271.72000003</v>
      </c>
      <c r="M522">
        <v>1.8708610000000001</v>
      </c>
      <c r="N522">
        <v>344500000</v>
      </c>
      <c r="O522">
        <v>1.50197</v>
      </c>
      <c r="P522">
        <v>5.5459322300000002E-2</v>
      </c>
      <c r="Q522" t="s">
        <v>42</v>
      </c>
      <c r="R522" t="s">
        <v>23</v>
      </c>
      <c r="S522" s="131">
        <v>43003</v>
      </c>
      <c r="T522" s="6">
        <f>DataTable[HLD_MaturityDate] - DataTable[SEC_Issue_Date]</f>
        <v>1096</v>
      </c>
      <c r="U522" s="131" t="str">
        <f>DataTable[HLD_Portfolio]&amp;DataTable[HLD_Date]</f>
        <v>SCBRM243397</v>
      </c>
      <c r="V522" t="str">
        <f>DataTable[[#This Row],[RefRng]]&amp;DataTable[[#This Row],[HLD_SecCode]]</f>
        <v>SCBRM243397BOT209A</v>
      </c>
    </row>
    <row r="523" spans="1:22" x14ac:dyDescent="0.2">
      <c r="A523" s="131">
        <v>43397</v>
      </c>
      <c r="B523" t="s">
        <v>339</v>
      </c>
      <c r="C523" t="s">
        <v>18</v>
      </c>
      <c r="D523" t="s">
        <v>105</v>
      </c>
      <c r="F523" t="s">
        <v>584</v>
      </c>
      <c r="G523" t="s">
        <v>83</v>
      </c>
      <c r="H523" t="s">
        <v>29</v>
      </c>
      <c r="I523" s="131">
        <v>44391</v>
      </c>
      <c r="J523" s="6">
        <v>88891841.700000003</v>
      </c>
      <c r="K523">
        <v>301398.38</v>
      </c>
      <c r="L523">
        <v>89034647.159999996</v>
      </c>
      <c r="M523">
        <v>2.66093</v>
      </c>
      <c r="N523">
        <v>82000000</v>
      </c>
      <c r="O523">
        <v>1.185627</v>
      </c>
      <c r="P523">
        <v>1.4477057200000001E-2</v>
      </c>
      <c r="Q523" t="s">
        <v>42</v>
      </c>
      <c r="R523" t="s">
        <v>23</v>
      </c>
      <c r="S523" s="131">
        <v>40738</v>
      </c>
      <c r="T523" s="6">
        <f>DataTable[HLD_MaturityDate] - DataTable[SEC_Issue_Date]</f>
        <v>3653</v>
      </c>
      <c r="U523" s="131" t="str">
        <f>DataTable[HLD_Portfolio]&amp;DataTable[HLD_Date]</f>
        <v>SCBRM243397</v>
      </c>
      <c r="V523" t="str">
        <f>DataTable[[#This Row],[RefRng]]&amp;DataTable[[#This Row],[HLD_SecCode]]</f>
        <v>SCBRM243397ILB217A</v>
      </c>
    </row>
    <row r="524" spans="1:22" x14ac:dyDescent="0.2">
      <c r="A524" s="131">
        <v>43397</v>
      </c>
      <c r="B524" t="s">
        <v>339</v>
      </c>
      <c r="C524" t="s">
        <v>18</v>
      </c>
      <c r="D524" t="s">
        <v>105</v>
      </c>
      <c r="F524" t="s">
        <v>585</v>
      </c>
      <c r="G524" t="s">
        <v>83</v>
      </c>
      <c r="H524" t="s">
        <v>29</v>
      </c>
      <c r="I524" s="131">
        <v>44729</v>
      </c>
      <c r="J524" s="6">
        <v>139920625.84</v>
      </c>
      <c r="K524">
        <v>948287.36</v>
      </c>
      <c r="L524">
        <v>140157053</v>
      </c>
      <c r="M524">
        <v>3.4763980000000001</v>
      </c>
      <c r="N524">
        <v>142000000</v>
      </c>
      <c r="O524">
        <v>2.246769</v>
      </c>
      <c r="P524">
        <v>2.2864595000000001E-2</v>
      </c>
      <c r="Q524" t="s">
        <v>42</v>
      </c>
      <c r="R524" t="s">
        <v>23</v>
      </c>
      <c r="S524" s="131">
        <v>42566</v>
      </c>
      <c r="T524" s="6">
        <f>DataTable[HLD_MaturityDate] - DataTable[SEC_Issue_Date]</f>
        <v>2163</v>
      </c>
      <c r="U524" s="131" t="str">
        <f>DataTable[HLD_Portfolio]&amp;DataTable[HLD_Date]</f>
        <v>SCBRM243397</v>
      </c>
      <c r="V524" t="str">
        <f>DataTable[[#This Row],[RefRng]]&amp;DataTable[[#This Row],[HLD_SecCode]]</f>
        <v>SCBRM243397LB226A</v>
      </c>
    </row>
    <row r="525" spans="1:22" x14ac:dyDescent="0.2">
      <c r="A525" s="131">
        <v>43397</v>
      </c>
      <c r="B525" t="s">
        <v>339</v>
      </c>
      <c r="C525" t="s">
        <v>18</v>
      </c>
      <c r="D525" t="s">
        <v>105</v>
      </c>
      <c r="F525" t="s">
        <v>586</v>
      </c>
      <c r="G525" t="s">
        <v>83</v>
      </c>
      <c r="H525" t="s">
        <v>29</v>
      </c>
      <c r="I525" s="131">
        <v>44912</v>
      </c>
      <c r="J525" s="6">
        <v>110948998.5</v>
      </c>
      <c r="K525">
        <v>801370.13</v>
      </c>
      <c r="L525">
        <v>113304331.13</v>
      </c>
      <c r="M525">
        <v>3.9233220000000002</v>
      </c>
      <c r="N525">
        <v>112500000</v>
      </c>
      <c r="O525">
        <v>1.819229</v>
      </c>
      <c r="P525">
        <v>1.8138330599999999E-2</v>
      </c>
      <c r="Q525" t="s">
        <v>42</v>
      </c>
      <c r="R525" t="s">
        <v>23</v>
      </c>
      <c r="S525" s="131">
        <v>42951</v>
      </c>
      <c r="T525" s="6">
        <f>DataTable[HLD_MaturityDate] - DataTable[SEC_Issue_Date]</f>
        <v>1961</v>
      </c>
      <c r="U525" s="131" t="str">
        <f>DataTable[HLD_Portfolio]&amp;DataTable[HLD_Date]</f>
        <v>SCBRM243397</v>
      </c>
      <c r="V525" t="str">
        <f>DataTable[[#This Row],[RefRng]]&amp;DataTable[[#This Row],[HLD_SecCode]]</f>
        <v>SCBRM243397LB22DA</v>
      </c>
    </row>
    <row r="526" spans="1:22" x14ac:dyDescent="0.2">
      <c r="A526" s="131">
        <v>43397</v>
      </c>
      <c r="B526" t="s">
        <v>339</v>
      </c>
      <c r="C526" t="s">
        <v>18</v>
      </c>
      <c r="D526" t="s">
        <v>105</v>
      </c>
      <c r="F526" t="s">
        <v>587</v>
      </c>
      <c r="G526" t="s">
        <v>83</v>
      </c>
      <c r="H526" t="s">
        <v>29</v>
      </c>
      <c r="I526" s="131">
        <v>45277</v>
      </c>
      <c r="J526" s="6">
        <v>56890322.310000002</v>
      </c>
      <c r="K526">
        <v>258608.43</v>
      </c>
      <c r="L526">
        <v>57155014.920000002</v>
      </c>
      <c r="M526">
        <v>4.7901300000000004</v>
      </c>
      <c r="N526">
        <v>57000000</v>
      </c>
      <c r="O526">
        <v>2.3435640000000002</v>
      </c>
      <c r="P526">
        <v>9.2759086000000004E-3</v>
      </c>
      <c r="Q526" t="s">
        <v>42</v>
      </c>
      <c r="R526" t="s">
        <v>23</v>
      </c>
      <c r="S526" s="131">
        <v>43329</v>
      </c>
      <c r="T526" s="6">
        <f>DataTable[HLD_MaturityDate] - DataTable[SEC_Issue_Date]</f>
        <v>1948</v>
      </c>
      <c r="U526" s="131" t="str">
        <f>DataTable[HLD_Portfolio]&amp;DataTable[HLD_Date]</f>
        <v>SCBRM243397</v>
      </c>
      <c r="V526" t="str">
        <f>DataTable[[#This Row],[RefRng]]&amp;DataTable[[#This Row],[HLD_SecCode]]</f>
        <v>SCBRM243397LB23DA</v>
      </c>
    </row>
    <row r="527" spans="1:22" x14ac:dyDescent="0.2">
      <c r="A527" s="131">
        <v>43397</v>
      </c>
      <c r="B527" t="s">
        <v>339</v>
      </c>
      <c r="C527" t="s">
        <v>18</v>
      </c>
      <c r="D527" t="s">
        <v>105</v>
      </c>
      <c r="F527" t="s">
        <v>1282</v>
      </c>
      <c r="G527" t="s">
        <v>83</v>
      </c>
      <c r="H527" t="s">
        <v>29</v>
      </c>
      <c r="I527" s="131">
        <v>47104</v>
      </c>
      <c r="J527" s="6">
        <v>178075571.68000001</v>
      </c>
      <c r="K527">
        <v>1472157.9</v>
      </c>
      <c r="L527">
        <v>178075571.68000001</v>
      </c>
      <c r="M527">
        <v>8.6756609999999998</v>
      </c>
      <c r="N527">
        <v>178000000</v>
      </c>
      <c r="O527">
        <v>2.87</v>
      </c>
      <c r="P527">
        <v>2.91425981E-2</v>
      </c>
      <c r="Q527" t="s">
        <v>42</v>
      </c>
      <c r="R527" t="s">
        <v>23</v>
      </c>
      <c r="S527" s="131">
        <v>43294</v>
      </c>
      <c r="T527" s="6">
        <f>DataTable[HLD_MaturityDate] - DataTable[SEC_Issue_Date]</f>
        <v>3810</v>
      </c>
      <c r="U527" s="131" t="str">
        <f>DataTable[HLD_Portfolio]&amp;DataTable[HLD_Date]</f>
        <v>SCBRM243397</v>
      </c>
      <c r="V527" t="str">
        <f>DataTable[[#This Row],[RefRng]]&amp;DataTable[[#This Row],[HLD_SecCode]]</f>
        <v>SCBRM243397LB28DA</v>
      </c>
    </row>
    <row r="528" spans="1:22" x14ac:dyDescent="0.2">
      <c r="A528" s="131">
        <v>43397</v>
      </c>
      <c r="B528" t="s">
        <v>339</v>
      </c>
      <c r="C528" t="s">
        <v>18</v>
      </c>
      <c r="D528" t="s">
        <v>105</v>
      </c>
      <c r="F528" t="s">
        <v>588</v>
      </c>
      <c r="G528" t="s">
        <v>589</v>
      </c>
      <c r="I528" s="131">
        <v>44661</v>
      </c>
      <c r="J528" s="6">
        <v>105540127</v>
      </c>
      <c r="K528">
        <v>164589</v>
      </c>
      <c r="L528">
        <v>103364891</v>
      </c>
      <c r="M528">
        <v>3.2268669999999999</v>
      </c>
      <c r="N528">
        <v>100000000</v>
      </c>
      <c r="O528">
        <v>2.9750000000000001</v>
      </c>
      <c r="P528">
        <v>1.7157053799999999E-2</v>
      </c>
      <c r="Q528" t="s">
        <v>42</v>
      </c>
      <c r="R528" t="s">
        <v>23</v>
      </c>
      <c r="S528" s="131">
        <v>41009</v>
      </c>
      <c r="T528" s="6">
        <f>DataTable[HLD_MaturityDate] - DataTable[SEC_Issue_Date]</f>
        <v>3652</v>
      </c>
      <c r="U528" s="131" t="str">
        <f>DataTable[HLD_Portfolio]&amp;DataTable[HLD_Date]</f>
        <v>SCBRM243397</v>
      </c>
      <c r="V528" t="str">
        <f>DataTable[[#This Row],[RefRng]]&amp;DataTable[[#This Row],[HLD_SecCode]]</f>
        <v>SCBRM243397SRT224A</v>
      </c>
    </row>
    <row r="529" spans="1:22" x14ac:dyDescent="0.2">
      <c r="A529" s="131">
        <v>43397</v>
      </c>
      <c r="B529" t="s">
        <v>339</v>
      </c>
      <c r="C529" t="s">
        <v>18</v>
      </c>
      <c r="D529" t="s">
        <v>102</v>
      </c>
      <c r="F529" t="s">
        <v>529</v>
      </c>
      <c r="G529" t="s">
        <v>182</v>
      </c>
      <c r="H529" t="s">
        <v>51</v>
      </c>
      <c r="I529" s="131">
        <v>44016</v>
      </c>
      <c r="J529" s="6">
        <v>10328048.199999999</v>
      </c>
      <c r="K529">
        <v>134980.79999999999</v>
      </c>
      <c r="L529">
        <v>10355277.199999999</v>
      </c>
      <c r="M529">
        <v>1.6137319999999999</v>
      </c>
      <c r="N529">
        <v>10000000</v>
      </c>
      <c r="O529">
        <v>2.2000000000000002</v>
      </c>
      <c r="P529">
        <v>1.6982663E-3</v>
      </c>
      <c r="Q529" t="s">
        <v>42</v>
      </c>
      <c r="R529" t="s">
        <v>23</v>
      </c>
      <c r="S529" s="131">
        <v>41824</v>
      </c>
      <c r="T529" s="6">
        <f>DataTable[HLD_MaturityDate] - DataTable[SEC_Issue_Date]</f>
        <v>2192</v>
      </c>
      <c r="U529" s="131" t="str">
        <f>DataTable[HLD_Portfolio]&amp;DataTable[HLD_Date]</f>
        <v>SCBRM243397</v>
      </c>
      <c r="V529" t="str">
        <f>DataTable[[#This Row],[RefRng]]&amp;DataTable[[#This Row],[HLD_SecCode]]</f>
        <v>SCBRM243397BANPU207B</v>
      </c>
    </row>
    <row r="530" spans="1:22" x14ac:dyDescent="0.2">
      <c r="A530" s="131">
        <v>43397</v>
      </c>
      <c r="B530" t="s">
        <v>339</v>
      </c>
      <c r="C530" t="s">
        <v>18</v>
      </c>
      <c r="D530" t="s">
        <v>102</v>
      </c>
      <c r="F530" t="s">
        <v>477</v>
      </c>
      <c r="G530" t="s">
        <v>182</v>
      </c>
      <c r="H530" t="s">
        <v>51</v>
      </c>
      <c r="I530" s="131">
        <v>46498</v>
      </c>
      <c r="J530" s="6">
        <v>62558311.200000003</v>
      </c>
      <c r="K530">
        <v>27419.4</v>
      </c>
      <c r="L530">
        <v>60000000</v>
      </c>
      <c r="M530">
        <v>7.1346020000000001</v>
      </c>
      <c r="N530">
        <v>60000000</v>
      </c>
      <c r="O530">
        <v>4.17</v>
      </c>
      <c r="P530">
        <v>1.01583618E-2</v>
      </c>
      <c r="Q530" t="s">
        <v>42</v>
      </c>
      <c r="R530" t="s">
        <v>23</v>
      </c>
      <c r="S530" s="131">
        <v>42846</v>
      </c>
      <c r="T530" s="6">
        <f>DataTable[HLD_MaturityDate] - DataTable[SEC_Issue_Date]</f>
        <v>3652</v>
      </c>
      <c r="U530" s="131" t="str">
        <f>DataTable[HLD_Portfolio]&amp;DataTable[HLD_Date]</f>
        <v>SCBRM243397</v>
      </c>
      <c r="V530" t="str">
        <f>DataTable[[#This Row],[RefRng]]&amp;DataTable[[#This Row],[HLD_SecCode]]</f>
        <v>SCBRM243397BANPU274A</v>
      </c>
    </row>
    <row r="531" spans="1:22" x14ac:dyDescent="0.2">
      <c r="A531" s="131">
        <v>43397</v>
      </c>
      <c r="B531" t="s">
        <v>339</v>
      </c>
      <c r="C531" t="s">
        <v>18</v>
      </c>
      <c r="D531" t="s">
        <v>102</v>
      </c>
      <c r="F531" t="s">
        <v>590</v>
      </c>
      <c r="G531" t="s">
        <v>480</v>
      </c>
      <c r="H531" t="s">
        <v>47</v>
      </c>
      <c r="I531" s="131">
        <v>44125</v>
      </c>
      <c r="J531" s="6">
        <v>25072694</v>
      </c>
      <c r="K531">
        <v>7178</v>
      </c>
      <c r="L531">
        <v>25000000</v>
      </c>
      <c r="M531">
        <v>1.9254880000000001</v>
      </c>
      <c r="N531">
        <v>25000000</v>
      </c>
      <c r="O531">
        <v>2.62</v>
      </c>
      <c r="P531">
        <v>4.0707427999999999E-3</v>
      </c>
      <c r="Q531" t="s">
        <v>42</v>
      </c>
      <c r="R531" t="s">
        <v>23</v>
      </c>
      <c r="S531" s="131">
        <v>42664</v>
      </c>
      <c r="T531" s="6">
        <f>DataTable[HLD_MaturityDate] - DataTable[SEC_Issue_Date]</f>
        <v>1461</v>
      </c>
      <c r="U531" s="131" t="str">
        <f>DataTable[HLD_Portfolio]&amp;DataTable[HLD_Date]</f>
        <v>SCBRM243397</v>
      </c>
      <c r="V531" t="str">
        <f>DataTable[[#This Row],[RefRng]]&amp;DataTable[[#This Row],[HLD_SecCode]]</f>
        <v>SCBRM243397BEM20OA</v>
      </c>
    </row>
    <row r="532" spans="1:22" x14ac:dyDescent="0.2">
      <c r="A532" s="131">
        <v>43397</v>
      </c>
      <c r="B532" t="s">
        <v>339</v>
      </c>
      <c r="C532" t="s">
        <v>18</v>
      </c>
      <c r="D532" t="s">
        <v>102</v>
      </c>
      <c r="F532" t="s">
        <v>591</v>
      </c>
      <c r="G532" t="s">
        <v>480</v>
      </c>
      <c r="H532" t="s">
        <v>47</v>
      </c>
      <c r="I532" s="131">
        <v>44811</v>
      </c>
      <c r="J532" s="6">
        <v>15779284.960000001</v>
      </c>
      <c r="K532">
        <v>55758.879999999997</v>
      </c>
      <c r="L532">
        <v>16000000</v>
      </c>
      <c r="M532">
        <v>3.6293859999999998</v>
      </c>
      <c r="N532">
        <v>16000000</v>
      </c>
      <c r="O532">
        <v>2.65</v>
      </c>
      <c r="P532">
        <v>2.5702041E-3</v>
      </c>
      <c r="Q532" t="s">
        <v>42</v>
      </c>
      <c r="R532" t="s">
        <v>23</v>
      </c>
      <c r="S532" s="131">
        <v>42985</v>
      </c>
      <c r="T532" s="6">
        <f>DataTable[HLD_MaturityDate] - DataTable[SEC_Issue_Date]</f>
        <v>1826</v>
      </c>
      <c r="U532" s="131" t="str">
        <f>DataTable[HLD_Portfolio]&amp;DataTable[HLD_Date]</f>
        <v>SCBRM243397</v>
      </c>
      <c r="V532" t="str">
        <f>DataTable[[#This Row],[RefRng]]&amp;DataTable[[#This Row],[HLD_SecCode]]</f>
        <v>SCBRM243397BEM229A</v>
      </c>
    </row>
    <row r="533" spans="1:22" x14ac:dyDescent="0.2">
      <c r="A533" s="131">
        <v>43397</v>
      </c>
      <c r="B533" t="s">
        <v>339</v>
      </c>
      <c r="C533" t="s">
        <v>18</v>
      </c>
      <c r="D533" t="s">
        <v>102</v>
      </c>
      <c r="F533" t="s">
        <v>592</v>
      </c>
      <c r="G533" t="s">
        <v>243</v>
      </c>
      <c r="H533" t="s">
        <v>51</v>
      </c>
      <c r="I533" s="131">
        <v>43914</v>
      </c>
      <c r="J533" s="6">
        <v>95599101.349999994</v>
      </c>
      <c r="K533">
        <v>242055.25</v>
      </c>
      <c r="L533">
        <v>96315392.799999997</v>
      </c>
      <c r="M533">
        <v>1.3714930000000001</v>
      </c>
      <c r="N533">
        <v>95000000</v>
      </c>
      <c r="O533">
        <v>2.007895</v>
      </c>
      <c r="P533">
        <v>1.55560882E-2</v>
      </c>
      <c r="Q533" t="s">
        <v>42</v>
      </c>
      <c r="R533" t="s">
        <v>23</v>
      </c>
      <c r="S533" s="131">
        <v>42818</v>
      </c>
      <c r="T533" s="6">
        <f>DataTable[HLD_MaturityDate] - DataTable[SEC_Issue_Date]</f>
        <v>1096</v>
      </c>
      <c r="U533" s="131" t="str">
        <f>DataTable[HLD_Portfolio]&amp;DataTable[HLD_Date]</f>
        <v>SCBRM243397</v>
      </c>
      <c r="V533" t="str">
        <f>DataTable[[#This Row],[RefRng]]&amp;DataTable[[#This Row],[HLD_SecCode]]</f>
        <v>SCBRM243397BJC203A</v>
      </c>
    </row>
    <row r="534" spans="1:22" x14ac:dyDescent="0.2">
      <c r="A534" s="131">
        <v>43397</v>
      </c>
      <c r="B534" t="s">
        <v>339</v>
      </c>
      <c r="C534" t="s">
        <v>18</v>
      </c>
      <c r="D534" t="s">
        <v>102</v>
      </c>
      <c r="F534" t="s">
        <v>593</v>
      </c>
      <c r="G534" t="s">
        <v>243</v>
      </c>
      <c r="H534" t="s">
        <v>51</v>
      </c>
      <c r="I534" s="131">
        <v>45375</v>
      </c>
      <c r="J534" s="6">
        <v>13372657.35</v>
      </c>
      <c r="K534">
        <v>42508.18</v>
      </c>
      <c r="L534">
        <v>13000000</v>
      </c>
      <c r="M534">
        <v>4.8491309999999999</v>
      </c>
      <c r="N534">
        <v>13000000</v>
      </c>
      <c r="O534">
        <v>3.85</v>
      </c>
      <c r="P534">
        <v>2.1774309E-3</v>
      </c>
      <c r="Q534" t="s">
        <v>42</v>
      </c>
      <c r="R534" t="s">
        <v>23</v>
      </c>
      <c r="S534" s="131">
        <v>42818</v>
      </c>
      <c r="T534" s="6">
        <f>DataTable[HLD_MaturityDate] - DataTable[SEC_Issue_Date]</f>
        <v>2557</v>
      </c>
      <c r="U534" s="131" t="str">
        <f>DataTable[HLD_Portfolio]&amp;DataTable[HLD_Date]</f>
        <v>SCBRM243397</v>
      </c>
      <c r="V534" t="str">
        <f>DataTable[[#This Row],[RefRng]]&amp;DataTable[[#This Row],[HLD_SecCode]]</f>
        <v>SCBRM243397BJC243A</v>
      </c>
    </row>
    <row r="535" spans="1:22" x14ac:dyDescent="0.2">
      <c r="A535" s="131">
        <v>43397</v>
      </c>
      <c r="B535" t="s">
        <v>339</v>
      </c>
      <c r="C535" t="s">
        <v>18</v>
      </c>
      <c r="D535" t="s">
        <v>102</v>
      </c>
      <c r="F535" t="s">
        <v>594</v>
      </c>
      <c r="G535" t="s">
        <v>492</v>
      </c>
      <c r="H535" t="s">
        <v>116</v>
      </c>
      <c r="I535" s="131">
        <v>44402</v>
      </c>
      <c r="J535" s="6">
        <v>139741408.80000001</v>
      </c>
      <c r="K535">
        <v>917478.8</v>
      </c>
      <c r="L535">
        <v>140000000</v>
      </c>
      <c r="M535">
        <v>2.622385</v>
      </c>
      <c r="N535">
        <v>140000000</v>
      </c>
      <c r="O535">
        <v>2.6</v>
      </c>
      <c r="P535">
        <v>2.2830505500000001E-2</v>
      </c>
      <c r="Q535" t="s">
        <v>42</v>
      </c>
      <c r="R535" t="s">
        <v>23</v>
      </c>
      <c r="S535" s="131">
        <v>43306</v>
      </c>
      <c r="T535" s="6">
        <f>DataTable[HLD_MaturityDate] - DataTable[SEC_Issue_Date]</f>
        <v>1096</v>
      </c>
      <c r="U535" s="131" t="str">
        <f>DataTable[HLD_Portfolio]&amp;DataTable[HLD_Date]</f>
        <v>SCBRM243397</v>
      </c>
      <c r="V535" t="str">
        <f>DataTable[[#This Row],[RefRng]]&amp;DataTable[[#This Row],[HLD_SecCode]]</f>
        <v>SCBRM243397CK217A</v>
      </c>
    </row>
    <row r="536" spans="1:22" x14ac:dyDescent="0.2">
      <c r="A536" s="131">
        <v>43397</v>
      </c>
      <c r="B536" t="s">
        <v>339</v>
      </c>
      <c r="C536" t="s">
        <v>18</v>
      </c>
      <c r="D536" t="s">
        <v>102</v>
      </c>
      <c r="F536" t="s">
        <v>595</v>
      </c>
      <c r="G536" t="s">
        <v>104</v>
      </c>
      <c r="H536" t="s">
        <v>51</v>
      </c>
      <c r="I536" s="131">
        <v>45003</v>
      </c>
      <c r="J536" s="6">
        <v>10230650.199999999</v>
      </c>
      <c r="K536">
        <v>34465.800000000003</v>
      </c>
      <c r="L536">
        <v>10070299.699999999</v>
      </c>
      <c r="M536">
        <v>4.0516059999999996</v>
      </c>
      <c r="N536">
        <v>10000000</v>
      </c>
      <c r="O536">
        <v>3.23</v>
      </c>
      <c r="P536">
        <v>1.6661428000000001E-3</v>
      </c>
      <c r="Q536" t="s">
        <v>42</v>
      </c>
      <c r="R536" t="s">
        <v>23</v>
      </c>
      <c r="S536" s="131">
        <v>42447</v>
      </c>
      <c r="T536" s="6">
        <f>DataTable[HLD_MaturityDate] - DataTable[SEC_Issue_Date]</f>
        <v>2556</v>
      </c>
      <c r="U536" s="131" t="str">
        <f>DataTable[HLD_Portfolio]&amp;DataTable[HLD_Date]</f>
        <v>SCBRM243397</v>
      </c>
      <c r="V536" t="str">
        <f>DataTable[[#This Row],[RefRng]]&amp;DataTable[[#This Row],[HLD_SecCode]]</f>
        <v>SCBRM243397CPALL233A</v>
      </c>
    </row>
    <row r="537" spans="1:22" x14ac:dyDescent="0.2">
      <c r="A537" s="131">
        <v>43397</v>
      </c>
      <c r="B537" t="s">
        <v>339</v>
      </c>
      <c r="C537" t="s">
        <v>18</v>
      </c>
      <c r="D537" t="s">
        <v>102</v>
      </c>
      <c r="F537" t="s">
        <v>538</v>
      </c>
      <c r="G537" t="s">
        <v>186</v>
      </c>
      <c r="H537" t="s">
        <v>51</v>
      </c>
      <c r="I537" s="131">
        <v>43933</v>
      </c>
      <c r="J537" s="6">
        <v>29977207.5</v>
      </c>
      <c r="K537">
        <v>24361.5</v>
      </c>
      <c r="L537">
        <v>30000000</v>
      </c>
      <c r="M537">
        <v>1.429473</v>
      </c>
      <c r="N537">
        <v>30000000</v>
      </c>
      <c r="O537">
        <v>2.2799999999999998</v>
      </c>
      <c r="P537">
        <v>4.8695891000000002E-3</v>
      </c>
      <c r="Q537" t="s">
        <v>42</v>
      </c>
      <c r="R537" t="s">
        <v>23</v>
      </c>
      <c r="S537" s="131">
        <v>42472</v>
      </c>
      <c r="T537" s="6">
        <f>DataTable[HLD_MaturityDate] - DataTable[SEC_Issue_Date]</f>
        <v>1461</v>
      </c>
      <c r="U537" s="131" t="str">
        <f>DataTable[HLD_Portfolio]&amp;DataTable[HLD_Date]</f>
        <v>SCBRM243397</v>
      </c>
      <c r="V537" t="str">
        <f>DataTable[[#This Row],[RefRng]]&amp;DataTable[[#This Row],[HLD_SecCode]]</f>
        <v>SCBRM243397CPF204A</v>
      </c>
    </row>
    <row r="538" spans="1:22" x14ac:dyDescent="0.2">
      <c r="A538" s="131">
        <v>43397</v>
      </c>
      <c r="B538" t="s">
        <v>339</v>
      </c>
      <c r="C538" t="s">
        <v>18</v>
      </c>
      <c r="D538" t="s">
        <v>102</v>
      </c>
      <c r="F538" t="s">
        <v>596</v>
      </c>
      <c r="G538" t="s">
        <v>186</v>
      </c>
      <c r="H538" t="s">
        <v>51</v>
      </c>
      <c r="I538" s="131">
        <v>45059</v>
      </c>
      <c r="J538" s="6">
        <v>33273909.440000001</v>
      </c>
      <c r="K538">
        <v>575736.96</v>
      </c>
      <c r="L538">
        <v>33737826.880000003</v>
      </c>
      <c r="M538">
        <v>4.0839059999999998</v>
      </c>
      <c r="N538">
        <v>32000000</v>
      </c>
      <c r="O538">
        <v>2.7</v>
      </c>
      <c r="P538">
        <v>5.4941749999999996E-3</v>
      </c>
      <c r="Q538" t="s">
        <v>42</v>
      </c>
      <c r="R538" t="s">
        <v>23</v>
      </c>
      <c r="S538" s="131">
        <v>42137</v>
      </c>
      <c r="T538" s="6">
        <f>DataTable[HLD_MaturityDate] - DataTable[SEC_Issue_Date]</f>
        <v>2922</v>
      </c>
      <c r="U538" s="131" t="str">
        <f>DataTable[HLD_Portfolio]&amp;DataTable[HLD_Date]</f>
        <v>SCBRM243397</v>
      </c>
      <c r="V538" t="str">
        <f>DataTable[[#This Row],[RefRng]]&amp;DataTable[[#This Row],[HLD_SecCode]]</f>
        <v>SCBRM243397CPF235A</v>
      </c>
    </row>
    <row r="539" spans="1:22" x14ac:dyDescent="0.2">
      <c r="A539" s="131">
        <v>43397</v>
      </c>
      <c r="B539" t="s">
        <v>339</v>
      </c>
      <c r="C539" t="s">
        <v>18</v>
      </c>
      <c r="D539" t="s">
        <v>102</v>
      </c>
      <c r="F539" t="s">
        <v>597</v>
      </c>
      <c r="G539" t="s">
        <v>186</v>
      </c>
      <c r="H539" t="s">
        <v>51</v>
      </c>
      <c r="I539" s="131">
        <v>45394</v>
      </c>
      <c r="J539" s="6">
        <v>32862106.530000001</v>
      </c>
      <c r="K539">
        <v>36553.11</v>
      </c>
      <c r="L539">
        <v>33000000</v>
      </c>
      <c r="M539">
        <v>4.9800950000000004</v>
      </c>
      <c r="N539">
        <v>33000000</v>
      </c>
      <c r="O539">
        <v>3.11</v>
      </c>
      <c r="P539">
        <v>5.3398192000000001E-3</v>
      </c>
      <c r="Q539" t="s">
        <v>42</v>
      </c>
      <c r="R539" t="s">
        <v>23</v>
      </c>
      <c r="S539" s="131">
        <v>42472</v>
      </c>
      <c r="T539" s="6">
        <f>DataTable[HLD_MaturityDate] - DataTable[SEC_Issue_Date]</f>
        <v>2922</v>
      </c>
      <c r="U539" s="131" t="str">
        <f>DataTable[HLD_Portfolio]&amp;DataTable[HLD_Date]</f>
        <v>SCBRM243397</v>
      </c>
      <c r="V539" t="str">
        <f>DataTable[[#This Row],[RefRng]]&amp;DataTable[[#This Row],[HLD_SecCode]]</f>
        <v>SCBRM243397CPF244A</v>
      </c>
    </row>
    <row r="540" spans="1:22" x14ac:dyDescent="0.2">
      <c r="A540" s="131">
        <v>43397</v>
      </c>
      <c r="B540" t="s">
        <v>339</v>
      </c>
      <c r="C540" t="s">
        <v>18</v>
      </c>
      <c r="D540" t="s">
        <v>102</v>
      </c>
      <c r="F540" t="s">
        <v>494</v>
      </c>
      <c r="G540" t="s">
        <v>186</v>
      </c>
      <c r="H540" t="s">
        <v>51</v>
      </c>
      <c r="I540" s="131">
        <v>45681</v>
      </c>
      <c r="J540" s="6">
        <v>41359634.399999999</v>
      </c>
      <c r="K540">
        <v>326391.65999999997</v>
      </c>
      <c r="L540">
        <v>42000000</v>
      </c>
      <c r="M540">
        <v>5.5962709999999998</v>
      </c>
      <c r="N540">
        <v>42000000</v>
      </c>
      <c r="O540">
        <v>3.05</v>
      </c>
      <c r="P540">
        <v>6.7661068000000003E-3</v>
      </c>
      <c r="Q540" t="s">
        <v>42</v>
      </c>
      <c r="R540" t="s">
        <v>23</v>
      </c>
      <c r="S540" s="131">
        <v>43124</v>
      </c>
      <c r="T540" s="6">
        <f>DataTable[HLD_MaturityDate] - DataTable[SEC_Issue_Date]</f>
        <v>2557</v>
      </c>
      <c r="U540" s="131" t="str">
        <f>DataTable[HLD_Portfolio]&amp;DataTable[HLD_Date]</f>
        <v>SCBRM243397</v>
      </c>
      <c r="V540" t="str">
        <f>DataTable[[#This Row],[RefRng]]&amp;DataTable[[#This Row],[HLD_SecCode]]</f>
        <v>SCBRM243397CPF251A</v>
      </c>
    </row>
    <row r="541" spans="1:22" x14ac:dyDescent="0.2">
      <c r="A541" s="131">
        <v>43397</v>
      </c>
      <c r="B541" t="s">
        <v>339</v>
      </c>
      <c r="C541" t="s">
        <v>18</v>
      </c>
      <c r="D541" t="s">
        <v>102</v>
      </c>
      <c r="F541" t="s">
        <v>539</v>
      </c>
      <c r="G541" t="s">
        <v>189</v>
      </c>
      <c r="H541" t="s">
        <v>51</v>
      </c>
      <c r="I541" s="131">
        <v>44027</v>
      </c>
      <c r="J541" s="6">
        <v>25034626.5</v>
      </c>
      <c r="K541">
        <v>175356.25</v>
      </c>
      <c r="L541">
        <v>25000000</v>
      </c>
      <c r="M541">
        <v>1.667637</v>
      </c>
      <c r="N541">
        <v>25000000</v>
      </c>
      <c r="O541">
        <v>2.5099999999999998</v>
      </c>
      <c r="P541">
        <v>4.0918611999999997E-3</v>
      </c>
      <c r="Q541" t="s">
        <v>42</v>
      </c>
      <c r="R541" t="s">
        <v>23</v>
      </c>
      <c r="S541" s="131">
        <v>42566</v>
      </c>
      <c r="T541" s="6">
        <f>DataTable[HLD_MaturityDate] - DataTable[SEC_Issue_Date]</f>
        <v>1461</v>
      </c>
      <c r="U541" s="131" t="str">
        <f>DataTable[HLD_Portfolio]&amp;DataTable[HLD_Date]</f>
        <v>SCBRM243397</v>
      </c>
      <c r="V541" t="str">
        <f>DataTable[[#This Row],[RefRng]]&amp;DataTable[[#This Row],[HLD_SecCode]]</f>
        <v>SCBRM243397CPFTH207A</v>
      </c>
    </row>
    <row r="542" spans="1:22" x14ac:dyDescent="0.2">
      <c r="A542" s="131">
        <v>43397</v>
      </c>
      <c r="B542" t="s">
        <v>339</v>
      </c>
      <c r="C542" t="s">
        <v>18</v>
      </c>
      <c r="D542" t="s">
        <v>102</v>
      </c>
      <c r="F542" t="s">
        <v>598</v>
      </c>
      <c r="G542" t="s">
        <v>189</v>
      </c>
      <c r="H542" t="s">
        <v>51</v>
      </c>
      <c r="I542" s="131">
        <v>44216</v>
      </c>
      <c r="J542" s="6">
        <v>60776367.600000001</v>
      </c>
      <c r="K542">
        <v>494301.6</v>
      </c>
      <c r="L542">
        <v>60000000</v>
      </c>
      <c r="M542">
        <v>2.1371730000000002</v>
      </c>
      <c r="N542">
        <v>60000000</v>
      </c>
      <c r="O542">
        <v>3.1</v>
      </c>
      <c r="P542">
        <v>9.9449126999999991E-3</v>
      </c>
      <c r="Q542" t="s">
        <v>42</v>
      </c>
      <c r="R542" t="s">
        <v>23</v>
      </c>
      <c r="S542" s="131">
        <v>42389</v>
      </c>
      <c r="T542" s="6">
        <f>DataTable[HLD_MaturityDate] - DataTable[SEC_Issue_Date]</f>
        <v>1827</v>
      </c>
      <c r="U542" s="131" t="str">
        <f>DataTable[HLD_Portfolio]&amp;DataTable[HLD_Date]</f>
        <v>SCBRM243397</v>
      </c>
      <c r="V542" t="str">
        <f>DataTable[[#This Row],[RefRng]]&amp;DataTable[[#This Row],[HLD_SecCode]]</f>
        <v>SCBRM243397CPFTH211A</v>
      </c>
    </row>
    <row r="543" spans="1:22" x14ac:dyDescent="0.2">
      <c r="A543" s="131">
        <v>43397</v>
      </c>
      <c r="B543" t="s">
        <v>339</v>
      </c>
      <c r="C543" t="s">
        <v>18</v>
      </c>
      <c r="D543" t="s">
        <v>102</v>
      </c>
      <c r="F543" t="s">
        <v>599</v>
      </c>
      <c r="G543" t="s">
        <v>189</v>
      </c>
      <c r="H543" t="s">
        <v>51</v>
      </c>
      <c r="I543" s="131">
        <v>44946</v>
      </c>
      <c r="J543" s="6">
        <v>40791371.200000003</v>
      </c>
      <c r="K543">
        <v>368865.6</v>
      </c>
      <c r="L543">
        <v>40000000</v>
      </c>
      <c r="M543">
        <v>3.8893659999999999</v>
      </c>
      <c r="N543">
        <v>40000000</v>
      </c>
      <c r="O543">
        <v>3.47</v>
      </c>
      <c r="P543">
        <v>6.6807652999999996E-3</v>
      </c>
      <c r="Q543" t="s">
        <v>42</v>
      </c>
      <c r="R543" t="s">
        <v>23</v>
      </c>
      <c r="S543" s="131">
        <v>42389</v>
      </c>
      <c r="T543" s="6">
        <f>DataTable[HLD_MaturityDate] - DataTable[SEC_Issue_Date]</f>
        <v>2557</v>
      </c>
      <c r="U543" s="131" t="str">
        <f>DataTable[HLD_Portfolio]&amp;DataTable[HLD_Date]</f>
        <v>SCBRM243397</v>
      </c>
      <c r="V543" t="str">
        <f>DataTable[[#This Row],[RefRng]]&amp;DataTable[[#This Row],[HLD_SecCode]]</f>
        <v>SCBRM243397CPFTH231A</v>
      </c>
    </row>
    <row r="544" spans="1:22" x14ac:dyDescent="0.2">
      <c r="A544" s="131">
        <v>43397</v>
      </c>
      <c r="B544" t="s">
        <v>339</v>
      </c>
      <c r="C544" t="s">
        <v>18</v>
      </c>
      <c r="D544" t="s">
        <v>102</v>
      </c>
      <c r="F544" t="s">
        <v>600</v>
      </c>
      <c r="G544" t="s">
        <v>546</v>
      </c>
      <c r="H544" t="s">
        <v>51</v>
      </c>
      <c r="I544" s="131">
        <v>43584</v>
      </c>
      <c r="J544" s="6">
        <v>33969076.659999996</v>
      </c>
      <c r="K544">
        <v>303466.37</v>
      </c>
      <c r="L544">
        <v>34000000</v>
      </c>
      <c r="M544">
        <v>0.50590000000000002</v>
      </c>
      <c r="N544">
        <v>34000000</v>
      </c>
      <c r="O544">
        <v>1.82</v>
      </c>
      <c r="P544">
        <v>5.5628157999999999E-3</v>
      </c>
      <c r="Q544" t="s">
        <v>42</v>
      </c>
      <c r="R544" t="s">
        <v>23</v>
      </c>
      <c r="S544" s="131">
        <v>42489</v>
      </c>
      <c r="T544" s="6">
        <f>DataTable[HLD_MaturityDate] - DataTable[SEC_Issue_Date]</f>
        <v>1095</v>
      </c>
      <c r="U544" s="131" t="str">
        <f>DataTable[HLD_Portfolio]&amp;DataTable[HLD_Date]</f>
        <v>SCBRM243397</v>
      </c>
      <c r="V544" t="str">
        <f>DataTable[[#This Row],[RefRng]]&amp;DataTable[[#This Row],[HLD_SecCode]]</f>
        <v>SCBRM243397LH194A</v>
      </c>
    </row>
    <row r="545" spans="1:22" x14ac:dyDescent="0.2">
      <c r="A545" s="131">
        <v>43397</v>
      </c>
      <c r="B545" t="s">
        <v>339</v>
      </c>
      <c r="C545" t="s">
        <v>18</v>
      </c>
      <c r="D545" t="s">
        <v>102</v>
      </c>
      <c r="F545" t="s">
        <v>601</v>
      </c>
      <c r="G545" t="s">
        <v>550</v>
      </c>
      <c r="H545" t="s">
        <v>47</v>
      </c>
      <c r="I545" s="131">
        <v>43973</v>
      </c>
      <c r="J545" s="6">
        <v>10080546.699999999</v>
      </c>
      <c r="K545">
        <v>130356.2</v>
      </c>
      <c r="L545">
        <v>10148339.9</v>
      </c>
      <c r="M545">
        <v>1.5133190000000001</v>
      </c>
      <c r="N545">
        <v>10000000</v>
      </c>
      <c r="O545">
        <v>2.08</v>
      </c>
      <c r="P545">
        <v>1.6573434000000001E-3</v>
      </c>
      <c r="Q545" t="s">
        <v>42</v>
      </c>
      <c r="R545" t="s">
        <v>23</v>
      </c>
      <c r="S545" s="131">
        <v>42146</v>
      </c>
      <c r="T545" s="6">
        <f>DataTable[HLD_MaturityDate] - DataTable[SEC_Issue_Date]</f>
        <v>1827</v>
      </c>
      <c r="U545" s="131" t="str">
        <f>DataTable[HLD_Portfolio]&amp;DataTable[HLD_Date]</f>
        <v>SCBRM243397</v>
      </c>
      <c r="V545" t="str">
        <f>DataTable[[#This Row],[RefRng]]&amp;DataTable[[#This Row],[HLD_SecCode]]</f>
        <v>SCBRM243397MINT205A</v>
      </c>
    </row>
    <row r="546" spans="1:22" x14ac:dyDescent="0.2">
      <c r="A546" s="131">
        <v>43397</v>
      </c>
      <c r="B546" t="s">
        <v>339</v>
      </c>
      <c r="C546" t="s">
        <v>18</v>
      </c>
      <c r="D546" t="s">
        <v>102</v>
      </c>
      <c r="F546" t="s">
        <v>602</v>
      </c>
      <c r="G546" t="s">
        <v>550</v>
      </c>
      <c r="H546" t="s">
        <v>47</v>
      </c>
      <c r="I546" s="131">
        <v>44270</v>
      </c>
      <c r="J546" s="6">
        <v>9903365.6999999993</v>
      </c>
      <c r="K546">
        <v>24876.7</v>
      </c>
      <c r="L546">
        <v>10000000</v>
      </c>
      <c r="M546">
        <v>2.2994979999999998</v>
      </c>
      <c r="N546">
        <v>10000000</v>
      </c>
      <c r="O546">
        <v>2.27</v>
      </c>
      <c r="P546">
        <v>1.6114644000000001E-3</v>
      </c>
      <c r="Q546" t="s">
        <v>42</v>
      </c>
      <c r="R546" t="s">
        <v>23</v>
      </c>
      <c r="S546" s="131">
        <v>42444</v>
      </c>
      <c r="T546" s="6">
        <f>DataTable[HLD_MaturityDate] - DataTable[SEC_Issue_Date]</f>
        <v>1826</v>
      </c>
      <c r="U546" s="131" t="str">
        <f>DataTable[HLD_Portfolio]&amp;DataTable[HLD_Date]</f>
        <v>SCBRM243397</v>
      </c>
      <c r="V546" t="str">
        <f>DataTable[[#This Row],[RefRng]]&amp;DataTable[[#This Row],[HLD_SecCode]]</f>
        <v>SCBRM243397MINT213A</v>
      </c>
    </row>
    <row r="547" spans="1:22" x14ac:dyDescent="0.2">
      <c r="A547" s="131">
        <v>43397</v>
      </c>
      <c r="B547" t="s">
        <v>339</v>
      </c>
      <c r="C547" t="s">
        <v>18</v>
      </c>
      <c r="D547" t="s">
        <v>102</v>
      </c>
      <c r="F547" t="s">
        <v>603</v>
      </c>
      <c r="G547" t="s">
        <v>216</v>
      </c>
      <c r="H547" t="s">
        <v>47</v>
      </c>
      <c r="I547" s="131">
        <v>44043</v>
      </c>
      <c r="J547" s="6">
        <v>50191825</v>
      </c>
      <c r="K547">
        <v>324041.08</v>
      </c>
      <c r="L547">
        <v>50000000</v>
      </c>
      <c r="M547">
        <v>1.7208239999999999</v>
      </c>
      <c r="N547">
        <v>50000000</v>
      </c>
      <c r="O547">
        <v>2.85</v>
      </c>
      <c r="P547">
        <v>8.1992882E-3</v>
      </c>
      <c r="Q547" t="s">
        <v>42</v>
      </c>
      <c r="R547" t="s">
        <v>23</v>
      </c>
      <c r="S547" s="131">
        <v>42769</v>
      </c>
      <c r="T547" s="6">
        <f>DataTable[HLD_MaturityDate] - DataTable[SEC_Issue_Date]</f>
        <v>1274</v>
      </c>
      <c r="U547" s="131" t="str">
        <f>DataTable[HLD_Portfolio]&amp;DataTable[HLD_Date]</f>
        <v>SCBRM243397</v>
      </c>
      <c r="V547" t="str">
        <f>DataTable[[#This Row],[RefRng]]&amp;DataTable[[#This Row],[HLD_SecCode]]</f>
        <v>SCBRM243397PS207A</v>
      </c>
    </row>
    <row r="548" spans="1:22" x14ac:dyDescent="0.2">
      <c r="A548" s="131">
        <v>43397</v>
      </c>
      <c r="B548" t="s">
        <v>339</v>
      </c>
      <c r="C548" t="s">
        <v>18</v>
      </c>
      <c r="D548" t="s">
        <v>102</v>
      </c>
      <c r="F548" t="s">
        <v>506</v>
      </c>
      <c r="G548" t="s">
        <v>216</v>
      </c>
      <c r="H548" t="s">
        <v>47</v>
      </c>
      <c r="I548" s="131">
        <v>44155</v>
      </c>
      <c r="J548" s="6">
        <v>6980083.04</v>
      </c>
      <c r="K548">
        <v>66831.8</v>
      </c>
      <c r="L548">
        <v>7000000</v>
      </c>
      <c r="M548">
        <v>1.9840409999999999</v>
      </c>
      <c r="N548">
        <v>7000000</v>
      </c>
      <c r="O548">
        <v>2.64</v>
      </c>
      <c r="P548">
        <v>1.1437928000000001E-3</v>
      </c>
      <c r="Q548" t="s">
        <v>42</v>
      </c>
      <c r="R548" t="s">
        <v>23</v>
      </c>
      <c r="S548" s="131">
        <v>42901</v>
      </c>
      <c r="T548" s="6">
        <f>DataTable[HLD_MaturityDate] - DataTable[SEC_Issue_Date]</f>
        <v>1254</v>
      </c>
      <c r="U548" s="131" t="str">
        <f>DataTable[HLD_Portfolio]&amp;DataTable[HLD_Date]</f>
        <v>SCBRM243397</v>
      </c>
      <c r="V548" t="str">
        <f>DataTable[[#This Row],[RefRng]]&amp;DataTable[[#This Row],[HLD_SecCode]]</f>
        <v>SCBRM243397PS20NA</v>
      </c>
    </row>
    <row r="549" spans="1:22" x14ac:dyDescent="0.2">
      <c r="A549" s="131">
        <v>43397</v>
      </c>
      <c r="B549" t="s">
        <v>339</v>
      </c>
      <c r="C549" t="s">
        <v>18</v>
      </c>
      <c r="D549" t="s">
        <v>102</v>
      </c>
      <c r="F549" t="s">
        <v>604</v>
      </c>
      <c r="G549" t="s">
        <v>218</v>
      </c>
      <c r="H549" t="s">
        <v>116</v>
      </c>
      <c r="I549" s="131">
        <v>43962</v>
      </c>
      <c r="J549" s="6">
        <v>75016086.75</v>
      </c>
      <c r="K549">
        <v>923075.25</v>
      </c>
      <c r="L549">
        <v>75649752</v>
      </c>
      <c r="M549">
        <v>1.487282</v>
      </c>
      <c r="N549">
        <v>75000000</v>
      </c>
      <c r="O549">
        <v>2.11</v>
      </c>
      <c r="P549">
        <v>1.23257726E-2</v>
      </c>
      <c r="Q549" t="s">
        <v>42</v>
      </c>
      <c r="R549" t="s">
        <v>23</v>
      </c>
      <c r="S549" s="131">
        <v>42866</v>
      </c>
      <c r="T549" s="6">
        <f>DataTable[HLD_MaturityDate] - DataTable[SEC_Issue_Date]</f>
        <v>1096</v>
      </c>
      <c r="U549" s="131" t="str">
        <f>DataTable[HLD_Portfolio]&amp;DataTable[HLD_Date]</f>
        <v>SCBRM243397</v>
      </c>
      <c r="V549" t="str">
        <f>DataTable[[#This Row],[RefRng]]&amp;DataTable[[#This Row],[HLD_SecCode]]</f>
        <v>SCBRM243397QH205A</v>
      </c>
    </row>
    <row r="550" spans="1:22" x14ac:dyDescent="0.2">
      <c r="A550" s="131">
        <v>43397</v>
      </c>
      <c r="B550" t="s">
        <v>339</v>
      </c>
      <c r="C550" t="s">
        <v>18</v>
      </c>
      <c r="D550" t="s">
        <v>102</v>
      </c>
      <c r="F550" t="s">
        <v>605</v>
      </c>
      <c r="G550" t="s">
        <v>559</v>
      </c>
      <c r="H550" t="s">
        <v>464</v>
      </c>
      <c r="I550" s="131">
        <v>45421</v>
      </c>
      <c r="J550" s="6">
        <v>13286100.359999999</v>
      </c>
      <c r="K550">
        <v>219700</v>
      </c>
      <c r="L550">
        <v>13000000</v>
      </c>
      <c r="M550">
        <v>4.9127349999999996</v>
      </c>
      <c r="N550">
        <v>13000000</v>
      </c>
      <c r="O550">
        <v>3.65</v>
      </c>
      <c r="P550">
        <v>2.1921419999999998E-3</v>
      </c>
      <c r="Q550" t="s">
        <v>42</v>
      </c>
      <c r="R550" t="s">
        <v>23</v>
      </c>
      <c r="S550" s="131">
        <v>42864</v>
      </c>
      <c r="T550" s="6">
        <f>DataTable[HLD_MaturityDate] - DataTable[SEC_Issue_Date]</f>
        <v>2557</v>
      </c>
      <c r="U550" s="131" t="str">
        <f>DataTable[HLD_Portfolio]&amp;DataTable[HLD_Date]</f>
        <v>SCBRM243397</v>
      </c>
      <c r="V550" t="str">
        <f>DataTable[[#This Row],[RefRng]]&amp;DataTable[[#This Row],[HLD_SecCode]]</f>
        <v>SCBRM243397SCCC245A</v>
      </c>
    </row>
    <row r="551" spans="1:22" x14ac:dyDescent="0.2">
      <c r="A551" s="131">
        <v>43397</v>
      </c>
      <c r="B551" t="s">
        <v>339</v>
      </c>
      <c r="C551" t="s">
        <v>18</v>
      </c>
      <c r="D551" t="s">
        <v>102</v>
      </c>
      <c r="F551" t="s">
        <v>606</v>
      </c>
      <c r="G551" t="s">
        <v>80</v>
      </c>
      <c r="H551" t="s">
        <v>47</v>
      </c>
      <c r="I551" s="131">
        <v>43878</v>
      </c>
      <c r="J551" s="6">
        <v>1004179.37</v>
      </c>
      <c r="K551">
        <v>4915.07</v>
      </c>
      <c r="L551">
        <v>1000000</v>
      </c>
      <c r="M551">
        <v>1.281434</v>
      </c>
      <c r="N551">
        <v>1000000</v>
      </c>
      <c r="O551">
        <v>2.6</v>
      </c>
      <c r="P551">
        <v>1.637873E-4</v>
      </c>
      <c r="Q551" t="s">
        <v>42</v>
      </c>
      <c r="R551" t="s">
        <v>23</v>
      </c>
      <c r="S551" s="131">
        <v>42783</v>
      </c>
      <c r="T551" s="6">
        <f>DataTable[HLD_MaturityDate] - DataTable[SEC_Issue_Date]</f>
        <v>1095</v>
      </c>
      <c r="U551" s="131" t="str">
        <f>DataTable[HLD_Portfolio]&amp;DataTable[HLD_Date]</f>
        <v>SCBRM243397</v>
      </c>
      <c r="V551" t="str">
        <f>DataTable[[#This Row],[RefRng]]&amp;DataTable[[#This Row],[HLD_SecCode]]</f>
        <v>SCBRM243397SPALI202A</v>
      </c>
    </row>
    <row r="552" spans="1:22" x14ac:dyDescent="0.2">
      <c r="A552" s="131">
        <v>43397</v>
      </c>
      <c r="B552" t="s">
        <v>339</v>
      </c>
      <c r="C552" t="s">
        <v>18</v>
      </c>
      <c r="D552" t="s">
        <v>102</v>
      </c>
      <c r="F552" t="s">
        <v>560</v>
      </c>
      <c r="G552" t="s">
        <v>222</v>
      </c>
      <c r="H552" t="s">
        <v>193</v>
      </c>
      <c r="I552" s="131">
        <v>44639</v>
      </c>
      <c r="J552" s="6">
        <v>100136711</v>
      </c>
      <c r="K552">
        <v>315616</v>
      </c>
      <c r="L552">
        <v>100000000</v>
      </c>
      <c r="M552">
        <v>3.1859549999999999</v>
      </c>
      <c r="N552">
        <v>100000000</v>
      </c>
      <c r="O552">
        <v>3.2</v>
      </c>
      <c r="P552">
        <v>1.63045325E-2</v>
      </c>
      <c r="Q552" t="s">
        <v>42</v>
      </c>
      <c r="R552" t="s">
        <v>23</v>
      </c>
      <c r="S552" s="131">
        <v>43362</v>
      </c>
      <c r="T552" s="6">
        <f>DataTable[HLD_MaturityDate] - DataTable[SEC_Issue_Date]</f>
        <v>1277</v>
      </c>
      <c r="U552" s="131" t="str">
        <f>DataTable[HLD_Portfolio]&amp;DataTable[HLD_Date]</f>
        <v>SCBRM243397</v>
      </c>
      <c r="V552" t="str">
        <f>DataTable[[#This Row],[RefRng]]&amp;DataTable[[#This Row],[HLD_SecCode]]</f>
        <v>SCBRM243397TBEV223A</v>
      </c>
    </row>
    <row r="553" spans="1:22" x14ac:dyDescent="0.2">
      <c r="A553" s="131">
        <v>43397</v>
      </c>
      <c r="B553" t="s">
        <v>339</v>
      </c>
      <c r="C553" t="s">
        <v>18</v>
      </c>
      <c r="D553" t="s">
        <v>102</v>
      </c>
      <c r="F553" t="s">
        <v>607</v>
      </c>
      <c r="G553" t="s">
        <v>222</v>
      </c>
      <c r="H553" t="s">
        <v>193</v>
      </c>
      <c r="I553" s="131">
        <v>45007</v>
      </c>
      <c r="J553" s="6">
        <v>20488369.649999999</v>
      </c>
      <c r="K553">
        <v>52402.14</v>
      </c>
      <c r="L553">
        <v>21000000</v>
      </c>
      <c r="M553">
        <v>4.0955199999999996</v>
      </c>
      <c r="N553">
        <v>21000000</v>
      </c>
      <c r="O553">
        <v>2.76</v>
      </c>
      <c r="P553">
        <v>3.3339963000000002E-3</v>
      </c>
      <c r="Q553" t="s">
        <v>42</v>
      </c>
      <c r="R553" t="s">
        <v>23</v>
      </c>
      <c r="S553" s="131">
        <v>43181</v>
      </c>
      <c r="T553" s="6">
        <f>DataTable[HLD_MaturityDate] - DataTable[SEC_Issue_Date]</f>
        <v>1826</v>
      </c>
      <c r="U553" s="131" t="str">
        <f>DataTable[HLD_Portfolio]&amp;DataTable[HLD_Date]</f>
        <v>SCBRM243397</v>
      </c>
      <c r="V553" t="str">
        <f>DataTable[[#This Row],[RefRng]]&amp;DataTable[[#This Row],[HLD_SecCode]]</f>
        <v>SCBRM243397TBEV233A</v>
      </c>
    </row>
    <row r="554" spans="1:22" x14ac:dyDescent="0.2">
      <c r="A554" s="131">
        <v>43397</v>
      </c>
      <c r="B554" t="s">
        <v>339</v>
      </c>
      <c r="C554" t="s">
        <v>18</v>
      </c>
      <c r="D554" t="s">
        <v>102</v>
      </c>
      <c r="F554" t="s">
        <v>514</v>
      </c>
      <c r="G554" t="s">
        <v>230</v>
      </c>
      <c r="H554" t="s">
        <v>29</v>
      </c>
      <c r="I554" s="131">
        <v>43431</v>
      </c>
      <c r="J554" s="6">
        <v>20004878.199999999</v>
      </c>
      <c r="K554">
        <v>296087.59999999998</v>
      </c>
      <c r="L554">
        <v>20000000</v>
      </c>
      <c r="M554">
        <v>9.0255000000000002E-2</v>
      </c>
      <c r="N554">
        <v>20000000</v>
      </c>
      <c r="O554">
        <v>2.2799999999999998</v>
      </c>
      <c r="P554">
        <v>3.2950731E-3</v>
      </c>
      <c r="Q554" t="s">
        <v>42</v>
      </c>
      <c r="R554" t="s">
        <v>23</v>
      </c>
      <c r="S554" s="131">
        <v>43161</v>
      </c>
      <c r="T554" s="6">
        <f>DataTable[HLD_MaturityDate] - DataTable[SEC_Issue_Date]</f>
        <v>270</v>
      </c>
      <c r="U554" s="131" t="str">
        <f>DataTable[HLD_Portfolio]&amp;DataTable[HLD_Date]</f>
        <v>SCBRM243397</v>
      </c>
      <c r="V554" t="str">
        <f>DataTable[[#This Row],[RefRng]]&amp;DataTable[[#This Row],[HLD_SecCode]]</f>
        <v>SCBRM243397TRUE18N27A</v>
      </c>
    </row>
    <row r="555" spans="1:22" x14ac:dyDescent="0.2">
      <c r="A555" s="131">
        <v>43397</v>
      </c>
      <c r="B555" t="s">
        <v>339</v>
      </c>
      <c r="C555" t="s">
        <v>18</v>
      </c>
      <c r="D555" t="s">
        <v>102</v>
      </c>
      <c r="F555" t="s">
        <v>561</v>
      </c>
      <c r="G555" t="s">
        <v>230</v>
      </c>
      <c r="H555" t="s">
        <v>29</v>
      </c>
      <c r="I555" s="131">
        <v>43494</v>
      </c>
      <c r="J555" s="6">
        <v>9999493.8000000007</v>
      </c>
      <c r="K555">
        <v>109643.8</v>
      </c>
      <c r="L555">
        <v>10000000</v>
      </c>
      <c r="M555">
        <v>0.261436</v>
      </c>
      <c r="N555">
        <v>10000000</v>
      </c>
      <c r="O555">
        <v>2.2999999999999998</v>
      </c>
      <c r="P555">
        <v>1.6408257000000001E-3</v>
      </c>
      <c r="Q555" t="s">
        <v>42</v>
      </c>
      <c r="R555" t="s">
        <v>23</v>
      </c>
      <c r="S555" s="131">
        <v>43224</v>
      </c>
      <c r="T555" s="6">
        <f>DataTable[HLD_MaturityDate] - DataTable[SEC_Issue_Date]</f>
        <v>270</v>
      </c>
      <c r="U555" s="131" t="str">
        <f>DataTable[HLD_Portfolio]&amp;DataTable[HLD_Date]</f>
        <v>SCBRM243397</v>
      </c>
      <c r="V555" t="str">
        <f>DataTable[[#This Row],[RefRng]]&amp;DataTable[[#This Row],[HLD_SecCode]]</f>
        <v>SCBRM243397TRUE19129A</v>
      </c>
    </row>
    <row r="556" spans="1:22" x14ac:dyDescent="0.2">
      <c r="A556" s="131">
        <v>43397</v>
      </c>
      <c r="B556" t="s">
        <v>339</v>
      </c>
      <c r="C556" t="s">
        <v>18</v>
      </c>
      <c r="D556" t="s">
        <v>102</v>
      </c>
      <c r="F556" t="s">
        <v>1253</v>
      </c>
      <c r="G556" t="s">
        <v>230</v>
      </c>
      <c r="H556" t="s">
        <v>29</v>
      </c>
      <c r="I556" s="131">
        <v>43661</v>
      </c>
      <c r="J556" s="6">
        <v>60018340.799999997</v>
      </c>
      <c r="K556">
        <v>34520.400000000001</v>
      </c>
      <c r="L556">
        <v>60000000</v>
      </c>
      <c r="M556">
        <v>0.70552599999999999</v>
      </c>
      <c r="N556">
        <v>60000000</v>
      </c>
      <c r="O556">
        <v>3</v>
      </c>
      <c r="P556">
        <v>9.7472488999999999E-3</v>
      </c>
      <c r="Q556" t="s">
        <v>42</v>
      </c>
      <c r="R556" t="s">
        <v>23</v>
      </c>
      <c r="S556" s="131">
        <v>43391</v>
      </c>
      <c r="T556" s="6">
        <f>DataTable[HLD_MaturityDate] - DataTable[SEC_Issue_Date]</f>
        <v>270</v>
      </c>
      <c r="U556" s="131" t="str">
        <f>DataTable[HLD_Portfolio]&amp;DataTable[HLD_Date]</f>
        <v>SCBRM243397</v>
      </c>
      <c r="V556" t="str">
        <f>DataTable[[#This Row],[RefRng]]&amp;DataTable[[#This Row],[HLD_SecCode]]</f>
        <v>SCBRM243397TRUE19715A</v>
      </c>
    </row>
    <row r="557" spans="1:22" x14ac:dyDescent="0.2">
      <c r="A557" s="131">
        <v>43397</v>
      </c>
      <c r="B557" t="s">
        <v>339</v>
      </c>
      <c r="C557" t="s">
        <v>18</v>
      </c>
      <c r="D557" t="s">
        <v>102</v>
      </c>
      <c r="F557" t="s">
        <v>231</v>
      </c>
      <c r="G557" t="s">
        <v>232</v>
      </c>
      <c r="H557" t="s">
        <v>29</v>
      </c>
      <c r="I557" s="131">
        <v>43494</v>
      </c>
      <c r="J557" s="6">
        <v>41996512.32</v>
      </c>
      <c r="K557">
        <v>396986.1</v>
      </c>
      <c r="L557">
        <v>42000000</v>
      </c>
      <c r="M557">
        <v>0.26142500000000002</v>
      </c>
      <c r="N557">
        <v>42000000</v>
      </c>
      <c r="O557">
        <v>2.2999999999999998</v>
      </c>
      <c r="P557">
        <v>6.8809374000000003E-3</v>
      </c>
      <c r="Q557" t="s">
        <v>42</v>
      </c>
      <c r="R557" t="s">
        <v>23</v>
      </c>
      <c r="S557" s="131">
        <v>43248</v>
      </c>
      <c r="T557" s="6">
        <f>DataTable[HLD_MaturityDate] - DataTable[SEC_Issue_Date]</f>
        <v>246</v>
      </c>
      <c r="U557" s="131" t="str">
        <f>DataTable[HLD_Portfolio]&amp;DataTable[HLD_Date]</f>
        <v>SCBRM243397</v>
      </c>
      <c r="V557" t="str">
        <f>DataTable[[#This Row],[RefRng]]&amp;DataTable[[#This Row],[HLD_SecCode]]</f>
        <v>SCBRM243397TUC19129B</v>
      </c>
    </row>
    <row r="558" spans="1:22" x14ac:dyDescent="0.2">
      <c r="A558" s="131">
        <v>43397</v>
      </c>
      <c r="B558" t="s">
        <v>339</v>
      </c>
      <c r="C558" t="s">
        <v>18</v>
      </c>
      <c r="D558" t="s">
        <v>102</v>
      </c>
      <c r="F558" t="s">
        <v>236</v>
      </c>
      <c r="G558" t="s">
        <v>237</v>
      </c>
      <c r="H558" t="s">
        <v>47</v>
      </c>
      <c r="I558" s="131">
        <v>44285</v>
      </c>
      <c r="J558" s="6">
        <v>25811168.5</v>
      </c>
      <c r="K558">
        <v>40246.699999999997</v>
      </c>
      <c r="L558">
        <v>26000000</v>
      </c>
      <c r="M558">
        <v>2.3531439999999999</v>
      </c>
      <c r="N558">
        <v>26000000</v>
      </c>
      <c r="O558">
        <v>2.2599999999999998</v>
      </c>
      <c r="P558">
        <v>4.1959728999999999E-3</v>
      </c>
      <c r="Q558" t="s">
        <v>42</v>
      </c>
      <c r="R558" t="s">
        <v>23</v>
      </c>
      <c r="S558" s="131">
        <v>43189</v>
      </c>
      <c r="T558" s="6">
        <f>DataTable[HLD_MaturityDate] - DataTable[SEC_Issue_Date]</f>
        <v>1096</v>
      </c>
      <c r="U558" s="131" t="str">
        <f>DataTable[HLD_Portfolio]&amp;DataTable[HLD_Date]</f>
        <v>SCBRM243397</v>
      </c>
      <c r="V558" t="str">
        <f>DataTable[[#This Row],[RefRng]]&amp;DataTable[[#This Row],[HLD_SecCode]]</f>
        <v>SCBRM243397WHART213A</v>
      </c>
    </row>
    <row r="559" spans="1:22" x14ac:dyDescent="0.2">
      <c r="A559" s="131">
        <v>43397</v>
      </c>
      <c r="B559" t="s">
        <v>339</v>
      </c>
      <c r="C559" t="s">
        <v>18</v>
      </c>
      <c r="D559" t="s">
        <v>102</v>
      </c>
      <c r="F559" t="s">
        <v>238</v>
      </c>
      <c r="G559" t="s">
        <v>239</v>
      </c>
      <c r="H559" t="s">
        <v>116</v>
      </c>
      <c r="I559" s="131">
        <v>44061</v>
      </c>
      <c r="J559" s="6">
        <v>18144479.879999999</v>
      </c>
      <c r="K559">
        <v>111669.12</v>
      </c>
      <c r="L559">
        <v>18000000</v>
      </c>
      <c r="M559">
        <v>1.7444759999999999</v>
      </c>
      <c r="N559">
        <v>18000000</v>
      </c>
      <c r="O559">
        <v>3.33</v>
      </c>
      <c r="P559">
        <v>2.9631764999999998E-3</v>
      </c>
      <c r="Q559" t="s">
        <v>42</v>
      </c>
      <c r="R559" t="s">
        <v>23</v>
      </c>
      <c r="S559" s="131">
        <v>42965</v>
      </c>
      <c r="T559" s="6">
        <f>DataTable[HLD_MaturityDate] - DataTable[SEC_Issue_Date]</f>
        <v>1096</v>
      </c>
      <c r="U559" s="131" t="str">
        <f>DataTable[HLD_Portfolio]&amp;DataTable[HLD_Date]</f>
        <v>SCBRM243397</v>
      </c>
      <c r="V559" t="str">
        <f>DataTable[[#This Row],[RefRng]]&amp;DataTable[[#This Row],[HLD_SecCode]]</f>
        <v>SCBRM243397WHAUP208A</v>
      </c>
    </row>
    <row r="560" spans="1:22" x14ac:dyDescent="0.2">
      <c r="A560" s="131">
        <v>43397</v>
      </c>
      <c r="B560" t="s">
        <v>339</v>
      </c>
      <c r="C560" t="s">
        <v>106</v>
      </c>
      <c r="D560" t="s">
        <v>608</v>
      </c>
      <c r="F560" t="s">
        <v>609</v>
      </c>
      <c r="G560" t="s">
        <v>26</v>
      </c>
      <c r="H560" t="s">
        <v>27</v>
      </c>
      <c r="I560" s="131">
        <v>46373</v>
      </c>
      <c r="J560" s="6">
        <v>-1080557.96</v>
      </c>
      <c r="L560">
        <v>0</v>
      </c>
      <c r="M560">
        <v>0</v>
      </c>
      <c r="N560">
        <v>0</v>
      </c>
      <c r="O560">
        <v>0</v>
      </c>
      <c r="P560">
        <v>-1.7538659999999999E-4</v>
      </c>
      <c r="Q560" t="s">
        <v>610</v>
      </c>
      <c r="R560" t="s">
        <v>23</v>
      </c>
      <c r="S560" s="131">
        <v>2</v>
      </c>
      <c r="T560" s="6">
        <f>DataTable[HLD_MaturityDate] - DataTable[SEC_Issue_Date]</f>
        <v>46371</v>
      </c>
      <c r="U560" s="131" t="str">
        <f>DataTable[HLD_Portfolio]&amp;DataTable[HLD_Date]</f>
        <v>SCBRM243397</v>
      </c>
      <c r="V560" t="str">
        <f>DataTable[[#This Row],[RefRng]]&amp;DataTable[[#This Row],[HLD_SecCode]]</f>
        <v>SCBRM243397/SCBFIFL26DC</v>
      </c>
    </row>
    <row r="561" spans="1:22" x14ac:dyDescent="0.2">
      <c r="A561" s="131">
        <v>43397</v>
      </c>
      <c r="B561" t="s">
        <v>339</v>
      </c>
      <c r="C561" t="s">
        <v>106</v>
      </c>
      <c r="D561" t="s">
        <v>608</v>
      </c>
      <c r="F561" t="s">
        <v>1225</v>
      </c>
      <c r="G561" t="s">
        <v>273</v>
      </c>
      <c r="H561" t="s">
        <v>43</v>
      </c>
      <c r="I561" s="131">
        <v>45215</v>
      </c>
      <c r="J561" s="6">
        <v>-250147.05</v>
      </c>
      <c r="L561">
        <v>0</v>
      </c>
      <c r="M561">
        <v>4.9808219999999999</v>
      </c>
      <c r="N561">
        <v>0</v>
      </c>
      <c r="O561">
        <v>0</v>
      </c>
      <c r="P561">
        <v>-4.0601700000000001E-5</v>
      </c>
      <c r="Q561" t="s">
        <v>610</v>
      </c>
      <c r="R561" t="s">
        <v>23</v>
      </c>
      <c r="S561" s="131">
        <v>2</v>
      </c>
      <c r="T561" s="6">
        <f>DataTable[HLD_MaturityDate] - DataTable[SEC_Issue_Date]</f>
        <v>45213</v>
      </c>
      <c r="U561" s="131" t="str">
        <f>DataTable[HLD_Portfolio]&amp;DataTable[HLD_Date]</f>
        <v>SCBRM243397</v>
      </c>
      <c r="V561" t="str">
        <f>DataTable[[#This Row],[RefRng]]&amp;DataTable[[#This Row],[HLD_SecCode]]</f>
        <v>SCBRM243397/CIMBFIFL23OB</v>
      </c>
    </row>
    <row r="562" spans="1:22" x14ac:dyDescent="0.2">
      <c r="A562" s="131">
        <v>43397</v>
      </c>
      <c r="B562" t="s">
        <v>339</v>
      </c>
      <c r="C562" t="s">
        <v>106</v>
      </c>
      <c r="D562" t="s">
        <v>608</v>
      </c>
      <c r="F562" t="s">
        <v>1226</v>
      </c>
      <c r="G562" t="s">
        <v>26</v>
      </c>
      <c r="H562" t="s">
        <v>27</v>
      </c>
      <c r="I562" s="131">
        <v>45215</v>
      </c>
      <c r="J562" s="6">
        <v>-178099.41</v>
      </c>
      <c r="L562">
        <v>0</v>
      </c>
      <c r="M562">
        <v>4.9808219999999999</v>
      </c>
      <c r="N562">
        <v>0</v>
      </c>
      <c r="O562">
        <v>0</v>
      </c>
      <c r="P562">
        <v>-2.8907500000000001E-5</v>
      </c>
      <c r="Q562" t="s">
        <v>610</v>
      </c>
      <c r="R562" t="s">
        <v>23</v>
      </c>
      <c r="S562" s="131">
        <v>2</v>
      </c>
      <c r="T562" s="6">
        <f>DataTable[HLD_MaturityDate] - DataTable[SEC_Issue_Date]</f>
        <v>45213</v>
      </c>
      <c r="U562" s="131" t="str">
        <f>DataTable[HLD_Portfolio]&amp;DataTable[HLD_Date]</f>
        <v>SCBRM243397</v>
      </c>
      <c r="V562" t="str">
        <f>DataTable[[#This Row],[RefRng]]&amp;DataTable[[#This Row],[HLD_SecCode]]</f>
        <v>SCBRM243397/SCBFIFL23OB</v>
      </c>
    </row>
    <row r="563" spans="1:22" x14ac:dyDescent="0.2">
      <c r="A563" s="131">
        <v>43397</v>
      </c>
      <c r="B563" t="s">
        <v>339</v>
      </c>
      <c r="C563" t="s">
        <v>106</v>
      </c>
      <c r="D563" t="s">
        <v>608</v>
      </c>
      <c r="F563" t="s">
        <v>1235</v>
      </c>
      <c r="G563" t="s">
        <v>71</v>
      </c>
      <c r="H563" t="s">
        <v>27</v>
      </c>
      <c r="I563" s="131">
        <v>45216</v>
      </c>
      <c r="J563" s="6">
        <v>-235059.96</v>
      </c>
      <c r="L563">
        <v>0</v>
      </c>
      <c r="M563">
        <v>4.983562</v>
      </c>
      <c r="N563">
        <v>0</v>
      </c>
      <c r="O563">
        <v>0</v>
      </c>
      <c r="P563">
        <v>-3.8152899999999999E-5</v>
      </c>
      <c r="Q563" t="s">
        <v>610</v>
      </c>
      <c r="R563" t="s">
        <v>23</v>
      </c>
      <c r="S563" s="131">
        <v>2</v>
      </c>
      <c r="T563" s="6">
        <f>DataTable[HLD_MaturityDate] - DataTable[SEC_Issue_Date]</f>
        <v>45214</v>
      </c>
      <c r="U563" s="131" t="str">
        <f>DataTable[HLD_Portfolio]&amp;DataTable[HLD_Date]</f>
        <v>SCBRM243397</v>
      </c>
      <c r="V563" t="str">
        <f>DataTable[[#This Row],[RefRng]]&amp;DataTable[[#This Row],[HLD_SecCode]]</f>
        <v>SCBRM243397/KTBFIFL23OE</v>
      </c>
    </row>
    <row r="564" spans="1:22" x14ac:dyDescent="0.2">
      <c r="A564" s="131">
        <v>43397</v>
      </c>
      <c r="B564" t="s">
        <v>339</v>
      </c>
      <c r="C564" t="s">
        <v>106</v>
      </c>
      <c r="D564" t="s">
        <v>608</v>
      </c>
      <c r="F564" t="s">
        <v>1236</v>
      </c>
      <c r="G564" t="s">
        <v>273</v>
      </c>
      <c r="H564" t="s">
        <v>43</v>
      </c>
      <c r="I564" s="131">
        <v>45216</v>
      </c>
      <c r="J564" s="6">
        <v>-226301.14</v>
      </c>
      <c r="L564">
        <v>0</v>
      </c>
      <c r="M564">
        <v>4.983562</v>
      </c>
      <c r="N564">
        <v>0</v>
      </c>
      <c r="O564">
        <v>0</v>
      </c>
      <c r="P564">
        <v>-3.6731199999999998E-5</v>
      </c>
      <c r="Q564" t="s">
        <v>610</v>
      </c>
      <c r="R564" t="s">
        <v>23</v>
      </c>
      <c r="S564" s="131">
        <v>2</v>
      </c>
      <c r="T564" s="6">
        <f>DataTable[HLD_MaturityDate] - DataTable[SEC_Issue_Date]</f>
        <v>45214</v>
      </c>
      <c r="U564" s="131" t="str">
        <f>DataTable[HLD_Portfolio]&amp;DataTable[HLD_Date]</f>
        <v>SCBRM243397</v>
      </c>
      <c r="V564" t="str">
        <f>DataTable[[#This Row],[RefRng]]&amp;DataTable[[#This Row],[HLD_SecCode]]</f>
        <v>SCBRM243397/CIMBFIFL23OF</v>
      </c>
    </row>
    <row r="565" spans="1:22" x14ac:dyDescent="0.2">
      <c r="A565" s="131">
        <v>43397</v>
      </c>
      <c r="B565" t="s">
        <v>339</v>
      </c>
      <c r="C565" t="s">
        <v>119</v>
      </c>
      <c r="D565" t="s">
        <v>292</v>
      </c>
      <c r="E565" t="s">
        <v>1256</v>
      </c>
      <c r="F565" t="s">
        <v>20</v>
      </c>
      <c r="I565" s="131"/>
      <c r="J565" s="6">
        <v>3275172.56</v>
      </c>
      <c r="L565">
        <v>3275172.56</v>
      </c>
      <c r="M565">
        <v>0</v>
      </c>
      <c r="O565">
        <v>0</v>
      </c>
      <c r="P565">
        <v>5.3159699999999997E-4</v>
      </c>
      <c r="Q565" t="s">
        <v>22</v>
      </c>
      <c r="R565" t="s">
        <v>23</v>
      </c>
      <c r="S565" s="131">
        <v>2</v>
      </c>
      <c r="T565" s="6">
        <f>DataTable[HLD_MaturityDate] - DataTable[SEC_Issue_Date]</f>
        <v>-2</v>
      </c>
      <c r="U565" s="131" t="str">
        <f>DataTable[HLD_Portfolio]&amp;DataTable[HLD_Date]</f>
        <v>SCBRM243397</v>
      </c>
      <c r="V565" t="str">
        <f>DataTable[[#This Row],[RefRng]]&amp;DataTable[[#This Row],[HLD_SecCode]]</f>
        <v>SCBRM243397CASH</v>
      </c>
    </row>
    <row r="566" spans="1:22" x14ac:dyDescent="0.2">
      <c r="A566" s="131">
        <v>43397</v>
      </c>
      <c r="B566" t="s">
        <v>339</v>
      </c>
      <c r="C566" t="s">
        <v>119</v>
      </c>
      <c r="D566" t="s">
        <v>292</v>
      </c>
      <c r="E566" t="s">
        <v>1280</v>
      </c>
      <c r="F566" t="s">
        <v>20</v>
      </c>
      <c r="I566" s="131"/>
      <c r="J566" s="6">
        <v>50000</v>
      </c>
      <c r="L566">
        <v>50000</v>
      </c>
      <c r="M566">
        <v>0</v>
      </c>
      <c r="O566">
        <v>0</v>
      </c>
      <c r="P566">
        <v>8.1156000000000007E-6</v>
      </c>
      <c r="Q566" t="s">
        <v>22</v>
      </c>
      <c r="R566" t="s">
        <v>23</v>
      </c>
      <c r="S566" s="131">
        <v>2</v>
      </c>
      <c r="T566" s="6">
        <f>DataTable[HLD_MaturityDate] - DataTable[SEC_Issue_Date]</f>
        <v>-2</v>
      </c>
      <c r="U566" s="131" t="str">
        <f>DataTable[HLD_Portfolio]&amp;DataTable[HLD_Date]</f>
        <v>SCBRM243397</v>
      </c>
      <c r="V566" t="str">
        <f>DataTable[[#This Row],[RefRng]]&amp;DataTable[[#This Row],[HLD_SecCode]]</f>
        <v>SCBRM243397CASH</v>
      </c>
    </row>
    <row r="567" spans="1:22" x14ac:dyDescent="0.2">
      <c r="A567" s="131">
        <v>43397</v>
      </c>
      <c r="B567" t="s">
        <v>339</v>
      </c>
      <c r="C567" t="s">
        <v>120</v>
      </c>
      <c r="D567" t="s">
        <v>121</v>
      </c>
      <c r="E567" t="s">
        <v>1280</v>
      </c>
      <c r="F567" t="s">
        <v>1282</v>
      </c>
      <c r="I567" s="131"/>
      <c r="J567" s="6">
        <v>-179547726.02000001</v>
      </c>
      <c r="L567">
        <v>-179547726.02000001</v>
      </c>
      <c r="O567">
        <v>0</v>
      </c>
      <c r="P567">
        <v>-2.91425976E-2</v>
      </c>
      <c r="Q567" t="s">
        <v>42</v>
      </c>
      <c r="R567" t="s">
        <v>23</v>
      </c>
      <c r="S567" s="131">
        <v>43294</v>
      </c>
      <c r="T567" s="6">
        <f>DataTable[HLD_MaturityDate] - DataTable[SEC_Issue_Date]</f>
        <v>-43294</v>
      </c>
      <c r="U567" s="131" t="str">
        <f>DataTable[HLD_Portfolio]&amp;DataTable[HLD_Date]</f>
        <v>SCBRM243397</v>
      </c>
      <c r="V567" t="str">
        <f>DataTable[[#This Row],[RefRng]]&amp;DataTable[[#This Row],[HLD_SecCode]]</f>
        <v>SCBRM243397LB28DA</v>
      </c>
    </row>
    <row r="568" spans="1:22" x14ac:dyDescent="0.2">
      <c r="A568" s="131">
        <v>43397</v>
      </c>
      <c r="B568" t="s">
        <v>339</v>
      </c>
      <c r="C568" t="s">
        <v>120</v>
      </c>
      <c r="D568" t="s">
        <v>122</v>
      </c>
      <c r="E568" t="s">
        <v>122</v>
      </c>
      <c r="F568" t="s">
        <v>122</v>
      </c>
      <c r="I568" s="131"/>
      <c r="J568" s="6">
        <v>-62383.59</v>
      </c>
      <c r="O568">
        <v>0</v>
      </c>
      <c r="P568">
        <v>-1.01256E-5</v>
      </c>
      <c r="S568" s="131"/>
      <c r="T568" s="6">
        <f>DataTable[HLD_MaturityDate] - DataTable[SEC_Issue_Date]</f>
        <v>0</v>
      </c>
      <c r="U568" s="131" t="str">
        <f>DataTable[HLD_Portfolio]&amp;DataTable[HLD_Date]</f>
        <v>SCBRM243397</v>
      </c>
      <c r="V568" t="str">
        <f>DataTable[[#This Row],[RefRng]]&amp;DataTable[[#This Row],[HLD_SecCode]]</f>
        <v>SCBRM243397AUDITING FEE</v>
      </c>
    </row>
    <row r="569" spans="1:22" x14ac:dyDescent="0.2">
      <c r="A569" s="131">
        <v>43397</v>
      </c>
      <c r="B569" t="s">
        <v>339</v>
      </c>
      <c r="C569" t="s">
        <v>120</v>
      </c>
      <c r="D569" t="s">
        <v>123</v>
      </c>
      <c r="I569" s="131"/>
      <c r="J569" s="6">
        <v>-115701.54</v>
      </c>
      <c r="K569">
        <v>0</v>
      </c>
      <c r="O569">
        <v>0</v>
      </c>
      <c r="P569">
        <v>-1.8779599999999999E-5</v>
      </c>
      <c r="S569" s="131"/>
      <c r="T569" s="6">
        <f>DataTable[HLD_MaturityDate] - DataTable[SEC_Issue_Date]</f>
        <v>0</v>
      </c>
      <c r="U569" s="131" t="str">
        <f>DataTable[HLD_Portfolio]&amp;DataTable[HLD_Date]</f>
        <v>SCBRM243397</v>
      </c>
      <c r="V569" t="str">
        <f>DataTable[[#This Row],[RefRng]]&amp;DataTable[[#This Row],[HLD_SecCode]]</f>
        <v>SCBRM243397</v>
      </c>
    </row>
    <row r="570" spans="1:22" x14ac:dyDescent="0.2">
      <c r="A570" s="131">
        <v>43397</v>
      </c>
      <c r="B570" t="s">
        <v>339</v>
      </c>
      <c r="C570" t="s">
        <v>120</v>
      </c>
      <c r="D570" t="s">
        <v>1281</v>
      </c>
      <c r="I570" s="131"/>
      <c r="J570" s="6">
        <v>-4182.17</v>
      </c>
      <c r="K570">
        <v>0</v>
      </c>
      <c r="O570">
        <v>0</v>
      </c>
      <c r="P570">
        <v>-6.7879999999999996E-7</v>
      </c>
      <c r="S570" s="131"/>
      <c r="T570" s="6">
        <f>DataTable[HLD_MaturityDate] - DataTable[SEC_Issue_Date]</f>
        <v>0</v>
      </c>
      <c r="U570" s="131" t="str">
        <f>DataTable[HLD_Portfolio]&amp;DataTable[HLD_Date]</f>
        <v>SCBRM243397</v>
      </c>
      <c r="V570" t="str">
        <f>DataTable[[#This Row],[RefRng]]&amp;DataTable[[#This Row],[HLD_SecCode]]</f>
        <v>SCBRM243397</v>
      </c>
    </row>
    <row r="571" spans="1:22" x14ac:dyDescent="0.2">
      <c r="A571" s="131">
        <v>43397</v>
      </c>
      <c r="B571" t="s">
        <v>339</v>
      </c>
      <c r="C571" t="s">
        <v>120</v>
      </c>
      <c r="D571" t="s">
        <v>125</v>
      </c>
      <c r="E571" t="s">
        <v>125</v>
      </c>
      <c r="I571" s="131"/>
      <c r="J571" s="6">
        <v>-119215.67999999999</v>
      </c>
      <c r="L571">
        <v>-119215.67999999999</v>
      </c>
      <c r="O571">
        <v>0</v>
      </c>
      <c r="P571">
        <v>-1.9349999999999999E-5</v>
      </c>
      <c r="S571" s="131"/>
      <c r="T571" s="6">
        <f>DataTable[HLD_MaturityDate] - DataTable[SEC_Issue_Date]</f>
        <v>0</v>
      </c>
      <c r="U571" s="131" t="str">
        <f>DataTable[HLD_Portfolio]&amp;DataTable[HLD_Date]</f>
        <v>SCBRM243397</v>
      </c>
      <c r="V571" t="str">
        <f>DataTable[[#This Row],[RefRng]]&amp;DataTable[[#This Row],[HLD_SecCode]]</f>
        <v>SCBRM243397</v>
      </c>
    </row>
    <row r="572" spans="1:22" x14ac:dyDescent="0.2">
      <c r="A572" s="131">
        <v>43397</v>
      </c>
      <c r="B572" t="s">
        <v>339</v>
      </c>
      <c r="C572" t="s">
        <v>120</v>
      </c>
      <c r="D572" t="s">
        <v>126</v>
      </c>
      <c r="E572" t="s">
        <v>126</v>
      </c>
      <c r="I572" s="131"/>
      <c r="J572" s="6">
        <v>-2259137.33</v>
      </c>
      <c r="L572">
        <v>-2259137.33</v>
      </c>
      <c r="O572">
        <v>0</v>
      </c>
      <c r="P572">
        <v>-3.6668319999999999E-4</v>
      </c>
      <c r="S572" s="131"/>
      <c r="T572" s="6">
        <f>DataTable[HLD_MaturityDate] - DataTable[SEC_Issue_Date]</f>
        <v>0</v>
      </c>
      <c r="U572" s="131" t="str">
        <f>DataTable[HLD_Portfolio]&amp;DataTable[HLD_Date]</f>
        <v>SCBRM243397</v>
      </c>
      <c r="V572" t="str">
        <f>DataTable[[#This Row],[RefRng]]&amp;DataTable[[#This Row],[HLD_SecCode]]</f>
        <v>SCBRM243397</v>
      </c>
    </row>
    <row r="573" spans="1:22" x14ac:dyDescent="0.2">
      <c r="A573" s="131">
        <v>43397</v>
      </c>
      <c r="B573" t="s">
        <v>339</v>
      </c>
      <c r="C573" t="s">
        <v>120</v>
      </c>
      <c r="D573" t="s">
        <v>567</v>
      </c>
      <c r="E573" t="s">
        <v>567</v>
      </c>
      <c r="I573" s="131"/>
      <c r="J573" s="6">
        <v>-397385.62</v>
      </c>
      <c r="L573">
        <v>-397385.62</v>
      </c>
      <c r="O573">
        <v>0</v>
      </c>
      <c r="P573">
        <v>-6.4500100000000003E-5</v>
      </c>
      <c r="S573" s="131"/>
      <c r="T573" s="6">
        <f>DataTable[HLD_MaturityDate] - DataTable[SEC_Issue_Date]</f>
        <v>0</v>
      </c>
      <c r="U573" s="131" t="str">
        <f>DataTable[HLD_Portfolio]&amp;DataTable[HLD_Date]</f>
        <v>SCBRM243397</v>
      </c>
      <c r="V573" t="str">
        <f>DataTable[[#This Row],[RefRng]]&amp;DataTable[[#This Row],[HLD_SecCode]]</f>
        <v>SCBRM243397</v>
      </c>
    </row>
    <row r="574" spans="1:22" x14ac:dyDescent="0.2">
      <c r="A574" s="131">
        <v>43397</v>
      </c>
      <c r="B574" t="s">
        <v>339</v>
      </c>
      <c r="C574" t="s">
        <v>120</v>
      </c>
      <c r="D574" t="s">
        <v>127</v>
      </c>
      <c r="E574" t="s">
        <v>127</v>
      </c>
      <c r="I574" s="131"/>
      <c r="J574" s="6">
        <v>0</v>
      </c>
      <c r="L574">
        <v>0</v>
      </c>
      <c r="O574">
        <v>0</v>
      </c>
      <c r="P574">
        <v>0</v>
      </c>
      <c r="S574" s="131"/>
      <c r="T574" s="6">
        <f>DataTable[HLD_MaturityDate] - DataTable[SEC_Issue_Date]</f>
        <v>0</v>
      </c>
      <c r="U574" s="131" t="str">
        <f>DataTable[HLD_Portfolio]&amp;DataTable[HLD_Date]</f>
        <v>SCBRM243397</v>
      </c>
      <c r="V574" t="str">
        <f>DataTable[[#This Row],[RefRng]]&amp;DataTable[[#This Row],[HLD_SecCode]]</f>
        <v>SCBRM243397</v>
      </c>
    </row>
    <row r="575" spans="1:22" x14ac:dyDescent="0.2">
      <c r="A575" s="131">
        <v>43397</v>
      </c>
      <c r="B575" t="s">
        <v>339</v>
      </c>
      <c r="C575" t="s">
        <v>128</v>
      </c>
      <c r="D575" t="s">
        <v>125</v>
      </c>
      <c r="E575" t="s">
        <v>125</v>
      </c>
      <c r="I575" s="131"/>
      <c r="J575" s="6">
        <v>-10837.06</v>
      </c>
      <c r="L575">
        <v>-10837.06</v>
      </c>
      <c r="O575">
        <v>0</v>
      </c>
      <c r="P575">
        <v>-1.759E-6</v>
      </c>
      <c r="S575" s="131"/>
      <c r="T575" s="6">
        <f>DataTable[HLD_MaturityDate] - DataTable[SEC_Issue_Date]</f>
        <v>0</v>
      </c>
      <c r="U575" s="131" t="str">
        <f>DataTable[HLD_Portfolio]&amp;DataTable[HLD_Date]</f>
        <v>SCBRM243397</v>
      </c>
      <c r="V575" t="str">
        <f>DataTable[[#This Row],[RefRng]]&amp;DataTable[[#This Row],[HLD_SecCode]]</f>
        <v>SCBRM243397</v>
      </c>
    </row>
    <row r="576" spans="1:22" x14ac:dyDescent="0.2">
      <c r="A576" s="131">
        <v>43397</v>
      </c>
      <c r="B576" t="s">
        <v>339</v>
      </c>
      <c r="C576" t="s">
        <v>128</v>
      </c>
      <c r="D576" t="s">
        <v>126</v>
      </c>
      <c r="E576" t="s">
        <v>126</v>
      </c>
      <c r="I576" s="131"/>
      <c r="J576" s="6">
        <v>-205362.34</v>
      </c>
      <c r="L576">
        <v>-205362.34</v>
      </c>
      <c r="O576">
        <v>0</v>
      </c>
      <c r="P576">
        <v>-3.33326E-5</v>
      </c>
      <c r="S576" s="131"/>
      <c r="T576" s="6">
        <f>DataTable[HLD_MaturityDate] - DataTable[SEC_Issue_Date]</f>
        <v>0</v>
      </c>
      <c r="U576" s="131" t="str">
        <f>DataTable[HLD_Portfolio]&amp;DataTable[HLD_Date]</f>
        <v>SCBRM243397</v>
      </c>
      <c r="V576" t="str">
        <f>DataTable[[#This Row],[RefRng]]&amp;DataTable[[#This Row],[HLD_SecCode]]</f>
        <v>SCBRM243397</v>
      </c>
    </row>
    <row r="577" spans="1:22" x14ac:dyDescent="0.2">
      <c r="A577" s="131">
        <v>43397</v>
      </c>
      <c r="B577" t="s">
        <v>339</v>
      </c>
      <c r="C577" t="s">
        <v>128</v>
      </c>
      <c r="D577" t="s">
        <v>567</v>
      </c>
      <c r="E577" t="s">
        <v>567</v>
      </c>
      <c r="I577" s="131"/>
      <c r="J577" s="6">
        <v>-36123.54</v>
      </c>
      <c r="L577">
        <v>-36123.54</v>
      </c>
      <c r="O577">
        <v>0</v>
      </c>
      <c r="P577">
        <v>-5.8633000000000003E-6</v>
      </c>
      <c r="S577" s="131"/>
      <c r="T577" s="6">
        <f>DataTable[HLD_MaturityDate] - DataTable[SEC_Issue_Date]</f>
        <v>0</v>
      </c>
      <c r="U577" s="131" t="str">
        <f>DataTable[HLD_Portfolio]&amp;DataTable[HLD_Date]</f>
        <v>SCBRM243397</v>
      </c>
      <c r="V577" t="str">
        <f>DataTable[[#This Row],[RefRng]]&amp;DataTable[[#This Row],[HLD_SecCode]]</f>
        <v>SCBRM243397</v>
      </c>
    </row>
    <row r="578" spans="1:22" x14ac:dyDescent="0.2">
      <c r="A578" s="131">
        <v>43397</v>
      </c>
      <c r="B578" t="s">
        <v>339</v>
      </c>
      <c r="C578" t="s">
        <v>128</v>
      </c>
      <c r="D578" t="s">
        <v>127</v>
      </c>
      <c r="E578" t="s">
        <v>127</v>
      </c>
      <c r="I578" s="131"/>
      <c r="J578" s="6">
        <v>0</v>
      </c>
      <c r="L578">
        <v>0</v>
      </c>
      <c r="O578">
        <v>0</v>
      </c>
      <c r="P578">
        <v>0</v>
      </c>
      <c r="S578" s="131"/>
      <c r="T578" s="6">
        <f>DataTable[HLD_MaturityDate] - DataTable[SEC_Issue_Date]</f>
        <v>0</v>
      </c>
      <c r="U578" s="131" t="str">
        <f>DataTable[HLD_Portfolio]&amp;DataTable[HLD_Date]</f>
        <v>SCBRM243397</v>
      </c>
      <c r="V578" t="str">
        <f>DataTable[[#This Row],[RefRng]]&amp;DataTable[[#This Row],[HLD_SecCode]]</f>
        <v>SCBRM243397</v>
      </c>
    </row>
    <row r="579" spans="1:22" x14ac:dyDescent="0.2">
      <c r="A579" s="131">
        <v>43397</v>
      </c>
      <c r="B579" t="s">
        <v>335</v>
      </c>
      <c r="C579" t="s">
        <v>18</v>
      </c>
      <c r="D579" t="s">
        <v>19</v>
      </c>
      <c r="F579" t="s">
        <v>20</v>
      </c>
      <c r="G579" t="s">
        <v>137</v>
      </c>
      <c r="I579" s="131"/>
      <c r="J579" s="6">
        <v>9904558.8399999999</v>
      </c>
      <c r="K579">
        <v>17943.43</v>
      </c>
      <c r="L579">
        <v>9904558.8399999999</v>
      </c>
      <c r="M579">
        <v>0</v>
      </c>
      <c r="N579">
        <v>0</v>
      </c>
      <c r="O579">
        <v>0</v>
      </c>
      <c r="P579">
        <v>1.7905840000000001E-4</v>
      </c>
      <c r="Q579" t="s">
        <v>22</v>
      </c>
      <c r="R579" t="s">
        <v>23</v>
      </c>
      <c r="S579" s="131">
        <v>2</v>
      </c>
      <c r="T579" s="6">
        <f>DataTable[HLD_MaturityDate] - DataTable[SEC_Issue_Date]</f>
        <v>-2</v>
      </c>
      <c r="U579" s="131" t="str">
        <f>DataTable[HLD_Portfolio]&amp;DataTable[HLD_Date]</f>
        <v>SCBFPFUND43397</v>
      </c>
      <c r="V579" t="str">
        <f>DataTable[[#This Row],[RefRng]]&amp;DataTable[[#This Row],[HLD_SecCode]]</f>
        <v>SCBFPFUND43397CASH</v>
      </c>
    </row>
    <row r="580" spans="1:22" x14ac:dyDescent="0.2">
      <c r="A580" s="131">
        <v>43397</v>
      </c>
      <c r="B580" t="s">
        <v>335</v>
      </c>
      <c r="C580" t="s">
        <v>18</v>
      </c>
      <c r="D580" t="s">
        <v>19</v>
      </c>
      <c r="F580" t="s">
        <v>133</v>
      </c>
      <c r="G580" t="s">
        <v>134</v>
      </c>
      <c r="I580" s="131"/>
      <c r="J580" s="6">
        <v>0</v>
      </c>
      <c r="L580">
        <v>0</v>
      </c>
      <c r="M580">
        <v>0</v>
      </c>
      <c r="N580">
        <v>0</v>
      </c>
      <c r="O580">
        <v>0</v>
      </c>
      <c r="P580">
        <v>0</v>
      </c>
      <c r="Q580" t="s">
        <v>22</v>
      </c>
      <c r="R580" t="s">
        <v>135</v>
      </c>
      <c r="S580" s="131">
        <v>2</v>
      </c>
      <c r="T580" s="6">
        <f>DataTable[HLD_MaturityDate] - DataTable[SEC_Issue_Date]</f>
        <v>-2</v>
      </c>
      <c r="U580" s="131" t="str">
        <f>DataTable[HLD_Portfolio]&amp;DataTable[HLD_Date]</f>
        <v>SCBFPFUND43397</v>
      </c>
      <c r="V580" t="str">
        <f>DataTable[[#This Row],[RefRng]]&amp;DataTable[[#This Row],[HLD_SecCode]]</f>
        <v>SCBFPFUND43397-AED CASH-</v>
      </c>
    </row>
    <row r="581" spans="1:22" x14ac:dyDescent="0.2">
      <c r="A581" s="131">
        <v>43397</v>
      </c>
      <c r="B581" t="s">
        <v>335</v>
      </c>
      <c r="C581" t="s">
        <v>18</v>
      </c>
      <c r="D581" t="s">
        <v>19</v>
      </c>
      <c r="F581" t="s">
        <v>25</v>
      </c>
      <c r="G581" t="s">
        <v>26</v>
      </c>
      <c r="H581" t="s">
        <v>27</v>
      </c>
      <c r="I581" s="131"/>
      <c r="J581" s="6">
        <v>0</v>
      </c>
      <c r="L581">
        <v>0</v>
      </c>
      <c r="M581">
        <v>0</v>
      </c>
      <c r="N581">
        <v>0</v>
      </c>
      <c r="O581">
        <v>0</v>
      </c>
      <c r="P581">
        <v>0</v>
      </c>
      <c r="Q581" t="s">
        <v>22</v>
      </c>
      <c r="R581" t="s">
        <v>28</v>
      </c>
      <c r="S581" s="131">
        <v>2</v>
      </c>
      <c r="T581" s="6">
        <f>DataTable[HLD_MaturityDate] - DataTable[SEC_Issue_Date]</f>
        <v>-2</v>
      </c>
      <c r="U581" s="131" t="str">
        <f>DataTable[HLD_Portfolio]&amp;DataTable[HLD_Date]</f>
        <v>SCBFPFUND43397</v>
      </c>
      <c r="V581" t="str">
        <f>DataTable[[#This Row],[RefRng]]&amp;DataTable[[#This Row],[HLD_SecCode]]</f>
        <v>SCBFPFUND43397-CNY CASH-</v>
      </c>
    </row>
    <row r="582" spans="1:22" x14ac:dyDescent="0.2">
      <c r="A582" s="131">
        <v>43397</v>
      </c>
      <c r="B582" t="s">
        <v>335</v>
      </c>
      <c r="C582" t="s">
        <v>18</v>
      </c>
      <c r="D582" t="s">
        <v>19</v>
      </c>
      <c r="F582" t="s">
        <v>30</v>
      </c>
      <c r="G582" t="s">
        <v>26</v>
      </c>
      <c r="H582" t="s">
        <v>27</v>
      </c>
      <c r="I582" s="131"/>
      <c r="J582" s="6">
        <v>0</v>
      </c>
      <c r="L582">
        <v>0</v>
      </c>
      <c r="M582">
        <v>0</v>
      </c>
      <c r="N582">
        <v>0</v>
      </c>
      <c r="O582">
        <v>0</v>
      </c>
      <c r="P582">
        <v>0</v>
      </c>
      <c r="Q582" t="s">
        <v>22</v>
      </c>
      <c r="R582" t="s">
        <v>31</v>
      </c>
      <c r="S582" s="131">
        <v>2</v>
      </c>
      <c r="T582" s="6">
        <f>DataTable[HLD_MaturityDate] - DataTable[SEC_Issue_Date]</f>
        <v>-2</v>
      </c>
      <c r="U582" s="131" t="str">
        <f>DataTable[HLD_Portfolio]&amp;DataTable[HLD_Date]</f>
        <v>SCBFPFUND43397</v>
      </c>
      <c r="V582" t="str">
        <f>DataTable[[#This Row],[RefRng]]&amp;DataTable[[#This Row],[HLD_SecCode]]</f>
        <v>SCBFPFUND43397-EUR CASH-</v>
      </c>
    </row>
    <row r="583" spans="1:22" x14ac:dyDescent="0.2">
      <c r="A583" s="131">
        <v>43397</v>
      </c>
      <c r="B583" t="s">
        <v>335</v>
      </c>
      <c r="C583" t="s">
        <v>18</v>
      </c>
      <c r="D583" t="s">
        <v>19</v>
      </c>
      <c r="F583" t="s">
        <v>136</v>
      </c>
      <c r="G583" t="s">
        <v>137</v>
      </c>
      <c r="H583" t="s">
        <v>27</v>
      </c>
      <c r="I583" s="131"/>
      <c r="J583" s="6">
        <v>0</v>
      </c>
      <c r="L583">
        <v>0</v>
      </c>
      <c r="M583">
        <v>0</v>
      </c>
      <c r="N583">
        <v>0</v>
      </c>
      <c r="O583">
        <v>0</v>
      </c>
      <c r="P583">
        <v>0</v>
      </c>
      <c r="Q583" t="s">
        <v>22</v>
      </c>
      <c r="R583" t="s">
        <v>138</v>
      </c>
      <c r="S583" s="131">
        <v>2</v>
      </c>
      <c r="T583" s="6">
        <f>DataTable[HLD_MaturityDate] - DataTable[SEC_Issue_Date]</f>
        <v>-2</v>
      </c>
      <c r="U583" s="131" t="str">
        <f>DataTable[HLD_Portfolio]&amp;DataTable[HLD_Date]</f>
        <v>SCBFPFUND43397</v>
      </c>
      <c r="V583" t="str">
        <f>DataTable[[#This Row],[RefRng]]&amp;DataTable[[#This Row],[HLD_SecCode]]</f>
        <v>SCBFPFUND43397-GBP CASH-</v>
      </c>
    </row>
    <row r="584" spans="1:22" x14ac:dyDescent="0.2">
      <c r="A584" s="131">
        <v>43397</v>
      </c>
      <c r="B584" t="s">
        <v>335</v>
      </c>
      <c r="C584" t="s">
        <v>18</v>
      </c>
      <c r="D584" t="s">
        <v>19</v>
      </c>
      <c r="F584" t="s">
        <v>32</v>
      </c>
      <c r="G584" t="s">
        <v>26</v>
      </c>
      <c r="H584" t="s">
        <v>27</v>
      </c>
      <c r="I584" s="131"/>
      <c r="J584" s="6">
        <v>0</v>
      </c>
      <c r="L584">
        <v>0</v>
      </c>
      <c r="M584">
        <v>0</v>
      </c>
      <c r="N584">
        <v>0</v>
      </c>
      <c r="O584">
        <v>0</v>
      </c>
      <c r="P584">
        <v>0</v>
      </c>
      <c r="Q584" t="s">
        <v>22</v>
      </c>
      <c r="R584" t="s">
        <v>33</v>
      </c>
      <c r="S584" s="131">
        <v>2</v>
      </c>
      <c r="T584" s="6">
        <f>DataTable[HLD_MaturityDate] - DataTable[SEC_Issue_Date]</f>
        <v>-2</v>
      </c>
      <c r="U584" s="131" t="str">
        <f>DataTable[HLD_Portfolio]&amp;DataTable[HLD_Date]</f>
        <v>SCBFPFUND43397</v>
      </c>
      <c r="V584" t="str">
        <f>DataTable[[#This Row],[RefRng]]&amp;DataTable[[#This Row],[HLD_SecCode]]</f>
        <v>SCBFPFUND43397-HKD CASH-</v>
      </c>
    </row>
    <row r="585" spans="1:22" x14ac:dyDescent="0.2">
      <c r="A585" s="131">
        <v>43397</v>
      </c>
      <c r="B585" t="s">
        <v>335</v>
      </c>
      <c r="C585" t="s">
        <v>18</v>
      </c>
      <c r="D585" t="s">
        <v>19</v>
      </c>
      <c r="F585" t="s">
        <v>139</v>
      </c>
      <c r="G585" t="s">
        <v>26</v>
      </c>
      <c r="H585" t="s">
        <v>27</v>
      </c>
      <c r="I585" s="131"/>
      <c r="J585" s="6">
        <v>0</v>
      </c>
      <c r="L585">
        <v>0</v>
      </c>
      <c r="M585">
        <v>0</v>
      </c>
      <c r="N585">
        <v>0</v>
      </c>
      <c r="O585">
        <v>0</v>
      </c>
      <c r="P585">
        <v>0</v>
      </c>
      <c r="Q585" t="s">
        <v>22</v>
      </c>
      <c r="R585" t="s">
        <v>140</v>
      </c>
      <c r="S585" s="131">
        <v>2</v>
      </c>
      <c r="T585" s="6">
        <f>DataTable[HLD_MaturityDate] - DataTable[SEC_Issue_Date]</f>
        <v>-2</v>
      </c>
      <c r="U585" s="131" t="str">
        <f>DataTable[HLD_Portfolio]&amp;DataTable[HLD_Date]</f>
        <v>SCBFPFUND43397</v>
      </c>
      <c r="V585" t="str">
        <f>DataTable[[#This Row],[RefRng]]&amp;DataTable[[#This Row],[HLD_SecCode]]</f>
        <v>SCBFPFUND43397-JPY CASH-</v>
      </c>
    </row>
    <row r="586" spans="1:22" x14ac:dyDescent="0.2">
      <c r="A586" s="131">
        <v>43397</v>
      </c>
      <c r="B586" t="s">
        <v>335</v>
      </c>
      <c r="C586" t="s">
        <v>18</v>
      </c>
      <c r="D586" t="s">
        <v>19</v>
      </c>
      <c r="F586" t="s">
        <v>36</v>
      </c>
      <c r="G586" t="s">
        <v>26</v>
      </c>
      <c r="H586" t="s">
        <v>27</v>
      </c>
      <c r="I586" s="131"/>
      <c r="J586" s="6">
        <v>0</v>
      </c>
      <c r="L586">
        <v>0</v>
      </c>
      <c r="M586">
        <v>0</v>
      </c>
      <c r="N586">
        <v>0</v>
      </c>
      <c r="O586">
        <v>0</v>
      </c>
      <c r="P586">
        <v>0</v>
      </c>
      <c r="Q586" t="s">
        <v>22</v>
      </c>
      <c r="R586" t="s">
        <v>37</v>
      </c>
      <c r="S586" s="131">
        <v>2</v>
      </c>
      <c r="T586" s="6">
        <f>DataTable[HLD_MaturityDate] - DataTable[SEC_Issue_Date]</f>
        <v>-2</v>
      </c>
      <c r="U586" s="131" t="str">
        <f>DataTable[HLD_Portfolio]&amp;DataTable[HLD_Date]</f>
        <v>SCBFPFUND43397</v>
      </c>
      <c r="V586" t="str">
        <f>DataTable[[#This Row],[RefRng]]&amp;DataTable[[#This Row],[HLD_SecCode]]</f>
        <v>SCBFPFUND43397-US CASH-</v>
      </c>
    </row>
    <row r="587" spans="1:22" x14ac:dyDescent="0.2">
      <c r="A587" s="131">
        <v>43397</v>
      </c>
      <c r="B587" t="s">
        <v>335</v>
      </c>
      <c r="C587" t="s">
        <v>18</v>
      </c>
      <c r="D587" t="s">
        <v>38</v>
      </c>
      <c r="F587" t="s">
        <v>143</v>
      </c>
      <c r="G587" t="s">
        <v>144</v>
      </c>
      <c r="H587" t="s">
        <v>47</v>
      </c>
      <c r="I587" s="131">
        <v>43481</v>
      </c>
      <c r="J587" s="6">
        <v>657135113.60000002</v>
      </c>
      <c r="K587">
        <v>12878783.33</v>
      </c>
      <c r="L587">
        <v>657281989.47000003</v>
      </c>
      <c r="N587">
        <v>20000000</v>
      </c>
      <c r="O587">
        <v>2.6850000000000001</v>
      </c>
      <c r="P587">
        <v>1.20908604E-2</v>
      </c>
      <c r="Q587" t="s">
        <v>42</v>
      </c>
      <c r="R587" t="s">
        <v>37</v>
      </c>
      <c r="S587" s="131">
        <v>43116</v>
      </c>
      <c r="T587" s="6">
        <f>DataTable[HLD_MaturityDate] - DataTable[SEC_Issue_Date]</f>
        <v>365</v>
      </c>
      <c r="U587" s="131" t="str">
        <f>DataTable[HLD_Portfolio]&amp;DataTable[HLD_Date]</f>
        <v>SCBFPFUND43397</v>
      </c>
      <c r="V587" t="str">
        <f>DataTable[[#This Row],[RefRng]]&amp;DataTable[[#This Row],[HLD_SecCode]]</f>
        <v>SCBFPFUND43397CD12MICBCD16119</v>
      </c>
    </row>
    <row r="588" spans="1:22" x14ac:dyDescent="0.2">
      <c r="A588" s="131">
        <v>43397</v>
      </c>
      <c r="B588" t="s">
        <v>335</v>
      </c>
      <c r="C588" t="s">
        <v>18</v>
      </c>
      <c r="D588" t="s">
        <v>38</v>
      </c>
      <c r="F588" t="s">
        <v>145</v>
      </c>
      <c r="G588" t="s">
        <v>40</v>
      </c>
      <c r="H588" t="s">
        <v>41</v>
      </c>
      <c r="I588" s="131">
        <v>43602</v>
      </c>
      <c r="J588" s="6">
        <v>1500000000</v>
      </c>
      <c r="K588">
        <v>10917123.289999999</v>
      </c>
      <c r="L588">
        <v>1500000000</v>
      </c>
      <c r="M588">
        <v>0.55652400000000002</v>
      </c>
      <c r="N588">
        <v>1500000000</v>
      </c>
      <c r="O588">
        <v>1.65</v>
      </c>
      <c r="P588">
        <v>2.7265535899999999E-2</v>
      </c>
      <c r="Q588" t="s">
        <v>42</v>
      </c>
      <c r="R588" t="s">
        <v>23</v>
      </c>
      <c r="S588" s="131">
        <v>43237</v>
      </c>
      <c r="T588" s="6">
        <f>DataTable[HLD_MaturityDate] - DataTable[SEC_Issue_Date]</f>
        <v>365</v>
      </c>
      <c r="U588" s="131" t="str">
        <f>DataTable[HLD_Portfolio]&amp;DataTable[HLD_Date]</f>
        <v>SCBFPFUND43397</v>
      </c>
      <c r="V588" t="str">
        <f>DataTable[[#This Row],[RefRng]]&amp;DataTable[[#This Row],[HLD_SecCode]]</f>
        <v>SCBFPFUND43397CD12MTBANK17519</v>
      </c>
    </row>
    <row r="589" spans="1:22" x14ac:dyDescent="0.2">
      <c r="A589" s="131">
        <v>43397</v>
      </c>
      <c r="B589" t="s">
        <v>335</v>
      </c>
      <c r="C589" t="s">
        <v>18</v>
      </c>
      <c r="D589" t="s">
        <v>38</v>
      </c>
      <c r="F589" t="s">
        <v>611</v>
      </c>
      <c r="G589" t="s">
        <v>40</v>
      </c>
      <c r="H589" t="s">
        <v>41</v>
      </c>
      <c r="I589" s="131">
        <v>43581</v>
      </c>
      <c r="J589" s="6">
        <v>400000000</v>
      </c>
      <c r="K589">
        <v>2975342.47</v>
      </c>
      <c r="L589">
        <v>400000000</v>
      </c>
      <c r="M589">
        <v>0.50035399999999997</v>
      </c>
      <c r="N589">
        <v>400000000</v>
      </c>
      <c r="O589">
        <v>1.5</v>
      </c>
      <c r="P589">
        <v>7.2719665000000001E-3</v>
      </c>
      <c r="Q589" t="s">
        <v>42</v>
      </c>
      <c r="R589" t="s">
        <v>23</v>
      </c>
      <c r="S589" s="131">
        <v>43217</v>
      </c>
      <c r="T589" s="6">
        <f>DataTable[HLD_MaturityDate] - DataTable[SEC_Issue_Date]</f>
        <v>364</v>
      </c>
      <c r="U589" s="131" t="str">
        <f>DataTable[HLD_Portfolio]&amp;DataTable[HLD_Date]</f>
        <v>SCBFPFUND43397</v>
      </c>
      <c r="V589" t="str">
        <f>DataTable[[#This Row],[RefRng]]&amp;DataTable[[#This Row],[HLD_SecCode]]</f>
        <v>SCBFPFUND43397CD12MTBANK26419</v>
      </c>
    </row>
    <row r="590" spans="1:22" x14ac:dyDescent="0.2">
      <c r="A590" s="131">
        <v>43397</v>
      </c>
      <c r="B590" t="s">
        <v>335</v>
      </c>
      <c r="C590" t="s">
        <v>18</v>
      </c>
      <c r="D590" t="s">
        <v>38</v>
      </c>
      <c r="F590" t="s">
        <v>148</v>
      </c>
      <c r="G590" t="s">
        <v>147</v>
      </c>
      <c r="H590" t="s">
        <v>47</v>
      </c>
      <c r="I590" s="131">
        <v>43441</v>
      </c>
      <c r="J590" s="6">
        <v>1126143000</v>
      </c>
      <c r="L590">
        <v>1126156451.3099999</v>
      </c>
      <c r="N590">
        <v>30000000</v>
      </c>
      <c r="O590">
        <v>-0.01</v>
      </c>
      <c r="P590">
        <v>2.03220229E-2</v>
      </c>
      <c r="Q590" t="s">
        <v>42</v>
      </c>
      <c r="R590" t="s">
        <v>31</v>
      </c>
      <c r="S590" s="131">
        <v>43076</v>
      </c>
      <c r="T590" s="6">
        <f>DataTable[HLD_MaturityDate] - DataTable[SEC_Issue_Date]</f>
        <v>365</v>
      </c>
      <c r="U590" s="131" t="str">
        <f>DataTable[HLD_Portfolio]&amp;DataTable[HLD_Date]</f>
        <v>SCBFPFUND43397</v>
      </c>
      <c r="V590" t="str">
        <f>DataTable[[#This Row],[RefRng]]&amp;DataTable[[#This Row],[HLD_SecCode]]</f>
        <v>SCBFPFUND43397CD1YBOCHK071218</v>
      </c>
    </row>
    <row r="591" spans="1:22" x14ac:dyDescent="0.2">
      <c r="A591" s="131">
        <v>43397</v>
      </c>
      <c r="B591" t="s">
        <v>335</v>
      </c>
      <c r="C591" t="s">
        <v>18</v>
      </c>
      <c r="D591" t="s">
        <v>38</v>
      </c>
      <c r="F591" t="s">
        <v>612</v>
      </c>
      <c r="G591" t="s">
        <v>147</v>
      </c>
      <c r="H591" t="s">
        <v>47</v>
      </c>
      <c r="I591" s="131">
        <v>43434</v>
      </c>
      <c r="J591" s="6">
        <v>1126143000</v>
      </c>
      <c r="L591">
        <v>1126154261.54</v>
      </c>
      <c r="N591">
        <v>30000000</v>
      </c>
      <c r="O591">
        <v>-0.01</v>
      </c>
      <c r="P591">
        <v>2.03220229E-2</v>
      </c>
      <c r="Q591" t="s">
        <v>42</v>
      </c>
      <c r="R591" t="s">
        <v>31</v>
      </c>
      <c r="S591" s="131">
        <v>43070</v>
      </c>
      <c r="T591" s="6">
        <f>DataTable[HLD_MaturityDate] - DataTable[SEC_Issue_Date]</f>
        <v>364</v>
      </c>
      <c r="U591" s="131" t="str">
        <f>DataTable[HLD_Portfolio]&amp;DataTable[HLD_Date]</f>
        <v>SCBFPFUND43397</v>
      </c>
      <c r="V591" t="str">
        <f>DataTable[[#This Row],[RefRng]]&amp;DataTable[[#This Row],[HLD_SecCode]]</f>
        <v>SCBFPFUND43397CD1YBOCHK301118</v>
      </c>
    </row>
    <row r="592" spans="1:22" x14ac:dyDescent="0.2">
      <c r="A592" s="131">
        <v>43397</v>
      </c>
      <c r="B592" t="s">
        <v>335</v>
      </c>
      <c r="C592" t="s">
        <v>18</v>
      </c>
      <c r="D592" t="s">
        <v>38</v>
      </c>
      <c r="F592" t="s">
        <v>613</v>
      </c>
      <c r="G592" t="s">
        <v>46</v>
      </c>
      <c r="H592" t="s">
        <v>47</v>
      </c>
      <c r="I592" s="131">
        <v>43504</v>
      </c>
      <c r="J592" s="6">
        <v>1876905000</v>
      </c>
      <c r="K592">
        <v>945230.21</v>
      </c>
      <c r="L592">
        <v>1950000000</v>
      </c>
      <c r="M592">
        <v>0.29715999999999998</v>
      </c>
      <c r="N592">
        <v>50000000</v>
      </c>
      <c r="O592">
        <v>7.0000000000000007E-2</v>
      </c>
      <c r="P592">
        <v>3.3887095499999999E-2</v>
      </c>
      <c r="Q592" t="s">
        <v>42</v>
      </c>
      <c r="R592" t="s">
        <v>31</v>
      </c>
      <c r="S592" s="131">
        <v>43139</v>
      </c>
      <c r="T592" s="6">
        <f>DataTable[HLD_MaturityDate] - DataTable[SEC_Issue_Date]</f>
        <v>365</v>
      </c>
      <c r="U592" s="131" t="str">
        <f>DataTable[HLD_Portfolio]&amp;DataTable[HLD_Date]</f>
        <v>SCBFPFUND43397</v>
      </c>
      <c r="V592" t="str">
        <f>DataTable[[#This Row],[RefRng]]&amp;DataTable[[#This Row],[HLD_SecCode]]</f>
        <v>SCBFPFUND43397F12MABCHK080219</v>
      </c>
    </row>
    <row r="593" spans="1:22" x14ac:dyDescent="0.2">
      <c r="A593" s="131">
        <v>43397</v>
      </c>
      <c r="B593" t="s">
        <v>335</v>
      </c>
      <c r="C593" t="s">
        <v>18</v>
      </c>
      <c r="D593" t="s">
        <v>38</v>
      </c>
      <c r="F593" t="s">
        <v>614</v>
      </c>
      <c r="G593" t="s">
        <v>46</v>
      </c>
      <c r="H593" t="s">
        <v>47</v>
      </c>
      <c r="I593" s="131">
        <v>43549</v>
      </c>
      <c r="J593" s="6">
        <v>563071500</v>
      </c>
      <c r="K593">
        <v>135762.79999999999</v>
      </c>
      <c r="L593">
        <v>575550000</v>
      </c>
      <c r="M593">
        <v>0.422151</v>
      </c>
      <c r="N593">
        <v>15000000</v>
      </c>
      <c r="O593">
        <v>0.04</v>
      </c>
      <c r="P593">
        <v>1.0163461400000001E-2</v>
      </c>
      <c r="Q593" t="s">
        <v>42</v>
      </c>
      <c r="R593" t="s">
        <v>31</v>
      </c>
      <c r="S593" s="131">
        <v>43181</v>
      </c>
      <c r="T593" s="6">
        <f>DataTable[HLD_MaturityDate] - DataTable[SEC_Issue_Date]</f>
        <v>368</v>
      </c>
      <c r="U593" s="131" t="str">
        <f>DataTable[HLD_Portfolio]&amp;DataTable[HLD_Date]</f>
        <v>SCBFPFUND43397</v>
      </c>
      <c r="V593" t="str">
        <f>DataTable[[#This Row],[RefRng]]&amp;DataTable[[#This Row],[HLD_SecCode]]</f>
        <v>SCBFPFUND43397F12MABCHK250319</v>
      </c>
    </row>
    <row r="594" spans="1:22" x14ac:dyDescent="0.2">
      <c r="A594" s="131">
        <v>43397</v>
      </c>
      <c r="B594" t="s">
        <v>335</v>
      </c>
      <c r="C594" t="s">
        <v>18</v>
      </c>
      <c r="D594" t="s">
        <v>38</v>
      </c>
      <c r="F594" t="s">
        <v>615</v>
      </c>
      <c r="G594" t="s">
        <v>50</v>
      </c>
      <c r="H594" t="s">
        <v>51</v>
      </c>
      <c r="I594" s="131">
        <v>43410</v>
      </c>
      <c r="J594" s="6">
        <v>986460000</v>
      </c>
      <c r="K594">
        <v>23148928</v>
      </c>
      <c r="L594">
        <v>994800000</v>
      </c>
      <c r="M594">
        <v>3.6080000000000001E-2</v>
      </c>
      <c r="N594">
        <v>30000000</v>
      </c>
      <c r="O594">
        <v>2.4</v>
      </c>
      <c r="P594">
        <v>1.8219085600000001E-2</v>
      </c>
      <c r="Q594" t="s">
        <v>42</v>
      </c>
      <c r="R594" t="s">
        <v>37</v>
      </c>
      <c r="S594" s="131">
        <v>43046</v>
      </c>
      <c r="T594" s="6">
        <f>DataTable[HLD_MaturityDate] - DataTable[SEC_Issue_Date]</f>
        <v>364</v>
      </c>
      <c r="U594" s="131" t="str">
        <f>DataTable[HLD_Portfolio]&amp;DataTable[HLD_Date]</f>
        <v>SCBFPFUND43397</v>
      </c>
      <c r="V594" t="str">
        <f>DataTable[[#This Row],[RefRng]]&amp;DataTable[[#This Row],[HLD_SecCode]]</f>
        <v>SCBFPFUND43397F12MADCB061118</v>
      </c>
    </row>
    <row r="595" spans="1:22" x14ac:dyDescent="0.2">
      <c r="A595" s="131">
        <v>43397</v>
      </c>
      <c r="B595" t="s">
        <v>335</v>
      </c>
      <c r="C595" t="s">
        <v>18</v>
      </c>
      <c r="D595" t="s">
        <v>38</v>
      </c>
      <c r="F595" t="s">
        <v>616</v>
      </c>
      <c r="G595" t="s">
        <v>53</v>
      </c>
      <c r="H595" t="s">
        <v>47</v>
      </c>
      <c r="I595" s="131">
        <v>43587</v>
      </c>
      <c r="J595" s="6">
        <v>1126143000</v>
      </c>
      <c r="K595">
        <v>383201.44</v>
      </c>
      <c r="L595">
        <v>1146000000</v>
      </c>
      <c r="M595">
        <v>0.52758300000000002</v>
      </c>
      <c r="N595">
        <v>30000000</v>
      </c>
      <c r="O595">
        <v>7.0000000000000007E-2</v>
      </c>
      <c r="P595">
        <v>2.0328938000000001E-2</v>
      </c>
      <c r="Q595" t="s">
        <v>42</v>
      </c>
      <c r="R595" t="s">
        <v>31</v>
      </c>
      <c r="S595" s="131">
        <v>43223</v>
      </c>
      <c r="T595" s="6">
        <f>DataTable[HLD_MaturityDate] - DataTable[SEC_Issue_Date]</f>
        <v>364</v>
      </c>
      <c r="U595" s="131" t="str">
        <f>DataTable[HLD_Portfolio]&amp;DataTable[HLD_Date]</f>
        <v>SCBFPFUND43397</v>
      </c>
      <c r="V595" t="str">
        <f>DataTable[[#This Row],[RefRng]]&amp;DataTable[[#This Row],[HLD_SecCode]]</f>
        <v>SCBFPFUND43397F12MBOCMC020519</v>
      </c>
    </row>
    <row r="596" spans="1:22" x14ac:dyDescent="0.2">
      <c r="A596" s="131">
        <v>43397</v>
      </c>
      <c r="B596" t="s">
        <v>335</v>
      </c>
      <c r="C596" t="s">
        <v>18</v>
      </c>
      <c r="D596" t="s">
        <v>38</v>
      </c>
      <c r="F596" t="s">
        <v>164</v>
      </c>
      <c r="G596" t="s">
        <v>53</v>
      </c>
      <c r="H596" t="s">
        <v>47</v>
      </c>
      <c r="I596" s="131">
        <v>43452</v>
      </c>
      <c r="J596" s="6">
        <v>328820000</v>
      </c>
      <c r="K596">
        <v>7595742</v>
      </c>
      <c r="L596">
        <v>327400000</v>
      </c>
      <c r="M596">
        <v>0.15216399999999999</v>
      </c>
      <c r="N596">
        <v>10000000</v>
      </c>
      <c r="O596">
        <v>2.7</v>
      </c>
      <c r="P596">
        <v>6.0708528000000001E-3</v>
      </c>
      <c r="Q596" t="s">
        <v>42</v>
      </c>
      <c r="R596" t="s">
        <v>37</v>
      </c>
      <c r="S596" s="131">
        <v>43090</v>
      </c>
      <c r="T596" s="6">
        <f>DataTable[HLD_MaturityDate] - DataTable[SEC_Issue_Date]</f>
        <v>362</v>
      </c>
      <c r="U596" s="131" t="str">
        <f>DataTable[HLD_Portfolio]&amp;DataTable[HLD_Date]</f>
        <v>SCBFPFUND43397</v>
      </c>
      <c r="V596" t="str">
        <f>DataTable[[#This Row],[RefRng]]&amp;DataTable[[#This Row],[HLD_SecCode]]</f>
        <v>SCBFPFUND43397F12MBOCMC181218</v>
      </c>
    </row>
    <row r="597" spans="1:22" x14ac:dyDescent="0.2">
      <c r="A597" s="131">
        <v>43397</v>
      </c>
      <c r="B597" t="s">
        <v>335</v>
      </c>
      <c r="C597" t="s">
        <v>18</v>
      </c>
      <c r="D597" t="s">
        <v>38</v>
      </c>
      <c r="F597" t="s">
        <v>617</v>
      </c>
      <c r="G597" t="s">
        <v>53</v>
      </c>
      <c r="H597" t="s">
        <v>47</v>
      </c>
      <c r="I597" s="131">
        <v>43728</v>
      </c>
      <c r="J597" s="6">
        <v>657640000</v>
      </c>
      <c r="K597">
        <v>2109928.33</v>
      </c>
      <c r="L597">
        <v>651600000</v>
      </c>
      <c r="M597">
        <v>0.89244999999999997</v>
      </c>
      <c r="N597">
        <v>20000000</v>
      </c>
      <c r="O597">
        <v>3.3</v>
      </c>
      <c r="P597">
        <v>1.190564E-2</v>
      </c>
      <c r="Q597" t="s">
        <v>42</v>
      </c>
      <c r="R597" t="s">
        <v>37</v>
      </c>
      <c r="S597" s="131">
        <v>43363</v>
      </c>
      <c r="T597" s="6">
        <f>DataTable[HLD_MaturityDate] - DataTable[SEC_Issue_Date]</f>
        <v>365</v>
      </c>
      <c r="U597" s="131" t="str">
        <f>DataTable[HLD_Portfolio]&amp;DataTable[HLD_Date]</f>
        <v>SCBFPFUND43397</v>
      </c>
      <c r="V597" t="str">
        <f>DataTable[[#This Row],[RefRng]]&amp;DataTable[[#This Row],[HLD_SecCode]]</f>
        <v>SCBFPFUND43397F12MBOCMC200919</v>
      </c>
    </row>
    <row r="598" spans="1:22" x14ac:dyDescent="0.2">
      <c r="A598" s="131">
        <v>43397</v>
      </c>
      <c r="B598" t="s">
        <v>335</v>
      </c>
      <c r="C598" t="s">
        <v>18</v>
      </c>
      <c r="D598" t="s">
        <v>38</v>
      </c>
      <c r="F598" t="s">
        <v>618</v>
      </c>
      <c r="G598" t="s">
        <v>57</v>
      </c>
      <c r="H598" t="s">
        <v>58</v>
      </c>
      <c r="I598" s="131">
        <v>43685</v>
      </c>
      <c r="J598" s="6">
        <v>230000000</v>
      </c>
      <c r="K598">
        <v>835561.64</v>
      </c>
      <c r="L598">
        <v>230000000</v>
      </c>
      <c r="M598">
        <v>0.77863400000000005</v>
      </c>
      <c r="N598">
        <v>230000000</v>
      </c>
      <c r="O598">
        <v>1.7</v>
      </c>
      <c r="P598">
        <v>4.1655859999999998E-3</v>
      </c>
      <c r="Q598" t="s">
        <v>42</v>
      </c>
      <c r="R598" t="s">
        <v>23</v>
      </c>
      <c r="S598" s="131">
        <v>43320</v>
      </c>
      <c r="T598" s="6">
        <f>DataTable[HLD_MaturityDate] - DataTable[SEC_Issue_Date]</f>
        <v>365</v>
      </c>
      <c r="U598" s="131" t="str">
        <f>DataTable[HLD_Portfolio]&amp;DataTable[HLD_Date]</f>
        <v>SCBFPFUND43397</v>
      </c>
      <c r="V598" t="str">
        <f>DataTable[[#This Row],[RefRng]]&amp;DataTable[[#This Row],[HLD_SecCode]]</f>
        <v>SCBFPFUND43397F12MGHB080819</v>
      </c>
    </row>
    <row r="599" spans="1:22" x14ac:dyDescent="0.2">
      <c r="A599" s="131">
        <v>43397</v>
      </c>
      <c r="B599" t="s">
        <v>335</v>
      </c>
      <c r="C599" t="s">
        <v>18</v>
      </c>
      <c r="D599" t="s">
        <v>38</v>
      </c>
      <c r="F599" t="s">
        <v>293</v>
      </c>
      <c r="G599" t="s">
        <v>57</v>
      </c>
      <c r="H599" t="s">
        <v>58</v>
      </c>
      <c r="I599" s="131">
        <v>43564</v>
      </c>
      <c r="J599" s="6">
        <v>1000000000</v>
      </c>
      <c r="K599">
        <v>8178082.1900000004</v>
      </c>
      <c r="L599">
        <v>1000000000</v>
      </c>
      <c r="M599">
        <v>0.45444099999999998</v>
      </c>
      <c r="N599">
        <v>1000000000</v>
      </c>
      <c r="O599">
        <v>1.5</v>
      </c>
      <c r="P599">
        <v>1.8193265E-2</v>
      </c>
      <c r="Q599" t="s">
        <v>42</v>
      </c>
      <c r="R599" t="s">
        <v>23</v>
      </c>
      <c r="S599" s="131">
        <v>43199</v>
      </c>
      <c r="T599" s="6">
        <f>DataTable[HLD_MaturityDate] - DataTable[SEC_Issue_Date]</f>
        <v>365</v>
      </c>
      <c r="U599" s="131" t="str">
        <f>DataTable[HLD_Portfolio]&amp;DataTable[HLD_Date]</f>
        <v>SCBFPFUND43397</v>
      </c>
      <c r="V599" t="str">
        <f>DataTable[[#This Row],[RefRng]]&amp;DataTable[[#This Row],[HLD_SecCode]]</f>
        <v>SCBFPFUND43397F12MGHB090419</v>
      </c>
    </row>
    <row r="600" spans="1:22" x14ac:dyDescent="0.2">
      <c r="A600" s="131">
        <v>43397</v>
      </c>
      <c r="B600" t="s">
        <v>335</v>
      </c>
      <c r="C600" t="s">
        <v>18</v>
      </c>
      <c r="D600" t="s">
        <v>38</v>
      </c>
      <c r="F600" t="s">
        <v>619</v>
      </c>
      <c r="G600" t="s">
        <v>57</v>
      </c>
      <c r="H600" t="s">
        <v>58</v>
      </c>
      <c r="I600" s="131">
        <v>43567</v>
      </c>
      <c r="J600" s="6">
        <v>1000000000</v>
      </c>
      <c r="K600">
        <v>8054794.5199999996</v>
      </c>
      <c r="L600">
        <v>1000000000</v>
      </c>
      <c r="M600">
        <v>0.46254800000000001</v>
      </c>
      <c r="N600">
        <v>1000000000</v>
      </c>
      <c r="O600">
        <v>1.5</v>
      </c>
      <c r="P600">
        <v>1.8191040200000001E-2</v>
      </c>
      <c r="Q600" t="s">
        <v>42</v>
      </c>
      <c r="R600" t="s">
        <v>23</v>
      </c>
      <c r="S600" s="131">
        <v>43202</v>
      </c>
      <c r="T600" s="6">
        <f>DataTable[HLD_MaturityDate] - DataTable[SEC_Issue_Date]</f>
        <v>365</v>
      </c>
      <c r="U600" s="131" t="str">
        <f>DataTable[HLD_Portfolio]&amp;DataTable[HLD_Date]</f>
        <v>SCBFPFUND43397</v>
      </c>
      <c r="V600" t="str">
        <f>DataTable[[#This Row],[RefRng]]&amp;DataTable[[#This Row],[HLD_SecCode]]</f>
        <v>SCBFPFUND43397F12MGHB120419</v>
      </c>
    </row>
    <row r="601" spans="1:22" x14ac:dyDescent="0.2">
      <c r="A601" s="131">
        <v>43397</v>
      </c>
      <c r="B601" t="s">
        <v>335</v>
      </c>
      <c r="C601" t="s">
        <v>18</v>
      </c>
      <c r="D601" t="s">
        <v>38</v>
      </c>
      <c r="F601" t="s">
        <v>620</v>
      </c>
      <c r="G601" t="s">
        <v>57</v>
      </c>
      <c r="H601" t="s">
        <v>58</v>
      </c>
      <c r="I601" s="131">
        <v>43574</v>
      </c>
      <c r="J601" s="6">
        <v>1000000000</v>
      </c>
      <c r="K601">
        <v>7767123.29</v>
      </c>
      <c r="L601">
        <v>1000000000</v>
      </c>
      <c r="M601">
        <v>0.481456</v>
      </c>
      <c r="N601">
        <v>1000000000</v>
      </c>
      <c r="O601">
        <v>1.5</v>
      </c>
      <c r="P601">
        <v>1.8185849E-2</v>
      </c>
      <c r="Q601" t="s">
        <v>42</v>
      </c>
      <c r="R601" t="s">
        <v>23</v>
      </c>
      <c r="S601" s="131">
        <v>43209</v>
      </c>
      <c r="T601" s="6">
        <f>DataTable[HLD_MaturityDate] - DataTable[SEC_Issue_Date]</f>
        <v>365</v>
      </c>
      <c r="U601" s="131" t="str">
        <f>DataTable[HLD_Portfolio]&amp;DataTable[HLD_Date]</f>
        <v>SCBFPFUND43397</v>
      </c>
      <c r="V601" t="str">
        <f>DataTable[[#This Row],[RefRng]]&amp;DataTable[[#This Row],[HLD_SecCode]]</f>
        <v>SCBFPFUND43397F12MGHB190419</v>
      </c>
    </row>
    <row r="602" spans="1:22" x14ac:dyDescent="0.2">
      <c r="A602" s="131">
        <v>43397</v>
      </c>
      <c r="B602" t="s">
        <v>335</v>
      </c>
      <c r="C602" t="s">
        <v>18</v>
      </c>
      <c r="D602" t="s">
        <v>38</v>
      </c>
      <c r="F602" t="s">
        <v>621</v>
      </c>
      <c r="G602" t="s">
        <v>57</v>
      </c>
      <c r="H602" t="s">
        <v>58</v>
      </c>
      <c r="I602" s="131">
        <v>43488</v>
      </c>
      <c r="J602" s="6">
        <v>280000000</v>
      </c>
      <c r="K602">
        <v>3375342.47</v>
      </c>
      <c r="L602">
        <v>280000000</v>
      </c>
      <c r="M602">
        <v>0.24832399999999999</v>
      </c>
      <c r="N602">
        <v>280000000</v>
      </c>
      <c r="O602">
        <v>1.6</v>
      </c>
      <c r="P602">
        <v>5.1137023999999996E-3</v>
      </c>
      <c r="Q602" t="s">
        <v>42</v>
      </c>
      <c r="R602" t="s">
        <v>23</v>
      </c>
      <c r="S602" s="131">
        <v>43123</v>
      </c>
      <c r="T602" s="6">
        <f>DataTable[HLD_MaturityDate] - DataTable[SEC_Issue_Date]</f>
        <v>365</v>
      </c>
      <c r="U602" s="131" t="str">
        <f>DataTable[HLD_Portfolio]&amp;DataTable[HLD_Date]</f>
        <v>SCBFPFUND43397</v>
      </c>
      <c r="V602" t="str">
        <f>DataTable[[#This Row],[RefRng]]&amp;DataTable[[#This Row],[HLD_SecCode]]</f>
        <v>SCBFPFUND43397F12MGHB230119</v>
      </c>
    </row>
    <row r="603" spans="1:22" x14ac:dyDescent="0.2">
      <c r="A603" s="131">
        <v>43397</v>
      </c>
      <c r="B603" t="s">
        <v>335</v>
      </c>
      <c r="C603" t="s">
        <v>18</v>
      </c>
      <c r="D603" t="s">
        <v>38</v>
      </c>
      <c r="F603" t="s">
        <v>518</v>
      </c>
      <c r="G603" t="s">
        <v>57</v>
      </c>
      <c r="H603" t="s">
        <v>58</v>
      </c>
      <c r="I603" s="131">
        <v>43434</v>
      </c>
      <c r="J603" s="6">
        <v>90000000</v>
      </c>
      <c r="K603">
        <v>1294027.3999999999</v>
      </c>
      <c r="L603">
        <v>90000000</v>
      </c>
      <c r="M603">
        <v>0.101206</v>
      </c>
      <c r="N603">
        <v>90000000</v>
      </c>
      <c r="O603">
        <v>1.6</v>
      </c>
      <c r="P603">
        <v>1.6474632999999999E-3</v>
      </c>
      <c r="Q603" t="s">
        <v>42</v>
      </c>
      <c r="R603" t="s">
        <v>23</v>
      </c>
      <c r="S603" s="131">
        <v>43070</v>
      </c>
      <c r="T603" s="6">
        <f>DataTable[HLD_MaturityDate] - DataTable[SEC_Issue_Date]</f>
        <v>364</v>
      </c>
      <c r="U603" s="131" t="str">
        <f>DataTable[HLD_Portfolio]&amp;DataTable[HLD_Date]</f>
        <v>SCBFPFUND43397</v>
      </c>
      <c r="V603" t="str">
        <f>DataTable[[#This Row],[RefRng]]&amp;DataTable[[#This Row],[HLD_SecCode]]</f>
        <v>SCBFPFUND43397F12MGHB301118</v>
      </c>
    </row>
    <row r="604" spans="1:22" x14ac:dyDescent="0.2">
      <c r="A604" s="131">
        <v>43397</v>
      </c>
      <c r="B604" t="s">
        <v>335</v>
      </c>
      <c r="C604" t="s">
        <v>18</v>
      </c>
      <c r="D604" t="s">
        <v>38</v>
      </c>
      <c r="F604" t="s">
        <v>622</v>
      </c>
      <c r="G604" t="s">
        <v>170</v>
      </c>
      <c r="H604" t="s">
        <v>51</v>
      </c>
      <c r="I604" s="131">
        <v>43740</v>
      </c>
      <c r="J604" s="6">
        <v>328820000</v>
      </c>
      <c r="K604">
        <v>931656.67</v>
      </c>
      <c r="L604">
        <v>324100000</v>
      </c>
      <c r="M604">
        <v>0.92296100000000003</v>
      </c>
      <c r="N604">
        <v>10000000</v>
      </c>
      <c r="O604">
        <v>3.4</v>
      </c>
      <c r="P604">
        <v>5.9505948000000003E-3</v>
      </c>
      <c r="Q604" t="s">
        <v>42</v>
      </c>
      <c r="R604" t="s">
        <v>37</v>
      </c>
      <c r="S604" s="131">
        <v>43368</v>
      </c>
      <c r="T604" s="6">
        <f>DataTable[HLD_MaturityDate] - DataTable[SEC_Issue_Date]</f>
        <v>372</v>
      </c>
      <c r="U604" s="131" t="str">
        <f>DataTable[HLD_Portfolio]&amp;DataTable[HLD_Date]</f>
        <v>SCBFPFUND43397</v>
      </c>
      <c r="V604" t="str">
        <f>DataTable[[#This Row],[RefRng]]&amp;DataTable[[#This Row],[HLD_SecCode]]</f>
        <v>SCBFPFUND43397F12MUNB021019</v>
      </c>
    </row>
    <row r="605" spans="1:22" x14ac:dyDescent="0.2">
      <c r="A605" s="131">
        <v>43397</v>
      </c>
      <c r="B605" t="s">
        <v>335</v>
      </c>
      <c r="C605" t="s">
        <v>18</v>
      </c>
      <c r="D605" t="s">
        <v>38</v>
      </c>
      <c r="F605" t="s">
        <v>1227</v>
      </c>
      <c r="G605" t="s">
        <v>53</v>
      </c>
      <c r="H605" t="s">
        <v>47</v>
      </c>
      <c r="I605" s="131">
        <v>43480</v>
      </c>
      <c r="J605" s="6">
        <v>563071500</v>
      </c>
      <c r="K605">
        <v>1407.68</v>
      </c>
      <c r="L605">
        <v>567975000</v>
      </c>
      <c r="M605">
        <v>0.23055</v>
      </c>
      <c r="N605">
        <v>15000000</v>
      </c>
      <c r="O605">
        <v>0.01</v>
      </c>
      <c r="P605">
        <v>1.01610369E-2</v>
      </c>
      <c r="Q605" t="s">
        <v>42</v>
      </c>
      <c r="R605" t="s">
        <v>31</v>
      </c>
      <c r="S605" s="131">
        <v>43389</v>
      </c>
      <c r="T605" s="6">
        <f>DataTable[HLD_MaturityDate] - DataTable[SEC_Issue_Date]</f>
        <v>91</v>
      </c>
      <c r="U605" s="131" t="str">
        <f>DataTable[HLD_Portfolio]&amp;DataTable[HLD_Date]</f>
        <v>SCBFPFUND43397</v>
      </c>
      <c r="V605" t="str">
        <f>DataTable[[#This Row],[RefRng]]&amp;DataTable[[#This Row],[HLD_SecCode]]</f>
        <v>SCBFPFUND43397F3MBOCMC150119</v>
      </c>
    </row>
    <row r="606" spans="1:22" x14ac:dyDescent="0.2">
      <c r="A606" s="131">
        <v>43397</v>
      </c>
      <c r="B606" t="s">
        <v>335</v>
      </c>
      <c r="C606" t="s">
        <v>18</v>
      </c>
      <c r="D606" t="s">
        <v>38</v>
      </c>
      <c r="F606" t="s">
        <v>623</v>
      </c>
      <c r="G606" t="s">
        <v>73</v>
      </c>
      <c r="H606" t="s">
        <v>58</v>
      </c>
      <c r="I606" s="131">
        <v>44196</v>
      </c>
      <c r="J606" s="6">
        <v>10640424.210000001</v>
      </c>
      <c r="K606">
        <v>195064.27</v>
      </c>
      <c r="L606">
        <v>10640424.210000001</v>
      </c>
      <c r="M606">
        <v>0</v>
      </c>
      <c r="N606">
        <v>10640424.210000001</v>
      </c>
      <c r="O606">
        <v>0</v>
      </c>
      <c r="P606">
        <v>1.9553379999999999E-4</v>
      </c>
      <c r="Q606" t="s">
        <v>42</v>
      </c>
      <c r="R606" t="s">
        <v>23</v>
      </c>
      <c r="S606" s="131">
        <v>40536</v>
      </c>
      <c r="T606" s="6">
        <f>DataTable[HLD_MaturityDate] - DataTable[SEC_Issue_Date]</f>
        <v>3660</v>
      </c>
      <c r="U606" s="131" t="str">
        <f>DataTable[HLD_Portfolio]&amp;DataTable[HLD_Date]</f>
        <v>SCBFPFUND43397</v>
      </c>
      <c r="V606" t="str">
        <f>DataTable[[#This Row],[RefRng]]&amp;DataTable[[#This Row],[HLD_SecCode]]</f>
        <v>SCBFPFUND43397INVSUOBTfp</v>
      </c>
    </row>
    <row r="607" spans="1:22" x14ac:dyDescent="0.2">
      <c r="A607" s="131">
        <v>43397</v>
      </c>
      <c r="B607" t="s">
        <v>335</v>
      </c>
      <c r="C607" t="s">
        <v>18</v>
      </c>
      <c r="D607" t="s">
        <v>75</v>
      </c>
      <c r="F607" t="s">
        <v>521</v>
      </c>
      <c r="G607" t="s">
        <v>232</v>
      </c>
      <c r="H607" t="s">
        <v>29</v>
      </c>
      <c r="I607" s="131">
        <v>43550</v>
      </c>
      <c r="J607" s="6">
        <v>989677600</v>
      </c>
      <c r="L607">
        <v>990586340</v>
      </c>
      <c r="M607">
        <v>0.41214000000000001</v>
      </c>
      <c r="N607">
        <v>1000000000</v>
      </c>
      <c r="O607">
        <v>2.282</v>
      </c>
      <c r="P607">
        <v>1.7859411200000001E-2</v>
      </c>
      <c r="Q607" t="s">
        <v>42</v>
      </c>
      <c r="R607" t="s">
        <v>23</v>
      </c>
      <c r="S607" s="131">
        <v>43280</v>
      </c>
      <c r="T607" s="6">
        <f>DataTable[HLD_MaturityDate] - DataTable[SEC_Issue_Date]</f>
        <v>270</v>
      </c>
      <c r="U607" s="131" t="str">
        <f>DataTable[HLD_Portfolio]&amp;DataTable[HLD_Date]</f>
        <v>SCBFPFUND43397</v>
      </c>
      <c r="V607" t="str">
        <f>DataTable[[#This Row],[RefRng]]&amp;DataTable[[#This Row],[HLD_SecCode]]</f>
        <v>SCBFPFUND43397TUC19326A</v>
      </c>
    </row>
    <row r="608" spans="1:22" x14ac:dyDescent="0.2">
      <c r="A608" s="131">
        <v>43397</v>
      </c>
      <c r="B608" t="s">
        <v>335</v>
      </c>
      <c r="C608" t="s">
        <v>18</v>
      </c>
      <c r="D608" t="s">
        <v>85</v>
      </c>
      <c r="F608" t="s">
        <v>197</v>
      </c>
      <c r="G608" t="s">
        <v>87</v>
      </c>
      <c r="I608" s="131">
        <v>43461</v>
      </c>
      <c r="J608" s="6">
        <v>884892257.38</v>
      </c>
      <c r="L608">
        <v>884893570.13999999</v>
      </c>
      <c r="M608">
        <v>0.172151</v>
      </c>
      <c r="N608">
        <v>887000000</v>
      </c>
      <c r="O608">
        <v>1.379141</v>
      </c>
      <c r="P608">
        <v>1.59684878E-2</v>
      </c>
      <c r="Q608" t="s">
        <v>42</v>
      </c>
      <c r="R608" t="s">
        <v>23</v>
      </c>
      <c r="S608" s="131">
        <v>43370</v>
      </c>
      <c r="T608" s="6">
        <f>DataTable[HLD_MaturityDate] - DataTable[SEC_Issue_Date]</f>
        <v>91</v>
      </c>
      <c r="U608" s="131" t="str">
        <f>DataTable[HLD_Portfolio]&amp;DataTable[HLD_Date]</f>
        <v>SCBFPFUND43397</v>
      </c>
      <c r="V608" t="str">
        <f>DataTable[[#This Row],[RefRng]]&amp;DataTable[[#This Row],[HLD_SecCode]]</f>
        <v>SCBFPFUND43397CB18D27B</v>
      </c>
    </row>
    <row r="609" spans="1:22" x14ac:dyDescent="0.2">
      <c r="A609" s="131">
        <v>43397</v>
      </c>
      <c r="B609" t="s">
        <v>335</v>
      </c>
      <c r="C609" t="s">
        <v>18</v>
      </c>
      <c r="D609" t="s">
        <v>85</v>
      </c>
      <c r="F609" t="s">
        <v>1251</v>
      </c>
      <c r="G609" t="s">
        <v>87</v>
      </c>
      <c r="I609" s="131">
        <v>43410</v>
      </c>
      <c r="J609" s="6">
        <v>522793749.72000003</v>
      </c>
      <c r="L609">
        <v>522793749.72000003</v>
      </c>
      <c r="M609">
        <v>3.2863999999999997E-2</v>
      </c>
      <c r="N609">
        <v>523000000</v>
      </c>
      <c r="O609">
        <v>1.2</v>
      </c>
      <c r="P609">
        <v>9.4341718000000001E-3</v>
      </c>
      <c r="Q609" t="s">
        <v>42</v>
      </c>
      <c r="R609" t="s">
        <v>23</v>
      </c>
      <c r="S609" s="131">
        <v>43397</v>
      </c>
      <c r="T609" s="6">
        <f>DataTable[HLD_MaturityDate] - DataTable[SEC_Issue_Date]</f>
        <v>13</v>
      </c>
      <c r="U609" s="131" t="str">
        <f>DataTable[HLD_Portfolio]&amp;DataTable[HLD_Date]</f>
        <v>SCBFPFUND43397</v>
      </c>
      <c r="V609" t="str">
        <f>DataTable[[#This Row],[RefRng]]&amp;DataTable[[#This Row],[HLD_SecCode]]</f>
        <v>SCBFPFUND43397CB18N06A</v>
      </c>
    </row>
    <row r="610" spans="1:22" x14ac:dyDescent="0.2">
      <c r="A610" s="131">
        <v>43397</v>
      </c>
      <c r="B610" t="s">
        <v>335</v>
      </c>
      <c r="C610" t="s">
        <v>18</v>
      </c>
      <c r="D610" t="s">
        <v>85</v>
      </c>
      <c r="F610" t="s">
        <v>95</v>
      </c>
      <c r="G610" t="s">
        <v>87</v>
      </c>
      <c r="I610" s="131">
        <v>43426</v>
      </c>
      <c r="J610" s="6">
        <v>70933070.430000007</v>
      </c>
      <c r="L610">
        <v>70933070.430000007</v>
      </c>
      <c r="M610">
        <v>7.6638999999999999E-2</v>
      </c>
      <c r="N610">
        <v>71000000</v>
      </c>
      <c r="O610">
        <v>1.23</v>
      </c>
      <c r="P610">
        <v>1.2800359E-3</v>
      </c>
      <c r="Q610" t="s">
        <v>42</v>
      </c>
      <c r="R610" t="s">
        <v>23</v>
      </c>
      <c r="S610" s="131">
        <v>43244</v>
      </c>
      <c r="T610" s="6">
        <f>DataTable[HLD_MaturityDate] - DataTable[SEC_Issue_Date]</f>
        <v>182</v>
      </c>
      <c r="U610" s="131" t="str">
        <f>DataTable[HLD_Portfolio]&amp;DataTable[HLD_Date]</f>
        <v>SCBFPFUND43397</v>
      </c>
      <c r="V610" t="str">
        <f>DataTable[[#This Row],[RefRng]]&amp;DataTable[[#This Row],[HLD_SecCode]]</f>
        <v>SCBFPFUND43397CB18N22A</v>
      </c>
    </row>
    <row r="611" spans="1:22" x14ac:dyDescent="0.2">
      <c r="A611" s="131">
        <v>43397</v>
      </c>
      <c r="B611" t="s">
        <v>335</v>
      </c>
      <c r="C611" t="s">
        <v>18</v>
      </c>
      <c r="D611" t="s">
        <v>85</v>
      </c>
      <c r="F611" t="s">
        <v>199</v>
      </c>
      <c r="G611" t="s">
        <v>87</v>
      </c>
      <c r="I611" s="131">
        <v>43468</v>
      </c>
      <c r="J611" s="6">
        <v>32911634.579999998</v>
      </c>
      <c r="L611">
        <v>32909745.989999998</v>
      </c>
      <c r="M611">
        <v>0.191223</v>
      </c>
      <c r="N611">
        <v>33000000</v>
      </c>
      <c r="O611">
        <v>1.43</v>
      </c>
      <c r="P611">
        <v>5.9391299999999995E-4</v>
      </c>
      <c r="Q611" t="s">
        <v>42</v>
      </c>
      <c r="R611" t="s">
        <v>23</v>
      </c>
      <c r="S611" s="131">
        <v>43286</v>
      </c>
      <c r="T611" s="6">
        <f>DataTable[HLD_MaturityDate] - DataTable[SEC_Issue_Date]</f>
        <v>182</v>
      </c>
      <c r="U611" s="131" t="str">
        <f>DataTable[HLD_Portfolio]&amp;DataTable[HLD_Date]</f>
        <v>SCBFPFUND43397</v>
      </c>
      <c r="V611" t="str">
        <f>DataTable[[#This Row],[RefRng]]&amp;DataTable[[#This Row],[HLD_SecCode]]</f>
        <v>SCBFPFUND43397CB19103A</v>
      </c>
    </row>
    <row r="612" spans="1:22" x14ac:dyDescent="0.2">
      <c r="A612" s="131">
        <v>43397</v>
      </c>
      <c r="B612" t="s">
        <v>335</v>
      </c>
      <c r="C612" t="s">
        <v>18</v>
      </c>
      <c r="D612" t="s">
        <v>85</v>
      </c>
      <c r="F612" t="s">
        <v>756</v>
      </c>
      <c r="G612" t="s">
        <v>87</v>
      </c>
      <c r="I612" s="131">
        <v>43517</v>
      </c>
      <c r="J612" s="6">
        <v>16911780.710000001</v>
      </c>
      <c r="L612">
        <v>16912329.300000001</v>
      </c>
      <c r="M612">
        <v>0.32433600000000001</v>
      </c>
      <c r="N612">
        <v>17000000</v>
      </c>
      <c r="O612">
        <v>1.59</v>
      </c>
      <c r="P612">
        <v>3.0518469999999998E-4</v>
      </c>
      <c r="Q612" t="s">
        <v>42</v>
      </c>
      <c r="R612" t="s">
        <v>23</v>
      </c>
      <c r="S612" s="131">
        <v>43335</v>
      </c>
      <c r="T612" s="6">
        <f>DataTable[HLD_MaturityDate] - DataTable[SEC_Issue_Date]</f>
        <v>182</v>
      </c>
      <c r="U612" s="131" t="str">
        <f>DataTable[HLD_Portfolio]&amp;DataTable[HLD_Date]</f>
        <v>SCBFPFUND43397</v>
      </c>
      <c r="V612" t="str">
        <f>DataTable[[#This Row],[RefRng]]&amp;DataTable[[#This Row],[HLD_SecCode]]</f>
        <v>SCBFPFUND43397CB19221A</v>
      </c>
    </row>
    <row r="613" spans="1:22" x14ac:dyDescent="0.2">
      <c r="A613" s="131">
        <v>43397</v>
      </c>
      <c r="B613" t="s">
        <v>335</v>
      </c>
      <c r="C613" t="s">
        <v>18</v>
      </c>
      <c r="D613" t="s">
        <v>85</v>
      </c>
      <c r="F613" t="s">
        <v>576</v>
      </c>
      <c r="G613" t="s">
        <v>87</v>
      </c>
      <c r="I613" s="131">
        <v>43531</v>
      </c>
      <c r="J613" s="6">
        <v>1988011.2</v>
      </c>
      <c r="L613">
        <v>1988695.5</v>
      </c>
      <c r="M613">
        <v>0.36219899999999999</v>
      </c>
      <c r="N613">
        <v>2000000</v>
      </c>
      <c r="O613">
        <v>1.56</v>
      </c>
      <c r="P613">
        <v>3.5874999999999998E-5</v>
      </c>
      <c r="Q613" t="s">
        <v>42</v>
      </c>
      <c r="R613" t="s">
        <v>23</v>
      </c>
      <c r="S613" s="131">
        <v>43349</v>
      </c>
      <c r="T613" s="6">
        <f>DataTable[HLD_MaturityDate] - DataTable[SEC_Issue_Date]</f>
        <v>182</v>
      </c>
      <c r="U613" s="131" t="str">
        <f>DataTable[HLD_Portfolio]&amp;DataTable[HLD_Date]</f>
        <v>SCBFPFUND43397</v>
      </c>
      <c r="V613" t="str">
        <f>DataTable[[#This Row],[RefRng]]&amp;DataTable[[#This Row],[HLD_SecCode]]</f>
        <v>SCBFPFUND43397CB19307A</v>
      </c>
    </row>
    <row r="614" spans="1:22" x14ac:dyDescent="0.2">
      <c r="A614" s="131">
        <v>43397</v>
      </c>
      <c r="B614" t="s">
        <v>335</v>
      </c>
      <c r="C614" t="s">
        <v>18</v>
      </c>
      <c r="D614" t="s">
        <v>85</v>
      </c>
      <c r="F614" t="s">
        <v>577</v>
      </c>
      <c r="G614" t="s">
        <v>87</v>
      </c>
      <c r="I614" s="131">
        <v>43545</v>
      </c>
      <c r="J614" s="6">
        <v>88409089.840000004</v>
      </c>
      <c r="L614">
        <v>88437480.840000004</v>
      </c>
      <c r="M614">
        <v>0.40006599999999998</v>
      </c>
      <c r="N614">
        <v>89000000</v>
      </c>
      <c r="O614">
        <v>1.5793440000000001</v>
      </c>
      <c r="P614">
        <v>1.5954026999999999E-3</v>
      </c>
      <c r="Q614" t="s">
        <v>42</v>
      </c>
      <c r="R614" t="s">
        <v>23</v>
      </c>
      <c r="S614" s="131">
        <v>43363</v>
      </c>
      <c r="T614" s="6">
        <f>DataTable[HLD_MaturityDate] - DataTable[SEC_Issue_Date]</f>
        <v>182</v>
      </c>
      <c r="U614" s="131" t="str">
        <f>DataTable[HLD_Portfolio]&amp;DataTable[HLD_Date]</f>
        <v>SCBFPFUND43397</v>
      </c>
      <c r="V614" t="str">
        <f>DataTable[[#This Row],[RefRng]]&amp;DataTable[[#This Row],[HLD_SecCode]]</f>
        <v>SCBFPFUND43397CB19321A</v>
      </c>
    </row>
    <row r="615" spans="1:22" x14ac:dyDescent="0.2">
      <c r="A615" s="131">
        <v>43397</v>
      </c>
      <c r="B615" t="s">
        <v>335</v>
      </c>
      <c r="C615" t="s">
        <v>18</v>
      </c>
      <c r="D615" t="s">
        <v>85</v>
      </c>
      <c r="F615" t="s">
        <v>578</v>
      </c>
      <c r="G615" t="s">
        <v>87</v>
      </c>
      <c r="I615" s="131">
        <v>43552</v>
      </c>
      <c r="J615" s="6">
        <v>24821962</v>
      </c>
      <c r="L615">
        <v>24835487</v>
      </c>
      <c r="M615">
        <v>0.41891299999999998</v>
      </c>
      <c r="N615">
        <v>25000000</v>
      </c>
      <c r="O615">
        <v>1.57</v>
      </c>
      <c r="P615">
        <v>4.4792930000000001E-4</v>
      </c>
      <c r="Q615" t="s">
        <v>42</v>
      </c>
      <c r="R615" t="s">
        <v>23</v>
      </c>
      <c r="S615" s="131">
        <v>43370</v>
      </c>
      <c r="T615" s="6">
        <f>DataTable[HLD_MaturityDate] - DataTable[SEC_Issue_Date]</f>
        <v>182</v>
      </c>
      <c r="U615" s="131" t="str">
        <f>DataTable[HLD_Portfolio]&amp;DataTable[HLD_Date]</f>
        <v>SCBFPFUND43397</v>
      </c>
      <c r="V615" t="str">
        <f>DataTable[[#This Row],[RefRng]]&amp;DataTable[[#This Row],[HLD_SecCode]]</f>
        <v>SCBFPFUND43397CB19328A</v>
      </c>
    </row>
    <row r="616" spans="1:22" x14ac:dyDescent="0.2">
      <c r="A616" s="131">
        <v>43397</v>
      </c>
      <c r="B616" t="s">
        <v>335</v>
      </c>
      <c r="C616" t="s">
        <v>18</v>
      </c>
      <c r="D616" t="s">
        <v>85</v>
      </c>
      <c r="F616" t="s">
        <v>579</v>
      </c>
      <c r="G616" t="s">
        <v>87</v>
      </c>
      <c r="I616" s="131">
        <v>43559</v>
      </c>
      <c r="J616" s="6">
        <v>864551063.74000001</v>
      </c>
      <c r="L616">
        <v>864905438.79999995</v>
      </c>
      <c r="M616">
        <v>0.43783</v>
      </c>
      <c r="N616">
        <v>871000000</v>
      </c>
      <c r="O616">
        <v>1.5974999999999999</v>
      </c>
      <c r="P616">
        <v>1.5601416999999999E-2</v>
      </c>
      <c r="Q616" t="s">
        <v>42</v>
      </c>
      <c r="R616" t="s">
        <v>23</v>
      </c>
      <c r="S616" s="131">
        <v>43377</v>
      </c>
      <c r="T616" s="6">
        <f>DataTable[HLD_MaturityDate] - DataTable[SEC_Issue_Date]</f>
        <v>182</v>
      </c>
      <c r="U616" s="131" t="str">
        <f>DataTable[HLD_Portfolio]&amp;DataTable[HLD_Date]</f>
        <v>SCBFPFUND43397</v>
      </c>
      <c r="V616" t="str">
        <f>DataTable[[#This Row],[RefRng]]&amp;DataTable[[#This Row],[HLD_SecCode]]</f>
        <v>SCBFPFUND43397CB19404A</v>
      </c>
    </row>
    <row r="617" spans="1:22" x14ac:dyDescent="0.2">
      <c r="A617" s="131">
        <v>43397</v>
      </c>
      <c r="B617" t="s">
        <v>335</v>
      </c>
      <c r="C617" t="s">
        <v>18</v>
      </c>
      <c r="D617" t="s">
        <v>85</v>
      </c>
      <c r="F617" t="s">
        <v>581</v>
      </c>
      <c r="G617" t="s">
        <v>87</v>
      </c>
      <c r="I617" s="131">
        <v>43713</v>
      </c>
      <c r="J617" s="6">
        <v>308212154.81</v>
      </c>
      <c r="L617">
        <v>308381888.44999999</v>
      </c>
      <c r="M617">
        <v>0.84981300000000004</v>
      </c>
      <c r="N617">
        <v>313000000</v>
      </c>
      <c r="O617">
        <v>1.735233</v>
      </c>
      <c r="P617">
        <v>5.5618997000000002E-3</v>
      </c>
      <c r="Q617" t="s">
        <v>42</v>
      </c>
      <c r="R617" t="s">
        <v>23</v>
      </c>
      <c r="S617" s="131">
        <v>43349</v>
      </c>
      <c r="T617" s="6">
        <f>DataTable[HLD_MaturityDate] - DataTable[SEC_Issue_Date]</f>
        <v>364</v>
      </c>
      <c r="U617" s="131" t="str">
        <f>DataTable[HLD_Portfolio]&amp;DataTable[HLD_Date]</f>
        <v>SCBFPFUND43397</v>
      </c>
      <c r="V617" t="str">
        <f>DataTable[[#This Row],[RefRng]]&amp;DataTable[[#This Row],[HLD_SecCode]]</f>
        <v>SCBFPFUND43397CB19905A</v>
      </c>
    </row>
    <row r="618" spans="1:22" x14ac:dyDescent="0.2">
      <c r="A618" s="131">
        <v>43397</v>
      </c>
      <c r="B618" t="s">
        <v>335</v>
      </c>
      <c r="C618" t="s">
        <v>18</v>
      </c>
      <c r="D618" t="s">
        <v>105</v>
      </c>
      <c r="F618" t="s">
        <v>582</v>
      </c>
      <c r="G618" t="s">
        <v>87</v>
      </c>
      <c r="I618" s="131">
        <v>43545</v>
      </c>
      <c r="J618" s="6">
        <v>743417723.27999997</v>
      </c>
      <c r="K618">
        <v>1039561.44</v>
      </c>
      <c r="L618">
        <v>744331347.84000003</v>
      </c>
      <c r="M618">
        <v>0.39932499999999999</v>
      </c>
      <c r="N618">
        <v>744000000</v>
      </c>
      <c r="O618">
        <v>1.403095</v>
      </c>
      <c r="P618">
        <v>1.3434242399999999E-2</v>
      </c>
      <c r="Q618" t="s">
        <v>42</v>
      </c>
      <c r="R618" t="s">
        <v>23</v>
      </c>
      <c r="S618" s="131">
        <v>42450</v>
      </c>
      <c r="T618" s="6">
        <f>DataTable[HLD_MaturityDate] - DataTable[SEC_Issue_Date]</f>
        <v>1095</v>
      </c>
      <c r="U618" s="131" t="str">
        <f>DataTable[HLD_Portfolio]&amp;DataTable[HLD_Date]</f>
        <v>SCBFPFUND43397</v>
      </c>
      <c r="V618" t="str">
        <f>DataTable[[#This Row],[RefRng]]&amp;DataTable[[#This Row],[HLD_SecCode]]</f>
        <v>SCBFPFUND43397BOT193A</v>
      </c>
    </row>
    <row r="619" spans="1:22" x14ac:dyDescent="0.2">
      <c r="A619" s="131">
        <v>43397</v>
      </c>
      <c r="B619" t="s">
        <v>335</v>
      </c>
      <c r="C619" t="s">
        <v>18</v>
      </c>
      <c r="D619" t="s">
        <v>105</v>
      </c>
      <c r="F619" t="s">
        <v>624</v>
      </c>
      <c r="G619" t="s">
        <v>87</v>
      </c>
      <c r="I619" s="131">
        <v>43887</v>
      </c>
      <c r="J619" s="6">
        <v>196450014.41999999</v>
      </c>
      <c r="K619">
        <v>436142.52</v>
      </c>
      <c r="L619">
        <v>197599485.59999999</v>
      </c>
      <c r="M619">
        <v>1.317008</v>
      </c>
      <c r="N619">
        <v>198000000</v>
      </c>
      <c r="O619">
        <v>1.4884820000000001</v>
      </c>
      <c r="P619">
        <v>3.5529457999999999E-3</v>
      </c>
      <c r="Q619" t="s">
        <v>42</v>
      </c>
      <c r="R619" t="s">
        <v>23</v>
      </c>
      <c r="S619" s="131">
        <v>43157</v>
      </c>
      <c r="T619" s="6">
        <f>DataTable[HLD_MaturityDate] - DataTable[SEC_Issue_Date]</f>
        <v>730</v>
      </c>
      <c r="U619" s="131" t="str">
        <f>DataTable[HLD_Portfolio]&amp;DataTable[HLD_Date]</f>
        <v>SCBFPFUND43397</v>
      </c>
      <c r="V619" t="str">
        <f>DataTable[[#This Row],[RefRng]]&amp;DataTable[[#This Row],[HLD_SecCode]]</f>
        <v>SCBFPFUND43397BOT202B</v>
      </c>
    </row>
    <row r="620" spans="1:22" x14ac:dyDescent="0.2">
      <c r="A620" s="131">
        <v>43397</v>
      </c>
      <c r="B620" t="s">
        <v>335</v>
      </c>
      <c r="C620" t="s">
        <v>18</v>
      </c>
      <c r="D620" t="s">
        <v>105</v>
      </c>
      <c r="F620" t="s">
        <v>583</v>
      </c>
      <c r="G620" t="s">
        <v>87</v>
      </c>
      <c r="I620" s="131">
        <v>43917</v>
      </c>
      <c r="J620" s="6">
        <v>895933315.86000001</v>
      </c>
      <c r="K620">
        <v>1219313.3799999999</v>
      </c>
      <c r="L620">
        <v>898681043.20000005</v>
      </c>
      <c r="M620">
        <v>1.3925320000000001</v>
      </c>
      <c r="N620">
        <v>898000000</v>
      </c>
      <c r="O620">
        <v>1.7205189999999999</v>
      </c>
      <c r="P620">
        <v>1.6189734599999998E-2</v>
      </c>
      <c r="Q620" t="s">
        <v>42</v>
      </c>
      <c r="R620" t="s">
        <v>23</v>
      </c>
      <c r="S620" s="131">
        <v>42821</v>
      </c>
      <c r="T620" s="6">
        <f>DataTable[HLD_MaturityDate] - DataTable[SEC_Issue_Date]</f>
        <v>1096</v>
      </c>
      <c r="U620" s="131" t="str">
        <f>DataTable[HLD_Portfolio]&amp;DataTable[HLD_Date]</f>
        <v>SCBFPFUND43397</v>
      </c>
      <c r="V620" t="str">
        <f>DataTable[[#This Row],[RefRng]]&amp;DataTable[[#This Row],[HLD_SecCode]]</f>
        <v>SCBFPFUND43397BOT203A</v>
      </c>
    </row>
    <row r="621" spans="1:22" x14ac:dyDescent="0.2">
      <c r="A621" s="131">
        <v>43397</v>
      </c>
      <c r="B621" t="s">
        <v>335</v>
      </c>
      <c r="C621" t="s">
        <v>18</v>
      </c>
      <c r="D621" t="s">
        <v>105</v>
      </c>
      <c r="F621" t="s">
        <v>584</v>
      </c>
      <c r="G621" t="s">
        <v>83</v>
      </c>
      <c r="H621" t="s">
        <v>29</v>
      </c>
      <c r="I621" s="131">
        <v>44391</v>
      </c>
      <c r="J621" s="6">
        <v>776177544.60000002</v>
      </c>
      <c r="K621">
        <v>2631722.44</v>
      </c>
      <c r="L621">
        <v>777026298.15999997</v>
      </c>
      <c r="M621">
        <v>2.66093</v>
      </c>
      <c r="N621">
        <v>716000000</v>
      </c>
      <c r="O621">
        <v>1.2048099999999999</v>
      </c>
      <c r="P621">
        <v>1.40541474E-2</v>
      </c>
      <c r="Q621" t="s">
        <v>42</v>
      </c>
      <c r="R621" t="s">
        <v>23</v>
      </c>
      <c r="S621" s="131">
        <v>40738</v>
      </c>
      <c r="T621" s="6">
        <f>DataTable[HLD_MaturityDate] - DataTable[SEC_Issue_Date]</f>
        <v>3653</v>
      </c>
      <c r="U621" s="131" t="str">
        <f>DataTable[HLD_Portfolio]&amp;DataTable[HLD_Date]</f>
        <v>SCBFPFUND43397</v>
      </c>
      <c r="V621" t="str">
        <f>DataTable[[#This Row],[RefRng]]&amp;DataTable[[#This Row],[HLD_SecCode]]</f>
        <v>SCBFPFUND43397ILB217A</v>
      </c>
    </row>
    <row r="622" spans="1:22" x14ac:dyDescent="0.2">
      <c r="A622" s="131">
        <v>43397</v>
      </c>
      <c r="B622" t="s">
        <v>335</v>
      </c>
      <c r="C622" t="s">
        <v>18</v>
      </c>
      <c r="D622" t="s">
        <v>105</v>
      </c>
      <c r="F622" t="s">
        <v>625</v>
      </c>
      <c r="G622" t="s">
        <v>83</v>
      </c>
      <c r="H622" t="s">
        <v>29</v>
      </c>
      <c r="I622" s="131">
        <v>43477</v>
      </c>
      <c r="J622" s="6">
        <v>784718084.46000004</v>
      </c>
      <c r="K622">
        <v>12589214.779999999</v>
      </c>
      <c r="L622">
        <v>784861026.39999998</v>
      </c>
      <c r="M622">
        <v>0.21477399999999999</v>
      </c>
      <c r="N622">
        <v>778000000</v>
      </c>
      <c r="O622">
        <v>1.4112880000000001</v>
      </c>
      <c r="P622">
        <v>1.4387957099999999E-2</v>
      </c>
      <c r="Q622" t="s">
        <v>42</v>
      </c>
      <c r="R622" t="s">
        <v>23</v>
      </c>
      <c r="S622" s="131">
        <v>39094</v>
      </c>
      <c r="T622" s="6">
        <f>DataTable[HLD_MaturityDate] - DataTable[SEC_Issue_Date]</f>
        <v>4383</v>
      </c>
      <c r="U622" s="131" t="str">
        <f>DataTable[HLD_Portfolio]&amp;DataTable[HLD_Date]</f>
        <v>SCBFPFUND43397</v>
      </c>
      <c r="V622" t="str">
        <f>DataTable[[#This Row],[RefRng]]&amp;DataTable[[#This Row],[HLD_SecCode]]</f>
        <v>SCBFPFUND43397LB191A</v>
      </c>
    </row>
    <row r="623" spans="1:22" x14ac:dyDescent="0.2">
      <c r="A623" s="131">
        <v>43397</v>
      </c>
      <c r="B623" t="s">
        <v>335</v>
      </c>
      <c r="C623" t="s">
        <v>18</v>
      </c>
      <c r="D623" t="s">
        <v>105</v>
      </c>
      <c r="F623" t="s">
        <v>626</v>
      </c>
      <c r="G623" t="s">
        <v>83</v>
      </c>
      <c r="H623" t="s">
        <v>29</v>
      </c>
      <c r="I623" s="131">
        <v>43532</v>
      </c>
      <c r="J623" s="6">
        <v>160317360.58000001</v>
      </c>
      <c r="K623">
        <v>707507.77</v>
      </c>
      <c r="L623">
        <v>160421492.74000001</v>
      </c>
      <c r="M623">
        <v>0.364095</v>
      </c>
      <c r="N623">
        <v>159260000</v>
      </c>
      <c r="O623">
        <v>1.486116</v>
      </c>
      <c r="P623">
        <v>2.9058042000000002E-3</v>
      </c>
      <c r="Q623" t="s">
        <v>42</v>
      </c>
      <c r="R623" t="s">
        <v>23</v>
      </c>
      <c r="S623" s="131">
        <v>40851</v>
      </c>
      <c r="T623" s="6">
        <f>DataTable[HLD_MaturityDate] - DataTable[SEC_Issue_Date]</f>
        <v>2681</v>
      </c>
      <c r="U623" s="131" t="str">
        <f>DataTable[HLD_Portfolio]&amp;DataTable[HLD_Date]</f>
        <v>SCBFPFUND43397</v>
      </c>
      <c r="V623" t="str">
        <f>DataTable[[#This Row],[RefRng]]&amp;DataTable[[#This Row],[HLD_SecCode]]</f>
        <v>SCBFPFUND43397LB193A</v>
      </c>
    </row>
    <row r="624" spans="1:22" x14ac:dyDescent="0.2">
      <c r="A624" s="131">
        <v>43397</v>
      </c>
      <c r="B624" t="s">
        <v>335</v>
      </c>
      <c r="C624" t="s">
        <v>18</v>
      </c>
      <c r="D624" t="s">
        <v>105</v>
      </c>
      <c r="F624" t="s">
        <v>526</v>
      </c>
      <c r="G624" t="s">
        <v>83</v>
      </c>
      <c r="H624" t="s">
        <v>29</v>
      </c>
      <c r="I624" s="131">
        <v>44008</v>
      </c>
      <c r="J624" s="6">
        <v>3544696506.5100002</v>
      </c>
      <c r="K624">
        <v>29679957.620000001</v>
      </c>
      <c r="L624">
        <v>3559858549.3499999</v>
      </c>
      <c r="M624">
        <v>1.6168119999999999</v>
      </c>
      <c r="N624">
        <v>3511000000</v>
      </c>
      <c r="O624">
        <v>1.6983729999999999</v>
      </c>
      <c r="P624">
        <v>6.45020751E-2</v>
      </c>
      <c r="Q624" t="s">
        <v>42</v>
      </c>
      <c r="R624" t="s">
        <v>23</v>
      </c>
      <c r="S624" s="131">
        <v>42181</v>
      </c>
      <c r="T624" s="6">
        <f>DataTable[HLD_MaturityDate] - DataTable[SEC_Issue_Date]</f>
        <v>1827</v>
      </c>
      <c r="U624" s="131" t="str">
        <f>DataTable[HLD_Portfolio]&amp;DataTable[HLD_Date]</f>
        <v>SCBFPFUND43397</v>
      </c>
      <c r="V624" t="str">
        <f>DataTable[[#This Row],[RefRng]]&amp;DataTable[[#This Row],[HLD_SecCode]]</f>
        <v>SCBFPFUND43397LB206A</v>
      </c>
    </row>
    <row r="625" spans="1:22" x14ac:dyDescent="0.2">
      <c r="A625" s="131">
        <v>43397</v>
      </c>
      <c r="B625" t="s">
        <v>335</v>
      </c>
      <c r="C625" t="s">
        <v>18</v>
      </c>
      <c r="D625" t="s">
        <v>105</v>
      </c>
      <c r="F625" t="s">
        <v>627</v>
      </c>
      <c r="G625" t="s">
        <v>83</v>
      </c>
      <c r="H625" t="s">
        <v>29</v>
      </c>
      <c r="I625" s="131">
        <v>44547</v>
      </c>
      <c r="J625" s="6">
        <v>609507966.42999995</v>
      </c>
      <c r="K625">
        <v>7579000</v>
      </c>
      <c r="L625">
        <v>618317638.62</v>
      </c>
      <c r="M625">
        <v>2.936391</v>
      </c>
      <c r="N625">
        <v>583000000</v>
      </c>
      <c r="O625">
        <v>1.662968</v>
      </c>
      <c r="P625">
        <v>1.1135757600000001E-2</v>
      </c>
      <c r="Q625" t="s">
        <v>42</v>
      </c>
      <c r="R625" t="s">
        <v>23</v>
      </c>
      <c r="S625" s="131">
        <v>40501</v>
      </c>
      <c r="T625" s="6">
        <f>DataTable[HLD_MaturityDate] - DataTable[SEC_Issue_Date]</f>
        <v>4046</v>
      </c>
      <c r="U625" s="131" t="str">
        <f>DataTable[HLD_Portfolio]&amp;DataTable[HLD_Date]</f>
        <v>SCBFPFUND43397</v>
      </c>
      <c r="V625" t="str">
        <f>DataTable[[#This Row],[RefRng]]&amp;DataTable[[#This Row],[HLD_SecCode]]</f>
        <v>SCBFPFUND43397LB21DA</v>
      </c>
    </row>
    <row r="626" spans="1:22" x14ac:dyDescent="0.2">
      <c r="A626" s="131">
        <v>43397</v>
      </c>
      <c r="B626" t="s">
        <v>335</v>
      </c>
      <c r="C626" t="s">
        <v>18</v>
      </c>
      <c r="D626" t="s">
        <v>105</v>
      </c>
      <c r="F626" t="s">
        <v>585</v>
      </c>
      <c r="G626" t="s">
        <v>83</v>
      </c>
      <c r="H626" t="s">
        <v>29</v>
      </c>
      <c r="I626" s="131">
        <v>44729</v>
      </c>
      <c r="J626" s="6">
        <v>1670179301.4000001</v>
      </c>
      <c r="K626">
        <v>11319345.6</v>
      </c>
      <c r="L626">
        <v>1688491759.3499999</v>
      </c>
      <c r="M626">
        <v>3.4763980000000001</v>
      </c>
      <c r="N626">
        <v>1695000000</v>
      </c>
      <c r="O626">
        <v>1.9837039999999999</v>
      </c>
      <c r="P626">
        <v>3.0343796499999999E-2</v>
      </c>
      <c r="Q626" t="s">
        <v>42</v>
      </c>
      <c r="R626" t="s">
        <v>23</v>
      </c>
      <c r="S626" s="131">
        <v>42566</v>
      </c>
      <c r="T626" s="6">
        <f>DataTable[HLD_MaturityDate] - DataTable[SEC_Issue_Date]</f>
        <v>2163</v>
      </c>
      <c r="U626" s="131" t="str">
        <f>DataTable[HLD_Portfolio]&amp;DataTable[HLD_Date]</f>
        <v>SCBFPFUND43397</v>
      </c>
      <c r="V626" t="str">
        <f>DataTable[[#This Row],[RefRng]]&amp;DataTable[[#This Row],[HLD_SecCode]]</f>
        <v>SCBFPFUND43397LB226A</v>
      </c>
    </row>
    <row r="627" spans="1:22" x14ac:dyDescent="0.2">
      <c r="A627" s="131">
        <v>43397</v>
      </c>
      <c r="B627" t="s">
        <v>335</v>
      </c>
      <c r="C627" t="s">
        <v>18</v>
      </c>
      <c r="D627" t="s">
        <v>105</v>
      </c>
      <c r="F627" t="s">
        <v>586</v>
      </c>
      <c r="G627" t="s">
        <v>83</v>
      </c>
      <c r="H627" t="s">
        <v>29</v>
      </c>
      <c r="I627" s="131">
        <v>44912</v>
      </c>
      <c r="J627" s="6">
        <v>233732556.84</v>
      </c>
      <c r="K627">
        <v>1688219.73</v>
      </c>
      <c r="L627">
        <v>238200796.05000001</v>
      </c>
      <c r="M627">
        <v>3.9233220000000002</v>
      </c>
      <c r="N627">
        <v>237000000</v>
      </c>
      <c r="O627">
        <v>1.8714660000000001</v>
      </c>
      <c r="P627">
        <v>4.2483293999999996E-3</v>
      </c>
      <c r="Q627" t="s">
        <v>42</v>
      </c>
      <c r="R627" t="s">
        <v>23</v>
      </c>
      <c r="S627" s="131">
        <v>42951</v>
      </c>
      <c r="T627" s="6">
        <f>DataTable[HLD_MaturityDate] - DataTable[SEC_Issue_Date]</f>
        <v>1961</v>
      </c>
      <c r="U627" s="131" t="str">
        <f>DataTable[HLD_Portfolio]&amp;DataTable[HLD_Date]</f>
        <v>SCBFPFUND43397</v>
      </c>
      <c r="V627" t="str">
        <f>DataTable[[#This Row],[RefRng]]&amp;DataTable[[#This Row],[HLD_SecCode]]</f>
        <v>SCBFPFUND43397LB22DA</v>
      </c>
    </row>
    <row r="628" spans="1:22" x14ac:dyDescent="0.2">
      <c r="A628" s="131">
        <v>43397</v>
      </c>
      <c r="B628" t="s">
        <v>335</v>
      </c>
      <c r="C628" t="s">
        <v>18</v>
      </c>
      <c r="D628" t="s">
        <v>105</v>
      </c>
      <c r="F628" t="s">
        <v>587</v>
      </c>
      <c r="G628" t="s">
        <v>83</v>
      </c>
      <c r="H628" t="s">
        <v>29</v>
      </c>
      <c r="I628" s="131">
        <v>45277</v>
      </c>
      <c r="J628" s="6">
        <v>205603620.97999999</v>
      </c>
      <c r="K628">
        <v>934619.94</v>
      </c>
      <c r="L628">
        <v>206594635.47999999</v>
      </c>
      <c r="M628">
        <v>4.7901300000000004</v>
      </c>
      <c r="N628">
        <v>206000000</v>
      </c>
      <c r="O628">
        <v>2.3401049999999999</v>
      </c>
      <c r="P628">
        <v>3.7271242000000001E-3</v>
      </c>
      <c r="Q628" t="s">
        <v>42</v>
      </c>
      <c r="R628" t="s">
        <v>23</v>
      </c>
      <c r="S628" s="131">
        <v>43329</v>
      </c>
      <c r="T628" s="6">
        <f>DataTable[HLD_MaturityDate] - DataTable[SEC_Issue_Date]</f>
        <v>1948</v>
      </c>
      <c r="U628" s="131" t="str">
        <f>DataTable[HLD_Portfolio]&amp;DataTable[HLD_Date]</f>
        <v>SCBFPFUND43397</v>
      </c>
      <c r="V628" t="str">
        <f>DataTable[[#This Row],[RefRng]]&amp;DataTable[[#This Row],[HLD_SecCode]]</f>
        <v>SCBFPFUND43397LB23DA</v>
      </c>
    </row>
    <row r="629" spans="1:22" x14ac:dyDescent="0.2">
      <c r="A629" s="131">
        <v>43397</v>
      </c>
      <c r="B629" t="s">
        <v>335</v>
      </c>
      <c r="C629" t="s">
        <v>18</v>
      </c>
      <c r="D629" t="s">
        <v>105</v>
      </c>
      <c r="F629" t="s">
        <v>1282</v>
      </c>
      <c r="G629" t="s">
        <v>83</v>
      </c>
      <c r="H629" t="s">
        <v>29</v>
      </c>
      <c r="I629" s="131">
        <v>47104</v>
      </c>
      <c r="J629" s="6">
        <v>602255585.12</v>
      </c>
      <c r="K629">
        <v>4978871.0999999996</v>
      </c>
      <c r="L629">
        <v>602255585.12</v>
      </c>
      <c r="M629">
        <v>8.6756609999999998</v>
      </c>
      <c r="N629">
        <v>602000000</v>
      </c>
      <c r="O629">
        <v>2.87</v>
      </c>
      <c r="P629">
        <v>1.09579623E-2</v>
      </c>
      <c r="Q629" t="s">
        <v>42</v>
      </c>
      <c r="R629" t="s">
        <v>23</v>
      </c>
      <c r="S629" s="131">
        <v>43294</v>
      </c>
      <c r="T629" s="6">
        <f>DataTable[HLD_MaturityDate] - DataTable[SEC_Issue_Date]</f>
        <v>3810</v>
      </c>
      <c r="U629" s="131" t="str">
        <f>DataTable[HLD_Portfolio]&amp;DataTable[HLD_Date]</f>
        <v>SCBFPFUND43397</v>
      </c>
      <c r="V629" t="str">
        <f>DataTable[[#This Row],[RefRng]]&amp;DataTable[[#This Row],[HLD_SecCode]]</f>
        <v>SCBFPFUND43397LB28DA</v>
      </c>
    </row>
    <row r="630" spans="1:22" x14ac:dyDescent="0.2">
      <c r="A630" s="131">
        <v>43397</v>
      </c>
      <c r="B630" t="s">
        <v>335</v>
      </c>
      <c r="C630" t="s">
        <v>18</v>
      </c>
      <c r="D630" t="s">
        <v>105</v>
      </c>
      <c r="F630" t="s">
        <v>628</v>
      </c>
      <c r="G630" t="s">
        <v>629</v>
      </c>
      <c r="I630" s="131">
        <v>44831</v>
      </c>
      <c r="J630" s="6">
        <v>97372852</v>
      </c>
      <c r="K630">
        <v>140384</v>
      </c>
      <c r="L630">
        <v>100000000</v>
      </c>
      <c r="M630">
        <v>3.7448389999999998</v>
      </c>
      <c r="N630">
        <v>100000000</v>
      </c>
      <c r="O630">
        <v>1.83</v>
      </c>
      <c r="P630">
        <v>1.7596932E-3</v>
      </c>
      <c r="Q630" t="s">
        <v>42</v>
      </c>
      <c r="R630" t="s">
        <v>23</v>
      </c>
      <c r="S630" s="131">
        <v>43005</v>
      </c>
      <c r="T630" s="6">
        <f>DataTable[HLD_MaturityDate] - DataTable[SEC_Issue_Date]</f>
        <v>1826</v>
      </c>
      <c r="U630" s="131" t="str">
        <f>DataTable[HLD_Portfolio]&amp;DataTable[HLD_Date]</f>
        <v>SCBFPFUND43397</v>
      </c>
      <c r="V630" t="str">
        <f>DataTable[[#This Row],[RefRng]]&amp;DataTable[[#This Row],[HLD_SecCode]]</f>
        <v>SCBFPFUND43397EXAT229A</v>
      </c>
    </row>
    <row r="631" spans="1:22" x14ac:dyDescent="0.2">
      <c r="A631" s="131">
        <v>43397</v>
      </c>
      <c r="B631" t="s">
        <v>335</v>
      </c>
      <c r="C631" t="s">
        <v>18</v>
      </c>
      <c r="D631" t="s">
        <v>102</v>
      </c>
      <c r="F631" t="s">
        <v>630</v>
      </c>
      <c r="G631" t="s">
        <v>631</v>
      </c>
      <c r="H631" t="s">
        <v>116</v>
      </c>
      <c r="I631" s="131">
        <v>44399</v>
      </c>
      <c r="J631" s="6">
        <v>148623262.5</v>
      </c>
      <c r="K631">
        <v>925273.5</v>
      </c>
      <c r="L631">
        <v>150000000</v>
      </c>
      <c r="M631">
        <v>2.6212599999999999</v>
      </c>
      <c r="N631">
        <v>150000000</v>
      </c>
      <c r="O631">
        <v>2.37</v>
      </c>
      <c r="P631">
        <v>2.6987058999999999E-3</v>
      </c>
      <c r="Q631" t="s">
        <v>42</v>
      </c>
      <c r="R631" t="s">
        <v>23</v>
      </c>
      <c r="S631" s="131">
        <v>42573</v>
      </c>
      <c r="T631" s="6">
        <f>DataTable[HLD_MaturityDate] - DataTable[SEC_Issue_Date]</f>
        <v>1826</v>
      </c>
      <c r="U631" s="131" t="str">
        <f>DataTable[HLD_Portfolio]&amp;DataTable[HLD_Date]</f>
        <v>SCBFPFUND43397</v>
      </c>
      <c r="V631" t="str">
        <f>DataTable[[#This Row],[RefRng]]&amp;DataTable[[#This Row],[HLD_SecCode]]</f>
        <v>SCBFPFUND43397EA217A</v>
      </c>
    </row>
    <row r="632" spans="1:22" x14ac:dyDescent="0.2">
      <c r="A632" s="131">
        <v>43397</v>
      </c>
      <c r="B632" t="s">
        <v>335</v>
      </c>
      <c r="C632" t="s">
        <v>18</v>
      </c>
      <c r="D632" t="s">
        <v>102</v>
      </c>
      <c r="F632" t="s">
        <v>632</v>
      </c>
      <c r="G632" t="s">
        <v>633</v>
      </c>
      <c r="I632" s="131">
        <v>43692</v>
      </c>
      <c r="J632" s="6">
        <v>1498513605</v>
      </c>
      <c r="K632">
        <v>5835615</v>
      </c>
      <c r="L632">
        <v>1499893365</v>
      </c>
      <c r="M632">
        <v>0.79622700000000002</v>
      </c>
      <c r="N632">
        <v>1500000000</v>
      </c>
      <c r="O632">
        <v>1.9971460000000001</v>
      </c>
      <c r="P632">
        <v>2.7147013599999999E-2</v>
      </c>
      <c r="Q632" t="s">
        <v>42</v>
      </c>
      <c r="R632" t="s">
        <v>23</v>
      </c>
      <c r="S632" s="131">
        <v>42597</v>
      </c>
      <c r="T632" s="6">
        <f>DataTable[HLD_MaturityDate] - DataTable[SEC_Issue_Date]</f>
        <v>1095</v>
      </c>
      <c r="U632" s="131" t="str">
        <f>DataTable[HLD_Portfolio]&amp;DataTable[HLD_Date]</f>
        <v>SCBFPFUND43397</v>
      </c>
      <c r="V632" t="str">
        <f>DataTable[[#This Row],[RefRng]]&amp;DataTable[[#This Row],[HLD_SecCode]]</f>
        <v>SCBFPFUND43397GED198A</v>
      </c>
    </row>
    <row r="633" spans="1:22" x14ac:dyDescent="0.2">
      <c r="A633" s="131">
        <v>43397</v>
      </c>
      <c r="B633" t="s">
        <v>335</v>
      </c>
      <c r="C633" t="s">
        <v>18</v>
      </c>
      <c r="D633" t="s">
        <v>102</v>
      </c>
      <c r="F633" t="s">
        <v>634</v>
      </c>
      <c r="G633" t="s">
        <v>565</v>
      </c>
      <c r="I633" s="131">
        <v>43889</v>
      </c>
      <c r="J633" s="6">
        <v>599468664</v>
      </c>
      <c r="K633">
        <v>3130848</v>
      </c>
      <c r="L633">
        <v>599992356</v>
      </c>
      <c r="M633">
        <v>1.312268</v>
      </c>
      <c r="N633">
        <v>600000000</v>
      </c>
      <c r="O633">
        <v>2.1338140000000001</v>
      </c>
      <c r="P633">
        <v>1.0874321500000001E-2</v>
      </c>
      <c r="Q633" t="s">
        <v>42</v>
      </c>
      <c r="R633" t="s">
        <v>23</v>
      </c>
      <c r="S633" s="131">
        <v>42397</v>
      </c>
      <c r="T633" s="6">
        <f>DataTable[HLD_MaturityDate] - DataTable[SEC_Issue_Date]</f>
        <v>1492</v>
      </c>
      <c r="U633" s="131" t="str">
        <f>DataTable[HLD_Portfolio]&amp;DataTable[HLD_Date]</f>
        <v>SCBFPFUND43397</v>
      </c>
      <c r="V633" t="str">
        <f>DataTable[[#This Row],[RefRng]]&amp;DataTable[[#This Row],[HLD_SecCode]]</f>
        <v>SCBFPFUND43397TLT202A</v>
      </c>
    </row>
    <row r="634" spans="1:22" x14ac:dyDescent="0.2">
      <c r="A634" s="131">
        <v>43397</v>
      </c>
      <c r="B634" t="s">
        <v>335</v>
      </c>
      <c r="C634" t="s">
        <v>18</v>
      </c>
      <c r="D634" t="s">
        <v>102</v>
      </c>
      <c r="F634" t="s">
        <v>635</v>
      </c>
      <c r="G634" t="s">
        <v>565</v>
      </c>
      <c r="I634" s="131">
        <v>44162</v>
      </c>
      <c r="J634" s="6">
        <v>248228100</v>
      </c>
      <c r="K634">
        <v>2068492.5</v>
      </c>
      <c r="L634">
        <v>250000000</v>
      </c>
      <c r="M634">
        <v>2.0174949999999998</v>
      </c>
      <c r="N634">
        <v>250000000</v>
      </c>
      <c r="O634">
        <v>2</v>
      </c>
      <c r="P634">
        <v>4.5167736999999998E-3</v>
      </c>
      <c r="Q634" t="s">
        <v>42</v>
      </c>
      <c r="R634" t="s">
        <v>23</v>
      </c>
      <c r="S634" s="131">
        <v>42517</v>
      </c>
      <c r="T634" s="6">
        <f>DataTable[HLD_MaturityDate] - DataTable[SEC_Issue_Date]</f>
        <v>1645</v>
      </c>
      <c r="U634" s="131" t="str">
        <f>DataTable[HLD_Portfolio]&amp;DataTable[HLD_Date]</f>
        <v>SCBFPFUND43397</v>
      </c>
      <c r="V634" t="str">
        <f>DataTable[[#This Row],[RefRng]]&amp;DataTable[[#This Row],[HLD_SecCode]]</f>
        <v>SCBFPFUND43397TLT20NA</v>
      </c>
    </row>
    <row r="635" spans="1:22" x14ac:dyDescent="0.2">
      <c r="A635" s="131">
        <v>43397</v>
      </c>
      <c r="B635" t="s">
        <v>335</v>
      </c>
      <c r="C635" t="s">
        <v>18</v>
      </c>
      <c r="D635" t="s">
        <v>102</v>
      </c>
      <c r="F635" t="s">
        <v>698</v>
      </c>
      <c r="G635" t="s">
        <v>194</v>
      </c>
      <c r="H635" t="s">
        <v>29</v>
      </c>
      <c r="I635" s="131">
        <v>43948</v>
      </c>
      <c r="J635" s="6">
        <v>0</v>
      </c>
      <c r="K635">
        <v>85698.63</v>
      </c>
      <c r="L635">
        <v>0</v>
      </c>
      <c r="M635">
        <v>1.4627810000000001</v>
      </c>
      <c r="N635">
        <v>0</v>
      </c>
      <c r="O635">
        <v>0</v>
      </c>
      <c r="P635">
        <v>1.5464999999999999E-6</v>
      </c>
      <c r="Q635" t="s">
        <v>42</v>
      </c>
      <c r="R635" t="s">
        <v>23</v>
      </c>
      <c r="S635" s="131">
        <v>42852</v>
      </c>
      <c r="T635" s="6">
        <f>DataTable[HLD_MaturityDate] - DataTable[SEC_Issue_Date]</f>
        <v>1096</v>
      </c>
      <c r="U635" s="131" t="str">
        <f>DataTable[HLD_Portfolio]&amp;DataTable[HLD_Date]</f>
        <v>SCBFPFUND43397</v>
      </c>
      <c r="V635" t="str">
        <f>DataTable[[#This Row],[RefRng]]&amp;DataTable[[#This Row],[HLD_SecCode]]</f>
        <v>SCBFPFUND43397SIRI204A</v>
      </c>
    </row>
    <row r="636" spans="1:22" x14ac:dyDescent="0.2">
      <c r="A636" s="131">
        <v>43397</v>
      </c>
      <c r="B636" t="s">
        <v>335</v>
      </c>
      <c r="C636" t="s">
        <v>18</v>
      </c>
      <c r="D636" t="s">
        <v>102</v>
      </c>
      <c r="F636" t="s">
        <v>638</v>
      </c>
      <c r="G636" t="s">
        <v>639</v>
      </c>
      <c r="H636" t="s">
        <v>116</v>
      </c>
      <c r="I636" s="131">
        <v>43942</v>
      </c>
      <c r="J636" s="6">
        <v>120502735.2</v>
      </c>
      <c r="K636">
        <v>35244</v>
      </c>
      <c r="L636">
        <v>119934624</v>
      </c>
      <c r="M636">
        <v>1.4506060000000001</v>
      </c>
      <c r="N636">
        <v>120000000</v>
      </c>
      <c r="O636">
        <v>2.72</v>
      </c>
      <c r="P636">
        <v>2.1751905000000002E-3</v>
      </c>
      <c r="Q636" t="s">
        <v>42</v>
      </c>
      <c r="R636" t="s">
        <v>23</v>
      </c>
      <c r="S636" s="131">
        <v>42846</v>
      </c>
      <c r="T636" s="6">
        <f>DataTable[HLD_MaturityDate] - DataTable[SEC_Issue_Date]</f>
        <v>1096</v>
      </c>
      <c r="U636" s="131" t="str">
        <f>DataTable[HLD_Portfolio]&amp;DataTable[HLD_Date]</f>
        <v>SCBFPFUND43397</v>
      </c>
      <c r="V636" t="str">
        <f>DataTable[[#This Row],[RefRng]]&amp;DataTable[[#This Row],[HLD_SecCode]]</f>
        <v>SCBFPFUND43397ABPSPV204A</v>
      </c>
    </row>
    <row r="637" spans="1:22" x14ac:dyDescent="0.2">
      <c r="A637" s="131">
        <v>43397</v>
      </c>
      <c r="B637" t="s">
        <v>335</v>
      </c>
      <c r="C637" t="s">
        <v>18</v>
      </c>
      <c r="D637" t="s">
        <v>102</v>
      </c>
      <c r="F637" t="s">
        <v>640</v>
      </c>
      <c r="G637" t="s">
        <v>639</v>
      </c>
      <c r="H637" t="s">
        <v>116</v>
      </c>
      <c r="I637" s="131">
        <v>44307</v>
      </c>
      <c r="J637" s="6">
        <v>70548828</v>
      </c>
      <c r="K637">
        <v>23013.9</v>
      </c>
      <c r="L637">
        <v>70000000</v>
      </c>
      <c r="M637">
        <v>2.383337</v>
      </c>
      <c r="N637">
        <v>70000000</v>
      </c>
      <c r="O637">
        <v>3</v>
      </c>
      <c r="P637">
        <v>1.2735172999999999E-3</v>
      </c>
      <c r="Q637" t="s">
        <v>42</v>
      </c>
      <c r="R637" t="s">
        <v>23</v>
      </c>
      <c r="S637" s="131">
        <v>42846</v>
      </c>
      <c r="T637" s="6">
        <f>DataTable[HLD_MaturityDate] - DataTable[SEC_Issue_Date]</f>
        <v>1461</v>
      </c>
      <c r="U637" s="131" t="str">
        <f>DataTable[HLD_Portfolio]&amp;DataTable[HLD_Date]</f>
        <v>SCBFPFUND43397</v>
      </c>
      <c r="V637" t="str">
        <f>DataTable[[#This Row],[RefRng]]&amp;DataTable[[#This Row],[HLD_SecCode]]</f>
        <v>SCBFPFUND43397ABPSPV214A</v>
      </c>
    </row>
    <row r="638" spans="1:22" x14ac:dyDescent="0.2">
      <c r="A638" s="131">
        <v>43397</v>
      </c>
      <c r="B638" t="s">
        <v>335</v>
      </c>
      <c r="C638" t="s">
        <v>18</v>
      </c>
      <c r="D638" t="s">
        <v>102</v>
      </c>
      <c r="F638" t="s">
        <v>641</v>
      </c>
      <c r="G638" t="s">
        <v>639</v>
      </c>
      <c r="H638" t="s">
        <v>116</v>
      </c>
      <c r="I638" s="131">
        <v>44672</v>
      </c>
      <c r="J638" s="6">
        <v>50463617</v>
      </c>
      <c r="K638">
        <v>17808</v>
      </c>
      <c r="L638">
        <v>50000000</v>
      </c>
      <c r="M638">
        <v>3.2764419999999999</v>
      </c>
      <c r="N638">
        <v>50000000</v>
      </c>
      <c r="O638">
        <v>3.25</v>
      </c>
      <c r="P638">
        <v>9.1097189999999998E-4</v>
      </c>
      <c r="Q638" t="s">
        <v>42</v>
      </c>
      <c r="R638" t="s">
        <v>23</v>
      </c>
      <c r="S638" s="131">
        <v>42846</v>
      </c>
      <c r="T638" s="6">
        <f>DataTable[HLD_MaturityDate] - DataTable[SEC_Issue_Date]</f>
        <v>1826</v>
      </c>
      <c r="U638" s="131" t="str">
        <f>DataTable[HLD_Portfolio]&amp;DataTable[HLD_Date]</f>
        <v>SCBFPFUND43397</v>
      </c>
      <c r="V638" t="str">
        <f>DataTable[[#This Row],[RefRng]]&amp;DataTable[[#This Row],[HLD_SecCode]]</f>
        <v>SCBFPFUND43397ABPSPV224A</v>
      </c>
    </row>
    <row r="639" spans="1:22" x14ac:dyDescent="0.2">
      <c r="A639" s="131">
        <v>43397</v>
      </c>
      <c r="B639" t="s">
        <v>335</v>
      </c>
      <c r="C639" t="s">
        <v>18</v>
      </c>
      <c r="D639" t="s">
        <v>102</v>
      </c>
      <c r="F639" t="s">
        <v>636</v>
      </c>
      <c r="G639" t="s">
        <v>637</v>
      </c>
      <c r="H639" t="s">
        <v>51</v>
      </c>
      <c r="I639" s="131">
        <v>44728</v>
      </c>
      <c r="J639" s="6">
        <v>10355546.4</v>
      </c>
      <c r="K639">
        <v>137819.20000000001</v>
      </c>
      <c r="L639">
        <v>10563110.800000001</v>
      </c>
      <c r="M639">
        <v>3.3473229999999998</v>
      </c>
      <c r="N639">
        <v>10000000</v>
      </c>
      <c r="O639">
        <v>2.2200000000000002</v>
      </c>
      <c r="P639">
        <v>1.8935999999999999E-4</v>
      </c>
      <c r="Q639" t="s">
        <v>42</v>
      </c>
      <c r="R639" t="s">
        <v>23</v>
      </c>
      <c r="S639" s="131">
        <v>42171</v>
      </c>
      <c r="T639" s="6">
        <f>DataTable[HLD_MaturityDate] - DataTable[SEC_Issue_Date]</f>
        <v>2557</v>
      </c>
      <c r="U639" s="131" t="str">
        <f>DataTable[HLD_Portfolio]&amp;DataTable[HLD_Date]</f>
        <v>SCBFPFUND43397</v>
      </c>
      <c r="V639" t="str">
        <f>DataTable[[#This Row],[RefRng]]&amp;DataTable[[#This Row],[HLD_SecCode]]</f>
        <v>SCBFPFUND43397EASTW226A</v>
      </c>
    </row>
    <row r="640" spans="1:22" x14ac:dyDescent="0.2">
      <c r="A640" s="131">
        <v>43397</v>
      </c>
      <c r="B640" t="s">
        <v>335</v>
      </c>
      <c r="C640" t="s">
        <v>18</v>
      </c>
      <c r="D640" t="s">
        <v>102</v>
      </c>
      <c r="F640" t="s">
        <v>642</v>
      </c>
      <c r="G640" t="s">
        <v>643</v>
      </c>
      <c r="H640" t="s">
        <v>47</v>
      </c>
      <c r="I640" s="131">
        <v>44375</v>
      </c>
      <c r="J640" s="6">
        <v>966519358.70000005</v>
      </c>
      <c r="K640">
        <v>7906159.5999999996</v>
      </c>
      <c r="L640">
        <v>969949627.89999998</v>
      </c>
      <c r="M640">
        <v>2.5504060000000002</v>
      </c>
      <c r="N640">
        <v>970000000</v>
      </c>
      <c r="O640">
        <v>2.5</v>
      </c>
      <c r="P640">
        <v>1.7584176900000002E-2</v>
      </c>
      <c r="Q640" t="s">
        <v>42</v>
      </c>
      <c r="R640" t="s">
        <v>23</v>
      </c>
      <c r="S640" s="131">
        <v>43279</v>
      </c>
      <c r="T640" s="6">
        <f>DataTable[HLD_MaturityDate] - DataTable[SEC_Issue_Date]</f>
        <v>1096</v>
      </c>
      <c r="U640" s="131" t="str">
        <f>DataTable[HLD_Portfolio]&amp;DataTable[HLD_Date]</f>
        <v>SCBFPFUND43397</v>
      </c>
      <c r="V640" t="str">
        <f>DataTable[[#This Row],[RefRng]]&amp;DataTable[[#This Row],[HLD_SecCode]]</f>
        <v>SCBFPFUND43397TREIT216A</v>
      </c>
    </row>
    <row r="641" spans="1:22" x14ac:dyDescent="0.2">
      <c r="A641" s="131">
        <v>43397</v>
      </c>
      <c r="B641" t="s">
        <v>335</v>
      </c>
      <c r="C641" t="s">
        <v>18</v>
      </c>
      <c r="D641" t="s">
        <v>102</v>
      </c>
      <c r="F641" t="s">
        <v>514</v>
      </c>
      <c r="G641" t="s">
        <v>230</v>
      </c>
      <c r="H641" t="s">
        <v>29</v>
      </c>
      <c r="I641" s="131">
        <v>43431</v>
      </c>
      <c r="J641" s="6">
        <v>359087563.69</v>
      </c>
      <c r="K641">
        <v>5314772.42</v>
      </c>
      <c r="L641">
        <v>359000000</v>
      </c>
      <c r="M641">
        <v>9.0255000000000002E-2</v>
      </c>
      <c r="N641">
        <v>359000000</v>
      </c>
      <c r="O641">
        <v>2.2799999999999998</v>
      </c>
      <c r="P641">
        <v>6.5758900999999996E-3</v>
      </c>
      <c r="Q641" t="s">
        <v>42</v>
      </c>
      <c r="R641" t="s">
        <v>23</v>
      </c>
      <c r="S641" s="131">
        <v>43161</v>
      </c>
      <c r="T641" s="6">
        <f>DataTable[HLD_MaturityDate] - DataTable[SEC_Issue_Date]</f>
        <v>270</v>
      </c>
      <c r="U641" s="131" t="str">
        <f>DataTable[HLD_Portfolio]&amp;DataTable[HLD_Date]</f>
        <v>SCBFPFUND43397</v>
      </c>
      <c r="V641" t="str">
        <f>DataTable[[#This Row],[RefRng]]&amp;DataTable[[#This Row],[HLD_SecCode]]</f>
        <v>SCBFPFUND43397TRUE18N27A</v>
      </c>
    </row>
    <row r="642" spans="1:22" x14ac:dyDescent="0.2">
      <c r="A642" s="131">
        <v>43397</v>
      </c>
      <c r="B642" t="s">
        <v>335</v>
      </c>
      <c r="C642" t="s">
        <v>18</v>
      </c>
      <c r="D642" t="s">
        <v>102</v>
      </c>
      <c r="F642" t="s">
        <v>561</v>
      </c>
      <c r="G642" t="s">
        <v>230</v>
      </c>
      <c r="H642" t="s">
        <v>29</v>
      </c>
      <c r="I642" s="131">
        <v>43494</v>
      </c>
      <c r="J642" s="6">
        <v>340982738.57999998</v>
      </c>
      <c r="K642">
        <v>3738853.58</v>
      </c>
      <c r="L642">
        <v>341000000</v>
      </c>
      <c r="M642">
        <v>0.261436</v>
      </c>
      <c r="N642">
        <v>341000000</v>
      </c>
      <c r="O642">
        <v>2.2999999999999998</v>
      </c>
      <c r="P642">
        <v>6.2207375999999998E-3</v>
      </c>
      <c r="Q642" t="s">
        <v>42</v>
      </c>
      <c r="R642" t="s">
        <v>23</v>
      </c>
      <c r="S642" s="131">
        <v>43224</v>
      </c>
      <c r="T642" s="6">
        <f>DataTable[HLD_MaturityDate] - DataTable[SEC_Issue_Date]</f>
        <v>270</v>
      </c>
      <c r="U642" s="131" t="str">
        <f>DataTable[HLD_Portfolio]&amp;DataTable[HLD_Date]</f>
        <v>SCBFPFUND43397</v>
      </c>
      <c r="V642" t="str">
        <f>DataTable[[#This Row],[RefRng]]&amp;DataTable[[#This Row],[HLD_SecCode]]</f>
        <v>SCBFPFUND43397TRUE19129A</v>
      </c>
    </row>
    <row r="643" spans="1:22" x14ac:dyDescent="0.2">
      <c r="A643" s="131">
        <v>43397</v>
      </c>
      <c r="B643" t="s">
        <v>335</v>
      </c>
      <c r="C643" t="s">
        <v>18</v>
      </c>
      <c r="D643" t="s">
        <v>102</v>
      </c>
      <c r="F643" t="s">
        <v>515</v>
      </c>
      <c r="G643" t="s">
        <v>230</v>
      </c>
      <c r="H643" t="s">
        <v>29</v>
      </c>
      <c r="I643" s="131">
        <v>43494</v>
      </c>
      <c r="J643" s="6">
        <v>1417941082.0999999</v>
      </c>
      <c r="K643">
        <v>13403006.9</v>
      </c>
      <c r="L643">
        <v>1417956382.3199999</v>
      </c>
      <c r="M643">
        <v>0.261436</v>
      </c>
      <c r="N643">
        <v>1418000000</v>
      </c>
      <c r="O643">
        <v>2.2901199999999999</v>
      </c>
      <c r="P643">
        <v>2.58295859E-2</v>
      </c>
      <c r="Q643" t="s">
        <v>42</v>
      </c>
      <c r="R643" t="s">
        <v>23</v>
      </c>
      <c r="S643" s="131">
        <v>43248</v>
      </c>
      <c r="T643" s="6">
        <f>DataTable[HLD_MaturityDate] - DataTable[SEC_Issue_Date]</f>
        <v>246</v>
      </c>
      <c r="U643" s="131" t="str">
        <f>DataTable[HLD_Portfolio]&amp;DataTable[HLD_Date]</f>
        <v>SCBFPFUND43397</v>
      </c>
      <c r="V643" t="str">
        <f>DataTable[[#This Row],[RefRng]]&amp;DataTable[[#This Row],[HLD_SecCode]]</f>
        <v>SCBFPFUND43397TRUE19129B</v>
      </c>
    </row>
    <row r="644" spans="1:22" x14ac:dyDescent="0.2">
      <c r="A644" s="131">
        <v>43397</v>
      </c>
      <c r="B644" t="s">
        <v>335</v>
      </c>
      <c r="C644" t="s">
        <v>18</v>
      </c>
      <c r="D644" t="s">
        <v>102</v>
      </c>
      <c r="F644" t="s">
        <v>1253</v>
      </c>
      <c r="G644" t="s">
        <v>230</v>
      </c>
      <c r="H644" t="s">
        <v>29</v>
      </c>
      <c r="I644" s="131">
        <v>43661</v>
      </c>
      <c r="J644" s="6">
        <v>740226203.20000005</v>
      </c>
      <c r="K644">
        <v>425751.6</v>
      </c>
      <c r="L644">
        <v>740000000</v>
      </c>
      <c r="M644">
        <v>0.70552599999999999</v>
      </c>
      <c r="N644">
        <v>740000000</v>
      </c>
      <c r="O644">
        <v>3</v>
      </c>
      <c r="P644">
        <v>1.33655726E-2</v>
      </c>
      <c r="Q644" t="s">
        <v>42</v>
      </c>
      <c r="R644" t="s">
        <v>23</v>
      </c>
      <c r="S644" s="131">
        <v>43391</v>
      </c>
      <c r="T644" s="6">
        <f>DataTable[HLD_MaturityDate] - DataTable[SEC_Issue_Date]</f>
        <v>270</v>
      </c>
      <c r="U644" s="131" t="str">
        <f>DataTable[HLD_Portfolio]&amp;DataTable[HLD_Date]</f>
        <v>SCBFPFUND43397</v>
      </c>
      <c r="V644" t="str">
        <f>DataTable[[#This Row],[RefRng]]&amp;DataTable[[#This Row],[HLD_SecCode]]</f>
        <v>SCBFPFUND43397TRUE19715A</v>
      </c>
    </row>
    <row r="645" spans="1:22" x14ac:dyDescent="0.2">
      <c r="A645" s="131">
        <v>43397</v>
      </c>
      <c r="B645" t="s">
        <v>335</v>
      </c>
      <c r="C645" t="s">
        <v>18</v>
      </c>
      <c r="D645" t="s">
        <v>102</v>
      </c>
      <c r="F645" t="s">
        <v>644</v>
      </c>
      <c r="G645" t="s">
        <v>230</v>
      </c>
      <c r="H645" t="s">
        <v>29</v>
      </c>
      <c r="I645" s="131">
        <v>44875</v>
      </c>
      <c r="J645" s="6">
        <v>20244549.800000001</v>
      </c>
      <c r="K645">
        <v>378345.2</v>
      </c>
      <c r="L645">
        <v>20264152.600000001</v>
      </c>
      <c r="M645">
        <v>3.63218</v>
      </c>
      <c r="N645">
        <v>20000000</v>
      </c>
      <c r="O645">
        <v>3.75</v>
      </c>
      <c r="P645">
        <v>3.7215430000000002E-4</v>
      </c>
      <c r="Q645" t="s">
        <v>42</v>
      </c>
      <c r="R645" t="s">
        <v>23</v>
      </c>
      <c r="S645" s="131">
        <v>42318</v>
      </c>
      <c r="T645" s="6">
        <f>DataTable[HLD_MaturityDate] - DataTable[SEC_Issue_Date]</f>
        <v>2557</v>
      </c>
      <c r="U645" s="131" t="str">
        <f>DataTable[HLD_Portfolio]&amp;DataTable[HLD_Date]</f>
        <v>SCBFPFUND43397</v>
      </c>
      <c r="V645" t="str">
        <f>DataTable[[#This Row],[RefRng]]&amp;DataTable[[#This Row],[HLD_SecCode]]</f>
        <v>SCBFPFUND43397TRUE22NA</v>
      </c>
    </row>
    <row r="646" spans="1:22" x14ac:dyDescent="0.2">
      <c r="A646" s="131">
        <v>43397</v>
      </c>
      <c r="B646" t="s">
        <v>335</v>
      </c>
      <c r="C646" t="s">
        <v>18</v>
      </c>
      <c r="D646" t="s">
        <v>102</v>
      </c>
      <c r="F646" t="s">
        <v>516</v>
      </c>
      <c r="G646" t="s">
        <v>232</v>
      </c>
      <c r="H646" t="s">
        <v>29</v>
      </c>
      <c r="I646" s="131">
        <v>43454</v>
      </c>
      <c r="J646" s="6">
        <v>119048970.88</v>
      </c>
      <c r="K646">
        <v>1574712.72</v>
      </c>
      <c r="L646">
        <v>119000000</v>
      </c>
      <c r="M646">
        <v>0.15293799999999999</v>
      </c>
      <c r="N646">
        <v>119000000</v>
      </c>
      <c r="O646">
        <v>2.2999999999999998</v>
      </c>
      <c r="P646">
        <v>2.1767370999999998E-3</v>
      </c>
      <c r="Q646" t="s">
        <v>42</v>
      </c>
      <c r="R646" t="s">
        <v>23</v>
      </c>
      <c r="S646" s="131">
        <v>43188</v>
      </c>
      <c r="T646" s="6">
        <f>DataTable[HLD_MaturityDate] - DataTable[SEC_Issue_Date]</f>
        <v>266</v>
      </c>
      <c r="U646" s="131" t="str">
        <f>DataTable[HLD_Portfolio]&amp;DataTable[HLD_Date]</f>
        <v>SCBFPFUND43397</v>
      </c>
      <c r="V646" t="str">
        <f>DataTable[[#This Row],[RefRng]]&amp;DataTable[[#This Row],[HLD_SecCode]]</f>
        <v>SCBFPFUND43397TUC18D20A</v>
      </c>
    </row>
    <row r="647" spans="1:22" x14ac:dyDescent="0.2">
      <c r="A647" s="131">
        <v>43397</v>
      </c>
      <c r="B647" t="s">
        <v>335</v>
      </c>
      <c r="C647" t="s">
        <v>18</v>
      </c>
      <c r="D647" t="s">
        <v>102</v>
      </c>
      <c r="F647" t="s">
        <v>231</v>
      </c>
      <c r="G647" t="s">
        <v>232</v>
      </c>
      <c r="H647" t="s">
        <v>29</v>
      </c>
      <c r="I647" s="131">
        <v>43494</v>
      </c>
      <c r="J647" s="6">
        <v>423964791.04000002</v>
      </c>
      <c r="K647">
        <v>4007669.2</v>
      </c>
      <c r="L647">
        <v>424000000</v>
      </c>
      <c r="M647">
        <v>0.26142500000000002</v>
      </c>
      <c r="N647">
        <v>424000000</v>
      </c>
      <c r="O647">
        <v>2.2999999999999998</v>
      </c>
      <c r="P647">
        <v>7.7230566E-3</v>
      </c>
      <c r="Q647" t="s">
        <v>42</v>
      </c>
      <c r="R647" t="s">
        <v>23</v>
      </c>
      <c r="S647" s="131">
        <v>43248</v>
      </c>
      <c r="T647" s="6">
        <f>DataTable[HLD_MaturityDate] - DataTable[SEC_Issue_Date]</f>
        <v>246</v>
      </c>
      <c r="U647" s="131" t="str">
        <f>DataTable[HLD_Portfolio]&amp;DataTable[HLD_Date]</f>
        <v>SCBFPFUND43397</v>
      </c>
      <c r="V647" t="str">
        <f>DataTable[[#This Row],[RefRng]]&amp;DataTable[[#This Row],[HLD_SecCode]]</f>
        <v>SCBFPFUND43397TUC19129B</v>
      </c>
    </row>
    <row r="648" spans="1:22" x14ac:dyDescent="0.2">
      <c r="A648" s="131">
        <v>43397</v>
      </c>
      <c r="B648" t="s">
        <v>335</v>
      </c>
      <c r="C648" t="s">
        <v>18</v>
      </c>
      <c r="D648" t="s">
        <v>102</v>
      </c>
      <c r="F648" t="s">
        <v>233</v>
      </c>
      <c r="G648" t="s">
        <v>232</v>
      </c>
      <c r="H648" t="s">
        <v>29</v>
      </c>
      <c r="I648" s="131">
        <v>44410</v>
      </c>
      <c r="J648" s="6">
        <v>717318661.08000004</v>
      </c>
      <c r="K648">
        <v>6113818.3899999997</v>
      </c>
      <c r="L648">
        <v>718000000</v>
      </c>
      <c r="M648">
        <v>2.6247090000000002</v>
      </c>
      <c r="N648">
        <v>718000000</v>
      </c>
      <c r="O648">
        <v>3.7</v>
      </c>
      <c r="P648">
        <v>1.30548353E-2</v>
      </c>
      <c r="Q648" t="s">
        <v>42</v>
      </c>
      <c r="R648" t="s">
        <v>23</v>
      </c>
      <c r="S648" s="131">
        <v>43314</v>
      </c>
      <c r="T648" s="6">
        <f>DataTable[HLD_MaturityDate] - DataTable[SEC_Issue_Date]</f>
        <v>1096</v>
      </c>
      <c r="U648" s="131" t="str">
        <f>DataTable[HLD_Portfolio]&amp;DataTable[HLD_Date]</f>
        <v>SCBFPFUND43397</v>
      </c>
      <c r="V648" t="str">
        <f>DataTable[[#This Row],[RefRng]]&amp;DataTable[[#This Row],[HLD_SecCode]]</f>
        <v>SCBFPFUND43397TUC218A</v>
      </c>
    </row>
    <row r="649" spans="1:22" x14ac:dyDescent="0.2">
      <c r="A649" s="131">
        <v>43397</v>
      </c>
      <c r="B649" t="s">
        <v>335</v>
      </c>
      <c r="C649" t="s">
        <v>18</v>
      </c>
      <c r="D649" t="s">
        <v>102</v>
      </c>
      <c r="F649" t="s">
        <v>645</v>
      </c>
      <c r="G649" t="s">
        <v>73</v>
      </c>
      <c r="H649" t="s">
        <v>58</v>
      </c>
      <c r="I649" s="131">
        <v>44270</v>
      </c>
      <c r="J649" s="6">
        <v>119304973.2</v>
      </c>
      <c r="K649">
        <v>284054.40000000002</v>
      </c>
      <c r="L649">
        <v>120000000</v>
      </c>
      <c r="M649">
        <v>2.3054190000000001</v>
      </c>
      <c r="N649">
        <v>120000000</v>
      </c>
      <c r="O649">
        <v>2.16</v>
      </c>
      <c r="P649">
        <v>2.1580660000000002E-3</v>
      </c>
      <c r="Q649" t="s">
        <v>42</v>
      </c>
      <c r="R649" t="s">
        <v>23</v>
      </c>
      <c r="S649" s="131">
        <v>42444</v>
      </c>
      <c r="T649" s="6">
        <f>DataTable[HLD_MaturityDate] - DataTable[SEC_Issue_Date]</f>
        <v>1826</v>
      </c>
      <c r="U649" s="131" t="str">
        <f>DataTable[HLD_Portfolio]&amp;DataTable[HLD_Date]</f>
        <v>SCBFPFUND43397</v>
      </c>
      <c r="V649" t="str">
        <f>DataTable[[#This Row],[RefRng]]&amp;DataTable[[#This Row],[HLD_SecCode]]</f>
        <v>SCBFPFUND43397UOBT213A</v>
      </c>
    </row>
    <row r="650" spans="1:22" x14ac:dyDescent="0.2">
      <c r="A650" s="131">
        <v>43397</v>
      </c>
      <c r="B650" t="s">
        <v>335</v>
      </c>
      <c r="C650" t="s">
        <v>18</v>
      </c>
      <c r="D650" t="s">
        <v>102</v>
      </c>
      <c r="F650" t="s">
        <v>234</v>
      </c>
      <c r="G650" t="s">
        <v>235</v>
      </c>
      <c r="H650" t="s">
        <v>116</v>
      </c>
      <c r="I650" s="131">
        <v>44313</v>
      </c>
      <c r="J650" s="6">
        <v>144459981.78</v>
      </c>
      <c r="K650">
        <v>860399.84</v>
      </c>
      <c r="L650">
        <v>146000000</v>
      </c>
      <c r="M650">
        <v>2.422148</v>
      </c>
      <c r="N650">
        <v>146000000</v>
      </c>
      <c r="O650">
        <v>2.39</v>
      </c>
      <c r="P650">
        <v>2.6224059999999999E-3</v>
      </c>
      <c r="Q650" t="s">
        <v>42</v>
      </c>
      <c r="R650" t="s">
        <v>23</v>
      </c>
      <c r="S650" s="131">
        <v>43217</v>
      </c>
      <c r="T650" s="6">
        <f>DataTable[HLD_MaturityDate] - DataTable[SEC_Issue_Date]</f>
        <v>1096</v>
      </c>
      <c r="U650" s="131" t="str">
        <f>DataTable[HLD_Portfolio]&amp;DataTable[HLD_Date]</f>
        <v>SCBFPFUND43397</v>
      </c>
      <c r="V650" t="str">
        <f>DataTable[[#This Row],[RefRng]]&amp;DataTable[[#This Row],[HLD_SecCode]]</f>
        <v>SCBFPFUND43397WHA214A</v>
      </c>
    </row>
    <row r="651" spans="1:22" x14ac:dyDescent="0.2">
      <c r="A651" s="131">
        <v>43397</v>
      </c>
      <c r="B651" t="s">
        <v>335</v>
      </c>
      <c r="C651" t="s">
        <v>18</v>
      </c>
      <c r="D651" t="s">
        <v>102</v>
      </c>
      <c r="F651" t="s">
        <v>236</v>
      </c>
      <c r="G651" t="s">
        <v>237</v>
      </c>
      <c r="H651" t="s">
        <v>47</v>
      </c>
      <c r="I651" s="131">
        <v>44285</v>
      </c>
      <c r="J651" s="6">
        <v>597627824.5</v>
      </c>
      <c r="K651">
        <v>931865.9</v>
      </c>
      <c r="L651">
        <v>602000000</v>
      </c>
      <c r="M651">
        <v>2.3531439999999999</v>
      </c>
      <c r="N651">
        <v>602000000</v>
      </c>
      <c r="O651">
        <v>2.2599999999999998</v>
      </c>
      <c r="P651">
        <v>1.08014202E-2</v>
      </c>
      <c r="Q651" t="s">
        <v>42</v>
      </c>
      <c r="R651" t="s">
        <v>23</v>
      </c>
      <c r="S651" s="131">
        <v>43189</v>
      </c>
      <c r="T651" s="6">
        <f>DataTable[HLD_MaturityDate] - DataTable[SEC_Issue_Date]</f>
        <v>1096</v>
      </c>
      <c r="U651" s="131" t="str">
        <f>DataTable[HLD_Portfolio]&amp;DataTable[HLD_Date]</f>
        <v>SCBFPFUND43397</v>
      </c>
      <c r="V651" t="str">
        <f>DataTable[[#This Row],[RefRng]]&amp;DataTable[[#This Row],[HLD_SecCode]]</f>
        <v>SCBFPFUND43397WHART213A</v>
      </c>
    </row>
    <row r="652" spans="1:22" x14ac:dyDescent="0.2">
      <c r="A652" s="131">
        <v>43397</v>
      </c>
      <c r="B652" t="s">
        <v>335</v>
      </c>
      <c r="C652" t="s">
        <v>18</v>
      </c>
      <c r="D652" t="s">
        <v>102</v>
      </c>
      <c r="F652" t="s">
        <v>238</v>
      </c>
      <c r="G652" t="s">
        <v>239</v>
      </c>
      <c r="H652" t="s">
        <v>116</v>
      </c>
      <c r="I652" s="131">
        <v>44061</v>
      </c>
      <c r="J652" s="6">
        <v>59473572.939999998</v>
      </c>
      <c r="K652">
        <v>366026.56</v>
      </c>
      <c r="L652">
        <v>59000000</v>
      </c>
      <c r="M652">
        <v>1.7444759999999999</v>
      </c>
      <c r="N652">
        <v>59000000</v>
      </c>
      <c r="O652">
        <v>3.33</v>
      </c>
      <c r="P652">
        <v>1.0798466E-3</v>
      </c>
      <c r="Q652" t="s">
        <v>42</v>
      </c>
      <c r="R652" t="s">
        <v>23</v>
      </c>
      <c r="S652" s="131">
        <v>42965</v>
      </c>
      <c r="T652" s="6">
        <f>DataTable[HLD_MaturityDate] - DataTable[SEC_Issue_Date]</f>
        <v>1096</v>
      </c>
      <c r="U652" s="131" t="str">
        <f>DataTable[HLD_Portfolio]&amp;DataTable[HLD_Date]</f>
        <v>SCBFPFUND43397</v>
      </c>
      <c r="V652" t="str">
        <f>DataTable[[#This Row],[RefRng]]&amp;DataTable[[#This Row],[HLD_SecCode]]</f>
        <v>SCBFPFUND43397WHAUP208A</v>
      </c>
    </row>
    <row r="653" spans="1:22" x14ac:dyDescent="0.2">
      <c r="A653" s="131">
        <v>43397</v>
      </c>
      <c r="B653" t="s">
        <v>335</v>
      </c>
      <c r="C653" t="s">
        <v>18</v>
      </c>
      <c r="D653" t="s">
        <v>102</v>
      </c>
      <c r="F653" t="s">
        <v>473</v>
      </c>
      <c r="G653" t="s">
        <v>474</v>
      </c>
      <c r="H653" t="s">
        <v>47</v>
      </c>
      <c r="I653" s="131">
        <v>44109</v>
      </c>
      <c r="J653" s="6">
        <v>51206730.159999996</v>
      </c>
      <c r="K653">
        <v>64339.98</v>
      </c>
      <c r="L653">
        <v>51538739.329999998</v>
      </c>
      <c r="M653">
        <v>1.8857999999999999</v>
      </c>
      <c r="N653">
        <v>51500000</v>
      </c>
      <c r="O653">
        <v>2.2415530000000001</v>
      </c>
      <c r="P653">
        <v>9.2522160000000004E-4</v>
      </c>
      <c r="Q653" t="s">
        <v>42</v>
      </c>
      <c r="R653" t="s">
        <v>23</v>
      </c>
      <c r="S653" s="131">
        <v>43013</v>
      </c>
      <c r="T653" s="6">
        <f>DataTable[HLD_MaturityDate] - DataTable[SEC_Issue_Date]</f>
        <v>1096</v>
      </c>
      <c r="U653" s="131" t="str">
        <f>DataTable[HLD_Portfolio]&amp;DataTable[HLD_Date]</f>
        <v>SCBFPFUND43397</v>
      </c>
      <c r="V653" t="str">
        <f>DataTable[[#This Row],[RefRng]]&amp;DataTable[[#This Row],[HLD_SecCode]]</f>
        <v>SCBFPFUND43397AMATA20OA</v>
      </c>
    </row>
    <row r="654" spans="1:22" x14ac:dyDescent="0.2">
      <c r="A654" s="131">
        <v>43397</v>
      </c>
      <c r="B654" t="s">
        <v>335</v>
      </c>
      <c r="C654" t="s">
        <v>18</v>
      </c>
      <c r="D654" t="s">
        <v>102</v>
      </c>
      <c r="F654" t="s">
        <v>646</v>
      </c>
      <c r="G654" t="s">
        <v>647</v>
      </c>
      <c r="H654" t="s">
        <v>193</v>
      </c>
      <c r="I654" s="131">
        <v>43674</v>
      </c>
      <c r="J654" s="6">
        <v>134790448.94999999</v>
      </c>
      <c r="K654">
        <v>655064.55000000005</v>
      </c>
      <c r="L654">
        <v>135000000</v>
      </c>
      <c r="M654">
        <v>0.74718300000000004</v>
      </c>
      <c r="N654">
        <v>135000000</v>
      </c>
      <c r="O654">
        <v>1.99</v>
      </c>
      <c r="P654">
        <v>2.4442072E-3</v>
      </c>
      <c r="Q654" t="s">
        <v>42</v>
      </c>
      <c r="R654" t="s">
        <v>23</v>
      </c>
      <c r="S654" s="131">
        <v>42579</v>
      </c>
      <c r="T654" s="6">
        <f>DataTable[HLD_MaturityDate] - DataTable[SEC_Issue_Date]</f>
        <v>1095</v>
      </c>
      <c r="U654" s="131" t="str">
        <f>DataTable[HLD_Portfolio]&amp;DataTable[HLD_Date]</f>
        <v>SCBFPFUND43397</v>
      </c>
      <c r="V654" t="str">
        <f>DataTable[[#This Row],[RefRng]]&amp;DataTable[[#This Row],[HLD_SecCode]]</f>
        <v>SCBFPFUND43397AYCAL197A</v>
      </c>
    </row>
    <row r="655" spans="1:22" x14ac:dyDescent="0.2">
      <c r="A655" s="131">
        <v>43397</v>
      </c>
      <c r="B655" t="s">
        <v>335</v>
      </c>
      <c r="C655" t="s">
        <v>18</v>
      </c>
      <c r="D655" t="s">
        <v>102</v>
      </c>
      <c r="F655" t="s">
        <v>529</v>
      </c>
      <c r="G655" t="s">
        <v>182</v>
      </c>
      <c r="H655" t="s">
        <v>51</v>
      </c>
      <c r="I655" s="131">
        <v>44016</v>
      </c>
      <c r="J655" s="6">
        <v>49574631.359999999</v>
      </c>
      <c r="K655">
        <v>647907.83999999997</v>
      </c>
      <c r="L655">
        <v>48121320.960000001</v>
      </c>
      <c r="M655">
        <v>1.6137319999999999</v>
      </c>
      <c r="N655">
        <v>48000000</v>
      </c>
      <c r="O655">
        <v>4.1895449999999999</v>
      </c>
      <c r="P655">
        <v>9.0630020000000003E-4</v>
      </c>
      <c r="Q655" t="s">
        <v>42</v>
      </c>
      <c r="R655" t="s">
        <v>23</v>
      </c>
      <c r="S655" s="131">
        <v>41824</v>
      </c>
      <c r="T655" s="6">
        <f>DataTable[HLD_MaturityDate] - DataTable[SEC_Issue_Date]</f>
        <v>2192</v>
      </c>
      <c r="U655" s="131" t="str">
        <f>DataTable[HLD_Portfolio]&amp;DataTable[HLD_Date]</f>
        <v>SCBFPFUND43397</v>
      </c>
      <c r="V655" t="str">
        <f>DataTable[[#This Row],[RefRng]]&amp;DataTable[[#This Row],[HLD_SecCode]]</f>
        <v>SCBFPFUND43397BANPU207B</v>
      </c>
    </row>
    <row r="656" spans="1:22" x14ac:dyDescent="0.2">
      <c r="A656" s="131">
        <v>43397</v>
      </c>
      <c r="B656" t="s">
        <v>335</v>
      </c>
      <c r="C656" t="s">
        <v>18</v>
      </c>
      <c r="D656" t="s">
        <v>102</v>
      </c>
      <c r="F656" t="s">
        <v>648</v>
      </c>
      <c r="G656" t="s">
        <v>21</v>
      </c>
      <c r="H656" t="s">
        <v>302</v>
      </c>
      <c r="I656" s="131">
        <v>43640</v>
      </c>
      <c r="J656" s="6">
        <v>49970187.5</v>
      </c>
      <c r="K656">
        <v>330246.5</v>
      </c>
      <c r="L656">
        <v>50000000</v>
      </c>
      <c r="M656">
        <v>0.65285400000000005</v>
      </c>
      <c r="N656">
        <v>50000000</v>
      </c>
      <c r="O656">
        <v>1.96</v>
      </c>
      <c r="P656">
        <v>9.0770580000000003E-4</v>
      </c>
      <c r="Q656" t="s">
        <v>42</v>
      </c>
      <c r="R656" t="s">
        <v>23</v>
      </c>
      <c r="S656" s="131">
        <v>42545</v>
      </c>
      <c r="T656" s="6">
        <f>DataTable[HLD_MaturityDate] - DataTable[SEC_Issue_Date]</f>
        <v>1095</v>
      </c>
      <c r="U656" s="131" t="str">
        <f>DataTable[HLD_Portfolio]&amp;DataTable[HLD_Date]</f>
        <v>SCBFPFUND43397</v>
      </c>
      <c r="V656" t="str">
        <f>DataTable[[#This Row],[RefRng]]&amp;DataTable[[#This Row],[HLD_SecCode]]</f>
        <v>SCBFPFUND43397BAY196A</v>
      </c>
    </row>
    <row r="657" spans="1:22" x14ac:dyDescent="0.2">
      <c r="A657" s="131">
        <v>43397</v>
      </c>
      <c r="B657" t="s">
        <v>335</v>
      </c>
      <c r="C657" t="s">
        <v>18</v>
      </c>
      <c r="D657" t="s">
        <v>102</v>
      </c>
      <c r="F657" t="s">
        <v>478</v>
      </c>
      <c r="G657" t="s">
        <v>21</v>
      </c>
      <c r="H657" t="s">
        <v>302</v>
      </c>
      <c r="I657" s="131">
        <v>44138</v>
      </c>
      <c r="J657" s="6">
        <v>504401068.63999999</v>
      </c>
      <c r="K657">
        <v>4532502.24</v>
      </c>
      <c r="L657">
        <v>511000000</v>
      </c>
      <c r="M657">
        <v>1.9723889999999999</v>
      </c>
      <c r="N657">
        <v>511000000</v>
      </c>
      <c r="O657">
        <v>1.85</v>
      </c>
      <c r="P657">
        <v>9.1840554000000001E-3</v>
      </c>
      <c r="Q657" t="s">
        <v>42</v>
      </c>
      <c r="R657" t="s">
        <v>23</v>
      </c>
      <c r="S657" s="131">
        <v>43042</v>
      </c>
      <c r="T657" s="6">
        <f>DataTable[HLD_MaturityDate] - DataTable[SEC_Issue_Date]</f>
        <v>1096</v>
      </c>
      <c r="U657" s="131" t="str">
        <f>DataTable[HLD_Portfolio]&amp;DataTable[HLD_Date]</f>
        <v>SCBFPFUND43397</v>
      </c>
      <c r="V657" t="str">
        <f>DataTable[[#This Row],[RefRng]]&amp;DataTable[[#This Row],[HLD_SecCode]]</f>
        <v>SCBFPFUND43397BAY20NA</v>
      </c>
    </row>
    <row r="658" spans="1:22" x14ac:dyDescent="0.2">
      <c r="A658" s="131">
        <v>43397</v>
      </c>
      <c r="B658" t="s">
        <v>335</v>
      </c>
      <c r="C658" t="s">
        <v>18</v>
      </c>
      <c r="D658" t="s">
        <v>102</v>
      </c>
      <c r="F658" t="s">
        <v>649</v>
      </c>
      <c r="G658" t="s">
        <v>21</v>
      </c>
      <c r="H658" t="s">
        <v>302</v>
      </c>
      <c r="I658" s="131">
        <v>44222</v>
      </c>
      <c r="J658" s="6">
        <v>587260704.10000002</v>
      </c>
      <c r="K658">
        <v>2833342.4</v>
      </c>
      <c r="L658">
        <v>595000000</v>
      </c>
      <c r="M658">
        <v>2.1802579999999998</v>
      </c>
      <c r="N658">
        <v>595000000</v>
      </c>
      <c r="O658">
        <v>1.91</v>
      </c>
      <c r="P658">
        <v>1.0648651800000001E-2</v>
      </c>
      <c r="Q658" t="s">
        <v>42</v>
      </c>
      <c r="R658" t="s">
        <v>23</v>
      </c>
      <c r="S658" s="131">
        <v>43126</v>
      </c>
      <c r="T658" s="6">
        <f>DataTable[HLD_MaturityDate] - DataTable[SEC_Issue_Date]</f>
        <v>1096</v>
      </c>
      <c r="U658" s="131" t="str">
        <f>DataTable[HLD_Portfolio]&amp;DataTable[HLD_Date]</f>
        <v>SCBFPFUND43397</v>
      </c>
      <c r="V658" t="str">
        <f>DataTable[[#This Row],[RefRng]]&amp;DataTable[[#This Row],[HLD_SecCode]]</f>
        <v>SCBFPFUND43397BAY211A</v>
      </c>
    </row>
    <row r="659" spans="1:22" x14ac:dyDescent="0.2">
      <c r="A659" s="131">
        <v>43397</v>
      </c>
      <c r="B659" t="s">
        <v>335</v>
      </c>
      <c r="C659" t="s">
        <v>18</v>
      </c>
      <c r="D659" t="s">
        <v>102</v>
      </c>
      <c r="F659" t="s">
        <v>650</v>
      </c>
      <c r="G659" t="s">
        <v>21</v>
      </c>
      <c r="H659" t="s">
        <v>302</v>
      </c>
      <c r="I659" s="131">
        <v>44389</v>
      </c>
      <c r="J659" s="6">
        <v>993093900</v>
      </c>
      <c r="K659">
        <v>6386300</v>
      </c>
      <c r="L659">
        <v>1000000000</v>
      </c>
      <c r="M659">
        <v>2.602652</v>
      </c>
      <c r="N659">
        <v>1000000000</v>
      </c>
      <c r="O659">
        <v>2.2200000000000002</v>
      </c>
      <c r="P659">
        <v>1.8036305799999999E-2</v>
      </c>
      <c r="Q659" t="s">
        <v>42</v>
      </c>
      <c r="R659" t="s">
        <v>23</v>
      </c>
      <c r="S659" s="131">
        <v>43293</v>
      </c>
      <c r="T659" s="6">
        <f>DataTable[HLD_MaturityDate] - DataTable[SEC_Issue_Date]</f>
        <v>1096</v>
      </c>
      <c r="U659" s="131" t="str">
        <f>DataTable[HLD_Portfolio]&amp;DataTable[HLD_Date]</f>
        <v>SCBFPFUND43397</v>
      </c>
      <c r="V659" t="str">
        <f>DataTable[[#This Row],[RefRng]]&amp;DataTable[[#This Row],[HLD_SecCode]]</f>
        <v>SCBFPFUND43397BAY217A</v>
      </c>
    </row>
    <row r="660" spans="1:22" x14ac:dyDescent="0.2">
      <c r="A660" s="131">
        <v>43397</v>
      </c>
      <c r="B660" t="s">
        <v>335</v>
      </c>
      <c r="C660" t="s">
        <v>18</v>
      </c>
      <c r="D660" t="s">
        <v>102</v>
      </c>
      <c r="F660" t="s">
        <v>651</v>
      </c>
      <c r="G660" t="s">
        <v>652</v>
      </c>
      <c r="H660" t="s">
        <v>116</v>
      </c>
      <c r="I660" s="131">
        <v>44223</v>
      </c>
      <c r="J660" s="6">
        <v>12108786.6</v>
      </c>
      <c r="K660">
        <v>84920.52</v>
      </c>
      <c r="L660">
        <v>12113632.199999999</v>
      </c>
      <c r="M660">
        <v>2.1617449999999998</v>
      </c>
      <c r="N660">
        <v>12000000</v>
      </c>
      <c r="O660">
        <v>2.4300000000000002</v>
      </c>
      <c r="P660">
        <v>2.2004380000000001E-4</v>
      </c>
      <c r="Q660" t="s">
        <v>42</v>
      </c>
      <c r="R660" t="s">
        <v>23</v>
      </c>
      <c r="S660" s="131">
        <v>42396</v>
      </c>
      <c r="T660" s="6">
        <f>DataTable[HLD_MaturityDate] - DataTable[SEC_Issue_Date]</f>
        <v>1827</v>
      </c>
      <c r="U660" s="131" t="str">
        <f>DataTable[HLD_Portfolio]&amp;DataTable[HLD_Date]</f>
        <v>SCBFPFUND43397</v>
      </c>
      <c r="V660" t="str">
        <f>DataTable[[#This Row],[RefRng]]&amp;DataTable[[#This Row],[HLD_SecCode]]</f>
        <v>SCBFPFUND43397BCH211A</v>
      </c>
    </row>
    <row r="661" spans="1:22" x14ac:dyDescent="0.2">
      <c r="A661" s="131">
        <v>43397</v>
      </c>
      <c r="B661" t="s">
        <v>335</v>
      </c>
      <c r="C661" t="s">
        <v>18</v>
      </c>
      <c r="D661" t="s">
        <v>102</v>
      </c>
      <c r="F661" t="s">
        <v>653</v>
      </c>
      <c r="G661" t="s">
        <v>652</v>
      </c>
      <c r="H661" t="s">
        <v>116</v>
      </c>
      <c r="I661" s="131">
        <v>44917</v>
      </c>
      <c r="J661" s="6">
        <v>230819413.5</v>
      </c>
      <c r="K661">
        <v>2035479.42</v>
      </c>
      <c r="L661">
        <v>234000000</v>
      </c>
      <c r="M661">
        <v>3.8816130000000002</v>
      </c>
      <c r="N661">
        <v>234000000</v>
      </c>
      <c r="O661">
        <v>2.54</v>
      </c>
      <c r="P661">
        <v>4.2020262999999999E-3</v>
      </c>
      <c r="Q661" t="s">
        <v>42</v>
      </c>
      <c r="R661" t="s">
        <v>23</v>
      </c>
      <c r="S661" s="131">
        <v>43091</v>
      </c>
      <c r="T661" s="6">
        <f>DataTable[HLD_MaturityDate] - DataTable[SEC_Issue_Date]</f>
        <v>1826</v>
      </c>
      <c r="U661" s="131" t="str">
        <f>DataTable[HLD_Portfolio]&amp;DataTable[HLD_Date]</f>
        <v>SCBFPFUND43397</v>
      </c>
      <c r="V661" t="str">
        <f>DataTable[[#This Row],[RefRng]]&amp;DataTable[[#This Row],[HLD_SecCode]]</f>
        <v>SCBFPFUND43397BCH22DA</v>
      </c>
    </row>
    <row r="662" spans="1:22" x14ac:dyDescent="0.2">
      <c r="A662" s="131">
        <v>43397</v>
      </c>
      <c r="B662" t="s">
        <v>335</v>
      </c>
      <c r="C662" t="s">
        <v>18</v>
      </c>
      <c r="D662" t="s">
        <v>102</v>
      </c>
      <c r="F662" t="s">
        <v>654</v>
      </c>
      <c r="G662" t="s">
        <v>480</v>
      </c>
      <c r="H662" t="s">
        <v>47</v>
      </c>
      <c r="I662" s="131">
        <v>44371</v>
      </c>
      <c r="J662" s="6">
        <v>208974087</v>
      </c>
      <c r="K662">
        <v>1783330.5</v>
      </c>
      <c r="L662">
        <v>209986467.59999999</v>
      </c>
      <c r="M662">
        <v>2.5379139999999998</v>
      </c>
      <c r="N662">
        <v>210000000</v>
      </c>
      <c r="O662">
        <v>2.5204879999999998</v>
      </c>
      <c r="P662">
        <v>3.8032622E-3</v>
      </c>
      <c r="Q662" t="s">
        <v>42</v>
      </c>
      <c r="R662" t="s">
        <v>23</v>
      </c>
      <c r="S662" s="131">
        <v>42545</v>
      </c>
      <c r="T662" s="6">
        <f>DataTable[HLD_MaturityDate] - DataTable[SEC_Issue_Date]</f>
        <v>1826</v>
      </c>
      <c r="U662" s="131" t="str">
        <f>DataTable[HLD_Portfolio]&amp;DataTable[HLD_Date]</f>
        <v>SCBFPFUND43397</v>
      </c>
      <c r="V662" t="str">
        <f>DataTable[[#This Row],[RefRng]]&amp;DataTable[[#This Row],[HLD_SecCode]]</f>
        <v>SCBFPFUND43397BEM216A</v>
      </c>
    </row>
    <row r="663" spans="1:22" x14ac:dyDescent="0.2">
      <c r="A663" s="131">
        <v>43397</v>
      </c>
      <c r="B663" t="s">
        <v>335</v>
      </c>
      <c r="C663" t="s">
        <v>18</v>
      </c>
      <c r="D663" t="s">
        <v>102</v>
      </c>
      <c r="F663" t="s">
        <v>591</v>
      </c>
      <c r="G663" t="s">
        <v>480</v>
      </c>
      <c r="H663" t="s">
        <v>47</v>
      </c>
      <c r="I663" s="131">
        <v>44811</v>
      </c>
      <c r="J663" s="6">
        <v>142999769.94999999</v>
      </c>
      <c r="K663">
        <v>505314.85</v>
      </c>
      <c r="L663">
        <v>145000000</v>
      </c>
      <c r="M663">
        <v>3.6293859999999998</v>
      </c>
      <c r="N663">
        <v>145000000</v>
      </c>
      <c r="O663">
        <v>2.65</v>
      </c>
      <c r="P663">
        <v>2.5896476999999998E-3</v>
      </c>
      <c r="Q663" t="s">
        <v>42</v>
      </c>
      <c r="R663" t="s">
        <v>23</v>
      </c>
      <c r="S663" s="131">
        <v>42985</v>
      </c>
      <c r="T663" s="6">
        <f>DataTable[HLD_MaturityDate] - DataTable[SEC_Issue_Date]</f>
        <v>1826</v>
      </c>
      <c r="U663" s="131" t="str">
        <f>DataTable[HLD_Portfolio]&amp;DataTable[HLD_Date]</f>
        <v>SCBFPFUND43397</v>
      </c>
      <c r="V663" t="str">
        <f>DataTable[[#This Row],[RefRng]]&amp;DataTable[[#This Row],[HLD_SecCode]]</f>
        <v>SCBFPFUND43397BEM229A</v>
      </c>
    </row>
    <row r="664" spans="1:22" x14ac:dyDescent="0.2">
      <c r="A664" s="131">
        <v>43397</v>
      </c>
      <c r="B664" t="s">
        <v>335</v>
      </c>
      <c r="C664" t="s">
        <v>18</v>
      </c>
      <c r="D664" t="s">
        <v>102</v>
      </c>
      <c r="F664" t="s">
        <v>479</v>
      </c>
      <c r="G664" t="s">
        <v>480</v>
      </c>
      <c r="H664" t="s">
        <v>47</v>
      </c>
      <c r="I664" s="131">
        <v>45021</v>
      </c>
      <c r="J664" s="6">
        <v>224977222.47</v>
      </c>
      <c r="K664">
        <v>311376.45</v>
      </c>
      <c r="L664">
        <v>231000000</v>
      </c>
      <c r="M664">
        <v>4.1632870000000004</v>
      </c>
      <c r="N664">
        <v>231000000</v>
      </c>
      <c r="O664">
        <v>2.46</v>
      </c>
      <c r="P664">
        <v>4.0654873000000001E-3</v>
      </c>
      <c r="Q664" t="s">
        <v>42</v>
      </c>
      <c r="R664" t="s">
        <v>23</v>
      </c>
      <c r="S664" s="131">
        <v>43195</v>
      </c>
      <c r="T664" s="6">
        <f>DataTable[HLD_MaturityDate] - DataTable[SEC_Issue_Date]</f>
        <v>1826</v>
      </c>
      <c r="U664" s="131" t="str">
        <f>DataTable[HLD_Portfolio]&amp;DataTable[HLD_Date]</f>
        <v>SCBFPFUND43397</v>
      </c>
      <c r="V664" t="str">
        <f>DataTable[[#This Row],[RefRng]]&amp;DataTable[[#This Row],[HLD_SecCode]]</f>
        <v>SCBFPFUND43397BEM234A</v>
      </c>
    </row>
    <row r="665" spans="1:22" x14ac:dyDescent="0.2">
      <c r="A665" s="131">
        <v>43397</v>
      </c>
      <c r="B665" t="s">
        <v>335</v>
      </c>
      <c r="C665" t="s">
        <v>18</v>
      </c>
      <c r="D665" t="s">
        <v>102</v>
      </c>
      <c r="F665" t="s">
        <v>533</v>
      </c>
      <c r="G665" t="s">
        <v>243</v>
      </c>
      <c r="H665" t="s">
        <v>51</v>
      </c>
      <c r="I665" s="131">
        <v>43715</v>
      </c>
      <c r="J665" s="6">
        <v>812027528.88999999</v>
      </c>
      <c r="K665">
        <v>2495657.86</v>
      </c>
      <c r="L665">
        <v>815364510.03999996</v>
      </c>
      <c r="M665">
        <v>0.84925899999999999</v>
      </c>
      <c r="N665">
        <v>811000000</v>
      </c>
      <c r="O665">
        <v>1.7201850000000001</v>
      </c>
      <c r="P665">
        <v>1.4698629600000001E-2</v>
      </c>
      <c r="Q665" t="s">
        <v>42</v>
      </c>
      <c r="R665" t="s">
        <v>23</v>
      </c>
      <c r="S665" s="131">
        <v>42620</v>
      </c>
      <c r="T665" s="6">
        <f>DataTable[HLD_MaturityDate] - DataTable[SEC_Issue_Date]</f>
        <v>1095</v>
      </c>
      <c r="U665" s="131" t="str">
        <f>DataTable[HLD_Portfolio]&amp;DataTable[HLD_Date]</f>
        <v>SCBFPFUND43397</v>
      </c>
      <c r="V665" t="str">
        <f>DataTable[[#This Row],[RefRng]]&amp;DataTable[[#This Row],[HLD_SecCode]]</f>
        <v>SCBFPFUND43397BJC199A</v>
      </c>
    </row>
    <row r="666" spans="1:22" x14ac:dyDescent="0.2">
      <c r="A666" s="131">
        <v>43397</v>
      </c>
      <c r="B666" t="s">
        <v>335</v>
      </c>
      <c r="C666" t="s">
        <v>18</v>
      </c>
      <c r="D666" t="s">
        <v>102</v>
      </c>
      <c r="F666" t="s">
        <v>242</v>
      </c>
      <c r="G666" t="s">
        <v>243</v>
      </c>
      <c r="H666" t="s">
        <v>51</v>
      </c>
      <c r="I666" s="131">
        <v>43990</v>
      </c>
      <c r="J666" s="6">
        <v>489726140.55000001</v>
      </c>
      <c r="K666">
        <v>5046612.03</v>
      </c>
      <c r="L666">
        <v>494617284.81</v>
      </c>
      <c r="M666">
        <v>1.5604579999999999</v>
      </c>
      <c r="N666">
        <v>489000000</v>
      </c>
      <c r="O666">
        <v>1.9830779999999999</v>
      </c>
      <c r="P666">
        <v>8.9285136999999997E-3</v>
      </c>
      <c r="Q666" t="s">
        <v>42</v>
      </c>
      <c r="R666" t="s">
        <v>23</v>
      </c>
      <c r="S666" s="131">
        <v>42712</v>
      </c>
      <c r="T666" s="6">
        <f>DataTable[HLD_MaturityDate] - DataTable[SEC_Issue_Date]</f>
        <v>1278</v>
      </c>
      <c r="U666" s="131" t="str">
        <f>DataTable[HLD_Portfolio]&amp;DataTable[HLD_Date]</f>
        <v>SCBFPFUND43397</v>
      </c>
      <c r="V666" t="str">
        <f>DataTable[[#This Row],[RefRng]]&amp;DataTable[[#This Row],[HLD_SecCode]]</f>
        <v>SCBFPFUND43397BJC206A</v>
      </c>
    </row>
    <row r="667" spans="1:22" x14ac:dyDescent="0.2">
      <c r="A667" s="131">
        <v>43397</v>
      </c>
      <c r="B667" t="s">
        <v>335</v>
      </c>
      <c r="C667" t="s">
        <v>18</v>
      </c>
      <c r="D667" t="s">
        <v>102</v>
      </c>
      <c r="F667" t="s">
        <v>481</v>
      </c>
      <c r="G667" t="s">
        <v>243</v>
      </c>
      <c r="H667" t="s">
        <v>51</v>
      </c>
      <c r="I667" s="131">
        <v>44446</v>
      </c>
      <c r="J667" s="6">
        <v>139412257.59999999</v>
      </c>
      <c r="K667">
        <v>495254.2</v>
      </c>
      <c r="L667">
        <v>142381981</v>
      </c>
      <c r="M667">
        <v>2.7275</v>
      </c>
      <c r="N667">
        <v>140000000</v>
      </c>
      <c r="O667">
        <v>2.0785710000000002</v>
      </c>
      <c r="P667">
        <v>2.524727E-3</v>
      </c>
      <c r="Q667" t="s">
        <v>42</v>
      </c>
      <c r="R667" t="s">
        <v>23</v>
      </c>
      <c r="S667" s="131">
        <v>42620</v>
      </c>
      <c r="T667" s="6">
        <f>DataTable[HLD_MaturityDate] - DataTable[SEC_Issue_Date]</f>
        <v>1826</v>
      </c>
      <c r="U667" s="131" t="str">
        <f>DataTable[HLD_Portfolio]&amp;DataTable[HLD_Date]</f>
        <v>SCBFPFUND43397</v>
      </c>
      <c r="V667" t="str">
        <f>DataTable[[#This Row],[RefRng]]&amp;DataTable[[#This Row],[HLD_SecCode]]</f>
        <v>SCBFPFUND43397BJC219A</v>
      </c>
    </row>
    <row r="668" spans="1:22" x14ac:dyDescent="0.2">
      <c r="A668" s="131">
        <v>43397</v>
      </c>
      <c r="B668" t="s">
        <v>335</v>
      </c>
      <c r="C668" t="s">
        <v>18</v>
      </c>
      <c r="D668" t="s">
        <v>102</v>
      </c>
      <c r="F668" t="s">
        <v>655</v>
      </c>
      <c r="G668" t="s">
        <v>243</v>
      </c>
      <c r="H668" t="s">
        <v>51</v>
      </c>
      <c r="I668" s="131">
        <v>44644</v>
      </c>
      <c r="J668" s="6">
        <v>46024049.899999999</v>
      </c>
      <c r="K668">
        <v>126255.91</v>
      </c>
      <c r="L668">
        <v>47246430.859999999</v>
      </c>
      <c r="M668">
        <v>3.2003080000000002</v>
      </c>
      <c r="N668">
        <v>45600000</v>
      </c>
      <c r="O668">
        <v>2.16</v>
      </c>
      <c r="P668">
        <v>8.3281390000000005E-4</v>
      </c>
      <c r="Q668" t="s">
        <v>42</v>
      </c>
      <c r="R668" t="s">
        <v>23</v>
      </c>
      <c r="S668" s="131">
        <v>42818</v>
      </c>
      <c r="T668" s="6">
        <f>DataTable[HLD_MaturityDate] - DataTable[SEC_Issue_Date]</f>
        <v>1826</v>
      </c>
      <c r="U668" s="131" t="str">
        <f>DataTable[HLD_Portfolio]&amp;DataTable[HLD_Date]</f>
        <v>SCBFPFUND43397</v>
      </c>
      <c r="V668" t="str">
        <f>DataTable[[#This Row],[RefRng]]&amp;DataTable[[#This Row],[HLD_SecCode]]</f>
        <v>SCBFPFUND43397BJC223A</v>
      </c>
    </row>
    <row r="669" spans="1:22" x14ac:dyDescent="0.2">
      <c r="A669" s="131">
        <v>43397</v>
      </c>
      <c r="B669" t="s">
        <v>335</v>
      </c>
      <c r="C669" t="s">
        <v>18</v>
      </c>
      <c r="D669" t="s">
        <v>102</v>
      </c>
      <c r="F669" t="s">
        <v>244</v>
      </c>
      <c r="G669" t="s">
        <v>245</v>
      </c>
      <c r="H669" t="s">
        <v>47</v>
      </c>
      <c r="I669" s="131">
        <v>43783</v>
      </c>
      <c r="J669" s="6">
        <v>50758427</v>
      </c>
      <c r="K669">
        <v>790794.5</v>
      </c>
      <c r="L669">
        <v>50000000</v>
      </c>
      <c r="M669">
        <v>1.018888</v>
      </c>
      <c r="N669">
        <v>50000000</v>
      </c>
      <c r="O669">
        <v>3.52</v>
      </c>
      <c r="P669">
        <v>9.3024109999999998E-4</v>
      </c>
      <c r="Q669" t="s">
        <v>42</v>
      </c>
      <c r="R669" t="s">
        <v>23</v>
      </c>
      <c r="S669" s="131">
        <v>41957</v>
      </c>
      <c r="T669" s="6">
        <f>DataTable[HLD_MaturityDate] - DataTable[SEC_Issue_Date]</f>
        <v>1826</v>
      </c>
      <c r="U669" s="131" t="str">
        <f>DataTable[HLD_Portfolio]&amp;DataTable[HLD_Date]</f>
        <v>SCBFPFUND43397</v>
      </c>
      <c r="V669" t="str">
        <f>DataTable[[#This Row],[RefRng]]&amp;DataTable[[#This Row],[HLD_SecCode]]</f>
        <v>SCBFPFUND43397BTG19NA</v>
      </c>
    </row>
    <row r="670" spans="1:22" x14ac:dyDescent="0.2">
      <c r="A670" s="131">
        <v>43397</v>
      </c>
      <c r="B670" t="s">
        <v>335</v>
      </c>
      <c r="C670" t="s">
        <v>18</v>
      </c>
      <c r="D670" t="s">
        <v>102</v>
      </c>
      <c r="F670" t="s">
        <v>656</v>
      </c>
      <c r="G670" t="s">
        <v>245</v>
      </c>
      <c r="H670" t="s">
        <v>47</v>
      </c>
      <c r="I670" s="131">
        <v>44033</v>
      </c>
      <c r="J670" s="6">
        <v>59840343</v>
      </c>
      <c r="K670">
        <v>378739.8</v>
      </c>
      <c r="L670">
        <v>60401854.200000003</v>
      </c>
      <c r="M670">
        <v>1.684267</v>
      </c>
      <c r="N670">
        <v>60000000</v>
      </c>
      <c r="O670">
        <v>2</v>
      </c>
      <c r="P670">
        <v>1.0866947E-3</v>
      </c>
      <c r="Q670" t="s">
        <v>42</v>
      </c>
      <c r="R670" t="s">
        <v>23</v>
      </c>
      <c r="S670" s="131">
        <v>42937</v>
      </c>
      <c r="T670" s="6">
        <f>DataTable[HLD_MaturityDate] - DataTable[SEC_Issue_Date]</f>
        <v>1096</v>
      </c>
      <c r="U670" s="131" t="str">
        <f>DataTable[HLD_Portfolio]&amp;DataTable[HLD_Date]</f>
        <v>SCBFPFUND43397</v>
      </c>
      <c r="V670" t="str">
        <f>DataTable[[#This Row],[RefRng]]&amp;DataTable[[#This Row],[HLD_SecCode]]</f>
        <v>SCBFPFUND43397BTG207A</v>
      </c>
    </row>
    <row r="671" spans="1:22" x14ac:dyDescent="0.2">
      <c r="A671" s="131">
        <v>43397</v>
      </c>
      <c r="B671" t="s">
        <v>335</v>
      </c>
      <c r="C671" t="s">
        <v>18</v>
      </c>
      <c r="D671" t="s">
        <v>102</v>
      </c>
      <c r="F671" t="s">
        <v>483</v>
      </c>
      <c r="G671" t="s">
        <v>245</v>
      </c>
      <c r="H671" t="s">
        <v>47</v>
      </c>
      <c r="I671" s="131">
        <v>44341</v>
      </c>
      <c r="J671" s="6">
        <v>555460500</v>
      </c>
      <c r="K671">
        <v>5399016</v>
      </c>
      <c r="L671">
        <v>560175935.20000005</v>
      </c>
      <c r="M671">
        <v>2.4681129999999998</v>
      </c>
      <c r="N671">
        <v>560000000</v>
      </c>
      <c r="O671">
        <v>2.2832590000000001</v>
      </c>
      <c r="P671">
        <v>1.01210947E-2</v>
      </c>
      <c r="Q671" t="s">
        <v>42</v>
      </c>
      <c r="R671" t="s">
        <v>23</v>
      </c>
      <c r="S671" s="131">
        <v>42515</v>
      </c>
      <c r="T671" s="6">
        <f>DataTable[HLD_MaturityDate] - DataTable[SEC_Issue_Date]</f>
        <v>1826</v>
      </c>
      <c r="U671" s="131" t="str">
        <f>DataTable[HLD_Portfolio]&amp;DataTable[HLD_Date]</f>
        <v>SCBFPFUND43397</v>
      </c>
      <c r="V671" t="str">
        <f>DataTable[[#This Row],[RefRng]]&amp;DataTable[[#This Row],[HLD_SecCode]]</f>
        <v>SCBFPFUND43397BTG215A</v>
      </c>
    </row>
    <row r="672" spans="1:22" x14ac:dyDescent="0.2">
      <c r="A672" s="131">
        <v>43397</v>
      </c>
      <c r="B672" t="s">
        <v>335</v>
      </c>
      <c r="C672" t="s">
        <v>18</v>
      </c>
      <c r="D672" t="s">
        <v>102</v>
      </c>
      <c r="F672" t="s">
        <v>484</v>
      </c>
      <c r="G672" t="s">
        <v>245</v>
      </c>
      <c r="H672" t="s">
        <v>47</v>
      </c>
      <c r="I672" s="131">
        <v>44763</v>
      </c>
      <c r="J672" s="6">
        <v>98190099.420000002</v>
      </c>
      <c r="K672">
        <v>760372.2</v>
      </c>
      <c r="L672">
        <v>98000000</v>
      </c>
      <c r="M672">
        <v>3.4931860000000001</v>
      </c>
      <c r="N672">
        <v>98000000</v>
      </c>
      <c r="O672">
        <v>2.95</v>
      </c>
      <c r="P672">
        <v>1.7856291E-3</v>
      </c>
      <c r="Q672" t="s">
        <v>42</v>
      </c>
      <c r="R672" t="s">
        <v>23</v>
      </c>
      <c r="S672" s="131">
        <v>42937</v>
      </c>
      <c r="T672" s="6">
        <f>DataTable[HLD_MaturityDate] - DataTable[SEC_Issue_Date]</f>
        <v>1826</v>
      </c>
      <c r="U672" s="131" t="str">
        <f>DataTable[HLD_Portfolio]&amp;DataTable[HLD_Date]</f>
        <v>SCBFPFUND43397</v>
      </c>
      <c r="V672" t="str">
        <f>DataTable[[#This Row],[RefRng]]&amp;DataTable[[#This Row],[HLD_SecCode]]</f>
        <v>SCBFPFUND43397BTG227A</v>
      </c>
    </row>
    <row r="673" spans="1:22" x14ac:dyDescent="0.2">
      <c r="A673" s="131">
        <v>43397</v>
      </c>
      <c r="B673" t="s">
        <v>335</v>
      </c>
      <c r="C673" t="s">
        <v>18</v>
      </c>
      <c r="D673" t="s">
        <v>102</v>
      </c>
      <c r="F673" t="s">
        <v>485</v>
      </c>
      <c r="G673" t="s">
        <v>245</v>
      </c>
      <c r="H673" t="s">
        <v>47</v>
      </c>
      <c r="I673" s="131">
        <v>45013</v>
      </c>
      <c r="J673" s="6">
        <v>45950216.93</v>
      </c>
      <c r="K673">
        <v>87613.17</v>
      </c>
      <c r="L673">
        <v>47000000</v>
      </c>
      <c r="M673">
        <v>4.1377689999999996</v>
      </c>
      <c r="N673">
        <v>47000000</v>
      </c>
      <c r="O673">
        <v>2.52</v>
      </c>
      <c r="P673">
        <v>8.3078419999999995E-4</v>
      </c>
      <c r="Q673" t="s">
        <v>42</v>
      </c>
      <c r="R673" t="s">
        <v>23</v>
      </c>
      <c r="S673" s="131">
        <v>43187</v>
      </c>
      <c r="T673" s="6">
        <f>DataTable[HLD_MaturityDate] - DataTable[SEC_Issue_Date]</f>
        <v>1826</v>
      </c>
      <c r="U673" s="131" t="str">
        <f>DataTable[HLD_Portfolio]&amp;DataTable[HLD_Date]</f>
        <v>SCBFPFUND43397</v>
      </c>
      <c r="V673" t="str">
        <f>DataTable[[#This Row],[RefRng]]&amp;DataTable[[#This Row],[HLD_SecCode]]</f>
        <v>SCBFPFUND43397BTG233A</v>
      </c>
    </row>
    <row r="674" spans="1:22" x14ac:dyDescent="0.2">
      <c r="A674" s="131">
        <v>43397</v>
      </c>
      <c r="B674" t="s">
        <v>335</v>
      </c>
      <c r="C674" t="s">
        <v>18</v>
      </c>
      <c r="D674" t="s">
        <v>102</v>
      </c>
      <c r="F674" t="s">
        <v>488</v>
      </c>
      <c r="G674" t="s">
        <v>184</v>
      </c>
      <c r="H674" t="s">
        <v>47</v>
      </c>
      <c r="I674" s="131">
        <v>44191</v>
      </c>
      <c r="J674" s="6">
        <v>85290555.900000006</v>
      </c>
      <c r="K674">
        <v>638614.5</v>
      </c>
      <c r="L674">
        <v>86000000</v>
      </c>
      <c r="M674">
        <v>2.0873219999999999</v>
      </c>
      <c r="N674">
        <v>86000000</v>
      </c>
      <c r="O674">
        <v>2.2400000000000002</v>
      </c>
      <c r="P674">
        <v>1.5506508E-3</v>
      </c>
      <c r="Q674" t="s">
        <v>42</v>
      </c>
      <c r="R674" t="s">
        <v>23</v>
      </c>
      <c r="S674" s="131">
        <v>43095</v>
      </c>
      <c r="T674" s="6">
        <f>DataTable[HLD_MaturityDate] - DataTable[SEC_Issue_Date]</f>
        <v>1096</v>
      </c>
      <c r="U674" s="131" t="str">
        <f>DataTable[HLD_Portfolio]&amp;DataTable[HLD_Date]</f>
        <v>SCBFPFUND43397</v>
      </c>
      <c r="V674" t="str">
        <f>DataTable[[#This Row],[RefRng]]&amp;DataTable[[#This Row],[HLD_SecCode]]</f>
        <v>SCBFPFUND43397BTSG20DA</v>
      </c>
    </row>
    <row r="675" spans="1:22" x14ac:dyDescent="0.2">
      <c r="A675" s="131">
        <v>43397</v>
      </c>
      <c r="B675" t="s">
        <v>335</v>
      </c>
      <c r="C675" t="s">
        <v>18</v>
      </c>
      <c r="D675" t="s">
        <v>102</v>
      </c>
      <c r="F675" t="s">
        <v>489</v>
      </c>
      <c r="G675" t="s">
        <v>490</v>
      </c>
      <c r="H675" t="s">
        <v>116</v>
      </c>
      <c r="I675" s="131">
        <v>43997</v>
      </c>
      <c r="J675" s="6">
        <v>574207891.23000002</v>
      </c>
      <c r="K675">
        <v>4653308.82</v>
      </c>
      <c r="L675">
        <v>577000000</v>
      </c>
      <c r="M675">
        <v>1.5867020000000001</v>
      </c>
      <c r="N675">
        <v>577000000</v>
      </c>
      <c r="O675">
        <v>2.23</v>
      </c>
      <c r="P675">
        <v>1.0445947400000001E-2</v>
      </c>
      <c r="Q675" t="s">
        <v>42</v>
      </c>
      <c r="R675" t="s">
        <v>23</v>
      </c>
      <c r="S675" s="131">
        <v>43266</v>
      </c>
      <c r="T675" s="6">
        <f>DataTable[HLD_MaturityDate] - DataTable[SEC_Issue_Date]</f>
        <v>731</v>
      </c>
      <c r="U675" s="131" t="str">
        <f>DataTable[HLD_Portfolio]&amp;DataTable[HLD_Date]</f>
        <v>SCBFPFUND43397</v>
      </c>
      <c r="V675" t="str">
        <f>DataTable[[#This Row],[RefRng]]&amp;DataTable[[#This Row],[HLD_SecCode]]</f>
        <v>SCBFPFUND43397CBG206A</v>
      </c>
    </row>
    <row r="676" spans="1:22" x14ac:dyDescent="0.2">
      <c r="A676" s="131">
        <v>43397</v>
      </c>
      <c r="B676" t="s">
        <v>335</v>
      </c>
      <c r="C676" t="s">
        <v>18</v>
      </c>
      <c r="D676" t="s">
        <v>102</v>
      </c>
      <c r="F676" t="s">
        <v>657</v>
      </c>
      <c r="G676" t="s">
        <v>658</v>
      </c>
      <c r="H676" t="s">
        <v>47</v>
      </c>
      <c r="I676" s="131">
        <v>44365</v>
      </c>
      <c r="J676" s="6">
        <v>59299365.600000001</v>
      </c>
      <c r="K676">
        <v>542860.19999999995</v>
      </c>
      <c r="L676">
        <v>60000000</v>
      </c>
      <c r="M676">
        <v>2.516006</v>
      </c>
      <c r="N676">
        <v>60000000</v>
      </c>
      <c r="O676">
        <v>2.56</v>
      </c>
      <c r="P676">
        <v>1.0798940000000001E-3</v>
      </c>
      <c r="Q676" t="s">
        <v>42</v>
      </c>
      <c r="R676" t="s">
        <v>23</v>
      </c>
      <c r="S676" s="131">
        <v>43269</v>
      </c>
      <c r="T676" s="6">
        <f>DataTable[HLD_MaturityDate] - DataTable[SEC_Issue_Date]</f>
        <v>1096</v>
      </c>
      <c r="U676" s="131" t="str">
        <f>DataTable[HLD_Portfolio]&amp;DataTable[HLD_Date]</f>
        <v>SCBFPFUND43397</v>
      </c>
      <c r="V676" t="str">
        <f>DataTable[[#This Row],[RefRng]]&amp;DataTable[[#This Row],[HLD_SecCode]]</f>
        <v>SCBFPFUND43397CKP216A</v>
      </c>
    </row>
    <row r="677" spans="1:22" x14ac:dyDescent="0.2">
      <c r="A677" s="131">
        <v>43397</v>
      </c>
      <c r="B677" t="s">
        <v>335</v>
      </c>
      <c r="C677" t="s">
        <v>18</v>
      </c>
      <c r="D677" t="s">
        <v>102</v>
      </c>
      <c r="F677" t="s">
        <v>535</v>
      </c>
      <c r="G677" t="s">
        <v>104</v>
      </c>
      <c r="H677" t="s">
        <v>51</v>
      </c>
      <c r="I677" s="131">
        <v>43699</v>
      </c>
      <c r="J677" s="6">
        <v>521995213.45999998</v>
      </c>
      <c r="K677">
        <v>3830353.7</v>
      </c>
      <c r="L677">
        <v>517217886.72000003</v>
      </c>
      <c r="M677">
        <v>0.80907700000000005</v>
      </c>
      <c r="N677">
        <v>514000000</v>
      </c>
      <c r="O677">
        <v>3.4506480000000002</v>
      </c>
      <c r="P677">
        <v>9.488883E-3</v>
      </c>
      <c r="Q677" t="s">
        <v>42</v>
      </c>
      <c r="R677" t="s">
        <v>23</v>
      </c>
      <c r="S677" s="131">
        <v>41873</v>
      </c>
      <c r="T677" s="6">
        <f>DataTable[HLD_MaturityDate] - DataTable[SEC_Issue_Date]</f>
        <v>1826</v>
      </c>
      <c r="U677" s="131" t="str">
        <f>DataTable[HLD_Portfolio]&amp;DataTable[HLD_Date]</f>
        <v>SCBFPFUND43397</v>
      </c>
      <c r="V677" t="str">
        <f>DataTable[[#This Row],[RefRng]]&amp;DataTable[[#This Row],[HLD_SecCode]]</f>
        <v>SCBFPFUND43397CPALL198B</v>
      </c>
    </row>
    <row r="678" spans="1:22" x14ac:dyDescent="0.2">
      <c r="A678" s="131">
        <v>43397</v>
      </c>
      <c r="B678" t="s">
        <v>335</v>
      </c>
      <c r="C678" t="s">
        <v>18</v>
      </c>
      <c r="D678" t="s">
        <v>102</v>
      </c>
      <c r="F678" t="s">
        <v>659</v>
      </c>
      <c r="G678" t="s">
        <v>104</v>
      </c>
      <c r="H678" t="s">
        <v>51</v>
      </c>
      <c r="I678" s="131">
        <v>44135</v>
      </c>
      <c r="J678" s="6">
        <v>26312588.25</v>
      </c>
      <c r="K678">
        <v>621780.73</v>
      </c>
      <c r="L678">
        <v>26432609.75</v>
      </c>
      <c r="M678">
        <v>1.9219390000000001</v>
      </c>
      <c r="N678">
        <v>25000000</v>
      </c>
      <c r="O678">
        <v>2.1800000000000002</v>
      </c>
      <c r="P678">
        <v>4.8604920000000002E-4</v>
      </c>
      <c r="Q678" t="s">
        <v>42</v>
      </c>
      <c r="R678" t="s">
        <v>23</v>
      </c>
      <c r="S678" s="131">
        <v>41578</v>
      </c>
      <c r="T678" s="6">
        <f>DataTable[HLD_MaturityDate] - DataTable[SEC_Issue_Date]</f>
        <v>2557</v>
      </c>
      <c r="U678" s="131" t="str">
        <f>DataTable[HLD_Portfolio]&amp;DataTable[HLD_Date]</f>
        <v>SCBFPFUND43397</v>
      </c>
      <c r="V678" t="str">
        <f>DataTable[[#This Row],[RefRng]]&amp;DataTable[[#This Row],[HLD_SecCode]]</f>
        <v>SCBFPFUND43397CPALL20OB</v>
      </c>
    </row>
    <row r="679" spans="1:22" x14ac:dyDescent="0.2">
      <c r="A679" s="131">
        <v>43397</v>
      </c>
      <c r="B679" t="s">
        <v>335</v>
      </c>
      <c r="C679" t="s">
        <v>18</v>
      </c>
      <c r="D679" t="s">
        <v>102</v>
      </c>
      <c r="F679" t="s">
        <v>660</v>
      </c>
      <c r="G679" t="s">
        <v>186</v>
      </c>
      <c r="H679" t="s">
        <v>51</v>
      </c>
      <c r="I679" s="131">
        <v>43680</v>
      </c>
      <c r="J679" s="6">
        <v>243799307.52000001</v>
      </c>
      <c r="K679">
        <v>2713985.58</v>
      </c>
      <c r="L679">
        <v>242804649.40000001</v>
      </c>
      <c r="M679">
        <v>0.75643499999999997</v>
      </c>
      <c r="N679">
        <v>238700000</v>
      </c>
      <c r="O679">
        <v>2.7152810000000001</v>
      </c>
      <c r="P679">
        <v>4.4485015000000003E-3</v>
      </c>
      <c r="Q679" t="s">
        <v>42</v>
      </c>
      <c r="R679" t="s">
        <v>23</v>
      </c>
      <c r="S679" s="131">
        <v>41124</v>
      </c>
      <c r="T679" s="6">
        <f>DataTable[HLD_MaturityDate] - DataTable[SEC_Issue_Date]</f>
        <v>2556</v>
      </c>
      <c r="U679" s="131" t="str">
        <f>DataTable[HLD_Portfolio]&amp;DataTable[HLD_Date]</f>
        <v>SCBFPFUND43397</v>
      </c>
      <c r="V679" t="str">
        <f>DataTable[[#This Row],[RefRng]]&amp;DataTable[[#This Row],[HLD_SecCode]]</f>
        <v>SCBFPFUND43397CPF198A</v>
      </c>
    </row>
    <row r="680" spans="1:22" x14ac:dyDescent="0.2">
      <c r="A680" s="131">
        <v>43397</v>
      </c>
      <c r="B680" t="s">
        <v>335</v>
      </c>
      <c r="C680" t="s">
        <v>18</v>
      </c>
      <c r="D680" t="s">
        <v>102</v>
      </c>
      <c r="F680" t="s">
        <v>538</v>
      </c>
      <c r="G680" t="s">
        <v>186</v>
      </c>
      <c r="H680" t="s">
        <v>51</v>
      </c>
      <c r="I680" s="131">
        <v>43933</v>
      </c>
      <c r="J680" s="6">
        <v>159878440</v>
      </c>
      <c r="K680">
        <v>129928</v>
      </c>
      <c r="L680">
        <v>160091281.59999999</v>
      </c>
      <c r="M680">
        <v>1.429473</v>
      </c>
      <c r="N680">
        <v>160000000</v>
      </c>
      <c r="O680">
        <v>2.242022</v>
      </c>
      <c r="P680">
        <v>2.8874608E-3</v>
      </c>
      <c r="Q680" t="s">
        <v>42</v>
      </c>
      <c r="R680" t="s">
        <v>23</v>
      </c>
      <c r="S680" s="131">
        <v>42472</v>
      </c>
      <c r="T680" s="6">
        <f>DataTable[HLD_MaturityDate] - DataTable[SEC_Issue_Date]</f>
        <v>1461</v>
      </c>
      <c r="U680" s="131" t="str">
        <f>DataTable[HLD_Portfolio]&amp;DataTable[HLD_Date]</f>
        <v>SCBFPFUND43397</v>
      </c>
      <c r="V680" t="str">
        <f>DataTable[[#This Row],[RefRng]]&amp;DataTable[[#This Row],[HLD_SecCode]]</f>
        <v>SCBFPFUND43397CPF204A</v>
      </c>
    </row>
    <row r="681" spans="1:22" x14ac:dyDescent="0.2">
      <c r="A681" s="131">
        <v>43397</v>
      </c>
      <c r="B681" t="s">
        <v>335</v>
      </c>
      <c r="C681" t="s">
        <v>18</v>
      </c>
      <c r="D681" t="s">
        <v>102</v>
      </c>
      <c r="F681" t="s">
        <v>661</v>
      </c>
      <c r="G681" t="s">
        <v>186</v>
      </c>
      <c r="H681" t="s">
        <v>51</v>
      </c>
      <c r="I681" s="131">
        <v>43964</v>
      </c>
      <c r="J681" s="6">
        <v>281352604.94</v>
      </c>
      <c r="K681">
        <v>4034046.88</v>
      </c>
      <c r="L681">
        <v>283088264.57999998</v>
      </c>
      <c r="M681">
        <v>1.4876940000000001</v>
      </c>
      <c r="N681">
        <v>278000000</v>
      </c>
      <c r="O681">
        <v>1.9973019999999999</v>
      </c>
      <c r="P681">
        <v>5.1499978999999998E-3</v>
      </c>
      <c r="Q681" t="s">
        <v>42</v>
      </c>
      <c r="R681" t="s">
        <v>23</v>
      </c>
      <c r="S681" s="131">
        <v>42137</v>
      </c>
      <c r="T681" s="6">
        <f>DataTable[HLD_MaturityDate] - DataTable[SEC_Issue_Date]</f>
        <v>1827</v>
      </c>
      <c r="U681" s="131" t="str">
        <f>DataTable[HLD_Portfolio]&amp;DataTable[HLD_Date]</f>
        <v>SCBFPFUND43397</v>
      </c>
      <c r="V681" t="str">
        <f>DataTable[[#This Row],[RefRng]]&amp;DataTable[[#This Row],[HLD_SecCode]]</f>
        <v>SCBFPFUND43397CPF205A</v>
      </c>
    </row>
    <row r="682" spans="1:22" x14ac:dyDescent="0.2">
      <c r="A682" s="131">
        <v>43397</v>
      </c>
      <c r="B682" t="s">
        <v>335</v>
      </c>
      <c r="C682" t="s">
        <v>18</v>
      </c>
      <c r="D682" t="s">
        <v>102</v>
      </c>
      <c r="F682" t="s">
        <v>493</v>
      </c>
      <c r="G682" t="s">
        <v>186</v>
      </c>
      <c r="H682" t="s">
        <v>51</v>
      </c>
      <c r="I682" s="131">
        <v>44410</v>
      </c>
      <c r="J682" s="6">
        <v>31815713.100000001</v>
      </c>
      <c r="K682">
        <v>338301.3</v>
      </c>
      <c r="L682">
        <v>31498957.199999999</v>
      </c>
      <c r="M682">
        <v>2.5730089999999999</v>
      </c>
      <c r="N682">
        <v>30000000</v>
      </c>
      <c r="O682">
        <v>3</v>
      </c>
      <c r="P682">
        <v>5.8024119999999996E-4</v>
      </c>
      <c r="Q682" t="s">
        <v>42</v>
      </c>
      <c r="R682" t="s">
        <v>23</v>
      </c>
      <c r="S682" s="131">
        <v>41488</v>
      </c>
      <c r="T682" s="6">
        <f>DataTable[HLD_MaturityDate] - DataTable[SEC_Issue_Date]</f>
        <v>2922</v>
      </c>
      <c r="U682" s="131" t="str">
        <f>DataTable[HLD_Portfolio]&amp;DataTable[HLD_Date]</f>
        <v>SCBFPFUND43397</v>
      </c>
      <c r="V682" t="str">
        <f>DataTable[[#This Row],[RefRng]]&amp;DataTable[[#This Row],[HLD_SecCode]]</f>
        <v>SCBFPFUND43397CPF218B</v>
      </c>
    </row>
    <row r="683" spans="1:22" x14ac:dyDescent="0.2">
      <c r="A683" s="131">
        <v>43397</v>
      </c>
      <c r="B683" t="s">
        <v>335</v>
      </c>
      <c r="C683" t="s">
        <v>18</v>
      </c>
      <c r="D683" t="s">
        <v>102</v>
      </c>
      <c r="F683" t="s">
        <v>662</v>
      </c>
      <c r="G683" t="s">
        <v>186</v>
      </c>
      <c r="H683" t="s">
        <v>51</v>
      </c>
      <c r="I683" s="131">
        <v>44776</v>
      </c>
      <c r="J683" s="6">
        <v>64972242</v>
      </c>
      <c r="K683">
        <v>682191.6</v>
      </c>
      <c r="L683">
        <v>64467760.200000003</v>
      </c>
      <c r="M683">
        <v>3.4165009999999998</v>
      </c>
      <c r="N683">
        <v>60000000</v>
      </c>
      <c r="O683">
        <v>3.14</v>
      </c>
      <c r="P683">
        <v>1.1847793000000001E-3</v>
      </c>
      <c r="Q683" t="s">
        <v>42</v>
      </c>
      <c r="R683" t="s">
        <v>23</v>
      </c>
      <c r="S683" s="131">
        <v>41124</v>
      </c>
      <c r="T683" s="6">
        <f>DataTable[HLD_MaturityDate] - DataTable[SEC_Issue_Date]</f>
        <v>3652</v>
      </c>
      <c r="U683" s="131" t="str">
        <f>DataTable[HLD_Portfolio]&amp;DataTable[HLD_Date]</f>
        <v>SCBFPFUND43397</v>
      </c>
      <c r="V683" t="str">
        <f>DataTable[[#This Row],[RefRng]]&amp;DataTable[[#This Row],[HLD_SecCode]]</f>
        <v>SCBFPFUND43397CPF228A</v>
      </c>
    </row>
    <row r="684" spans="1:22" x14ac:dyDescent="0.2">
      <c r="A684" s="131">
        <v>43397</v>
      </c>
      <c r="B684" t="s">
        <v>335</v>
      </c>
      <c r="C684" t="s">
        <v>18</v>
      </c>
      <c r="D684" t="s">
        <v>102</v>
      </c>
      <c r="F684" t="s">
        <v>597</v>
      </c>
      <c r="G684" t="s">
        <v>186</v>
      </c>
      <c r="H684" t="s">
        <v>51</v>
      </c>
      <c r="I684" s="131">
        <v>45394</v>
      </c>
      <c r="J684" s="6">
        <v>61740927.420000002</v>
      </c>
      <c r="K684">
        <v>68675.539999999994</v>
      </c>
      <c r="L684">
        <v>62000000</v>
      </c>
      <c r="M684">
        <v>4.9800950000000004</v>
      </c>
      <c r="N684">
        <v>62000000</v>
      </c>
      <c r="O684">
        <v>3.11</v>
      </c>
      <c r="P684">
        <v>1.1153967000000001E-3</v>
      </c>
      <c r="Q684" t="s">
        <v>42</v>
      </c>
      <c r="R684" t="s">
        <v>23</v>
      </c>
      <c r="S684" s="131">
        <v>42472</v>
      </c>
      <c r="T684" s="6">
        <f>DataTable[HLD_MaturityDate] - DataTable[SEC_Issue_Date]</f>
        <v>2922</v>
      </c>
      <c r="U684" s="131" t="str">
        <f>DataTable[HLD_Portfolio]&amp;DataTable[HLD_Date]</f>
        <v>SCBFPFUND43397</v>
      </c>
      <c r="V684" t="str">
        <f>DataTable[[#This Row],[RefRng]]&amp;DataTable[[#This Row],[HLD_SecCode]]</f>
        <v>SCBFPFUND43397CPF244A</v>
      </c>
    </row>
    <row r="685" spans="1:22" x14ac:dyDescent="0.2">
      <c r="A685" s="131">
        <v>43397</v>
      </c>
      <c r="B685" t="s">
        <v>335</v>
      </c>
      <c r="C685" t="s">
        <v>18</v>
      </c>
      <c r="D685" t="s">
        <v>102</v>
      </c>
      <c r="F685" t="s">
        <v>494</v>
      </c>
      <c r="G685" t="s">
        <v>186</v>
      </c>
      <c r="H685" t="s">
        <v>51</v>
      </c>
      <c r="I685" s="131">
        <v>45681</v>
      </c>
      <c r="J685" s="6">
        <v>375190969.19999999</v>
      </c>
      <c r="K685">
        <v>2960838.63</v>
      </c>
      <c r="L685">
        <v>381000000</v>
      </c>
      <c r="M685">
        <v>5.5962709999999998</v>
      </c>
      <c r="N685">
        <v>381000000</v>
      </c>
      <c r="O685">
        <v>3.05</v>
      </c>
      <c r="P685">
        <v>6.8240087999999997E-3</v>
      </c>
      <c r="Q685" t="s">
        <v>42</v>
      </c>
      <c r="R685" t="s">
        <v>23</v>
      </c>
      <c r="S685" s="131">
        <v>43124</v>
      </c>
      <c r="T685" s="6">
        <f>DataTable[HLD_MaturityDate] - DataTable[SEC_Issue_Date]</f>
        <v>2557</v>
      </c>
      <c r="U685" s="131" t="str">
        <f>DataTable[HLD_Portfolio]&amp;DataTable[HLD_Date]</f>
        <v>SCBFPFUND43397</v>
      </c>
      <c r="V685" t="str">
        <f>DataTable[[#This Row],[RefRng]]&amp;DataTable[[#This Row],[HLD_SecCode]]</f>
        <v>SCBFPFUND43397CPF251A</v>
      </c>
    </row>
    <row r="686" spans="1:22" x14ac:dyDescent="0.2">
      <c r="A686" s="131">
        <v>43397</v>
      </c>
      <c r="B686" t="s">
        <v>335</v>
      </c>
      <c r="C686" t="s">
        <v>18</v>
      </c>
      <c r="D686" t="s">
        <v>102</v>
      </c>
      <c r="F686" t="s">
        <v>598</v>
      </c>
      <c r="G686" t="s">
        <v>189</v>
      </c>
      <c r="H686" t="s">
        <v>51</v>
      </c>
      <c r="I686" s="131">
        <v>44216</v>
      </c>
      <c r="J686" s="6">
        <v>675630619.82000005</v>
      </c>
      <c r="K686">
        <v>5494986.1200000001</v>
      </c>
      <c r="L686">
        <v>667131459.02999997</v>
      </c>
      <c r="M686">
        <v>2.1371730000000002</v>
      </c>
      <c r="N686">
        <v>667000000</v>
      </c>
      <c r="O686">
        <v>3.0835080000000001</v>
      </c>
      <c r="P686">
        <v>1.2291378800000001E-2</v>
      </c>
      <c r="Q686" t="s">
        <v>42</v>
      </c>
      <c r="R686" t="s">
        <v>23</v>
      </c>
      <c r="S686" s="131">
        <v>42389</v>
      </c>
      <c r="T686" s="6">
        <f>DataTable[HLD_MaturityDate] - DataTable[SEC_Issue_Date]</f>
        <v>1827</v>
      </c>
      <c r="U686" s="131" t="str">
        <f>DataTable[HLD_Portfolio]&amp;DataTable[HLD_Date]</f>
        <v>SCBFPFUND43397</v>
      </c>
      <c r="V686" t="str">
        <f>DataTable[[#This Row],[RefRng]]&amp;DataTable[[#This Row],[HLD_SecCode]]</f>
        <v>SCBFPFUND43397CPFTH211A</v>
      </c>
    </row>
    <row r="687" spans="1:22" x14ac:dyDescent="0.2">
      <c r="A687" s="131">
        <v>43397</v>
      </c>
      <c r="B687" t="s">
        <v>335</v>
      </c>
      <c r="C687" t="s">
        <v>18</v>
      </c>
      <c r="D687" t="s">
        <v>102</v>
      </c>
      <c r="F687" t="s">
        <v>663</v>
      </c>
      <c r="G687" t="s">
        <v>189</v>
      </c>
      <c r="H687" t="s">
        <v>51</v>
      </c>
      <c r="I687" s="131">
        <v>45122</v>
      </c>
      <c r="J687" s="6">
        <v>20000364.199999999</v>
      </c>
      <c r="K687">
        <v>172701.4</v>
      </c>
      <c r="L687">
        <v>20000000</v>
      </c>
      <c r="M687">
        <v>4.3290870000000004</v>
      </c>
      <c r="N687">
        <v>20000000</v>
      </c>
      <c r="O687">
        <v>3.09</v>
      </c>
      <c r="P687">
        <v>3.6403679999999998E-4</v>
      </c>
      <c r="Q687" t="s">
        <v>42</v>
      </c>
      <c r="R687" t="s">
        <v>23</v>
      </c>
      <c r="S687" s="131">
        <v>42566</v>
      </c>
      <c r="T687" s="6">
        <f>DataTable[HLD_MaturityDate] - DataTable[SEC_Issue_Date]</f>
        <v>2556</v>
      </c>
      <c r="U687" s="131" t="str">
        <f>DataTable[HLD_Portfolio]&amp;DataTable[HLD_Date]</f>
        <v>SCBFPFUND43397</v>
      </c>
      <c r="V687" t="str">
        <f>DataTable[[#This Row],[RefRng]]&amp;DataTable[[#This Row],[HLD_SecCode]]</f>
        <v>SCBFPFUND43397CPFTH237A</v>
      </c>
    </row>
    <row r="688" spans="1:22" x14ac:dyDescent="0.2">
      <c r="A688" s="131">
        <v>43397</v>
      </c>
      <c r="B688" t="s">
        <v>335</v>
      </c>
      <c r="C688" t="s">
        <v>18</v>
      </c>
      <c r="D688" t="s">
        <v>102</v>
      </c>
      <c r="F688" t="s">
        <v>664</v>
      </c>
      <c r="G688" t="s">
        <v>192</v>
      </c>
      <c r="H688" t="s">
        <v>193</v>
      </c>
      <c r="I688" s="131">
        <v>43776</v>
      </c>
      <c r="J688" s="6">
        <v>304528293</v>
      </c>
      <c r="K688">
        <v>5115944.71</v>
      </c>
      <c r="L688">
        <v>300593724</v>
      </c>
      <c r="M688">
        <v>1.0157780000000001</v>
      </c>
      <c r="N688">
        <v>300000000</v>
      </c>
      <c r="O688">
        <v>3.4449999999999998</v>
      </c>
      <c r="P688">
        <v>5.5877427000000004E-3</v>
      </c>
      <c r="Q688" t="s">
        <v>42</v>
      </c>
      <c r="R688" t="s">
        <v>23</v>
      </c>
      <c r="S688" s="131">
        <v>41950</v>
      </c>
      <c r="T688" s="6">
        <f>DataTable[HLD_MaturityDate] - DataTable[SEC_Issue_Date]</f>
        <v>1826</v>
      </c>
      <c r="U688" s="131" t="str">
        <f>DataTable[HLD_Portfolio]&amp;DataTable[HLD_Date]</f>
        <v>SCBFPFUND43397</v>
      </c>
      <c r="V688" t="str">
        <f>DataTable[[#This Row],[RefRng]]&amp;DataTable[[#This Row],[HLD_SecCode]]</f>
        <v>SCBFPFUND43397CPN19NA</v>
      </c>
    </row>
    <row r="689" spans="1:22" x14ac:dyDescent="0.2">
      <c r="A689" s="131">
        <v>43397</v>
      </c>
      <c r="B689" t="s">
        <v>335</v>
      </c>
      <c r="C689" t="s">
        <v>18</v>
      </c>
      <c r="D689" t="s">
        <v>102</v>
      </c>
      <c r="F689" t="s">
        <v>665</v>
      </c>
      <c r="G689" t="s">
        <v>192</v>
      </c>
      <c r="H689" t="s">
        <v>193</v>
      </c>
      <c r="I689" s="131">
        <v>44181</v>
      </c>
      <c r="J689" s="6">
        <v>50070382.5</v>
      </c>
      <c r="K689">
        <v>504260.5</v>
      </c>
      <c r="L689">
        <v>50000000</v>
      </c>
      <c r="M689">
        <v>2.0461870000000002</v>
      </c>
      <c r="N689">
        <v>50000000</v>
      </c>
      <c r="O689">
        <v>2.81</v>
      </c>
      <c r="P689">
        <v>9.1265409999999997E-4</v>
      </c>
      <c r="Q689" t="s">
        <v>42</v>
      </c>
      <c r="R689" t="s">
        <v>23</v>
      </c>
      <c r="S689" s="131">
        <v>42354</v>
      </c>
      <c r="T689" s="6">
        <f>DataTable[HLD_MaturityDate] - DataTable[SEC_Issue_Date]</f>
        <v>1827</v>
      </c>
      <c r="U689" s="131" t="str">
        <f>DataTable[HLD_Portfolio]&amp;DataTable[HLD_Date]</f>
        <v>SCBFPFUND43397</v>
      </c>
      <c r="V689" t="str">
        <f>DataTable[[#This Row],[RefRng]]&amp;DataTable[[#This Row],[HLD_SecCode]]</f>
        <v>SCBFPFUND43397CPN20DA</v>
      </c>
    </row>
    <row r="690" spans="1:22" x14ac:dyDescent="0.2">
      <c r="A690" s="131">
        <v>43397</v>
      </c>
      <c r="B690" t="s">
        <v>335</v>
      </c>
      <c r="C690" t="s">
        <v>18</v>
      </c>
      <c r="D690" t="s">
        <v>102</v>
      </c>
      <c r="F690" t="s">
        <v>666</v>
      </c>
      <c r="G690" t="s">
        <v>668</v>
      </c>
      <c r="H690" t="s">
        <v>667</v>
      </c>
      <c r="I690" s="131">
        <v>44041</v>
      </c>
      <c r="J690" s="6">
        <v>60514362</v>
      </c>
      <c r="K690">
        <v>422400</v>
      </c>
      <c r="L690">
        <v>60084780.600000001</v>
      </c>
      <c r="M690">
        <v>1.699994</v>
      </c>
      <c r="N690">
        <v>60000000</v>
      </c>
      <c r="O690">
        <v>2.8287499999999999</v>
      </c>
      <c r="P690">
        <v>1.0996457E-3</v>
      </c>
      <c r="Q690" t="s">
        <v>42</v>
      </c>
      <c r="R690" t="s">
        <v>23</v>
      </c>
      <c r="S690" s="131">
        <v>42214</v>
      </c>
      <c r="T690" s="6">
        <f>DataTable[HLD_MaturityDate] - DataTable[SEC_Issue_Date]</f>
        <v>1827</v>
      </c>
      <c r="U690" s="131" t="str">
        <f>DataTable[HLD_Portfolio]&amp;DataTable[HLD_Date]</f>
        <v>SCBFPFUND43397</v>
      </c>
      <c r="V690" t="str">
        <f>DataTable[[#This Row],[RefRng]]&amp;DataTable[[#This Row],[HLD_SecCode]]</f>
        <v>SCBFPFUND43397DTN207A</v>
      </c>
    </row>
    <row r="691" spans="1:22" x14ac:dyDescent="0.2">
      <c r="A691" s="131">
        <v>43397</v>
      </c>
      <c r="B691" t="s">
        <v>335</v>
      </c>
      <c r="C691" t="s">
        <v>18</v>
      </c>
      <c r="D691" t="s">
        <v>102</v>
      </c>
      <c r="F691" t="s">
        <v>669</v>
      </c>
      <c r="G691" t="s">
        <v>670</v>
      </c>
      <c r="H691" t="s">
        <v>41</v>
      </c>
      <c r="I691" s="131">
        <v>43746</v>
      </c>
      <c r="J691" s="6">
        <v>15388430.1</v>
      </c>
      <c r="K691">
        <v>33324.6</v>
      </c>
      <c r="L691">
        <v>15245996.550000001</v>
      </c>
      <c r="M691">
        <v>0.93117399999999995</v>
      </c>
      <c r="N691">
        <v>15000000</v>
      </c>
      <c r="O691">
        <v>3.0150000000000001</v>
      </c>
      <c r="P691">
        <v>2.7829610000000001E-4</v>
      </c>
      <c r="Q691" t="s">
        <v>42</v>
      </c>
      <c r="R691" t="s">
        <v>23</v>
      </c>
      <c r="S691" s="131">
        <v>40276</v>
      </c>
      <c r="T691" s="6">
        <f>DataTable[HLD_MaturityDate] - DataTable[SEC_Issue_Date]</f>
        <v>3470</v>
      </c>
      <c r="U691" s="131" t="str">
        <f>DataTable[HLD_Portfolio]&amp;DataTable[HLD_Date]</f>
        <v>SCBFPFUND43397</v>
      </c>
      <c r="V691" t="str">
        <f>DataTable[[#This Row],[RefRng]]&amp;DataTable[[#This Row],[HLD_SecCode]]</f>
        <v>SCBFPFUND43397GLOW19OA</v>
      </c>
    </row>
    <row r="692" spans="1:22" x14ac:dyDescent="0.2">
      <c r="A692" s="131">
        <v>43397</v>
      </c>
      <c r="B692" t="s">
        <v>335</v>
      </c>
      <c r="C692" t="s">
        <v>18</v>
      </c>
      <c r="D692" t="s">
        <v>102</v>
      </c>
      <c r="F692" t="s">
        <v>495</v>
      </c>
      <c r="G692" t="s">
        <v>497</v>
      </c>
      <c r="H692" t="s">
        <v>496</v>
      </c>
      <c r="I692" s="131">
        <v>44468</v>
      </c>
      <c r="J692" s="6">
        <v>135982191.38</v>
      </c>
      <c r="K692">
        <v>215672.25</v>
      </c>
      <c r="L692">
        <v>137000000</v>
      </c>
      <c r="M692">
        <v>2.8086980000000001</v>
      </c>
      <c r="N692">
        <v>137000000</v>
      </c>
      <c r="O692">
        <v>2.21</v>
      </c>
      <c r="P692">
        <v>2.4577839000000001E-3</v>
      </c>
      <c r="Q692" t="s">
        <v>42</v>
      </c>
      <c r="R692" t="s">
        <v>23</v>
      </c>
      <c r="S692" s="131">
        <v>43007</v>
      </c>
      <c r="T692" s="6">
        <f>DataTable[HLD_MaturityDate] - DataTable[SEC_Issue_Date]</f>
        <v>1461</v>
      </c>
      <c r="U692" s="131" t="str">
        <f>DataTable[HLD_Portfolio]&amp;DataTable[HLD_Date]</f>
        <v>SCBFPFUND43397</v>
      </c>
      <c r="V692" t="str">
        <f>DataTable[[#This Row],[RefRng]]&amp;DataTable[[#This Row],[HLD_SecCode]]</f>
        <v>SCBFPFUND43397GPSC219A</v>
      </c>
    </row>
    <row r="693" spans="1:22" x14ac:dyDescent="0.2">
      <c r="A693" s="131">
        <v>43397</v>
      </c>
      <c r="B693" t="s">
        <v>335</v>
      </c>
      <c r="C693" t="s">
        <v>18</v>
      </c>
      <c r="D693" t="s">
        <v>102</v>
      </c>
      <c r="F693" t="s">
        <v>671</v>
      </c>
      <c r="G693" t="s">
        <v>672</v>
      </c>
      <c r="H693" t="s">
        <v>51</v>
      </c>
      <c r="I693" s="131">
        <v>43682</v>
      </c>
      <c r="J693" s="6">
        <v>298939285.06</v>
      </c>
      <c r="K693">
        <v>1393420.73</v>
      </c>
      <c r="L693">
        <v>299245667.37</v>
      </c>
      <c r="M693">
        <v>0.76887099999999997</v>
      </c>
      <c r="N693">
        <v>299000000</v>
      </c>
      <c r="O693">
        <v>1.9808030000000001</v>
      </c>
      <c r="P693">
        <v>5.4197096999999998E-3</v>
      </c>
      <c r="Q693" t="s">
        <v>42</v>
      </c>
      <c r="R693" t="s">
        <v>23</v>
      </c>
      <c r="S693" s="131">
        <v>42587</v>
      </c>
      <c r="T693" s="6">
        <f>DataTable[HLD_MaturityDate] - DataTable[SEC_Issue_Date]</f>
        <v>1095</v>
      </c>
      <c r="U693" s="131" t="str">
        <f>DataTable[HLD_Portfolio]&amp;DataTable[HLD_Date]</f>
        <v>SCBFPFUND43397</v>
      </c>
      <c r="V693" t="str">
        <f>DataTable[[#This Row],[RefRng]]&amp;DataTable[[#This Row],[HLD_SecCode]]</f>
        <v>SCBFPFUND43397HMPRO198A</v>
      </c>
    </row>
    <row r="694" spans="1:22" x14ac:dyDescent="0.2">
      <c r="A694" s="131">
        <v>43397</v>
      </c>
      <c r="B694" t="s">
        <v>335</v>
      </c>
      <c r="C694" t="s">
        <v>18</v>
      </c>
      <c r="D694" t="s">
        <v>102</v>
      </c>
      <c r="F694" t="s">
        <v>673</v>
      </c>
      <c r="G694" t="s">
        <v>672</v>
      </c>
      <c r="H694" t="s">
        <v>51</v>
      </c>
      <c r="I694" s="131">
        <v>43825</v>
      </c>
      <c r="J694" s="6">
        <v>68923717.439999998</v>
      </c>
      <c r="K694">
        <v>782223.72</v>
      </c>
      <c r="L694">
        <v>68633179.280000001</v>
      </c>
      <c r="M694">
        <v>1.1317619999999999</v>
      </c>
      <c r="N694">
        <v>68000000</v>
      </c>
      <c r="O694">
        <v>2.65</v>
      </c>
      <c r="P694">
        <v>1.2578915000000001E-3</v>
      </c>
      <c r="Q694" t="s">
        <v>42</v>
      </c>
      <c r="R694" t="s">
        <v>23</v>
      </c>
      <c r="S694" s="131">
        <v>41999</v>
      </c>
      <c r="T694" s="6">
        <f>DataTable[HLD_MaturityDate] - DataTable[SEC_Issue_Date]</f>
        <v>1826</v>
      </c>
      <c r="U694" s="131" t="str">
        <f>DataTable[HLD_Portfolio]&amp;DataTable[HLD_Date]</f>
        <v>SCBFPFUND43397</v>
      </c>
      <c r="V694" t="str">
        <f>DataTable[[#This Row],[RefRng]]&amp;DataTable[[#This Row],[HLD_SecCode]]</f>
        <v>SCBFPFUND43397HMPRO19DA</v>
      </c>
    </row>
    <row r="695" spans="1:22" x14ac:dyDescent="0.2">
      <c r="A695" s="131">
        <v>43397</v>
      </c>
      <c r="B695" t="s">
        <v>335</v>
      </c>
      <c r="C695" t="s">
        <v>18</v>
      </c>
      <c r="D695" t="s">
        <v>102</v>
      </c>
      <c r="F695" t="s">
        <v>674</v>
      </c>
      <c r="G695" t="s">
        <v>503</v>
      </c>
      <c r="H695" t="s">
        <v>41</v>
      </c>
      <c r="I695" s="131">
        <v>44355</v>
      </c>
      <c r="J695" s="6">
        <v>146134491.08000001</v>
      </c>
      <c r="K695">
        <v>1301954.52</v>
      </c>
      <c r="L695">
        <v>148000000</v>
      </c>
      <c r="M695">
        <v>2.5003329999999999</v>
      </c>
      <c r="N695">
        <v>148000000</v>
      </c>
      <c r="O695">
        <v>2.31</v>
      </c>
      <c r="P695">
        <v>2.6605918000000002E-3</v>
      </c>
      <c r="Q695" t="s">
        <v>42</v>
      </c>
      <c r="R695" t="s">
        <v>23</v>
      </c>
      <c r="S695" s="131">
        <v>43259</v>
      </c>
      <c r="T695" s="6">
        <f>DataTable[HLD_MaturityDate] - DataTable[SEC_Issue_Date]</f>
        <v>1096</v>
      </c>
      <c r="U695" s="131" t="str">
        <f>DataTable[HLD_Portfolio]&amp;DataTable[HLD_Date]</f>
        <v>SCBFPFUND43397</v>
      </c>
      <c r="V695" t="str">
        <f>DataTable[[#This Row],[RefRng]]&amp;DataTable[[#This Row],[HLD_SecCode]]</f>
        <v>SCBFPFUND43397IVL216A</v>
      </c>
    </row>
    <row r="696" spans="1:22" x14ac:dyDescent="0.2">
      <c r="A696" s="131">
        <v>43397</v>
      </c>
      <c r="B696" t="s">
        <v>335</v>
      </c>
      <c r="C696" t="s">
        <v>18</v>
      </c>
      <c r="D696" t="s">
        <v>102</v>
      </c>
      <c r="F696" t="s">
        <v>675</v>
      </c>
      <c r="G696" t="s">
        <v>544</v>
      </c>
      <c r="H696" t="s">
        <v>47</v>
      </c>
      <c r="I696" s="131">
        <v>44319</v>
      </c>
      <c r="J696" s="6">
        <v>1087273979</v>
      </c>
      <c r="K696">
        <v>11339037.779999999</v>
      </c>
      <c r="L696">
        <v>1100000000</v>
      </c>
      <c r="M696">
        <v>2.4396390000000001</v>
      </c>
      <c r="N696">
        <v>1100000000</v>
      </c>
      <c r="O696">
        <v>2.15</v>
      </c>
      <c r="P696">
        <v>1.9825225500000002E-2</v>
      </c>
      <c r="Q696" t="s">
        <v>42</v>
      </c>
      <c r="R696" t="s">
        <v>23</v>
      </c>
      <c r="S696" s="131">
        <v>43223</v>
      </c>
      <c r="T696" s="6">
        <f>DataTable[HLD_MaturityDate] - DataTable[SEC_Issue_Date]</f>
        <v>1096</v>
      </c>
      <c r="U696" s="131" t="str">
        <f>DataTable[HLD_Portfolio]&amp;DataTable[HLD_Date]</f>
        <v>SCBFPFUND43397</v>
      </c>
      <c r="V696" t="str">
        <f>DataTable[[#This Row],[RefRng]]&amp;DataTable[[#This Row],[HLD_SecCode]]</f>
        <v>SCBFPFUND43397KSL215A</v>
      </c>
    </row>
    <row r="697" spans="1:22" x14ac:dyDescent="0.2">
      <c r="A697" s="131">
        <v>43397</v>
      </c>
      <c r="B697" t="s">
        <v>335</v>
      </c>
      <c r="C697" t="s">
        <v>18</v>
      </c>
      <c r="D697" t="s">
        <v>102</v>
      </c>
      <c r="F697" t="s">
        <v>676</v>
      </c>
      <c r="G697" t="s">
        <v>546</v>
      </c>
      <c r="H697" t="s">
        <v>51</v>
      </c>
      <c r="I697" s="131">
        <v>43766</v>
      </c>
      <c r="J697" s="6">
        <v>28971925.969999999</v>
      </c>
      <c r="K697">
        <v>318920.48</v>
      </c>
      <c r="L697">
        <v>29141433.289999999</v>
      </c>
      <c r="M697">
        <v>0.99116700000000002</v>
      </c>
      <c r="N697">
        <v>29000000</v>
      </c>
      <c r="O697">
        <v>1.74</v>
      </c>
      <c r="P697">
        <v>5.2857339999999998E-4</v>
      </c>
      <c r="Q697" t="s">
        <v>42</v>
      </c>
      <c r="R697" t="s">
        <v>23</v>
      </c>
      <c r="S697" s="131">
        <v>42671</v>
      </c>
      <c r="T697" s="6">
        <f>DataTable[HLD_MaturityDate] - DataTable[SEC_Issue_Date]</f>
        <v>1095</v>
      </c>
      <c r="U697" s="131" t="str">
        <f>DataTable[HLD_Portfolio]&amp;DataTable[HLD_Date]</f>
        <v>SCBFPFUND43397</v>
      </c>
      <c r="V697" t="str">
        <f>DataTable[[#This Row],[RefRng]]&amp;DataTable[[#This Row],[HLD_SecCode]]</f>
        <v>SCBFPFUND43397LH19OB</v>
      </c>
    </row>
    <row r="698" spans="1:22" x14ac:dyDescent="0.2">
      <c r="A698" s="131">
        <v>43397</v>
      </c>
      <c r="B698" t="s">
        <v>335</v>
      </c>
      <c r="C698" t="s">
        <v>18</v>
      </c>
      <c r="D698" t="s">
        <v>102</v>
      </c>
      <c r="F698" t="s">
        <v>677</v>
      </c>
      <c r="G698" t="s">
        <v>546</v>
      </c>
      <c r="H698" t="s">
        <v>51</v>
      </c>
      <c r="I698" s="131">
        <v>43923</v>
      </c>
      <c r="J698" s="6">
        <v>20200708.199999999</v>
      </c>
      <c r="K698">
        <v>41715</v>
      </c>
      <c r="L698">
        <v>20120742.399999999</v>
      </c>
      <c r="M698">
        <v>1.3933819999999999</v>
      </c>
      <c r="N698">
        <v>20000000</v>
      </c>
      <c r="O698">
        <v>2.88</v>
      </c>
      <c r="P698">
        <v>3.6528839999999999E-4</v>
      </c>
      <c r="Q698" t="s">
        <v>42</v>
      </c>
      <c r="R698" t="s">
        <v>23</v>
      </c>
      <c r="S698" s="131">
        <v>42096</v>
      </c>
      <c r="T698" s="6">
        <f>DataTable[HLD_MaturityDate] - DataTable[SEC_Issue_Date]</f>
        <v>1827</v>
      </c>
      <c r="U698" s="131" t="str">
        <f>DataTable[HLD_Portfolio]&amp;DataTable[HLD_Date]</f>
        <v>SCBFPFUND43397</v>
      </c>
      <c r="V698" t="str">
        <f>DataTable[[#This Row],[RefRng]]&amp;DataTable[[#This Row],[HLD_SecCode]]</f>
        <v>SCBFPFUND43397LH204A</v>
      </c>
    </row>
    <row r="699" spans="1:22" x14ac:dyDescent="0.2">
      <c r="A699" s="131">
        <v>43397</v>
      </c>
      <c r="B699" t="s">
        <v>335</v>
      </c>
      <c r="C699" t="s">
        <v>18</v>
      </c>
      <c r="D699" t="s">
        <v>102</v>
      </c>
      <c r="F699" t="s">
        <v>678</v>
      </c>
      <c r="G699" t="s">
        <v>546</v>
      </c>
      <c r="H699" t="s">
        <v>51</v>
      </c>
      <c r="I699" s="131">
        <v>43949</v>
      </c>
      <c r="J699" s="6">
        <v>129769888.3</v>
      </c>
      <c r="K699">
        <v>1589917.24</v>
      </c>
      <c r="L699">
        <v>130000000</v>
      </c>
      <c r="M699">
        <v>1.47078</v>
      </c>
      <c r="N699">
        <v>130000000</v>
      </c>
      <c r="O699">
        <v>2.48</v>
      </c>
      <c r="P699">
        <v>2.3704778E-3</v>
      </c>
      <c r="Q699" t="s">
        <v>42</v>
      </c>
      <c r="R699" t="s">
        <v>23</v>
      </c>
      <c r="S699" s="131">
        <v>42853</v>
      </c>
      <c r="T699" s="6">
        <f>DataTable[HLD_MaturityDate] - DataTable[SEC_Issue_Date]</f>
        <v>1096</v>
      </c>
      <c r="U699" s="131" t="str">
        <f>DataTable[HLD_Portfolio]&amp;DataTable[HLD_Date]</f>
        <v>SCBFPFUND43397</v>
      </c>
      <c r="V699" t="str">
        <f>DataTable[[#This Row],[RefRng]]&amp;DataTable[[#This Row],[HLD_SecCode]]</f>
        <v>SCBFPFUND43397LH204B</v>
      </c>
    </row>
    <row r="700" spans="1:22" x14ac:dyDescent="0.2">
      <c r="A700" s="131">
        <v>43397</v>
      </c>
      <c r="B700" t="s">
        <v>335</v>
      </c>
      <c r="C700" t="s">
        <v>18</v>
      </c>
      <c r="D700" t="s">
        <v>102</v>
      </c>
      <c r="F700" t="s">
        <v>679</v>
      </c>
      <c r="G700" t="s">
        <v>546</v>
      </c>
      <c r="H700" t="s">
        <v>51</v>
      </c>
      <c r="I700" s="131">
        <v>44112</v>
      </c>
      <c r="J700" s="6">
        <v>127192483.77</v>
      </c>
      <c r="K700">
        <v>176163.9</v>
      </c>
      <c r="L700">
        <v>127682143.77</v>
      </c>
      <c r="M700">
        <v>1.8829990000000001</v>
      </c>
      <c r="N700">
        <v>126500000</v>
      </c>
      <c r="O700">
        <v>2.4982609999999998</v>
      </c>
      <c r="P700">
        <v>2.2984545999999999E-3</v>
      </c>
      <c r="Q700" t="s">
        <v>42</v>
      </c>
      <c r="R700" t="s">
        <v>23</v>
      </c>
      <c r="S700" s="131">
        <v>42285</v>
      </c>
      <c r="T700" s="6">
        <f>DataTable[HLD_MaturityDate] - DataTable[SEC_Issue_Date]</f>
        <v>1827</v>
      </c>
      <c r="U700" s="131" t="str">
        <f>DataTable[HLD_Portfolio]&amp;DataTable[HLD_Date]</f>
        <v>SCBFPFUND43397</v>
      </c>
      <c r="V700" t="str">
        <f>DataTable[[#This Row],[RefRng]]&amp;DataTable[[#This Row],[HLD_SecCode]]</f>
        <v>SCBFPFUND43397LH20OA</v>
      </c>
    </row>
    <row r="701" spans="1:22" x14ac:dyDescent="0.2">
      <c r="A701" s="131">
        <v>43397</v>
      </c>
      <c r="B701" t="s">
        <v>335</v>
      </c>
      <c r="C701" t="s">
        <v>18</v>
      </c>
      <c r="D701" t="s">
        <v>102</v>
      </c>
      <c r="F701" t="s">
        <v>680</v>
      </c>
      <c r="G701" t="s">
        <v>546</v>
      </c>
      <c r="H701" t="s">
        <v>51</v>
      </c>
      <c r="I701" s="131">
        <v>44109</v>
      </c>
      <c r="J701" s="6">
        <v>143418573.44999999</v>
      </c>
      <c r="K701">
        <v>169232.4</v>
      </c>
      <c r="L701">
        <v>145168360.94999999</v>
      </c>
      <c r="M701">
        <v>1.886665</v>
      </c>
      <c r="N701">
        <v>145000000</v>
      </c>
      <c r="O701">
        <v>2.0699999999999998</v>
      </c>
      <c r="P701">
        <v>2.5911404000000002E-3</v>
      </c>
      <c r="Q701" t="s">
        <v>42</v>
      </c>
      <c r="R701" t="s">
        <v>23</v>
      </c>
      <c r="S701" s="131">
        <v>43013</v>
      </c>
      <c r="T701" s="6">
        <f>DataTable[HLD_MaturityDate] - DataTable[SEC_Issue_Date]</f>
        <v>1096</v>
      </c>
      <c r="U701" s="131" t="str">
        <f>DataTable[HLD_Portfolio]&amp;DataTable[HLD_Date]</f>
        <v>SCBFPFUND43397</v>
      </c>
      <c r="V701" t="str">
        <f>DataTable[[#This Row],[RefRng]]&amp;DataTable[[#This Row],[HLD_SecCode]]</f>
        <v>SCBFPFUND43397LH20OB</v>
      </c>
    </row>
    <row r="702" spans="1:22" x14ac:dyDescent="0.2">
      <c r="A702" s="131">
        <v>43397</v>
      </c>
      <c r="B702" t="s">
        <v>335</v>
      </c>
      <c r="C702" t="s">
        <v>18</v>
      </c>
      <c r="D702" t="s">
        <v>102</v>
      </c>
      <c r="F702" t="s">
        <v>681</v>
      </c>
      <c r="G702" t="s">
        <v>682</v>
      </c>
      <c r="H702" t="s">
        <v>47</v>
      </c>
      <c r="I702" s="131">
        <v>46079</v>
      </c>
      <c r="J702" s="6">
        <v>382370679.39999998</v>
      </c>
      <c r="K702">
        <v>2230026.2000000002</v>
      </c>
      <c r="L702">
        <v>380000000</v>
      </c>
      <c r="M702">
        <v>6.3782030000000001</v>
      </c>
      <c r="N702">
        <v>380000000</v>
      </c>
      <c r="O702">
        <v>3.57</v>
      </c>
      <c r="P702">
        <v>6.9403835000000002E-3</v>
      </c>
      <c r="Q702" t="s">
        <v>42</v>
      </c>
      <c r="R702" t="s">
        <v>23</v>
      </c>
      <c r="S702" s="131">
        <v>42426</v>
      </c>
      <c r="T702" s="6">
        <f>DataTable[HLD_MaturityDate] - DataTable[SEC_Issue_Date]</f>
        <v>3653</v>
      </c>
      <c r="U702" s="131" t="str">
        <f>DataTable[HLD_Portfolio]&amp;DataTable[HLD_Date]</f>
        <v>SCBFPFUND43397</v>
      </c>
      <c r="V702" t="str">
        <f>DataTable[[#This Row],[RefRng]]&amp;DataTable[[#This Row],[HLD_SecCode]]</f>
        <v>SCBFPFUND43397MBK262A</v>
      </c>
    </row>
    <row r="703" spans="1:22" x14ac:dyDescent="0.2">
      <c r="A703" s="131">
        <v>43397</v>
      </c>
      <c r="B703" t="s">
        <v>335</v>
      </c>
      <c r="C703" t="s">
        <v>18</v>
      </c>
      <c r="D703" t="s">
        <v>102</v>
      </c>
      <c r="F703" t="s">
        <v>601</v>
      </c>
      <c r="G703" t="s">
        <v>550</v>
      </c>
      <c r="H703" t="s">
        <v>47</v>
      </c>
      <c r="I703" s="131">
        <v>43973</v>
      </c>
      <c r="J703" s="6">
        <v>206651207.34999999</v>
      </c>
      <c r="K703">
        <v>2672302.1</v>
      </c>
      <c r="L703">
        <v>205071766.40000001</v>
      </c>
      <c r="M703">
        <v>1.5133190000000001</v>
      </c>
      <c r="N703">
        <v>205000000</v>
      </c>
      <c r="O703">
        <v>3.017925</v>
      </c>
      <c r="P703">
        <v>3.7773862999999999E-3</v>
      </c>
      <c r="Q703" t="s">
        <v>42</v>
      </c>
      <c r="R703" t="s">
        <v>23</v>
      </c>
      <c r="S703" s="131">
        <v>42146</v>
      </c>
      <c r="T703" s="6">
        <f>DataTable[HLD_MaturityDate] - DataTable[SEC_Issue_Date]</f>
        <v>1827</v>
      </c>
      <c r="U703" s="131" t="str">
        <f>DataTable[HLD_Portfolio]&amp;DataTable[HLD_Date]</f>
        <v>SCBFPFUND43397</v>
      </c>
      <c r="V703" t="str">
        <f>DataTable[[#This Row],[RefRng]]&amp;DataTable[[#This Row],[HLD_SecCode]]</f>
        <v>SCBFPFUND43397MINT205A</v>
      </c>
    </row>
    <row r="704" spans="1:22" x14ac:dyDescent="0.2">
      <c r="A704" s="131">
        <v>43397</v>
      </c>
      <c r="B704" t="s">
        <v>335</v>
      </c>
      <c r="C704" t="s">
        <v>18</v>
      </c>
      <c r="D704" t="s">
        <v>102</v>
      </c>
      <c r="F704" t="s">
        <v>602</v>
      </c>
      <c r="G704" t="s">
        <v>550</v>
      </c>
      <c r="H704" t="s">
        <v>47</v>
      </c>
      <c r="I704" s="131">
        <v>44270</v>
      </c>
      <c r="J704" s="6">
        <v>193115631.15000001</v>
      </c>
      <c r="K704">
        <v>485095.65</v>
      </c>
      <c r="L704">
        <v>194372451</v>
      </c>
      <c r="M704">
        <v>2.2994979999999998</v>
      </c>
      <c r="N704">
        <v>195000000</v>
      </c>
      <c r="O704">
        <v>2.413122</v>
      </c>
      <c r="P704">
        <v>3.4936579000000001E-3</v>
      </c>
      <c r="Q704" t="s">
        <v>42</v>
      </c>
      <c r="R704" t="s">
        <v>23</v>
      </c>
      <c r="S704" s="131">
        <v>42444</v>
      </c>
      <c r="T704" s="6">
        <f>DataTable[HLD_MaturityDate] - DataTable[SEC_Issue_Date]</f>
        <v>1826</v>
      </c>
      <c r="U704" s="131" t="str">
        <f>DataTable[HLD_Portfolio]&amp;DataTable[HLD_Date]</f>
        <v>SCBFPFUND43397</v>
      </c>
      <c r="V704" t="str">
        <f>DataTable[[#This Row],[RefRng]]&amp;DataTable[[#This Row],[HLD_SecCode]]</f>
        <v>SCBFPFUND43397MINT213A</v>
      </c>
    </row>
    <row r="705" spans="1:22" x14ac:dyDescent="0.2">
      <c r="A705" s="131">
        <v>43397</v>
      </c>
      <c r="B705" t="s">
        <v>335</v>
      </c>
      <c r="C705" t="s">
        <v>18</v>
      </c>
      <c r="D705" t="s">
        <v>102</v>
      </c>
      <c r="F705" t="s">
        <v>683</v>
      </c>
      <c r="G705" t="s">
        <v>78</v>
      </c>
      <c r="H705" t="s">
        <v>51</v>
      </c>
      <c r="I705" s="131">
        <v>43734</v>
      </c>
      <c r="J705" s="6">
        <v>104134194.40000001</v>
      </c>
      <c r="K705">
        <v>316794.7</v>
      </c>
      <c r="L705">
        <v>103653773.83</v>
      </c>
      <c r="M705">
        <v>0.89737699999999998</v>
      </c>
      <c r="N705">
        <v>102500000</v>
      </c>
      <c r="O705">
        <v>2.6543899999999998</v>
      </c>
      <c r="P705">
        <v>1.8848897000000001E-3</v>
      </c>
      <c r="Q705" t="s">
        <v>42</v>
      </c>
      <c r="R705" t="s">
        <v>23</v>
      </c>
      <c r="S705" s="131">
        <v>41908</v>
      </c>
      <c r="T705" s="6">
        <f>DataTable[HLD_MaturityDate] - DataTable[SEC_Issue_Date]</f>
        <v>1826</v>
      </c>
      <c r="U705" s="131" t="str">
        <f>DataTable[HLD_Portfolio]&amp;DataTable[HLD_Date]</f>
        <v>SCBFPFUND43397</v>
      </c>
      <c r="V705" t="str">
        <f>DataTable[[#This Row],[RefRng]]&amp;DataTable[[#This Row],[HLD_SecCode]]</f>
        <v>SCBFPFUND43397MPSC199A</v>
      </c>
    </row>
    <row r="706" spans="1:22" x14ac:dyDescent="0.2">
      <c r="A706" s="131">
        <v>43397</v>
      </c>
      <c r="B706" t="s">
        <v>335</v>
      </c>
      <c r="C706" t="s">
        <v>18</v>
      </c>
      <c r="D706" t="s">
        <v>102</v>
      </c>
      <c r="F706" t="s">
        <v>684</v>
      </c>
      <c r="G706" t="s">
        <v>78</v>
      </c>
      <c r="H706" t="s">
        <v>51</v>
      </c>
      <c r="I706" s="131">
        <v>43769</v>
      </c>
      <c r="J706" s="6">
        <v>493109068.80000001</v>
      </c>
      <c r="K706">
        <v>11470027.130000001</v>
      </c>
      <c r="L706">
        <v>488880844.80000001</v>
      </c>
      <c r="M706">
        <v>0.99385699999999999</v>
      </c>
      <c r="N706">
        <v>480000000</v>
      </c>
      <c r="O706">
        <v>3.0383330000000002</v>
      </c>
      <c r="P706">
        <v>9.1054758999999999E-3</v>
      </c>
      <c r="Q706" t="s">
        <v>42</v>
      </c>
      <c r="R706" t="s">
        <v>23</v>
      </c>
      <c r="S706" s="131">
        <v>41046</v>
      </c>
      <c r="T706" s="6">
        <f>DataTable[HLD_MaturityDate] - DataTable[SEC_Issue_Date]</f>
        <v>2723</v>
      </c>
      <c r="U706" s="131" t="str">
        <f>DataTable[HLD_Portfolio]&amp;DataTable[HLD_Date]</f>
        <v>SCBFPFUND43397</v>
      </c>
      <c r="V706" t="str">
        <f>DataTable[[#This Row],[RefRng]]&amp;DataTable[[#This Row],[HLD_SecCode]]</f>
        <v>SCBFPFUND43397MPSC19OA</v>
      </c>
    </row>
    <row r="707" spans="1:22" x14ac:dyDescent="0.2">
      <c r="A707" s="131">
        <v>43397</v>
      </c>
      <c r="B707" t="s">
        <v>335</v>
      </c>
      <c r="C707" t="s">
        <v>18</v>
      </c>
      <c r="D707" t="s">
        <v>102</v>
      </c>
      <c r="F707" t="s">
        <v>685</v>
      </c>
      <c r="G707" t="s">
        <v>78</v>
      </c>
      <c r="H707" t="s">
        <v>51</v>
      </c>
      <c r="I707" s="131">
        <v>44085</v>
      </c>
      <c r="J707" s="6">
        <v>201925482</v>
      </c>
      <c r="K707">
        <v>711232</v>
      </c>
      <c r="L707">
        <v>200128976</v>
      </c>
      <c r="M707">
        <v>1.810433</v>
      </c>
      <c r="N707">
        <v>200000000</v>
      </c>
      <c r="O707">
        <v>2.92</v>
      </c>
      <c r="P707">
        <v>3.6567184999999999E-3</v>
      </c>
      <c r="Q707" t="s">
        <v>42</v>
      </c>
      <c r="R707" t="s">
        <v>23</v>
      </c>
      <c r="S707" s="131">
        <v>42258</v>
      </c>
      <c r="T707" s="6">
        <f>DataTable[HLD_MaturityDate] - DataTable[SEC_Issue_Date]</f>
        <v>1827</v>
      </c>
      <c r="U707" s="131" t="str">
        <f>DataTable[HLD_Portfolio]&amp;DataTable[HLD_Date]</f>
        <v>SCBFPFUND43397</v>
      </c>
      <c r="V707" t="str">
        <f>DataTable[[#This Row],[RefRng]]&amp;DataTable[[#This Row],[HLD_SecCode]]</f>
        <v>SCBFPFUND43397MPSC209A</v>
      </c>
    </row>
    <row r="708" spans="1:22" x14ac:dyDescent="0.2">
      <c r="A708" s="131">
        <v>43397</v>
      </c>
      <c r="B708" t="s">
        <v>335</v>
      </c>
      <c r="C708" t="s">
        <v>18</v>
      </c>
      <c r="D708" t="s">
        <v>102</v>
      </c>
      <c r="F708" t="s">
        <v>686</v>
      </c>
      <c r="G708" t="s">
        <v>78</v>
      </c>
      <c r="H708" t="s">
        <v>51</v>
      </c>
      <c r="I708" s="131">
        <v>44135</v>
      </c>
      <c r="J708" s="6">
        <v>21099552.600000001</v>
      </c>
      <c r="K708">
        <v>516931.56</v>
      </c>
      <c r="L708">
        <v>20833902.399999999</v>
      </c>
      <c r="M708">
        <v>1.9187160000000001</v>
      </c>
      <c r="N708">
        <v>20000000</v>
      </c>
      <c r="O708">
        <v>3.15</v>
      </c>
      <c r="P708">
        <v>3.9008430000000001E-4</v>
      </c>
      <c r="Q708" t="s">
        <v>42</v>
      </c>
      <c r="R708" t="s">
        <v>23</v>
      </c>
      <c r="S708" s="131">
        <v>40998</v>
      </c>
      <c r="T708" s="6">
        <f>DataTable[HLD_MaturityDate] - DataTable[SEC_Issue_Date]</f>
        <v>3137</v>
      </c>
      <c r="U708" s="131" t="str">
        <f>DataTable[HLD_Portfolio]&amp;DataTable[HLD_Date]</f>
        <v>SCBFPFUND43397</v>
      </c>
      <c r="V708" t="str">
        <f>DataTable[[#This Row],[RefRng]]&amp;DataTable[[#This Row],[HLD_SecCode]]</f>
        <v>SCBFPFUND43397MPSC20OA</v>
      </c>
    </row>
    <row r="709" spans="1:22" x14ac:dyDescent="0.2">
      <c r="A709" s="131">
        <v>43397</v>
      </c>
      <c r="B709" t="s">
        <v>335</v>
      </c>
      <c r="C709" t="s">
        <v>18</v>
      </c>
      <c r="D709" t="s">
        <v>102</v>
      </c>
      <c r="F709" t="s">
        <v>687</v>
      </c>
      <c r="G709" t="s">
        <v>78</v>
      </c>
      <c r="H709" t="s">
        <v>51</v>
      </c>
      <c r="I709" s="131">
        <v>44121</v>
      </c>
      <c r="J709" s="6">
        <v>20971046.399999999</v>
      </c>
      <c r="K709">
        <v>22005.4</v>
      </c>
      <c r="L709">
        <v>20660094.399999999</v>
      </c>
      <c r="M709">
        <v>1.8829450000000001</v>
      </c>
      <c r="N709">
        <v>20000000</v>
      </c>
      <c r="O709">
        <v>3.2850000000000001</v>
      </c>
      <c r="P709">
        <v>3.7883399999999998E-4</v>
      </c>
      <c r="Q709" t="s">
        <v>42</v>
      </c>
      <c r="R709" t="s">
        <v>23</v>
      </c>
      <c r="S709" s="131">
        <v>41564</v>
      </c>
      <c r="T709" s="6">
        <f>DataTable[HLD_MaturityDate] - DataTable[SEC_Issue_Date]</f>
        <v>2557</v>
      </c>
      <c r="U709" s="131" t="str">
        <f>DataTable[HLD_Portfolio]&amp;DataTable[HLD_Date]</f>
        <v>SCBFPFUND43397</v>
      </c>
      <c r="V709" t="str">
        <f>DataTable[[#This Row],[RefRng]]&amp;DataTable[[#This Row],[HLD_SecCode]]</f>
        <v>SCBFPFUND43397MPSC20OB</v>
      </c>
    </row>
    <row r="710" spans="1:22" x14ac:dyDescent="0.2">
      <c r="A710" s="131">
        <v>43397</v>
      </c>
      <c r="B710" t="s">
        <v>335</v>
      </c>
      <c r="C710" t="s">
        <v>18</v>
      </c>
      <c r="D710" t="s">
        <v>102</v>
      </c>
      <c r="F710" t="s">
        <v>504</v>
      </c>
      <c r="G710" t="s">
        <v>505</v>
      </c>
      <c r="H710" t="s">
        <v>47</v>
      </c>
      <c r="I710" s="131">
        <v>43813</v>
      </c>
      <c r="J710" s="6">
        <v>22939359.579999998</v>
      </c>
      <c r="K710">
        <v>165940.17000000001</v>
      </c>
      <c r="L710">
        <v>23000000</v>
      </c>
      <c r="M710">
        <v>1.1100220000000001</v>
      </c>
      <c r="N710">
        <v>23000000</v>
      </c>
      <c r="O710">
        <v>1.98</v>
      </c>
      <c r="P710">
        <v>4.1695099999999999E-4</v>
      </c>
      <c r="Q710" t="s">
        <v>42</v>
      </c>
      <c r="R710" t="s">
        <v>23</v>
      </c>
      <c r="S710" s="131">
        <v>43083</v>
      </c>
      <c r="T710" s="6">
        <f>DataTable[HLD_MaturityDate] - DataTable[SEC_Issue_Date]</f>
        <v>730</v>
      </c>
      <c r="U710" s="131" t="str">
        <f>DataTable[HLD_Portfolio]&amp;DataTable[HLD_Date]</f>
        <v>SCBFPFUND43397</v>
      </c>
      <c r="V710" t="str">
        <f>DataTable[[#This Row],[RefRng]]&amp;DataTable[[#This Row],[HLD_SecCode]]</f>
        <v>SCBFPFUND43397NTL19DB</v>
      </c>
    </row>
    <row r="711" spans="1:22" x14ac:dyDescent="0.2">
      <c r="A711" s="131">
        <v>43397</v>
      </c>
      <c r="B711" t="s">
        <v>335</v>
      </c>
      <c r="C711" t="s">
        <v>18</v>
      </c>
      <c r="D711" t="s">
        <v>102</v>
      </c>
      <c r="F711" t="s">
        <v>553</v>
      </c>
      <c r="G711" t="s">
        <v>216</v>
      </c>
      <c r="H711" t="s">
        <v>47</v>
      </c>
      <c r="I711" s="131">
        <v>43798</v>
      </c>
      <c r="J711" s="6">
        <v>100340507</v>
      </c>
      <c r="K711">
        <v>598055.11</v>
      </c>
      <c r="L711">
        <v>100954522</v>
      </c>
      <c r="M711">
        <v>1.080533</v>
      </c>
      <c r="N711">
        <v>100000000</v>
      </c>
      <c r="O711">
        <v>1.75</v>
      </c>
      <c r="P711">
        <v>1.8215055999999999E-3</v>
      </c>
      <c r="Q711" t="s">
        <v>42</v>
      </c>
      <c r="R711" t="s">
        <v>23</v>
      </c>
      <c r="S711" s="131">
        <v>42769</v>
      </c>
      <c r="T711" s="6">
        <f>DataTable[HLD_MaturityDate] - DataTable[SEC_Issue_Date]</f>
        <v>1029</v>
      </c>
      <c r="U711" s="131" t="str">
        <f>DataTable[HLD_Portfolio]&amp;DataTable[HLD_Date]</f>
        <v>SCBFPFUND43397</v>
      </c>
      <c r="V711" t="str">
        <f>DataTable[[#This Row],[RefRng]]&amp;DataTable[[#This Row],[HLD_SecCode]]</f>
        <v>SCBFPFUND43397PS19NA</v>
      </c>
    </row>
    <row r="712" spans="1:22" x14ac:dyDescent="0.2">
      <c r="A712" s="131">
        <v>43397</v>
      </c>
      <c r="B712" t="s">
        <v>335</v>
      </c>
      <c r="C712" t="s">
        <v>18</v>
      </c>
      <c r="D712" t="s">
        <v>102</v>
      </c>
      <c r="F712" t="s">
        <v>506</v>
      </c>
      <c r="G712" t="s">
        <v>216</v>
      </c>
      <c r="H712" t="s">
        <v>47</v>
      </c>
      <c r="I712" s="131">
        <v>44155</v>
      </c>
      <c r="J712" s="6">
        <v>84758151.200000003</v>
      </c>
      <c r="K712">
        <v>811529</v>
      </c>
      <c r="L712">
        <v>85110602</v>
      </c>
      <c r="M712">
        <v>1.9840409999999999</v>
      </c>
      <c r="N712">
        <v>85000000</v>
      </c>
      <c r="O712">
        <v>2.5729410000000001</v>
      </c>
      <c r="P712">
        <v>1.5441636000000001E-3</v>
      </c>
      <c r="Q712" t="s">
        <v>42</v>
      </c>
      <c r="R712" t="s">
        <v>23</v>
      </c>
      <c r="S712" s="131">
        <v>42901</v>
      </c>
      <c r="T712" s="6">
        <f>DataTable[HLD_MaturityDate] - DataTable[SEC_Issue_Date]</f>
        <v>1254</v>
      </c>
      <c r="U712" s="131" t="str">
        <f>DataTable[HLD_Portfolio]&amp;DataTable[HLD_Date]</f>
        <v>SCBFPFUND43397</v>
      </c>
      <c r="V712" t="str">
        <f>DataTable[[#This Row],[RefRng]]&amp;DataTable[[#This Row],[HLD_SecCode]]</f>
        <v>SCBFPFUND43397PS20NA</v>
      </c>
    </row>
    <row r="713" spans="1:22" x14ac:dyDescent="0.2">
      <c r="A713" s="131">
        <v>43397</v>
      </c>
      <c r="B713" t="s">
        <v>335</v>
      </c>
      <c r="C713" t="s">
        <v>18</v>
      </c>
      <c r="D713" t="s">
        <v>102</v>
      </c>
      <c r="F713" t="s">
        <v>688</v>
      </c>
      <c r="G713" t="s">
        <v>216</v>
      </c>
      <c r="H713" t="s">
        <v>47</v>
      </c>
      <c r="I713" s="131">
        <v>44274</v>
      </c>
      <c r="J713" s="6">
        <v>98858123</v>
      </c>
      <c r="K713">
        <v>223890</v>
      </c>
      <c r="L713">
        <v>100000000</v>
      </c>
      <c r="M713">
        <v>2.3094000000000001</v>
      </c>
      <c r="N713">
        <v>100000000</v>
      </c>
      <c r="O713">
        <v>2.27</v>
      </c>
      <c r="P713">
        <v>1.7880029E-3</v>
      </c>
      <c r="Q713" t="s">
        <v>42</v>
      </c>
      <c r="R713" t="s">
        <v>23</v>
      </c>
      <c r="S713" s="131">
        <v>42997</v>
      </c>
      <c r="T713" s="6">
        <f>DataTable[HLD_MaturityDate] - DataTable[SEC_Issue_Date]</f>
        <v>1277</v>
      </c>
      <c r="U713" s="131" t="str">
        <f>DataTable[HLD_Portfolio]&amp;DataTable[HLD_Date]</f>
        <v>SCBFPFUND43397</v>
      </c>
      <c r="V713" t="str">
        <f>DataTable[[#This Row],[RefRng]]&amp;DataTable[[#This Row],[HLD_SecCode]]</f>
        <v>SCBFPFUND43397PS213A</v>
      </c>
    </row>
    <row r="714" spans="1:22" x14ac:dyDescent="0.2">
      <c r="A714" s="131">
        <v>43397</v>
      </c>
      <c r="B714" t="s">
        <v>335</v>
      </c>
      <c r="C714" t="s">
        <v>18</v>
      </c>
      <c r="D714" t="s">
        <v>102</v>
      </c>
      <c r="F714" t="s">
        <v>689</v>
      </c>
      <c r="G714" t="s">
        <v>690</v>
      </c>
      <c r="H714" t="s">
        <v>47</v>
      </c>
      <c r="I714" s="131">
        <v>44347</v>
      </c>
      <c r="J714" s="6">
        <v>1111930568</v>
      </c>
      <c r="K714">
        <v>10690321.6</v>
      </c>
      <c r="L714">
        <v>1119487689.5999999</v>
      </c>
      <c r="M714">
        <v>2.4787940000000002</v>
      </c>
      <c r="N714">
        <v>1120000000</v>
      </c>
      <c r="O714">
        <v>2.3865180000000001</v>
      </c>
      <c r="P714">
        <v>2.0258464E-2</v>
      </c>
      <c r="Q714" t="s">
        <v>42</v>
      </c>
      <c r="R714" t="s">
        <v>23</v>
      </c>
      <c r="S714" s="131">
        <v>43251</v>
      </c>
      <c r="T714" s="6">
        <f>DataTable[HLD_MaturityDate] - DataTable[SEC_Issue_Date]</f>
        <v>1096</v>
      </c>
      <c r="U714" s="131" t="str">
        <f>DataTable[HLD_Portfolio]&amp;DataTable[HLD_Date]</f>
        <v>SCBFPFUND43397</v>
      </c>
      <c r="V714" t="str">
        <f>DataTable[[#This Row],[RefRng]]&amp;DataTable[[#This Row],[HLD_SecCode]]</f>
        <v>SCBFPFUND43397PSH215A</v>
      </c>
    </row>
    <row r="715" spans="1:22" x14ac:dyDescent="0.2">
      <c r="A715" s="131">
        <v>43397</v>
      </c>
      <c r="B715" t="s">
        <v>335</v>
      </c>
      <c r="C715" t="s">
        <v>18</v>
      </c>
      <c r="D715" t="s">
        <v>102</v>
      </c>
      <c r="F715" t="s">
        <v>691</v>
      </c>
      <c r="G715" t="s">
        <v>555</v>
      </c>
      <c r="H715" t="s">
        <v>58</v>
      </c>
      <c r="I715" s="131">
        <v>43605</v>
      </c>
      <c r="J715" s="6">
        <v>30679035.600000001</v>
      </c>
      <c r="K715">
        <v>766191.9</v>
      </c>
      <c r="L715">
        <v>30610170</v>
      </c>
      <c r="M715">
        <v>0.55206599999999995</v>
      </c>
      <c r="N715">
        <v>30000000</v>
      </c>
      <c r="O715">
        <v>2.25</v>
      </c>
      <c r="P715">
        <v>5.6745069999999996E-4</v>
      </c>
      <c r="Q715" t="s">
        <v>42</v>
      </c>
      <c r="R715" t="s">
        <v>23</v>
      </c>
      <c r="S715" s="131">
        <v>38127</v>
      </c>
      <c r="T715" s="6">
        <f>DataTable[HLD_MaturityDate] - DataTable[SEC_Issue_Date]</f>
        <v>5478</v>
      </c>
      <c r="U715" s="131" t="str">
        <f>DataTable[HLD_Portfolio]&amp;DataTable[HLD_Date]</f>
        <v>SCBFPFUND43397</v>
      </c>
      <c r="V715" t="str">
        <f>DataTable[[#This Row],[RefRng]]&amp;DataTable[[#This Row],[HLD_SecCode]]</f>
        <v>SCBFPFUND43397PTTC195A</v>
      </c>
    </row>
    <row r="716" spans="1:22" x14ac:dyDescent="0.2">
      <c r="A716" s="131">
        <v>43397</v>
      </c>
      <c r="B716" t="s">
        <v>335</v>
      </c>
      <c r="C716" t="s">
        <v>18</v>
      </c>
      <c r="D716" t="s">
        <v>102</v>
      </c>
      <c r="F716" t="s">
        <v>692</v>
      </c>
      <c r="G716" t="s">
        <v>555</v>
      </c>
      <c r="H716" t="s">
        <v>58</v>
      </c>
      <c r="I716" s="131">
        <v>44150</v>
      </c>
      <c r="J716" s="6">
        <v>235432257.75</v>
      </c>
      <c r="K716">
        <v>4772774.25</v>
      </c>
      <c r="L716">
        <v>234501734.25</v>
      </c>
      <c r="M716">
        <v>1.924525</v>
      </c>
      <c r="N716">
        <v>225000000</v>
      </c>
      <c r="O716">
        <v>2.6177779999999999</v>
      </c>
      <c r="P716">
        <v>4.3346646000000004E-3</v>
      </c>
      <c r="Q716" t="s">
        <v>42</v>
      </c>
      <c r="R716" t="s">
        <v>23</v>
      </c>
      <c r="S716" s="131">
        <v>41605</v>
      </c>
      <c r="T716" s="6">
        <f>DataTable[HLD_MaturityDate] - DataTable[SEC_Issue_Date]</f>
        <v>2545</v>
      </c>
      <c r="U716" s="131" t="str">
        <f>DataTable[HLD_Portfolio]&amp;DataTable[HLD_Date]</f>
        <v>SCBFPFUND43397</v>
      </c>
      <c r="V716" t="str">
        <f>DataTable[[#This Row],[RefRng]]&amp;DataTable[[#This Row],[HLD_SecCode]]</f>
        <v>SCBFPFUND43397PTTC20NA</v>
      </c>
    </row>
    <row r="717" spans="1:22" x14ac:dyDescent="0.2">
      <c r="A717" s="131">
        <v>43397</v>
      </c>
      <c r="B717" t="s">
        <v>335</v>
      </c>
      <c r="C717" t="s">
        <v>18</v>
      </c>
      <c r="D717" t="s">
        <v>102</v>
      </c>
      <c r="F717" t="s">
        <v>693</v>
      </c>
      <c r="G717" t="s">
        <v>555</v>
      </c>
      <c r="H717" t="s">
        <v>58</v>
      </c>
      <c r="I717" s="131">
        <v>44515</v>
      </c>
      <c r="J717" s="6">
        <v>20900773.800000001</v>
      </c>
      <c r="K717">
        <v>357260.2</v>
      </c>
      <c r="L717">
        <v>20802351.600000001</v>
      </c>
      <c r="M717">
        <v>2.8294359999999998</v>
      </c>
      <c r="N717">
        <v>20000000</v>
      </c>
      <c r="O717">
        <v>2.62</v>
      </c>
      <c r="P717">
        <v>3.8361580000000002E-4</v>
      </c>
      <c r="Q717" t="s">
        <v>42</v>
      </c>
      <c r="R717" t="s">
        <v>23</v>
      </c>
      <c r="S717" s="131">
        <v>41988</v>
      </c>
      <c r="T717" s="6">
        <f>DataTable[HLD_MaturityDate] - DataTable[SEC_Issue_Date]</f>
        <v>2527</v>
      </c>
      <c r="U717" s="131" t="str">
        <f>DataTable[HLD_Portfolio]&amp;DataTable[HLD_Date]</f>
        <v>SCBFPFUND43397</v>
      </c>
      <c r="V717" t="str">
        <f>DataTable[[#This Row],[RefRng]]&amp;DataTable[[#This Row],[HLD_SecCode]]</f>
        <v>SCBFPFUND43397PTTC21NA</v>
      </c>
    </row>
    <row r="718" spans="1:22" x14ac:dyDescent="0.2">
      <c r="A718" s="131">
        <v>43397</v>
      </c>
      <c r="B718" t="s">
        <v>335</v>
      </c>
      <c r="C718" t="s">
        <v>18</v>
      </c>
      <c r="D718" t="s">
        <v>102</v>
      </c>
      <c r="F718" t="s">
        <v>694</v>
      </c>
      <c r="G718" t="s">
        <v>218</v>
      </c>
      <c r="H718" t="s">
        <v>116</v>
      </c>
      <c r="I718" s="131">
        <v>43642</v>
      </c>
      <c r="J718" s="6">
        <v>412550704.30000001</v>
      </c>
      <c r="K718">
        <v>4172676.6</v>
      </c>
      <c r="L718">
        <v>411239315.19999999</v>
      </c>
      <c r="M718">
        <v>0.65539000000000003</v>
      </c>
      <c r="N718">
        <v>410000000</v>
      </c>
      <c r="O718">
        <v>2.6021339999999999</v>
      </c>
      <c r="P718">
        <v>7.5200592999999996E-3</v>
      </c>
      <c r="Q718" t="s">
        <v>42</v>
      </c>
      <c r="R718" t="s">
        <v>23</v>
      </c>
      <c r="S718" s="131">
        <v>42181</v>
      </c>
      <c r="T718" s="6">
        <f>DataTable[HLD_MaturityDate] - DataTable[SEC_Issue_Date]</f>
        <v>1461</v>
      </c>
      <c r="U718" s="131" t="str">
        <f>DataTable[HLD_Portfolio]&amp;DataTable[HLD_Date]</f>
        <v>SCBFPFUND43397</v>
      </c>
      <c r="V718" t="str">
        <f>DataTable[[#This Row],[RefRng]]&amp;DataTable[[#This Row],[HLD_SecCode]]</f>
        <v>SCBFPFUND43397QH196A</v>
      </c>
    </row>
    <row r="719" spans="1:22" x14ac:dyDescent="0.2">
      <c r="A719" s="131">
        <v>43397</v>
      </c>
      <c r="B719" t="s">
        <v>335</v>
      </c>
      <c r="C719" t="s">
        <v>18</v>
      </c>
      <c r="D719" t="s">
        <v>102</v>
      </c>
      <c r="F719" t="s">
        <v>507</v>
      </c>
      <c r="G719" t="s">
        <v>218</v>
      </c>
      <c r="H719" t="s">
        <v>116</v>
      </c>
      <c r="I719" s="131">
        <v>44156</v>
      </c>
      <c r="J719" s="6">
        <v>11849204.039999999</v>
      </c>
      <c r="K719">
        <v>113556.12</v>
      </c>
      <c r="L719">
        <v>12000000</v>
      </c>
      <c r="M719">
        <v>1.991565</v>
      </c>
      <c r="N719">
        <v>12000000</v>
      </c>
      <c r="O719">
        <v>2.2000000000000002</v>
      </c>
      <c r="P719">
        <v>2.1587620000000001E-4</v>
      </c>
      <c r="Q719" t="s">
        <v>42</v>
      </c>
      <c r="R719" t="s">
        <v>23</v>
      </c>
      <c r="S719" s="131">
        <v>43060</v>
      </c>
      <c r="T719" s="6">
        <f>DataTable[HLD_MaturityDate] - DataTable[SEC_Issue_Date]</f>
        <v>1096</v>
      </c>
      <c r="U719" s="131" t="str">
        <f>DataTable[HLD_Portfolio]&amp;DataTable[HLD_Date]</f>
        <v>SCBFPFUND43397</v>
      </c>
      <c r="V719" t="str">
        <f>DataTable[[#This Row],[RefRng]]&amp;DataTable[[#This Row],[HLD_SecCode]]</f>
        <v>SCBFPFUND43397QH20NA</v>
      </c>
    </row>
    <row r="720" spans="1:22" x14ac:dyDescent="0.2">
      <c r="A720" s="131">
        <v>43397</v>
      </c>
      <c r="B720" t="s">
        <v>335</v>
      </c>
      <c r="C720" t="s">
        <v>18</v>
      </c>
      <c r="D720" t="s">
        <v>102</v>
      </c>
      <c r="F720" t="s">
        <v>217</v>
      </c>
      <c r="G720" t="s">
        <v>218</v>
      </c>
      <c r="H720" t="s">
        <v>116</v>
      </c>
      <c r="I720" s="131">
        <v>44260</v>
      </c>
      <c r="J720" s="6">
        <v>7885965.7599999998</v>
      </c>
      <c r="K720">
        <v>23671.200000000001</v>
      </c>
      <c r="L720">
        <v>8000000</v>
      </c>
      <c r="M720">
        <v>2.2738260000000001</v>
      </c>
      <c r="N720">
        <v>8000000</v>
      </c>
      <c r="O720">
        <v>2.16</v>
      </c>
      <c r="P720">
        <v>1.4273479999999999E-4</v>
      </c>
      <c r="Q720" t="s">
        <v>42</v>
      </c>
      <c r="R720" t="s">
        <v>23</v>
      </c>
      <c r="S720" s="131">
        <v>43164</v>
      </c>
      <c r="T720" s="6">
        <f>DataTable[HLD_MaturityDate] - DataTable[SEC_Issue_Date]</f>
        <v>1096</v>
      </c>
      <c r="U720" s="131" t="str">
        <f>DataTable[HLD_Portfolio]&amp;DataTable[HLD_Date]</f>
        <v>SCBFPFUND43397</v>
      </c>
      <c r="V720" t="str">
        <f>DataTable[[#This Row],[RefRng]]&amp;DataTable[[#This Row],[HLD_SecCode]]</f>
        <v>SCBFPFUND43397QH213A</v>
      </c>
    </row>
    <row r="721" spans="1:22" x14ac:dyDescent="0.2">
      <c r="A721" s="131">
        <v>43397</v>
      </c>
      <c r="B721" t="s">
        <v>335</v>
      </c>
      <c r="C721" t="s">
        <v>18</v>
      </c>
      <c r="D721" t="s">
        <v>102</v>
      </c>
      <c r="F721" t="s">
        <v>695</v>
      </c>
      <c r="G721" t="s">
        <v>696</v>
      </c>
      <c r="H721" t="s">
        <v>496</v>
      </c>
      <c r="I721" s="131">
        <v>45534</v>
      </c>
      <c r="J721" s="6">
        <v>45514638.899999999</v>
      </c>
      <c r="K721">
        <v>205051.95</v>
      </c>
      <c r="L721">
        <v>45763686.450000003</v>
      </c>
      <c r="M721">
        <v>5.315143</v>
      </c>
      <c r="N721">
        <v>45000000</v>
      </c>
      <c r="O721">
        <v>2.6549999999999998</v>
      </c>
      <c r="P721">
        <v>8.2504319999999998E-4</v>
      </c>
      <c r="Q721" t="s">
        <v>42</v>
      </c>
      <c r="R721" t="s">
        <v>23</v>
      </c>
      <c r="S721" s="131">
        <v>42977</v>
      </c>
      <c r="T721" s="6">
        <f>DataTable[HLD_MaturityDate] - DataTable[SEC_Issue_Date]</f>
        <v>2557</v>
      </c>
      <c r="U721" s="131" t="str">
        <f>DataTable[HLD_Portfolio]&amp;DataTable[HLD_Date]</f>
        <v>SCBFPFUND43397</v>
      </c>
      <c r="V721" t="str">
        <f>DataTable[[#This Row],[RefRng]]&amp;DataTable[[#This Row],[HLD_SecCode]]</f>
        <v>SCBFPFUND43397SCC248A</v>
      </c>
    </row>
    <row r="722" spans="1:22" x14ac:dyDescent="0.2">
      <c r="A722" s="131">
        <v>43397</v>
      </c>
      <c r="B722" t="s">
        <v>335</v>
      </c>
      <c r="C722" t="s">
        <v>18</v>
      </c>
      <c r="D722" t="s">
        <v>102</v>
      </c>
      <c r="F722" t="s">
        <v>558</v>
      </c>
      <c r="G722" t="s">
        <v>559</v>
      </c>
      <c r="H722" t="s">
        <v>464</v>
      </c>
      <c r="I722" s="131">
        <v>43960</v>
      </c>
      <c r="J722" s="6">
        <v>24992569</v>
      </c>
      <c r="K722">
        <v>288226</v>
      </c>
      <c r="L722">
        <v>25268845.75</v>
      </c>
      <c r="M722">
        <v>1.485908</v>
      </c>
      <c r="N722">
        <v>25000000</v>
      </c>
      <c r="O722">
        <v>1.7725</v>
      </c>
      <c r="P722">
        <v>4.562093E-4</v>
      </c>
      <c r="Q722" t="s">
        <v>42</v>
      </c>
      <c r="R722" t="s">
        <v>23</v>
      </c>
      <c r="S722" s="131">
        <v>42864</v>
      </c>
      <c r="T722" s="6">
        <f>DataTable[HLD_MaturityDate] - DataTable[SEC_Issue_Date]</f>
        <v>1096</v>
      </c>
      <c r="U722" s="131" t="str">
        <f>DataTable[HLD_Portfolio]&amp;DataTable[HLD_Date]</f>
        <v>SCBFPFUND43397</v>
      </c>
      <c r="V722" t="str">
        <f>DataTable[[#This Row],[RefRng]]&amp;DataTable[[#This Row],[HLD_SecCode]]</f>
        <v>SCBFPFUND43397SCCC205A</v>
      </c>
    </row>
    <row r="723" spans="1:22" x14ac:dyDescent="0.2">
      <c r="A723" s="131">
        <v>43397</v>
      </c>
      <c r="B723" t="s">
        <v>335</v>
      </c>
      <c r="C723" t="s">
        <v>18</v>
      </c>
      <c r="D723" t="s">
        <v>102</v>
      </c>
      <c r="F723" t="s">
        <v>697</v>
      </c>
      <c r="G723" t="s">
        <v>559</v>
      </c>
      <c r="H723" t="s">
        <v>464</v>
      </c>
      <c r="I723" s="131">
        <v>45411</v>
      </c>
      <c r="J723" s="6">
        <v>96031091</v>
      </c>
      <c r="K723">
        <v>1206410.8600000001</v>
      </c>
      <c r="L723">
        <v>100000000</v>
      </c>
      <c r="M723">
        <v>5.097607</v>
      </c>
      <c r="N723">
        <v>100000000</v>
      </c>
      <c r="O723">
        <v>2.46</v>
      </c>
      <c r="P723">
        <v>1.7547174E-3</v>
      </c>
      <c r="Q723" t="s">
        <v>42</v>
      </c>
      <c r="R723" t="s">
        <v>23</v>
      </c>
      <c r="S723" s="131">
        <v>42489</v>
      </c>
      <c r="T723" s="6">
        <f>DataTable[HLD_MaturityDate] - DataTable[SEC_Issue_Date]</f>
        <v>2922</v>
      </c>
      <c r="U723" s="131" t="str">
        <f>DataTable[HLD_Portfolio]&amp;DataTable[HLD_Date]</f>
        <v>SCBFPFUND43397</v>
      </c>
      <c r="V723" t="str">
        <f>DataTable[[#This Row],[RefRng]]&amp;DataTable[[#This Row],[HLD_SecCode]]</f>
        <v>SCBFPFUND43397SCCC244A</v>
      </c>
    </row>
    <row r="724" spans="1:22" x14ac:dyDescent="0.2">
      <c r="A724" s="131">
        <v>43397</v>
      </c>
      <c r="B724" t="s">
        <v>335</v>
      </c>
      <c r="C724" t="s">
        <v>18</v>
      </c>
      <c r="D724" t="s">
        <v>102</v>
      </c>
      <c r="F724" t="s">
        <v>699</v>
      </c>
      <c r="G724" t="s">
        <v>80</v>
      </c>
      <c r="H724" t="s">
        <v>47</v>
      </c>
      <c r="I724" s="131">
        <v>43819</v>
      </c>
      <c r="J724" s="6">
        <v>387180112.55000001</v>
      </c>
      <c r="K724">
        <v>3643682.35</v>
      </c>
      <c r="L724">
        <v>385003880.80000001</v>
      </c>
      <c r="M724">
        <v>1.1210519999999999</v>
      </c>
      <c r="N724">
        <v>385000000</v>
      </c>
      <c r="O724">
        <v>2.7140740000000001</v>
      </c>
      <c r="P724">
        <v>7.0526835000000003E-3</v>
      </c>
      <c r="Q724" t="s">
        <v>42</v>
      </c>
      <c r="R724" t="s">
        <v>23</v>
      </c>
      <c r="S724" s="131">
        <v>42366</v>
      </c>
      <c r="T724" s="6">
        <f>DataTable[HLD_MaturityDate] - DataTable[SEC_Issue_Date]</f>
        <v>1453</v>
      </c>
      <c r="U724" s="131" t="str">
        <f>DataTable[HLD_Portfolio]&amp;DataTable[HLD_Date]</f>
        <v>SCBFPFUND43397</v>
      </c>
      <c r="V724" t="str">
        <f>DataTable[[#This Row],[RefRng]]&amp;DataTable[[#This Row],[HLD_SecCode]]</f>
        <v>SCBFPFUND43397SPALI19DA</v>
      </c>
    </row>
    <row r="725" spans="1:22" x14ac:dyDescent="0.2">
      <c r="A725" s="131">
        <v>43397</v>
      </c>
      <c r="B725" t="s">
        <v>335</v>
      </c>
      <c r="C725" t="s">
        <v>18</v>
      </c>
      <c r="D725" t="s">
        <v>102</v>
      </c>
      <c r="F725" t="s">
        <v>223</v>
      </c>
      <c r="G725" t="s">
        <v>222</v>
      </c>
      <c r="H725" t="s">
        <v>193</v>
      </c>
      <c r="I725" s="131">
        <v>44277</v>
      </c>
      <c r="J725" s="6">
        <v>470785815.72000003</v>
      </c>
      <c r="K725">
        <v>905646.51</v>
      </c>
      <c r="L725">
        <v>477000000</v>
      </c>
      <c r="M725">
        <v>2.3226810000000002</v>
      </c>
      <c r="N725">
        <v>477000000</v>
      </c>
      <c r="O725">
        <v>2.1</v>
      </c>
      <c r="P725">
        <v>8.5119960000000008E-3</v>
      </c>
      <c r="Q725" t="s">
        <v>42</v>
      </c>
      <c r="R725" t="s">
        <v>23</v>
      </c>
      <c r="S725" s="131">
        <v>43181</v>
      </c>
      <c r="T725" s="6">
        <f>DataTable[HLD_MaturityDate] - DataTable[SEC_Issue_Date]</f>
        <v>1096</v>
      </c>
      <c r="U725" s="131" t="str">
        <f>DataTable[HLD_Portfolio]&amp;DataTable[HLD_Date]</f>
        <v>SCBFPFUND43397</v>
      </c>
      <c r="V725" t="str">
        <f>DataTable[[#This Row],[RefRng]]&amp;DataTable[[#This Row],[HLD_SecCode]]</f>
        <v>SCBFPFUND43397TBEV213A</v>
      </c>
    </row>
    <row r="726" spans="1:22" x14ac:dyDescent="0.2">
      <c r="A726" s="131">
        <v>43397</v>
      </c>
      <c r="B726" t="s">
        <v>335</v>
      </c>
      <c r="C726" t="s">
        <v>18</v>
      </c>
      <c r="D726" t="s">
        <v>102</v>
      </c>
      <c r="F726" t="s">
        <v>560</v>
      </c>
      <c r="G726" t="s">
        <v>222</v>
      </c>
      <c r="H726" t="s">
        <v>193</v>
      </c>
      <c r="I726" s="131">
        <v>44639</v>
      </c>
      <c r="J726" s="6">
        <v>480656212.80000001</v>
      </c>
      <c r="K726">
        <v>1514956.8</v>
      </c>
      <c r="L726">
        <v>480000000</v>
      </c>
      <c r="M726">
        <v>3.1859549999999999</v>
      </c>
      <c r="N726">
        <v>480000000</v>
      </c>
      <c r="O726">
        <v>3.2</v>
      </c>
      <c r="P726">
        <v>8.7011095E-3</v>
      </c>
      <c r="Q726" t="s">
        <v>42</v>
      </c>
      <c r="R726" t="s">
        <v>23</v>
      </c>
      <c r="S726" s="131">
        <v>43362</v>
      </c>
      <c r="T726" s="6">
        <f>DataTable[HLD_MaturityDate] - DataTable[SEC_Issue_Date]</f>
        <v>1277</v>
      </c>
      <c r="U726" s="131" t="str">
        <f>DataTable[HLD_Portfolio]&amp;DataTable[HLD_Date]</f>
        <v>SCBFPFUND43397</v>
      </c>
      <c r="V726" t="str">
        <f>DataTable[[#This Row],[RefRng]]&amp;DataTable[[#This Row],[HLD_SecCode]]</f>
        <v>SCBFPFUND43397TBEV223A</v>
      </c>
    </row>
    <row r="727" spans="1:22" x14ac:dyDescent="0.2">
      <c r="A727" s="131">
        <v>43397</v>
      </c>
      <c r="B727" t="s">
        <v>335</v>
      </c>
      <c r="C727" t="s">
        <v>18</v>
      </c>
      <c r="D727" t="s">
        <v>102</v>
      </c>
      <c r="F727" t="s">
        <v>224</v>
      </c>
      <c r="G727" t="s">
        <v>225</v>
      </c>
      <c r="H727" t="s">
        <v>116</v>
      </c>
      <c r="I727" s="131">
        <v>43740</v>
      </c>
      <c r="J727" s="6">
        <v>45887564.25</v>
      </c>
      <c r="K727">
        <v>121364.55</v>
      </c>
      <c r="L727">
        <v>45000000</v>
      </c>
      <c r="M727">
        <v>0.91543300000000005</v>
      </c>
      <c r="N727">
        <v>45000000</v>
      </c>
      <c r="O727">
        <v>4.28</v>
      </c>
      <c r="P727">
        <v>8.3026270000000004E-4</v>
      </c>
      <c r="Q727" t="s">
        <v>42</v>
      </c>
      <c r="R727" t="s">
        <v>23</v>
      </c>
      <c r="S727" s="131">
        <v>41914</v>
      </c>
      <c r="T727" s="6">
        <f>DataTable[HLD_MaturityDate] - DataTable[SEC_Issue_Date]</f>
        <v>1826</v>
      </c>
      <c r="U727" s="131" t="str">
        <f>DataTable[HLD_Portfolio]&amp;DataTable[HLD_Date]</f>
        <v>SCBFPFUND43397</v>
      </c>
      <c r="V727" t="str">
        <f>DataTable[[#This Row],[RefRng]]&amp;DataTable[[#This Row],[HLD_SecCode]]</f>
        <v>SCBFPFUND43397THCOM19OB</v>
      </c>
    </row>
    <row r="728" spans="1:22" x14ac:dyDescent="0.2">
      <c r="A728" s="131">
        <v>43397</v>
      </c>
      <c r="B728" t="s">
        <v>335</v>
      </c>
      <c r="C728" t="s">
        <v>18</v>
      </c>
      <c r="D728" t="s">
        <v>102</v>
      </c>
      <c r="F728" t="s">
        <v>228</v>
      </c>
      <c r="G728" t="s">
        <v>69</v>
      </c>
      <c r="H728" t="s">
        <v>47</v>
      </c>
      <c r="I728" s="131">
        <v>43972</v>
      </c>
      <c r="J728" s="6">
        <v>772680074.25</v>
      </c>
      <c r="K728">
        <v>5848789.7999999998</v>
      </c>
      <c r="L728">
        <v>777000000</v>
      </c>
      <c r="M728">
        <v>1.5318659999999999</v>
      </c>
      <c r="N728">
        <v>777000000</v>
      </c>
      <c r="O728">
        <v>1.75</v>
      </c>
      <c r="P728">
        <v>1.40490874E-2</v>
      </c>
      <c r="Q728" t="s">
        <v>42</v>
      </c>
      <c r="R728" t="s">
        <v>23</v>
      </c>
      <c r="S728" s="131">
        <v>43241</v>
      </c>
      <c r="T728" s="6">
        <f>DataTable[HLD_MaturityDate] - DataTable[SEC_Issue_Date]</f>
        <v>731</v>
      </c>
      <c r="U728" s="131" t="str">
        <f>DataTable[HLD_Portfolio]&amp;DataTable[HLD_Date]</f>
        <v>SCBFPFUND43397</v>
      </c>
      <c r="V728" t="str">
        <f>DataTable[[#This Row],[RefRng]]&amp;DataTable[[#This Row],[HLD_SecCode]]</f>
        <v>SCBFPFUND43397TISCO205B</v>
      </c>
    </row>
    <row r="729" spans="1:22" x14ac:dyDescent="0.2">
      <c r="A729" s="131">
        <v>43397</v>
      </c>
      <c r="B729" t="s">
        <v>335</v>
      </c>
      <c r="C729" t="s">
        <v>18</v>
      </c>
      <c r="D729" t="s">
        <v>250</v>
      </c>
      <c r="F729" t="s">
        <v>700</v>
      </c>
      <c r="G729" t="s">
        <v>46</v>
      </c>
      <c r="H729" t="s">
        <v>47</v>
      </c>
      <c r="I729" s="131">
        <v>43444</v>
      </c>
      <c r="J729" s="6">
        <v>65737867.359999999</v>
      </c>
      <c r="K729">
        <v>709018.13</v>
      </c>
      <c r="L729">
        <v>65819908.609999999</v>
      </c>
      <c r="M729">
        <v>0.125169</v>
      </c>
      <c r="N729">
        <v>2000000</v>
      </c>
      <c r="O729">
        <v>2.1696460000000002</v>
      </c>
      <c r="P729">
        <v>1.1990796E-3</v>
      </c>
      <c r="Q729" t="s">
        <v>42</v>
      </c>
      <c r="R729" t="s">
        <v>37</v>
      </c>
      <c r="S729" s="131">
        <v>41618</v>
      </c>
      <c r="T729" s="6">
        <f>DataTable[HLD_MaturityDate] - DataTable[SEC_Issue_Date]</f>
        <v>1826</v>
      </c>
      <c r="U729" s="131" t="str">
        <f>DataTable[HLD_Portfolio]&amp;DataTable[HLD_Date]</f>
        <v>SCBFPFUND43397</v>
      </c>
      <c r="V729" t="str">
        <f>DataTable[[#This Row],[RefRng]]&amp;DataTable[[#This Row],[HLD_SecCode]]</f>
        <v>SCBFPFUND43397EMTNABCHK101218</v>
      </c>
    </row>
    <row r="730" spans="1:22" x14ac:dyDescent="0.2">
      <c r="A730" s="131">
        <v>43397</v>
      </c>
      <c r="B730" t="s">
        <v>335</v>
      </c>
      <c r="C730" t="s">
        <v>106</v>
      </c>
      <c r="D730" t="s">
        <v>107</v>
      </c>
      <c r="F730" t="s">
        <v>701</v>
      </c>
      <c r="G730" t="s">
        <v>273</v>
      </c>
      <c r="H730" t="s">
        <v>43</v>
      </c>
      <c r="I730" s="131">
        <v>43441</v>
      </c>
      <c r="J730" s="6">
        <v>60098566.859999999</v>
      </c>
      <c r="L730">
        <v>0</v>
      </c>
      <c r="M730">
        <v>0</v>
      </c>
      <c r="N730">
        <v>0</v>
      </c>
      <c r="O730">
        <v>0</v>
      </c>
      <c r="P730">
        <v>1.0845199E-3</v>
      </c>
      <c r="Q730" t="s">
        <v>109</v>
      </c>
      <c r="R730" t="s">
        <v>23</v>
      </c>
      <c r="S730" s="131">
        <v>2</v>
      </c>
      <c r="T730" s="6">
        <f>DataTable[HLD_MaturityDate] - DataTable[SEC_Issue_Date]</f>
        <v>43439</v>
      </c>
      <c r="U730" s="131" t="str">
        <f>DataTable[HLD_Portfolio]&amp;DataTable[HLD_Date]</f>
        <v>SCBFPFUND43397</v>
      </c>
      <c r="V730" t="str">
        <f>DataTable[[#This Row],[RefRng]]&amp;DataTable[[#This Row],[HLD_SecCode]]</f>
        <v>SCBFPFUND43397FWEURTHB18D07A</v>
      </c>
    </row>
    <row r="731" spans="1:22" x14ac:dyDescent="0.2">
      <c r="A731" s="131">
        <v>43397</v>
      </c>
      <c r="B731" t="s">
        <v>335</v>
      </c>
      <c r="C731" t="s">
        <v>106</v>
      </c>
      <c r="D731" t="s">
        <v>107</v>
      </c>
      <c r="F731" t="s">
        <v>702</v>
      </c>
      <c r="G731" t="s">
        <v>703</v>
      </c>
      <c r="H731" t="s">
        <v>51</v>
      </c>
      <c r="I731" s="131">
        <v>43434</v>
      </c>
      <c r="J731" s="6">
        <v>60996030</v>
      </c>
      <c r="L731">
        <v>0</v>
      </c>
      <c r="M731">
        <v>0</v>
      </c>
      <c r="N731">
        <v>0</v>
      </c>
      <c r="O731">
        <v>0</v>
      </c>
      <c r="P731">
        <v>1.1007152E-3</v>
      </c>
      <c r="Q731" t="s">
        <v>109</v>
      </c>
      <c r="R731" t="s">
        <v>23</v>
      </c>
      <c r="S731" s="131">
        <v>2</v>
      </c>
      <c r="T731" s="6">
        <f>DataTable[HLD_MaturityDate] - DataTable[SEC_Issue_Date]</f>
        <v>43432</v>
      </c>
      <c r="U731" s="131" t="str">
        <f>DataTable[HLD_Portfolio]&amp;DataTable[HLD_Date]</f>
        <v>SCBFPFUND43397</v>
      </c>
      <c r="V731" t="str">
        <f>DataTable[[#This Row],[RefRng]]&amp;DataTable[[#This Row],[HLD_SecCode]]</f>
        <v>SCBFPFUND43397FWEURTHB18N30A</v>
      </c>
    </row>
    <row r="732" spans="1:22" x14ac:dyDescent="0.2">
      <c r="A732" s="131">
        <v>43397</v>
      </c>
      <c r="B732" t="s">
        <v>335</v>
      </c>
      <c r="C732" t="s">
        <v>106</v>
      </c>
      <c r="D732" t="s">
        <v>107</v>
      </c>
      <c r="F732" t="s">
        <v>1228</v>
      </c>
      <c r="G732" t="s">
        <v>71</v>
      </c>
      <c r="H732" t="s">
        <v>27</v>
      </c>
      <c r="I732" s="131">
        <v>43480</v>
      </c>
      <c r="J732" s="6">
        <v>5067998.1100000003</v>
      </c>
      <c r="L732">
        <v>0</v>
      </c>
      <c r="M732">
        <v>0</v>
      </c>
      <c r="N732">
        <v>0</v>
      </c>
      <c r="O732">
        <v>0</v>
      </c>
      <c r="P732">
        <v>9.1455500000000006E-5</v>
      </c>
      <c r="Q732" t="s">
        <v>109</v>
      </c>
      <c r="R732" t="s">
        <v>23</v>
      </c>
      <c r="S732" s="131">
        <v>2</v>
      </c>
      <c r="T732" s="6">
        <f>DataTable[HLD_MaturityDate] - DataTable[SEC_Issue_Date]</f>
        <v>43478</v>
      </c>
      <c r="U732" s="131" t="str">
        <f>DataTable[HLD_Portfolio]&amp;DataTable[HLD_Date]</f>
        <v>SCBFPFUND43397</v>
      </c>
      <c r="V732" t="str">
        <f>DataTable[[#This Row],[RefRng]]&amp;DataTable[[#This Row],[HLD_SecCode]]</f>
        <v>SCBFPFUND43397FWEURTHB19115A</v>
      </c>
    </row>
    <row r="733" spans="1:22" x14ac:dyDescent="0.2">
      <c r="A733" s="131">
        <v>43397</v>
      </c>
      <c r="B733" t="s">
        <v>335</v>
      </c>
      <c r="C733" t="s">
        <v>106</v>
      </c>
      <c r="D733" t="s">
        <v>107</v>
      </c>
      <c r="F733" t="s">
        <v>704</v>
      </c>
      <c r="G733" t="s">
        <v>71</v>
      </c>
      <c r="H733" t="s">
        <v>27</v>
      </c>
      <c r="I733" s="131">
        <v>43504</v>
      </c>
      <c r="J733" s="6">
        <v>97510756.469999999</v>
      </c>
      <c r="L733">
        <v>0</v>
      </c>
      <c r="M733">
        <v>0</v>
      </c>
      <c r="N733">
        <v>0</v>
      </c>
      <c r="O733">
        <v>0</v>
      </c>
      <c r="P733">
        <v>1.7596484999999999E-3</v>
      </c>
      <c r="Q733" t="s">
        <v>109</v>
      </c>
      <c r="R733" t="s">
        <v>23</v>
      </c>
      <c r="S733" s="131">
        <v>2</v>
      </c>
      <c r="T733" s="6">
        <f>DataTable[HLD_MaturityDate] - DataTable[SEC_Issue_Date]</f>
        <v>43502</v>
      </c>
      <c r="U733" s="131" t="str">
        <f>DataTable[HLD_Portfolio]&amp;DataTable[HLD_Date]</f>
        <v>SCBFPFUND43397</v>
      </c>
      <c r="V733" t="str">
        <f>DataTable[[#This Row],[RefRng]]&amp;DataTable[[#This Row],[HLD_SecCode]]</f>
        <v>SCBFPFUND43397FWEURTHB19208A</v>
      </c>
    </row>
    <row r="734" spans="1:22" x14ac:dyDescent="0.2">
      <c r="A734" s="131">
        <v>43397</v>
      </c>
      <c r="B734" t="s">
        <v>335</v>
      </c>
      <c r="C734" t="s">
        <v>106</v>
      </c>
      <c r="D734" t="s">
        <v>107</v>
      </c>
      <c r="F734" t="s">
        <v>705</v>
      </c>
      <c r="G734" t="s">
        <v>703</v>
      </c>
      <c r="H734" t="s">
        <v>51</v>
      </c>
      <c r="I734" s="131">
        <v>43549</v>
      </c>
      <c r="J734" s="6">
        <v>17558211.420000002</v>
      </c>
      <c r="L734">
        <v>0</v>
      </c>
      <c r="M734">
        <v>0</v>
      </c>
      <c r="N734">
        <v>0</v>
      </c>
      <c r="O734">
        <v>0</v>
      </c>
      <c r="P734">
        <v>3.1684999999999998E-4</v>
      </c>
      <c r="Q734" t="s">
        <v>109</v>
      </c>
      <c r="R734" t="s">
        <v>23</v>
      </c>
      <c r="S734" s="131">
        <v>2</v>
      </c>
      <c r="T734" s="6">
        <f>DataTable[HLD_MaturityDate] - DataTable[SEC_Issue_Date]</f>
        <v>43547</v>
      </c>
      <c r="U734" s="131" t="str">
        <f>DataTable[HLD_Portfolio]&amp;DataTable[HLD_Date]</f>
        <v>SCBFPFUND43397</v>
      </c>
      <c r="V734" t="str">
        <f>DataTable[[#This Row],[RefRng]]&amp;DataTable[[#This Row],[HLD_SecCode]]</f>
        <v>SCBFPFUND43397FWEURTHB19325A</v>
      </c>
    </row>
    <row r="735" spans="1:22" x14ac:dyDescent="0.2">
      <c r="A735" s="131">
        <v>43397</v>
      </c>
      <c r="B735" t="s">
        <v>335</v>
      </c>
      <c r="C735" t="s">
        <v>106</v>
      </c>
      <c r="D735" t="s">
        <v>107</v>
      </c>
      <c r="F735" t="s">
        <v>706</v>
      </c>
      <c r="G735" t="s">
        <v>273</v>
      </c>
      <c r="H735" t="s">
        <v>43</v>
      </c>
      <c r="I735" s="131">
        <v>43587</v>
      </c>
      <c r="J735" s="6">
        <v>29656384.52</v>
      </c>
      <c r="L735">
        <v>0</v>
      </c>
      <c r="M735">
        <v>0</v>
      </c>
      <c r="N735">
        <v>0</v>
      </c>
      <c r="O735">
        <v>0</v>
      </c>
      <c r="P735">
        <v>5.351698E-4</v>
      </c>
      <c r="Q735" t="s">
        <v>109</v>
      </c>
      <c r="R735" t="s">
        <v>23</v>
      </c>
      <c r="S735" s="131">
        <v>2</v>
      </c>
      <c r="T735" s="6">
        <f>DataTable[HLD_MaturityDate] - DataTable[SEC_Issue_Date]</f>
        <v>43585</v>
      </c>
      <c r="U735" s="131" t="str">
        <f>DataTable[HLD_Portfolio]&amp;DataTable[HLD_Date]</f>
        <v>SCBFPFUND43397</v>
      </c>
      <c r="V735" t="str">
        <f>DataTable[[#This Row],[RefRng]]&amp;DataTable[[#This Row],[HLD_SecCode]]</f>
        <v>SCBFPFUND43397FWEURTHB19502A</v>
      </c>
    </row>
    <row r="736" spans="1:22" x14ac:dyDescent="0.2">
      <c r="A736" s="131">
        <v>43397</v>
      </c>
      <c r="B736" t="s">
        <v>335</v>
      </c>
      <c r="C736" t="s">
        <v>106</v>
      </c>
      <c r="D736" t="s">
        <v>107</v>
      </c>
      <c r="F736" t="s">
        <v>707</v>
      </c>
      <c r="G736" t="s">
        <v>273</v>
      </c>
      <c r="H736" t="s">
        <v>43</v>
      </c>
      <c r="I736" s="131">
        <v>43452</v>
      </c>
      <c r="J736" s="6">
        <v>-3873382.65</v>
      </c>
      <c r="L736">
        <v>0</v>
      </c>
      <c r="M736">
        <v>0</v>
      </c>
      <c r="N736">
        <v>0</v>
      </c>
      <c r="O736">
        <v>0</v>
      </c>
      <c r="P736">
        <v>-6.98978E-5</v>
      </c>
      <c r="Q736" t="s">
        <v>109</v>
      </c>
      <c r="R736" t="s">
        <v>23</v>
      </c>
      <c r="S736" s="131">
        <v>2</v>
      </c>
      <c r="T736" s="6">
        <f>DataTable[HLD_MaturityDate] - DataTable[SEC_Issue_Date]</f>
        <v>43450</v>
      </c>
      <c r="U736" s="131" t="str">
        <f>DataTable[HLD_Portfolio]&amp;DataTable[HLD_Date]</f>
        <v>SCBFPFUND43397</v>
      </c>
      <c r="V736" t="str">
        <f>DataTable[[#This Row],[RefRng]]&amp;DataTable[[#This Row],[HLD_SecCode]]</f>
        <v>SCBFPFUND43397FWUSDTHB18D18A</v>
      </c>
    </row>
    <row r="737" spans="1:22" x14ac:dyDescent="0.2">
      <c r="A737" s="131">
        <v>43397</v>
      </c>
      <c r="B737" t="s">
        <v>335</v>
      </c>
      <c r="C737" t="s">
        <v>106</v>
      </c>
      <c r="D737" t="s">
        <v>107</v>
      </c>
      <c r="F737" t="s">
        <v>708</v>
      </c>
      <c r="G737" t="s">
        <v>273</v>
      </c>
      <c r="H737" t="s">
        <v>43</v>
      </c>
      <c r="I737" s="131">
        <v>43410</v>
      </c>
      <c r="J737" s="6">
        <v>5234002.67</v>
      </c>
      <c r="L737">
        <v>0</v>
      </c>
      <c r="M737">
        <v>0</v>
      </c>
      <c r="N737">
        <v>0</v>
      </c>
      <c r="O737">
        <v>0</v>
      </c>
      <c r="P737">
        <v>9.4451199999999994E-5</v>
      </c>
      <c r="Q737" t="s">
        <v>109</v>
      </c>
      <c r="R737" t="s">
        <v>23</v>
      </c>
      <c r="S737" s="131">
        <v>2</v>
      </c>
      <c r="T737" s="6">
        <f>DataTable[HLD_MaturityDate] - DataTable[SEC_Issue_Date]</f>
        <v>43408</v>
      </c>
      <c r="U737" s="131" t="str">
        <f>DataTable[HLD_Portfolio]&amp;DataTable[HLD_Date]</f>
        <v>SCBFPFUND43397</v>
      </c>
      <c r="V737" t="str">
        <f>DataTable[[#This Row],[RefRng]]&amp;DataTable[[#This Row],[HLD_SecCode]]</f>
        <v>SCBFPFUND43397FWUSDTHB18N06A</v>
      </c>
    </row>
    <row r="738" spans="1:22" x14ac:dyDescent="0.2">
      <c r="A738" s="131">
        <v>43397</v>
      </c>
      <c r="B738" t="s">
        <v>335</v>
      </c>
      <c r="C738" t="s">
        <v>106</v>
      </c>
      <c r="D738" t="s">
        <v>107</v>
      </c>
      <c r="F738" t="s">
        <v>709</v>
      </c>
      <c r="G738" t="s">
        <v>703</v>
      </c>
      <c r="H738" t="s">
        <v>51</v>
      </c>
      <c r="I738" s="131">
        <v>43481</v>
      </c>
      <c r="J738" s="6">
        <v>-17678196.02</v>
      </c>
      <c r="L738">
        <v>0</v>
      </c>
      <c r="M738">
        <v>0</v>
      </c>
      <c r="N738">
        <v>0</v>
      </c>
      <c r="O738">
        <v>0</v>
      </c>
      <c r="P738">
        <v>-3.1901519999999998E-4</v>
      </c>
      <c r="Q738" t="s">
        <v>109</v>
      </c>
      <c r="R738" t="s">
        <v>23</v>
      </c>
      <c r="S738" s="131">
        <v>2</v>
      </c>
      <c r="T738" s="6">
        <f>DataTable[HLD_MaturityDate] - DataTable[SEC_Issue_Date]</f>
        <v>43479</v>
      </c>
      <c r="U738" s="131" t="str">
        <f>DataTable[HLD_Portfolio]&amp;DataTable[HLD_Date]</f>
        <v>SCBFPFUND43397</v>
      </c>
      <c r="V738" t="str">
        <f>DataTable[[#This Row],[RefRng]]&amp;DataTable[[#This Row],[HLD_SecCode]]</f>
        <v>SCBFPFUND43397FWUSDTHB19116A</v>
      </c>
    </row>
    <row r="739" spans="1:22" x14ac:dyDescent="0.2">
      <c r="A739" s="131">
        <v>43397</v>
      </c>
      <c r="B739" t="s">
        <v>335</v>
      </c>
      <c r="C739" t="s">
        <v>106</v>
      </c>
      <c r="D739" t="s">
        <v>107</v>
      </c>
      <c r="F739" t="s">
        <v>710</v>
      </c>
      <c r="G739" t="s">
        <v>137</v>
      </c>
      <c r="H739" t="s">
        <v>27</v>
      </c>
      <c r="I739" s="131">
        <v>43728</v>
      </c>
      <c r="J739" s="6">
        <v>-5556816.6900000004</v>
      </c>
      <c r="L739">
        <v>0</v>
      </c>
      <c r="M739">
        <v>0</v>
      </c>
      <c r="N739">
        <v>0</v>
      </c>
      <c r="O739">
        <v>0</v>
      </c>
      <c r="P739">
        <v>-1.002766E-4</v>
      </c>
      <c r="Q739" t="s">
        <v>109</v>
      </c>
      <c r="R739" t="s">
        <v>23</v>
      </c>
      <c r="S739" s="131">
        <v>2</v>
      </c>
      <c r="T739" s="6">
        <f>DataTable[HLD_MaturityDate] - DataTable[SEC_Issue_Date]</f>
        <v>43726</v>
      </c>
      <c r="U739" s="131" t="str">
        <f>DataTable[HLD_Portfolio]&amp;DataTable[HLD_Date]</f>
        <v>SCBFPFUND43397</v>
      </c>
      <c r="V739" t="str">
        <f>DataTable[[#This Row],[RefRng]]&amp;DataTable[[#This Row],[HLD_SecCode]]</f>
        <v>SCBFPFUND43397FWUSDTHB19920A</v>
      </c>
    </row>
    <row r="740" spans="1:22" x14ac:dyDescent="0.2">
      <c r="A740" s="131">
        <v>43397</v>
      </c>
      <c r="B740" t="s">
        <v>335</v>
      </c>
      <c r="C740" t="s">
        <v>106</v>
      </c>
      <c r="D740" t="s">
        <v>107</v>
      </c>
      <c r="F740" t="s">
        <v>711</v>
      </c>
      <c r="G740" t="s">
        <v>273</v>
      </c>
      <c r="H740" t="s">
        <v>43</v>
      </c>
      <c r="I740" s="131">
        <v>43740</v>
      </c>
      <c r="J740" s="6">
        <v>-4546900.25</v>
      </c>
      <c r="L740">
        <v>0</v>
      </c>
      <c r="M740">
        <v>0</v>
      </c>
      <c r="N740">
        <v>0</v>
      </c>
      <c r="O740">
        <v>0</v>
      </c>
      <c r="P740">
        <v>-8.20519E-5</v>
      </c>
      <c r="Q740" t="s">
        <v>109</v>
      </c>
      <c r="R740" t="s">
        <v>23</v>
      </c>
      <c r="S740" s="131">
        <v>2</v>
      </c>
      <c r="T740" s="6">
        <f>DataTable[HLD_MaturityDate] - DataTable[SEC_Issue_Date]</f>
        <v>43738</v>
      </c>
      <c r="U740" s="131" t="str">
        <f>DataTable[HLD_Portfolio]&amp;DataTable[HLD_Date]</f>
        <v>SCBFPFUND43397</v>
      </c>
      <c r="V740" t="str">
        <f>DataTable[[#This Row],[RefRng]]&amp;DataTable[[#This Row],[HLD_SecCode]]</f>
        <v>SCBFPFUND43397FWUSDTHB19O02A</v>
      </c>
    </row>
    <row r="741" spans="1:22" x14ac:dyDescent="0.2">
      <c r="A741" s="131">
        <v>43397</v>
      </c>
      <c r="B741" t="s">
        <v>335</v>
      </c>
      <c r="C741" t="s">
        <v>106</v>
      </c>
      <c r="D741" t="s">
        <v>608</v>
      </c>
      <c r="F741" t="s">
        <v>712</v>
      </c>
      <c r="G741" t="s">
        <v>26</v>
      </c>
      <c r="H741" t="s">
        <v>27</v>
      </c>
      <c r="I741" s="131">
        <v>46003</v>
      </c>
      <c r="J741" s="6">
        <v>-19396248.370000001</v>
      </c>
      <c r="L741">
        <v>0</v>
      </c>
      <c r="M741">
        <v>0</v>
      </c>
      <c r="N741">
        <v>0</v>
      </c>
      <c r="O741">
        <v>0</v>
      </c>
      <c r="P741">
        <v>-3.500186E-4</v>
      </c>
      <c r="Q741" t="s">
        <v>610</v>
      </c>
      <c r="R741" t="s">
        <v>23</v>
      </c>
      <c r="S741" s="131">
        <v>2</v>
      </c>
      <c r="T741" s="6">
        <f>DataTable[HLD_MaturityDate] - DataTable[SEC_Issue_Date]</f>
        <v>46001</v>
      </c>
      <c r="U741" s="131" t="str">
        <f>DataTable[HLD_Portfolio]&amp;DataTable[HLD_Date]</f>
        <v>SCBFPFUND43397</v>
      </c>
      <c r="V741" t="str">
        <f>DataTable[[#This Row],[RefRng]]&amp;DataTable[[#This Row],[HLD_SecCode]]</f>
        <v>SCBFPFUND43397/SCBFIFL25DA</v>
      </c>
    </row>
    <row r="742" spans="1:22" x14ac:dyDescent="0.2">
      <c r="A742" s="131">
        <v>43397</v>
      </c>
      <c r="B742" t="s">
        <v>335</v>
      </c>
      <c r="C742" t="s">
        <v>106</v>
      </c>
      <c r="D742" t="s">
        <v>608</v>
      </c>
      <c r="F742" t="s">
        <v>713</v>
      </c>
      <c r="G742" t="s">
        <v>26</v>
      </c>
      <c r="H742" t="s">
        <v>27</v>
      </c>
      <c r="I742" s="131">
        <v>43629</v>
      </c>
      <c r="J742" s="6">
        <v>-4001650.74</v>
      </c>
      <c r="L742">
        <v>0</v>
      </c>
      <c r="M742">
        <v>0</v>
      </c>
      <c r="N742">
        <v>0</v>
      </c>
      <c r="O742">
        <v>0</v>
      </c>
      <c r="P742">
        <v>-7.22125E-5</v>
      </c>
      <c r="Q742" t="s">
        <v>610</v>
      </c>
      <c r="R742" t="s">
        <v>23</v>
      </c>
      <c r="S742" s="131">
        <v>2</v>
      </c>
      <c r="T742" s="6">
        <f>DataTable[HLD_MaturityDate] - DataTable[SEC_Issue_Date]</f>
        <v>43627</v>
      </c>
      <c r="U742" s="131" t="str">
        <f>DataTable[HLD_Portfolio]&amp;DataTable[HLD_Date]</f>
        <v>SCBFPFUND43397</v>
      </c>
      <c r="V742" t="str">
        <f>DataTable[[#This Row],[RefRng]]&amp;DataTable[[#This Row],[HLD_SecCode]]</f>
        <v>SCBFPFUND43397/SCBFIFL196A</v>
      </c>
    </row>
    <row r="743" spans="1:22" x14ac:dyDescent="0.2">
      <c r="A743" s="131">
        <v>43397</v>
      </c>
      <c r="B743" t="s">
        <v>335</v>
      </c>
      <c r="C743" t="s">
        <v>106</v>
      </c>
      <c r="D743" t="s">
        <v>608</v>
      </c>
      <c r="F743" t="s">
        <v>714</v>
      </c>
      <c r="G743" t="s">
        <v>26</v>
      </c>
      <c r="H743" t="s">
        <v>27</v>
      </c>
      <c r="I743" s="131">
        <v>45093</v>
      </c>
      <c r="J743" s="6">
        <v>-7426412.04</v>
      </c>
      <c r="L743">
        <v>0</v>
      </c>
      <c r="M743">
        <v>0</v>
      </c>
      <c r="N743">
        <v>0</v>
      </c>
      <c r="O743">
        <v>0</v>
      </c>
      <c r="P743">
        <v>-1.340147E-4</v>
      </c>
      <c r="Q743" t="s">
        <v>610</v>
      </c>
      <c r="R743" t="s">
        <v>23</v>
      </c>
      <c r="S743" s="131">
        <v>2</v>
      </c>
      <c r="T743" s="6">
        <f>DataTable[HLD_MaturityDate] - DataTable[SEC_Issue_Date]</f>
        <v>45091</v>
      </c>
      <c r="U743" s="131" t="str">
        <f>DataTable[HLD_Portfolio]&amp;DataTable[HLD_Date]</f>
        <v>SCBFPFUND43397</v>
      </c>
      <c r="V743" t="str">
        <f>DataTable[[#This Row],[RefRng]]&amp;DataTable[[#This Row],[HLD_SecCode]]</f>
        <v>SCBFPFUND43397/SCBFIFL236A</v>
      </c>
    </row>
    <row r="744" spans="1:22" x14ac:dyDescent="0.2">
      <c r="A744" s="131">
        <v>43397</v>
      </c>
      <c r="B744" t="s">
        <v>335</v>
      </c>
      <c r="C744" t="s">
        <v>106</v>
      </c>
      <c r="D744" t="s">
        <v>608</v>
      </c>
      <c r="F744" t="s">
        <v>715</v>
      </c>
      <c r="G744" t="s">
        <v>26</v>
      </c>
      <c r="H744" t="s">
        <v>27</v>
      </c>
      <c r="I744" s="131">
        <v>43444</v>
      </c>
      <c r="J744" s="6">
        <v>7053521.25</v>
      </c>
      <c r="L744">
        <v>0</v>
      </c>
      <c r="M744">
        <v>0</v>
      </c>
      <c r="N744">
        <v>0</v>
      </c>
      <c r="O744">
        <v>0</v>
      </c>
      <c r="P744">
        <v>1.272856E-4</v>
      </c>
      <c r="Q744" t="s">
        <v>610</v>
      </c>
      <c r="R744" t="s">
        <v>23</v>
      </c>
      <c r="S744" s="131">
        <v>2</v>
      </c>
      <c r="T744" s="6">
        <f>DataTable[HLD_MaturityDate] - DataTable[SEC_Issue_Date]</f>
        <v>43442</v>
      </c>
      <c r="U744" s="131" t="str">
        <f>DataTable[HLD_Portfolio]&amp;DataTable[HLD_Date]</f>
        <v>SCBFPFUND43397</v>
      </c>
      <c r="V744" t="str">
        <f>DataTable[[#This Row],[RefRng]]&amp;DataTable[[#This Row],[HLD_SecCode]]</f>
        <v>SCBFPFUND43397/SCBTHUS18DA</v>
      </c>
    </row>
    <row r="745" spans="1:22" x14ac:dyDescent="0.2">
      <c r="A745" s="131">
        <v>43397</v>
      </c>
      <c r="B745" t="s">
        <v>335</v>
      </c>
      <c r="C745" t="s">
        <v>106</v>
      </c>
      <c r="D745" t="s">
        <v>608</v>
      </c>
      <c r="F745" t="s">
        <v>716</v>
      </c>
      <c r="G745" t="s">
        <v>26</v>
      </c>
      <c r="H745" t="s">
        <v>27</v>
      </c>
      <c r="I745" s="131">
        <v>46373</v>
      </c>
      <c r="J745" s="6">
        <v>-1309742.1200000001</v>
      </c>
      <c r="L745">
        <v>0</v>
      </c>
      <c r="M745">
        <v>0</v>
      </c>
      <c r="N745">
        <v>0</v>
      </c>
      <c r="O745">
        <v>0</v>
      </c>
      <c r="P745">
        <v>-2.36352E-5</v>
      </c>
      <c r="Q745" t="s">
        <v>610</v>
      </c>
      <c r="R745" t="s">
        <v>23</v>
      </c>
      <c r="S745" s="131">
        <v>2</v>
      </c>
      <c r="T745" s="6">
        <f>DataTable[HLD_MaturityDate] - DataTable[SEC_Issue_Date]</f>
        <v>46371</v>
      </c>
      <c r="U745" s="131" t="str">
        <f>DataTable[HLD_Portfolio]&amp;DataTable[HLD_Date]</f>
        <v>SCBFPFUND43397</v>
      </c>
      <c r="V745" t="str">
        <f>DataTable[[#This Row],[RefRng]]&amp;DataTable[[#This Row],[HLD_SecCode]]</f>
        <v>SCBFPFUND43397/SCBFIFL26DB</v>
      </c>
    </row>
    <row r="746" spans="1:22" x14ac:dyDescent="0.2">
      <c r="A746" s="131">
        <v>43397</v>
      </c>
      <c r="B746" t="s">
        <v>335</v>
      </c>
      <c r="C746" t="s">
        <v>106</v>
      </c>
      <c r="D746" t="s">
        <v>608</v>
      </c>
      <c r="F746" t="s">
        <v>717</v>
      </c>
      <c r="G746" t="s">
        <v>26</v>
      </c>
      <c r="H746" t="s">
        <v>27</v>
      </c>
      <c r="I746" s="131">
        <v>44402</v>
      </c>
      <c r="J746" s="6">
        <v>-805969.25</v>
      </c>
      <c r="L746">
        <v>0</v>
      </c>
      <c r="M746">
        <v>0</v>
      </c>
      <c r="N746">
        <v>0</v>
      </c>
      <c r="O746">
        <v>0</v>
      </c>
      <c r="P746">
        <v>-1.4544300000000001E-5</v>
      </c>
      <c r="Q746" t="s">
        <v>610</v>
      </c>
      <c r="R746" t="s">
        <v>23</v>
      </c>
      <c r="S746" s="131">
        <v>2</v>
      </c>
      <c r="T746" s="6">
        <f>DataTable[HLD_MaturityDate] - DataTable[SEC_Issue_Date]</f>
        <v>44400</v>
      </c>
      <c r="U746" s="131" t="str">
        <f>DataTable[HLD_Portfolio]&amp;DataTable[HLD_Date]</f>
        <v>SCBFPFUND43397</v>
      </c>
      <c r="V746" t="str">
        <f>DataTable[[#This Row],[RefRng]]&amp;DataTable[[#This Row],[HLD_SecCode]]</f>
        <v>SCBFPFUND43397/SCBFIFL217A</v>
      </c>
    </row>
    <row r="747" spans="1:22" x14ac:dyDescent="0.2">
      <c r="A747" s="131">
        <v>43397</v>
      </c>
      <c r="B747" t="s">
        <v>335</v>
      </c>
      <c r="C747" t="s">
        <v>106</v>
      </c>
      <c r="D747" t="s">
        <v>608</v>
      </c>
      <c r="F747" t="s">
        <v>718</v>
      </c>
      <c r="G747" t="s">
        <v>26</v>
      </c>
      <c r="H747" t="s">
        <v>27</v>
      </c>
      <c r="I747" s="131">
        <v>44424</v>
      </c>
      <c r="J747" s="6">
        <v>-527110.1</v>
      </c>
      <c r="L747">
        <v>0</v>
      </c>
      <c r="M747">
        <v>0</v>
      </c>
      <c r="N747">
        <v>0</v>
      </c>
      <c r="O747">
        <v>0</v>
      </c>
      <c r="P747">
        <v>-9.5120999999999999E-6</v>
      </c>
      <c r="Q747" t="s">
        <v>610</v>
      </c>
      <c r="R747" t="s">
        <v>23</v>
      </c>
      <c r="S747" s="131">
        <v>2</v>
      </c>
      <c r="T747" s="6">
        <f>DataTable[HLD_MaturityDate] - DataTable[SEC_Issue_Date]</f>
        <v>44422</v>
      </c>
      <c r="U747" s="131" t="str">
        <f>DataTable[HLD_Portfolio]&amp;DataTable[HLD_Date]</f>
        <v>SCBFPFUND43397</v>
      </c>
      <c r="V747" t="str">
        <f>DataTable[[#This Row],[RefRng]]&amp;DataTable[[#This Row],[HLD_SecCode]]</f>
        <v>SCBFPFUND43397/SCBFIFL218A</v>
      </c>
    </row>
    <row r="748" spans="1:22" x14ac:dyDescent="0.2">
      <c r="A748" s="131">
        <v>43397</v>
      </c>
      <c r="B748" t="s">
        <v>335</v>
      </c>
      <c r="C748" t="s">
        <v>106</v>
      </c>
      <c r="D748" t="s">
        <v>608</v>
      </c>
      <c r="F748" t="s">
        <v>719</v>
      </c>
      <c r="G748" t="s">
        <v>273</v>
      </c>
      <c r="H748" t="s">
        <v>43</v>
      </c>
      <c r="I748" s="131">
        <v>45162</v>
      </c>
      <c r="J748" s="6">
        <v>-1358049.56</v>
      </c>
      <c r="L748">
        <v>0</v>
      </c>
      <c r="M748">
        <v>0</v>
      </c>
      <c r="N748">
        <v>0</v>
      </c>
      <c r="O748">
        <v>0</v>
      </c>
      <c r="P748">
        <v>-2.4506900000000001E-5</v>
      </c>
      <c r="Q748" t="s">
        <v>610</v>
      </c>
      <c r="R748" t="s">
        <v>23</v>
      </c>
      <c r="S748" s="131">
        <v>2</v>
      </c>
      <c r="T748" s="6">
        <f>DataTable[HLD_MaturityDate] - DataTable[SEC_Issue_Date]</f>
        <v>45160</v>
      </c>
      <c r="U748" s="131" t="str">
        <f>DataTable[HLD_Portfolio]&amp;DataTable[HLD_Date]</f>
        <v>SCBFPFUND43397</v>
      </c>
      <c r="V748" t="str">
        <f>DataTable[[#This Row],[RefRng]]&amp;DataTable[[#This Row],[HLD_SecCode]]</f>
        <v>SCBFPFUND43397/CIMBFIFL238A</v>
      </c>
    </row>
    <row r="749" spans="1:22" x14ac:dyDescent="0.2">
      <c r="A749" s="131">
        <v>43397</v>
      </c>
      <c r="B749" t="s">
        <v>335</v>
      </c>
      <c r="C749" t="s">
        <v>106</v>
      </c>
      <c r="D749" t="s">
        <v>608</v>
      </c>
      <c r="F749" t="s">
        <v>720</v>
      </c>
      <c r="G749" t="s">
        <v>273</v>
      </c>
      <c r="H749" t="s">
        <v>43</v>
      </c>
      <c r="I749" s="131">
        <v>44432</v>
      </c>
      <c r="J749" s="6">
        <v>-783108.77</v>
      </c>
      <c r="L749">
        <v>0</v>
      </c>
      <c r="M749">
        <v>0</v>
      </c>
      <c r="N749">
        <v>0</v>
      </c>
      <c r="O749">
        <v>0</v>
      </c>
      <c r="P749">
        <v>-1.4131700000000001E-5</v>
      </c>
      <c r="Q749" t="s">
        <v>610</v>
      </c>
      <c r="R749" t="s">
        <v>23</v>
      </c>
      <c r="S749" s="131">
        <v>2</v>
      </c>
      <c r="T749" s="6">
        <f>DataTable[HLD_MaturityDate] - DataTable[SEC_Issue_Date]</f>
        <v>44430</v>
      </c>
      <c r="U749" s="131" t="str">
        <f>DataTable[HLD_Portfolio]&amp;DataTable[HLD_Date]</f>
        <v>SCBFPFUND43397</v>
      </c>
      <c r="V749" t="str">
        <f>DataTable[[#This Row],[RefRng]]&amp;DataTable[[#This Row],[HLD_SecCode]]</f>
        <v>SCBFPFUND43397/CIMBFIFL218A</v>
      </c>
    </row>
    <row r="750" spans="1:22" x14ac:dyDescent="0.2">
      <c r="A750" s="131">
        <v>43397</v>
      </c>
      <c r="B750" t="s">
        <v>335</v>
      </c>
      <c r="C750" t="s">
        <v>106</v>
      </c>
      <c r="D750" t="s">
        <v>608</v>
      </c>
      <c r="F750" t="s">
        <v>1229</v>
      </c>
      <c r="G750" t="s">
        <v>273</v>
      </c>
      <c r="H750" t="s">
        <v>43</v>
      </c>
      <c r="I750" s="131">
        <v>45215</v>
      </c>
      <c r="J750" s="6">
        <v>-2501470.46</v>
      </c>
      <c r="L750">
        <v>0</v>
      </c>
      <c r="M750">
        <v>0</v>
      </c>
      <c r="N750">
        <v>0</v>
      </c>
      <c r="O750">
        <v>0</v>
      </c>
      <c r="P750">
        <v>-4.51408E-5</v>
      </c>
      <c r="Q750" t="s">
        <v>610</v>
      </c>
      <c r="R750" t="s">
        <v>23</v>
      </c>
      <c r="S750" s="131">
        <v>2</v>
      </c>
      <c r="T750" s="6">
        <f>DataTable[HLD_MaturityDate] - DataTable[SEC_Issue_Date]</f>
        <v>45213</v>
      </c>
      <c r="U750" s="131" t="str">
        <f>DataTable[HLD_Portfolio]&amp;DataTable[HLD_Date]</f>
        <v>SCBFPFUND43397</v>
      </c>
      <c r="V750" t="str">
        <f>DataTable[[#This Row],[RefRng]]&amp;DataTable[[#This Row],[HLD_SecCode]]</f>
        <v>SCBFPFUND43397/CIMBFIFL23OA</v>
      </c>
    </row>
    <row r="751" spans="1:22" x14ac:dyDescent="0.2">
      <c r="A751" s="131">
        <v>43397</v>
      </c>
      <c r="B751" t="s">
        <v>335</v>
      </c>
      <c r="C751" t="s">
        <v>106</v>
      </c>
      <c r="D751" t="s">
        <v>608</v>
      </c>
      <c r="F751" t="s">
        <v>1230</v>
      </c>
      <c r="G751" t="s">
        <v>26</v>
      </c>
      <c r="H751" t="s">
        <v>27</v>
      </c>
      <c r="I751" s="131">
        <v>45215</v>
      </c>
      <c r="J751" s="6">
        <v>-1780994.06</v>
      </c>
      <c r="L751">
        <v>0</v>
      </c>
      <c r="M751">
        <v>0</v>
      </c>
      <c r="N751">
        <v>0</v>
      </c>
      <c r="O751">
        <v>0</v>
      </c>
      <c r="P751">
        <v>-3.2139299999999999E-5</v>
      </c>
      <c r="Q751" t="s">
        <v>610</v>
      </c>
      <c r="R751" t="s">
        <v>23</v>
      </c>
      <c r="S751" s="131">
        <v>2</v>
      </c>
      <c r="T751" s="6">
        <f>DataTable[HLD_MaturityDate] - DataTable[SEC_Issue_Date]</f>
        <v>45213</v>
      </c>
      <c r="U751" s="131" t="str">
        <f>DataTable[HLD_Portfolio]&amp;DataTable[HLD_Date]</f>
        <v>SCBFPFUND43397</v>
      </c>
      <c r="V751" t="str">
        <f>DataTable[[#This Row],[RefRng]]&amp;DataTable[[#This Row],[HLD_SecCode]]</f>
        <v>SCBFPFUND43397/SCBFIFL23OA</v>
      </c>
    </row>
    <row r="752" spans="1:22" x14ac:dyDescent="0.2">
      <c r="A752" s="131">
        <v>43397</v>
      </c>
      <c r="B752" t="s">
        <v>335</v>
      </c>
      <c r="C752" t="s">
        <v>106</v>
      </c>
      <c r="D752" t="s">
        <v>608</v>
      </c>
      <c r="F752" t="s">
        <v>1237</v>
      </c>
      <c r="G752" t="s">
        <v>71</v>
      </c>
      <c r="H752" t="s">
        <v>27</v>
      </c>
      <c r="I752" s="131">
        <v>45216</v>
      </c>
      <c r="J752" s="6">
        <v>-2350599.39</v>
      </c>
      <c r="L752">
        <v>0</v>
      </c>
      <c r="M752">
        <v>0</v>
      </c>
      <c r="N752">
        <v>0</v>
      </c>
      <c r="O752">
        <v>0</v>
      </c>
      <c r="P752">
        <v>-4.24182E-5</v>
      </c>
      <c r="Q752" t="s">
        <v>610</v>
      </c>
      <c r="R752" t="s">
        <v>23</v>
      </c>
      <c r="S752" s="131">
        <v>2</v>
      </c>
      <c r="T752" s="6">
        <f>DataTable[HLD_MaturityDate] - DataTable[SEC_Issue_Date]</f>
        <v>45214</v>
      </c>
      <c r="U752" s="131" t="str">
        <f>DataTable[HLD_Portfolio]&amp;DataTable[HLD_Date]</f>
        <v>SCBFPFUND43397</v>
      </c>
      <c r="V752" t="str">
        <f>DataTable[[#This Row],[RefRng]]&amp;DataTable[[#This Row],[HLD_SecCode]]</f>
        <v>SCBFPFUND43397/KTBFIFL23OD</v>
      </c>
    </row>
    <row r="753" spans="1:22" x14ac:dyDescent="0.2">
      <c r="A753" s="131">
        <v>43397</v>
      </c>
      <c r="B753" t="s">
        <v>335</v>
      </c>
      <c r="C753" t="s">
        <v>106</v>
      </c>
      <c r="D753" t="s">
        <v>608</v>
      </c>
      <c r="F753" t="s">
        <v>1238</v>
      </c>
      <c r="G753" t="s">
        <v>273</v>
      </c>
      <c r="H753" t="s">
        <v>43</v>
      </c>
      <c r="I753" s="131">
        <v>45216</v>
      </c>
      <c r="J753" s="6">
        <v>-2263011.37</v>
      </c>
      <c r="L753">
        <v>0</v>
      </c>
      <c r="M753">
        <v>0</v>
      </c>
      <c r="N753">
        <v>0</v>
      </c>
      <c r="O753">
        <v>0</v>
      </c>
      <c r="P753">
        <v>-4.0837599999999997E-5</v>
      </c>
      <c r="Q753" t="s">
        <v>610</v>
      </c>
      <c r="R753" t="s">
        <v>23</v>
      </c>
      <c r="S753" s="131">
        <v>2</v>
      </c>
      <c r="T753" s="6">
        <f>DataTable[HLD_MaturityDate] - DataTable[SEC_Issue_Date]</f>
        <v>45214</v>
      </c>
      <c r="U753" s="131" t="str">
        <f>DataTable[HLD_Portfolio]&amp;DataTable[HLD_Date]</f>
        <v>SCBFPFUND43397</v>
      </c>
      <c r="V753" t="str">
        <f>DataTable[[#This Row],[RefRng]]&amp;DataTable[[#This Row],[HLD_SecCode]]</f>
        <v>SCBFPFUND43397/CIMBFIFL23OE</v>
      </c>
    </row>
    <row r="754" spans="1:22" x14ac:dyDescent="0.2">
      <c r="A754" s="131">
        <v>43397</v>
      </c>
      <c r="B754" t="s">
        <v>335</v>
      </c>
      <c r="C754" t="s">
        <v>119</v>
      </c>
      <c r="D754" t="s">
        <v>295</v>
      </c>
      <c r="E754" t="s">
        <v>1256</v>
      </c>
      <c r="F754" t="s">
        <v>1251</v>
      </c>
      <c r="I754" s="131"/>
      <c r="J754" s="6">
        <v>59975746.799999997</v>
      </c>
      <c r="L754">
        <v>59975746.799999997</v>
      </c>
      <c r="O754">
        <v>0</v>
      </c>
      <c r="P754">
        <v>1.0823034999999999E-3</v>
      </c>
      <c r="Q754" t="s">
        <v>42</v>
      </c>
      <c r="R754" t="s">
        <v>23</v>
      </c>
      <c r="S754" s="131">
        <v>43397</v>
      </c>
      <c r="T754" s="6">
        <f>DataTable[HLD_MaturityDate] - DataTable[SEC_Issue_Date]</f>
        <v>-43397</v>
      </c>
      <c r="U754" s="131" t="str">
        <f>DataTable[HLD_Portfolio]&amp;DataTable[HLD_Date]</f>
        <v>SCBFPFUND43397</v>
      </c>
      <c r="V754" t="str">
        <f>DataTable[[#This Row],[RefRng]]&amp;DataTable[[#This Row],[HLD_SecCode]]</f>
        <v>SCBFPFUND43397CB18N06A</v>
      </c>
    </row>
    <row r="755" spans="1:22" x14ac:dyDescent="0.2">
      <c r="A755" s="131">
        <v>43397</v>
      </c>
      <c r="B755" t="s">
        <v>335</v>
      </c>
      <c r="C755" t="s">
        <v>119</v>
      </c>
      <c r="D755" t="s">
        <v>295</v>
      </c>
      <c r="E755" t="s">
        <v>1256</v>
      </c>
      <c r="F755" t="s">
        <v>698</v>
      </c>
      <c r="I755" s="131"/>
      <c r="J755" s="6">
        <v>10034762.300000001</v>
      </c>
      <c r="L755">
        <v>10034762.300000001</v>
      </c>
      <c r="O755">
        <v>0</v>
      </c>
      <c r="P755">
        <v>1.8108419999999999E-4</v>
      </c>
      <c r="Q755" t="s">
        <v>42</v>
      </c>
      <c r="R755" t="s">
        <v>23</v>
      </c>
      <c r="S755" s="131">
        <v>42852</v>
      </c>
      <c r="T755" s="6">
        <f>DataTable[HLD_MaturityDate] - DataTable[SEC_Issue_Date]</f>
        <v>-42852</v>
      </c>
      <c r="U755" s="131" t="str">
        <f>DataTable[HLD_Portfolio]&amp;DataTable[HLD_Date]</f>
        <v>SCBFPFUND43397</v>
      </c>
      <c r="V755" t="str">
        <f>DataTable[[#This Row],[RefRng]]&amp;DataTable[[#This Row],[HLD_SecCode]]</f>
        <v>SCBFPFUND43397SIRI204A</v>
      </c>
    </row>
    <row r="756" spans="1:22" x14ac:dyDescent="0.2">
      <c r="A756" s="131">
        <v>43397</v>
      </c>
      <c r="B756" t="s">
        <v>335</v>
      </c>
      <c r="C756" t="s">
        <v>120</v>
      </c>
      <c r="D756" t="s">
        <v>121</v>
      </c>
      <c r="E756" t="s">
        <v>1280</v>
      </c>
      <c r="F756" t="s">
        <v>1282</v>
      </c>
      <c r="I756" s="131"/>
      <c r="J756" s="6">
        <v>-607234444.17999995</v>
      </c>
      <c r="L756">
        <v>-607234444.17999995</v>
      </c>
      <c r="O756">
        <v>0</v>
      </c>
      <c r="P756">
        <v>-1.09579621E-2</v>
      </c>
      <c r="Q756" t="s">
        <v>42</v>
      </c>
      <c r="R756" t="s">
        <v>23</v>
      </c>
      <c r="S756" s="131">
        <v>43294</v>
      </c>
      <c r="T756" s="6">
        <f>DataTable[HLD_MaturityDate] - DataTable[SEC_Issue_Date]</f>
        <v>-43294</v>
      </c>
      <c r="U756" s="131" t="str">
        <f>DataTable[HLD_Portfolio]&amp;DataTable[HLD_Date]</f>
        <v>SCBFPFUND43397</v>
      </c>
      <c r="V756" t="str">
        <f>DataTable[[#This Row],[RefRng]]&amp;DataTable[[#This Row],[HLD_SecCode]]</f>
        <v>SCBFPFUND43397LB28DA</v>
      </c>
    </row>
    <row r="757" spans="1:22" x14ac:dyDescent="0.2">
      <c r="A757" s="131">
        <v>43397</v>
      </c>
      <c r="B757" t="s">
        <v>335</v>
      </c>
      <c r="C757" t="s">
        <v>120</v>
      </c>
      <c r="D757" t="s">
        <v>122</v>
      </c>
      <c r="E757" t="s">
        <v>122</v>
      </c>
      <c r="F757" t="s">
        <v>122</v>
      </c>
      <c r="I757" s="131"/>
      <c r="J757" s="6">
        <v>-147123.68</v>
      </c>
      <c r="O757">
        <v>0</v>
      </c>
      <c r="P757">
        <v>-2.6549000000000002E-6</v>
      </c>
      <c r="S757" s="131"/>
      <c r="T757" s="6">
        <f>DataTable[HLD_MaturityDate] - DataTable[SEC_Issue_Date]</f>
        <v>0</v>
      </c>
      <c r="U757" s="131" t="str">
        <f>DataTable[HLD_Portfolio]&amp;DataTable[HLD_Date]</f>
        <v>SCBFPFUND43397</v>
      </c>
      <c r="V757" t="str">
        <f>DataTable[[#This Row],[RefRng]]&amp;DataTable[[#This Row],[HLD_SecCode]]</f>
        <v>SCBFPFUND43397AUDITING FEE</v>
      </c>
    </row>
    <row r="758" spans="1:22" x14ac:dyDescent="0.2">
      <c r="A758" s="131">
        <v>43397</v>
      </c>
      <c r="B758" t="s">
        <v>335</v>
      </c>
      <c r="C758" t="s">
        <v>120</v>
      </c>
      <c r="D758" t="s">
        <v>123</v>
      </c>
      <c r="I758" s="131"/>
      <c r="J758" s="6">
        <v>-663656.07999999996</v>
      </c>
      <c r="K758">
        <v>0</v>
      </c>
      <c r="O758">
        <v>0</v>
      </c>
      <c r="P758">
        <v>-1.19761E-5</v>
      </c>
      <c r="S758" s="131"/>
      <c r="T758" s="6">
        <f>DataTable[HLD_MaturityDate] - DataTable[SEC_Issue_Date]</f>
        <v>0</v>
      </c>
      <c r="U758" s="131" t="str">
        <f>DataTable[HLD_Portfolio]&amp;DataTable[HLD_Date]</f>
        <v>SCBFPFUND43397</v>
      </c>
      <c r="V758" t="str">
        <f>DataTable[[#This Row],[RefRng]]&amp;DataTable[[#This Row],[HLD_SecCode]]</f>
        <v>SCBFPFUND43397</v>
      </c>
    </row>
    <row r="759" spans="1:22" x14ac:dyDescent="0.2">
      <c r="A759" s="131">
        <v>43397</v>
      </c>
      <c r="B759" t="s">
        <v>335</v>
      </c>
      <c r="C759" t="s">
        <v>120</v>
      </c>
      <c r="D759" t="s">
        <v>124</v>
      </c>
      <c r="E759" t="s">
        <v>124</v>
      </c>
      <c r="F759" t="s">
        <v>124</v>
      </c>
      <c r="I759" s="131"/>
      <c r="J759" s="6">
        <v>-4182.17</v>
      </c>
      <c r="O759">
        <v>0</v>
      </c>
      <c r="P759">
        <v>-7.5499999999999994E-8</v>
      </c>
      <c r="S759" s="131"/>
      <c r="T759" s="6">
        <f>DataTable[HLD_MaturityDate] - DataTable[SEC_Issue_Date]</f>
        <v>0</v>
      </c>
      <c r="U759" s="131" t="str">
        <f>DataTable[HLD_Portfolio]&amp;DataTable[HLD_Date]</f>
        <v>SCBFPFUND43397</v>
      </c>
      <c r="V759" t="str">
        <f>DataTable[[#This Row],[RefRng]]&amp;DataTable[[#This Row],[HLD_SecCode]]</f>
        <v>SCBFPFUND43397A NEWSPAPER_NAV</v>
      </c>
    </row>
    <row r="760" spans="1:22" x14ac:dyDescent="0.2">
      <c r="A760" s="131">
        <v>43397</v>
      </c>
      <c r="B760" t="s">
        <v>335</v>
      </c>
      <c r="C760" t="s">
        <v>120</v>
      </c>
      <c r="D760" t="s">
        <v>124</v>
      </c>
      <c r="E760" t="s">
        <v>124</v>
      </c>
      <c r="F760" t="s">
        <v>124</v>
      </c>
      <c r="I760" s="131"/>
      <c r="J760" s="6">
        <v>-3399.6</v>
      </c>
      <c r="O760">
        <v>0</v>
      </c>
      <c r="P760">
        <v>-6.13E-8</v>
      </c>
      <c r="S760" s="131"/>
      <c r="T760" s="6">
        <f>DataTable[HLD_MaturityDate] - DataTable[SEC_Issue_Date]</f>
        <v>0</v>
      </c>
      <c r="U760" s="131" t="str">
        <f>DataTable[HLD_Portfolio]&amp;DataTable[HLD_Date]</f>
        <v>SCBFPFUND43397</v>
      </c>
      <c r="V760" t="str">
        <f>DataTable[[#This Row],[RefRng]]&amp;DataTable[[#This Row],[HLD_SecCode]]</f>
        <v>SCBFPFUND43397A NEWSPAPER_NAV</v>
      </c>
    </row>
    <row r="761" spans="1:22" x14ac:dyDescent="0.2">
      <c r="A761" s="131">
        <v>43397</v>
      </c>
      <c r="B761" t="s">
        <v>335</v>
      </c>
      <c r="C761" t="s">
        <v>120</v>
      </c>
      <c r="D761" t="s">
        <v>125</v>
      </c>
      <c r="E761" t="s">
        <v>125</v>
      </c>
      <c r="I761" s="131"/>
      <c r="J761" s="6">
        <v>-1102541.54</v>
      </c>
      <c r="L761">
        <v>-1102541.54</v>
      </c>
      <c r="O761">
        <v>0</v>
      </c>
      <c r="P761">
        <v>-1.9896100000000001E-5</v>
      </c>
      <c r="S761" s="131"/>
      <c r="T761" s="6">
        <f>DataTable[HLD_MaturityDate] - DataTable[SEC_Issue_Date]</f>
        <v>0</v>
      </c>
      <c r="U761" s="131" t="str">
        <f>DataTable[HLD_Portfolio]&amp;DataTable[HLD_Date]</f>
        <v>SCBFPFUND43397</v>
      </c>
      <c r="V761" t="str">
        <f>DataTable[[#This Row],[RefRng]]&amp;DataTable[[#This Row],[HLD_SecCode]]</f>
        <v>SCBFPFUND43397</v>
      </c>
    </row>
    <row r="762" spans="1:22" x14ac:dyDescent="0.2">
      <c r="A762" s="131">
        <v>43397</v>
      </c>
      <c r="B762" t="s">
        <v>335</v>
      </c>
      <c r="C762" t="s">
        <v>120</v>
      </c>
      <c r="D762" t="s">
        <v>126</v>
      </c>
      <c r="E762" t="s">
        <v>126</v>
      </c>
      <c r="I762" s="131"/>
      <c r="J762" s="6">
        <v>-14988638.279999999</v>
      </c>
      <c r="L762">
        <v>-14988638.279999999</v>
      </c>
      <c r="O762">
        <v>0</v>
      </c>
      <c r="P762">
        <v>-2.7048030000000002E-4</v>
      </c>
      <c r="S762" s="131"/>
      <c r="T762" s="6">
        <f>DataTable[HLD_MaturityDate] - DataTable[SEC_Issue_Date]</f>
        <v>0</v>
      </c>
      <c r="U762" s="131" t="str">
        <f>DataTable[HLD_Portfolio]&amp;DataTable[HLD_Date]</f>
        <v>SCBFPFUND43397</v>
      </c>
      <c r="V762" t="str">
        <f>DataTable[[#This Row],[RefRng]]&amp;DataTable[[#This Row],[HLD_SecCode]]</f>
        <v>SCBFPFUND43397</v>
      </c>
    </row>
    <row r="763" spans="1:22" x14ac:dyDescent="0.2">
      <c r="A763" s="131">
        <v>43397</v>
      </c>
      <c r="B763" t="s">
        <v>335</v>
      </c>
      <c r="C763" t="s">
        <v>120</v>
      </c>
      <c r="D763" t="s">
        <v>127</v>
      </c>
      <c r="E763" t="s">
        <v>127</v>
      </c>
      <c r="I763" s="131"/>
      <c r="J763" s="6">
        <v>0</v>
      </c>
      <c r="L763">
        <v>0</v>
      </c>
      <c r="O763">
        <v>0</v>
      </c>
      <c r="P763">
        <v>0</v>
      </c>
      <c r="S763" s="131"/>
      <c r="T763" s="6">
        <f>DataTable[HLD_MaturityDate] - DataTable[SEC_Issue_Date]</f>
        <v>0</v>
      </c>
      <c r="U763" s="131" t="str">
        <f>DataTable[HLD_Portfolio]&amp;DataTable[HLD_Date]</f>
        <v>SCBFPFUND43397</v>
      </c>
      <c r="V763" t="str">
        <f>DataTable[[#This Row],[RefRng]]&amp;DataTable[[#This Row],[HLD_SecCode]]</f>
        <v>SCBFPFUND43397</v>
      </c>
    </row>
    <row r="764" spans="1:22" x14ac:dyDescent="0.2">
      <c r="A764" s="131">
        <v>43397</v>
      </c>
      <c r="B764" t="s">
        <v>335</v>
      </c>
      <c r="C764" t="s">
        <v>128</v>
      </c>
      <c r="D764" t="s">
        <v>125</v>
      </c>
      <c r="E764" t="s">
        <v>125</v>
      </c>
      <c r="I764" s="131"/>
      <c r="J764" s="6">
        <v>-97472.01</v>
      </c>
      <c r="L764">
        <v>-97472.01</v>
      </c>
      <c r="O764">
        <v>0</v>
      </c>
      <c r="P764">
        <v>-1.7589E-6</v>
      </c>
      <c r="S764" s="131"/>
      <c r="T764" s="6">
        <f>DataTable[HLD_MaturityDate] - DataTable[SEC_Issue_Date]</f>
        <v>0</v>
      </c>
      <c r="U764" s="131" t="str">
        <f>DataTable[HLD_Portfolio]&amp;DataTable[HLD_Date]</f>
        <v>SCBFPFUND43397</v>
      </c>
      <c r="V764" t="str">
        <f>DataTable[[#This Row],[RefRng]]&amp;DataTable[[#This Row],[HLD_SecCode]]</f>
        <v>SCBFPFUND43397</v>
      </c>
    </row>
    <row r="765" spans="1:22" x14ac:dyDescent="0.2">
      <c r="A765" s="131">
        <v>43397</v>
      </c>
      <c r="B765" t="s">
        <v>335</v>
      </c>
      <c r="C765" t="s">
        <v>128</v>
      </c>
      <c r="D765" t="s">
        <v>126</v>
      </c>
      <c r="E765" t="s">
        <v>126</v>
      </c>
      <c r="I765" s="131"/>
      <c r="J765" s="6">
        <v>-1325121.1499999999</v>
      </c>
      <c r="L765">
        <v>-1325121.1499999999</v>
      </c>
      <c r="O765">
        <v>0</v>
      </c>
      <c r="P765">
        <v>-2.3912699999999999E-5</v>
      </c>
      <c r="S765" s="131"/>
      <c r="T765" s="6">
        <f>DataTable[HLD_MaturityDate] - DataTable[SEC_Issue_Date]</f>
        <v>0</v>
      </c>
      <c r="U765" s="131" t="str">
        <f>DataTable[HLD_Portfolio]&amp;DataTable[HLD_Date]</f>
        <v>SCBFPFUND43397</v>
      </c>
      <c r="V765" t="str">
        <f>DataTable[[#This Row],[RefRng]]&amp;DataTable[[#This Row],[HLD_SecCode]]</f>
        <v>SCBFPFUND43397</v>
      </c>
    </row>
    <row r="766" spans="1:22" x14ac:dyDescent="0.2">
      <c r="A766" s="131">
        <v>43397</v>
      </c>
      <c r="B766" t="s">
        <v>335</v>
      </c>
      <c r="C766" t="s">
        <v>128</v>
      </c>
      <c r="D766" t="s">
        <v>127</v>
      </c>
      <c r="E766" t="s">
        <v>127</v>
      </c>
      <c r="I766" s="131"/>
      <c r="J766" s="6">
        <v>0</v>
      </c>
      <c r="L766">
        <v>0</v>
      </c>
      <c r="O766">
        <v>0</v>
      </c>
      <c r="P766">
        <v>0</v>
      </c>
      <c r="S766" s="131"/>
      <c r="T766" s="6">
        <f>DataTable[HLD_MaturityDate] - DataTable[SEC_Issue_Date]</f>
        <v>0</v>
      </c>
      <c r="U766" s="131" t="str">
        <f>DataTable[HLD_Portfolio]&amp;DataTable[HLD_Date]</f>
        <v>SCBFPFUND43397</v>
      </c>
      <c r="V766" t="str">
        <f>DataTable[[#This Row],[RefRng]]&amp;DataTable[[#This Row],[HLD_SecCode]]</f>
        <v>SCBFPFUND43397</v>
      </c>
    </row>
    <row r="767" spans="1:22" x14ac:dyDescent="0.2">
      <c r="A767" s="131">
        <v>43397</v>
      </c>
      <c r="B767" t="s">
        <v>336</v>
      </c>
      <c r="C767" t="s">
        <v>721</v>
      </c>
      <c r="D767" t="s">
        <v>722</v>
      </c>
      <c r="E767" t="s">
        <v>722</v>
      </c>
      <c r="F767" t="s">
        <v>723</v>
      </c>
      <c r="G767" t="s">
        <v>724</v>
      </c>
      <c r="I767" s="131"/>
      <c r="J767" s="6">
        <v>14964320</v>
      </c>
      <c r="L767">
        <v>13361000</v>
      </c>
      <c r="M767">
        <v>0</v>
      </c>
      <c r="N767">
        <v>1336100</v>
      </c>
      <c r="O767">
        <v>0</v>
      </c>
      <c r="P767">
        <v>7.0344449999999996E-4</v>
      </c>
      <c r="Q767" t="s">
        <v>725</v>
      </c>
      <c r="R767" t="s">
        <v>23</v>
      </c>
      <c r="S767" s="131">
        <v>2</v>
      </c>
      <c r="T767" s="6">
        <f>DataTable[HLD_MaturityDate] - DataTable[SEC_Issue_Date]</f>
        <v>-2</v>
      </c>
      <c r="U767" s="131" t="str">
        <f>DataTable[HLD_Portfolio]&amp;DataTable[HLD_Date]</f>
        <v>SCBPLUS43397</v>
      </c>
      <c r="V767" t="str">
        <f>DataTable[[#This Row],[RefRng]]&amp;DataTable[[#This Row],[HLD_SecCode]]</f>
        <v>SCBPLUS43397B-WORK</v>
      </c>
    </row>
    <row r="768" spans="1:22" x14ac:dyDescent="0.2">
      <c r="A768" s="131">
        <v>43397</v>
      </c>
      <c r="B768" t="s">
        <v>336</v>
      </c>
      <c r="C768" t="s">
        <v>721</v>
      </c>
      <c r="D768" t="s">
        <v>722</v>
      </c>
      <c r="E768" t="s">
        <v>722</v>
      </c>
      <c r="F768" t="s">
        <v>726</v>
      </c>
      <c r="G768" t="s">
        <v>727</v>
      </c>
      <c r="I768" s="131"/>
      <c r="J768" s="6">
        <v>56584140</v>
      </c>
      <c r="L768">
        <v>43224549.200000003</v>
      </c>
      <c r="M768">
        <v>0</v>
      </c>
      <c r="N768">
        <v>4319400</v>
      </c>
      <c r="O768">
        <v>0</v>
      </c>
      <c r="P768">
        <v>2.6599139000000002E-3</v>
      </c>
      <c r="Q768" t="s">
        <v>725</v>
      </c>
      <c r="R768" t="s">
        <v>23</v>
      </c>
      <c r="S768" s="131">
        <v>2</v>
      </c>
      <c r="T768" s="6">
        <f>DataTable[HLD_MaturityDate] - DataTable[SEC_Issue_Date]</f>
        <v>-2</v>
      </c>
      <c r="U768" s="131" t="str">
        <f>DataTable[HLD_Portfolio]&amp;DataTable[HLD_Date]</f>
        <v>SCBPLUS43397</v>
      </c>
      <c r="V768" t="str">
        <f>DataTable[[#This Row],[RefRng]]&amp;DataTable[[#This Row],[HLD_SecCode]]</f>
        <v>SCBPLUS43397BOFFICE</v>
      </c>
    </row>
    <row r="769" spans="1:22" x14ac:dyDescent="0.2">
      <c r="A769" s="131">
        <v>43397</v>
      </c>
      <c r="B769" t="s">
        <v>336</v>
      </c>
      <c r="C769" t="s">
        <v>721</v>
      </c>
      <c r="D769" t="s">
        <v>722</v>
      </c>
      <c r="E769" t="s">
        <v>722</v>
      </c>
      <c r="F769" t="s">
        <v>728</v>
      </c>
      <c r="G769" t="s">
        <v>724</v>
      </c>
      <c r="I769" s="131"/>
      <c r="J769" s="6">
        <v>534993600</v>
      </c>
      <c r="L769">
        <v>537468633.83000004</v>
      </c>
      <c r="M769">
        <v>0</v>
      </c>
      <c r="N769">
        <v>44582800</v>
      </c>
      <c r="O769">
        <v>0</v>
      </c>
      <c r="P769">
        <v>2.51490423E-2</v>
      </c>
      <c r="Q769" t="s">
        <v>725</v>
      </c>
      <c r="R769" t="s">
        <v>23</v>
      </c>
      <c r="S769" s="131">
        <v>2</v>
      </c>
      <c r="T769" s="6">
        <f>DataTable[HLD_MaturityDate] - DataTable[SEC_Issue_Date]</f>
        <v>-2</v>
      </c>
      <c r="U769" s="131" t="str">
        <f>DataTable[HLD_Portfolio]&amp;DataTable[HLD_Date]</f>
        <v>SCBPLUS43397</v>
      </c>
      <c r="V769" t="str">
        <f>DataTable[[#This Row],[RefRng]]&amp;DataTable[[#This Row],[HLD_SecCode]]</f>
        <v>SCBPLUS43397BTSGIF</v>
      </c>
    </row>
    <row r="770" spans="1:22" x14ac:dyDescent="0.2">
      <c r="A770" s="131">
        <v>43397</v>
      </c>
      <c r="B770" t="s">
        <v>336</v>
      </c>
      <c r="C770" t="s">
        <v>721</v>
      </c>
      <c r="D770" t="s">
        <v>722</v>
      </c>
      <c r="E770" t="s">
        <v>722</v>
      </c>
      <c r="F770" t="s">
        <v>729</v>
      </c>
      <c r="G770" t="s">
        <v>730</v>
      </c>
      <c r="I770" s="131"/>
      <c r="J770" s="6">
        <v>261050400</v>
      </c>
      <c r="L770">
        <v>225886295.06999999</v>
      </c>
      <c r="M770">
        <v>0</v>
      </c>
      <c r="N770">
        <v>10040400</v>
      </c>
      <c r="O770">
        <v>0</v>
      </c>
      <c r="P770">
        <v>1.2271488000000001E-2</v>
      </c>
      <c r="Q770" t="s">
        <v>725</v>
      </c>
      <c r="R770" t="s">
        <v>23</v>
      </c>
      <c r="S770" s="131">
        <v>2</v>
      </c>
      <c r="T770" s="6">
        <f>DataTable[HLD_MaturityDate] - DataTable[SEC_Issue_Date]</f>
        <v>-2</v>
      </c>
      <c r="U770" s="131" t="str">
        <f>DataTable[HLD_Portfolio]&amp;DataTable[HLD_Date]</f>
        <v>SCBPLUS43397</v>
      </c>
      <c r="V770" t="str">
        <f>DataTable[[#This Row],[RefRng]]&amp;DataTable[[#This Row],[HLD_SecCode]]</f>
        <v>SCBPLUS43397CPNREIT</v>
      </c>
    </row>
    <row r="771" spans="1:22" x14ac:dyDescent="0.2">
      <c r="A771" s="131">
        <v>43397</v>
      </c>
      <c r="B771" t="s">
        <v>336</v>
      </c>
      <c r="C771" t="s">
        <v>721</v>
      </c>
      <c r="D771" t="s">
        <v>722</v>
      </c>
      <c r="E771" t="s">
        <v>722</v>
      </c>
      <c r="F771" t="s">
        <v>731</v>
      </c>
      <c r="G771" t="s">
        <v>732</v>
      </c>
      <c r="I771" s="131"/>
      <c r="J771" s="6">
        <v>778860000</v>
      </c>
      <c r="L771">
        <v>759407448.86000001</v>
      </c>
      <c r="M771">
        <v>0</v>
      </c>
      <c r="N771">
        <v>51924000</v>
      </c>
      <c r="O771">
        <v>0</v>
      </c>
      <c r="P771">
        <v>3.6612742900000002E-2</v>
      </c>
      <c r="Q771" t="s">
        <v>725</v>
      </c>
      <c r="R771" t="s">
        <v>23</v>
      </c>
      <c r="S771" s="131">
        <v>2</v>
      </c>
      <c r="T771" s="6">
        <f>DataTable[HLD_MaturityDate] - DataTable[SEC_Issue_Date]</f>
        <v>-2</v>
      </c>
      <c r="U771" s="131" t="str">
        <f>DataTable[HLD_Portfolio]&amp;DataTable[HLD_Date]</f>
        <v>SCBPLUS43397</v>
      </c>
      <c r="V771" t="str">
        <f>DataTable[[#This Row],[RefRng]]&amp;DataTable[[#This Row],[HLD_SecCode]]</f>
        <v>SCBPLUS43397DIF</v>
      </c>
    </row>
    <row r="772" spans="1:22" x14ac:dyDescent="0.2">
      <c r="A772" s="131">
        <v>43397</v>
      </c>
      <c r="B772" t="s">
        <v>336</v>
      </c>
      <c r="C772" t="s">
        <v>721</v>
      </c>
      <c r="D772" t="s">
        <v>722</v>
      </c>
      <c r="E772" t="s">
        <v>722</v>
      </c>
      <c r="F772" t="s">
        <v>733</v>
      </c>
      <c r="G772" t="s">
        <v>734</v>
      </c>
      <c r="I772" s="131"/>
      <c r="J772" s="6">
        <v>135694720</v>
      </c>
      <c r="L772">
        <v>131762374.98</v>
      </c>
      <c r="M772">
        <v>0</v>
      </c>
      <c r="N772">
        <v>12115600</v>
      </c>
      <c r="O772">
        <v>0</v>
      </c>
      <c r="P772">
        <v>6.3787534000000002E-3</v>
      </c>
      <c r="Q772" t="s">
        <v>725</v>
      </c>
      <c r="R772" t="s">
        <v>23</v>
      </c>
      <c r="S772" s="131">
        <v>2</v>
      </c>
      <c r="T772" s="6">
        <f>DataTable[HLD_MaturityDate] - DataTable[SEC_Issue_Date]</f>
        <v>-2</v>
      </c>
      <c r="U772" s="131" t="str">
        <f>DataTable[HLD_Portfolio]&amp;DataTable[HLD_Date]</f>
        <v>SCBPLUS43397</v>
      </c>
      <c r="V772" t="str">
        <f>DataTable[[#This Row],[RefRng]]&amp;DataTable[[#This Row],[HLD_SecCode]]</f>
        <v>SCBPLUS43397EGATIF</v>
      </c>
    </row>
    <row r="773" spans="1:22" x14ac:dyDescent="0.2">
      <c r="A773" s="131">
        <v>43397</v>
      </c>
      <c r="B773" t="s">
        <v>336</v>
      </c>
      <c r="C773" t="s">
        <v>721</v>
      </c>
      <c r="D773" t="s">
        <v>722</v>
      </c>
      <c r="E773" t="s">
        <v>722</v>
      </c>
      <c r="F773" t="s">
        <v>735</v>
      </c>
      <c r="G773" t="s">
        <v>736</v>
      </c>
      <c r="I773" s="131"/>
      <c r="J773" s="6">
        <v>304120760</v>
      </c>
      <c r="L773">
        <v>292567638.68000001</v>
      </c>
      <c r="M773">
        <v>0</v>
      </c>
      <c r="N773">
        <v>20548700</v>
      </c>
      <c r="O773">
        <v>0</v>
      </c>
      <c r="P773">
        <v>1.42961446E-2</v>
      </c>
      <c r="Q773" t="s">
        <v>725</v>
      </c>
      <c r="R773" t="s">
        <v>23</v>
      </c>
      <c r="S773" s="131">
        <v>2</v>
      </c>
      <c r="T773" s="6">
        <f>DataTable[HLD_MaturityDate] - DataTable[SEC_Issue_Date]</f>
        <v>-2</v>
      </c>
      <c r="U773" s="131" t="str">
        <f>DataTable[HLD_Portfolio]&amp;DataTable[HLD_Date]</f>
        <v>SCBPLUS43397</v>
      </c>
      <c r="V773" t="str">
        <f>DataTable[[#This Row],[RefRng]]&amp;DataTable[[#This Row],[HLD_SecCode]]</f>
        <v>SCBPLUS43397GVREIT</v>
      </c>
    </row>
    <row r="774" spans="1:22" x14ac:dyDescent="0.2">
      <c r="A774" s="131">
        <v>43397</v>
      </c>
      <c r="B774" t="s">
        <v>336</v>
      </c>
      <c r="C774" t="s">
        <v>721</v>
      </c>
      <c r="D774" t="s">
        <v>722</v>
      </c>
      <c r="E774" t="s">
        <v>722</v>
      </c>
      <c r="F774" t="s">
        <v>737</v>
      </c>
      <c r="G774" t="s">
        <v>738</v>
      </c>
      <c r="I774" s="131"/>
      <c r="J774" s="6">
        <v>35248484.600000001</v>
      </c>
      <c r="L774">
        <v>40454063.770000003</v>
      </c>
      <c r="M774">
        <v>0</v>
      </c>
      <c r="N774">
        <v>5300524</v>
      </c>
      <c r="O774">
        <v>0</v>
      </c>
      <c r="P774">
        <v>1.6569649E-3</v>
      </c>
      <c r="Q774" t="s">
        <v>725</v>
      </c>
      <c r="R774" t="s">
        <v>23</v>
      </c>
      <c r="S774" s="131">
        <v>2</v>
      </c>
      <c r="T774" s="6">
        <f>DataTable[HLD_MaturityDate] - DataTable[SEC_Issue_Date]</f>
        <v>-2</v>
      </c>
      <c r="U774" s="131" t="str">
        <f>DataTable[HLD_Portfolio]&amp;DataTable[HLD_Date]</f>
        <v>SCBPLUS43397</v>
      </c>
      <c r="V774" t="str">
        <f>DataTable[[#This Row],[RefRng]]&amp;DataTable[[#This Row],[HLD_SecCode]]</f>
        <v>SCBPLUS43397HREIT</v>
      </c>
    </row>
    <row r="775" spans="1:22" x14ac:dyDescent="0.2">
      <c r="A775" s="131">
        <v>43397</v>
      </c>
      <c r="B775" t="s">
        <v>336</v>
      </c>
      <c r="C775" t="s">
        <v>721</v>
      </c>
      <c r="D775" t="s">
        <v>722</v>
      </c>
      <c r="E775" t="s">
        <v>722</v>
      </c>
      <c r="F775" t="s">
        <v>739</v>
      </c>
      <c r="G775" t="s">
        <v>740</v>
      </c>
      <c r="I775" s="131"/>
      <c r="J775" s="6">
        <v>108771390</v>
      </c>
      <c r="L775">
        <v>82992841.569999993</v>
      </c>
      <c r="M775">
        <v>0</v>
      </c>
      <c r="N775">
        <v>5755100</v>
      </c>
      <c r="O775">
        <v>0</v>
      </c>
      <c r="P775">
        <v>5.1131383000000002E-3</v>
      </c>
      <c r="Q775" t="s">
        <v>725</v>
      </c>
      <c r="R775" t="s">
        <v>23</v>
      </c>
      <c r="S775" s="131">
        <v>2</v>
      </c>
      <c r="T775" s="6">
        <f>DataTable[HLD_MaturityDate] - DataTable[SEC_Issue_Date]</f>
        <v>-2</v>
      </c>
      <c r="U775" s="131" t="str">
        <f>DataTable[HLD_Portfolio]&amp;DataTable[HLD_Date]</f>
        <v>SCBPLUS43397</v>
      </c>
      <c r="V775" t="str">
        <f>DataTable[[#This Row],[RefRng]]&amp;DataTable[[#This Row],[HLD_SecCode]]</f>
        <v>SCBPLUS43397IMPACT</v>
      </c>
    </row>
    <row r="776" spans="1:22" x14ac:dyDescent="0.2">
      <c r="A776" s="131">
        <v>43397</v>
      </c>
      <c r="B776" t="s">
        <v>336</v>
      </c>
      <c r="C776" t="s">
        <v>721</v>
      </c>
      <c r="D776" t="s">
        <v>722</v>
      </c>
      <c r="E776" t="s">
        <v>722</v>
      </c>
      <c r="F776" t="s">
        <v>741</v>
      </c>
      <c r="G776" t="s">
        <v>724</v>
      </c>
      <c r="I776" s="131"/>
      <c r="J776" s="6">
        <v>793054020</v>
      </c>
      <c r="L776">
        <v>868629810.92999995</v>
      </c>
      <c r="M776">
        <v>0</v>
      </c>
      <c r="N776">
        <v>78520200</v>
      </c>
      <c r="O776">
        <v>0</v>
      </c>
      <c r="P776">
        <v>3.7279976999999999E-2</v>
      </c>
      <c r="Q776" t="s">
        <v>725</v>
      </c>
      <c r="R776" t="s">
        <v>23</v>
      </c>
      <c r="S776" s="131">
        <v>2</v>
      </c>
      <c r="T776" s="6">
        <f>DataTable[HLD_MaturityDate] - DataTable[SEC_Issue_Date]</f>
        <v>-2</v>
      </c>
      <c r="U776" s="131" t="str">
        <f>DataTable[HLD_Portfolio]&amp;DataTable[HLD_Date]</f>
        <v>SCBPLUS43397</v>
      </c>
      <c r="V776" t="str">
        <f>DataTable[[#This Row],[RefRng]]&amp;DataTable[[#This Row],[HLD_SecCode]]</f>
        <v>SCBPLUS43397JASIF</v>
      </c>
    </row>
    <row r="777" spans="1:22" x14ac:dyDescent="0.2">
      <c r="A777" s="131">
        <v>43397</v>
      </c>
      <c r="B777" t="s">
        <v>336</v>
      </c>
      <c r="C777" t="s">
        <v>721</v>
      </c>
      <c r="D777" t="s">
        <v>722</v>
      </c>
      <c r="E777" t="s">
        <v>722</v>
      </c>
      <c r="F777" t="s">
        <v>851</v>
      </c>
      <c r="G777" t="s">
        <v>743</v>
      </c>
      <c r="I777" s="131"/>
      <c r="J777" s="6">
        <v>64304896</v>
      </c>
      <c r="L777">
        <v>63200453.380000003</v>
      </c>
      <c r="M777">
        <v>0</v>
      </c>
      <c r="N777">
        <v>4019056</v>
      </c>
      <c r="O777">
        <v>0</v>
      </c>
      <c r="P777">
        <v>3.0228521E-3</v>
      </c>
      <c r="Q777" t="s">
        <v>725</v>
      </c>
      <c r="R777" t="s">
        <v>23</v>
      </c>
      <c r="S777" s="131">
        <v>2</v>
      </c>
      <c r="T777" s="6">
        <f>DataTable[HLD_MaturityDate] - DataTable[SEC_Issue_Date]</f>
        <v>-2</v>
      </c>
      <c r="U777" s="131" t="str">
        <f>DataTable[HLD_Portfolio]&amp;DataTable[HLD_Date]</f>
        <v>SCBPLUS43397</v>
      </c>
      <c r="V777" t="str">
        <f>DataTable[[#This Row],[RefRng]]&amp;DataTable[[#This Row],[HLD_SecCode]]</f>
        <v>SCBPLUS43397LHHOTEL</v>
      </c>
    </row>
    <row r="778" spans="1:22" x14ac:dyDescent="0.2">
      <c r="A778" s="131">
        <v>43397</v>
      </c>
      <c r="B778" t="s">
        <v>336</v>
      </c>
      <c r="C778" t="s">
        <v>721</v>
      </c>
      <c r="D778" t="s">
        <v>722</v>
      </c>
      <c r="E778" t="s">
        <v>722</v>
      </c>
      <c r="F778" t="s">
        <v>742</v>
      </c>
      <c r="G778" t="s">
        <v>743</v>
      </c>
      <c r="I778" s="131"/>
      <c r="J778" s="6">
        <v>143357220</v>
      </c>
      <c r="L778">
        <v>125769011.56999999</v>
      </c>
      <c r="M778">
        <v>0</v>
      </c>
      <c r="N778">
        <v>10698300</v>
      </c>
      <c r="O778">
        <v>0</v>
      </c>
      <c r="P778">
        <v>6.7389531000000003E-3</v>
      </c>
      <c r="Q778" t="s">
        <v>725</v>
      </c>
      <c r="R778" t="s">
        <v>23</v>
      </c>
      <c r="S778" s="131">
        <v>2</v>
      </c>
      <c r="T778" s="6">
        <f>DataTable[HLD_MaturityDate] - DataTable[SEC_Issue_Date]</f>
        <v>-2</v>
      </c>
      <c r="U778" s="131" t="str">
        <f>DataTable[HLD_Portfolio]&amp;DataTable[HLD_Date]</f>
        <v>SCBPLUS43397</v>
      </c>
      <c r="V778" t="str">
        <f>DataTable[[#This Row],[RefRng]]&amp;DataTable[[#This Row],[HLD_SecCode]]</f>
        <v>SCBPLUS43397QHPF</v>
      </c>
    </row>
    <row r="779" spans="1:22" x14ac:dyDescent="0.2">
      <c r="A779" s="131">
        <v>43397</v>
      </c>
      <c r="B779" t="s">
        <v>336</v>
      </c>
      <c r="C779" t="s">
        <v>721</v>
      </c>
      <c r="D779" t="s">
        <v>722</v>
      </c>
      <c r="E779" t="s">
        <v>722</v>
      </c>
      <c r="F779" t="s">
        <v>744</v>
      </c>
      <c r="G779" t="s">
        <v>745</v>
      </c>
      <c r="I779" s="131"/>
      <c r="J779" s="6">
        <v>31016790</v>
      </c>
      <c r="L779">
        <v>32450126.739999998</v>
      </c>
      <c r="M779">
        <v>0</v>
      </c>
      <c r="N779">
        <v>3282200</v>
      </c>
      <c r="O779">
        <v>0</v>
      </c>
      <c r="P779">
        <v>1.4580408999999999E-3</v>
      </c>
      <c r="Q779" t="s">
        <v>725</v>
      </c>
      <c r="R779" t="s">
        <v>23</v>
      </c>
      <c r="S779" s="131">
        <v>2</v>
      </c>
      <c r="T779" s="6">
        <f>DataTable[HLD_MaturityDate] - DataTable[SEC_Issue_Date]</f>
        <v>-2</v>
      </c>
      <c r="U779" s="131" t="str">
        <f>DataTable[HLD_Portfolio]&amp;DataTable[HLD_Date]</f>
        <v>SCBPLUS43397</v>
      </c>
      <c r="V779" t="str">
        <f>DataTable[[#This Row],[RefRng]]&amp;DataTable[[#This Row],[HLD_SecCode]]</f>
        <v>SCBPLUS43397SHREIT</v>
      </c>
    </row>
    <row r="780" spans="1:22" x14ac:dyDescent="0.2">
      <c r="A780" s="131">
        <v>43397</v>
      </c>
      <c r="B780" t="s">
        <v>336</v>
      </c>
      <c r="C780" t="s">
        <v>721</v>
      </c>
      <c r="D780" t="s">
        <v>722</v>
      </c>
      <c r="E780" t="s">
        <v>722</v>
      </c>
      <c r="F780" t="s">
        <v>746</v>
      </c>
      <c r="G780" t="s">
        <v>747</v>
      </c>
      <c r="I780" s="131"/>
      <c r="J780" s="6">
        <v>152504820</v>
      </c>
      <c r="L780">
        <v>151124972.58000001</v>
      </c>
      <c r="M780">
        <v>0</v>
      </c>
      <c r="N780">
        <v>6517300</v>
      </c>
      <c r="O780">
        <v>0</v>
      </c>
      <c r="P780">
        <v>7.1689646000000001E-3</v>
      </c>
      <c r="Q780" t="s">
        <v>725</v>
      </c>
      <c r="R780" t="s">
        <v>23</v>
      </c>
      <c r="S780" s="131">
        <v>2</v>
      </c>
      <c r="T780" s="6">
        <f>DataTable[HLD_MaturityDate] - DataTable[SEC_Issue_Date]</f>
        <v>-2</v>
      </c>
      <c r="U780" s="131" t="str">
        <f>DataTable[HLD_Portfolio]&amp;DataTable[HLD_Date]</f>
        <v>SCBPLUS43397</v>
      </c>
      <c r="V780" t="str">
        <f>DataTable[[#This Row],[RefRng]]&amp;DataTable[[#This Row],[HLD_SecCode]]</f>
        <v>SCBPLUS43397SPF</v>
      </c>
    </row>
    <row r="781" spans="1:22" x14ac:dyDescent="0.2">
      <c r="A781" s="131">
        <v>43397</v>
      </c>
      <c r="B781" t="s">
        <v>336</v>
      </c>
      <c r="C781" t="s">
        <v>721</v>
      </c>
      <c r="D781" t="s">
        <v>722</v>
      </c>
      <c r="E781" t="s">
        <v>722</v>
      </c>
      <c r="F781" t="s">
        <v>1266</v>
      </c>
      <c r="G781" t="s">
        <v>1267</v>
      </c>
      <c r="I781" s="131"/>
      <c r="J781" s="6">
        <v>363053000</v>
      </c>
      <c r="L781">
        <v>363053000</v>
      </c>
      <c r="M781">
        <v>0</v>
      </c>
      <c r="N781">
        <v>36305300</v>
      </c>
      <c r="O781">
        <v>0</v>
      </c>
      <c r="P781">
        <v>1.70664383E-2</v>
      </c>
      <c r="Q781" t="s">
        <v>725</v>
      </c>
      <c r="R781" t="s">
        <v>23</v>
      </c>
      <c r="S781" s="131">
        <v>2</v>
      </c>
      <c r="T781" s="6">
        <f>DataTable[HLD_MaturityDate] - DataTable[SEC_Issue_Date]</f>
        <v>-2</v>
      </c>
      <c r="U781" s="131" t="str">
        <f>DataTable[HLD_Portfolio]&amp;DataTable[HLD_Date]</f>
        <v>SCBPLUS43397</v>
      </c>
      <c r="V781" t="str">
        <f>DataTable[[#This Row],[RefRng]]&amp;DataTable[[#This Row],[HLD_SecCode]]</f>
        <v>SCBPLUS43397TFFIF/U</v>
      </c>
    </row>
    <row r="782" spans="1:22" x14ac:dyDescent="0.2">
      <c r="A782" s="131">
        <v>43397</v>
      </c>
      <c r="B782" t="s">
        <v>336</v>
      </c>
      <c r="C782" t="s">
        <v>721</v>
      </c>
      <c r="D782" t="s">
        <v>722</v>
      </c>
      <c r="E782" t="s">
        <v>722</v>
      </c>
      <c r="F782" t="s">
        <v>748</v>
      </c>
      <c r="G782" t="s">
        <v>734</v>
      </c>
      <c r="I782" s="131"/>
      <c r="J782" s="6">
        <v>320086800</v>
      </c>
      <c r="L782">
        <v>272606356</v>
      </c>
      <c r="M782">
        <v>0</v>
      </c>
      <c r="N782">
        <v>16166000</v>
      </c>
      <c r="O782">
        <v>0</v>
      </c>
      <c r="P782">
        <v>1.50466781E-2</v>
      </c>
      <c r="Q782" t="s">
        <v>725</v>
      </c>
      <c r="R782" t="s">
        <v>23</v>
      </c>
      <c r="S782" s="131">
        <v>2</v>
      </c>
      <c r="T782" s="6">
        <f>DataTable[HLD_MaturityDate] - DataTable[SEC_Issue_Date]</f>
        <v>-2</v>
      </c>
      <c r="U782" s="131" t="str">
        <f>DataTable[HLD_Portfolio]&amp;DataTable[HLD_Date]</f>
        <v>SCBPLUS43397</v>
      </c>
      <c r="V782" t="str">
        <f>DataTable[[#This Row],[RefRng]]&amp;DataTable[[#This Row],[HLD_SecCode]]</f>
        <v>SCBPLUS43397TLGF</v>
      </c>
    </row>
    <row r="783" spans="1:22" x14ac:dyDescent="0.2">
      <c r="A783" s="131">
        <v>43397</v>
      </c>
      <c r="B783" t="s">
        <v>336</v>
      </c>
      <c r="C783" t="s">
        <v>721</v>
      </c>
      <c r="D783" t="s">
        <v>722</v>
      </c>
      <c r="E783" t="s">
        <v>722</v>
      </c>
      <c r="F783" t="s">
        <v>643</v>
      </c>
      <c r="G783" t="s">
        <v>749</v>
      </c>
      <c r="I783" s="131"/>
      <c r="J783" s="6">
        <v>325445569.39999998</v>
      </c>
      <c r="L783">
        <v>280619096.83999997</v>
      </c>
      <c r="M783">
        <v>0</v>
      </c>
      <c r="N783">
        <v>27580133</v>
      </c>
      <c r="O783">
        <v>0</v>
      </c>
      <c r="P783">
        <v>1.52985838E-2</v>
      </c>
      <c r="Q783" t="s">
        <v>725</v>
      </c>
      <c r="R783" t="s">
        <v>23</v>
      </c>
      <c r="S783" s="131">
        <v>2</v>
      </c>
      <c r="T783" s="6">
        <f>DataTable[HLD_MaturityDate] - DataTable[SEC_Issue_Date]</f>
        <v>-2</v>
      </c>
      <c r="U783" s="131" t="str">
        <f>DataTable[HLD_Portfolio]&amp;DataTable[HLD_Date]</f>
        <v>SCBPLUS43397</v>
      </c>
      <c r="V783" t="str">
        <f>DataTable[[#This Row],[RefRng]]&amp;DataTable[[#This Row],[HLD_SecCode]]</f>
        <v>SCBPLUS43397TREIT</v>
      </c>
    </row>
    <row r="784" spans="1:22" x14ac:dyDescent="0.2">
      <c r="A784" s="131">
        <v>43397</v>
      </c>
      <c r="B784" t="s">
        <v>336</v>
      </c>
      <c r="C784" t="s">
        <v>721</v>
      </c>
      <c r="D784" t="s">
        <v>722</v>
      </c>
      <c r="E784" t="s">
        <v>722</v>
      </c>
      <c r="F784" t="s">
        <v>237</v>
      </c>
      <c r="G784" t="s">
        <v>750</v>
      </c>
      <c r="I784" s="131"/>
      <c r="J784" s="6">
        <v>369112194</v>
      </c>
      <c r="L784">
        <v>352375211.10000002</v>
      </c>
      <c r="M784">
        <v>0</v>
      </c>
      <c r="N784">
        <v>33555654</v>
      </c>
      <c r="O784">
        <v>0</v>
      </c>
      <c r="P784">
        <v>1.73512696E-2</v>
      </c>
      <c r="Q784" t="s">
        <v>725</v>
      </c>
      <c r="R784" t="s">
        <v>23</v>
      </c>
      <c r="S784" s="131">
        <v>2</v>
      </c>
      <c r="T784" s="6">
        <f>DataTable[HLD_MaturityDate] - DataTable[SEC_Issue_Date]</f>
        <v>-2</v>
      </c>
      <c r="U784" s="131" t="str">
        <f>DataTable[HLD_Portfolio]&amp;DataTable[HLD_Date]</f>
        <v>SCBPLUS43397</v>
      </c>
      <c r="V784" t="str">
        <f>DataTable[[#This Row],[RefRng]]&amp;DataTable[[#This Row],[HLD_SecCode]]</f>
        <v>SCBPLUS43397WHART</v>
      </c>
    </row>
    <row r="785" spans="1:22" x14ac:dyDescent="0.2">
      <c r="A785" s="131">
        <v>43397</v>
      </c>
      <c r="B785" t="s">
        <v>336</v>
      </c>
      <c r="C785" t="s">
        <v>18</v>
      </c>
      <c r="D785" t="s">
        <v>19</v>
      </c>
      <c r="F785" t="s">
        <v>20</v>
      </c>
      <c r="G785" t="s">
        <v>137</v>
      </c>
      <c r="I785" s="131"/>
      <c r="J785" s="6">
        <v>3252442.31</v>
      </c>
      <c r="K785">
        <v>11840.02</v>
      </c>
      <c r="L785">
        <v>3252442.31</v>
      </c>
      <c r="M785">
        <v>0</v>
      </c>
      <c r="N785">
        <v>0</v>
      </c>
      <c r="O785">
        <v>0</v>
      </c>
      <c r="P785">
        <v>1.534478E-4</v>
      </c>
      <c r="Q785" t="s">
        <v>22</v>
      </c>
      <c r="R785" t="s">
        <v>23</v>
      </c>
      <c r="S785" s="131">
        <v>2</v>
      </c>
      <c r="T785" s="6">
        <f>DataTable[HLD_MaturityDate] - DataTable[SEC_Issue_Date]</f>
        <v>-2</v>
      </c>
      <c r="U785" s="131" t="str">
        <f>DataTable[HLD_Portfolio]&amp;DataTable[HLD_Date]</f>
        <v>SCBPLUS43397</v>
      </c>
      <c r="V785" t="str">
        <f>DataTable[[#This Row],[RefRng]]&amp;DataTable[[#This Row],[HLD_SecCode]]</f>
        <v>SCBPLUS43397CASH</v>
      </c>
    </row>
    <row r="786" spans="1:22" x14ac:dyDescent="0.2">
      <c r="A786" s="131">
        <v>43397</v>
      </c>
      <c r="B786" t="s">
        <v>336</v>
      </c>
      <c r="C786" t="s">
        <v>18</v>
      </c>
      <c r="D786" t="s">
        <v>19</v>
      </c>
      <c r="F786" t="s">
        <v>133</v>
      </c>
      <c r="G786" t="s">
        <v>134</v>
      </c>
      <c r="I786" s="131"/>
      <c r="J786" s="6">
        <v>0</v>
      </c>
      <c r="L786">
        <v>0</v>
      </c>
      <c r="M786">
        <v>0</v>
      </c>
      <c r="N786">
        <v>0</v>
      </c>
      <c r="O786">
        <v>0</v>
      </c>
      <c r="P786">
        <v>0</v>
      </c>
      <c r="Q786" t="s">
        <v>22</v>
      </c>
      <c r="R786" t="s">
        <v>135</v>
      </c>
      <c r="S786" s="131">
        <v>2</v>
      </c>
      <c r="T786" s="6">
        <f>DataTable[HLD_MaturityDate] - DataTable[SEC_Issue_Date]</f>
        <v>-2</v>
      </c>
      <c r="U786" s="131" t="str">
        <f>DataTable[HLD_Portfolio]&amp;DataTable[HLD_Date]</f>
        <v>SCBPLUS43397</v>
      </c>
      <c r="V786" t="str">
        <f>DataTable[[#This Row],[RefRng]]&amp;DataTable[[#This Row],[HLD_SecCode]]</f>
        <v>SCBPLUS43397-AED CASH-</v>
      </c>
    </row>
    <row r="787" spans="1:22" x14ac:dyDescent="0.2">
      <c r="A787" s="131">
        <v>43397</v>
      </c>
      <c r="B787" t="s">
        <v>336</v>
      </c>
      <c r="C787" t="s">
        <v>18</v>
      </c>
      <c r="D787" t="s">
        <v>19</v>
      </c>
      <c r="F787" t="s">
        <v>25</v>
      </c>
      <c r="G787" t="s">
        <v>26</v>
      </c>
      <c r="H787" t="s">
        <v>27</v>
      </c>
      <c r="I787" s="131"/>
      <c r="J787" s="6">
        <v>0</v>
      </c>
      <c r="L787">
        <v>0</v>
      </c>
      <c r="M787">
        <v>0</v>
      </c>
      <c r="N787">
        <v>0</v>
      </c>
      <c r="O787">
        <v>0</v>
      </c>
      <c r="P787">
        <v>0</v>
      </c>
      <c r="Q787" t="s">
        <v>22</v>
      </c>
      <c r="R787" t="s">
        <v>28</v>
      </c>
      <c r="S787" s="131">
        <v>2</v>
      </c>
      <c r="T787" s="6">
        <f>DataTable[HLD_MaturityDate] - DataTable[SEC_Issue_Date]</f>
        <v>-2</v>
      </c>
      <c r="U787" s="131" t="str">
        <f>DataTable[HLD_Portfolio]&amp;DataTable[HLD_Date]</f>
        <v>SCBPLUS43397</v>
      </c>
      <c r="V787" t="str">
        <f>DataTable[[#This Row],[RefRng]]&amp;DataTable[[#This Row],[HLD_SecCode]]</f>
        <v>SCBPLUS43397-CNY CASH-</v>
      </c>
    </row>
    <row r="788" spans="1:22" x14ac:dyDescent="0.2">
      <c r="A788" s="131">
        <v>43397</v>
      </c>
      <c r="B788" t="s">
        <v>336</v>
      </c>
      <c r="C788" t="s">
        <v>18</v>
      </c>
      <c r="D788" t="s">
        <v>19</v>
      </c>
      <c r="F788" t="s">
        <v>30</v>
      </c>
      <c r="G788" t="s">
        <v>26</v>
      </c>
      <c r="H788" t="s">
        <v>27</v>
      </c>
      <c r="I788" s="131"/>
      <c r="J788" s="6">
        <v>0</v>
      </c>
      <c r="L788">
        <v>0</v>
      </c>
      <c r="M788">
        <v>0</v>
      </c>
      <c r="N788">
        <v>0</v>
      </c>
      <c r="O788">
        <v>0</v>
      </c>
      <c r="P788">
        <v>0</v>
      </c>
      <c r="Q788" t="s">
        <v>22</v>
      </c>
      <c r="R788" t="s">
        <v>31</v>
      </c>
      <c r="S788" s="131">
        <v>2</v>
      </c>
      <c r="T788" s="6">
        <f>DataTable[HLD_MaturityDate] - DataTable[SEC_Issue_Date]</f>
        <v>-2</v>
      </c>
      <c r="U788" s="131" t="str">
        <f>DataTable[HLD_Portfolio]&amp;DataTable[HLD_Date]</f>
        <v>SCBPLUS43397</v>
      </c>
      <c r="V788" t="str">
        <f>DataTable[[#This Row],[RefRng]]&amp;DataTable[[#This Row],[HLD_SecCode]]</f>
        <v>SCBPLUS43397-EUR CASH-</v>
      </c>
    </row>
    <row r="789" spans="1:22" x14ac:dyDescent="0.2">
      <c r="A789" s="131">
        <v>43397</v>
      </c>
      <c r="B789" t="s">
        <v>336</v>
      </c>
      <c r="C789" t="s">
        <v>18</v>
      </c>
      <c r="D789" t="s">
        <v>19</v>
      </c>
      <c r="F789" t="s">
        <v>32</v>
      </c>
      <c r="G789" t="s">
        <v>26</v>
      </c>
      <c r="H789" t="s">
        <v>27</v>
      </c>
      <c r="I789" s="131"/>
      <c r="J789" s="6">
        <v>0</v>
      </c>
      <c r="L789">
        <v>0</v>
      </c>
      <c r="M789">
        <v>0</v>
      </c>
      <c r="N789">
        <v>0</v>
      </c>
      <c r="O789">
        <v>0</v>
      </c>
      <c r="P789">
        <v>0</v>
      </c>
      <c r="Q789" t="s">
        <v>22</v>
      </c>
      <c r="R789" t="s">
        <v>33</v>
      </c>
      <c r="S789" s="131">
        <v>2</v>
      </c>
      <c r="T789" s="6">
        <f>DataTable[HLD_MaturityDate] - DataTable[SEC_Issue_Date]</f>
        <v>-2</v>
      </c>
      <c r="U789" s="131" t="str">
        <f>DataTable[HLD_Portfolio]&amp;DataTable[HLD_Date]</f>
        <v>SCBPLUS43397</v>
      </c>
      <c r="V789" t="str">
        <f>DataTable[[#This Row],[RefRng]]&amp;DataTable[[#This Row],[HLD_SecCode]]</f>
        <v>SCBPLUS43397-HKD CASH-</v>
      </c>
    </row>
    <row r="790" spans="1:22" x14ac:dyDescent="0.2">
      <c r="A790" s="131">
        <v>43397</v>
      </c>
      <c r="B790" t="s">
        <v>336</v>
      </c>
      <c r="C790" t="s">
        <v>18</v>
      </c>
      <c r="D790" t="s">
        <v>19</v>
      </c>
      <c r="F790" t="s">
        <v>139</v>
      </c>
      <c r="G790" t="s">
        <v>26</v>
      </c>
      <c r="H790" t="s">
        <v>27</v>
      </c>
      <c r="I790" s="131"/>
      <c r="J790" s="6">
        <v>0</v>
      </c>
      <c r="L790">
        <v>0</v>
      </c>
      <c r="M790">
        <v>0</v>
      </c>
      <c r="N790">
        <v>0</v>
      </c>
      <c r="O790">
        <v>0</v>
      </c>
      <c r="P790">
        <v>0</v>
      </c>
      <c r="Q790" t="s">
        <v>22</v>
      </c>
      <c r="R790" t="s">
        <v>140</v>
      </c>
      <c r="S790" s="131">
        <v>2</v>
      </c>
      <c r="T790" s="6">
        <f>DataTable[HLD_MaturityDate] - DataTable[SEC_Issue_Date]</f>
        <v>-2</v>
      </c>
      <c r="U790" s="131" t="str">
        <f>DataTable[HLD_Portfolio]&amp;DataTable[HLD_Date]</f>
        <v>SCBPLUS43397</v>
      </c>
      <c r="V790" t="str">
        <f>DataTable[[#This Row],[RefRng]]&amp;DataTable[[#This Row],[HLD_SecCode]]</f>
        <v>SCBPLUS43397-JPY CASH-</v>
      </c>
    </row>
    <row r="791" spans="1:22" x14ac:dyDescent="0.2">
      <c r="A791" s="131">
        <v>43397</v>
      </c>
      <c r="B791" t="s">
        <v>336</v>
      </c>
      <c r="C791" t="s">
        <v>18</v>
      </c>
      <c r="D791" t="s">
        <v>19</v>
      </c>
      <c r="F791" t="s">
        <v>36</v>
      </c>
      <c r="G791" t="s">
        <v>26</v>
      </c>
      <c r="H791" t="s">
        <v>27</v>
      </c>
      <c r="I791" s="131"/>
      <c r="J791" s="6">
        <v>0</v>
      </c>
      <c r="L791">
        <v>0</v>
      </c>
      <c r="M791">
        <v>0</v>
      </c>
      <c r="N791">
        <v>0</v>
      </c>
      <c r="O791">
        <v>0</v>
      </c>
      <c r="P791">
        <v>0</v>
      </c>
      <c r="Q791" t="s">
        <v>22</v>
      </c>
      <c r="R791" t="s">
        <v>37</v>
      </c>
      <c r="S791" s="131">
        <v>2</v>
      </c>
      <c r="T791" s="6">
        <f>DataTable[HLD_MaturityDate] - DataTable[SEC_Issue_Date]</f>
        <v>-2</v>
      </c>
      <c r="U791" s="131" t="str">
        <f>DataTable[HLD_Portfolio]&amp;DataTable[HLD_Date]</f>
        <v>SCBPLUS43397</v>
      </c>
      <c r="V791" t="str">
        <f>DataTable[[#This Row],[RefRng]]&amp;DataTable[[#This Row],[HLD_SecCode]]</f>
        <v>SCBPLUS43397-US CASH-</v>
      </c>
    </row>
    <row r="792" spans="1:22" x14ac:dyDescent="0.2">
      <c r="A792" s="131">
        <v>43397</v>
      </c>
      <c r="B792" t="s">
        <v>336</v>
      </c>
      <c r="C792" t="s">
        <v>18</v>
      </c>
      <c r="D792" t="s">
        <v>38</v>
      </c>
      <c r="F792" t="s">
        <v>751</v>
      </c>
      <c r="G792" t="s">
        <v>752</v>
      </c>
      <c r="H792" t="s">
        <v>465</v>
      </c>
      <c r="I792" s="131">
        <v>43614</v>
      </c>
      <c r="J792" s="6">
        <v>558994000</v>
      </c>
      <c r="K792">
        <v>7771569.3600000003</v>
      </c>
      <c r="L792">
        <v>544867000</v>
      </c>
      <c r="M792">
        <v>0.59135099999999996</v>
      </c>
      <c r="N792">
        <v>17000000</v>
      </c>
      <c r="O792">
        <v>3.25</v>
      </c>
      <c r="P792">
        <v>2.6642582800000002E-2</v>
      </c>
      <c r="Q792" t="s">
        <v>42</v>
      </c>
      <c r="R792" t="s">
        <v>37</v>
      </c>
      <c r="S792" s="131">
        <v>43244</v>
      </c>
      <c r="T792" s="6">
        <f>DataTable[HLD_MaturityDate] - DataTable[SEC_Issue_Date]</f>
        <v>370</v>
      </c>
      <c r="U792" s="131" t="str">
        <f>DataTable[HLD_Portfolio]&amp;DataTable[HLD_Date]</f>
        <v>SCBPLUS43397</v>
      </c>
      <c r="V792" t="str">
        <f>DataTable[[#This Row],[RefRng]]&amp;DataTable[[#This Row],[HLD_SecCode]]</f>
        <v>SCBPLUS43397F12MSECB290519a</v>
      </c>
    </row>
    <row r="793" spans="1:22" x14ac:dyDescent="0.2">
      <c r="A793" s="131">
        <v>43397</v>
      </c>
      <c r="B793" t="s">
        <v>336</v>
      </c>
      <c r="C793" t="s">
        <v>18</v>
      </c>
      <c r="D793" t="s">
        <v>38</v>
      </c>
      <c r="F793" t="s">
        <v>753</v>
      </c>
      <c r="G793" t="s">
        <v>170</v>
      </c>
      <c r="H793" t="s">
        <v>51</v>
      </c>
      <c r="I793" s="131">
        <v>43648</v>
      </c>
      <c r="J793" s="6">
        <v>1029520825</v>
      </c>
      <c r="K793">
        <v>11839489.49</v>
      </c>
      <c r="L793">
        <v>1029514267.01</v>
      </c>
      <c r="M793">
        <v>0.68102499999999999</v>
      </c>
      <c r="N793">
        <v>115000000</v>
      </c>
      <c r="O793">
        <v>3.45</v>
      </c>
      <c r="P793">
        <v>4.8952388700000002E-2</v>
      </c>
      <c r="Q793" t="s">
        <v>42</v>
      </c>
      <c r="R793" t="s">
        <v>135</v>
      </c>
      <c r="S793" s="131">
        <v>43278</v>
      </c>
      <c r="T793" s="6">
        <f>DataTable[HLD_MaturityDate] - DataTable[SEC_Issue_Date]</f>
        <v>370</v>
      </c>
      <c r="U793" s="131" t="str">
        <f>DataTable[HLD_Portfolio]&amp;DataTable[HLD_Date]</f>
        <v>SCBPLUS43397</v>
      </c>
      <c r="V793" t="str">
        <f>DataTable[[#This Row],[RefRng]]&amp;DataTable[[#This Row],[HLD_SecCode]]</f>
        <v>SCBPLUS43397F12MUNB020719</v>
      </c>
    </row>
    <row r="794" spans="1:22" x14ac:dyDescent="0.2">
      <c r="A794" s="131">
        <v>43397</v>
      </c>
      <c r="B794" t="s">
        <v>336</v>
      </c>
      <c r="C794" t="s">
        <v>18</v>
      </c>
      <c r="D794" t="s">
        <v>38</v>
      </c>
      <c r="F794" t="s">
        <v>754</v>
      </c>
      <c r="G794" t="s">
        <v>137</v>
      </c>
      <c r="H794" t="s">
        <v>27</v>
      </c>
      <c r="I794" s="131">
        <v>44196</v>
      </c>
      <c r="J794" s="6">
        <v>16193310.75</v>
      </c>
      <c r="K794">
        <v>2195.1999999999998</v>
      </c>
      <c r="L794">
        <v>15789807.15</v>
      </c>
      <c r="M794">
        <v>0</v>
      </c>
      <c r="N794">
        <v>492467.33</v>
      </c>
      <c r="O794">
        <v>0</v>
      </c>
      <c r="P794">
        <v>7.613203E-4</v>
      </c>
      <c r="Q794" t="s">
        <v>42</v>
      </c>
      <c r="R794" t="s">
        <v>37</v>
      </c>
      <c r="S794" s="131">
        <v>42450</v>
      </c>
      <c r="T794" s="6">
        <f>DataTable[HLD_MaturityDate] - DataTable[SEC_Issue_Date]</f>
        <v>1746</v>
      </c>
      <c r="U794" s="131" t="str">
        <f>DataTable[HLD_Portfolio]&amp;DataTable[HLD_Date]</f>
        <v>SCBPLUS43397</v>
      </c>
      <c r="V794" t="str">
        <f>DataTable[[#This Row],[RefRng]]&amp;DataTable[[#This Row],[HLD_SecCode]]</f>
        <v>SCBPLUS43397INVSKBANKplus</v>
      </c>
    </row>
    <row r="795" spans="1:22" x14ac:dyDescent="0.2">
      <c r="A795" s="131">
        <v>43397</v>
      </c>
      <c r="B795" t="s">
        <v>336</v>
      </c>
      <c r="C795" t="s">
        <v>18</v>
      </c>
      <c r="D795" t="s">
        <v>38</v>
      </c>
      <c r="F795" t="s">
        <v>755</v>
      </c>
      <c r="G795" t="s">
        <v>73</v>
      </c>
      <c r="H795" t="s">
        <v>58</v>
      </c>
      <c r="I795" s="131">
        <v>44196</v>
      </c>
      <c r="J795" s="6">
        <v>50153570.5</v>
      </c>
      <c r="K795">
        <v>120532.66</v>
      </c>
      <c r="L795">
        <v>50153570.5</v>
      </c>
      <c r="M795">
        <v>0</v>
      </c>
      <c r="N795">
        <v>50153570.5</v>
      </c>
      <c r="O795">
        <v>0</v>
      </c>
      <c r="P795">
        <v>2.363291E-3</v>
      </c>
      <c r="Q795" t="s">
        <v>42</v>
      </c>
      <c r="R795" t="s">
        <v>23</v>
      </c>
      <c r="S795" s="131">
        <v>42450</v>
      </c>
      <c r="T795" s="6">
        <f>DataTable[HLD_MaturityDate] - DataTable[SEC_Issue_Date]</f>
        <v>1746</v>
      </c>
      <c r="U795" s="131" t="str">
        <f>DataTable[HLD_Portfolio]&amp;DataTable[HLD_Date]</f>
        <v>SCBPLUS43397</v>
      </c>
      <c r="V795" t="str">
        <f>DataTable[[#This Row],[RefRng]]&amp;DataTable[[#This Row],[HLD_SecCode]]</f>
        <v>SCBPLUS43397INVSUOBTplus</v>
      </c>
    </row>
    <row r="796" spans="1:22" x14ac:dyDescent="0.2">
      <c r="A796" s="131">
        <v>43397</v>
      </c>
      <c r="B796" t="s">
        <v>336</v>
      </c>
      <c r="C796" t="s">
        <v>18</v>
      </c>
      <c r="D796" t="s">
        <v>75</v>
      </c>
      <c r="F796" t="s">
        <v>521</v>
      </c>
      <c r="G796" t="s">
        <v>232</v>
      </c>
      <c r="H796" t="s">
        <v>29</v>
      </c>
      <c r="I796" s="131">
        <v>43550</v>
      </c>
      <c r="J796" s="6">
        <v>163296804</v>
      </c>
      <c r="L796">
        <v>163434610.34999999</v>
      </c>
      <c r="M796">
        <v>0.41214000000000001</v>
      </c>
      <c r="N796">
        <v>165000000</v>
      </c>
      <c r="O796">
        <v>2.2999999999999998</v>
      </c>
      <c r="P796">
        <v>7.6762755000000004E-3</v>
      </c>
      <c r="Q796" t="s">
        <v>42</v>
      </c>
      <c r="R796" t="s">
        <v>23</v>
      </c>
      <c r="S796" s="131">
        <v>43280</v>
      </c>
      <c r="T796" s="6">
        <f>DataTable[HLD_MaturityDate] - DataTable[SEC_Issue_Date]</f>
        <v>270</v>
      </c>
      <c r="U796" s="131" t="str">
        <f>DataTable[HLD_Portfolio]&amp;DataTable[HLD_Date]</f>
        <v>SCBPLUS43397</v>
      </c>
      <c r="V796" t="str">
        <f>DataTable[[#This Row],[RefRng]]&amp;DataTable[[#This Row],[HLD_SecCode]]</f>
        <v>SCBPLUS43397TUC19326A</v>
      </c>
    </row>
    <row r="797" spans="1:22" x14ac:dyDescent="0.2">
      <c r="A797" s="131">
        <v>43397</v>
      </c>
      <c r="B797" t="s">
        <v>336</v>
      </c>
      <c r="C797" t="s">
        <v>18</v>
      </c>
      <c r="D797" t="s">
        <v>85</v>
      </c>
      <c r="F797" t="s">
        <v>299</v>
      </c>
      <c r="G797" t="s">
        <v>87</v>
      </c>
      <c r="I797" s="131">
        <v>43440</v>
      </c>
      <c r="J797" s="6">
        <v>396407016.98000002</v>
      </c>
      <c r="L797">
        <v>396369611.63999999</v>
      </c>
      <c r="M797">
        <v>0.114866</v>
      </c>
      <c r="N797">
        <v>397000000</v>
      </c>
      <c r="O797">
        <v>1.3821349999999999</v>
      </c>
      <c r="P797">
        <v>1.8634347900000001E-2</v>
      </c>
      <c r="Q797" t="s">
        <v>42</v>
      </c>
      <c r="R797" t="s">
        <v>23</v>
      </c>
      <c r="S797" s="131">
        <v>43076</v>
      </c>
      <c r="T797" s="6">
        <f>DataTable[HLD_MaturityDate] - DataTable[SEC_Issue_Date]</f>
        <v>364</v>
      </c>
      <c r="U797" s="131" t="str">
        <f>DataTable[HLD_Portfolio]&amp;DataTable[HLD_Date]</f>
        <v>SCBPLUS43397</v>
      </c>
      <c r="V797" t="str">
        <f>DataTable[[#This Row],[RefRng]]&amp;DataTable[[#This Row],[HLD_SecCode]]</f>
        <v>SCBPLUS43397CB18D06A</v>
      </c>
    </row>
    <row r="798" spans="1:22" x14ac:dyDescent="0.2">
      <c r="A798" s="131">
        <v>43397</v>
      </c>
      <c r="B798" t="s">
        <v>336</v>
      </c>
      <c r="C798" t="s">
        <v>18</v>
      </c>
      <c r="D798" t="s">
        <v>85</v>
      </c>
      <c r="F798" t="s">
        <v>86</v>
      </c>
      <c r="G798" t="s">
        <v>87</v>
      </c>
      <c r="I798" s="131">
        <v>43440</v>
      </c>
      <c r="J798" s="6">
        <v>189716204.59999999</v>
      </c>
      <c r="L798">
        <v>189706921.19999999</v>
      </c>
      <c r="M798">
        <v>0.114895</v>
      </c>
      <c r="N798">
        <v>190000000</v>
      </c>
      <c r="O798">
        <v>1.342595</v>
      </c>
      <c r="P798">
        <v>8.9182017999999991E-3</v>
      </c>
      <c r="Q798" t="s">
        <v>42</v>
      </c>
      <c r="R798" t="s">
        <v>23</v>
      </c>
      <c r="S798" s="131">
        <v>43349</v>
      </c>
      <c r="T798" s="6">
        <f>DataTable[HLD_MaturityDate] - DataTable[SEC_Issue_Date]</f>
        <v>91</v>
      </c>
      <c r="U798" s="131" t="str">
        <f>DataTable[HLD_Portfolio]&amp;DataTable[HLD_Date]</f>
        <v>SCBPLUS43397</v>
      </c>
      <c r="V798" t="str">
        <f>DataTable[[#This Row],[RefRng]]&amp;DataTable[[#This Row],[HLD_SecCode]]</f>
        <v>SCBPLUS43397CB18D06C</v>
      </c>
    </row>
    <row r="799" spans="1:22" x14ac:dyDescent="0.2">
      <c r="A799" s="131">
        <v>43397</v>
      </c>
      <c r="B799" t="s">
        <v>336</v>
      </c>
      <c r="C799" t="s">
        <v>18</v>
      </c>
      <c r="D799" t="s">
        <v>85</v>
      </c>
      <c r="F799" t="s">
        <v>196</v>
      </c>
      <c r="G799" t="s">
        <v>87</v>
      </c>
      <c r="I799" s="131">
        <v>43447</v>
      </c>
      <c r="J799" s="6">
        <v>9981508.1999999993</v>
      </c>
      <c r="L799">
        <v>9981508.1999999993</v>
      </c>
      <c r="M799">
        <v>0.133989</v>
      </c>
      <c r="N799">
        <v>10000000</v>
      </c>
      <c r="O799">
        <v>1.38</v>
      </c>
      <c r="P799">
        <v>4.6921190000000001E-4</v>
      </c>
      <c r="Q799" t="s">
        <v>42</v>
      </c>
      <c r="R799" t="s">
        <v>23</v>
      </c>
      <c r="S799" s="131">
        <v>43265</v>
      </c>
      <c r="T799" s="6">
        <f>DataTable[HLD_MaturityDate] - DataTable[SEC_Issue_Date]</f>
        <v>182</v>
      </c>
      <c r="U799" s="131" t="str">
        <f>DataTable[HLD_Portfolio]&amp;DataTable[HLD_Date]</f>
        <v>SCBPLUS43397</v>
      </c>
      <c r="V799" t="str">
        <f>DataTable[[#This Row],[RefRng]]&amp;DataTable[[#This Row],[HLD_SecCode]]</f>
        <v>SCBPLUS43397CB18D13A</v>
      </c>
    </row>
    <row r="800" spans="1:22" x14ac:dyDescent="0.2">
      <c r="A800" s="131">
        <v>43397</v>
      </c>
      <c r="B800" t="s">
        <v>336</v>
      </c>
      <c r="C800" t="s">
        <v>18</v>
      </c>
      <c r="D800" t="s">
        <v>85</v>
      </c>
      <c r="F800" t="s">
        <v>88</v>
      </c>
      <c r="G800" t="s">
        <v>87</v>
      </c>
      <c r="I800" s="131">
        <v>43447</v>
      </c>
      <c r="J800" s="6">
        <v>69876175.599999994</v>
      </c>
      <c r="L800">
        <v>69876175.599999994</v>
      </c>
      <c r="M800">
        <v>0.13397899999999999</v>
      </c>
      <c r="N800">
        <v>70000000</v>
      </c>
      <c r="O800">
        <v>1.32</v>
      </c>
      <c r="P800">
        <v>3.2847474999999999E-3</v>
      </c>
      <c r="Q800" t="s">
        <v>42</v>
      </c>
      <c r="R800" t="s">
        <v>23</v>
      </c>
      <c r="S800" s="131">
        <v>43356</v>
      </c>
      <c r="T800" s="6">
        <f>DataTable[HLD_MaturityDate] - DataTable[SEC_Issue_Date]</f>
        <v>91</v>
      </c>
      <c r="U800" s="131" t="str">
        <f>DataTable[HLD_Portfolio]&amp;DataTable[HLD_Date]</f>
        <v>SCBPLUS43397</v>
      </c>
      <c r="V800" t="str">
        <f>DataTable[[#This Row],[RefRng]]&amp;DataTable[[#This Row],[HLD_SecCode]]</f>
        <v>SCBPLUS43397CB18D13B</v>
      </c>
    </row>
    <row r="801" spans="1:22" x14ac:dyDescent="0.2">
      <c r="A801" s="131">
        <v>43397</v>
      </c>
      <c r="B801" t="s">
        <v>336</v>
      </c>
      <c r="C801" t="s">
        <v>18</v>
      </c>
      <c r="D801" t="s">
        <v>85</v>
      </c>
      <c r="F801" t="s">
        <v>197</v>
      </c>
      <c r="G801" t="s">
        <v>87</v>
      </c>
      <c r="I801" s="131">
        <v>43461</v>
      </c>
      <c r="J801" s="6">
        <v>29928712.199999999</v>
      </c>
      <c r="L801">
        <v>29929098.899999999</v>
      </c>
      <c r="M801">
        <v>0.172151</v>
      </c>
      <c r="N801">
        <v>30000000</v>
      </c>
      <c r="O801">
        <v>1.3725000000000001</v>
      </c>
      <c r="P801">
        <v>1.4068924E-3</v>
      </c>
      <c r="Q801" t="s">
        <v>42</v>
      </c>
      <c r="R801" t="s">
        <v>23</v>
      </c>
      <c r="S801" s="131">
        <v>43370</v>
      </c>
      <c r="T801" s="6">
        <f>DataTable[HLD_MaturityDate] - DataTable[SEC_Issue_Date]</f>
        <v>91</v>
      </c>
      <c r="U801" s="131" t="str">
        <f>DataTable[HLD_Portfolio]&amp;DataTable[HLD_Date]</f>
        <v>SCBPLUS43397</v>
      </c>
      <c r="V801" t="str">
        <f>DataTable[[#This Row],[RefRng]]&amp;DataTable[[#This Row],[HLD_SecCode]]</f>
        <v>SCBPLUS43397CB18D27B</v>
      </c>
    </row>
    <row r="802" spans="1:22" x14ac:dyDescent="0.2">
      <c r="A802" s="131">
        <v>43397</v>
      </c>
      <c r="B802" t="s">
        <v>336</v>
      </c>
      <c r="C802" t="s">
        <v>18</v>
      </c>
      <c r="D802" t="s">
        <v>85</v>
      </c>
      <c r="F802" t="s">
        <v>198</v>
      </c>
      <c r="G802" t="s">
        <v>87</v>
      </c>
      <c r="I802" s="131">
        <v>43405</v>
      </c>
      <c r="J802" s="6">
        <v>195952885.52000001</v>
      </c>
      <c r="L802">
        <v>195951842.80000001</v>
      </c>
      <c r="M802">
        <v>1.9174E-2</v>
      </c>
      <c r="N802">
        <v>196000000</v>
      </c>
      <c r="O802">
        <v>1.281463</v>
      </c>
      <c r="P802">
        <v>9.2113764000000004E-3</v>
      </c>
      <c r="Q802" t="s">
        <v>42</v>
      </c>
      <c r="R802" t="s">
        <v>23</v>
      </c>
      <c r="S802" s="131">
        <v>43223</v>
      </c>
      <c r="T802" s="6">
        <f>DataTable[HLD_MaturityDate] - DataTable[SEC_Issue_Date]</f>
        <v>182</v>
      </c>
      <c r="U802" s="131" t="str">
        <f>DataTable[HLD_Portfolio]&amp;DataTable[HLD_Date]</f>
        <v>SCBPLUS43397</v>
      </c>
      <c r="V802" t="str">
        <f>DataTable[[#This Row],[RefRng]]&amp;DataTable[[#This Row],[HLD_SecCode]]</f>
        <v>SCBPLUS43397CB18N01A</v>
      </c>
    </row>
    <row r="803" spans="1:22" x14ac:dyDescent="0.2">
      <c r="A803" s="131">
        <v>43397</v>
      </c>
      <c r="B803" t="s">
        <v>336</v>
      </c>
      <c r="C803" t="s">
        <v>18</v>
      </c>
      <c r="D803" t="s">
        <v>85</v>
      </c>
      <c r="F803" t="s">
        <v>1251</v>
      </c>
      <c r="G803" t="s">
        <v>87</v>
      </c>
      <c r="I803" s="131">
        <v>43410</v>
      </c>
      <c r="J803" s="6">
        <v>219912928.40000001</v>
      </c>
      <c r="L803">
        <v>219912928.40000001</v>
      </c>
      <c r="M803">
        <v>3.2863999999999997E-2</v>
      </c>
      <c r="N803">
        <v>220000000</v>
      </c>
      <c r="O803">
        <v>1.204305</v>
      </c>
      <c r="P803">
        <v>1.0337692900000001E-2</v>
      </c>
      <c r="Q803" t="s">
        <v>42</v>
      </c>
      <c r="R803" t="s">
        <v>23</v>
      </c>
      <c r="S803" s="131">
        <v>43397</v>
      </c>
      <c r="T803" s="6">
        <f>DataTable[HLD_MaturityDate] - DataTable[SEC_Issue_Date]</f>
        <v>13</v>
      </c>
      <c r="U803" s="131" t="str">
        <f>DataTable[HLD_Portfolio]&amp;DataTable[HLD_Date]</f>
        <v>SCBPLUS43397</v>
      </c>
      <c r="V803" t="str">
        <f>DataTable[[#This Row],[RefRng]]&amp;DataTable[[#This Row],[HLD_SecCode]]</f>
        <v>SCBPLUS43397CB18N06A</v>
      </c>
    </row>
    <row r="804" spans="1:22" x14ac:dyDescent="0.2">
      <c r="A804" s="131">
        <v>43397</v>
      </c>
      <c r="B804" t="s">
        <v>336</v>
      </c>
      <c r="C804" t="s">
        <v>18</v>
      </c>
      <c r="D804" t="s">
        <v>85</v>
      </c>
      <c r="F804" t="s">
        <v>91</v>
      </c>
      <c r="G804" t="s">
        <v>87</v>
      </c>
      <c r="I804" s="131">
        <v>43412</v>
      </c>
      <c r="J804" s="6">
        <v>174915226.5</v>
      </c>
      <c r="L804">
        <v>174906257.75</v>
      </c>
      <c r="M804">
        <v>3.8337999999999997E-2</v>
      </c>
      <c r="N804">
        <v>175000000</v>
      </c>
      <c r="O804">
        <v>1.397308</v>
      </c>
      <c r="P804">
        <v>8.2224355999999995E-3</v>
      </c>
      <c r="Q804" t="s">
        <v>42</v>
      </c>
      <c r="R804" t="s">
        <v>23</v>
      </c>
      <c r="S804" s="131">
        <v>43230</v>
      </c>
      <c r="T804" s="6">
        <f>DataTable[HLD_MaturityDate] - DataTable[SEC_Issue_Date]</f>
        <v>182</v>
      </c>
      <c r="U804" s="131" t="str">
        <f>DataTable[HLD_Portfolio]&amp;DataTable[HLD_Date]</f>
        <v>SCBPLUS43397</v>
      </c>
      <c r="V804" t="str">
        <f>DataTable[[#This Row],[RefRng]]&amp;DataTable[[#This Row],[HLD_SecCode]]</f>
        <v>SCBPLUS43397CB18N08A</v>
      </c>
    </row>
    <row r="805" spans="1:22" x14ac:dyDescent="0.2">
      <c r="A805" s="131">
        <v>43397</v>
      </c>
      <c r="B805" t="s">
        <v>336</v>
      </c>
      <c r="C805" t="s">
        <v>18</v>
      </c>
      <c r="D805" t="s">
        <v>85</v>
      </c>
      <c r="F805" t="s">
        <v>93</v>
      </c>
      <c r="G805" t="s">
        <v>87</v>
      </c>
      <c r="I805" s="131">
        <v>43419</v>
      </c>
      <c r="J805" s="6">
        <v>39971138.799999997</v>
      </c>
      <c r="L805">
        <v>39967426</v>
      </c>
      <c r="M805">
        <v>5.7493000000000002E-2</v>
      </c>
      <c r="N805">
        <v>40000000</v>
      </c>
      <c r="O805">
        <v>1.416563</v>
      </c>
      <c r="P805">
        <v>1.878968E-3</v>
      </c>
      <c r="Q805" t="s">
        <v>42</v>
      </c>
      <c r="R805" t="s">
        <v>23</v>
      </c>
      <c r="S805" s="131">
        <v>43237</v>
      </c>
      <c r="T805" s="6">
        <f>DataTable[HLD_MaturityDate] - DataTable[SEC_Issue_Date]</f>
        <v>182</v>
      </c>
      <c r="U805" s="131" t="str">
        <f>DataTable[HLD_Portfolio]&amp;DataTable[HLD_Date]</f>
        <v>SCBPLUS43397</v>
      </c>
      <c r="V805" t="str">
        <f>DataTable[[#This Row],[RefRng]]&amp;DataTable[[#This Row],[HLD_SecCode]]</f>
        <v>SCBPLUS43397CB18N15A</v>
      </c>
    </row>
    <row r="806" spans="1:22" x14ac:dyDescent="0.2">
      <c r="A806" s="131">
        <v>43397</v>
      </c>
      <c r="B806" t="s">
        <v>336</v>
      </c>
      <c r="C806" t="s">
        <v>18</v>
      </c>
      <c r="D806" t="s">
        <v>85</v>
      </c>
      <c r="F806" t="s">
        <v>95</v>
      </c>
      <c r="G806" t="s">
        <v>87</v>
      </c>
      <c r="I806" s="131">
        <v>43426</v>
      </c>
      <c r="J806" s="6">
        <v>279721562.39999998</v>
      </c>
      <c r="L806">
        <v>279725334</v>
      </c>
      <c r="M806">
        <v>7.6638999999999999E-2</v>
      </c>
      <c r="N806">
        <v>280000000</v>
      </c>
      <c r="O806">
        <v>1.28</v>
      </c>
      <c r="P806">
        <v>1.31491842E-2</v>
      </c>
      <c r="Q806" t="s">
        <v>42</v>
      </c>
      <c r="R806" t="s">
        <v>23</v>
      </c>
      <c r="S806" s="131">
        <v>43244</v>
      </c>
      <c r="T806" s="6">
        <f>DataTable[HLD_MaturityDate] - DataTable[SEC_Issue_Date]</f>
        <v>182</v>
      </c>
      <c r="U806" s="131" t="str">
        <f>DataTable[HLD_Portfolio]&amp;DataTable[HLD_Date]</f>
        <v>SCBPLUS43397</v>
      </c>
      <c r="V806" t="str">
        <f>DataTable[[#This Row],[RefRng]]&amp;DataTable[[#This Row],[HLD_SecCode]]</f>
        <v>SCBPLUS43397CB18N22A</v>
      </c>
    </row>
    <row r="807" spans="1:22" x14ac:dyDescent="0.2">
      <c r="A807" s="131">
        <v>43397</v>
      </c>
      <c r="B807" t="s">
        <v>336</v>
      </c>
      <c r="C807" t="s">
        <v>18</v>
      </c>
      <c r="D807" t="s">
        <v>85</v>
      </c>
      <c r="F807" t="s">
        <v>97</v>
      </c>
      <c r="G807" t="s">
        <v>87</v>
      </c>
      <c r="I807" s="131">
        <v>43433</v>
      </c>
      <c r="J807" s="6">
        <v>89889525.900000006</v>
      </c>
      <c r="L807">
        <v>89875897.200000003</v>
      </c>
      <c r="M807">
        <v>9.5772999999999997E-2</v>
      </c>
      <c r="N807">
        <v>90000000</v>
      </c>
      <c r="O807">
        <v>1.44</v>
      </c>
      <c r="P807">
        <v>4.2255375000000003E-3</v>
      </c>
      <c r="Q807" t="s">
        <v>42</v>
      </c>
      <c r="R807" t="s">
        <v>23</v>
      </c>
      <c r="S807" s="131">
        <v>43251</v>
      </c>
      <c r="T807" s="6">
        <f>DataTable[HLD_MaturityDate] - DataTable[SEC_Issue_Date]</f>
        <v>182</v>
      </c>
      <c r="U807" s="131" t="str">
        <f>DataTable[HLD_Portfolio]&amp;DataTable[HLD_Date]</f>
        <v>SCBPLUS43397</v>
      </c>
      <c r="V807" t="str">
        <f>DataTable[[#This Row],[RefRng]]&amp;DataTable[[#This Row],[HLD_SecCode]]</f>
        <v>SCBPLUS43397CB18N29A</v>
      </c>
    </row>
    <row r="808" spans="1:22" x14ac:dyDescent="0.2">
      <c r="A808" s="131">
        <v>43397</v>
      </c>
      <c r="B808" t="s">
        <v>336</v>
      </c>
      <c r="C808" t="s">
        <v>18</v>
      </c>
      <c r="D808" t="s">
        <v>85</v>
      </c>
      <c r="F808" t="s">
        <v>100</v>
      </c>
      <c r="G808" t="s">
        <v>87</v>
      </c>
      <c r="I808" s="131">
        <v>43398</v>
      </c>
      <c r="J808" s="6">
        <v>180000000</v>
      </c>
      <c r="L808">
        <v>180000000</v>
      </c>
      <c r="M808">
        <v>2.7399999999999998E-3</v>
      </c>
      <c r="N808">
        <v>180000000</v>
      </c>
      <c r="O808">
        <v>1.19</v>
      </c>
      <c r="P808">
        <v>8.4614613000000005E-3</v>
      </c>
      <c r="Q808" t="s">
        <v>42</v>
      </c>
      <c r="R808" t="s">
        <v>23</v>
      </c>
      <c r="S808" s="131">
        <v>43307</v>
      </c>
      <c r="T808" s="6">
        <f>DataTable[HLD_MaturityDate] - DataTable[SEC_Issue_Date]</f>
        <v>91</v>
      </c>
      <c r="U808" s="131" t="str">
        <f>DataTable[HLD_Portfolio]&amp;DataTable[HLD_Date]</f>
        <v>SCBPLUS43397</v>
      </c>
      <c r="V808" t="str">
        <f>DataTable[[#This Row],[RefRng]]&amp;DataTable[[#This Row],[HLD_SecCode]]</f>
        <v>SCBPLUS43397CB18O25B</v>
      </c>
    </row>
    <row r="809" spans="1:22" x14ac:dyDescent="0.2">
      <c r="A809" s="131">
        <v>43397</v>
      </c>
      <c r="B809" t="s">
        <v>336</v>
      </c>
      <c r="C809" t="s">
        <v>18</v>
      </c>
      <c r="D809" t="s">
        <v>85</v>
      </c>
      <c r="F809" t="s">
        <v>864</v>
      </c>
      <c r="G809" t="s">
        <v>87</v>
      </c>
      <c r="I809" s="131">
        <v>43403</v>
      </c>
      <c r="J809" s="6">
        <v>49991713.5</v>
      </c>
      <c r="L809">
        <v>49991713.5</v>
      </c>
      <c r="M809">
        <v>1.3696E-2</v>
      </c>
      <c r="N809">
        <v>50000000</v>
      </c>
      <c r="O809">
        <v>1.21</v>
      </c>
      <c r="P809">
        <v>2.3500164E-3</v>
      </c>
      <c r="Q809" t="s">
        <v>42</v>
      </c>
      <c r="R809" t="s">
        <v>23</v>
      </c>
      <c r="S809" s="131">
        <v>43389</v>
      </c>
      <c r="T809" s="6">
        <f>DataTable[HLD_MaturityDate] - DataTable[SEC_Issue_Date]</f>
        <v>14</v>
      </c>
      <c r="U809" s="131" t="str">
        <f>DataTable[HLD_Portfolio]&amp;DataTable[HLD_Date]</f>
        <v>SCBPLUS43397</v>
      </c>
      <c r="V809" t="str">
        <f>DataTable[[#This Row],[RefRng]]&amp;DataTable[[#This Row],[HLD_SecCode]]</f>
        <v>SCBPLUS43397CB18O30A</v>
      </c>
    </row>
    <row r="810" spans="1:22" x14ac:dyDescent="0.2">
      <c r="A810" s="131">
        <v>43397</v>
      </c>
      <c r="B810" t="s">
        <v>336</v>
      </c>
      <c r="C810" t="s">
        <v>18</v>
      </c>
      <c r="D810" t="s">
        <v>85</v>
      </c>
      <c r="F810" t="s">
        <v>199</v>
      </c>
      <c r="G810" t="s">
        <v>87</v>
      </c>
      <c r="I810" s="131">
        <v>43468</v>
      </c>
      <c r="J810" s="6">
        <v>24933056.5</v>
      </c>
      <c r="L810">
        <v>24934725.75</v>
      </c>
      <c r="M810">
        <v>0.191223</v>
      </c>
      <c r="N810">
        <v>25000000</v>
      </c>
      <c r="O810">
        <v>1.365</v>
      </c>
      <c r="P810">
        <v>1.1720560999999999E-3</v>
      </c>
      <c r="Q810" t="s">
        <v>42</v>
      </c>
      <c r="R810" t="s">
        <v>23</v>
      </c>
      <c r="S810" s="131">
        <v>43286</v>
      </c>
      <c r="T810" s="6">
        <f>DataTable[HLD_MaturityDate] - DataTable[SEC_Issue_Date]</f>
        <v>182</v>
      </c>
      <c r="U810" s="131" t="str">
        <f>DataTable[HLD_Portfolio]&amp;DataTable[HLD_Date]</f>
        <v>SCBPLUS43397</v>
      </c>
      <c r="V810" t="str">
        <f>DataTable[[#This Row],[RefRng]]&amp;DataTable[[#This Row],[HLD_SecCode]]</f>
        <v>SCBPLUS43397CB19103A</v>
      </c>
    </row>
    <row r="811" spans="1:22" x14ac:dyDescent="0.2">
      <c r="A811" s="131">
        <v>43397</v>
      </c>
      <c r="B811" t="s">
        <v>336</v>
      </c>
      <c r="C811" t="s">
        <v>18</v>
      </c>
      <c r="D811" t="s">
        <v>85</v>
      </c>
      <c r="F811" t="s">
        <v>802</v>
      </c>
      <c r="G811" t="s">
        <v>87</v>
      </c>
      <c r="I811" s="131">
        <v>43482</v>
      </c>
      <c r="J811" s="6">
        <v>129540893.3</v>
      </c>
      <c r="L811">
        <v>129531981.8</v>
      </c>
      <c r="M811">
        <v>0.22931000000000001</v>
      </c>
      <c r="N811">
        <v>130000000</v>
      </c>
      <c r="O811">
        <v>1.57</v>
      </c>
      <c r="P811">
        <v>6.0894736E-3</v>
      </c>
      <c r="Q811" t="s">
        <v>42</v>
      </c>
      <c r="R811" t="s">
        <v>23</v>
      </c>
      <c r="S811" s="131">
        <v>43300</v>
      </c>
      <c r="T811" s="6">
        <f>DataTable[HLD_MaturityDate] - DataTable[SEC_Issue_Date]</f>
        <v>182</v>
      </c>
      <c r="U811" s="131" t="str">
        <f>DataTable[HLD_Portfolio]&amp;DataTable[HLD_Date]</f>
        <v>SCBPLUS43397</v>
      </c>
      <c r="V811" t="str">
        <f>DataTable[[#This Row],[RefRng]]&amp;DataTable[[#This Row],[HLD_SecCode]]</f>
        <v>SCBPLUS43397CB19117A</v>
      </c>
    </row>
    <row r="812" spans="1:22" x14ac:dyDescent="0.2">
      <c r="A812" s="131">
        <v>43397</v>
      </c>
      <c r="B812" t="s">
        <v>336</v>
      </c>
      <c r="C812" t="s">
        <v>18</v>
      </c>
      <c r="D812" t="s">
        <v>85</v>
      </c>
      <c r="F812" t="s">
        <v>1262</v>
      </c>
      <c r="G812" t="s">
        <v>87</v>
      </c>
      <c r="I812" s="131">
        <v>43489</v>
      </c>
      <c r="J812" s="6">
        <v>179299592.19999999</v>
      </c>
      <c r="L812">
        <v>179299592.19999999</v>
      </c>
      <c r="M812">
        <v>0.25205499999999997</v>
      </c>
      <c r="N812">
        <v>180000000</v>
      </c>
      <c r="O812">
        <v>1.5668329999999999</v>
      </c>
      <c r="P812">
        <v>8.4285364000000005E-3</v>
      </c>
      <c r="Q812" t="s">
        <v>42</v>
      </c>
      <c r="R812" t="s">
        <v>23</v>
      </c>
      <c r="S812" s="131">
        <v>43398</v>
      </c>
      <c r="T812" s="6">
        <f>DataTable[HLD_MaturityDate] - DataTable[SEC_Issue_Date]</f>
        <v>91</v>
      </c>
      <c r="U812" s="131" t="str">
        <f>DataTable[HLD_Portfolio]&amp;DataTable[HLD_Date]</f>
        <v>SCBPLUS43397</v>
      </c>
      <c r="V812" t="str">
        <f>DataTable[[#This Row],[RefRng]]&amp;DataTable[[#This Row],[HLD_SecCode]]</f>
        <v>SCBPLUS43397CB19124B</v>
      </c>
    </row>
    <row r="813" spans="1:22" x14ac:dyDescent="0.2">
      <c r="A813" s="131">
        <v>43397</v>
      </c>
      <c r="B813" t="s">
        <v>336</v>
      </c>
      <c r="C813" t="s">
        <v>18</v>
      </c>
      <c r="D813" t="s">
        <v>85</v>
      </c>
      <c r="F813" t="s">
        <v>756</v>
      </c>
      <c r="G813" t="s">
        <v>87</v>
      </c>
      <c r="I813" s="131">
        <v>43517</v>
      </c>
      <c r="J813" s="6">
        <v>39792425.200000003</v>
      </c>
      <c r="L813">
        <v>39805335.600000001</v>
      </c>
      <c r="M813">
        <v>0.32433600000000001</v>
      </c>
      <c r="N813">
        <v>40000000</v>
      </c>
      <c r="O813">
        <v>1.5</v>
      </c>
      <c r="P813">
        <v>1.8705670000000001E-3</v>
      </c>
      <c r="Q813" t="s">
        <v>42</v>
      </c>
      <c r="R813" t="s">
        <v>23</v>
      </c>
      <c r="S813" s="131">
        <v>43335</v>
      </c>
      <c r="T813" s="6">
        <f>DataTable[HLD_MaturityDate] - DataTable[SEC_Issue_Date]</f>
        <v>182</v>
      </c>
      <c r="U813" s="131" t="str">
        <f>DataTable[HLD_Portfolio]&amp;DataTable[HLD_Date]</f>
        <v>SCBPLUS43397</v>
      </c>
      <c r="V813" t="str">
        <f>DataTable[[#This Row],[RefRng]]&amp;DataTable[[#This Row],[HLD_SecCode]]</f>
        <v>SCBPLUS43397CB19221A</v>
      </c>
    </row>
    <row r="814" spans="1:22" x14ac:dyDescent="0.2">
      <c r="A814" s="131">
        <v>43397</v>
      </c>
      <c r="B814" t="s">
        <v>336</v>
      </c>
      <c r="C814" t="s">
        <v>18</v>
      </c>
      <c r="D814" t="s">
        <v>85</v>
      </c>
      <c r="F814" t="s">
        <v>575</v>
      </c>
      <c r="G814" t="s">
        <v>87</v>
      </c>
      <c r="I814" s="131">
        <v>43524</v>
      </c>
      <c r="J814" s="6">
        <v>89501840.099999994</v>
      </c>
      <c r="L814">
        <v>89547820.200000003</v>
      </c>
      <c r="M814">
        <v>0.34329500000000002</v>
      </c>
      <c r="N814">
        <v>90000000</v>
      </c>
      <c r="O814">
        <v>1.4627779999999999</v>
      </c>
      <c r="P814">
        <v>4.2073131000000003E-3</v>
      </c>
      <c r="Q814" t="s">
        <v>42</v>
      </c>
      <c r="R814" t="s">
        <v>23</v>
      </c>
      <c r="S814" s="131">
        <v>43342</v>
      </c>
      <c r="T814" s="6">
        <f>DataTable[HLD_MaturityDate] - DataTable[SEC_Issue_Date]</f>
        <v>182</v>
      </c>
      <c r="U814" s="131" t="str">
        <f>DataTable[HLD_Portfolio]&amp;DataTable[HLD_Date]</f>
        <v>SCBPLUS43397</v>
      </c>
      <c r="V814" t="str">
        <f>DataTable[[#This Row],[RefRng]]&amp;DataTable[[#This Row],[HLD_SecCode]]</f>
        <v>SCBPLUS43397CB19228A</v>
      </c>
    </row>
    <row r="815" spans="1:22" x14ac:dyDescent="0.2">
      <c r="A815" s="131">
        <v>43397</v>
      </c>
      <c r="B815" t="s">
        <v>336</v>
      </c>
      <c r="C815" t="s">
        <v>18</v>
      </c>
      <c r="D815" t="s">
        <v>85</v>
      </c>
      <c r="F815" t="s">
        <v>576</v>
      </c>
      <c r="G815" t="s">
        <v>87</v>
      </c>
      <c r="I815" s="131">
        <v>43531</v>
      </c>
      <c r="J815" s="6">
        <v>63616358.399999999</v>
      </c>
      <c r="L815">
        <v>63639264.640000001</v>
      </c>
      <c r="M815">
        <v>0.36219899999999999</v>
      </c>
      <c r="N815">
        <v>64000000</v>
      </c>
      <c r="O815">
        <v>1.555625</v>
      </c>
      <c r="P815">
        <v>2.9904852999999999E-3</v>
      </c>
      <c r="Q815" t="s">
        <v>42</v>
      </c>
      <c r="R815" t="s">
        <v>23</v>
      </c>
      <c r="S815" s="131">
        <v>43349</v>
      </c>
      <c r="T815" s="6">
        <f>DataTable[HLD_MaturityDate] - DataTable[SEC_Issue_Date]</f>
        <v>182</v>
      </c>
      <c r="U815" s="131" t="str">
        <f>DataTable[HLD_Portfolio]&amp;DataTable[HLD_Date]</f>
        <v>SCBPLUS43397</v>
      </c>
      <c r="V815" t="str">
        <f>DataTable[[#This Row],[RefRng]]&amp;DataTable[[#This Row],[HLD_SecCode]]</f>
        <v>SCBPLUS43397CB19307A</v>
      </c>
    </row>
    <row r="816" spans="1:22" x14ac:dyDescent="0.2">
      <c r="A816" s="131">
        <v>43397</v>
      </c>
      <c r="B816" t="s">
        <v>336</v>
      </c>
      <c r="C816" t="s">
        <v>18</v>
      </c>
      <c r="D816" t="s">
        <v>85</v>
      </c>
      <c r="F816" t="s">
        <v>522</v>
      </c>
      <c r="G816" t="s">
        <v>87</v>
      </c>
      <c r="I816" s="131">
        <v>43538</v>
      </c>
      <c r="J816" s="6">
        <v>752067259.30999994</v>
      </c>
      <c r="L816">
        <v>752868029.04999995</v>
      </c>
      <c r="M816">
        <v>0.38106200000000001</v>
      </c>
      <c r="N816">
        <v>757000000</v>
      </c>
      <c r="O816">
        <v>1.430879</v>
      </c>
      <c r="P816">
        <v>3.5353266600000002E-2</v>
      </c>
      <c r="Q816" t="s">
        <v>42</v>
      </c>
      <c r="R816" t="s">
        <v>23</v>
      </c>
      <c r="S816" s="131">
        <v>43174</v>
      </c>
      <c r="T816" s="6">
        <f>DataTable[HLD_MaturityDate] - DataTable[SEC_Issue_Date]</f>
        <v>364</v>
      </c>
      <c r="U816" s="131" t="str">
        <f>DataTable[HLD_Portfolio]&amp;DataTable[HLD_Date]</f>
        <v>SCBPLUS43397</v>
      </c>
      <c r="V816" t="str">
        <f>DataTable[[#This Row],[RefRng]]&amp;DataTable[[#This Row],[HLD_SecCode]]</f>
        <v>SCBPLUS43397CB19314A</v>
      </c>
    </row>
    <row r="817" spans="1:22" x14ac:dyDescent="0.2">
      <c r="A817" s="131">
        <v>43397</v>
      </c>
      <c r="B817" t="s">
        <v>336</v>
      </c>
      <c r="C817" t="s">
        <v>18</v>
      </c>
      <c r="D817" t="s">
        <v>85</v>
      </c>
      <c r="F817" t="s">
        <v>577</v>
      </c>
      <c r="G817" t="s">
        <v>87</v>
      </c>
      <c r="I817" s="131">
        <v>43545</v>
      </c>
      <c r="J817" s="6">
        <v>114236464.40000001</v>
      </c>
      <c r="L817">
        <v>114240845.90000001</v>
      </c>
      <c r="M817">
        <v>0.40006599999999998</v>
      </c>
      <c r="N817">
        <v>115000000</v>
      </c>
      <c r="O817">
        <v>1.65</v>
      </c>
      <c r="P817">
        <v>5.3700411999999999E-3</v>
      </c>
      <c r="Q817" t="s">
        <v>42</v>
      </c>
      <c r="R817" t="s">
        <v>23</v>
      </c>
      <c r="S817" s="131">
        <v>43363</v>
      </c>
      <c r="T817" s="6">
        <f>DataTable[HLD_MaturityDate] - DataTable[SEC_Issue_Date]</f>
        <v>182</v>
      </c>
      <c r="U817" s="131" t="str">
        <f>DataTable[HLD_Portfolio]&amp;DataTable[HLD_Date]</f>
        <v>SCBPLUS43397</v>
      </c>
      <c r="V817" t="str">
        <f>DataTable[[#This Row],[RefRng]]&amp;DataTable[[#This Row],[HLD_SecCode]]</f>
        <v>SCBPLUS43397CB19321A</v>
      </c>
    </row>
    <row r="818" spans="1:22" x14ac:dyDescent="0.2">
      <c r="A818" s="131">
        <v>43397</v>
      </c>
      <c r="B818" t="s">
        <v>336</v>
      </c>
      <c r="C818" t="s">
        <v>18</v>
      </c>
      <c r="D818" t="s">
        <v>85</v>
      </c>
      <c r="F818" t="s">
        <v>578</v>
      </c>
      <c r="G818" t="s">
        <v>87</v>
      </c>
      <c r="I818" s="131">
        <v>43552</v>
      </c>
      <c r="J818" s="6">
        <v>232333564.31999999</v>
      </c>
      <c r="L818">
        <v>232458410.34</v>
      </c>
      <c r="M818">
        <v>0.41891299999999998</v>
      </c>
      <c r="N818">
        <v>234000000</v>
      </c>
      <c r="O818">
        <v>1.5717950000000001</v>
      </c>
      <c r="P818">
        <v>1.09215636E-2</v>
      </c>
      <c r="Q818" t="s">
        <v>42</v>
      </c>
      <c r="R818" t="s">
        <v>23</v>
      </c>
      <c r="S818" s="131">
        <v>43370</v>
      </c>
      <c r="T818" s="6">
        <f>DataTable[HLD_MaturityDate] - DataTable[SEC_Issue_Date]</f>
        <v>182</v>
      </c>
      <c r="U818" s="131" t="str">
        <f>DataTable[HLD_Portfolio]&amp;DataTable[HLD_Date]</f>
        <v>SCBPLUS43397</v>
      </c>
      <c r="V818" t="str">
        <f>DataTable[[#This Row],[RefRng]]&amp;DataTable[[#This Row],[HLD_SecCode]]</f>
        <v>SCBPLUS43397CB19328A</v>
      </c>
    </row>
    <row r="819" spans="1:22" x14ac:dyDescent="0.2">
      <c r="A819" s="131">
        <v>43397</v>
      </c>
      <c r="B819" t="s">
        <v>336</v>
      </c>
      <c r="C819" t="s">
        <v>18</v>
      </c>
      <c r="D819" t="s">
        <v>85</v>
      </c>
      <c r="F819" t="s">
        <v>579</v>
      </c>
      <c r="G819" t="s">
        <v>87</v>
      </c>
      <c r="I819" s="131">
        <v>43559</v>
      </c>
      <c r="J819" s="6">
        <v>49629797</v>
      </c>
      <c r="L819">
        <v>49650140</v>
      </c>
      <c r="M819">
        <v>0.43783</v>
      </c>
      <c r="N819">
        <v>50000000</v>
      </c>
      <c r="O819">
        <v>1.5974999999999999</v>
      </c>
      <c r="P819">
        <v>2.3330033999999999E-3</v>
      </c>
      <c r="Q819" t="s">
        <v>42</v>
      </c>
      <c r="R819" t="s">
        <v>23</v>
      </c>
      <c r="S819" s="131">
        <v>43377</v>
      </c>
      <c r="T819" s="6">
        <f>DataTable[HLD_MaturityDate] - DataTable[SEC_Issue_Date]</f>
        <v>182</v>
      </c>
      <c r="U819" s="131" t="str">
        <f>DataTable[HLD_Portfolio]&amp;DataTable[HLD_Date]</f>
        <v>SCBPLUS43397</v>
      </c>
      <c r="V819" t="str">
        <f>DataTable[[#This Row],[RefRng]]&amp;DataTable[[#This Row],[HLD_SecCode]]</f>
        <v>SCBPLUS43397CB19404A</v>
      </c>
    </row>
    <row r="820" spans="1:22" x14ac:dyDescent="0.2">
      <c r="A820" s="131">
        <v>43397</v>
      </c>
      <c r="B820" t="s">
        <v>336</v>
      </c>
      <c r="C820" t="s">
        <v>18</v>
      </c>
      <c r="D820" t="s">
        <v>85</v>
      </c>
      <c r="F820" t="s">
        <v>850</v>
      </c>
      <c r="G820" t="s">
        <v>87</v>
      </c>
      <c r="I820" s="131">
        <v>43566</v>
      </c>
      <c r="J820" s="6">
        <v>198441032</v>
      </c>
      <c r="L820">
        <v>198429094</v>
      </c>
      <c r="M820">
        <v>0.45668599999999998</v>
      </c>
      <c r="N820">
        <v>200000000</v>
      </c>
      <c r="O820">
        <v>1.72</v>
      </c>
      <c r="P820">
        <v>9.3283394999999995E-3</v>
      </c>
      <c r="Q820" t="s">
        <v>42</v>
      </c>
      <c r="R820" t="s">
        <v>23</v>
      </c>
      <c r="S820" s="131">
        <v>43384</v>
      </c>
      <c r="T820" s="6">
        <f>DataTable[HLD_MaturityDate] - DataTable[SEC_Issue_Date]</f>
        <v>182</v>
      </c>
      <c r="U820" s="131" t="str">
        <f>DataTable[HLD_Portfolio]&amp;DataTable[HLD_Date]</f>
        <v>SCBPLUS43397</v>
      </c>
      <c r="V820" t="str">
        <f>DataTable[[#This Row],[RefRng]]&amp;DataTable[[#This Row],[HLD_SecCode]]</f>
        <v>SCBPLUS43397CB19411A</v>
      </c>
    </row>
    <row r="821" spans="1:22" x14ac:dyDescent="0.2">
      <c r="A821" s="131">
        <v>43397</v>
      </c>
      <c r="B821" t="s">
        <v>336</v>
      </c>
      <c r="C821" t="s">
        <v>18</v>
      </c>
      <c r="D821" t="s">
        <v>85</v>
      </c>
      <c r="F821" t="s">
        <v>580</v>
      </c>
      <c r="G821" t="s">
        <v>87</v>
      </c>
      <c r="I821" s="131">
        <v>43622</v>
      </c>
      <c r="J821" s="6">
        <v>168183434.40000001</v>
      </c>
      <c r="L821">
        <v>168364426.59999999</v>
      </c>
      <c r="M821">
        <v>0.60714100000000004</v>
      </c>
      <c r="N821">
        <v>170000000</v>
      </c>
      <c r="O821">
        <v>1.5829409999999999</v>
      </c>
      <c r="P821">
        <v>7.9059866999999992E-3</v>
      </c>
      <c r="Q821" t="s">
        <v>42</v>
      </c>
      <c r="R821" t="s">
        <v>23</v>
      </c>
      <c r="S821" s="131">
        <v>43258</v>
      </c>
      <c r="T821" s="6">
        <f>DataTable[HLD_MaturityDate] - DataTable[SEC_Issue_Date]</f>
        <v>364</v>
      </c>
      <c r="U821" s="131" t="str">
        <f>DataTable[HLD_Portfolio]&amp;DataTable[HLD_Date]</f>
        <v>SCBPLUS43397</v>
      </c>
      <c r="V821" t="str">
        <f>DataTable[[#This Row],[RefRng]]&amp;DataTable[[#This Row],[HLD_SecCode]]</f>
        <v>SCBPLUS43397CB19606A</v>
      </c>
    </row>
    <row r="822" spans="1:22" x14ac:dyDescent="0.2">
      <c r="A822" s="131">
        <v>43397</v>
      </c>
      <c r="B822" t="s">
        <v>336</v>
      </c>
      <c r="C822" t="s">
        <v>18</v>
      </c>
      <c r="D822" t="s">
        <v>85</v>
      </c>
      <c r="F822" t="s">
        <v>581</v>
      </c>
      <c r="G822" t="s">
        <v>87</v>
      </c>
      <c r="I822" s="131">
        <v>43713</v>
      </c>
      <c r="J822" s="6">
        <v>174292496.49000001</v>
      </c>
      <c r="L822">
        <v>174355552.74000001</v>
      </c>
      <c r="M822">
        <v>0.84981300000000004</v>
      </c>
      <c r="N822">
        <v>177000000</v>
      </c>
      <c r="O822">
        <v>1.757444</v>
      </c>
      <c r="P822">
        <v>8.1931622999999992E-3</v>
      </c>
      <c r="Q822" t="s">
        <v>42</v>
      </c>
      <c r="R822" t="s">
        <v>23</v>
      </c>
      <c r="S822" s="131">
        <v>43349</v>
      </c>
      <c r="T822" s="6">
        <f>DataTable[HLD_MaturityDate] - DataTable[SEC_Issue_Date]</f>
        <v>364</v>
      </c>
      <c r="U822" s="131" t="str">
        <f>DataTable[HLD_Portfolio]&amp;DataTable[HLD_Date]</f>
        <v>SCBPLUS43397</v>
      </c>
      <c r="V822" t="str">
        <f>DataTable[[#This Row],[RefRng]]&amp;DataTable[[#This Row],[HLD_SecCode]]</f>
        <v>SCBPLUS43397CB19905A</v>
      </c>
    </row>
    <row r="823" spans="1:22" x14ac:dyDescent="0.2">
      <c r="A823" s="131">
        <v>43397</v>
      </c>
      <c r="B823" t="s">
        <v>336</v>
      </c>
      <c r="C823" t="s">
        <v>18</v>
      </c>
      <c r="D823" t="s">
        <v>105</v>
      </c>
      <c r="F823" t="s">
        <v>582</v>
      </c>
      <c r="G823" t="s">
        <v>87</v>
      </c>
      <c r="I823" s="131">
        <v>43545</v>
      </c>
      <c r="J823" s="6">
        <v>144886518.65000001</v>
      </c>
      <c r="K823">
        <v>202602.7</v>
      </c>
      <c r="L823">
        <v>145086712.90000001</v>
      </c>
      <c r="M823">
        <v>0.39932499999999999</v>
      </c>
      <c r="N823">
        <v>145000000</v>
      </c>
      <c r="O823">
        <v>1.365</v>
      </c>
      <c r="P823">
        <v>6.8203665999999998E-3</v>
      </c>
      <c r="Q823" t="s">
        <v>42</v>
      </c>
      <c r="R823" t="s">
        <v>23</v>
      </c>
      <c r="S823" s="131">
        <v>42450</v>
      </c>
      <c r="T823" s="6">
        <f>DataTable[HLD_MaturityDate] - DataTable[SEC_Issue_Date]</f>
        <v>1095</v>
      </c>
      <c r="U823" s="131" t="str">
        <f>DataTable[HLD_Portfolio]&amp;DataTable[HLD_Date]</f>
        <v>SCBPLUS43397</v>
      </c>
      <c r="V823" t="str">
        <f>DataTable[[#This Row],[RefRng]]&amp;DataTable[[#This Row],[HLD_SecCode]]</f>
        <v>SCBPLUS43397BOT193A</v>
      </c>
    </row>
    <row r="824" spans="1:22" x14ac:dyDescent="0.2">
      <c r="A824" s="131">
        <v>43397</v>
      </c>
      <c r="B824" t="s">
        <v>336</v>
      </c>
      <c r="C824" t="s">
        <v>18</v>
      </c>
      <c r="D824" t="s">
        <v>105</v>
      </c>
      <c r="F824" t="s">
        <v>583</v>
      </c>
      <c r="G824" t="s">
        <v>87</v>
      </c>
      <c r="I824" s="131">
        <v>43917</v>
      </c>
      <c r="J824" s="6">
        <v>49884928.5</v>
      </c>
      <c r="K824">
        <v>67890.5</v>
      </c>
      <c r="L824">
        <v>50143223</v>
      </c>
      <c r="M824">
        <v>1.3925320000000001</v>
      </c>
      <c r="N824">
        <v>50000000</v>
      </c>
      <c r="O824">
        <v>1.5699799999999999</v>
      </c>
      <c r="P824">
        <v>2.3481880000000002E-3</v>
      </c>
      <c r="Q824" t="s">
        <v>42</v>
      </c>
      <c r="R824" t="s">
        <v>23</v>
      </c>
      <c r="S824" s="131">
        <v>42821</v>
      </c>
      <c r="T824" s="6">
        <f>DataTable[HLD_MaturityDate] - DataTable[SEC_Issue_Date]</f>
        <v>1096</v>
      </c>
      <c r="U824" s="131" t="str">
        <f>DataTable[HLD_Portfolio]&amp;DataTable[HLD_Date]</f>
        <v>SCBPLUS43397</v>
      </c>
      <c r="V824" t="str">
        <f>DataTable[[#This Row],[RefRng]]&amp;DataTable[[#This Row],[HLD_SecCode]]</f>
        <v>SCBPLUS43397BOT203A</v>
      </c>
    </row>
    <row r="825" spans="1:22" x14ac:dyDescent="0.2">
      <c r="A825" s="131">
        <v>43397</v>
      </c>
      <c r="B825" t="s">
        <v>336</v>
      </c>
      <c r="C825" t="s">
        <v>18</v>
      </c>
      <c r="D825" t="s">
        <v>105</v>
      </c>
      <c r="F825" t="s">
        <v>757</v>
      </c>
      <c r="G825" t="s">
        <v>87</v>
      </c>
      <c r="I825" s="131">
        <v>44070</v>
      </c>
      <c r="J825" s="6">
        <v>179207616.59999999</v>
      </c>
      <c r="K825">
        <v>529545.6</v>
      </c>
      <c r="L825">
        <v>179519808.59999999</v>
      </c>
      <c r="M825">
        <v>1.7969919999999999</v>
      </c>
      <c r="N825">
        <v>180000000</v>
      </c>
      <c r="O825">
        <v>1.9634499999999999</v>
      </c>
      <c r="P825">
        <v>8.4491058000000004E-3</v>
      </c>
      <c r="Q825" t="s">
        <v>42</v>
      </c>
      <c r="R825" t="s">
        <v>23</v>
      </c>
      <c r="S825" s="131">
        <v>43339</v>
      </c>
      <c r="T825" s="6">
        <f>DataTable[HLD_MaturityDate] - DataTable[SEC_Issue_Date]</f>
        <v>731</v>
      </c>
      <c r="U825" s="131" t="str">
        <f>DataTable[HLD_Portfolio]&amp;DataTable[HLD_Date]</f>
        <v>SCBPLUS43397</v>
      </c>
      <c r="V825" t="str">
        <f>DataTable[[#This Row],[RefRng]]&amp;DataTable[[#This Row],[HLD_SecCode]]</f>
        <v>SCBPLUS43397BOT208A</v>
      </c>
    </row>
    <row r="826" spans="1:22" x14ac:dyDescent="0.2">
      <c r="A826" s="131">
        <v>43397</v>
      </c>
      <c r="B826" t="s">
        <v>336</v>
      </c>
      <c r="C826" t="s">
        <v>18</v>
      </c>
      <c r="D826" t="s">
        <v>105</v>
      </c>
      <c r="F826" t="s">
        <v>525</v>
      </c>
      <c r="G826" t="s">
        <v>87</v>
      </c>
      <c r="I826" s="131">
        <v>44099</v>
      </c>
      <c r="J826" s="6">
        <v>277350920</v>
      </c>
      <c r="K826">
        <v>361314.8</v>
      </c>
      <c r="L826">
        <v>280323682.80000001</v>
      </c>
      <c r="M826">
        <v>1.8708610000000001</v>
      </c>
      <c r="N826">
        <v>280000000</v>
      </c>
      <c r="O826">
        <v>1.5116959999999999</v>
      </c>
      <c r="P826">
        <v>1.3054729500000001E-2</v>
      </c>
      <c r="Q826" t="s">
        <v>42</v>
      </c>
      <c r="R826" t="s">
        <v>23</v>
      </c>
      <c r="S826" s="131">
        <v>43003</v>
      </c>
      <c r="T826" s="6">
        <f>DataTable[HLD_MaturityDate] - DataTable[SEC_Issue_Date]</f>
        <v>1096</v>
      </c>
      <c r="U826" s="131" t="str">
        <f>DataTable[HLD_Portfolio]&amp;DataTable[HLD_Date]</f>
        <v>SCBPLUS43397</v>
      </c>
      <c r="V826" t="str">
        <f>DataTable[[#This Row],[RefRng]]&amp;DataTable[[#This Row],[HLD_SecCode]]</f>
        <v>SCBPLUS43397BOT209A</v>
      </c>
    </row>
    <row r="827" spans="1:22" x14ac:dyDescent="0.2">
      <c r="A827" s="131">
        <v>43397</v>
      </c>
      <c r="B827" t="s">
        <v>336</v>
      </c>
      <c r="C827" t="s">
        <v>18</v>
      </c>
      <c r="D827" t="s">
        <v>105</v>
      </c>
      <c r="F827" t="s">
        <v>758</v>
      </c>
      <c r="G827" t="s">
        <v>759</v>
      </c>
      <c r="H827" t="s">
        <v>302</v>
      </c>
      <c r="I827" s="131">
        <v>44692</v>
      </c>
      <c r="J827" s="6">
        <v>18886607.620000001</v>
      </c>
      <c r="K827">
        <v>202550.45</v>
      </c>
      <c r="L827">
        <v>19322883.149999999</v>
      </c>
      <c r="M827">
        <v>3.3464779999999998</v>
      </c>
      <c r="N827">
        <v>19000000</v>
      </c>
      <c r="O827">
        <v>1.83</v>
      </c>
      <c r="P827">
        <v>8.9734540000000005E-4</v>
      </c>
      <c r="Q827" t="s">
        <v>42</v>
      </c>
      <c r="R827" t="s">
        <v>23</v>
      </c>
      <c r="S827" s="131">
        <v>42866</v>
      </c>
      <c r="T827" s="6">
        <f>DataTable[HLD_MaturityDate] - DataTable[SEC_Issue_Date]</f>
        <v>1826</v>
      </c>
      <c r="U827" s="131" t="str">
        <f>DataTable[HLD_Portfolio]&amp;DataTable[HLD_Date]</f>
        <v>SCBPLUS43397</v>
      </c>
      <c r="V827" t="str">
        <f>DataTable[[#This Row],[RefRng]]&amp;DataTable[[#This Row],[HLD_SecCode]]</f>
        <v>SCBPLUS43397GSB225A</v>
      </c>
    </row>
    <row r="828" spans="1:22" x14ac:dyDescent="0.2">
      <c r="A828" s="131">
        <v>43397</v>
      </c>
      <c r="B828" t="s">
        <v>336</v>
      </c>
      <c r="C828" t="s">
        <v>18</v>
      </c>
      <c r="D828" t="s">
        <v>105</v>
      </c>
      <c r="F828" t="s">
        <v>526</v>
      </c>
      <c r="G828" t="s">
        <v>83</v>
      </c>
      <c r="H828" t="s">
        <v>29</v>
      </c>
      <c r="I828" s="131">
        <v>44008</v>
      </c>
      <c r="J828" s="6">
        <v>129228468.48</v>
      </c>
      <c r="K828">
        <v>1082037.76</v>
      </c>
      <c r="L828">
        <v>130180160</v>
      </c>
      <c r="M828">
        <v>1.6168119999999999</v>
      </c>
      <c r="N828">
        <v>128000000</v>
      </c>
      <c r="O828">
        <v>1.5104610000000001</v>
      </c>
      <c r="P828">
        <v>6.1256517E-3</v>
      </c>
      <c r="Q828" t="s">
        <v>42</v>
      </c>
      <c r="R828" t="s">
        <v>23</v>
      </c>
      <c r="S828" s="131">
        <v>42181</v>
      </c>
      <c r="T828" s="6">
        <f>DataTable[HLD_MaturityDate] - DataTable[SEC_Issue_Date]</f>
        <v>1827</v>
      </c>
      <c r="U828" s="131" t="str">
        <f>DataTable[HLD_Portfolio]&amp;DataTable[HLD_Date]</f>
        <v>SCBPLUS43397</v>
      </c>
      <c r="V828" t="str">
        <f>DataTable[[#This Row],[RefRng]]&amp;DataTable[[#This Row],[HLD_SecCode]]</f>
        <v>SCBPLUS43397LB206A</v>
      </c>
    </row>
    <row r="829" spans="1:22" x14ac:dyDescent="0.2">
      <c r="A829" s="131">
        <v>43397</v>
      </c>
      <c r="B829" t="s">
        <v>336</v>
      </c>
      <c r="C829" t="s">
        <v>18</v>
      </c>
      <c r="D829" t="s">
        <v>105</v>
      </c>
      <c r="F829" t="s">
        <v>627</v>
      </c>
      <c r="G829" t="s">
        <v>83</v>
      </c>
      <c r="H829" t="s">
        <v>29</v>
      </c>
      <c r="I829" s="131">
        <v>44547</v>
      </c>
      <c r="J829" s="6">
        <v>70046370.069999993</v>
      </c>
      <c r="K829">
        <v>871000</v>
      </c>
      <c r="L829">
        <v>71180651.930000007</v>
      </c>
      <c r="M829">
        <v>2.936391</v>
      </c>
      <c r="N829">
        <v>67000000</v>
      </c>
      <c r="O829">
        <v>1.605507</v>
      </c>
      <c r="P829">
        <v>3.3336921000000001E-3</v>
      </c>
      <c r="Q829" t="s">
        <v>42</v>
      </c>
      <c r="R829" t="s">
        <v>23</v>
      </c>
      <c r="S829" s="131">
        <v>40501</v>
      </c>
      <c r="T829" s="6">
        <f>DataTable[HLD_MaturityDate] - DataTable[SEC_Issue_Date]</f>
        <v>4046</v>
      </c>
      <c r="U829" s="131" t="str">
        <f>DataTable[HLD_Portfolio]&amp;DataTable[HLD_Date]</f>
        <v>SCBPLUS43397</v>
      </c>
      <c r="V829" t="str">
        <f>DataTable[[#This Row],[RefRng]]&amp;DataTable[[#This Row],[HLD_SecCode]]</f>
        <v>SCBPLUS43397LB21DA</v>
      </c>
    </row>
    <row r="830" spans="1:22" x14ac:dyDescent="0.2">
      <c r="A830" s="131">
        <v>43397</v>
      </c>
      <c r="B830" t="s">
        <v>336</v>
      </c>
      <c r="C830" t="s">
        <v>18</v>
      </c>
      <c r="D830" t="s">
        <v>105</v>
      </c>
      <c r="F830" t="s">
        <v>586</v>
      </c>
      <c r="G830" t="s">
        <v>83</v>
      </c>
      <c r="H830" t="s">
        <v>29</v>
      </c>
      <c r="I830" s="131">
        <v>44912</v>
      </c>
      <c r="J830" s="6">
        <v>384623194.80000001</v>
      </c>
      <c r="K830">
        <v>2778083.1</v>
      </c>
      <c r="L830">
        <v>393180789.30000001</v>
      </c>
      <c r="M830">
        <v>3.9233220000000002</v>
      </c>
      <c r="N830">
        <v>390000000</v>
      </c>
      <c r="O830">
        <v>1.794038</v>
      </c>
      <c r="P830">
        <v>1.8211004999999999E-2</v>
      </c>
      <c r="Q830" t="s">
        <v>42</v>
      </c>
      <c r="R830" t="s">
        <v>23</v>
      </c>
      <c r="S830" s="131">
        <v>42951</v>
      </c>
      <c r="T830" s="6">
        <f>DataTable[HLD_MaturityDate] - DataTable[SEC_Issue_Date]</f>
        <v>1961</v>
      </c>
      <c r="U830" s="131" t="str">
        <f>DataTable[HLD_Portfolio]&amp;DataTable[HLD_Date]</f>
        <v>SCBPLUS43397</v>
      </c>
      <c r="V830" t="str">
        <f>DataTable[[#This Row],[RefRng]]&amp;DataTable[[#This Row],[HLD_SecCode]]</f>
        <v>SCBPLUS43397LB22DA</v>
      </c>
    </row>
    <row r="831" spans="1:22" x14ac:dyDescent="0.2">
      <c r="A831" s="131">
        <v>43397</v>
      </c>
      <c r="B831" t="s">
        <v>336</v>
      </c>
      <c r="C831" t="s">
        <v>18</v>
      </c>
      <c r="D831" t="s">
        <v>105</v>
      </c>
      <c r="F831" t="s">
        <v>587</v>
      </c>
      <c r="G831" t="s">
        <v>83</v>
      </c>
      <c r="H831" t="s">
        <v>29</v>
      </c>
      <c r="I831" s="131">
        <v>45277</v>
      </c>
      <c r="J831" s="6">
        <v>126755630.41</v>
      </c>
      <c r="K831">
        <v>576197.73</v>
      </c>
      <c r="L831">
        <v>127350436.18000001</v>
      </c>
      <c r="M831">
        <v>4.7901300000000004</v>
      </c>
      <c r="N831">
        <v>127000000</v>
      </c>
      <c r="O831">
        <v>2.34274</v>
      </c>
      <c r="P831">
        <v>5.9856296000000003E-3</v>
      </c>
      <c r="Q831" t="s">
        <v>42</v>
      </c>
      <c r="R831" t="s">
        <v>23</v>
      </c>
      <c r="S831" s="131">
        <v>43329</v>
      </c>
      <c r="T831" s="6">
        <f>DataTable[HLD_MaturityDate] - DataTable[SEC_Issue_Date]</f>
        <v>1948</v>
      </c>
      <c r="U831" s="131" t="str">
        <f>DataTable[HLD_Portfolio]&amp;DataTable[HLD_Date]</f>
        <v>SCBPLUS43397</v>
      </c>
      <c r="V831" t="str">
        <f>DataTable[[#This Row],[RefRng]]&amp;DataTable[[#This Row],[HLD_SecCode]]</f>
        <v>SCBPLUS43397LB23DA</v>
      </c>
    </row>
    <row r="832" spans="1:22" x14ac:dyDescent="0.2">
      <c r="A832" s="131">
        <v>43397</v>
      </c>
      <c r="B832" t="s">
        <v>336</v>
      </c>
      <c r="C832" t="s">
        <v>18</v>
      </c>
      <c r="D832" t="s">
        <v>102</v>
      </c>
      <c r="F832" t="s">
        <v>653</v>
      </c>
      <c r="G832" t="s">
        <v>652</v>
      </c>
      <c r="H832" t="s">
        <v>116</v>
      </c>
      <c r="I832" s="131">
        <v>44917</v>
      </c>
      <c r="J832" s="6">
        <v>29592232.5</v>
      </c>
      <c r="K832">
        <v>260958.9</v>
      </c>
      <c r="L832">
        <v>30000000</v>
      </c>
      <c r="M832">
        <v>3.8816130000000002</v>
      </c>
      <c r="N832">
        <v>30000000</v>
      </c>
      <c r="O832">
        <v>2.54</v>
      </c>
      <c r="P832">
        <v>1.4033423E-3</v>
      </c>
      <c r="Q832" t="s">
        <v>42</v>
      </c>
      <c r="R832" t="s">
        <v>23</v>
      </c>
      <c r="S832" s="131">
        <v>43091</v>
      </c>
      <c r="T832" s="6">
        <f>DataTable[HLD_MaturityDate] - DataTable[SEC_Issue_Date]</f>
        <v>1826</v>
      </c>
      <c r="U832" s="131" t="str">
        <f>DataTable[HLD_Portfolio]&amp;DataTable[HLD_Date]</f>
        <v>SCBPLUS43397</v>
      </c>
      <c r="V832" t="str">
        <f>DataTable[[#This Row],[RefRng]]&amp;DataTable[[#This Row],[HLD_SecCode]]</f>
        <v>SCBPLUS43397BCH22DA</v>
      </c>
    </row>
    <row r="833" spans="1:22" x14ac:dyDescent="0.2">
      <c r="A833" s="131">
        <v>43397</v>
      </c>
      <c r="B833" t="s">
        <v>336</v>
      </c>
      <c r="C833" t="s">
        <v>18</v>
      </c>
      <c r="D833" t="s">
        <v>102</v>
      </c>
      <c r="F833" t="s">
        <v>654</v>
      </c>
      <c r="G833" t="s">
        <v>480</v>
      </c>
      <c r="H833" t="s">
        <v>47</v>
      </c>
      <c r="I833" s="131">
        <v>44371</v>
      </c>
      <c r="J833" s="6">
        <v>59706882</v>
      </c>
      <c r="K833">
        <v>509523</v>
      </c>
      <c r="L833">
        <v>59931286.799999997</v>
      </c>
      <c r="M833">
        <v>2.5379139999999998</v>
      </c>
      <c r="N833">
        <v>60000000</v>
      </c>
      <c r="O833">
        <v>2.5627010000000001</v>
      </c>
      <c r="P833">
        <v>2.8306599E-3</v>
      </c>
      <c r="Q833" t="s">
        <v>42</v>
      </c>
      <c r="R833" t="s">
        <v>23</v>
      </c>
      <c r="S833" s="131">
        <v>42545</v>
      </c>
      <c r="T833" s="6">
        <f>DataTable[HLD_MaturityDate] - DataTable[SEC_Issue_Date]</f>
        <v>1826</v>
      </c>
      <c r="U833" s="131" t="str">
        <f>DataTable[HLD_Portfolio]&amp;DataTable[HLD_Date]</f>
        <v>SCBPLUS43397</v>
      </c>
      <c r="V833" t="str">
        <f>DataTable[[#This Row],[RefRng]]&amp;DataTable[[#This Row],[HLD_SecCode]]</f>
        <v>SCBPLUS43397BEM216A</v>
      </c>
    </row>
    <row r="834" spans="1:22" x14ac:dyDescent="0.2">
      <c r="A834" s="131">
        <v>43397</v>
      </c>
      <c r="B834" t="s">
        <v>336</v>
      </c>
      <c r="C834" t="s">
        <v>18</v>
      </c>
      <c r="D834" t="s">
        <v>102</v>
      </c>
      <c r="F834" t="s">
        <v>479</v>
      </c>
      <c r="G834" t="s">
        <v>480</v>
      </c>
      <c r="H834" t="s">
        <v>47</v>
      </c>
      <c r="I834" s="131">
        <v>45021</v>
      </c>
      <c r="J834" s="6">
        <v>85705608.560000002</v>
      </c>
      <c r="K834">
        <v>118619.6</v>
      </c>
      <c r="L834">
        <v>88000000</v>
      </c>
      <c r="M834">
        <v>4.1632870000000004</v>
      </c>
      <c r="N834">
        <v>88000000</v>
      </c>
      <c r="O834">
        <v>2.46</v>
      </c>
      <c r="P834">
        <v>4.0344355E-3</v>
      </c>
      <c r="Q834" t="s">
        <v>42</v>
      </c>
      <c r="R834" t="s">
        <v>23</v>
      </c>
      <c r="S834" s="131">
        <v>43195</v>
      </c>
      <c r="T834" s="6">
        <f>DataTable[HLD_MaturityDate] - DataTable[SEC_Issue_Date]</f>
        <v>1826</v>
      </c>
      <c r="U834" s="131" t="str">
        <f>DataTable[HLD_Portfolio]&amp;DataTable[HLD_Date]</f>
        <v>SCBPLUS43397</v>
      </c>
      <c r="V834" t="str">
        <f>DataTable[[#This Row],[RefRng]]&amp;DataTable[[#This Row],[HLD_SecCode]]</f>
        <v>SCBPLUS43397BEM234A</v>
      </c>
    </row>
    <row r="835" spans="1:22" x14ac:dyDescent="0.2">
      <c r="A835" s="131">
        <v>43397</v>
      </c>
      <c r="B835" t="s">
        <v>336</v>
      </c>
      <c r="C835" t="s">
        <v>18</v>
      </c>
      <c r="D835" t="s">
        <v>102</v>
      </c>
      <c r="F835" t="s">
        <v>483</v>
      </c>
      <c r="G835" t="s">
        <v>245</v>
      </c>
      <c r="H835" t="s">
        <v>47</v>
      </c>
      <c r="I835" s="131">
        <v>44341</v>
      </c>
      <c r="J835" s="6">
        <v>188459812.5</v>
      </c>
      <c r="K835">
        <v>1831809</v>
      </c>
      <c r="L835">
        <v>189273343.09999999</v>
      </c>
      <c r="M835">
        <v>2.4681129999999998</v>
      </c>
      <c r="N835">
        <v>190000000</v>
      </c>
      <c r="O835">
        <v>2.449398</v>
      </c>
      <c r="P835">
        <v>8.9452509999999995E-3</v>
      </c>
      <c r="Q835" t="s">
        <v>42</v>
      </c>
      <c r="R835" t="s">
        <v>23</v>
      </c>
      <c r="S835" s="131">
        <v>42515</v>
      </c>
      <c r="T835" s="6">
        <f>DataTable[HLD_MaturityDate] - DataTable[SEC_Issue_Date]</f>
        <v>1826</v>
      </c>
      <c r="U835" s="131" t="str">
        <f>DataTable[HLD_Portfolio]&amp;DataTable[HLD_Date]</f>
        <v>SCBPLUS43397</v>
      </c>
      <c r="V835" t="str">
        <f>DataTable[[#This Row],[RefRng]]&amp;DataTable[[#This Row],[HLD_SecCode]]</f>
        <v>SCBPLUS43397BTG215A</v>
      </c>
    </row>
    <row r="836" spans="1:22" x14ac:dyDescent="0.2">
      <c r="A836" s="131">
        <v>43397</v>
      </c>
      <c r="B836" t="s">
        <v>336</v>
      </c>
      <c r="C836" t="s">
        <v>18</v>
      </c>
      <c r="D836" t="s">
        <v>102</v>
      </c>
      <c r="F836" t="s">
        <v>485</v>
      </c>
      <c r="G836" t="s">
        <v>245</v>
      </c>
      <c r="H836" t="s">
        <v>47</v>
      </c>
      <c r="I836" s="131">
        <v>45013</v>
      </c>
      <c r="J836" s="6">
        <v>13687298.66</v>
      </c>
      <c r="K836">
        <v>26097.54</v>
      </c>
      <c r="L836">
        <v>14000000</v>
      </c>
      <c r="M836">
        <v>4.1377689999999996</v>
      </c>
      <c r="N836">
        <v>14000000</v>
      </c>
      <c r="O836">
        <v>2.52</v>
      </c>
      <c r="P836">
        <v>6.4464090000000002E-4</v>
      </c>
      <c r="Q836" t="s">
        <v>42</v>
      </c>
      <c r="R836" t="s">
        <v>23</v>
      </c>
      <c r="S836" s="131">
        <v>43187</v>
      </c>
      <c r="T836" s="6">
        <f>DataTable[HLD_MaturityDate] - DataTable[SEC_Issue_Date]</f>
        <v>1826</v>
      </c>
      <c r="U836" s="131" t="str">
        <f>DataTable[HLD_Portfolio]&amp;DataTable[HLD_Date]</f>
        <v>SCBPLUS43397</v>
      </c>
      <c r="V836" t="str">
        <f>DataTable[[#This Row],[RefRng]]&amp;DataTable[[#This Row],[HLD_SecCode]]</f>
        <v>SCBPLUS43397BTG233A</v>
      </c>
    </row>
    <row r="837" spans="1:22" x14ac:dyDescent="0.2">
      <c r="A837" s="131">
        <v>43397</v>
      </c>
      <c r="B837" t="s">
        <v>336</v>
      </c>
      <c r="C837" t="s">
        <v>18</v>
      </c>
      <c r="D837" t="s">
        <v>102</v>
      </c>
      <c r="F837" t="s">
        <v>760</v>
      </c>
      <c r="G837" t="s">
        <v>184</v>
      </c>
      <c r="H837" t="s">
        <v>47</v>
      </c>
      <c r="I837" s="131">
        <v>44081</v>
      </c>
      <c r="J837" s="6">
        <v>99938709</v>
      </c>
      <c r="K837">
        <v>339288</v>
      </c>
      <c r="L837">
        <v>100000000</v>
      </c>
      <c r="M837">
        <v>1.8028759999999999</v>
      </c>
      <c r="N837">
        <v>100000000</v>
      </c>
      <c r="O837">
        <v>2.58</v>
      </c>
      <c r="P837">
        <v>4.7138798999999997E-3</v>
      </c>
      <c r="Q837" t="s">
        <v>42</v>
      </c>
      <c r="R837" t="s">
        <v>23</v>
      </c>
      <c r="S837" s="131">
        <v>43350</v>
      </c>
      <c r="T837" s="6">
        <f>DataTable[HLD_MaturityDate] - DataTable[SEC_Issue_Date]</f>
        <v>731</v>
      </c>
      <c r="U837" s="131" t="str">
        <f>DataTable[HLD_Portfolio]&amp;DataTable[HLD_Date]</f>
        <v>SCBPLUS43397</v>
      </c>
      <c r="V837" t="str">
        <f>DataTable[[#This Row],[RefRng]]&amp;DataTable[[#This Row],[HLD_SecCode]]</f>
        <v>SCBPLUS43397BTSG209A</v>
      </c>
    </row>
    <row r="838" spans="1:22" x14ac:dyDescent="0.2">
      <c r="A838" s="131">
        <v>43397</v>
      </c>
      <c r="B838" t="s">
        <v>336</v>
      </c>
      <c r="C838" t="s">
        <v>18</v>
      </c>
      <c r="D838" t="s">
        <v>102</v>
      </c>
      <c r="F838" t="s">
        <v>489</v>
      </c>
      <c r="G838" t="s">
        <v>490</v>
      </c>
      <c r="H838" t="s">
        <v>116</v>
      </c>
      <c r="I838" s="131">
        <v>43997</v>
      </c>
      <c r="J838" s="6">
        <v>99516099</v>
      </c>
      <c r="K838">
        <v>806466</v>
      </c>
      <c r="L838">
        <v>100000000</v>
      </c>
      <c r="M838">
        <v>1.5867020000000001</v>
      </c>
      <c r="N838">
        <v>100000000</v>
      </c>
      <c r="O838">
        <v>2.23</v>
      </c>
      <c r="P838">
        <v>4.7159749999999999E-3</v>
      </c>
      <c r="Q838" t="s">
        <v>42</v>
      </c>
      <c r="R838" t="s">
        <v>23</v>
      </c>
      <c r="S838" s="131">
        <v>43266</v>
      </c>
      <c r="T838" s="6">
        <f>DataTable[HLD_MaturityDate] - DataTable[SEC_Issue_Date]</f>
        <v>731</v>
      </c>
      <c r="U838" s="131" t="str">
        <f>DataTable[HLD_Portfolio]&amp;DataTable[HLD_Date]</f>
        <v>SCBPLUS43397</v>
      </c>
      <c r="V838" t="str">
        <f>DataTable[[#This Row],[RefRng]]&amp;DataTable[[#This Row],[HLD_SecCode]]</f>
        <v>SCBPLUS43397CBG206A</v>
      </c>
    </row>
    <row r="839" spans="1:22" x14ac:dyDescent="0.2">
      <c r="A839" s="131">
        <v>43397</v>
      </c>
      <c r="B839" t="s">
        <v>336</v>
      </c>
      <c r="C839" t="s">
        <v>18</v>
      </c>
      <c r="D839" t="s">
        <v>102</v>
      </c>
      <c r="F839" t="s">
        <v>657</v>
      </c>
      <c r="G839" t="s">
        <v>658</v>
      </c>
      <c r="H839" t="s">
        <v>47</v>
      </c>
      <c r="I839" s="131">
        <v>44365</v>
      </c>
      <c r="J839" s="6">
        <v>33602973.840000004</v>
      </c>
      <c r="K839">
        <v>307620.78000000003</v>
      </c>
      <c r="L839">
        <v>34000000</v>
      </c>
      <c r="M839">
        <v>2.516006</v>
      </c>
      <c r="N839">
        <v>34000000</v>
      </c>
      <c r="O839">
        <v>2.56</v>
      </c>
      <c r="P839">
        <v>1.5940732E-3</v>
      </c>
      <c r="Q839" t="s">
        <v>42</v>
      </c>
      <c r="R839" t="s">
        <v>23</v>
      </c>
      <c r="S839" s="131">
        <v>43269</v>
      </c>
      <c r="T839" s="6">
        <f>DataTable[HLD_MaturityDate] - DataTable[SEC_Issue_Date]</f>
        <v>1096</v>
      </c>
      <c r="U839" s="131" t="str">
        <f>DataTable[HLD_Portfolio]&amp;DataTable[HLD_Date]</f>
        <v>SCBPLUS43397</v>
      </c>
      <c r="V839" t="str">
        <f>DataTable[[#This Row],[RefRng]]&amp;DataTable[[#This Row],[HLD_SecCode]]</f>
        <v>SCBPLUS43397CKP216A</v>
      </c>
    </row>
    <row r="840" spans="1:22" x14ac:dyDescent="0.2">
      <c r="A840" s="131">
        <v>43397</v>
      </c>
      <c r="B840" t="s">
        <v>336</v>
      </c>
      <c r="C840" t="s">
        <v>18</v>
      </c>
      <c r="D840" t="s">
        <v>102</v>
      </c>
      <c r="F840" t="s">
        <v>761</v>
      </c>
      <c r="G840" t="s">
        <v>104</v>
      </c>
      <c r="H840" t="s">
        <v>51</v>
      </c>
      <c r="I840" s="131">
        <v>44273</v>
      </c>
      <c r="J840" s="6">
        <v>10105798.800000001</v>
      </c>
      <c r="K840">
        <v>29904.1</v>
      </c>
      <c r="L840">
        <v>10012522</v>
      </c>
      <c r="M840">
        <v>2.2947039999999999</v>
      </c>
      <c r="N840">
        <v>10000000</v>
      </c>
      <c r="O840">
        <v>2.9</v>
      </c>
      <c r="P840">
        <v>4.764603E-4</v>
      </c>
      <c r="Q840" t="s">
        <v>42</v>
      </c>
      <c r="R840" t="s">
        <v>23</v>
      </c>
      <c r="S840" s="131">
        <v>42447</v>
      </c>
      <c r="T840" s="6">
        <f>DataTable[HLD_MaturityDate] - DataTable[SEC_Issue_Date]</f>
        <v>1826</v>
      </c>
      <c r="U840" s="131" t="str">
        <f>DataTable[HLD_Portfolio]&amp;DataTable[HLD_Date]</f>
        <v>SCBPLUS43397</v>
      </c>
      <c r="V840" t="str">
        <f>DataTable[[#This Row],[RefRng]]&amp;DataTable[[#This Row],[HLD_SecCode]]</f>
        <v>SCBPLUS43397CPALL213C</v>
      </c>
    </row>
    <row r="841" spans="1:22" x14ac:dyDescent="0.2">
      <c r="A841" s="131">
        <v>43397</v>
      </c>
      <c r="B841" t="s">
        <v>336</v>
      </c>
      <c r="C841" t="s">
        <v>18</v>
      </c>
      <c r="D841" t="s">
        <v>102</v>
      </c>
      <c r="F841" t="s">
        <v>596</v>
      </c>
      <c r="G841" t="s">
        <v>186</v>
      </c>
      <c r="H841" t="s">
        <v>51</v>
      </c>
      <c r="I841" s="131">
        <v>45059</v>
      </c>
      <c r="J841" s="6">
        <v>98781918.650000006</v>
      </c>
      <c r="K841">
        <v>1709219.1</v>
      </c>
      <c r="L841">
        <v>99003587.849999994</v>
      </c>
      <c r="M841">
        <v>4.0839059999999998</v>
      </c>
      <c r="N841">
        <v>95000000</v>
      </c>
      <c r="O841">
        <v>2.9789469999999998</v>
      </c>
      <c r="P841">
        <v>4.7238992999999998E-3</v>
      </c>
      <c r="Q841" t="s">
        <v>42</v>
      </c>
      <c r="R841" t="s">
        <v>23</v>
      </c>
      <c r="S841" s="131">
        <v>42137</v>
      </c>
      <c r="T841" s="6">
        <f>DataTable[HLD_MaturityDate] - DataTable[SEC_Issue_Date]</f>
        <v>2922</v>
      </c>
      <c r="U841" s="131" t="str">
        <f>DataTable[HLD_Portfolio]&amp;DataTable[HLD_Date]</f>
        <v>SCBPLUS43397</v>
      </c>
      <c r="V841" t="str">
        <f>DataTable[[#This Row],[RefRng]]&amp;DataTable[[#This Row],[HLD_SecCode]]</f>
        <v>SCBPLUS43397CPF235A</v>
      </c>
    </row>
    <row r="842" spans="1:22" x14ac:dyDescent="0.2">
      <c r="A842" s="131">
        <v>43397</v>
      </c>
      <c r="B842" t="s">
        <v>336</v>
      </c>
      <c r="C842" t="s">
        <v>18</v>
      </c>
      <c r="D842" t="s">
        <v>102</v>
      </c>
      <c r="F842" t="s">
        <v>597</v>
      </c>
      <c r="G842" t="s">
        <v>186</v>
      </c>
      <c r="H842" t="s">
        <v>51</v>
      </c>
      <c r="I842" s="131">
        <v>45394</v>
      </c>
      <c r="J842" s="6">
        <v>812590270.55999994</v>
      </c>
      <c r="K842">
        <v>903858.72</v>
      </c>
      <c r="L842">
        <v>810824821.91999996</v>
      </c>
      <c r="M842">
        <v>4.9800950000000004</v>
      </c>
      <c r="N842">
        <v>816000000</v>
      </c>
      <c r="O842">
        <v>3.2382840000000002</v>
      </c>
      <c r="P842">
        <v>3.8240828099999999E-2</v>
      </c>
      <c r="Q842" t="s">
        <v>42</v>
      </c>
      <c r="R842" t="s">
        <v>23</v>
      </c>
      <c r="S842" s="131">
        <v>42472</v>
      </c>
      <c r="T842" s="6">
        <f>DataTable[HLD_MaturityDate] - DataTable[SEC_Issue_Date]</f>
        <v>2922</v>
      </c>
      <c r="U842" s="131" t="str">
        <f>DataTable[HLD_Portfolio]&amp;DataTable[HLD_Date]</f>
        <v>SCBPLUS43397</v>
      </c>
      <c r="V842" t="str">
        <f>DataTable[[#This Row],[RefRng]]&amp;DataTable[[#This Row],[HLD_SecCode]]</f>
        <v>SCBPLUS43397CPF244A</v>
      </c>
    </row>
    <row r="843" spans="1:22" x14ac:dyDescent="0.2">
      <c r="A843" s="131">
        <v>43397</v>
      </c>
      <c r="B843" t="s">
        <v>336</v>
      </c>
      <c r="C843" t="s">
        <v>18</v>
      </c>
      <c r="D843" t="s">
        <v>102</v>
      </c>
      <c r="F843" t="s">
        <v>494</v>
      </c>
      <c r="G843" t="s">
        <v>186</v>
      </c>
      <c r="H843" t="s">
        <v>51</v>
      </c>
      <c r="I843" s="131">
        <v>45681</v>
      </c>
      <c r="J843" s="6">
        <v>37420621.600000001</v>
      </c>
      <c r="K843">
        <v>295306.74</v>
      </c>
      <c r="L843">
        <v>38000000</v>
      </c>
      <c r="M843">
        <v>5.5962709999999998</v>
      </c>
      <c r="N843">
        <v>38000000</v>
      </c>
      <c r="O843">
        <v>3.05</v>
      </c>
      <c r="P843">
        <v>1.7729548E-3</v>
      </c>
      <c r="Q843" t="s">
        <v>42</v>
      </c>
      <c r="R843" t="s">
        <v>23</v>
      </c>
      <c r="S843" s="131">
        <v>43124</v>
      </c>
      <c r="T843" s="6">
        <f>DataTable[HLD_MaturityDate] - DataTable[SEC_Issue_Date]</f>
        <v>2557</v>
      </c>
      <c r="U843" s="131" t="str">
        <f>DataTable[HLD_Portfolio]&amp;DataTable[HLD_Date]</f>
        <v>SCBPLUS43397</v>
      </c>
      <c r="V843" t="str">
        <f>DataTable[[#This Row],[RefRng]]&amp;DataTable[[#This Row],[HLD_SecCode]]</f>
        <v>SCBPLUS43397CPF251A</v>
      </c>
    </row>
    <row r="844" spans="1:22" x14ac:dyDescent="0.2">
      <c r="A844" s="131">
        <v>43397</v>
      </c>
      <c r="B844" t="s">
        <v>336</v>
      </c>
      <c r="C844" t="s">
        <v>18</v>
      </c>
      <c r="D844" t="s">
        <v>102</v>
      </c>
      <c r="F844" t="s">
        <v>663</v>
      </c>
      <c r="G844" t="s">
        <v>189</v>
      </c>
      <c r="H844" t="s">
        <v>51</v>
      </c>
      <c r="I844" s="131">
        <v>45122</v>
      </c>
      <c r="J844" s="6">
        <v>510009287.10000002</v>
      </c>
      <c r="K844">
        <v>4403885.7</v>
      </c>
      <c r="L844">
        <v>510256479</v>
      </c>
      <c r="M844">
        <v>4.3290870000000004</v>
      </c>
      <c r="N844">
        <v>510000000</v>
      </c>
      <c r="O844">
        <v>3.0749059999999999</v>
      </c>
      <c r="P844">
        <v>2.4181595199999999E-2</v>
      </c>
      <c r="Q844" t="s">
        <v>42</v>
      </c>
      <c r="R844" t="s">
        <v>23</v>
      </c>
      <c r="S844" s="131">
        <v>42566</v>
      </c>
      <c r="T844" s="6">
        <f>DataTable[HLD_MaturityDate] - DataTable[SEC_Issue_Date]</f>
        <v>2556</v>
      </c>
      <c r="U844" s="131" t="str">
        <f>DataTable[HLD_Portfolio]&amp;DataTable[HLD_Date]</f>
        <v>SCBPLUS43397</v>
      </c>
      <c r="V844" t="str">
        <f>DataTable[[#This Row],[RefRng]]&amp;DataTable[[#This Row],[HLD_SecCode]]</f>
        <v>SCBPLUS43397CPFTH237A</v>
      </c>
    </row>
    <row r="845" spans="1:22" x14ac:dyDescent="0.2">
      <c r="A845" s="131">
        <v>43397</v>
      </c>
      <c r="B845" t="s">
        <v>336</v>
      </c>
      <c r="C845" t="s">
        <v>18</v>
      </c>
      <c r="D845" t="s">
        <v>102</v>
      </c>
      <c r="F845" t="s">
        <v>762</v>
      </c>
      <c r="G845" t="s">
        <v>763</v>
      </c>
      <c r="H845" t="s">
        <v>47</v>
      </c>
      <c r="I845" s="131">
        <v>44367</v>
      </c>
      <c r="J845" s="6">
        <v>470541420</v>
      </c>
      <c r="K845">
        <v>35950986.670000002</v>
      </c>
      <c r="L845">
        <v>493230000</v>
      </c>
      <c r="M845">
        <v>2.4475669999999998</v>
      </c>
      <c r="N845">
        <v>15000000</v>
      </c>
      <c r="O845">
        <v>3.2</v>
      </c>
      <c r="P845">
        <v>2.38092549E-2</v>
      </c>
      <c r="Q845" t="s">
        <v>42</v>
      </c>
      <c r="R845" t="s">
        <v>37</v>
      </c>
      <c r="S845" s="131">
        <v>42566</v>
      </c>
      <c r="T845" s="6">
        <f>DataTable[HLD_MaturityDate] - DataTable[SEC_Issue_Date]</f>
        <v>1801</v>
      </c>
      <c r="U845" s="131" t="str">
        <f>DataTable[HLD_Portfolio]&amp;DataTable[HLD_Date]</f>
        <v>SCBPLUS43397</v>
      </c>
      <c r="V845" t="str">
        <f>DataTable[[#This Row],[RefRng]]&amp;DataTable[[#This Row],[HLD_SecCode]]</f>
        <v>SCBPLUS43397CSC00001</v>
      </c>
    </row>
    <row r="846" spans="1:22" x14ac:dyDescent="0.2">
      <c r="A846" s="131">
        <v>43397</v>
      </c>
      <c r="B846" t="s">
        <v>336</v>
      </c>
      <c r="C846" t="s">
        <v>18</v>
      </c>
      <c r="D846" t="s">
        <v>102</v>
      </c>
      <c r="F846" t="s">
        <v>764</v>
      </c>
      <c r="G846" t="s">
        <v>763</v>
      </c>
      <c r="H846" t="s">
        <v>47</v>
      </c>
      <c r="I846" s="131">
        <v>44367</v>
      </c>
      <c r="J846" s="6">
        <v>313628516</v>
      </c>
      <c r="K846">
        <v>24565594.170000002</v>
      </c>
      <c r="L846">
        <v>328820000</v>
      </c>
      <c r="M846">
        <v>2.4415909999999998</v>
      </c>
      <c r="N846">
        <v>10000000</v>
      </c>
      <c r="O846">
        <v>3.3</v>
      </c>
      <c r="P846">
        <v>1.5897868700000001E-2</v>
      </c>
      <c r="Q846" t="s">
        <v>42</v>
      </c>
      <c r="R846" t="s">
        <v>37</v>
      </c>
      <c r="S846" s="131">
        <v>42571</v>
      </c>
      <c r="T846" s="6">
        <f>DataTable[HLD_MaturityDate] - DataTable[SEC_Issue_Date]</f>
        <v>1796</v>
      </c>
      <c r="U846" s="131" t="str">
        <f>DataTable[HLD_Portfolio]&amp;DataTable[HLD_Date]</f>
        <v>SCBPLUS43397</v>
      </c>
      <c r="V846" t="str">
        <f>DataTable[[#This Row],[RefRng]]&amp;DataTable[[#This Row],[HLD_SecCode]]</f>
        <v>SCBPLUS43397CSC00002</v>
      </c>
    </row>
    <row r="847" spans="1:22" x14ac:dyDescent="0.2">
      <c r="A847" s="131">
        <v>43397</v>
      </c>
      <c r="B847" t="s">
        <v>336</v>
      </c>
      <c r="C847" t="s">
        <v>18</v>
      </c>
      <c r="D847" t="s">
        <v>102</v>
      </c>
      <c r="F847" t="s">
        <v>765</v>
      </c>
      <c r="G847" t="s">
        <v>766</v>
      </c>
      <c r="H847" t="s">
        <v>47</v>
      </c>
      <c r="I847" s="131">
        <v>44369</v>
      </c>
      <c r="J847" s="6">
        <v>680213710.01999998</v>
      </c>
      <c r="K847">
        <v>48809049.740000002</v>
      </c>
      <c r="L847">
        <v>657640000</v>
      </c>
      <c r="M847">
        <v>2.450669</v>
      </c>
      <c r="N847">
        <v>20000000</v>
      </c>
      <c r="O847">
        <v>3.2268910000000002</v>
      </c>
      <c r="P847">
        <v>3.4269988000000001E-2</v>
      </c>
      <c r="Q847" t="s">
        <v>42</v>
      </c>
      <c r="R847" t="s">
        <v>37</v>
      </c>
      <c r="S847" s="131">
        <v>42558</v>
      </c>
      <c r="T847" s="6">
        <f>DataTable[HLD_MaturityDate] - DataTable[SEC_Issue_Date]</f>
        <v>1811</v>
      </c>
      <c r="U847" s="131" t="str">
        <f>DataTable[HLD_Portfolio]&amp;DataTable[HLD_Date]</f>
        <v>SCBPLUS43397</v>
      </c>
      <c r="V847" t="str">
        <f>DataTable[[#This Row],[RefRng]]&amp;DataTable[[#This Row],[HLD_SecCode]]</f>
        <v>SCBPLUS43397CSG00001</v>
      </c>
    </row>
    <row r="848" spans="1:22" x14ac:dyDescent="0.2">
      <c r="A848" s="131">
        <v>43397</v>
      </c>
      <c r="B848" t="s">
        <v>336</v>
      </c>
      <c r="C848" t="s">
        <v>18</v>
      </c>
      <c r="D848" t="s">
        <v>102</v>
      </c>
      <c r="F848" t="s">
        <v>679</v>
      </c>
      <c r="G848" t="s">
        <v>546</v>
      </c>
      <c r="H848" t="s">
        <v>51</v>
      </c>
      <c r="I848" s="131">
        <v>44112</v>
      </c>
      <c r="J848" s="6">
        <v>150821127</v>
      </c>
      <c r="K848">
        <v>208890</v>
      </c>
      <c r="L848">
        <v>151625619</v>
      </c>
      <c r="M848">
        <v>1.8829990000000001</v>
      </c>
      <c r="N848">
        <v>150000000</v>
      </c>
      <c r="O848">
        <v>2.42</v>
      </c>
      <c r="P848">
        <v>7.0996369000000002E-3</v>
      </c>
      <c r="Q848" t="s">
        <v>42</v>
      </c>
      <c r="R848" t="s">
        <v>23</v>
      </c>
      <c r="S848" s="131">
        <v>42285</v>
      </c>
      <c r="T848" s="6">
        <f>DataTable[HLD_MaturityDate] - DataTable[SEC_Issue_Date]</f>
        <v>1827</v>
      </c>
      <c r="U848" s="131" t="str">
        <f>DataTable[HLD_Portfolio]&amp;DataTable[HLD_Date]</f>
        <v>SCBPLUS43397</v>
      </c>
      <c r="V848" t="str">
        <f>DataTable[[#This Row],[RefRng]]&amp;DataTable[[#This Row],[HLD_SecCode]]</f>
        <v>SCBPLUS43397LH20OA</v>
      </c>
    </row>
    <row r="849" spans="1:22" x14ac:dyDescent="0.2">
      <c r="A849" s="131">
        <v>43397</v>
      </c>
      <c r="B849" t="s">
        <v>336</v>
      </c>
      <c r="C849" t="s">
        <v>18</v>
      </c>
      <c r="D849" t="s">
        <v>102</v>
      </c>
      <c r="F849" t="s">
        <v>767</v>
      </c>
      <c r="G849" t="s">
        <v>78</v>
      </c>
      <c r="H849" t="s">
        <v>51</v>
      </c>
      <c r="I849" s="131">
        <v>44920</v>
      </c>
      <c r="J849" s="6">
        <v>255868470</v>
      </c>
      <c r="K849">
        <v>2924657.5</v>
      </c>
      <c r="L849">
        <v>256819317.5</v>
      </c>
      <c r="M849">
        <v>3.8188610000000001</v>
      </c>
      <c r="N849">
        <v>250000000</v>
      </c>
      <c r="O849">
        <v>2.8</v>
      </c>
      <c r="P849">
        <v>1.21653779E-2</v>
      </c>
      <c r="Q849" t="s">
        <v>42</v>
      </c>
      <c r="R849" t="s">
        <v>23</v>
      </c>
      <c r="S849" s="131">
        <v>42363</v>
      </c>
      <c r="T849" s="6">
        <f>DataTable[HLD_MaturityDate] - DataTable[SEC_Issue_Date]</f>
        <v>2557</v>
      </c>
      <c r="U849" s="131" t="str">
        <f>DataTable[HLD_Portfolio]&amp;DataTable[HLD_Date]</f>
        <v>SCBPLUS43397</v>
      </c>
      <c r="V849" t="str">
        <f>DataTable[[#This Row],[RefRng]]&amp;DataTable[[#This Row],[HLD_SecCode]]</f>
        <v>SCBPLUS43397MPSC22DA</v>
      </c>
    </row>
    <row r="850" spans="1:22" x14ac:dyDescent="0.2">
      <c r="A850" s="131">
        <v>43397</v>
      </c>
      <c r="B850" t="s">
        <v>336</v>
      </c>
      <c r="C850" t="s">
        <v>18</v>
      </c>
      <c r="D850" t="s">
        <v>102</v>
      </c>
      <c r="F850" t="s">
        <v>768</v>
      </c>
      <c r="G850" t="s">
        <v>78</v>
      </c>
      <c r="H850" t="s">
        <v>51</v>
      </c>
      <c r="I850" s="131">
        <v>44865</v>
      </c>
      <c r="J850" s="6">
        <v>384666859.5</v>
      </c>
      <c r="K850">
        <v>9387671.0899999999</v>
      </c>
      <c r="L850">
        <v>386366074.5</v>
      </c>
      <c r="M850">
        <v>3.6284839999999998</v>
      </c>
      <c r="N850">
        <v>350000000</v>
      </c>
      <c r="O850">
        <v>2.75</v>
      </c>
      <c r="P850">
        <v>1.8523761900000001E-2</v>
      </c>
      <c r="Q850" t="s">
        <v>42</v>
      </c>
      <c r="R850" t="s">
        <v>23</v>
      </c>
      <c r="S850" s="131">
        <v>40998</v>
      </c>
      <c r="T850" s="6">
        <f>DataTable[HLD_MaturityDate] - DataTable[SEC_Issue_Date]</f>
        <v>3867</v>
      </c>
      <c r="U850" s="131" t="str">
        <f>DataTable[HLD_Portfolio]&amp;DataTable[HLD_Date]</f>
        <v>SCBPLUS43397</v>
      </c>
      <c r="V850" t="str">
        <f>DataTable[[#This Row],[RefRng]]&amp;DataTable[[#This Row],[HLD_SecCode]]</f>
        <v>SCBPLUS43397MPSC22OA</v>
      </c>
    </row>
    <row r="851" spans="1:22" x14ac:dyDescent="0.2">
      <c r="A851" s="131">
        <v>43397</v>
      </c>
      <c r="B851" t="s">
        <v>336</v>
      </c>
      <c r="C851" t="s">
        <v>18</v>
      </c>
      <c r="D851" t="s">
        <v>102</v>
      </c>
      <c r="F851" t="s">
        <v>769</v>
      </c>
      <c r="G851" t="s">
        <v>78</v>
      </c>
      <c r="H851" t="s">
        <v>51</v>
      </c>
      <c r="I851" s="131">
        <v>44998</v>
      </c>
      <c r="J851" s="6">
        <v>106932002</v>
      </c>
      <c r="K851">
        <v>529315</v>
      </c>
      <c r="L851">
        <v>107388643</v>
      </c>
      <c r="M851">
        <v>3.954761</v>
      </c>
      <c r="N851">
        <v>100000000</v>
      </c>
      <c r="O851">
        <v>2.8</v>
      </c>
      <c r="P851">
        <v>5.0515543000000003E-3</v>
      </c>
      <c r="Q851" t="s">
        <v>42</v>
      </c>
      <c r="R851" t="s">
        <v>23</v>
      </c>
      <c r="S851" s="131">
        <v>41346</v>
      </c>
      <c r="T851" s="6">
        <f>DataTable[HLD_MaturityDate] - DataTable[SEC_Issue_Date]</f>
        <v>3652</v>
      </c>
      <c r="U851" s="131" t="str">
        <f>DataTable[HLD_Portfolio]&amp;DataTable[HLD_Date]</f>
        <v>SCBPLUS43397</v>
      </c>
      <c r="V851" t="str">
        <f>DataTable[[#This Row],[RefRng]]&amp;DataTable[[#This Row],[HLD_SecCode]]</f>
        <v>SCBPLUS43397MPSC233A</v>
      </c>
    </row>
    <row r="852" spans="1:22" x14ac:dyDescent="0.2">
      <c r="A852" s="131">
        <v>43397</v>
      </c>
      <c r="B852" t="s">
        <v>336</v>
      </c>
      <c r="C852" t="s">
        <v>18</v>
      </c>
      <c r="D852" t="s">
        <v>102</v>
      </c>
      <c r="F852" t="s">
        <v>770</v>
      </c>
      <c r="G852" t="s">
        <v>78</v>
      </c>
      <c r="H852" t="s">
        <v>51</v>
      </c>
      <c r="I852" s="131">
        <v>45106</v>
      </c>
      <c r="J852" s="6">
        <v>237415732.09</v>
      </c>
      <c r="K852">
        <v>2024792.88</v>
      </c>
      <c r="L852">
        <v>239495308.19999999</v>
      </c>
      <c r="M852">
        <v>4.3166679999999999</v>
      </c>
      <c r="N852">
        <v>239500000</v>
      </c>
      <c r="O852">
        <v>2.78</v>
      </c>
      <c r="P852">
        <v>1.12556485E-2</v>
      </c>
      <c r="Q852" t="s">
        <v>42</v>
      </c>
      <c r="R852" t="s">
        <v>23</v>
      </c>
      <c r="S852" s="131">
        <v>43287</v>
      </c>
      <c r="T852" s="6">
        <f>DataTable[HLD_MaturityDate] - DataTable[SEC_Issue_Date]</f>
        <v>1819</v>
      </c>
      <c r="U852" s="131" t="str">
        <f>DataTable[HLD_Portfolio]&amp;DataTable[HLD_Date]</f>
        <v>SCBPLUS43397</v>
      </c>
      <c r="V852" t="str">
        <f>DataTable[[#This Row],[RefRng]]&amp;DataTable[[#This Row],[HLD_SecCode]]</f>
        <v>SCBPLUS43397MPSC236A</v>
      </c>
    </row>
    <row r="853" spans="1:22" x14ac:dyDescent="0.2">
      <c r="A853" s="131">
        <v>43397</v>
      </c>
      <c r="B853" t="s">
        <v>336</v>
      </c>
      <c r="C853" t="s">
        <v>18</v>
      </c>
      <c r="D853" t="s">
        <v>102</v>
      </c>
      <c r="F853" t="s">
        <v>504</v>
      </c>
      <c r="G853" t="s">
        <v>505</v>
      </c>
      <c r="H853" t="s">
        <v>47</v>
      </c>
      <c r="I853" s="131">
        <v>43813</v>
      </c>
      <c r="J853" s="6">
        <v>17952542.280000001</v>
      </c>
      <c r="K853">
        <v>129866.22</v>
      </c>
      <c r="L853">
        <v>18000000</v>
      </c>
      <c r="M853">
        <v>1.1100220000000001</v>
      </c>
      <c r="N853">
        <v>18000000</v>
      </c>
      <c r="O853">
        <v>1.98</v>
      </c>
      <c r="P853">
        <v>8.5002000000000005E-4</v>
      </c>
      <c r="Q853" t="s">
        <v>42</v>
      </c>
      <c r="R853" t="s">
        <v>23</v>
      </c>
      <c r="S853" s="131">
        <v>43083</v>
      </c>
      <c r="T853" s="6">
        <f>DataTable[HLD_MaturityDate] - DataTable[SEC_Issue_Date]</f>
        <v>730</v>
      </c>
      <c r="U853" s="131" t="str">
        <f>DataTable[HLD_Portfolio]&amp;DataTable[HLD_Date]</f>
        <v>SCBPLUS43397</v>
      </c>
      <c r="V853" t="str">
        <f>DataTable[[#This Row],[RefRng]]&amp;DataTable[[#This Row],[HLD_SecCode]]</f>
        <v>SCBPLUS43397NTL19DB</v>
      </c>
    </row>
    <row r="854" spans="1:22" x14ac:dyDescent="0.2">
      <c r="A854" s="131">
        <v>43397</v>
      </c>
      <c r="B854" t="s">
        <v>336</v>
      </c>
      <c r="C854" t="s">
        <v>18</v>
      </c>
      <c r="D854" t="s">
        <v>102</v>
      </c>
      <c r="F854" t="s">
        <v>689</v>
      </c>
      <c r="G854" t="s">
        <v>690</v>
      </c>
      <c r="H854" t="s">
        <v>47</v>
      </c>
      <c r="I854" s="131">
        <v>44347</v>
      </c>
      <c r="J854" s="6">
        <v>173739151.25</v>
      </c>
      <c r="K854">
        <v>1670362.75</v>
      </c>
      <c r="L854">
        <v>174867122.5</v>
      </c>
      <c r="M854">
        <v>2.4787940000000002</v>
      </c>
      <c r="N854">
        <v>175000000</v>
      </c>
      <c r="O854">
        <v>2.398571</v>
      </c>
      <c r="P854">
        <v>8.2456712000000005E-3</v>
      </c>
      <c r="Q854" t="s">
        <v>42</v>
      </c>
      <c r="R854" t="s">
        <v>23</v>
      </c>
      <c r="S854" s="131">
        <v>43251</v>
      </c>
      <c r="T854" s="6">
        <f>DataTable[HLD_MaturityDate] - DataTable[SEC_Issue_Date]</f>
        <v>1096</v>
      </c>
      <c r="U854" s="131" t="str">
        <f>DataTable[HLD_Portfolio]&amp;DataTable[HLD_Date]</f>
        <v>SCBPLUS43397</v>
      </c>
      <c r="V854" t="str">
        <f>DataTable[[#This Row],[RefRng]]&amp;DataTable[[#This Row],[HLD_SecCode]]</f>
        <v>SCBPLUS43397PSH215A</v>
      </c>
    </row>
    <row r="855" spans="1:22" x14ac:dyDescent="0.2">
      <c r="A855" s="131">
        <v>43397</v>
      </c>
      <c r="B855" t="s">
        <v>336</v>
      </c>
      <c r="C855" t="s">
        <v>18</v>
      </c>
      <c r="D855" t="s">
        <v>102</v>
      </c>
      <c r="F855" t="s">
        <v>694</v>
      </c>
      <c r="G855" t="s">
        <v>218</v>
      </c>
      <c r="H855" t="s">
        <v>116</v>
      </c>
      <c r="I855" s="131">
        <v>43642</v>
      </c>
      <c r="J855" s="6">
        <v>75466592.25</v>
      </c>
      <c r="K855">
        <v>763294.5</v>
      </c>
      <c r="L855">
        <v>75402011.25</v>
      </c>
      <c r="M855">
        <v>0.65539000000000003</v>
      </c>
      <c r="N855">
        <v>75000000</v>
      </c>
      <c r="O855">
        <v>2.25</v>
      </c>
      <c r="P855">
        <v>3.5834234999999998E-3</v>
      </c>
      <c r="Q855" t="s">
        <v>42</v>
      </c>
      <c r="R855" t="s">
        <v>23</v>
      </c>
      <c r="S855" s="131">
        <v>42181</v>
      </c>
      <c r="T855" s="6">
        <f>DataTable[HLD_MaturityDate] - DataTable[SEC_Issue_Date]</f>
        <v>1461</v>
      </c>
      <c r="U855" s="131" t="str">
        <f>DataTable[HLD_Portfolio]&amp;DataTable[HLD_Date]</f>
        <v>SCBPLUS43397</v>
      </c>
      <c r="V855" t="str">
        <f>DataTable[[#This Row],[RefRng]]&amp;DataTable[[#This Row],[HLD_SecCode]]</f>
        <v>SCBPLUS43397QH196A</v>
      </c>
    </row>
    <row r="856" spans="1:22" x14ac:dyDescent="0.2">
      <c r="A856" s="131">
        <v>43397</v>
      </c>
      <c r="B856" t="s">
        <v>336</v>
      </c>
      <c r="C856" t="s">
        <v>18</v>
      </c>
      <c r="D856" t="s">
        <v>102</v>
      </c>
      <c r="F856" t="s">
        <v>217</v>
      </c>
      <c r="G856" t="s">
        <v>218</v>
      </c>
      <c r="H856" t="s">
        <v>116</v>
      </c>
      <c r="I856" s="131">
        <v>44260</v>
      </c>
      <c r="J856" s="6">
        <v>5914474.3200000003</v>
      </c>
      <c r="K856">
        <v>17753.400000000001</v>
      </c>
      <c r="L856">
        <v>6000000</v>
      </c>
      <c r="M856">
        <v>2.2738260000000001</v>
      </c>
      <c r="N856">
        <v>6000000</v>
      </c>
      <c r="O856">
        <v>2.16</v>
      </c>
      <c r="P856">
        <v>2.7886289999999998E-4</v>
      </c>
      <c r="Q856" t="s">
        <v>42</v>
      </c>
      <c r="R856" t="s">
        <v>23</v>
      </c>
      <c r="S856" s="131">
        <v>43164</v>
      </c>
      <c r="T856" s="6">
        <f>DataTable[HLD_MaturityDate] - DataTable[SEC_Issue_Date]</f>
        <v>1096</v>
      </c>
      <c r="U856" s="131" t="str">
        <f>DataTable[HLD_Portfolio]&amp;DataTable[HLD_Date]</f>
        <v>SCBPLUS43397</v>
      </c>
      <c r="V856" t="str">
        <f>DataTable[[#This Row],[RefRng]]&amp;DataTable[[#This Row],[HLD_SecCode]]</f>
        <v>SCBPLUS43397QH213A</v>
      </c>
    </row>
    <row r="857" spans="1:22" x14ac:dyDescent="0.2">
      <c r="A857" s="131">
        <v>43397</v>
      </c>
      <c r="B857" t="s">
        <v>336</v>
      </c>
      <c r="C857" t="s">
        <v>18</v>
      </c>
      <c r="D857" t="s">
        <v>102</v>
      </c>
      <c r="F857" t="s">
        <v>220</v>
      </c>
      <c r="G857" t="s">
        <v>80</v>
      </c>
      <c r="H857" t="s">
        <v>47</v>
      </c>
      <c r="I857" s="131">
        <v>44270</v>
      </c>
      <c r="J857" s="6">
        <v>22713373.309999999</v>
      </c>
      <c r="K857">
        <v>52679.43</v>
      </c>
      <c r="L857">
        <v>23000000</v>
      </c>
      <c r="M857">
        <v>2.3043559999999998</v>
      </c>
      <c r="N857">
        <v>23000000</v>
      </c>
      <c r="O857">
        <v>2.09</v>
      </c>
      <c r="P857">
        <v>1.0701892999999999E-3</v>
      </c>
      <c r="Q857" t="s">
        <v>42</v>
      </c>
      <c r="R857" t="s">
        <v>23</v>
      </c>
      <c r="S857" s="131">
        <v>43174</v>
      </c>
      <c r="T857" s="6">
        <f>DataTable[HLD_MaturityDate] - DataTable[SEC_Issue_Date]</f>
        <v>1096</v>
      </c>
      <c r="U857" s="131" t="str">
        <f>DataTable[HLD_Portfolio]&amp;DataTable[HLD_Date]</f>
        <v>SCBPLUS43397</v>
      </c>
      <c r="V857" t="str">
        <f>DataTable[[#This Row],[RefRng]]&amp;DataTable[[#This Row],[HLD_SecCode]]</f>
        <v>SCBPLUS43397SPALI213A</v>
      </c>
    </row>
    <row r="858" spans="1:22" x14ac:dyDescent="0.2">
      <c r="A858" s="131">
        <v>43397</v>
      </c>
      <c r="B858" t="s">
        <v>336</v>
      </c>
      <c r="C858" t="s">
        <v>18</v>
      </c>
      <c r="D858" t="s">
        <v>102</v>
      </c>
      <c r="F858" t="s">
        <v>771</v>
      </c>
      <c r="G858" t="s">
        <v>772</v>
      </c>
      <c r="H858" t="s">
        <v>47</v>
      </c>
      <c r="I858" s="131">
        <v>45139</v>
      </c>
      <c r="J858" s="6">
        <v>98101095</v>
      </c>
      <c r="K858">
        <v>663699</v>
      </c>
      <c r="L858">
        <v>100000000</v>
      </c>
      <c r="M858">
        <v>4.3909039999999999</v>
      </c>
      <c r="N858">
        <v>100000000</v>
      </c>
      <c r="O858">
        <v>2.85</v>
      </c>
      <c r="P858">
        <v>4.6427470999999996E-3</v>
      </c>
      <c r="Q858" t="s">
        <v>42</v>
      </c>
      <c r="R858" t="s">
        <v>23</v>
      </c>
      <c r="S858" s="131">
        <v>42583</v>
      </c>
      <c r="T858" s="6">
        <f>DataTable[HLD_MaturityDate] - DataTable[SEC_Issue_Date]</f>
        <v>2556</v>
      </c>
      <c r="U858" s="131" t="str">
        <f>DataTable[HLD_Portfolio]&amp;DataTable[HLD_Date]</f>
        <v>SCBPLUS43397</v>
      </c>
      <c r="V858" t="str">
        <f>DataTable[[#This Row],[RefRng]]&amp;DataTable[[#This Row],[HLD_SecCode]]</f>
        <v>SCBPLUS43397SPW238A</v>
      </c>
    </row>
    <row r="859" spans="1:22" x14ac:dyDescent="0.2">
      <c r="A859" s="131">
        <v>43397</v>
      </c>
      <c r="B859" t="s">
        <v>336</v>
      </c>
      <c r="C859" t="s">
        <v>18</v>
      </c>
      <c r="D859" t="s">
        <v>102</v>
      </c>
      <c r="F859" t="s">
        <v>560</v>
      </c>
      <c r="G859" t="s">
        <v>222</v>
      </c>
      <c r="H859" t="s">
        <v>193</v>
      </c>
      <c r="I859" s="131">
        <v>44639</v>
      </c>
      <c r="J859" s="6">
        <v>500683555</v>
      </c>
      <c r="K859">
        <v>1578080</v>
      </c>
      <c r="L859">
        <v>500000000</v>
      </c>
      <c r="M859">
        <v>3.1859549999999999</v>
      </c>
      <c r="N859">
        <v>500000000</v>
      </c>
      <c r="O859">
        <v>3.2</v>
      </c>
      <c r="P859">
        <v>2.36103743E-2</v>
      </c>
      <c r="Q859" t="s">
        <v>42</v>
      </c>
      <c r="R859" t="s">
        <v>23</v>
      </c>
      <c r="S859" s="131">
        <v>43362</v>
      </c>
      <c r="T859" s="6">
        <f>DataTable[HLD_MaturityDate] - DataTable[SEC_Issue_Date]</f>
        <v>1277</v>
      </c>
      <c r="U859" s="131" t="str">
        <f>DataTable[HLD_Portfolio]&amp;DataTable[HLD_Date]</f>
        <v>SCBPLUS43397</v>
      </c>
      <c r="V859" t="str">
        <f>DataTable[[#This Row],[RefRng]]&amp;DataTable[[#This Row],[HLD_SecCode]]</f>
        <v>SCBPLUS43397TBEV223A</v>
      </c>
    </row>
    <row r="860" spans="1:22" x14ac:dyDescent="0.2">
      <c r="A860" s="131">
        <v>43397</v>
      </c>
      <c r="B860" t="s">
        <v>336</v>
      </c>
      <c r="C860" t="s">
        <v>18</v>
      </c>
      <c r="D860" t="s">
        <v>102</v>
      </c>
      <c r="F860" t="s">
        <v>607</v>
      </c>
      <c r="G860" t="s">
        <v>222</v>
      </c>
      <c r="H860" t="s">
        <v>193</v>
      </c>
      <c r="I860" s="131">
        <v>45007</v>
      </c>
      <c r="J860" s="6">
        <v>11707639.800000001</v>
      </c>
      <c r="K860">
        <v>29944.080000000002</v>
      </c>
      <c r="L860">
        <v>12000000</v>
      </c>
      <c r="M860">
        <v>4.0955199999999996</v>
      </c>
      <c r="N860">
        <v>12000000</v>
      </c>
      <c r="O860">
        <v>2.76</v>
      </c>
      <c r="P860">
        <v>5.5176170000000003E-4</v>
      </c>
      <c r="Q860" t="s">
        <v>42</v>
      </c>
      <c r="R860" t="s">
        <v>23</v>
      </c>
      <c r="S860" s="131">
        <v>43181</v>
      </c>
      <c r="T860" s="6">
        <f>DataTable[HLD_MaturityDate] - DataTable[SEC_Issue_Date]</f>
        <v>1826</v>
      </c>
      <c r="U860" s="131" t="str">
        <f>DataTable[HLD_Portfolio]&amp;DataTable[HLD_Date]</f>
        <v>SCBPLUS43397</v>
      </c>
      <c r="V860" t="str">
        <f>DataTable[[#This Row],[RefRng]]&amp;DataTable[[#This Row],[HLD_SecCode]]</f>
        <v>SCBPLUS43397TBEV233A</v>
      </c>
    </row>
    <row r="861" spans="1:22" x14ac:dyDescent="0.2">
      <c r="A861" s="131">
        <v>43397</v>
      </c>
      <c r="B861" t="s">
        <v>336</v>
      </c>
      <c r="C861" t="s">
        <v>18</v>
      </c>
      <c r="D861" t="s">
        <v>102</v>
      </c>
      <c r="F861" t="s">
        <v>773</v>
      </c>
      <c r="G861" t="s">
        <v>222</v>
      </c>
      <c r="H861" t="s">
        <v>193</v>
      </c>
      <c r="I861" s="131">
        <v>46834</v>
      </c>
      <c r="J861" s="6">
        <v>60773689.799999997</v>
      </c>
      <c r="K861">
        <v>195287.4</v>
      </c>
      <c r="L861">
        <v>60000000</v>
      </c>
      <c r="M861">
        <v>7.9096149999999996</v>
      </c>
      <c r="N861">
        <v>60000000</v>
      </c>
      <c r="O861">
        <v>3.6</v>
      </c>
      <c r="P861">
        <v>2.8660369000000001E-3</v>
      </c>
      <c r="Q861" t="s">
        <v>42</v>
      </c>
      <c r="R861" t="s">
        <v>23</v>
      </c>
      <c r="S861" s="131">
        <v>43181</v>
      </c>
      <c r="T861" s="6">
        <f>DataTable[HLD_MaturityDate] - DataTable[SEC_Issue_Date]</f>
        <v>3653</v>
      </c>
      <c r="U861" s="131" t="str">
        <f>DataTable[HLD_Portfolio]&amp;DataTable[HLD_Date]</f>
        <v>SCBPLUS43397</v>
      </c>
      <c r="V861" t="str">
        <f>DataTable[[#This Row],[RefRng]]&amp;DataTable[[#This Row],[HLD_SecCode]]</f>
        <v>SCBPLUS43397TBEV283A</v>
      </c>
    </row>
    <row r="862" spans="1:22" x14ac:dyDescent="0.2">
      <c r="A862" s="131">
        <v>43397</v>
      </c>
      <c r="B862" t="s">
        <v>336</v>
      </c>
      <c r="C862" t="s">
        <v>18</v>
      </c>
      <c r="D862" t="s">
        <v>102</v>
      </c>
      <c r="F862" t="s">
        <v>512</v>
      </c>
      <c r="G862" t="s">
        <v>511</v>
      </c>
      <c r="H862" t="s">
        <v>47</v>
      </c>
      <c r="I862" s="131">
        <v>44269</v>
      </c>
      <c r="J862" s="6">
        <v>1983566.08</v>
      </c>
      <c r="K862">
        <v>4942.46</v>
      </c>
      <c r="L862">
        <v>2000000</v>
      </c>
      <c r="M862">
        <v>2.3000180000000001</v>
      </c>
      <c r="N862">
        <v>2000000</v>
      </c>
      <c r="O862">
        <v>2.2000000000000002</v>
      </c>
      <c r="P862">
        <v>9.3475999999999997E-5</v>
      </c>
      <c r="Q862" t="s">
        <v>42</v>
      </c>
      <c r="R862" t="s">
        <v>23</v>
      </c>
      <c r="S862" s="131">
        <v>43173</v>
      </c>
      <c r="T862" s="6">
        <f>DataTable[HLD_MaturityDate] - DataTable[SEC_Issue_Date]</f>
        <v>1096</v>
      </c>
      <c r="U862" s="131" t="str">
        <f>DataTable[HLD_Portfolio]&amp;DataTable[HLD_Date]</f>
        <v>SCBPLUS43397</v>
      </c>
      <c r="V862" t="str">
        <f>DataTable[[#This Row],[RefRng]]&amp;DataTable[[#This Row],[HLD_SecCode]]</f>
        <v>SCBPLUS43397TICON213A</v>
      </c>
    </row>
    <row r="863" spans="1:22" x14ac:dyDescent="0.2">
      <c r="A863" s="131">
        <v>43397</v>
      </c>
      <c r="B863" t="s">
        <v>336</v>
      </c>
      <c r="C863" t="s">
        <v>18</v>
      </c>
      <c r="D863" t="s">
        <v>102</v>
      </c>
      <c r="F863" t="s">
        <v>774</v>
      </c>
      <c r="G863" t="s">
        <v>775</v>
      </c>
      <c r="H863" t="s">
        <v>43</v>
      </c>
      <c r="I863" s="131">
        <v>44949</v>
      </c>
      <c r="J863" s="6">
        <v>48053425.979999997</v>
      </c>
      <c r="K863">
        <v>456922.79</v>
      </c>
      <c r="L863">
        <v>50252841.140000001</v>
      </c>
      <c r="M863">
        <v>3.869605</v>
      </c>
      <c r="N863">
        <v>1500000</v>
      </c>
      <c r="O863">
        <v>3.14615</v>
      </c>
      <c r="P863">
        <v>2.2803801999999999E-3</v>
      </c>
      <c r="Q863" t="s">
        <v>42</v>
      </c>
      <c r="R863" t="s">
        <v>37</v>
      </c>
      <c r="S863" s="131">
        <v>41297</v>
      </c>
      <c r="T863" s="6">
        <f>DataTable[HLD_MaturityDate] - DataTable[SEC_Issue_Date]</f>
        <v>3652</v>
      </c>
      <c r="U863" s="131" t="str">
        <f>DataTable[HLD_Portfolio]&amp;DataTable[HLD_Date]</f>
        <v>SCBPLUS43397</v>
      </c>
      <c r="V863" t="str">
        <f>DataTable[[#This Row],[RefRng]]&amp;DataTable[[#This Row],[HLD_SecCode]]</f>
        <v>SCBPLUS43397TOP230123US</v>
      </c>
    </row>
    <row r="864" spans="1:22" x14ac:dyDescent="0.2">
      <c r="A864" s="131">
        <v>43397</v>
      </c>
      <c r="B864" t="s">
        <v>336</v>
      </c>
      <c r="C864" t="s">
        <v>18</v>
      </c>
      <c r="D864" t="s">
        <v>102</v>
      </c>
      <c r="F864" t="s">
        <v>642</v>
      </c>
      <c r="G864" t="s">
        <v>643</v>
      </c>
      <c r="H864" t="s">
        <v>47</v>
      </c>
      <c r="I864" s="131">
        <v>44375</v>
      </c>
      <c r="J864" s="6">
        <v>96651935.870000005</v>
      </c>
      <c r="K864">
        <v>790615.96</v>
      </c>
      <c r="L864">
        <v>97000000</v>
      </c>
      <c r="M864">
        <v>2.5504060000000002</v>
      </c>
      <c r="N864">
        <v>97000000</v>
      </c>
      <c r="O864">
        <v>2.5</v>
      </c>
      <c r="P864">
        <v>4.5805910000000002E-3</v>
      </c>
      <c r="Q864" t="s">
        <v>42</v>
      </c>
      <c r="R864" t="s">
        <v>23</v>
      </c>
      <c r="S864" s="131">
        <v>43279</v>
      </c>
      <c r="T864" s="6">
        <f>DataTable[HLD_MaturityDate] - DataTable[SEC_Issue_Date]</f>
        <v>1096</v>
      </c>
      <c r="U864" s="131" t="str">
        <f>DataTable[HLD_Portfolio]&amp;DataTable[HLD_Date]</f>
        <v>SCBPLUS43397</v>
      </c>
      <c r="V864" t="str">
        <f>DataTable[[#This Row],[RefRng]]&amp;DataTable[[#This Row],[HLD_SecCode]]</f>
        <v>SCBPLUS43397TREIT216A</v>
      </c>
    </row>
    <row r="865" spans="1:22" x14ac:dyDescent="0.2">
      <c r="A865" s="131">
        <v>43397</v>
      </c>
      <c r="B865" t="s">
        <v>336</v>
      </c>
      <c r="C865" t="s">
        <v>18</v>
      </c>
      <c r="D865" t="s">
        <v>102</v>
      </c>
      <c r="F865" t="s">
        <v>514</v>
      </c>
      <c r="G865" t="s">
        <v>230</v>
      </c>
      <c r="H865" t="s">
        <v>29</v>
      </c>
      <c r="I865" s="131">
        <v>43431</v>
      </c>
      <c r="J865" s="6">
        <v>42010244.219999999</v>
      </c>
      <c r="K865">
        <v>621783.96</v>
      </c>
      <c r="L865">
        <v>42000000</v>
      </c>
      <c r="M865">
        <v>9.0255000000000002E-2</v>
      </c>
      <c r="N865">
        <v>42000000</v>
      </c>
      <c r="O865">
        <v>2.2799999999999998</v>
      </c>
      <c r="P865">
        <v>2.0040513999999999E-3</v>
      </c>
      <c r="Q865" t="s">
        <v>42</v>
      </c>
      <c r="R865" t="s">
        <v>23</v>
      </c>
      <c r="S865" s="131">
        <v>43161</v>
      </c>
      <c r="T865" s="6">
        <f>DataTable[HLD_MaturityDate] - DataTable[SEC_Issue_Date]</f>
        <v>270</v>
      </c>
      <c r="U865" s="131" t="str">
        <f>DataTable[HLD_Portfolio]&amp;DataTable[HLD_Date]</f>
        <v>SCBPLUS43397</v>
      </c>
      <c r="V865" t="str">
        <f>DataTable[[#This Row],[RefRng]]&amp;DataTable[[#This Row],[HLD_SecCode]]</f>
        <v>SCBPLUS43397TRUE18N27A</v>
      </c>
    </row>
    <row r="866" spans="1:22" x14ac:dyDescent="0.2">
      <c r="A866" s="131">
        <v>43397</v>
      </c>
      <c r="B866" t="s">
        <v>336</v>
      </c>
      <c r="C866" t="s">
        <v>18</v>
      </c>
      <c r="D866" t="s">
        <v>102</v>
      </c>
      <c r="F866" t="s">
        <v>561</v>
      </c>
      <c r="G866" t="s">
        <v>230</v>
      </c>
      <c r="H866" t="s">
        <v>29</v>
      </c>
      <c r="I866" s="131">
        <v>43494</v>
      </c>
      <c r="J866" s="6">
        <v>21998886.359999999</v>
      </c>
      <c r="K866">
        <v>241216.36</v>
      </c>
      <c r="L866">
        <v>22000000</v>
      </c>
      <c r="M866">
        <v>0.261436</v>
      </c>
      <c r="N866">
        <v>22000000</v>
      </c>
      <c r="O866">
        <v>2.2999999999999998</v>
      </c>
      <c r="P866">
        <v>1.0454653999999999E-3</v>
      </c>
      <c r="Q866" t="s">
        <v>42</v>
      </c>
      <c r="R866" t="s">
        <v>23</v>
      </c>
      <c r="S866" s="131">
        <v>43224</v>
      </c>
      <c r="T866" s="6">
        <f>DataTable[HLD_MaturityDate] - DataTable[SEC_Issue_Date]</f>
        <v>270</v>
      </c>
      <c r="U866" s="131" t="str">
        <f>DataTable[HLD_Portfolio]&amp;DataTable[HLD_Date]</f>
        <v>SCBPLUS43397</v>
      </c>
      <c r="V866" t="str">
        <f>DataTable[[#This Row],[RefRng]]&amp;DataTable[[#This Row],[HLD_SecCode]]</f>
        <v>SCBPLUS43397TRUE19129A</v>
      </c>
    </row>
    <row r="867" spans="1:22" x14ac:dyDescent="0.2">
      <c r="A867" s="131">
        <v>43397</v>
      </c>
      <c r="B867" t="s">
        <v>336</v>
      </c>
      <c r="C867" t="s">
        <v>18</v>
      </c>
      <c r="D867" t="s">
        <v>102</v>
      </c>
      <c r="F867" t="s">
        <v>515</v>
      </c>
      <c r="G867" t="s">
        <v>230</v>
      </c>
      <c r="H867" t="s">
        <v>29</v>
      </c>
      <c r="I867" s="131">
        <v>43494</v>
      </c>
      <c r="J867" s="6">
        <v>155393543.13</v>
      </c>
      <c r="K867">
        <v>1468848.57</v>
      </c>
      <c r="L867">
        <v>155400000</v>
      </c>
      <c r="M867">
        <v>0.261436</v>
      </c>
      <c r="N867">
        <v>155400000</v>
      </c>
      <c r="O867">
        <v>2.2999999999999998</v>
      </c>
      <c r="P867">
        <v>7.3738058E-3</v>
      </c>
      <c r="Q867" t="s">
        <v>42</v>
      </c>
      <c r="R867" t="s">
        <v>23</v>
      </c>
      <c r="S867" s="131">
        <v>43248</v>
      </c>
      <c r="T867" s="6">
        <f>DataTable[HLD_MaturityDate] - DataTable[SEC_Issue_Date]</f>
        <v>246</v>
      </c>
      <c r="U867" s="131" t="str">
        <f>DataTable[HLD_Portfolio]&amp;DataTable[HLD_Date]</f>
        <v>SCBPLUS43397</v>
      </c>
      <c r="V867" t="str">
        <f>DataTable[[#This Row],[RefRng]]&amp;DataTable[[#This Row],[HLD_SecCode]]</f>
        <v>SCBPLUS43397TRUE19129B</v>
      </c>
    </row>
    <row r="868" spans="1:22" x14ac:dyDescent="0.2">
      <c r="A868" s="131">
        <v>43397</v>
      </c>
      <c r="B868" t="s">
        <v>336</v>
      </c>
      <c r="C868" t="s">
        <v>18</v>
      </c>
      <c r="D868" t="s">
        <v>102</v>
      </c>
      <c r="F868" t="s">
        <v>1253</v>
      </c>
      <c r="G868" t="s">
        <v>230</v>
      </c>
      <c r="H868" t="s">
        <v>29</v>
      </c>
      <c r="I868" s="131">
        <v>43661</v>
      </c>
      <c r="J868" s="6">
        <v>240073363.19999999</v>
      </c>
      <c r="K868">
        <v>138081.60000000001</v>
      </c>
      <c r="L868">
        <v>240000000</v>
      </c>
      <c r="M868">
        <v>0.70552599999999999</v>
      </c>
      <c r="N868">
        <v>240000000</v>
      </c>
      <c r="O868">
        <v>3</v>
      </c>
      <c r="P868">
        <v>1.1291888E-2</v>
      </c>
      <c r="Q868" t="s">
        <v>42</v>
      </c>
      <c r="R868" t="s">
        <v>23</v>
      </c>
      <c r="S868" s="131">
        <v>43391</v>
      </c>
      <c r="T868" s="6">
        <f>DataTable[HLD_MaturityDate] - DataTable[SEC_Issue_Date]</f>
        <v>270</v>
      </c>
      <c r="U868" s="131" t="str">
        <f>DataTable[HLD_Portfolio]&amp;DataTable[HLD_Date]</f>
        <v>SCBPLUS43397</v>
      </c>
      <c r="V868" t="str">
        <f>DataTable[[#This Row],[RefRng]]&amp;DataTable[[#This Row],[HLD_SecCode]]</f>
        <v>SCBPLUS43397TRUE19715A</v>
      </c>
    </row>
    <row r="869" spans="1:22" x14ac:dyDescent="0.2">
      <c r="A869" s="131">
        <v>43397</v>
      </c>
      <c r="B869" t="s">
        <v>336</v>
      </c>
      <c r="C869" t="s">
        <v>18</v>
      </c>
      <c r="D869" t="s">
        <v>102</v>
      </c>
      <c r="F869" t="s">
        <v>644</v>
      </c>
      <c r="G869" t="s">
        <v>230</v>
      </c>
      <c r="H869" t="s">
        <v>29</v>
      </c>
      <c r="I869" s="131">
        <v>44875</v>
      </c>
      <c r="J869" s="6">
        <v>131589573.7</v>
      </c>
      <c r="K869">
        <v>2459243.7999999998</v>
      </c>
      <c r="L869">
        <v>129975862.90000001</v>
      </c>
      <c r="M869">
        <v>3.63218</v>
      </c>
      <c r="N869">
        <v>130000000</v>
      </c>
      <c r="O869">
        <v>4.1100000000000003</v>
      </c>
      <c r="P869">
        <v>6.3013825999999997E-3</v>
      </c>
      <c r="Q869" t="s">
        <v>42</v>
      </c>
      <c r="R869" t="s">
        <v>23</v>
      </c>
      <c r="S869" s="131">
        <v>42318</v>
      </c>
      <c r="T869" s="6">
        <f>DataTable[HLD_MaturityDate] - DataTable[SEC_Issue_Date]</f>
        <v>2557</v>
      </c>
      <c r="U869" s="131" t="str">
        <f>DataTable[HLD_Portfolio]&amp;DataTable[HLD_Date]</f>
        <v>SCBPLUS43397</v>
      </c>
      <c r="V869" t="str">
        <f>DataTable[[#This Row],[RefRng]]&amp;DataTable[[#This Row],[HLD_SecCode]]</f>
        <v>SCBPLUS43397TRUE22NA</v>
      </c>
    </row>
    <row r="870" spans="1:22" x14ac:dyDescent="0.2">
      <c r="A870" s="131">
        <v>43397</v>
      </c>
      <c r="B870" t="s">
        <v>336</v>
      </c>
      <c r="C870" t="s">
        <v>18</v>
      </c>
      <c r="D870" t="s">
        <v>102</v>
      </c>
      <c r="F870" t="s">
        <v>776</v>
      </c>
      <c r="G870" t="s">
        <v>777</v>
      </c>
      <c r="H870" t="s">
        <v>41</v>
      </c>
      <c r="I870" s="131">
        <v>44958</v>
      </c>
      <c r="J870" s="6">
        <v>38691898</v>
      </c>
      <c r="K870">
        <v>217041.2</v>
      </c>
      <c r="L870">
        <v>40056009.200000003</v>
      </c>
      <c r="M870">
        <v>4.0019749999999998</v>
      </c>
      <c r="N870">
        <v>40000000</v>
      </c>
      <c r="O870">
        <v>2.2926250000000001</v>
      </c>
      <c r="P870">
        <v>1.829036E-3</v>
      </c>
      <c r="Q870" t="s">
        <v>42</v>
      </c>
      <c r="R870" t="s">
        <v>23</v>
      </c>
      <c r="S870" s="131">
        <v>43132</v>
      </c>
      <c r="T870" s="6">
        <f>DataTable[HLD_MaturityDate] - DataTable[SEC_Issue_Date]</f>
        <v>1826</v>
      </c>
      <c r="U870" s="131" t="str">
        <f>DataTable[HLD_Portfolio]&amp;DataTable[HLD_Date]</f>
        <v>SCBPLUS43397</v>
      </c>
      <c r="V870" t="str">
        <f>DataTable[[#This Row],[RefRng]]&amp;DataTable[[#This Row],[HLD_SecCode]]</f>
        <v>SCBPLUS43397TTW232A</v>
      </c>
    </row>
    <row r="871" spans="1:22" x14ac:dyDescent="0.2">
      <c r="A871" s="131">
        <v>43397</v>
      </c>
      <c r="B871" t="s">
        <v>336</v>
      </c>
      <c r="C871" t="s">
        <v>18</v>
      </c>
      <c r="D871" t="s">
        <v>102</v>
      </c>
      <c r="F871" t="s">
        <v>516</v>
      </c>
      <c r="G871" t="s">
        <v>232</v>
      </c>
      <c r="H871" t="s">
        <v>29</v>
      </c>
      <c r="I871" s="131">
        <v>43454</v>
      </c>
      <c r="J871" s="6">
        <v>35014403.200000003</v>
      </c>
      <c r="K871">
        <v>463150.8</v>
      </c>
      <c r="L871">
        <v>35000000</v>
      </c>
      <c r="M871">
        <v>0.15293799999999999</v>
      </c>
      <c r="N871">
        <v>35000000</v>
      </c>
      <c r="O871">
        <v>2.2999999999999998</v>
      </c>
      <c r="P871">
        <v>1.667733E-3</v>
      </c>
      <c r="Q871" t="s">
        <v>42</v>
      </c>
      <c r="R871" t="s">
        <v>23</v>
      </c>
      <c r="S871" s="131">
        <v>43188</v>
      </c>
      <c r="T871" s="6">
        <f>DataTable[HLD_MaturityDate] - DataTable[SEC_Issue_Date]</f>
        <v>266</v>
      </c>
      <c r="U871" s="131" t="str">
        <f>DataTable[HLD_Portfolio]&amp;DataTable[HLD_Date]</f>
        <v>SCBPLUS43397</v>
      </c>
      <c r="V871" t="str">
        <f>DataTable[[#This Row],[RefRng]]&amp;DataTable[[#This Row],[HLD_SecCode]]</f>
        <v>SCBPLUS43397TUC18D20A</v>
      </c>
    </row>
    <row r="872" spans="1:22" x14ac:dyDescent="0.2">
      <c r="A872" s="131">
        <v>43397</v>
      </c>
      <c r="B872" t="s">
        <v>336</v>
      </c>
      <c r="C872" t="s">
        <v>18</v>
      </c>
      <c r="D872" t="s">
        <v>102</v>
      </c>
      <c r="F872" t="s">
        <v>231</v>
      </c>
      <c r="G872" t="s">
        <v>232</v>
      </c>
      <c r="H872" t="s">
        <v>29</v>
      </c>
      <c r="I872" s="131">
        <v>43494</v>
      </c>
      <c r="J872" s="6">
        <v>66994436.32</v>
      </c>
      <c r="K872">
        <v>633287.35</v>
      </c>
      <c r="L872">
        <v>67000000</v>
      </c>
      <c r="M872">
        <v>0.26142500000000002</v>
      </c>
      <c r="N872">
        <v>67000000</v>
      </c>
      <c r="O872">
        <v>2.2999999999999998</v>
      </c>
      <c r="P872">
        <v>3.1790519999999999E-3</v>
      </c>
      <c r="Q872" t="s">
        <v>42</v>
      </c>
      <c r="R872" t="s">
        <v>23</v>
      </c>
      <c r="S872" s="131">
        <v>43248</v>
      </c>
      <c r="T872" s="6">
        <f>DataTable[HLD_MaturityDate] - DataTable[SEC_Issue_Date]</f>
        <v>246</v>
      </c>
      <c r="U872" s="131" t="str">
        <f>DataTable[HLD_Portfolio]&amp;DataTable[HLD_Date]</f>
        <v>SCBPLUS43397</v>
      </c>
      <c r="V872" t="str">
        <f>DataTable[[#This Row],[RefRng]]&amp;DataTable[[#This Row],[HLD_SecCode]]</f>
        <v>SCBPLUS43397TUC19129B</v>
      </c>
    </row>
    <row r="873" spans="1:22" x14ac:dyDescent="0.2">
      <c r="A873" s="131">
        <v>43397</v>
      </c>
      <c r="B873" t="s">
        <v>336</v>
      </c>
      <c r="C873" t="s">
        <v>18</v>
      </c>
      <c r="D873" t="s">
        <v>102</v>
      </c>
      <c r="F873" t="s">
        <v>233</v>
      </c>
      <c r="G873" t="s">
        <v>232</v>
      </c>
      <c r="H873" t="s">
        <v>29</v>
      </c>
      <c r="I873" s="131">
        <v>44410</v>
      </c>
      <c r="J873" s="6">
        <v>137869046.28</v>
      </c>
      <c r="K873">
        <v>1175079.3</v>
      </c>
      <c r="L873">
        <v>138000000</v>
      </c>
      <c r="M873">
        <v>2.6247090000000002</v>
      </c>
      <c r="N873">
        <v>138000000</v>
      </c>
      <c r="O873">
        <v>3.7</v>
      </c>
      <c r="P873">
        <v>6.5362027000000003E-3</v>
      </c>
      <c r="Q873" t="s">
        <v>42</v>
      </c>
      <c r="R873" t="s">
        <v>23</v>
      </c>
      <c r="S873" s="131">
        <v>43314</v>
      </c>
      <c r="T873" s="6">
        <f>DataTable[HLD_MaturityDate] - DataTable[SEC_Issue_Date]</f>
        <v>1096</v>
      </c>
      <c r="U873" s="131" t="str">
        <f>DataTable[HLD_Portfolio]&amp;DataTable[HLD_Date]</f>
        <v>SCBPLUS43397</v>
      </c>
      <c r="V873" t="str">
        <f>DataTable[[#This Row],[RefRng]]&amp;DataTable[[#This Row],[HLD_SecCode]]</f>
        <v>SCBPLUS43397TUC218A</v>
      </c>
    </row>
    <row r="874" spans="1:22" x14ac:dyDescent="0.2">
      <c r="A874" s="131">
        <v>43397</v>
      </c>
      <c r="B874" t="s">
        <v>336</v>
      </c>
      <c r="C874" t="s">
        <v>18</v>
      </c>
      <c r="D874" t="s">
        <v>102</v>
      </c>
      <c r="F874" t="s">
        <v>234</v>
      </c>
      <c r="G874" t="s">
        <v>235</v>
      </c>
      <c r="H874" t="s">
        <v>116</v>
      </c>
      <c r="I874" s="131">
        <v>44313</v>
      </c>
      <c r="J874" s="6">
        <v>30673009.829999998</v>
      </c>
      <c r="K874">
        <v>182687.64</v>
      </c>
      <c r="L874">
        <v>31000000</v>
      </c>
      <c r="M874">
        <v>2.422148</v>
      </c>
      <c r="N874">
        <v>31000000</v>
      </c>
      <c r="O874">
        <v>2.39</v>
      </c>
      <c r="P874">
        <v>1.4504683E-3</v>
      </c>
      <c r="Q874" t="s">
        <v>42</v>
      </c>
      <c r="R874" t="s">
        <v>23</v>
      </c>
      <c r="S874" s="131">
        <v>43217</v>
      </c>
      <c r="T874" s="6">
        <f>DataTable[HLD_MaturityDate] - DataTable[SEC_Issue_Date]</f>
        <v>1096</v>
      </c>
      <c r="U874" s="131" t="str">
        <f>DataTable[HLD_Portfolio]&amp;DataTable[HLD_Date]</f>
        <v>SCBPLUS43397</v>
      </c>
      <c r="V874" t="str">
        <f>DataTable[[#This Row],[RefRng]]&amp;DataTable[[#This Row],[HLD_SecCode]]</f>
        <v>SCBPLUS43397WHA214A</v>
      </c>
    </row>
    <row r="875" spans="1:22" x14ac:dyDescent="0.2">
      <c r="A875" s="131">
        <v>43397</v>
      </c>
      <c r="B875" t="s">
        <v>336</v>
      </c>
      <c r="C875" t="s">
        <v>18</v>
      </c>
      <c r="D875" t="s">
        <v>102</v>
      </c>
      <c r="F875" t="s">
        <v>236</v>
      </c>
      <c r="G875" t="s">
        <v>237</v>
      </c>
      <c r="H875" t="s">
        <v>47</v>
      </c>
      <c r="I875" s="131">
        <v>44285</v>
      </c>
      <c r="J875" s="6">
        <v>61549709.5</v>
      </c>
      <c r="K875">
        <v>95972.9</v>
      </c>
      <c r="L875">
        <v>62024356.079999998</v>
      </c>
      <c r="M875">
        <v>2.3531439999999999</v>
      </c>
      <c r="N875">
        <v>62000000</v>
      </c>
      <c r="O875">
        <v>2.2438709999999999</v>
      </c>
      <c r="P875">
        <v>2.8978475E-3</v>
      </c>
      <c r="Q875" t="s">
        <v>42</v>
      </c>
      <c r="R875" t="s">
        <v>23</v>
      </c>
      <c r="S875" s="131">
        <v>43189</v>
      </c>
      <c r="T875" s="6">
        <f>DataTable[HLD_MaturityDate] - DataTable[SEC_Issue_Date]</f>
        <v>1096</v>
      </c>
      <c r="U875" s="131" t="str">
        <f>DataTable[HLD_Portfolio]&amp;DataTable[HLD_Date]</f>
        <v>SCBPLUS43397</v>
      </c>
      <c r="V875" t="str">
        <f>DataTable[[#This Row],[RefRng]]&amp;DataTable[[#This Row],[HLD_SecCode]]</f>
        <v>SCBPLUS43397WHART213A</v>
      </c>
    </row>
    <row r="876" spans="1:22" x14ac:dyDescent="0.2">
      <c r="A876" s="131">
        <v>43397</v>
      </c>
      <c r="B876" t="s">
        <v>336</v>
      </c>
      <c r="C876" t="s">
        <v>18</v>
      </c>
      <c r="D876" t="s">
        <v>102</v>
      </c>
      <c r="F876" t="s">
        <v>636</v>
      </c>
      <c r="G876" t="s">
        <v>637</v>
      </c>
      <c r="H876" t="s">
        <v>51</v>
      </c>
      <c r="I876" s="131">
        <v>44728</v>
      </c>
      <c r="J876" s="6">
        <v>2071109.28</v>
      </c>
      <c r="K876">
        <v>27563.84</v>
      </c>
      <c r="L876">
        <v>2106878.2599999998</v>
      </c>
      <c r="M876">
        <v>3.3473229999999998</v>
      </c>
      <c r="N876">
        <v>2000000</v>
      </c>
      <c r="O876">
        <v>2.2999999999999998</v>
      </c>
      <c r="P876">
        <v>9.8654700000000003E-5</v>
      </c>
      <c r="Q876" t="s">
        <v>42</v>
      </c>
      <c r="R876" t="s">
        <v>23</v>
      </c>
      <c r="S876" s="131">
        <v>42171</v>
      </c>
      <c r="T876" s="6">
        <f>DataTable[HLD_MaturityDate] - DataTable[SEC_Issue_Date]</f>
        <v>2557</v>
      </c>
      <c r="U876" s="131" t="str">
        <f>DataTable[HLD_Portfolio]&amp;DataTable[HLD_Date]</f>
        <v>SCBPLUS43397</v>
      </c>
      <c r="V876" t="str">
        <f>DataTable[[#This Row],[RefRng]]&amp;DataTable[[#This Row],[HLD_SecCode]]</f>
        <v>SCBPLUS43397EASTW226A</v>
      </c>
    </row>
    <row r="877" spans="1:22" x14ac:dyDescent="0.2">
      <c r="A877" s="131">
        <v>43397</v>
      </c>
      <c r="B877" t="s">
        <v>336</v>
      </c>
      <c r="C877" t="s">
        <v>18</v>
      </c>
      <c r="D877" t="s">
        <v>102</v>
      </c>
      <c r="F877" t="s">
        <v>674</v>
      </c>
      <c r="G877" t="s">
        <v>503</v>
      </c>
      <c r="H877" t="s">
        <v>41</v>
      </c>
      <c r="I877" s="131">
        <v>44355</v>
      </c>
      <c r="J877" s="6">
        <v>31596646.719999999</v>
      </c>
      <c r="K877">
        <v>281503.68</v>
      </c>
      <c r="L877">
        <v>32000000</v>
      </c>
      <c r="M877">
        <v>2.5003329999999999</v>
      </c>
      <c r="N877">
        <v>32000000</v>
      </c>
      <c r="O877">
        <v>2.31</v>
      </c>
      <c r="P877">
        <v>1.4985319000000001E-3</v>
      </c>
      <c r="Q877" t="s">
        <v>42</v>
      </c>
      <c r="R877" t="s">
        <v>23</v>
      </c>
      <c r="S877" s="131">
        <v>43259</v>
      </c>
      <c r="T877" s="6">
        <f>DataTable[HLD_MaturityDate] - DataTable[SEC_Issue_Date]</f>
        <v>1096</v>
      </c>
      <c r="U877" s="131" t="str">
        <f>DataTable[HLD_Portfolio]&amp;DataTable[HLD_Date]</f>
        <v>SCBPLUS43397</v>
      </c>
      <c r="V877" t="str">
        <f>DataTable[[#This Row],[RefRng]]&amp;DataTable[[#This Row],[HLD_SecCode]]</f>
        <v>SCBPLUS43397IVL216A</v>
      </c>
    </row>
    <row r="878" spans="1:22" x14ac:dyDescent="0.2">
      <c r="A878" s="131">
        <v>43397</v>
      </c>
      <c r="B878" t="s">
        <v>336</v>
      </c>
      <c r="C878" t="s">
        <v>18</v>
      </c>
      <c r="D878" t="s">
        <v>102</v>
      </c>
      <c r="F878" t="s">
        <v>778</v>
      </c>
      <c r="G878" t="s">
        <v>779</v>
      </c>
      <c r="I878" s="131">
        <v>44518</v>
      </c>
      <c r="J878" s="6">
        <v>129046390.2</v>
      </c>
      <c r="K878">
        <v>1709588.4</v>
      </c>
      <c r="L878">
        <v>130000000</v>
      </c>
      <c r="M878">
        <v>2.8670230000000001</v>
      </c>
      <c r="N878">
        <v>130000000</v>
      </c>
      <c r="O878">
        <v>3</v>
      </c>
      <c r="P878">
        <v>6.1465924999999999E-3</v>
      </c>
      <c r="Q878" t="s">
        <v>42</v>
      </c>
      <c r="R878" t="s">
        <v>23</v>
      </c>
      <c r="S878" s="131">
        <v>42692</v>
      </c>
      <c r="T878" s="6">
        <f>DataTable[HLD_MaturityDate] - DataTable[SEC_Issue_Date]</f>
        <v>1826</v>
      </c>
      <c r="U878" s="131" t="str">
        <f>DataTable[HLD_Portfolio]&amp;DataTable[HLD_Date]</f>
        <v>SCBPLUS43397</v>
      </c>
      <c r="V878" t="str">
        <f>DataTable[[#This Row],[RefRng]]&amp;DataTable[[#This Row],[HLD_SecCode]]</f>
        <v>SCBPLUS43397KNM21NA</v>
      </c>
    </row>
    <row r="879" spans="1:22" x14ac:dyDescent="0.2">
      <c r="A879" s="131">
        <v>43397</v>
      </c>
      <c r="B879" t="s">
        <v>336</v>
      </c>
      <c r="C879" t="s">
        <v>18</v>
      </c>
      <c r="D879" t="s">
        <v>102</v>
      </c>
      <c r="F879" t="s">
        <v>630</v>
      </c>
      <c r="G879" t="s">
        <v>631</v>
      </c>
      <c r="H879" t="s">
        <v>116</v>
      </c>
      <c r="I879" s="131">
        <v>44399</v>
      </c>
      <c r="J879" s="6">
        <v>297246525</v>
      </c>
      <c r="K879">
        <v>1850547</v>
      </c>
      <c r="L879">
        <v>300000000</v>
      </c>
      <c r="M879">
        <v>2.6212599999999999</v>
      </c>
      <c r="N879">
        <v>300000000</v>
      </c>
      <c r="O879">
        <v>2.37</v>
      </c>
      <c r="P879">
        <v>1.4059990499999999E-2</v>
      </c>
      <c r="Q879" t="s">
        <v>42</v>
      </c>
      <c r="R879" t="s">
        <v>23</v>
      </c>
      <c r="S879" s="131">
        <v>42573</v>
      </c>
      <c r="T879" s="6">
        <f>DataTable[HLD_MaturityDate] - DataTable[SEC_Issue_Date]</f>
        <v>1826</v>
      </c>
      <c r="U879" s="131" t="str">
        <f>DataTable[HLD_Portfolio]&amp;DataTable[HLD_Date]</f>
        <v>SCBPLUS43397</v>
      </c>
      <c r="V879" t="str">
        <f>DataTable[[#This Row],[RefRng]]&amp;DataTable[[#This Row],[HLD_SecCode]]</f>
        <v>SCBPLUS43397EA217A</v>
      </c>
    </row>
    <row r="880" spans="1:22" x14ac:dyDescent="0.2">
      <c r="A880" s="131">
        <v>43397</v>
      </c>
      <c r="B880" t="s">
        <v>336</v>
      </c>
      <c r="C880" t="s">
        <v>18</v>
      </c>
      <c r="D880" t="s">
        <v>250</v>
      </c>
      <c r="F880" t="s">
        <v>780</v>
      </c>
      <c r="G880" t="s">
        <v>781</v>
      </c>
      <c r="H880" t="s">
        <v>498</v>
      </c>
      <c r="I880" s="131">
        <v>43628</v>
      </c>
      <c r="J880" s="6">
        <v>367049447.61000001</v>
      </c>
      <c r="K880">
        <v>4557445.2</v>
      </c>
      <c r="L880">
        <v>368278400</v>
      </c>
      <c r="M880">
        <v>0.62836099999999995</v>
      </c>
      <c r="N880">
        <v>11200000</v>
      </c>
      <c r="O880">
        <v>3.3</v>
      </c>
      <c r="P880">
        <v>1.74685407E-2</v>
      </c>
      <c r="Q880" t="s">
        <v>42</v>
      </c>
      <c r="R880" t="s">
        <v>37</v>
      </c>
      <c r="S880" s="131">
        <v>43263</v>
      </c>
      <c r="T880" s="6">
        <f>DataTable[HLD_MaturityDate] - DataTable[SEC_Issue_Date]</f>
        <v>365</v>
      </c>
      <c r="U880" s="131" t="str">
        <f>DataTable[HLD_Portfolio]&amp;DataTable[HLD_Date]</f>
        <v>SCBPLUS43397</v>
      </c>
      <c r="V880" t="str">
        <f>DataTable[[#This Row],[RefRng]]&amp;DataTable[[#This Row],[HLD_SecCode]]</f>
        <v>SCBPLUS43397EMTNICIUK120619</v>
      </c>
    </row>
    <row r="881" spans="1:22" x14ac:dyDescent="0.2">
      <c r="A881" s="131">
        <v>43397</v>
      </c>
      <c r="B881" t="s">
        <v>336</v>
      </c>
      <c r="C881" t="s">
        <v>18</v>
      </c>
      <c r="D881" t="s">
        <v>250</v>
      </c>
      <c r="F881" t="s">
        <v>782</v>
      </c>
      <c r="G881" t="s">
        <v>252</v>
      </c>
      <c r="H881" t="s">
        <v>47</v>
      </c>
      <c r="I881" s="131">
        <v>43572</v>
      </c>
      <c r="J881" s="6">
        <v>634163932.86000001</v>
      </c>
      <c r="K881">
        <v>10639800.460000001</v>
      </c>
      <c r="L881">
        <v>634622600</v>
      </c>
      <c r="M881">
        <v>0.47875699999999999</v>
      </c>
      <c r="N881">
        <v>19300000</v>
      </c>
      <c r="O881">
        <v>3.16</v>
      </c>
      <c r="P881">
        <v>3.0311010100000001E-2</v>
      </c>
      <c r="Q881" t="s">
        <v>42</v>
      </c>
      <c r="R881" t="s">
        <v>37</v>
      </c>
      <c r="S881" s="131">
        <v>43207</v>
      </c>
      <c r="T881" s="6">
        <f>DataTable[HLD_MaturityDate] - DataTable[SEC_Issue_Date]</f>
        <v>365</v>
      </c>
      <c r="U881" s="131" t="str">
        <f>DataTable[HLD_Portfolio]&amp;DataTable[HLD_Date]</f>
        <v>SCBPLUS43397</v>
      </c>
      <c r="V881" t="str">
        <f>DataTable[[#This Row],[RefRng]]&amp;DataTable[[#This Row],[HLD_SecCode]]</f>
        <v>SCBPLUS43397EMTNMASQ170419</v>
      </c>
    </row>
    <row r="882" spans="1:22" x14ac:dyDescent="0.2">
      <c r="A882" s="131">
        <v>43397</v>
      </c>
      <c r="B882" t="s">
        <v>336</v>
      </c>
      <c r="C882" t="s">
        <v>18</v>
      </c>
      <c r="D882" t="s">
        <v>250</v>
      </c>
      <c r="F882" t="s">
        <v>783</v>
      </c>
      <c r="G882" t="s">
        <v>784</v>
      </c>
      <c r="H882" t="s">
        <v>51</v>
      </c>
      <c r="I882" s="131">
        <v>44470</v>
      </c>
      <c r="J882" s="6">
        <v>95711692.849999994</v>
      </c>
      <c r="K882">
        <v>204394.51</v>
      </c>
      <c r="L882">
        <v>99124954.939999998</v>
      </c>
      <c r="M882">
        <v>2.7804509999999998</v>
      </c>
      <c r="N882">
        <v>3000000</v>
      </c>
      <c r="O882">
        <v>2.9335770000000001</v>
      </c>
      <c r="P882">
        <v>4.5088348E-3</v>
      </c>
      <c r="Q882" t="s">
        <v>42</v>
      </c>
      <c r="R882" t="s">
        <v>37</v>
      </c>
      <c r="S882" s="131">
        <v>42461</v>
      </c>
      <c r="T882" s="6">
        <f>DataTable[HLD_MaturityDate] - DataTable[SEC_Issue_Date]</f>
        <v>2009</v>
      </c>
      <c r="U882" s="131" t="str">
        <f>DataTable[HLD_Portfolio]&amp;DataTable[HLD_Date]</f>
        <v>SCBPLUS43397</v>
      </c>
      <c r="V882" t="str">
        <f>DataTable[[#This Row],[RefRng]]&amp;DataTable[[#This Row],[HLD_SecCode]]</f>
        <v>SCBPLUS43397EMTNTMBCA011021</v>
      </c>
    </row>
    <row r="883" spans="1:22" x14ac:dyDescent="0.2">
      <c r="A883" s="131">
        <v>43397</v>
      </c>
      <c r="B883" t="s">
        <v>336</v>
      </c>
      <c r="C883" t="s">
        <v>18</v>
      </c>
      <c r="D883" t="s">
        <v>722</v>
      </c>
      <c r="E883" t="s">
        <v>722</v>
      </c>
      <c r="F883" t="s">
        <v>785</v>
      </c>
      <c r="G883" t="s">
        <v>786</v>
      </c>
      <c r="I883" s="131">
        <v>47848</v>
      </c>
      <c r="J883" s="6">
        <v>484278116.07999998</v>
      </c>
      <c r="L883">
        <v>467514130.23000002</v>
      </c>
      <c r="M883">
        <v>0</v>
      </c>
      <c r="N883">
        <v>1501300.44</v>
      </c>
      <c r="O883">
        <v>0</v>
      </c>
      <c r="P883">
        <v>2.2765002900000001E-2</v>
      </c>
      <c r="Q883" t="s">
        <v>42</v>
      </c>
      <c r="R883" t="s">
        <v>37</v>
      </c>
      <c r="S883" s="131">
        <v>43070</v>
      </c>
      <c r="T883" s="6">
        <f>DataTable[HLD_MaturityDate] - DataTable[SEC_Issue_Date]</f>
        <v>4778</v>
      </c>
      <c r="U883" s="131" t="str">
        <f>DataTable[HLD_Portfolio]&amp;DataTable[HLD_Date]</f>
        <v>SCBPLUS43397</v>
      </c>
      <c r="V883" t="str">
        <f>DataTable[[#This Row],[RefRng]]&amp;DataTable[[#This Row],[HLD_SecCode]]</f>
        <v>SCBPLUS43397BEABCIAHKa</v>
      </c>
    </row>
    <row r="884" spans="1:22" x14ac:dyDescent="0.2">
      <c r="A884" s="131">
        <v>43397</v>
      </c>
      <c r="B884" t="s">
        <v>336</v>
      </c>
      <c r="C884" t="s">
        <v>18</v>
      </c>
      <c r="D884" t="s">
        <v>722</v>
      </c>
      <c r="E884" t="s">
        <v>722</v>
      </c>
      <c r="F884" t="s">
        <v>787</v>
      </c>
      <c r="G884" t="s">
        <v>786</v>
      </c>
      <c r="I884" s="131">
        <v>47848</v>
      </c>
      <c r="J884" s="6">
        <v>486410488.64999998</v>
      </c>
      <c r="L884">
        <v>471305087.43000001</v>
      </c>
      <c r="M884">
        <v>0</v>
      </c>
      <c r="N884">
        <v>1172133.1599999999</v>
      </c>
      <c r="O884">
        <v>0</v>
      </c>
      <c r="P884">
        <v>2.28652417E-2</v>
      </c>
      <c r="Q884" t="s">
        <v>42</v>
      </c>
      <c r="R884" t="s">
        <v>33</v>
      </c>
      <c r="S884" s="131">
        <v>42905</v>
      </c>
      <c r="T884" s="6">
        <f>DataTable[HLD_MaturityDate] - DataTable[SEC_Issue_Date]</f>
        <v>4943</v>
      </c>
      <c r="U884" s="131" t="str">
        <f>DataTable[HLD_Portfolio]&amp;DataTable[HLD_Date]</f>
        <v>SCBPLUS43397</v>
      </c>
      <c r="V884" t="str">
        <f>DataTable[[#This Row],[RefRng]]&amp;DataTable[[#This Row],[HLD_SecCode]]</f>
        <v>SCBPLUS43397BEAPIGRHKa</v>
      </c>
    </row>
    <row r="885" spans="1:22" x14ac:dyDescent="0.2">
      <c r="A885" s="131">
        <v>43397</v>
      </c>
      <c r="B885" t="s">
        <v>336</v>
      </c>
      <c r="C885" t="s">
        <v>106</v>
      </c>
      <c r="D885" t="s">
        <v>107</v>
      </c>
      <c r="F885" t="s">
        <v>788</v>
      </c>
      <c r="G885" t="s">
        <v>21</v>
      </c>
      <c r="H885" t="s">
        <v>302</v>
      </c>
      <c r="I885" s="131">
        <v>43412</v>
      </c>
      <c r="J885" s="6">
        <v>-11198736.76</v>
      </c>
      <c r="L885">
        <v>0</v>
      </c>
      <c r="M885">
        <v>0</v>
      </c>
      <c r="N885">
        <v>0</v>
      </c>
      <c r="O885">
        <v>0</v>
      </c>
      <c r="P885">
        <v>-5.2643150000000001E-4</v>
      </c>
      <c r="Q885" t="s">
        <v>109</v>
      </c>
      <c r="R885" t="s">
        <v>23</v>
      </c>
      <c r="S885" s="131">
        <v>2</v>
      </c>
      <c r="T885" s="6">
        <f>DataTable[HLD_MaturityDate] - DataTable[SEC_Issue_Date]</f>
        <v>43410</v>
      </c>
      <c r="U885" s="131" t="str">
        <f>DataTable[HLD_Portfolio]&amp;DataTable[HLD_Date]</f>
        <v>SCBPLUS43397</v>
      </c>
      <c r="V885" t="str">
        <f>DataTable[[#This Row],[RefRng]]&amp;DataTable[[#This Row],[HLD_SecCode]]</f>
        <v>SCBPLUS43397FWHKDTHB18N08A</v>
      </c>
    </row>
    <row r="886" spans="1:22" x14ac:dyDescent="0.2">
      <c r="A886" s="131">
        <v>43397</v>
      </c>
      <c r="B886" t="s">
        <v>336</v>
      </c>
      <c r="C886" t="s">
        <v>106</v>
      </c>
      <c r="D886" t="s">
        <v>107</v>
      </c>
      <c r="F886" t="s">
        <v>1257</v>
      </c>
      <c r="G886" t="s">
        <v>21</v>
      </c>
      <c r="H886" t="s">
        <v>302</v>
      </c>
      <c r="I886" s="131">
        <v>43398</v>
      </c>
      <c r="J886" s="6">
        <v>11032741.27</v>
      </c>
      <c r="L886">
        <v>0</v>
      </c>
      <c r="M886">
        <v>0</v>
      </c>
      <c r="N886">
        <v>0</v>
      </c>
      <c r="O886">
        <v>0</v>
      </c>
      <c r="P886">
        <v>5.1862839999999996E-4</v>
      </c>
      <c r="Q886" t="s">
        <v>109</v>
      </c>
      <c r="R886" t="s">
        <v>23</v>
      </c>
      <c r="S886" s="131">
        <v>2</v>
      </c>
      <c r="T886" s="6">
        <f>DataTable[HLD_MaturityDate] - DataTable[SEC_Issue_Date]</f>
        <v>43396</v>
      </c>
      <c r="U886" s="131" t="str">
        <f>DataTable[HLD_Portfolio]&amp;DataTable[HLD_Date]</f>
        <v>SCBPLUS43397</v>
      </c>
      <c r="V886" t="str">
        <f>DataTable[[#This Row],[RefRng]]&amp;DataTable[[#This Row],[HLD_SecCode]]</f>
        <v>SCBPLUS43397FWTHBUSD18O25A</v>
      </c>
    </row>
    <row r="887" spans="1:22" x14ac:dyDescent="0.2">
      <c r="A887" s="131">
        <v>43397</v>
      </c>
      <c r="B887" t="s">
        <v>336</v>
      </c>
      <c r="C887" t="s">
        <v>106</v>
      </c>
      <c r="D887" t="s">
        <v>107</v>
      </c>
      <c r="F887" t="s">
        <v>789</v>
      </c>
      <c r="G887" t="s">
        <v>71</v>
      </c>
      <c r="H887" t="s">
        <v>27</v>
      </c>
      <c r="I887" s="131">
        <v>43398</v>
      </c>
      <c r="J887" s="6">
        <v>-18332277.57</v>
      </c>
      <c r="L887">
        <v>0</v>
      </c>
      <c r="M887">
        <v>0</v>
      </c>
      <c r="N887">
        <v>0</v>
      </c>
      <c r="O887">
        <v>0</v>
      </c>
      <c r="P887">
        <v>-8.617659E-4</v>
      </c>
      <c r="Q887" t="s">
        <v>109</v>
      </c>
      <c r="R887" t="s">
        <v>23</v>
      </c>
      <c r="S887" s="131">
        <v>2</v>
      </c>
      <c r="T887" s="6">
        <f>DataTable[HLD_MaturityDate] - DataTable[SEC_Issue_Date]</f>
        <v>43396</v>
      </c>
      <c r="U887" s="131" t="str">
        <f>DataTable[HLD_Portfolio]&amp;DataTable[HLD_Date]</f>
        <v>SCBPLUS43397</v>
      </c>
      <c r="V887" t="str">
        <f>DataTable[[#This Row],[RefRng]]&amp;DataTable[[#This Row],[HLD_SecCode]]</f>
        <v>SCBPLUS43397FWUSDTHB18O25C</v>
      </c>
    </row>
    <row r="888" spans="1:22" x14ac:dyDescent="0.2">
      <c r="A888" s="131">
        <v>43397</v>
      </c>
      <c r="B888" t="s">
        <v>336</v>
      </c>
      <c r="C888" t="s">
        <v>106</v>
      </c>
      <c r="D888" t="s">
        <v>107</v>
      </c>
      <c r="F888" t="s">
        <v>790</v>
      </c>
      <c r="G888" t="s">
        <v>703</v>
      </c>
      <c r="H888" t="s">
        <v>51</v>
      </c>
      <c r="I888" s="131">
        <v>43572</v>
      </c>
      <c r="J888" s="6">
        <v>-37254466.630000003</v>
      </c>
      <c r="L888">
        <v>0</v>
      </c>
      <c r="M888">
        <v>0</v>
      </c>
      <c r="N888">
        <v>0</v>
      </c>
      <c r="O888">
        <v>0</v>
      </c>
      <c r="P888">
        <v>-1.7512624000000001E-3</v>
      </c>
      <c r="Q888" t="s">
        <v>109</v>
      </c>
      <c r="R888" t="s">
        <v>23</v>
      </c>
      <c r="S888" s="131">
        <v>2</v>
      </c>
      <c r="T888" s="6">
        <f>DataTable[HLD_MaturityDate] - DataTable[SEC_Issue_Date]</f>
        <v>43570</v>
      </c>
      <c r="U888" s="131" t="str">
        <f>DataTable[HLD_Portfolio]&amp;DataTable[HLD_Date]</f>
        <v>SCBPLUS43397</v>
      </c>
      <c r="V888" t="str">
        <f>DataTable[[#This Row],[RefRng]]&amp;DataTable[[#This Row],[HLD_SecCode]]</f>
        <v>SCBPLUS43397FWUSDTHB19417F</v>
      </c>
    </row>
    <row r="889" spans="1:22" x14ac:dyDescent="0.2">
      <c r="A889" s="131">
        <v>43397</v>
      </c>
      <c r="B889" t="s">
        <v>336</v>
      </c>
      <c r="C889" t="s">
        <v>106</v>
      </c>
      <c r="D889" t="s">
        <v>107</v>
      </c>
      <c r="F889" t="s">
        <v>791</v>
      </c>
      <c r="G889" t="s">
        <v>703</v>
      </c>
      <c r="H889" t="s">
        <v>51</v>
      </c>
      <c r="I889" s="131">
        <v>43614</v>
      </c>
      <c r="J889" s="6">
        <v>-19601782.300000001</v>
      </c>
      <c r="L889">
        <v>0</v>
      </c>
      <c r="M889">
        <v>0</v>
      </c>
      <c r="N889">
        <v>0</v>
      </c>
      <c r="O889">
        <v>0</v>
      </c>
      <c r="P889">
        <v>-9.2144289999999995E-4</v>
      </c>
      <c r="Q889" t="s">
        <v>109</v>
      </c>
      <c r="R889" t="s">
        <v>23</v>
      </c>
      <c r="S889" s="131">
        <v>2</v>
      </c>
      <c r="T889" s="6">
        <f>DataTable[HLD_MaturityDate] - DataTable[SEC_Issue_Date]</f>
        <v>43612</v>
      </c>
      <c r="U889" s="131" t="str">
        <f>DataTable[HLD_Portfolio]&amp;DataTable[HLD_Date]</f>
        <v>SCBPLUS43397</v>
      </c>
      <c r="V889" t="str">
        <f>DataTable[[#This Row],[RefRng]]&amp;DataTable[[#This Row],[HLD_SecCode]]</f>
        <v>SCBPLUS43397FWUSDTHB19529B</v>
      </c>
    </row>
    <row r="890" spans="1:22" x14ac:dyDescent="0.2">
      <c r="A890" s="131">
        <v>43397</v>
      </c>
      <c r="B890" t="s">
        <v>336</v>
      </c>
      <c r="C890" t="s">
        <v>106</v>
      </c>
      <c r="D890" t="s">
        <v>107</v>
      </c>
      <c r="F890" t="s">
        <v>792</v>
      </c>
      <c r="G890" t="s">
        <v>26</v>
      </c>
      <c r="H890" t="s">
        <v>27</v>
      </c>
      <c r="I890" s="131">
        <v>43628</v>
      </c>
      <c r="J890" s="6">
        <v>-13373238.539999999</v>
      </c>
      <c r="L890">
        <v>0</v>
      </c>
      <c r="M890">
        <v>0</v>
      </c>
      <c r="N890">
        <v>0</v>
      </c>
      <c r="O890">
        <v>0</v>
      </c>
      <c r="P890">
        <v>-6.2865079999999997E-4</v>
      </c>
      <c r="Q890" t="s">
        <v>109</v>
      </c>
      <c r="R890" t="s">
        <v>23</v>
      </c>
      <c r="S890" s="131">
        <v>2</v>
      </c>
      <c r="T890" s="6">
        <f>DataTable[HLD_MaturityDate] - DataTable[SEC_Issue_Date]</f>
        <v>43626</v>
      </c>
      <c r="U890" s="131" t="str">
        <f>DataTable[HLD_Portfolio]&amp;DataTable[HLD_Date]</f>
        <v>SCBPLUS43397</v>
      </c>
      <c r="V890" t="str">
        <f>DataTable[[#This Row],[RefRng]]&amp;DataTable[[#This Row],[HLD_SecCode]]</f>
        <v>SCBPLUS43397FWUSDTHB19612F</v>
      </c>
    </row>
    <row r="891" spans="1:22" x14ac:dyDescent="0.2">
      <c r="A891" s="131">
        <v>43397</v>
      </c>
      <c r="B891" t="s">
        <v>336</v>
      </c>
      <c r="C891" t="s">
        <v>106</v>
      </c>
      <c r="D891" t="s">
        <v>107</v>
      </c>
      <c r="F891" t="s">
        <v>793</v>
      </c>
      <c r="G891" t="s">
        <v>794</v>
      </c>
      <c r="H891" t="s">
        <v>41</v>
      </c>
      <c r="I891" s="131">
        <v>43636</v>
      </c>
      <c r="J891" s="6">
        <v>-2555409.7799999998</v>
      </c>
      <c r="L891">
        <v>0</v>
      </c>
      <c r="M891">
        <v>0</v>
      </c>
      <c r="N891">
        <v>0</v>
      </c>
      <c r="O891">
        <v>0</v>
      </c>
      <c r="P891">
        <v>-1.2012500000000001E-4</v>
      </c>
      <c r="Q891" t="s">
        <v>109</v>
      </c>
      <c r="R891" t="s">
        <v>23</v>
      </c>
      <c r="S891" s="131">
        <v>2</v>
      </c>
      <c r="T891" s="6">
        <f>DataTable[HLD_MaturityDate] - DataTable[SEC_Issue_Date]</f>
        <v>43634</v>
      </c>
      <c r="U891" s="131" t="str">
        <f>DataTable[HLD_Portfolio]&amp;DataTable[HLD_Date]</f>
        <v>SCBPLUS43397</v>
      </c>
      <c r="V891" t="str">
        <f>DataTable[[#This Row],[RefRng]]&amp;DataTable[[#This Row],[HLD_SecCode]]</f>
        <v>SCBPLUS43397FWUSDTHB19620A</v>
      </c>
    </row>
    <row r="892" spans="1:22" x14ac:dyDescent="0.2">
      <c r="A892" s="131">
        <v>43397</v>
      </c>
      <c r="B892" t="s">
        <v>336</v>
      </c>
      <c r="C892" t="s">
        <v>106</v>
      </c>
      <c r="D892" t="s">
        <v>107</v>
      </c>
      <c r="F892" t="s">
        <v>795</v>
      </c>
      <c r="G892" t="s">
        <v>71</v>
      </c>
      <c r="H892" t="s">
        <v>27</v>
      </c>
      <c r="I892" s="131">
        <v>43648</v>
      </c>
      <c r="J892" s="6">
        <v>-4537418.83</v>
      </c>
      <c r="L892">
        <v>0</v>
      </c>
      <c r="M892">
        <v>0</v>
      </c>
      <c r="N892">
        <v>0</v>
      </c>
      <c r="O892">
        <v>0</v>
      </c>
      <c r="P892">
        <v>-2.1329549999999999E-4</v>
      </c>
      <c r="Q892" t="s">
        <v>109</v>
      </c>
      <c r="R892" t="s">
        <v>23</v>
      </c>
      <c r="S892" s="131">
        <v>2</v>
      </c>
      <c r="T892" s="6">
        <f>DataTable[HLD_MaturityDate] - DataTable[SEC_Issue_Date]</f>
        <v>43646</v>
      </c>
      <c r="U892" s="131" t="str">
        <f>DataTable[HLD_Portfolio]&amp;DataTable[HLD_Date]</f>
        <v>SCBPLUS43397</v>
      </c>
      <c r="V892" t="str">
        <f>DataTable[[#This Row],[RefRng]]&amp;DataTable[[#This Row],[HLD_SecCode]]</f>
        <v>SCBPLUS43397FWUSDTHB19702A</v>
      </c>
    </row>
    <row r="893" spans="1:22" x14ac:dyDescent="0.2">
      <c r="A893" s="131">
        <v>43397</v>
      </c>
      <c r="B893" t="s">
        <v>336</v>
      </c>
      <c r="C893" t="s">
        <v>106</v>
      </c>
      <c r="D893" t="s">
        <v>107</v>
      </c>
      <c r="F893" t="s">
        <v>1258</v>
      </c>
      <c r="G893" t="s">
        <v>21</v>
      </c>
      <c r="H893" t="s">
        <v>302</v>
      </c>
      <c r="I893" s="131">
        <v>43762</v>
      </c>
      <c r="J893" s="6">
        <v>-11568579.67</v>
      </c>
      <c r="L893">
        <v>0</v>
      </c>
      <c r="M893">
        <v>0</v>
      </c>
      <c r="N893">
        <v>0</v>
      </c>
      <c r="O893">
        <v>0</v>
      </c>
      <c r="P893">
        <v>-5.438172E-4</v>
      </c>
      <c r="Q893" t="s">
        <v>109</v>
      </c>
      <c r="R893" t="s">
        <v>23</v>
      </c>
      <c r="S893" s="131">
        <v>2</v>
      </c>
      <c r="T893" s="6">
        <f>DataTable[HLD_MaturityDate] - DataTable[SEC_Issue_Date]</f>
        <v>43760</v>
      </c>
      <c r="U893" s="131" t="str">
        <f>DataTable[HLD_Portfolio]&amp;DataTable[HLD_Date]</f>
        <v>SCBPLUS43397</v>
      </c>
      <c r="V893" t="str">
        <f>DataTable[[#This Row],[RefRng]]&amp;DataTable[[#This Row],[HLD_SecCode]]</f>
        <v>SCBPLUS43397FWUSDTHB19O24A</v>
      </c>
    </row>
    <row r="894" spans="1:22" x14ac:dyDescent="0.2">
      <c r="A894" s="131">
        <v>43397</v>
      </c>
      <c r="B894" t="s">
        <v>336</v>
      </c>
      <c r="C894" t="s">
        <v>106</v>
      </c>
      <c r="D894" t="s">
        <v>608</v>
      </c>
      <c r="F894" t="s">
        <v>796</v>
      </c>
      <c r="G894" t="s">
        <v>26</v>
      </c>
      <c r="H894" t="s">
        <v>27</v>
      </c>
      <c r="I894" s="131">
        <v>44470</v>
      </c>
      <c r="J894" s="6">
        <v>10271950.49</v>
      </c>
      <c r="L894">
        <v>0</v>
      </c>
      <c r="M894">
        <v>0</v>
      </c>
      <c r="N894">
        <v>0</v>
      </c>
      <c r="O894">
        <v>0</v>
      </c>
      <c r="P894">
        <v>4.828651E-4</v>
      </c>
      <c r="Q894" t="s">
        <v>610</v>
      </c>
      <c r="R894" t="s">
        <v>23</v>
      </c>
      <c r="S894" s="131">
        <v>2</v>
      </c>
      <c r="T894" s="6">
        <f>DataTable[HLD_MaturityDate] - DataTable[SEC_Issue_Date]</f>
        <v>44468</v>
      </c>
      <c r="U894" s="131" t="str">
        <f>DataTable[HLD_Portfolio]&amp;DataTable[HLD_Date]</f>
        <v>SCBPLUS43397</v>
      </c>
      <c r="V894" t="str">
        <f>DataTable[[#This Row],[RefRng]]&amp;DataTable[[#This Row],[HLD_SecCode]]</f>
        <v>SCBPLUS43397/SCBTHUS21OA</v>
      </c>
    </row>
    <row r="895" spans="1:22" x14ac:dyDescent="0.2">
      <c r="A895" s="131">
        <v>43397</v>
      </c>
      <c r="B895" t="s">
        <v>336</v>
      </c>
      <c r="C895" t="s">
        <v>106</v>
      </c>
      <c r="D895" t="s">
        <v>608</v>
      </c>
      <c r="F895" t="s">
        <v>797</v>
      </c>
      <c r="G895" t="s">
        <v>26</v>
      </c>
      <c r="H895" t="s">
        <v>27</v>
      </c>
      <c r="I895" s="131">
        <v>44949</v>
      </c>
      <c r="J895" s="6">
        <v>5291808.5599999996</v>
      </c>
      <c r="L895">
        <v>0</v>
      </c>
      <c r="M895">
        <v>0</v>
      </c>
      <c r="N895">
        <v>0</v>
      </c>
      <c r="O895">
        <v>0</v>
      </c>
      <c r="P895">
        <v>2.4875800000000002E-4</v>
      </c>
      <c r="Q895" t="s">
        <v>610</v>
      </c>
      <c r="R895" t="s">
        <v>23</v>
      </c>
      <c r="S895" s="131">
        <v>2</v>
      </c>
      <c r="T895" s="6">
        <f>DataTable[HLD_MaturityDate] - DataTable[SEC_Issue_Date]</f>
        <v>44947</v>
      </c>
      <c r="U895" s="131" t="str">
        <f>DataTable[HLD_Portfolio]&amp;DataTable[HLD_Date]</f>
        <v>SCBPLUS43397</v>
      </c>
      <c r="V895" t="str">
        <f>DataTable[[#This Row],[RefRng]]&amp;DataTable[[#This Row],[HLD_SecCode]]</f>
        <v>SCBPLUS43397/SCBTHUS231C</v>
      </c>
    </row>
    <row r="896" spans="1:22" x14ac:dyDescent="0.2">
      <c r="A896" s="131">
        <v>43397</v>
      </c>
      <c r="B896" t="s">
        <v>336</v>
      </c>
      <c r="C896" t="s">
        <v>119</v>
      </c>
      <c r="D896" t="s">
        <v>295</v>
      </c>
      <c r="E896" t="s">
        <v>1256</v>
      </c>
      <c r="F896" t="s">
        <v>91</v>
      </c>
      <c r="I896" s="131"/>
      <c r="J896" s="6">
        <v>249880912.5</v>
      </c>
      <c r="L896">
        <v>249880912.5</v>
      </c>
      <c r="O896">
        <v>0</v>
      </c>
      <c r="P896">
        <v>1.17464314E-2</v>
      </c>
      <c r="Q896" t="s">
        <v>42</v>
      </c>
      <c r="R896" t="s">
        <v>23</v>
      </c>
      <c r="S896" s="131">
        <v>43230</v>
      </c>
      <c r="T896" s="6">
        <f>DataTable[HLD_MaturityDate] - DataTable[SEC_Issue_Date]</f>
        <v>-43230</v>
      </c>
      <c r="U896" s="131" t="str">
        <f>DataTable[HLD_Portfolio]&amp;DataTable[HLD_Date]</f>
        <v>SCBPLUS43397</v>
      </c>
      <c r="V896" t="str">
        <f>DataTable[[#This Row],[RefRng]]&amp;DataTable[[#This Row],[HLD_SecCode]]</f>
        <v>SCBPLUS43397CB18N08A</v>
      </c>
    </row>
    <row r="897" spans="1:22" x14ac:dyDescent="0.2">
      <c r="A897" s="131">
        <v>43397</v>
      </c>
      <c r="B897" t="s">
        <v>336</v>
      </c>
      <c r="C897" t="s">
        <v>119</v>
      </c>
      <c r="D897" t="s">
        <v>295</v>
      </c>
      <c r="E897" t="s">
        <v>1256</v>
      </c>
      <c r="F897" t="s">
        <v>737</v>
      </c>
      <c r="I897" s="131"/>
      <c r="J897" s="6">
        <v>34084183.890000001</v>
      </c>
      <c r="L897">
        <v>34084183.890000001</v>
      </c>
      <c r="O897">
        <v>0</v>
      </c>
      <c r="P897">
        <v>1.6022333000000001E-3</v>
      </c>
      <c r="Q897" t="s">
        <v>725</v>
      </c>
      <c r="R897" t="s">
        <v>23</v>
      </c>
      <c r="S897" s="131">
        <v>2</v>
      </c>
      <c r="T897" s="6">
        <f>DataTable[HLD_MaturityDate] - DataTable[SEC_Issue_Date]</f>
        <v>-2</v>
      </c>
      <c r="U897" s="131" t="str">
        <f>DataTable[HLD_Portfolio]&amp;DataTable[HLD_Date]</f>
        <v>SCBPLUS43397</v>
      </c>
      <c r="V897" t="str">
        <f>DataTable[[#This Row],[RefRng]]&amp;DataTable[[#This Row],[HLD_SecCode]]</f>
        <v>SCBPLUS43397HREIT</v>
      </c>
    </row>
    <row r="898" spans="1:22" x14ac:dyDescent="0.2">
      <c r="A898" s="131">
        <v>43397</v>
      </c>
      <c r="B898" t="s">
        <v>336</v>
      </c>
      <c r="C898" t="s">
        <v>119</v>
      </c>
      <c r="D898" t="s">
        <v>295</v>
      </c>
      <c r="E898" t="s">
        <v>1280</v>
      </c>
      <c r="F898" t="s">
        <v>723</v>
      </c>
      <c r="I898" s="131"/>
      <c r="J898" s="6">
        <v>15790615.609999999</v>
      </c>
      <c r="L898">
        <v>15790615.609999999</v>
      </c>
      <c r="O898">
        <v>0</v>
      </c>
      <c r="P898">
        <v>7.4228710000000004E-4</v>
      </c>
      <c r="Q898" t="s">
        <v>725</v>
      </c>
      <c r="R898" t="s">
        <v>23</v>
      </c>
      <c r="S898" s="131">
        <v>2</v>
      </c>
      <c r="T898" s="6">
        <f>DataTable[HLD_MaturityDate] - DataTable[SEC_Issue_Date]</f>
        <v>-2</v>
      </c>
      <c r="U898" s="131" t="str">
        <f>DataTable[HLD_Portfolio]&amp;DataTable[HLD_Date]</f>
        <v>SCBPLUS43397</v>
      </c>
      <c r="V898" t="str">
        <f>DataTable[[#This Row],[RefRng]]&amp;DataTable[[#This Row],[HLD_SecCode]]</f>
        <v>SCBPLUS43397B-WORK</v>
      </c>
    </row>
    <row r="899" spans="1:22" x14ac:dyDescent="0.2">
      <c r="A899" s="131">
        <v>43397</v>
      </c>
      <c r="B899" t="s">
        <v>336</v>
      </c>
      <c r="C899" t="s">
        <v>119</v>
      </c>
      <c r="D899" t="s">
        <v>1231</v>
      </c>
      <c r="E899" t="s">
        <v>1232</v>
      </c>
      <c r="F899" t="s">
        <v>742</v>
      </c>
      <c r="I899" s="131"/>
      <c r="J899" s="6">
        <v>1594046.7</v>
      </c>
      <c r="L899">
        <v>1594046.7</v>
      </c>
      <c r="O899">
        <v>0</v>
      </c>
      <c r="P899">
        <v>7.4933100000000003E-5</v>
      </c>
      <c r="Q899" t="s">
        <v>725</v>
      </c>
      <c r="R899" t="s">
        <v>23</v>
      </c>
      <c r="S899" s="131">
        <v>2</v>
      </c>
      <c r="T899" s="6">
        <f>DataTable[HLD_MaturityDate] - DataTable[SEC_Issue_Date]</f>
        <v>-2</v>
      </c>
      <c r="U899" s="131" t="str">
        <f>DataTable[HLD_Portfolio]&amp;DataTable[HLD_Date]</f>
        <v>SCBPLUS43397</v>
      </c>
      <c r="V899" t="str">
        <f>DataTable[[#This Row],[RefRng]]&amp;DataTable[[#This Row],[HLD_SecCode]]</f>
        <v>SCBPLUS43397QHPF</v>
      </c>
    </row>
    <row r="900" spans="1:22" x14ac:dyDescent="0.2">
      <c r="A900" s="131">
        <v>43397</v>
      </c>
      <c r="B900" t="s">
        <v>336</v>
      </c>
      <c r="C900" t="s">
        <v>120</v>
      </c>
      <c r="D900" t="s">
        <v>121</v>
      </c>
      <c r="E900" t="s">
        <v>1256</v>
      </c>
      <c r="F900" t="s">
        <v>1262</v>
      </c>
      <c r="I900" s="131"/>
      <c r="J900" s="6">
        <v>-179299592.19999999</v>
      </c>
      <c r="L900">
        <v>-179299592.19999999</v>
      </c>
      <c r="O900">
        <v>0</v>
      </c>
      <c r="P900">
        <v>-8.4285364000000005E-3</v>
      </c>
      <c r="Q900" t="s">
        <v>42</v>
      </c>
      <c r="R900" t="s">
        <v>23</v>
      </c>
      <c r="S900" s="131">
        <v>43398</v>
      </c>
      <c r="T900" s="6">
        <f>DataTable[HLD_MaturityDate] - DataTable[SEC_Issue_Date]</f>
        <v>-43398</v>
      </c>
      <c r="U900" s="131" t="str">
        <f>DataTable[HLD_Portfolio]&amp;DataTable[HLD_Date]</f>
        <v>SCBPLUS43397</v>
      </c>
      <c r="V900" t="str">
        <f>DataTable[[#This Row],[RefRng]]&amp;DataTable[[#This Row],[HLD_SecCode]]</f>
        <v>SCBPLUS43397CB19124B</v>
      </c>
    </row>
    <row r="901" spans="1:22" x14ac:dyDescent="0.2">
      <c r="A901" s="131">
        <v>43397</v>
      </c>
      <c r="B901" t="s">
        <v>336</v>
      </c>
      <c r="C901" t="s">
        <v>120</v>
      </c>
      <c r="D901" t="s">
        <v>121</v>
      </c>
      <c r="E901" t="s">
        <v>1256</v>
      </c>
      <c r="F901" t="s">
        <v>1266</v>
      </c>
      <c r="I901" s="131"/>
      <c r="J901" s="6">
        <v>-363053000</v>
      </c>
      <c r="L901">
        <v>-363053000</v>
      </c>
      <c r="O901">
        <v>0</v>
      </c>
      <c r="P901">
        <v>-1.70664383E-2</v>
      </c>
      <c r="Q901" t="s">
        <v>725</v>
      </c>
      <c r="R901" t="s">
        <v>23</v>
      </c>
      <c r="S901" s="131">
        <v>2</v>
      </c>
      <c r="T901" s="6">
        <f>DataTable[HLD_MaturityDate] - DataTable[SEC_Issue_Date]</f>
        <v>-2</v>
      </c>
      <c r="U901" s="131" t="str">
        <f>DataTable[HLD_Portfolio]&amp;DataTable[HLD_Date]</f>
        <v>SCBPLUS43397</v>
      </c>
      <c r="V901" t="str">
        <f>DataTable[[#This Row],[RefRng]]&amp;DataTable[[#This Row],[HLD_SecCode]]</f>
        <v>SCBPLUS43397TFFIF/U</v>
      </c>
    </row>
    <row r="902" spans="1:22" x14ac:dyDescent="0.2">
      <c r="A902" s="131">
        <v>43397</v>
      </c>
      <c r="B902" t="s">
        <v>336</v>
      </c>
      <c r="C902" t="s">
        <v>120</v>
      </c>
      <c r="D902" t="s">
        <v>122</v>
      </c>
      <c r="E902" t="s">
        <v>122</v>
      </c>
      <c r="F902" t="s">
        <v>122</v>
      </c>
      <c r="I902" s="131"/>
      <c r="J902" s="6">
        <v>-78247.259999999995</v>
      </c>
      <c r="O902">
        <v>0</v>
      </c>
      <c r="P902">
        <v>-3.6783E-6</v>
      </c>
      <c r="S902" s="131"/>
      <c r="T902" s="6">
        <f>DataTable[HLD_MaturityDate] - DataTable[SEC_Issue_Date]</f>
        <v>0</v>
      </c>
      <c r="U902" s="131" t="str">
        <f>DataTable[HLD_Portfolio]&amp;DataTable[HLD_Date]</f>
        <v>SCBPLUS43397</v>
      </c>
      <c r="V902" t="str">
        <f>DataTable[[#This Row],[RefRng]]&amp;DataTable[[#This Row],[HLD_SecCode]]</f>
        <v>SCBPLUS43397AUDITING FEE</v>
      </c>
    </row>
    <row r="903" spans="1:22" x14ac:dyDescent="0.2">
      <c r="A903" s="131">
        <v>43397</v>
      </c>
      <c r="B903" t="s">
        <v>336</v>
      </c>
      <c r="C903" t="s">
        <v>120</v>
      </c>
      <c r="D903" t="s">
        <v>123</v>
      </c>
      <c r="I903" s="131"/>
      <c r="J903" s="6">
        <v>-325225.84000000003</v>
      </c>
      <c r="K903">
        <v>0</v>
      </c>
      <c r="O903">
        <v>0</v>
      </c>
      <c r="P903">
        <v>-1.5288300000000001E-5</v>
      </c>
      <c r="S903" s="131"/>
      <c r="T903" s="6">
        <f>DataTable[HLD_MaturityDate] - DataTable[SEC_Issue_Date]</f>
        <v>0</v>
      </c>
      <c r="U903" s="131" t="str">
        <f>DataTable[HLD_Portfolio]&amp;DataTable[HLD_Date]</f>
        <v>SCBPLUS43397</v>
      </c>
      <c r="V903" t="str">
        <f>DataTable[[#This Row],[RefRng]]&amp;DataTable[[#This Row],[HLD_SecCode]]</f>
        <v>SCBPLUS43397</v>
      </c>
    </row>
    <row r="904" spans="1:22" x14ac:dyDescent="0.2">
      <c r="A904" s="131">
        <v>43397</v>
      </c>
      <c r="B904" t="s">
        <v>336</v>
      </c>
      <c r="C904" t="s">
        <v>120</v>
      </c>
      <c r="D904" t="s">
        <v>125</v>
      </c>
      <c r="E904" t="s">
        <v>125</v>
      </c>
      <c r="I904" s="131"/>
      <c r="J904" s="6">
        <v>-405342.87</v>
      </c>
      <c r="L904">
        <v>-405342.87</v>
      </c>
      <c r="O904">
        <v>0</v>
      </c>
      <c r="P904">
        <v>-1.9054399999999998E-5</v>
      </c>
      <c r="S904" s="131"/>
      <c r="T904" s="6">
        <f>DataTable[HLD_MaturityDate] - DataTable[SEC_Issue_Date]</f>
        <v>0</v>
      </c>
      <c r="U904" s="131" t="str">
        <f>DataTable[HLD_Portfolio]&amp;DataTable[HLD_Date]</f>
        <v>SCBPLUS43397</v>
      </c>
      <c r="V904" t="str">
        <f>DataTable[[#This Row],[RefRng]]&amp;DataTable[[#This Row],[HLD_SecCode]]</f>
        <v>SCBPLUS43397</v>
      </c>
    </row>
    <row r="905" spans="1:22" x14ac:dyDescent="0.2">
      <c r="A905" s="131">
        <v>43397</v>
      </c>
      <c r="B905" t="s">
        <v>336</v>
      </c>
      <c r="C905" t="s">
        <v>120</v>
      </c>
      <c r="D905" t="s">
        <v>126</v>
      </c>
      <c r="E905" t="s">
        <v>126</v>
      </c>
      <c r="I905" s="131"/>
      <c r="J905" s="6">
        <v>-7422296.4199999999</v>
      </c>
      <c r="L905">
        <v>-7422296.4199999999</v>
      </c>
      <c r="O905">
        <v>0</v>
      </c>
      <c r="P905">
        <v>-3.489082E-4</v>
      </c>
      <c r="S905" s="131"/>
      <c r="T905" s="6">
        <f>DataTable[HLD_MaturityDate] - DataTable[SEC_Issue_Date]</f>
        <v>0</v>
      </c>
      <c r="U905" s="131" t="str">
        <f>DataTable[HLD_Portfolio]&amp;DataTable[HLD_Date]</f>
        <v>SCBPLUS43397</v>
      </c>
      <c r="V905" t="str">
        <f>DataTable[[#This Row],[RefRng]]&amp;DataTable[[#This Row],[HLD_SecCode]]</f>
        <v>SCBPLUS43397</v>
      </c>
    </row>
    <row r="906" spans="1:22" x14ac:dyDescent="0.2">
      <c r="A906" s="131">
        <v>43397</v>
      </c>
      <c r="B906" t="s">
        <v>336</v>
      </c>
      <c r="C906" t="s">
        <v>128</v>
      </c>
      <c r="D906" t="s">
        <v>125</v>
      </c>
      <c r="E906" t="s">
        <v>125</v>
      </c>
      <c r="I906" s="131"/>
      <c r="J906" s="6">
        <v>-37418.29</v>
      </c>
      <c r="O906">
        <v>0</v>
      </c>
      <c r="P906">
        <v>-1.759E-6</v>
      </c>
      <c r="S906" s="131"/>
      <c r="T906" s="6">
        <f>DataTable[HLD_MaturityDate] - DataTable[SEC_Issue_Date]</f>
        <v>0</v>
      </c>
      <c r="U906" s="131" t="str">
        <f>DataTable[HLD_Portfolio]&amp;DataTable[HLD_Date]</f>
        <v>SCBPLUS43397</v>
      </c>
      <c r="V906" t="str">
        <f>DataTable[[#This Row],[RefRng]]&amp;DataTable[[#This Row],[HLD_SecCode]]</f>
        <v>SCBPLUS43397</v>
      </c>
    </row>
    <row r="907" spans="1:22" x14ac:dyDescent="0.2">
      <c r="A907" s="131">
        <v>43397</v>
      </c>
      <c r="B907" t="s">
        <v>336</v>
      </c>
      <c r="C907" t="s">
        <v>128</v>
      </c>
      <c r="D907" t="s">
        <v>126</v>
      </c>
      <c r="E907" t="s">
        <v>126</v>
      </c>
      <c r="I907" s="131"/>
      <c r="J907" s="6">
        <v>-678910.57</v>
      </c>
      <c r="O907">
        <v>0</v>
      </c>
      <c r="P907">
        <v>-3.19143E-5</v>
      </c>
      <c r="S907" s="131"/>
      <c r="T907" s="6">
        <f>DataTable[HLD_MaturityDate] - DataTable[SEC_Issue_Date]</f>
        <v>0</v>
      </c>
      <c r="U907" s="131" t="str">
        <f>DataTable[HLD_Portfolio]&amp;DataTable[HLD_Date]</f>
        <v>SCBPLUS43397</v>
      </c>
      <c r="V907" t="str">
        <f>DataTable[[#This Row],[RefRng]]&amp;DataTable[[#This Row],[HLD_SecCode]]</f>
        <v>SCBPLUS43397</v>
      </c>
    </row>
    <row r="908" spans="1:22" x14ac:dyDescent="0.2">
      <c r="A908" s="131">
        <v>43397</v>
      </c>
      <c r="B908" t="s">
        <v>334</v>
      </c>
      <c r="C908" t="s">
        <v>18</v>
      </c>
      <c r="D908" t="s">
        <v>19</v>
      </c>
      <c r="F908" t="s">
        <v>20</v>
      </c>
      <c r="G908" t="s">
        <v>137</v>
      </c>
      <c r="I908" s="131"/>
      <c r="J908" s="6">
        <v>6088582.5700000003</v>
      </c>
      <c r="K908">
        <v>5313.15</v>
      </c>
      <c r="L908">
        <v>6088582.5700000003</v>
      </c>
      <c r="M908">
        <v>0</v>
      </c>
      <c r="N908">
        <v>0</v>
      </c>
      <c r="O908">
        <v>0</v>
      </c>
      <c r="P908">
        <v>4.0686352999999998E-3</v>
      </c>
      <c r="Q908" t="s">
        <v>22</v>
      </c>
      <c r="R908" t="s">
        <v>23</v>
      </c>
      <c r="S908" s="131">
        <v>2</v>
      </c>
      <c r="T908" s="6">
        <f>DataTable[HLD_MaturityDate] - DataTable[SEC_Issue_Date]</f>
        <v>-2</v>
      </c>
      <c r="U908" s="131" t="str">
        <f>DataTable[HLD_Portfolio]&amp;DataTable[HLD_Date]</f>
        <v>SCBFIXED43397</v>
      </c>
      <c r="V908" t="str">
        <f>DataTable[[#This Row],[RefRng]]&amp;DataTable[[#This Row],[HLD_SecCode]]</f>
        <v>SCBFIXED43397CASH</v>
      </c>
    </row>
    <row r="909" spans="1:22" x14ac:dyDescent="0.2">
      <c r="A909" s="131">
        <v>43397</v>
      </c>
      <c r="B909" t="s">
        <v>334</v>
      </c>
      <c r="C909" t="s">
        <v>18</v>
      </c>
      <c r="D909" t="s">
        <v>19</v>
      </c>
      <c r="F909" t="s">
        <v>30</v>
      </c>
      <c r="G909" t="s">
        <v>26</v>
      </c>
      <c r="H909" t="s">
        <v>27</v>
      </c>
      <c r="I909" s="131"/>
      <c r="J909" s="6">
        <v>0</v>
      </c>
      <c r="L909">
        <v>0</v>
      </c>
      <c r="M909">
        <v>0</v>
      </c>
      <c r="N909">
        <v>0</v>
      </c>
      <c r="O909">
        <v>0</v>
      </c>
      <c r="P909">
        <v>0</v>
      </c>
      <c r="Q909" t="s">
        <v>22</v>
      </c>
      <c r="R909" t="s">
        <v>31</v>
      </c>
      <c r="S909" s="131">
        <v>2</v>
      </c>
      <c r="T909" s="6">
        <f>DataTable[HLD_MaturityDate] - DataTable[SEC_Issue_Date]</f>
        <v>-2</v>
      </c>
      <c r="U909" s="131" t="str">
        <f>DataTable[HLD_Portfolio]&amp;DataTable[HLD_Date]</f>
        <v>SCBFIXED43397</v>
      </c>
      <c r="V909" t="str">
        <f>DataTable[[#This Row],[RefRng]]&amp;DataTable[[#This Row],[HLD_SecCode]]</f>
        <v>SCBFIXED43397-EUR CASH-</v>
      </c>
    </row>
    <row r="910" spans="1:22" x14ac:dyDescent="0.2">
      <c r="A910" s="131">
        <v>43397</v>
      </c>
      <c r="B910" t="s">
        <v>334</v>
      </c>
      <c r="C910" t="s">
        <v>18</v>
      </c>
      <c r="D910" t="s">
        <v>38</v>
      </c>
      <c r="F910" t="s">
        <v>67</v>
      </c>
      <c r="G910" t="s">
        <v>53</v>
      </c>
      <c r="H910" t="s">
        <v>47</v>
      </c>
      <c r="I910" s="131">
        <v>43543</v>
      </c>
      <c r="J910" s="6">
        <v>75076200</v>
      </c>
      <c r="K910">
        <v>3649.54</v>
      </c>
      <c r="L910">
        <v>76000000</v>
      </c>
      <c r="M910">
        <v>0.40547299999999997</v>
      </c>
      <c r="N910">
        <v>2000000</v>
      </c>
      <c r="O910">
        <v>0.05</v>
      </c>
      <c r="P910">
        <v>5.0127626500000001E-2</v>
      </c>
      <c r="Q910" t="s">
        <v>42</v>
      </c>
      <c r="R910" t="s">
        <v>31</v>
      </c>
      <c r="S910" s="131">
        <v>43363</v>
      </c>
      <c r="T910" s="6">
        <f>DataTable[HLD_MaturityDate] - DataTable[SEC_Issue_Date]</f>
        <v>180</v>
      </c>
      <c r="U910" s="131" t="str">
        <f>DataTable[HLD_Portfolio]&amp;DataTable[HLD_Date]</f>
        <v>SCBFIXED43397</v>
      </c>
      <c r="V910" t="str">
        <f>DataTable[[#This Row],[RefRng]]&amp;DataTable[[#This Row],[HLD_SecCode]]</f>
        <v>SCBFIXED43397F6MBOCMC190319</v>
      </c>
    </row>
    <row r="911" spans="1:22" x14ac:dyDescent="0.2">
      <c r="A911" s="131">
        <v>43397</v>
      </c>
      <c r="B911" t="s">
        <v>334</v>
      </c>
      <c r="C911" t="s">
        <v>18</v>
      </c>
      <c r="D911" t="s">
        <v>38</v>
      </c>
      <c r="F911" t="s">
        <v>800</v>
      </c>
      <c r="G911" t="s">
        <v>73</v>
      </c>
      <c r="H911" t="s">
        <v>58</v>
      </c>
      <c r="I911" s="131">
        <v>44196</v>
      </c>
      <c r="J911" s="6">
        <v>11007009.58</v>
      </c>
      <c r="K911">
        <v>22864.14</v>
      </c>
      <c r="L911">
        <v>11007009.58</v>
      </c>
      <c r="M911">
        <v>0</v>
      </c>
      <c r="N911">
        <v>11007009.58</v>
      </c>
      <c r="O911">
        <v>0</v>
      </c>
      <c r="P911">
        <v>7.3641781999999999E-3</v>
      </c>
      <c r="Q911" t="s">
        <v>42</v>
      </c>
      <c r="R911" t="s">
        <v>23</v>
      </c>
      <c r="S911" s="131">
        <v>43258</v>
      </c>
      <c r="T911" s="6">
        <f>DataTable[HLD_MaturityDate] - DataTable[SEC_Issue_Date]</f>
        <v>938</v>
      </c>
      <c r="U911" s="131" t="str">
        <f>DataTable[HLD_Portfolio]&amp;DataTable[HLD_Date]</f>
        <v>SCBFIXED43397</v>
      </c>
      <c r="V911" t="str">
        <f>DataTable[[#This Row],[RefRng]]&amp;DataTable[[#This Row],[HLD_SecCode]]</f>
        <v>SCBFIXED43397INVSUOBTfixed</v>
      </c>
    </row>
    <row r="912" spans="1:22" x14ac:dyDescent="0.2">
      <c r="A912" s="131">
        <v>43397</v>
      </c>
      <c r="B912" t="s">
        <v>334</v>
      </c>
      <c r="C912" t="s">
        <v>18</v>
      </c>
      <c r="D912" t="s">
        <v>75</v>
      </c>
      <c r="F912" t="s">
        <v>801</v>
      </c>
      <c r="G912" t="s">
        <v>631</v>
      </c>
      <c r="H912" t="s">
        <v>116</v>
      </c>
      <c r="I912" s="131">
        <v>43510</v>
      </c>
      <c r="J912" s="6">
        <v>49703055</v>
      </c>
      <c r="L912">
        <v>49719283.5</v>
      </c>
      <c r="M912">
        <v>0.30502699999999999</v>
      </c>
      <c r="N912">
        <v>50000000</v>
      </c>
      <c r="O912">
        <v>1.84</v>
      </c>
      <c r="P912">
        <v>3.3184618700000001E-2</v>
      </c>
      <c r="Q912" t="s">
        <v>42</v>
      </c>
      <c r="R912" t="s">
        <v>23</v>
      </c>
      <c r="S912" s="131">
        <v>43326</v>
      </c>
      <c r="T912" s="6">
        <f>DataTable[HLD_MaturityDate] - DataTable[SEC_Issue_Date]</f>
        <v>184</v>
      </c>
      <c r="U912" s="131" t="str">
        <f>DataTable[HLD_Portfolio]&amp;DataTable[HLD_Date]</f>
        <v>SCBFIXED43397</v>
      </c>
      <c r="V912" t="str">
        <f>DataTable[[#This Row],[RefRng]]&amp;DataTable[[#This Row],[HLD_SecCode]]</f>
        <v>SCBFIXED43397EA19214A</v>
      </c>
    </row>
    <row r="913" spans="1:22" x14ac:dyDescent="0.2">
      <c r="A913" s="131">
        <v>43397</v>
      </c>
      <c r="B913" t="s">
        <v>334</v>
      </c>
      <c r="C913" t="s">
        <v>18</v>
      </c>
      <c r="D913" t="s">
        <v>85</v>
      </c>
      <c r="F913" t="s">
        <v>571</v>
      </c>
      <c r="G913" t="s">
        <v>87</v>
      </c>
      <c r="I913" s="131">
        <v>43461</v>
      </c>
      <c r="J913" s="6">
        <v>54869305.700000003</v>
      </c>
      <c r="L913">
        <v>54860223.549999997</v>
      </c>
      <c r="M913">
        <v>0.172185</v>
      </c>
      <c r="N913">
        <v>55000000</v>
      </c>
      <c r="O913">
        <v>1.476143</v>
      </c>
      <c r="P913">
        <v>3.6633904799999999E-2</v>
      </c>
      <c r="Q913" t="s">
        <v>42</v>
      </c>
      <c r="R913" t="s">
        <v>23</v>
      </c>
      <c r="S913" s="131">
        <v>43279</v>
      </c>
      <c r="T913" s="6">
        <f>DataTable[HLD_MaturityDate] - DataTable[SEC_Issue_Date]</f>
        <v>182</v>
      </c>
      <c r="U913" s="131" t="str">
        <f>DataTable[HLD_Portfolio]&amp;DataTable[HLD_Date]</f>
        <v>SCBFIXED43397</v>
      </c>
      <c r="V913" t="str">
        <f>DataTable[[#This Row],[RefRng]]&amp;DataTable[[#This Row],[HLD_SecCode]]</f>
        <v>SCBFIXED43397CB18D27A</v>
      </c>
    </row>
    <row r="914" spans="1:22" x14ac:dyDescent="0.2">
      <c r="A914" s="131">
        <v>43397</v>
      </c>
      <c r="B914" t="s">
        <v>334</v>
      </c>
      <c r="C914" t="s">
        <v>18</v>
      </c>
      <c r="D914" t="s">
        <v>85</v>
      </c>
      <c r="F914" t="s">
        <v>198</v>
      </c>
      <c r="G914" t="s">
        <v>87</v>
      </c>
      <c r="I914" s="131">
        <v>43405</v>
      </c>
      <c r="J914" s="6">
        <v>85980048</v>
      </c>
      <c r="L914">
        <v>85980048</v>
      </c>
      <c r="M914">
        <v>1.9174E-2</v>
      </c>
      <c r="N914">
        <v>86000000</v>
      </c>
      <c r="O914">
        <v>1.21</v>
      </c>
      <c r="P914">
        <v>5.7405225999999997E-2</v>
      </c>
      <c r="Q914" t="s">
        <v>42</v>
      </c>
      <c r="R914" t="s">
        <v>23</v>
      </c>
      <c r="S914" s="131">
        <v>43223</v>
      </c>
      <c r="T914" s="6">
        <f>DataTable[HLD_MaturityDate] - DataTable[SEC_Issue_Date]</f>
        <v>182</v>
      </c>
      <c r="U914" s="131" t="str">
        <f>DataTable[HLD_Portfolio]&amp;DataTable[HLD_Date]</f>
        <v>SCBFIXED43397</v>
      </c>
      <c r="V914" t="str">
        <f>DataTable[[#This Row],[RefRng]]&amp;DataTable[[#This Row],[HLD_SecCode]]</f>
        <v>SCBFIXED43397CB18N01A</v>
      </c>
    </row>
    <row r="915" spans="1:22" x14ac:dyDescent="0.2">
      <c r="A915" s="131">
        <v>43397</v>
      </c>
      <c r="B915" t="s">
        <v>334</v>
      </c>
      <c r="C915" t="s">
        <v>18</v>
      </c>
      <c r="D915" t="s">
        <v>85</v>
      </c>
      <c r="F915" t="s">
        <v>92</v>
      </c>
      <c r="G915" t="s">
        <v>87</v>
      </c>
      <c r="I915" s="131">
        <v>43412</v>
      </c>
      <c r="J915" s="6">
        <v>9995514.3000000007</v>
      </c>
      <c r="L915">
        <v>9995514.3000000007</v>
      </c>
      <c r="M915">
        <v>3.8337999999999997E-2</v>
      </c>
      <c r="N915">
        <v>10000000</v>
      </c>
      <c r="O915">
        <v>1.17</v>
      </c>
      <c r="P915">
        <v>6.6735802999999998E-3</v>
      </c>
      <c r="Q915" t="s">
        <v>42</v>
      </c>
      <c r="R915" t="s">
        <v>23</v>
      </c>
      <c r="S915" s="131">
        <v>43321</v>
      </c>
      <c r="T915" s="6">
        <f>DataTable[HLD_MaturityDate] - DataTable[SEC_Issue_Date]</f>
        <v>91</v>
      </c>
      <c r="U915" s="131" t="str">
        <f>DataTable[HLD_Portfolio]&amp;DataTable[HLD_Date]</f>
        <v>SCBFIXED43397</v>
      </c>
      <c r="V915" t="str">
        <f>DataTable[[#This Row],[RefRng]]&amp;DataTable[[#This Row],[HLD_SecCode]]</f>
        <v>SCBFIXED43397CB18N08B</v>
      </c>
    </row>
    <row r="916" spans="1:22" x14ac:dyDescent="0.2">
      <c r="A916" s="131">
        <v>43397</v>
      </c>
      <c r="B916" t="s">
        <v>334</v>
      </c>
      <c r="C916" t="s">
        <v>18</v>
      </c>
      <c r="D916" t="s">
        <v>85</v>
      </c>
      <c r="F916" t="s">
        <v>93</v>
      </c>
      <c r="G916" t="s">
        <v>87</v>
      </c>
      <c r="I916" s="131">
        <v>43419</v>
      </c>
      <c r="J916" s="6">
        <v>59957914.200000003</v>
      </c>
      <c r="L916">
        <v>59957914.200000003</v>
      </c>
      <c r="M916">
        <v>5.7493000000000002E-2</v>
      </c>
      <c r="N916">
        <v>60000000</v>
      </c>
      <c r="O916">
        <v>1.22</v>
      </c>
      <c r="P916">
        <v>4.00313526E-2</v>
      </c>
      <c r="Q916" t="s">
        <v>42</v>
      </c>
      <c r="R916" t="s">
        <v>23</v>
      </c>
      <c r="S916" s="131">
        <v>43237</v>
      </c>
      <c r="T916" s="6">
        <f>DataTable[HLD_MaturityDate] - DataTable[SEC_Issue_Date]</f>
        <v>182</v>
      </c>
      <c r="U916" s="131" t="str">
        <f>DataTable[HLD_Portfolio]&amp;DataTable[HLD_Date]</f>
        <v>SCBFIXED43397</v>
      </c>
      <c r="V916" t="str">
        <f>DataTable[[#This Row],[RefRng]]&amp;DataTable[[#This Row],[HLD_SecCode]]</f>
        <v>SCBFIXED43397CB18N15A</v>
      </c>
    </row>
    <row r="917" spans="1:22" x14ac:dyDescent="0.2">
      <c r="A917" s="131">
        <v>43397</v>
      </c>
      <c r="B917" t="s">
        <v>334</v>
      </c>
      <c r="C917" t="s">
        <v>18</v>
      </c>
      <c r="D917" t="s">
        <v>85</v>
      </c>
      <c r="F917" t="s">
        <v>99</v>
      </c>
      <c r="G917" t="s">
        <v>87</v>
      </c>
      <c r="I917" s="131">
        <v>43398</v>
      </c>
      <c r="J917" s="6">
        <v>95000000</v>
      </c>
      <c r="L917">
        <v>95000000</v>
      </c>
      <c r="M917">
        <v>2.7399999999999998E-3</v>
      </c>
      <c r="N917">
        <v>95000000</v>
      </c>
      <c r="O917">
        <v>1.21</v>
      </c>
      <c r="P917">
        <v>6.3427464899999994E-2</v>
      </c>
      <c r="Q917" t="s">
        <v>42</v>
      </c>
      <c r="R917" t="s">
        <v>23</v>
      </c>
      <c r="S917" s="131">
        <v>43216</v>
      </c>
      <c r="T917" s="6">
        <f>DataTable[HLD_MaturityDate] - DataTable[SEC_Issue_Date]</f>
        <v>182</v>
      </c>
      <c r="U917" s="131" t="str">
        <f>DataTable[HLD_Portfolio]&amp;DataTable[HLD_Date]</f>
        <v>SCBFIXED43397</v>
      </c>
      <c r="V917" t="str">
        <f>DataTable[[#This Row],[RefRng]]&amp;DataTable[[#This Row],[HLD_SecCode]]</f>
        <v>SCBFIXED43397CB18O25A</v>
      </c>
    </row>
    <row r="918" spans="1:22" x14ac:dyDescent="0.2">
      <c r="A918" s="131">
        <v>43397</v>
      </c>
      <c r="B918" t="s">
        <v>334</v>
      </c>
      <c r="C918" t="s">
        <v>18</v>
      </c>
      <c r="D918" t="s">
        <v>85</v>
      </c>
      <c r="F918" t="s">
        <v>100</v>
      </c>
      <c r="G918" t="s">
        <v>87</v>
      </c>
      <c r="I918" s="131">
        <v>43398</v>
      </c>
      <c r="J918" s="6">
        <v>10000000</v>
      </c>
      <c r="L918">
        <v>10000000</v>
      </c>
      <c r="M918">
        <v>2.7399999999999998E-3</v>
      </c>
      <c r="N918">
        <v>10000000</v>
      </c>
      <c r="O918">
        <v>1.1599999999999999</v>
      </c>
      <c r="P918">
        <v>6.6765751999999998E-3</v>
      </c>
      <c r="Q918" t="s">
        <v>42</v>
      </c>
      <c r="R918" t="s">
        <v>23</v>
      </c>
      <c r="S918" s="131">
        <v>43307</v>
      </c>
      <c r="T918" s="6">
        <f>DataTable[HLD_MaturityDate] - DataTable[SEC_Issue_Date]</f>
        <v>91</v>
      </c>
      <c r="U918" s="131" t="str">
        <f>DataTable[HLD_Portfolio]&amp;DataTable[HLD_Date]</f>
        <v>SCBFIXED43397</v>
      </c>
      <c r="V918" t="str">
        <f>DataTable[[#This Row],[RefRng]]&amp;DataTable[[#This Row],[HLD_SecCode]]</f>
        <v>SCBFIXED43397CB18O25B</v>
      </c>
    </row>
    <row r="919" spans="1:22" x14ac:dyDescent="0.2">
      <c r="A919" s="131">
        <v>43397</v>
      </c>
      <c r="B919" t="s">
        <v>334</v>
      </c>
      <c r="C919" t="s">
        <v>18</v>
      </c>
      <c r="D919" t="s">
        <v>85</v>
      </c>
      <c r="F919" t="s">
        <v>572</v>
      </c>
      <c r="G919" t="s">
        <v>87</v>
      </c>
      <c r="I919" s="131">
        <v>43475</v>
      </c>
      <c r="J919" s="6">
        <v>89708557.5</v>
      </c>
      <c r="L919">
        <v>89714594.700000003</v>
      </c>
      <c r="M919">
        <v>0.21026800000000001</v>
      </c>
      <c r="N919">
        <v>90000000</v>
      </c>
      <c r="O919">
        <v>1.508</v>
      </c>
      <c r="P919">
        <v>5.9894593500000003E-2</v>
      </c>
      <c r="Q919" t="s">
        <v>42</v>
      </c>
      <c r="R919" t="s">
        <v>23</v>
      </c>
      <c r="S919" s="131">
        <v>43293</v>
      </c>
      <c r="T919" s="6">
        <f>DataTable[HLD_MaturityDate] - DataTable[SEC_Issue_Date]</f>
        <v>182</v>
      </c>
      <c r="U919" s="131" t="str">
        <f>DataTable[HLD_Portfolio]&amp;DataTable[HLD_Date]</f>
        <v>SCBFIXED43397</v>
      </c>
      <c r="V919" t="str">
        <f>DataTable[[#This Row],[RefRng]]&amp;DataTable[[#This Row],[HLD_SecCode]]</f>
        <v>SCBFIXED43397CB19110A</v>
      </c>
    </row>
    <row r="920" spans="1:22" x14ac:dyDescent="0.2">
      <c r="A920" s="131">
        <v>43397</v>
      </c>
      <c r="B920" t="s">
        <v>334</v>
      </c>
      <c r="C920" t="s">
        <v>18</v>
      </c>
      <c r="D920" t="s">
        <v>85</v>
      </c>
      <c r="F920" t="s">
        <v>802</v>
      </c>
      <c r="G920" t="s">
        <v>87</v>
      </c>
      <c r="I920" s="131">
        <v>43482</v>
      </c>
      <c r="J920" s="6">
        <v>49823420.5</v>
      </c>
      <c r="L920">
        <v>49826962.5</v>
      </c>
      <c r="M920">
        <v>0.22931000000000001</v>
      </c>
      <c r="N920">
        <v>50000000</v>
      </c>
      <c r="O920">
        <v>1.5089999999999999</v>
      </c>
      <c r="P920">
        <v>3.32649816E-2</v>
      </c>
      <c r="Q920" t="s">
        <v>42</v>
      </c>
      <c r="R920" t="s">
        <v>23</v>
      </c>
      <c r="S920" s="131">
        <v>43300</v>
      </c>
      <c r="T920" s="6">
        <f>DataTable[HLD_MaturityDate] - DataTable[SEC_Issue_Date]</f>
        <v>182</v>
      </c>
      <c r="U920" s="131" t="str">
        <f>DataTable[HLD_Portfolio]&amp;DataTable[HLD_Date]</f>
        <v>SCBFIXED43397</v>
      </c>
      <c r="V920" t="str">
        <f>DataTable[[#This Row],[RefRng]]&amp;DataTable[[#This Row],[HLD_SecCode]]</f>
        <v>SCBFIXED43397CB19117A</v>
      </c>
    </row>
    <row r="921" spans="1:22" x14ac:dyDescent="0.2">
      <c r="A921" s="131">
        <v>43397</v>
      </c>
      <c r="B921" t="s">
        <v>334</v>
      </c>
      <c r="C921" t="s">
        <v>18</v>
      </c>
      <c r="D921" t="s">
        <v>85</v>
      </c>
      <c r="F921" t="s">
        <v>1262</v>
      </c>
      <c r="G921" t="s">
        <v>87</v>
      </c>
      <c r="I921" s="131">
        <v>43489</v>
      </c>
      <c r="J921" s="6">
        <v>29883260.420000002</v>
      </c>
      <c r="L921">
        <v>29883260.420000002</v>
      </c>
      <c r="M921">
        <v>0.25205499999999997</v>
      </c>
      <c r="N921">
        <v>30000000</v>
      </c>
      <c r="O921">
        <v>1.5669</v>
      </c>
      <c r="P921">
        <v>1.99517837E-2</v>
      </c>
      <c r="Q921" t="s">
        <v>42</v>
      </c>
      <c r="R921" t="s">
        <v>23</v>
      </c>
      <c r="S921" s="131">
        <v>43398</v>
      </c>
      <c r="T921" s="6">
        <f>DataTable[HLD_MaturityDate] - DataTable[SEC_Issue_Date]</f>
        <v>91</v>
      </c>
      <c r="U921" s="131" t="str">
        <f>DataTable[HLD_Portfolio]&amp;DataTable[HLD_Date]</f>
        <v>SCBFIXED43397</v>
      </c>
      <c r="V921" t="str">
        <f>DataTable[[#This Row],[RefRng]]&amp;DataTable[[#This Row],[HLD_SecCode]]</f>
        <v>SCBFIXED43397CB19124B</v>
      </c>
    </row>
    <row r="922" spans="1:22" x14ac:dyDescent="0.2">
      <c r="A922" s="131">
        <v>43397</v>
      </c>
      <c r="B922" t="s">
        <v>334</v>
      </c>
      <c r="C922" t="s">
        <v>18</v>
      </c>
      <c r="D922" t="s">
        <v>85</v>
      </c>
      <c r="F922" t="s">
        <v>573</v>
      </c>
      <c r="G922" t="s">
        <v>87</v>
      </c>
      <c r="I922" s="131">
        <v>43496</v>
      </c>
      <c r="J922" s="6">
        <v>99569587</v>
      </c>
      <c r="L922">
        <v>99598876</v>
      </c>
      <c r="M922">
        <v>0.26733800000000002</v>
      </c>
      <c r="N922">
        <v>100000000</v>
      </c>
      <c r="O922">
        <v>1.5</v>
      </c>
      <c r="P922">
        <v>6.6478384000000001E-2</v>
      </c>
      <c r="Q922" t="s">
        <v>42</v>
      </c>
      <c r="R922" t="s">
        <v>23</v>
      </c>
      <c r="S922" s="131">
        <v>43314</v>
      </c>
      <c r="T922" s="6">
        <f>DataTable[HLD_MaturityDate] - DataTable[SEC_Issue_Date]</f>
        <v>182</v>
      </c>
      <c r="U922" s="131" t="str">
        <f>DataTable[HLD_Portfolio]&amp;DataTable[HLD_Date]</f>
        <v>SCBFIXED43397</v>
      </c>
      <c r="V922" t="str">
        <f>DataTable[[#This Row],[RefRng]]&amp;DataTable[[#This Row],[HLD_SecCode]]</f>
        <v>SCBFIXED43397CB19131A</v>
      </c>
    </row>
    <row r="923" spans="1:22" x14ac:dyDescent="0.2">
      <c r="A923" s="131">
        <v>43397</v>
      </c>
      <c r="B923" t="s">
        <v>334</v>
      </c>
      <c r="C923" t="s">
        <v>18</v>
      </c>
      <c r="D923" t="s">
        <v>85</v>
      </c>
      <c r="F923" t="s">
        <v>756</v>
      </c>
      <c r="G923" t="s">
        <v>87</v>
      </c>
      <c r="I923" s="131">
        <v>43517</v>
      </c>
      <c r="J923" s="6">
        <v>99481063</v>
      </c>
      <c r="L923">
        <v>99513339</v>
      </c>
      <c r="M923">
        <v>0.32433600000000001</v>
      </c>
      <c r="N923">
        <v>100000000</v>
      </c>
      <c r="O923">
        <v>1.5</v>
      </c>
      <c r="P923">
        <v>6.6419280299999994E-2</v>
      </c>
      <c r="Q923" t="s">
        <v>42</v>
      </c>
      <c r="R923" t="s">
        <v>23</v>
      </c>
      <c r="S923" s="131">
        <v>43335</v>
      </c>
      <c r="T923" s="6">
        <f>DataTable[HLD_MaturityDate] - DataTable[SEC_Issue_Date]</f>
        <v>182</v>
      </c>
      <c r="U923" s="131" t="str">
        <f>DataTable[HLD_Portfolio]&amp;DataTable[HLD_Date]</f>
        <v>SCBFIXED43397</v>
      </c>
      <c r="V923" t="str">
        <f>DataTable[[#This Row],[RefRng]]&amp;DataTable[[#This Row],[HLD_SecCode]]</f>
        <v>SCBFIXED43397CB19221A</v>
      </c>
    </row>
    <row r="924" spans="1:22" x14ac:dyDescent="0.2">
      <c r="A924" s="131">
        <v>43397</v>
      </c>
      <c r="B924" t="s">
        <v>334</v>
      </c>
      <c r="C924" t="s">
        <v>18</v>
      </c>
      <c r="D924" t="s">
        <v>85</v>
      </c>
      <c r="F924" t="s">
        <v>575</v>
      </c>
      <c r="G924" t="s">
        <v>87</v>
      </c>
      <c r="I924" s="131">
        <v>43524</v>
      </c>
      <c r="J924" s="6">
        <v>59667893.399999999</v>
      </c>
      <c r="L924">
        <v>59692965.600000001</v>
      </c>
      <c r="M924">
        <v>0.34329500000000002</v>
      </c>
      <c r="N924">
        <v>60000000</v>
      </c>
      <c r="O924">
        <v>1.49</v>
      </c>
      <c r="P924">
        <v>3.9837718000000001E-2</v>
      </c>
      <c r="Q924" t="s">
        <v>42</v>
      </c>
      <c r="R924" t="s">
        <v>23</v>
      </c>
      <c r="S924" s="131">
        <v>43342</v>
      </c>
      <c r="T924" s="6">
        <f>DataTable[HLD_MaturityDate] - DataTable[SEC_Issue_Date]</f>
        <v>182</v>
      </c>
      <c r="U924" s="131" t="str">
        <f>DataTable[HLD_Portfolio]&amp;DataTable[HLD_Date]</f>
        <v>SCBFIXED43397</v>
      </c>
      <c r="V924" t="str">
        <f>DataTable[[#This Row],[RefRng]]&amp;DataTable[[#This Row],[HLD_SecCode]]</f>
        <v>SCBFIXED43397CB19228A</v>
      </c>
    </row>
    <row r="925" spans="1:22" x14ac:dyDescent="0.2">
      <c r="A925" s="131">
        <v>43397</v>
      </c>
      <c r="B925" t="s">
        <v>334</v>
      </c>
      <c r="C925" t="s">
        <v>18</v>
      </c>
      <c r="D925" t="s">
        <v>102</v>
      </c>
      <c r="F925" t="s">
        <v>806</v>
      </c>
      <c r="G925" t="s">
        <v>182</v>
      </c>
      <c r="H925" t="s">
        <v>51</v>
      </c>
      <c r="I925" s="131">
        <v>43609</v>
      </c>
      <c r="J925" s="6">
        <v>50835868.5</v>
      </c>
      <c r="K925">
        <v>1018931.5</v>
      </c>
      <c r="L925">
        <v>50877515.5</v>
      </c>
      <c r="M925">
        <v>0.56521999999999994</v>
      </c>
      <c r="N925">
        <v>50000000</v>
      </c>
      <c r="O925">
        <v>1.75</v>
      </c>
      <c r="P925">
        <v>3.4621247399999999E-2</v>
      </c>
      <c r="Q925" t="s">
        <v>42</v>
      </c>
      <c r="R925" t="s">
        <v>23</v>
      </c>
      <c r="S925" s="131">
        <v>41053</v>
      </c>
      <c r="T925" s="6">
        <f>DataTable[HLD_MaturityDate] - DataTable[SEC_Issue_Date]</f>
        <v>2556</v>
      </c>
      <c r="U925" s="131" t="str">
        <f>DataTable[HLD_Portfolio]&amp;DataTable[HLD_Date]</f>
        <v>SCBFIXED43397</v>
      </c>
      <c r="V925" t="str">
        <f>DataTable[[#This Row],[RefRng]]&amp;DataTable[[#This Row],[HLD_SecCode]]</f>
        <v>SCBFIXED43397BANPU195A</v>
      </c>
    </row>
    <row r="926" spans="1:22" x14ac:dyDescent="0.2">
      <c r="A926" s="131">
        <v>43397</v>
      </c>
      <c r="B926" t="s">
        <v>334</v>
      </c>
      <c r="C926" t="s">
        <v>18</v>
      </c>
      <c r="D926" t="s">
        <v>102</v>
      </c>
      <c r="F926" t="s">
        <v>529</v>
      </c>
      <c r="G926" t="s">
        <v>182</v>
      </c>
      <c r="H926" t="s">
        <v>51</v>
      </c>
      <c r="I926" s="131">
        <v>44016</v>
      </c>
      <c r="J926" s="6">
        <v>10328048.199999999</v>
      </c>
      <c r="K926">
        <v>134980.79999999999</v>
      </c>
      <c r="L926">
        <v>10363753.300000001</v>
      </c>
      <c r="M926">
        <v>1.6137319999999999</v>
      </c>
      <c r="N926">
        <v>10000000</v>
      </c>
      <c r="O926">
        <v>2.15</v>
      </c>
      <c r="P926">
        <v>6.98572E-3</v>
      </c>
      <c r="Q926" t="s">
        <v>42</v>
      </c>
      <c r="R926" t="s">
        <v>23</v>
      </c>
      <c r="S926" s="131">
        <v>41824</v>
      </c>
      <c r="T926" s="6">
        <f>DataTable[HLD_MaturityDate] - DataTable[SEC_Issue_Date]</f>
        <v>2192</v>
      </c>
      <c r="U926" s="131" t="str">
        <f>DataTable[HLD_Portfolio]&amp;DataTable[HLD_Date]</f>
        <v>SCBFIXED43397</v>
      </c>
      <c r="V926" t="str">
        <f>DataTable[[#This Row],[RefRng]]&amp;DataTable[[#This Row],[HLD_SecCode]]</f>
        <v>SCBFIXED43397BANPU207B</v>
      </c>
    </row>
    <row r="927" spans="1:22" x14ac:dyDescent="0.2">
      <c r="A927" s="131">
        <v>43397</v>
      </c>
      <c r="B927" t="s">
        <v>334</v>
      </c>
      <c r="C927" t="s">
        <v>18</v>
      </c>
      <c r="D927" t="s">
        <v>102</v>
      </c>
      <c r="F927" t="s">
        <v>531</v>
      </c>
      <c r="G927" t="s">
        <v>480</v>
      </c>
      <c r="H927" t="s">
        <v>47</v>
      </c>
      <c r="I927" s="131">
        <v>43640</v>
      </c>
      <c r="J927" s="6">
        <v>40033780</v>
      </c>
      <c r="K927">
        <v>299244</v>
      </c>
      <c r="L927">
        <v>40103525.600000001</v>
      </c>
      <c r="M927">
        <v>0.65210100000000004</v>
      </c>
      <c r="N927">
        <v>40000000</v>
      </c>
      <c r="O927">
        <v>1.82</v>
      </c>
      <c r="P927">
        <v>2.6928647E-2</v>
      </c>
      <c r="Q927" t="s">
        <v>42</v>
      </c>
      <c r="R927" t="s">
        <v>23</v>
      </c>
      <c r="S927" s="131">
        <v>42545</v>
      </c>
      <c r="T927" s="6">
        <f>DataTable[HLD_MaturityDate] - DataTable[SEC_Issue_Date]</f>
        <v>1095</v>
      </c>
      <c r="U927" s="131" t="str">
        <f>DataTable[HLD_Portfolio]&amp;DataTable[HLD_Date]</f>
        <v>SCBFIXED43397</v>
      </c>
      <c r="V927" t="str">
        <f>DataTable[[#This Row],[RefRng]]&amp;DataTable[[#This Row],[HLD_SecCode]]</f>
        <v>SCBFIXED43397BEM196A</v>
      </c>
    </row>
    <row r="928" spans="1:22" x14ac:dyDescent="0.2">
      <c r="A928" s="131">
        <v>43397</v>
      </c>
      <c r="B928" t="s">
        <v>334</v>
      </c>
      <c r="C928" t="s">
        <v>18</v>
      </c>
      <c r="D928" t="s">
        <v>102</v>
      </c>
      <c r="F928" t="s">
        <v>244</v>
      </c>
      <c r="G928" t="s">
        <v>245</v>
      </c>
      <c r="H928" t="s">
        <v>47</v>
      </c>
      <c r="I928" s="131">
        <v>43783</v>
      </c>
      <c r="J928" s="6">
        <v>7106179.7800000003</v>
      </c>
      <c r="K928">
        <v>110711.23</v>
      </c>
      <c r="L928">
        <v>7127867.1100000003</v>
      </c>
      <c r="M928">
        <v>1.018888</v>
      </c>
      <c r="N928">
        <v>7000000</v>
      </c>
      <c r="O928">
        <v>1.75</v>
      </c>
      <c r="P928">
        <v>4.8184116000000001E-3</v>
      </c>
      <c r="Q928" t="s">
        <v>42</v>
      </c>
      <c r="R928" t="s">
        <v>23</v>
      </c>
      <c r="S928" s="131">
        <v>41957</v>
      </c>
      <c r="T928" s="6">
        <f>DataTable[HLD_MaturityDate] - DataTable[SEC_Issue_Date]</f>
        <v>1826</v>
      </c>
      <c r="U928" s="131" t="str">
        <f>DataTable[HLD_Portfolio]&amp;DataTable[HLD_Date]</f>
        <v>SCBFIXED43397</v>
      </c>
      <c r="V928" t="str">
        <f>DataTable[[#This Row],[RefRng]]&amp;DataTable[[#This Row],[HLD_SecCode]]</f>
        <v>SCBFIXED43397BTG19NA</v>
      </c>
    </row>
    <row r="929" spans="1:22" x14ac:dyDescent="0.2">
      <c r="A929" s="131">
        <v>43397</v>
      </c>
      <c r="B929" t="s">
        <v>334</v>
      </c>
      <c r="C929" t="s">
        <v>18</v>
      </c>
      <c r="D929" t="s">
        <v>102</v>
      </c>
      <c r="F929" t="s">
        <v>489</v>
      </c>
      <c r="G929" t="s">
        <v>490</v>
      </c>
      <c r="H929" t="s">
        <v>116</v>
      </c>
      <c r="I929" s="131">
        <v>43997</v>
      </c>
      <c r="J929" s="6">
        <v>49758049.5</v>
      </c>
      <c r="K929">
        <v>403233</v>
      </c>
      <c r="L929">
        <v>50000000</v>
      </c>
      <c r="M929">
        <v>1.5867020000000001</v>
      </c>
      <c r="N929">
        <v>50000000</v>
      </c>
      <c r="O929">
        <v>2.23</v>
      </c>
      <c r="P929">
        <v>3.34905577E-2</v>
      </c>
      <c r="Q929" t="s">
        <v>42</v>
      </c>
      <c r="R929" t="s">
        <v>23</v>
      </c>
      <c r="S929" s="131">
        <v>43266</v>
      </c>
      <c r="T929" s="6">
        <f>DataTable[HLD_MaturityDate] - DataTable[SEC_Issue_Date]</f>
        <v>731</v>
      </c>
      <c r="U929" s="131" t="str">
        <f>DataTable[HLD_Portfolio]&amp;DataTable[HLD_Date]</f>
        <v>SCBFIXED43397</v>
      </c>
      <c r="V929" t="str">
        <f>DataTable[[#This Row],[RefRng]]&amp;DataTable[[#This Row],[HLD_SecCode]]</f>
        <v>SCBFIXED43397CBG206A</v>
      </c>
    </row>
    <row r="930" spans="1:22" x14ac:dyDescent="0.2">
      <c r="A930" s="131">
        <v>43397</v>
      </c>
      <c r="B930" t="s">
        <v>334</v>
      </c>
      <c r="C930" t="s">
        <v>18</v>
      </c>
      <c r="D930" t="s">
        <v>102</v>
      </c>
      <c r="F930" t="s">
        <v>534</v>
      </c>
      <c r="G930" t="s">
        <v>104</v>
      </c>
      <c r="H930" t="s">
        <v>51</v>
      </c>
      <c r="I930" s="131">
        <v>43551</v>
      </c>
      <c r="J930" s="6">
        <v>45432477.450000003</v>
      </c>
      <c r="K930">
        <v>148438.35</v>
      </c>
      <c r="L930">
        <v>45494034.75</v>
      </c>
      <c r="M930">
        <v>0.41497699999999998</v>
      </c>
      <c r="N930">
        <v>45000000</v>
      </c>
      <c r="O930">
        <v>1.7</v>
      </c>
      <c r="P930">
        <v>3.0432441399999999E-2</v>
      </c>
      <c r="Q930" t="s">
        <v>42</v>
      </c>
      <c r="R930" t="s">
        <v>23</v>
      </c>
      <c r="S930" s="131">
        <v>41725</v>
      </c>
      <c r="T930" s="6">
        <f>DataTable[HLD_MaturityDate] - DataTable[SEC_Issue_Date]</f>
        <v>1826</v>
      </c>
      <c r="U930" s="131" t="str">
        <f>DataTable[HLD_Portfolio]&amp;DataTable[HLD_Date]</f>
        <v>SCBFIXED43397</v>
      </c>
      <c r="V930" t="str">
        <f>DataTable[[#This Row],[RefRng]]&amp;DataTable[[#This Row],[HLD_SecCode]]</f>
        <v>SCBFIXED43397CPALL193B</v>
      </c>
    </row>
    <row r="931" spans="1:22" x14ac:dyDescent="0.2">
      <c r="A931" s="131">
        <v>43397</v>
      </c>
      <c r="B931" t="s">
        <v>334</v>
      </c>
      <c r="C931" t="s">
        <v>18</v>
      </c>
      <c r="D931" t="s">
        <v>102</v>
      </c>
      <c r="F931" t="s">
        <v>803</v>
      </c>
      <c r="G931" t="s">
        <v>104</v>
      </c>
      <c r="H931" t="s">
        <v>51</v>
      </c>
      <c r="I931" s="131">
        <v>43703</v>
      </c>
      <c r="J931" s="6">
        <v>20031735</v>
      </c>
      <c r="K931">
        <v>81863</v>
      </c>
      <c r="L931">
        <v>20105539.199999999</v>
      </c>
      <c r="M931">
        <v>0.82417200000000002</v>
      </c>
      <c r="N931">
        <v>20000000</v>
      </c>
      <c r="O931">
        <v>1.84</v>
      </c>
      <c r="P931">
        <v>1.34289951E-2</v>
      </c>
      <c r="Q931" t="s">
        <v>42</v>
      </c>
      <c r="R931" t="s">
        <v>23</v>
      </c>
      <c r="S931" s="131">
        <v>42608</v>
      </c>
      <c r="T931" s="6">
        <f>DataTable[HLD_MaturityDate] - DataTable[SEC_Issue_Date]</f>
        <v>1095</v>
      </c>
      <c r="U931" s="131" t="str">
        <f>DataTable[HLD_Portfolio]&amp;DataTable[HLD_Date]</f>
        <v>SCBFIXED43397</v>
      </c>
      <c r="V931" t="str">
        <f>DataTable[[#This Row],[RefRng]]&amp;DataTable[[#This Row],[HLD_SecCode]]</f>
        <v>SCBFIXED43397CPALL198C</v>
      </c>
    </row>
    <row r="932" spans="1:22" x14ac:dyDescent="0.2">
      <c r="A932" s="131">
        <v>43397</v>
      </c>
      <c r="B932" t="s">
        <v>334</v>
      </c>
      <c r="C932" t="s">
        <v>18</v>
      </c>
      <c r="D932" t="s">
        <v>102</v>
      </c>
      <c r="F932" t="s">
        <v>542</v>
      </c>
      <c r="G932" t="s">
        <v>541</v>
      </c>
      <c r="H932" t="s">
        <v>302</v>
      </c>
      <c r="I932" s="131">
        <v>43904</v>
      </c>
      <c r="J932" s="6">
        <v>19854814.199999999</v>
      </c>
      <c r="K932">
        <v>37293.199999999997</v>
      </c>
      <c r="L932">
        <v>19944125.199999999</v>
      </c>
      <c r="M932">
        <v>1.3562749999999999</v>
      </c>
      <c r="N932">
        <v>20000000</v>
      </c>
      <c r="O932">
        <v>1.87</v>
      </c>
      <c r="P932">
        <v>1.3281115200000001E-2</v>
      </c>
      <c r="Q932" t="s">
        <v>42</v>
      </c>
      <c r="R932" t="s">
        <v>23</v>
      </c>
      <c r="S932" s="131">
        <v>43173</v>
      </c>
      <c r="T932" s="6">
        <f>DataTable[HLD_MaturityDate] - DataTable[SEC_Issue_Date]</f>
        <v>731</v>
      </c>
      <c r="U932" s="131" t="str">
        <f>DataTable[HLD_Portfolio]&amp;DataTable[HLD_Date]</f>
        <v>SCBFIXED43397</v>
      </c>
      <c r="V932" t="str">
        <f>DataTable[[#This Row],[RefRng]]&amp;DataTable[[#This Row],[HLD_SecCode]]</f>
        <v>SCBFIXED43397KCC203A</v>
      </c>
    </row>
    <row r="933" spans="1:22" x14ac:dyDescent="0.2">
      <c r="A933" s="131">
        <v>43397</v>
      </c>
      <c r="B933" t="s">
        <v>334</v>
      </c>
      <c r="C933" t="s">
        <v>18</v>
      </c>
      <c r="D933" t="s">
        <v>102</v>
      </c>
      <c r="F933" t="s">
        <v>804</v>
      </c>
      <c r="G933" t="s">
        <v>563</v>
      </c>
      <c r="I933" s="131">
        <v>43808</v>
      </c>
      <c r="J933" s="6">
        <v>50049639.5</v>
      </c>
      <c r="K933">
        <v>415890.5</v>
      </c>
      <c r="L933">
        <v>50186133.5</v>
      </c>
      <c r="M933">
        <v>1.0955010000000001</v>
      </c>
      <c r="N933">
        <v>50000000</v>
      </c>
      <c r="O933">
        <v>1.86</v>
      </c>
      <c r="P933">
        <v>3.3693690900000003E-2</v>
      </c>
      <c r="Q933" t="s">
        <v>42</v>
      </c>
      <c r="R933" t="s">
        <v>23</v>
      </c>
      <c r="S933" s="131">
        <v>42713</v>
      </c>
      <c r="T933" s="6">
        <f>DataTable[HLD_MaturityDate] - DataTable[SEC_Issue_Date]</f>
        <v>1095</v>
      </c>
      <c r="U933" s="131" t="str">
        <f>DataTable[HLD_Portfolio]&amp;DataTable[HLD_Date]</f>
        <v>SCBFIXED43397</v>
      </c>
      <c r="V933" t="str">
        <f>DataTable[[#This Row],[RefRng]]&amp;DataTable[[#This Row],[HLD_SecCode]]</f>
        <v>SCBFIXED43397MBTH19DA</v>
      </c>
    </row>
    <row r="934" spans="1:22" x14ac:dyDescent="0.2">
      <c r="A934" s="131">
        <v>43397</v>
      </c>
      <c r="B934" t="s">
        <v>334</v>
      </c>
      <c r="C934" t="s">
        <v>18</v>
      </c>
      <c r="D934" t="s">
        <v>102</v>
      </c>
      <c r="F934" t="s">
        <v>808</v>
      </c>
      <c r="G934" t="s">
        <v>505</v>
      </c>
      <c r="H934" t="s">
        <v>47</v>
      </c>
      <c r="I934" s="131">
        <v>43672</v>
      </c>
      <c r="J934" s="6">
        <v>49990769.5</v>
      </c>
      <c r="K934">
        <v>258041</v>
      </c>
      <c r="L934">
        <v>50077225.5</v>
      </c>
      <c r="M934">
        <v>0.74195</v>
      </c>
      <c r="N934">
        <v>50000000</v>
      </c>
      <c r="O934">
        <v>1.85</v>
      </c>
      <c r="P934">
        <v>3.3548996499999997E-2</v>
      </c>
      <c r="Q934" t="s">
        <v>42</v>
      </c>
      <c r="R934" t="s">
        <v>23</v>
      </c>
      <c r="S934" s="131">
        <v>42942</v>
      </c>
      <c r="T934" s="6">
        <f>DataTable[HLD_MaturityDate] - DataTable[SEC_Issue_Date]</f>
        <v>730</v>
      </c>
      <c r="U934" s="131" t="str">
        <f>DataTable[HLD_Portfolio]&amp;DataTable[HLD_Date]</f>
        <v>SCBFIXED43397</v>
      </c>
      <c r="V934" t="str">
        <f>DataTable[[#This Row],[RefRng]]&amp;DataTable[[#This Row],[HLD_SecCode]]</f>
        <v>SCBFIXED43397NTL197A</v>
      </c>
    </row>
    <row r="935" spans="1:22" x14ac:dyDescent="0.2">
      <c r="A935" s="131">
        <v>43397</v>
      </c>
      <c r="B935" t="s">
        <v>334</v>
      </c>
      <c r="C935" t="s">
        <v>18</v>
      </c>
      <c r="D935" t="s">
        <v>102</v>
      </c>
      <c r="F935" t="s">
        <v>552</v>
      </c>
      <c r="G935" t="s">
        <v>216</v>
      </c>
      <c r="H935" t="s">
        <v>47</v>
      </c>
      <c r="I935" s="131">
        <v>43545</v>
      </c>
      <c r="J935" s="6">
        <v>45008786.25</v>
      </c>
      <c r="K935">
        <v>96041.25</v>
      </c>
      <c r="L935">
        <v>45058163.850000001</v>
      </c>
      <c r="M935">
        <v>0.399426</v>
      </c>
      <c r="N935">
        <v>45000000</v>
      </c>
      <c r="O935">
        <v>1.73</v>
      </c>
      <c r="P935">
        <v>3.01145775E-2</v>
      </c>
      <c r="Q935" t="s">
        <v>42</v>
      </c>
      <c r="R935" t="s">
        <v>23</v>
      </c>
      <c r="S935" s="131">
        <v>42446</v>
      </c>
      <c r="T935" s="6">
        <f>DataTable[HLD_MaturityDate] - DataTable[SEC_Issue_Date]</f>
        <v>1099</v>
      </c>
      <c r="U935" s="131" t="str">
        <f>DataTable[HLD_Portfolio]&amp;DataTable[HLD_Date]</f>
        <v>SCBFIXED43397</v>
      </c>
      <c r="V935" t="str">
        <f>DataTable[[#This Row],[RefRng]]&amp;DataTable[[#This Row],[HLD_SecCode]]</f>
        <v>SCBFIXED43397PS193A</v>
      </c>
    </row>
    <row r="936" spans="1:22" x14ac:dyDescent="0.2">
      <c r="A936" s="131">
        <v>43397</v>
      </c>
      <c r="B936" t="s">
        <v>334</v>
      </c>
      <c r="C936" t="s">
        <v>18</v>
      </c>
      <c r="D936" t="s">
        <v>102</v>
      </c>
      <c r="F936" t="s">
        <v>556</v>
      </c>
      <c r="G936" t="s">
        <v>218</v>
      </c>
      <c r="H936" t="s">
        <v>116</v>
      </c>
      <c r="I936" s="131">
        <v>43580</v>
      </c>
      <c r="J936" s="6">
        <v>44990834.850000001</v>
      </c>
      <c r="K936">
        <v>442208.22</v>
      </c>
      <c r="L936">
        <v>45052369.200000003</v>
      </c>
      <c r="M936">
        <v>0.49367699999999998</v>
      </c>
      <c r="N936">
        <v>45000000</v>
      </c>
      <c r="O936">
        <v>1.73</v>
      </c>
      <c r="P936">
        <v>3.03337131E-2</v>
      </c>
      <c r="Q936" t="s">
        <v>42</v>
      </c>
      <c r="R936" t="s">
        <v>23</v>
      </c>
      <c r="S936" s="131">
        <v>42485</v>
      </c>
      <c r="T936" s="6">
        <f>DataTable[HLD_MaturityDate] - DataTable[SEC_Issue_Date]</f>
        <v>1095</v>
      </c>
      <c r="U936" s="131" t="str">
        <f>DataTable[HLD_Portfolio]&amp;DataTable[HLD_Date]</f>
        <v>SCBFIXED43397</v>
      </c>
      <c r="V936" t="str">
        <f>DataTable[[#This Row],[RefRng]]&amp;DataTable[[#This Row],[HLD_SecCode]]</f>
        <v>SCBFIXED43397QH194A</v>
      </c>
    </row>
    <row r="937" spans="1:22" x14ac:dyDescent="0.2">
      <c r="A937" s="131">
        <v>43397</v>
      </c>
      <c r="B937" t="s">
        <v>334</v>
      </c>
      <c r="C937" t="s">
        <v>18</v>
      </c>
      <c r="D937" t="s">
        <v>102</v>
      </c>
      <c r="F937" t="s">
        <v>560</v>
      </c>
      <c r="G937" t="s">
        <v>222</v>
      </c>
      <c r="H937" t="s">
        <v>193</v>
      </c>
      <c r="I937" s="131">
        <v>44639</v>
      </c>
      <c r="J937" s="6">
        <v>120164053.2</v>
      </c>
      <c r="K937">
        <v>378739.20000000001</v>
      </c>
      <c r="L937">
        <v>120000000</v>
      </c>
      <c r="M937">
        <v>3.1859549999999999</v>
      </c>
      <c r="N937">
        <v>120000000</v>
      </c>
      <c r="O937">
        <v>3.2</v>
      </c>
      <c r="P937">
        <v>8.0481302399999996E-2</v>
      </c>
      <c r="Q937" t="s">
        <v>42</v>
      </c>
      <c r="R937" t="s">
        <v>23</v>
      </c>
      <c r="S937" s="131">
        <v>43362</v>
      </c>
      <c r="T937" s="6">
        <f>DataTable[HLD_MaturityDate] - DataTable[SEC_Issue_Date]</f>
        <v>1277</v>
      </c>
      <c r="U937" s="131" t="str">
        <f>DataTable[HLD_Portfolio]&amp;DataTable[HLD_Date]</f>
        <v>SCBFIXED43397</v>
      </c>
      <c r="V937" t="str">
        <f>DataTable[[#This Row],[RefRng]]&amp;DataTable[[#This Row],[HLD_SecCode]]</f>
        <v>SCBFIXED43397TBEV223A</v>
      </c>
    </row>
    <row r="938" spans="1:22" x14ac:dyDescent="0.2">
      <c r="A938" s="131">
        <v>43397</v>
      </c>
      <c r="B938" t="s">
        <v>334</v>
      </c>
      <c r="C938" t="s">
        <v>18</v>
      </c>
      <c r="D938" t="s">
        <v>102</v>
      </c>
      <c r="F938" t="s">
        <v>805</v>
      </c>
      <c r="G938" t="s">
        <v>565</v>
      </c>
      <c r="I938" s="131">
        <v>43699</v>
      </c>
      <c r="J938" s="6">
        <v>5578658.4699999997</v>
      </c>
      <c r="K938">
        <v>37128.74</v>
      </c>
      <c r="L938">
        <v>5594196.3600000003</v>
      </c>
      <c r="M938">
        <v>0.81097699999999995</v>
      </c>
      <c r="N938">
        <v>5500000</v>
      </c>
      <c r="O938">
        <v>1.738</v>
      </c>
      <c r="P938">
        <v>3.7494225999999999E-3</v>
      </c>
      <c r="Q938" t="s">
        <v>42</v>
      </c>
      <c r="R938" t="s">
        <v>23</v>
      </c>
      <c r="S938" s="131">
        <v>41873</v>
      </c>
      <c r="T938" s="6">
        <f>DataTable[HLD_MaturityDate] - DataTable[SEC_Issue_Date]</f>
        <v>1826</v>
      </c>
      <c r="U938" s="131" t="str">
        <f>DataTable[HLD_Portfolio]&amp;DataTable[HLD_Date]</f>
        <v>SCBFIXED43397</v>
      </c>
      <c r="V938" t="str">
        <f>DataTable[[#This Row],[RefRng]]&amp;DataTable[[#This Row],[HLD_SecCode]]</f>
        <v>SCBFIXED43397TLT198B</v>
      </c>
    </row>
    <row r="939" spans="1:22" x14ac:dyDescent="0.2">
      <c r="A939" s="131">
        <v>43397</v>
      </c>
      <c r="B939" t="s">
        <v>334</v>
      </c>
      <c r="C939" t="s">
        <v>18</v>
      </c>
      <c r="D939" t="s">
        <v>102</v>
      </c>
      <c r="F939" t="s">
        <v>807</v>
      </c>
      <c r="G939" t="s">
        <v>775</v>
      </c>
      <c r="H939" t="s">
        <v>43</v>
      </c>
      <c r="I939" s="131">
        <v>43536</v>
      </c>
      <c r="J939" s="6">
        <v>6351695.4699999997</v>
      </c>
      <c r="K939">
        <v>30652.52</v>
      </c>
      <c r="L939">
        <v>6358419.7699999996</v>
      </c>
      <c r="M939">
        <v>0.37437399999999998</v>
      </c>
      <c r="N939">
        <v>6300000</v>
      </c>
      <c r="O939">
        <v>1.7</v>
      </c>
      <c r="P939">
        <v>4.2612227000000001E-3</v>
      </c>
      <c r="Q939" t="s">
        <v>42</v>
      </c>
      <c r="R939" t="s">
        <v>23</v>
      </c>
      <c r="S939" s="131">
        <v>41710</v>
      </c>
      <c r="T939" s="6">
        <f>DataTable[HLD_MaturityDate] - DataTable[SEC_Issue_Date]</f>
        <v>1826</v>
      </c>
      <c r="U939" s="131" t="str">
        <f>DataTable[HLD_Portfolio]&amp;DataTable[HLD_Date]</f>
        <v>SCBFIXED43397</v>
      </c>
      <c r="V939" t="str">
        <f>DataTable[[#This Row],[RefRng]]&amp;DataTable[[#This Row],[HLD_SecCode]]</f>
        <v>SCBFIXED43397TOP193A</v>
      </c>
    </row>
    <row r="940" spans="1:22" x14ac:dyDescent="0.2">
      <c r="A940" s="131">
        <v>43397</v>
      </c>
      <c r="B940" t="s">
        <v>334</v>
      </c>
      <c r="C940" t="s">
        <v>18</v>
      </c>
      <c r="D940" t="s">
        <v>102</v>
      </c>
      <c r="F940" t="s">
        <v>642</v>
      </c>
      <c r="G940" t="s">
        <v>643</v>
      </c>
      <c r="H940" t="s">
        <v>47</v>
      </c>
      <c r="I940" s="131">
        <v>44375</v>
      </c>
      <c r="J940" s="6">
        <v>43842115.240000002</v>
      </c>
      <c r="K940">
        <v>358629.92</v>
      </c>
      <c r="L940">
        <v>44000000</v>
      </c>
      <c r="M940">
        <v>2.5504060000000002</v>
      </c>
      <c r="N940">
        <v>44000000</v>
      </c>
      <c r="O940">
        <v>2.5</v>
      </c>
      <c r="P940">
        <v>2.9510960100000001E-2</v>
      </c>
      <c r="Q940" t="s">
        <v>42</v>
      </c>
      <c r="R940" t="s">
        <v>23</v>
      </c>
      <c r="S940" s="131">
        <v>43279</v>
      </c>
      <c r="T940" s="6">
        <f>DataTable[HLD_MaturityDate] - DataTable[SEC_Issue_Date]</f>
        <v>1096</v>
      </c>
      <c r="U940" s="131" t="str">
        <f>DataTable[HLD_Portfolio]&amp;DataTable[HLD_Date]</f>
        <v>SCBFIXED43397</v>
      </c>
      <c r="V940" t="str">
        <f>DataTable[[#This Row],[RefRng]]&amp;DataTable[[#This Row],[HLD_SecCode]]</f>
        <v>SCBFIXED43397TREIT216A</v>
      </c>
    </row>
    <row r="941" spans="1:22" x14ac:dyDescent="0.2">
      <c r="A941" s="131">
        <v>43397</v>
      </c>
      <c r="B941" t="s">
        <v>334</v>
      </c>
      <c r="C941" t="s">
        <v>18</v>
      </c>
      <c r="D941" t="s">
        <v>102</v>
      </c>
      <c r="F941" t="s">
        <v>1254</v>
      </c>
      <c r="G941" t="s">
        <v>230</v>
      </c>
      <c r="H941" t="s">
        <v>29</v>
      </c>
      <c r="I941" s="131">
        <v>43483</v>
      </c>
      <c r="J941" s="6">
        <v>30001401.300000001</v>
      </c>
      <c r="K941">
        <v>13233</v>
      </c>
      <c r="L941">
        <v>30000000</v>
      </c>
      <c r="M941">
        <v>0.231658</v>
      </c>
      <c r="N941">
        <v>30000000</v>
      </c>
      <c r="O941">
        <v>2.2999999999999998</v>
      </c>
      <c r="P941">
        <v>2.00394965E-2</v>
      </c>
      <c r="Q941" t="s">
        <v>42</v>
      </c>
      <c r="R941" t="s">
        <v>23</v>
      </c>
      <c r="S941" s="131">
        <v>43391</v>
      </c>
      <c r="T941" s="6">
        <f>DataTable[HLD_MaturityDate] - DataTable[SEC_Issue_Date]</f>
        <v>92</v>
      </c>
      <c r="U941" s="131" t="str">
        <f>DataTable[HLD_Portfolio]&amp;DataTable[HLD_Date]</f>
        <v>SCBFIXED43397</v>
      </c>
      <c r="V941" t="str">
        <f>DataTable[[#This Row],[RefRng]]&amp;DataTable[[#This Row],[HLD_SecCode]]</f>
        <v>SCBFIXED43397TRUE19118A</v>
      </c>
    </row>
    <row r="942" spans="1:22" x14ac:dyDescent="0.2">
      <c r="A942" s="131">
        <v>43397</v>
      </c>
      <c r="B942" t="s">
        <v>334</v>
      </c>
      <c r="C942" t="s">
        <v>18</v>
      </c>
      <c r="D942" t="s">
        <v>102</v>
      </c>
      <c r="F942" t="s">
        <v>515</v>
      </c>
      <c r="G942" t="s">
        <v>230</v>
      </c>
      <c r="H942" t="s">
        <v>29</v>
      </c>
      <c r="I942" s="131">
        <v>43494</v>
      </c>
      <c r="J942" s="6">
        <v>32998628.850000001</v>
      </c>
      <c r="K942">
        <v>311917.65000000002</v>
      </c>
      <c r="L942">
        <v>33000737.219999999</v>
      </c>
      <c r="M942">
        <v>0.261436</v>
      </c>
      <c r="N942">
        <v>33000000</v>
      </c>
      <c r="O942">
        <v>2.27</v>
      </c>
      <c r="P942">
        <v>2.2240037000000001E-2</v>
      </c>
      <c r="Q942" t="s">
        <v>42</v>
      </c>
      <c r="R942" t="s">
        <v>23</v>
      </c>
      <c r="S942" s="131">
        <v>43248</v>
      </c>
      <c r="T942" s="6">
        <f>DataTable[HLD_MaturityDate] - DataTable[SEC_Issue_Date]</f>
        <v>246</v>
      </c>
      <c r="U942" s="131" t="str">
        <f>DataTable[HLD_Portfolio]&amp;DataTable[HLD_Date]</f>
        <v>SCBFIXED43397</v>
      </c>
      <c r="V942" t="str">
        <f>DataTable[[#This Row],[RefRng]]&amp;DataTable[[#This Row],[HLD_SecCode]]</f>
        <v>SCBFIXED43397TRUE19129B</v>
      </c>
    </row>
    <row r="943" spans="1:22" x14ac:dyDescent="0.2">
      <c r="A943" s="131">
        <v>43397</v>
      </c>
      <c r="B943" t="s">
        <v>334</v>
      </c>
      <c r="C943" t="s">
        <v>18</v>
      </c>
      <c r="D943" t="s">
        <v>102</v>
      </c>
      <c r="F943" t="s">
        <v>233</v>
      </c>
      <c r="G943" t="s">
        <v>232</v>
      </c>
      <c r="H943" t="s">
        <v>29</v>
      </c>
      <c r="I943" s="131">
        <v>44410</v>
      </c>
      <c r="J943" s="6">
        <v>45956348.759999998</v>
      </c>
      <c r="K943">
        <v>391693.1</v>
      </c>
      <c r="L943">
        <v>46000000</v>
      </c>
      <c r="M943">
        <v>2.6247090000000002</v>
      </c>
      <c r="N943">
        <v>46000000</v>
      </c>
      <c r="O943">
        <v>3.7</v>
      </c>
      <c r="P943">
        <v>3.0944618900000002E-2</v>
      </c>
      <c r="Q943" t="s">
        <v>42</v>
      </c>
      <c r="R943" t="s">
        <v>23</v>
      </c>
      <c r="S943" s="131">
        <v>43314</v>
      </c>
      <c r="T943" s="6">
        <f>DataTable[HLD_MaturityDate] - DataTable[SEC_Issue_Date]</f>
        <v>1096</v>
      </c>
      <c r="U943" s="131" t="str">
        <f>DataTable[HLD_Portfolio]&amp;DataTable[HLD_Date]</f>
        <v>SCBFIXED43397</v>
      </c>
      <c r="V943" t="str">
        <f>DataTable[[#This Row],[RefRng]]&amp;DataTable[[#This Row],[HLD_SecCode]]</f>
        <v>SCBFIXED43397TUC218A</v>
      </c>
    </row>
    <row r="944" spans="1:22" x14ac:dyDescent="0.2">
      <c r="A944" s="131">
        <v>43397</v>
      </c>
      <c r="B944" t="s">
        <v>334</v>
      </c>
      <c r="C944" t="s">
        <v>18</v>
      </c>
      <c r="D944" t="s">
        <v>102</v>
      </c>
      <c r="F944" t="s">
        <v>236</v>
      </c>
      <c r="G944" t="s">
        <v>237</v>
      </c>
      <c r="H944" t="s">
        <v>47</v>
      </c>
      <c r="I944" s="131">
        <v>44285</v>
      </c>
      <c r="J944" s="6">
        <v>3970949</v>
      </c>
      <c r="K944">
        <v>6191.8</v>
      </c>
      <c r="L944">
        <v>3984514.2</v>
      </c>
      <c r="M944">
        <v>2.3531439999999999</v>
      </c>
      <c r="N944">
        <v>4000000</v>
      </c>
      <c r="O944">
        <v>2.4249999999999998</v>
      </c>
      <c r="P944">
        <v>2.655368E-3</v>
      </c>
      <c r="Q944" t="s">
        <v>42</v>
      </c>
      <c r="R944" t="s">
        <v>23</v>
      </c>
      <c r="S944" s="131">
        <v>43189</v>
      </c>
      <c r="T944" s="6">
        <f>DataTable[HLD_MaturityDate] - DataTable[SEC_Issue_Date]</f>
        <v>1096</v>
      </c>
      <c r="U944" s="131" t="str">
        <f>DataTable[HLD_Portfolio]&amp;DataTable[HLD_Date]</f>
        <v>SCBFIXED43397</v>
      </c>
      <c r="V944" t="str">
        <f>DataTable[[#This Row],[RefRng]]&amp;DataTable[[#This Row],[HLD_SecCode]]</f>
        <v>SCBFIXED43397WHART213A</v>
      </c>
    </row>
    <row r="945" spans="1:22" x14ac:dyDescent="0.2">
      <c r="A945" s="131">
        <v>43397</v>
      </c>
      <c r="B945" t="s">
        <v>334</v>
      </c>
      <c r="C945" t="s">
        <v>106</v>
      </c>
      <c r="D945" t="s">
        <v>107</v>
      </c>
      <c r="F945" t="s">
        <v>809</v>
      </c>
      <c r="G945" t="s">
        <v>137</v>
      </c>
      <c r="H945" t="s">
        <v>27</v>
      </c>
      <c r="I945" s="131">
        <v>43543</v>
      </c>
      <c r="J945" s="6">
        <v>1040582.9</v>
      </c>
      <c r="L945">
        <v>0</v>
      </c>
      <c r="M945">
        <v>0</v>
      </c>
      <c r="N945">
        <v>0</v>
      </c>
      <c r="O945">
        <v>0</v>
      </c>
      <c r="P945">
        <v>6.9475299999999999E-4</v>
      </c>
      <c r="Q945" t="s">
        <v>109</v>
      </c>
      <c r="R945" t="s">
        <v>23</v>
      </c>
      <c r="S945" s="131">
        <v>2</v>
      </c>
      <c r="T945" s="6">
        <f>DataTable[HLD_MaturityDate] - DataTable[SEC_Issue_Date]</f>
        <v>43541</v>
      </c>
      <c r="U945" s="131" t="str">
        <f>DataTable[HLD_Portfolio]&amp;DataTable[HLD_Date]</f>
        <v>SCBFIXED43397</v>
      </c>
      <c r="V945" t="str">
        <f>DataTable[[#This Row],[RefRng]]&amp;DataTable[[#This Row],[HLD_SecCode]]</f>
        <v>SCBFIXED43397FWEURTHB19319A</v>
      </c>
    </row>
    <row r="946" spans="1:22" x14ac:dyDescent="0.2">
      <c r="A946" s="131">
        <v>43397</v>
      </c>
      <c r="B946" t="s">
        <v>334</v>
      </c>
      <c r="C946" t="s">
        <v>810</v>
      </c>
      <c r="D946" t="s">
        <v>811</v>
      </c>
      <c r="E946" t="s">
        <v>811</v>
      </c>
      <c r="F946" t="s">
        <v>811</v>
      </c>
      <c r="I946" s="131"/>
      <c r="J946" s="6">
        <v>59869.4</v>
      </c>
      <c r="O946">
        <v>0</v>
      </c>
      <c r="P946">
        <v>3.9972299999999997E-5</v>
      </c>
      <c r="S946" s="131"/>
      <c r="T946" s="6">
        <f>DataTable[HLD_MaturityDate] - DataTable[SEC_Issue_Date]</f>
        <v>0</v>
      </c>
      <c r="U946" s="131" t="str">
        <f>DataTable[HLD_Portfolio]&amp;DataTable[HLD_Date]</f>
        <v>SCBFIXED43397</v>
      </c>
      <c r="V946" t="str">
        <f>DataTable[[#This Row],[RefRng]]&amp;DataTable[[#This Row],[HLD_SecCode]]</f>
        <v>SCBFIXED43397D SEC FEE</v>
      </c>
    </row>
    <row r="947" spans="1:22" x14ac:dyDescent="0.2">
      <c r="A947" s="131">
        <v>43397</v>
      </c>
      <c r="B947" t="s">
        <v>334</v>
      </c>
      <c r="C947" t="s">
        <v>120</v>
      </c>
      <c r="D947" t="s">
        <v>121</v>
      </c>
      <c r="E947" t="s">
        <v>1256</v>
      </c>
      <c r="F947" t="s">
        <v>198</v>
      </c>
      <c r="I947" s="131"/>
      <c r="J947" s="6">
        <v>-85980048</v>
      </c>
      <c r="L947">
        <v>-85980048</v>
      </c>
      <c r="O947">
        <v>0</v>
      </c>
      <c r="P947">
        <v>-5.7405225999999997E-2</v>
      </c>
      <c r="Q947" t="s">
        <v>42</v>
      </c>
      <c r="R947" t="s">
        <v>23</v>
      </c>
      <c r="S947" s="131">
        <v>43223</v>
      </c>
      <c r="T947" s="6">
        <f>DataTable[HLD_MaturityDate] - DataTable[SEC_Issue_Date]</f>
        <v>-43223</v>
      </c>
      <c r="U947" s="131" t="str">
        <f>DataTable[HLD_Portfolio]&amp;DataTable[HLD_Date]</f>
        <v>SCBFIXED43397</v>
      </c>
      <c r="V947" t="str">
        <f>DataTable[[#This Row],[RefRng]]&amp;DataTable[[#This Row],[HLD_SecCode]]</f>
        <v>SCBFIXED43397CB18N01A</v>
      </c>
    </row>
    <row r="948" spans="1:22" x14ac:dyDescent="0.2">
      <c r="A948" s="131">
        <v>43397</v>
      </c>
      <c r="B948" t="s">
        <v>334</v>
      </c>
      <c r="C948" t="s">
        <v>120</v>
      </c>
      <c r="D948" t="s">
        <v>121</v>
      </c>
      <c r="E948" t="s">
        <v>1256</v>
      </c>
      <c r="F948" t="s">
        <v>1262</v>
      </c>
      <c r="I948" s="131"/>
      <c r="J948" s="6">
        <v>-29883260.420000002</v>
      </c>
      <c r="L948">
        <v>-29883260.420000002</v>
      </c>
      <c r="O948">
        <v>0</v>
      </c>
      <c r="P948">
        <v>-1.99517837E-2</v>
      </c>
      <c r="Q948" t="s">
        <v>42</v>
      </c>
      <c r="R948" t="s">
        <v>23</v>
      </c>
      <c r="S948" s="131">
        <v>43398</v>
      </c>
      <c r="T948" s="6">
        <f>DataTable[HLD_MaturityDate] - DataTable[SEC_Issue_Date]</f>
        <v>-43398</v>
      </c>
      <c r="U948" s="131" t="str">
        <f>DataTable[HLD_Portfolio]&amp;DataTable[HLD_Date]</f>
        <v>SCBFIXED43397</v>
      </c>
      <c r="V948" t="str">
        <f>DataTable[[#This Row],[RefRng]]&amp;DataTable[[#This Row],[HLD_SecCode]]</f>
        <v>SCBFIXED43397CB19124B</v>
      </c>
    </row>
    <row r="949" spans="1:22" x14ac:dyDescent="0.2">
      <c r="A949" s="131">
        <v>43397</v>
      </c>
      <c r="B949" t="s">
        <v>334</v>
      </c>
      <c r="C949" t="s">
        <v>120</v>
      </c>
      <c r="D949" t="s">
        <v>122</v>
      </c>
      <c r="E949" t="s">
        <v>122</v>
      </c>
      <c r="F949" t="s">
        <v>122</v>
      </c>
      <c r="I949" s="131"/>
      <c r="J949" s="6">
        <v>-26428.36</v>
      </c>
      <c r="O949">
        <v>0</v>
      </c>
      <c r="P949">
        <v>-1.7645100000000002E-5</v>
      </c>
      <c r="S949" s="131"/>
      <c r="T949" s="6">
        <f>DataTable[HLD_MaturityDate] - DataTable[SEC_Issue_Date]</f>
        <v>0</v>
      </c>
      <c r="U949" s="131" t="str">
        <f>DataTable[HLD_Portfolio]&amp;DataTable[HLD_Date]</f>
        <v>SCBFIXED43397</v>
      </c>
      <c r="V949" t="str">
        <f>DataTable[[#This Row],[RefRng]]&amp;DataTable[[#This Row],[HLD_SecCode]]</f>
        <v>SCBFIXED43397AUDITING FEE</v>
      </c>
    </row>
    <row r="950" spans="1:22" x14ac:dyDescent="0.2">
      <c r="A950" s="131">
        <v>43397</v>
      </c>
      <c r="B950" t="s">
        <v>334</v>
      </c>
      <c r="C950" t="s">
        <v>120</v>
      </c>
      <c r="D950" t="s">
        <v>123</v>
      </c>
      <c r="I950" s="131"/>
      <c r="J950" s="6">
        <v>-18913.11</v>
      </c>
      <c r="K950">
        <v>0</v>
      </c>
      <c r="O950">
        <v>0</v>
      </c>
      <c r="P950">
        <v>-1.2627500000000001E-5</v>
      </c>
      <c r="S950" s="131"/>
      <c r="T950" s="6">
        <f>DataTable[HLD_MaturityDate] - DataTable[SEC_Issue_Date]</f>
        <v>0</v>
      </c>
      <c r="U950" s="131" t="str">
        <f>DataTable[HLD_Portfolio]&amp;DataTable[HLD_Date]</f>
        <v>SCBFIXED43397</v>
      </c>
      <c r="V950" t="str">
        <f>DataTable[[#This Row],[RefRng]]&amp;DataTable[[#This Row],[HLD_SecCode]]</f>
        <v>SCBFIXED43397</v>
      </c>
    </row>
    <row r="951" spans="1:22" x14ac:dyDescent="0.2">
      <c r="A951" s="131">
        <v>43397</v>
      </c>
      <c r="B951" t="s">
        <v>334</v>
      </c>
      <c r="C951" t="s">
        <v>120</v>
      </c>
      <c r="D951" t="s">
        <v>125</v>
      </c>
      <c r="E951" t="s">
        <v>125</v>
      </c>
      <c r="I951" s="131"/>
      <c r="J951" s="6">
        <v>-29202.01</v>
      </c>
      <c r="L951">
        <v>-29202.01</v>
      </c>
      <c r="O951">
        <v>0</v>
      </c>
      <c r="P951">
        <v>-1.94969E-5</v>
      </c>
      <c r="S951" s="131"/>
      <c r="T951" s="6">
        <f>DataTable[HLD_MaturityDate] - DataTable[SEC_Issue_Date]</f>
        <v>0</v>
      </c>
      <c r="U951" s="131" t="str">
        <f>DataTable[HLD_Portfolio]&amp;DataTable[HLD_Date]</f>
        <v>SCBFIXED43397</v>
      </c>
      <c r="V951" t="str">
        <f>DataTable[[#This Row],[RefRng]]&amp;DataTable[[#This Row],[HLD_SecCode]]</f>
        <v>SCBFIXED43397</v>
      </c>
    </row>
    <row r="952" spans="1:22" x14ac:dyDescent="0.2">
      <c r="A952" s="131">
        <v>43397</v>
      </c>
      <c r="B952" t="s">
        <v>334</v>
      </c>
      <c r="C952" t="s">
        <v>120</v>
      </c>
      <c r="D952" t="s">
        <v>126</v>
      </c>
      <c r="E952" t="s">
        <v>126</v>
      </c>
      <c r="I952" s="131"/>
      <c r="J952" s="6">
        <v>-389360.27</v>
      </c>
      <c r="L952">
        <v>-389360.27</v>
      </c>
      <c r="O952">
        <v>0</v>
      </c>
      <c r="P952">
        <v>-2.5995929999999998E-4</v>
      </c>
      <c r="S952" s="131"/>
      <c r="T952" s="6">
        <f>DataTable[HLD_MaturityDate] - DataTable[SEC_Issue_Date]</f>
        <v>0</v>
      </c>
      <c r="U952" s="131" t="str">
        <f>DataTable[HLD_Portfolio]&amp;DataTable[HLD_Date]</f>
        <v>SCBFIXED43397</v>
      </c>
      <c r="V952" t="str">
        <f>DataTable[[#This Row],[RefRng]]&amp;DataTable[[#This Row],[HLD_SecCode]]</f>
        <v>SCBFIXED43397</v>
      </c>
    </row>
    <row r="953" spans="1:22" x14ac:dyDescent="0.2">
      <c r="A953" s="131">
        <v>43397</v>
      </c>
      <c r="B953" t="s">
        <v>334</v>
      </c>
      <c r="C953" t="s">
        <v>120</v>
      </c>
      <c r="D953" t="s">
        <v>127</v>
      </c>
      <c r="E953" t="s">
        <v>127</v>
      </c>
      <c r="I953" s="131"/>
      <c r="J953" s="6">
        <v>-59377.46</v>
      </c>
      <c r="L953">
        <v>-59377.46</v>
      </c>
      <c r="O953">
        <v>0</v>
      </c>
      <c r="P953">
        <v>-3.9643800000000001E-5</v>
      </c>
      <c r="S953" s="131"/>
      <c r="T953" s="6">
        <f>DataTable[HLD_MaturityDate] - DataTable[SEC_Issue_Date]</f>
        <v>0</v>
      </c>
      <c r="U953" s="131" t="str">
        <f>DataTable[HLD_Portfolio]&amp;DataTable[HLD_Date]</f>
        <v>SCBFIXED43397</v>
      </c>
      <c r="V953" t="str">
        <f>DataTable[[#This Row],[RefRng]]&amp;DataTable[[#This Row],[HLD_SecCode]]</f>
        <v>SCBFIXED43397</v>
      </c>
    </row>
    <row r="954" spans="1:22" x14ac:dyDescent="0.2">
      <c r="A954" s="131">
        <v>43397</v>
      </c>
      <c r="B954" t="s">
        <v>334</v>
      </c>
      <c r="C954" t="s">
        <v>128</v>
      </c>
      <c r="D954" t="s">
        <v>125</v>
      </c>
      <c r="E954" t="s">
        <v>125</v>
      </c>
      <c r="I954" s="131"/>
      <c r="J954" s="6">
        <v>-2634.52</v>
      </c>
      <c r="L954">
        <v>-2634.52</v>
      </c>
      <c r="O954">
        <v>0</v>
      </c>
      <c r="P954">
        <v>-1.759E-6</v>
      </c>
      <c r="S954" s="131"/>
      <c r="T954" s="6">
        <f>DataTable[HLD_MaturityDate] - DataTable[SEC_Issue_Date]</f>
        <v>0</v>
      </c>
      <c r="U954" s="131" t="str">
        <f>DataTable[HLD_Portfolio]&amp;DataTable[HLD_Date]</f>
        <v>SCBFIXED43397</v>
      </c>
      <c r="V954" t="str">
        <f>DataTable[[#This Row],[RefRng]]&amp;DataTable[[#This Row],[HLD_SecCode]]</f>
        <v>SCBFIXED43397</v>
      </c>
    </row>
    <row r="955" spans="1:22" x14ac:dyDescent="0.2">
      <c r="A955" s="131">
        <v>43397</v>
      </c>
      <c r="B955" t="s">
        <v>334</v>
      </c>
      <c r="C955" t="s">
        <v>128</v>
      </c>
      <c r="D955" t="s">
        <v>126</v>
      </c>
      <c r="E955" t="s">
        <v>126</v>
      </c>
      <c r="I955" s="131"/>
      <c r="J955" s="6">
        <v>-35126.89</v>
      </c>
      <c r="L955">
        <v>-35126.89</v>
      </c>
      <c r="O955">
        <v>0</v>
      </c>
      <c r="P955">
        <v>-2.34527E-5</v>
      </c>
      <c r="S955" s="131"/>
      <c r="T955" s="6">
        <f>DataTable[HLD_MaturityDate] - DataTable[SEC_Issue_Date]</f>
        <v>0</v>
      </c>
      <c r="U955" s="131" t="str">
        <f>DataTable[HLD_Portfolio]&amp;DataTable[HLD_Date]</f>
        <v>SCBFIXED43397</v>
      </c>
      <c r="V955" t="str">
        <f>DataTable[[#This Row],[RefRng]]&amp;DataTable[[#This Row],[HLD_SecCode]]</f>
        <v>SCBFIXED43397</v>
      </c>
    </row>
    <row r="956" spans="1:22" x14ac:dyDescent="0.2">
      <c r="A956" s="131">
        <v>43397</v>
      </c>
      <c r="B956" t="s">
        <v>334</v>
      </c>
      <c r="C956" t="s">
        <v>128</v>
      </c>
      <c r="D956" t="s">
        <v>127</v>
      </c>
      <c r="E956" t="s">
        <v>127</v>
      </c>
      <c r="I956" s="131"/>
      <c r="J956" s="6">
        <v>-5356.85</v>
      </c>
      <c r="L956">
        <v>-5356.85</v>
      </c>
      <c r="O956">
        <v>0</v>
      </c>
      <c r="P956">
        <v>-3.5765E-6</v>
      </c>
      <c r="S956" s="131"/>
      <c r="T956" s="6">
        <f>DataTable[HLD_MaturityDate] - DataTable[SEC_Issue_Date]</f>
        <v>0</v>
      </c>
      <c r="U956" s="131" t="str">
        <f>DataTable[HLD_Portfolio]&amp;DataTable[HLD_Date]</f>
        <v>SCBFIXED43397</v>
      </c>
      <c r="V956" t="str">
        <f>DataTable[[#This Row],[RefRng]]&amp;DataTable[[#This Row],[HLD_SecCode]]</f>
        <v>SCBFIXED43397</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14BEC-07E9-4463-AB42-841DAA8B2FC3}">
  <sheetPr codeName="Sheet16"/>
  <dimension ref="A1:W116"/>
  <sheetViews>
    <sheetView showGridLines="0" zoomScale="70" zoomScaleNormal="70" workbookViewId="0">
      <pane xSplit="2" ySplit="6" topLeftCell="C7" activePane="bottomRight" state="frozen"/>
      <selection pane="topRight" activeCell="C1" sqref="C1"/>
      <selection pane="bottomLeft" activeCell="A7" sqref="A7"/>
      <selection pane="bottomRight" activeCell="D27" sqref="D27"/>
    </sheetView>
  </sheetViews>
  <sheetFormatPr defaultRowHeight="14.25" x14ac:dyDescent="0.2"/>
  <cols>
    <col min="1" max="1" width="18.375" style="1" bestFit="1" customWidth="1"/>
    <col min="2" max="2" width="21.75" bestFit="1" customWidth="1"/>
    <col min="3" max="3" width="14.625" bestFit="1" customWidth="1"/>
    <col min="4" max="33" width="28.125" bestFit="1" customWidth="1"/>
    <col min="34" max="95" width="16.75" bestFit="1" customWidth="1"/>
    <col min="96" max="96" width="15" bestFit="1" customWidth="1"/>
  </cols>
  <sheetData>
    <row r="1" spans="1:23" x14ac:dyDescent="0.2">
      <c r="A1" s="78" t="s">
        <v>3</v>
      </c>
      <c r="B1" t="s">
        <v>852</v>
      </c>
    </row>
    <row r="2" spans="1:23" x14ac:dyDescent="0.2">
      <c r="A2" s="78" t="s">
        <v>6</v>
      </c>
      <c r="B2" t="s">
        <v>860</v>
      </c>
    </row>
    <row r="4" spans="1:23" s="1" customFormat="1" x14ac:dyDescent="0.2">
      <c r="A4" s="128"/>
      <c r="B4" s="128"/>
      <c r="C4" s="128"/>
      <c r="D4" s="71" t="s">
        <v>1</v>
      </c>
      <c r="E4" s="71" t="s">
        <v>859</v>
      </c>
      <c r="F4" s="128"/>
      <c r="G4" s="128"/>
      <c r="H4" s="128"/>
      <c r="I4" s="128"/>
      <c r="J4" s="128"/>
      <c r="K4" s="128"/>
      <c r="L4" s="128"/>
      <c r="M4" s="128"/>
      <c r="N4" s="128"/>
      <c r="O4" s="128"/>
      <c r="P4" s="128"/>
      <c r="Q4" s="128"/>
      <c r="R4" s="128"/>
      <c r="S4" s="128"/>
      <c r="T4" s="128"/>
      <c r="U4" s="128"/>
      <c r="V4" s="128"/>
      <c r="W4" s="128"/>
    </row>
    <row r="5" spans="1:23" s="1" customFormat="1" x14ac:dyDescent="0.2">
      <c r="A5" s="128"/>
      <c r="B5" s="128"/>
      <c r="C5" s="128"/>
      <c r="D5" s="141" t="s">
        <v>334</v>
      </c>
      <c r="E5" s="142" t="s">
        <v>334</v>
      </c>
      <c r="F5" s="141" t="s">
        <v>335</v>
      </c>
      <c r="G5" s="142" t="s">
        <v>335</v>
      </c>
      <c r="H5" s="141" t="s">
        <v>336</v>
      </c>
      <c r="I5" s="142" t="s">
        <v>336</v>
      </c>
      <c r="J5" s="141" t="s">
        <v>337</v>
      </c>
      <c r="K5" s="142" t="s">
        <v>337</v>
      </c>
      <c r="L5" s="141" t="s">
        <v>338</v>
      </c>
      <c r="M5" s="142" t="s">
        <v>338</v>
      </c>
      <c r="N5" s="141" t="s">
        <v>339</v>
      </c>
      <c r="O5" s="142" t="s">
        <v>339</v>
      </c>
      <c r="P5" s="141" t="s">
        <v>17</v>
      </c>
      <c r="Q5" s="142" t="s">
        <v>17</v>
      </c>
      <c r="R5" s="141" t="s">
        <v>130</v>
      </c>
      <c r="S5" s="142" t="s">
        <v>130</v>
      </c>
      <c r="T5" s="141" t="s">
        <v>131</v>
      </c>
      <c r="U5" s="142" t="s">
        <v>131</v>
      </c>
      <c r="V5" s="141" t="s">
        <v>132</v>
      </c>
      <c r="W5" s="142" t="s">
        <v>132</v>
      </c>
    </row>
    <row r="6" spans="1:23" s="1" customFormat="1" x14ac:dyDescent="0.2">
      <c r="A6" s="71" t="s">
        <v>8</v>
      </c>
      <c r="B6" s="71" t="s">
        <v>5</v>
      </c>
      <c r="C6" s="71" t="s">
        <v>857</v>
      </c>
      <c r="D6" s="127" t="s">
        <v>861</v>
      </c>
      <c r="E6" s="127" t="s">
        <v>874</v>
      </c>
      <c r="F6" s="127" t="s">
        <v>861</v>
      </c>
      <c r="G6" s="127" t="s">
        <v>874</v>
      </c>
      <c r="H6" s="127" t="s">
        <v>861</v>
      </c>
      <c r="I6" s="127" t="s">
        <v>874</v>
      </c>
      <c r="J6" s="127" t="s">
        <v>861</v>
      </c>
      <c r="K6" s="127" t="s">
        <v>874</v>
      </c>
      <c r="L6" s="127" t="s">
        <v>861</v>
      </c>
      <c r="M6" s="127" t="s">
        <v>874</v>
      </c>
      <c r="N6" s="127" t="s">
        <v>861</v>
      </c>
      <c r="O6" s="127" t="s">
        <v>874</v>
      </c>
      <c r="P6" s="127" t="s">
        <v>861</v>
      </c>
      <c r="Q6" s="127" t="s">
        <v>874</v>
      </c>
      <c r="R6" s="127" t="s">
        <v>861</v>
      </c>
      <c r="S6" s="127" t="s">
        <v>874</v>
      </c>
      <c r="T6" s="127" t="s">
        <v>861</v>
      </c>
      <c r="U6" s="127" t="s">
        <v>874</v>
      </c>
      <c r="V6" s="127" t="s">
        <v>861</v>
      </c>
      <c r="W6" s="127" t="s">
        <v>874</v>
      </c>
    </row>
    <row r="7" spans="1:23" x14ac:dyDescent="0.2">
      <c r="A7" s="145">
        <v>43398</v>
      </c>
      <c r="B7" s="129" t="s">
        <v>99</v>
      </c>
      <c r="C7" s="129">
        <v>182</v>
      </c>
      <c r="D7" s="96">
        <v>1.21</v>
      </c>
      <c r="E7" s="95">
        <v>95000</v>
      </c>
      <c r="F7" s="96"/>
      <c r="G7" s="95">
        <v>0</v>
      </c>
      <c r="H7" s="96"/>
      <c r="I7" s="95">
        <v>0</v>
      </c>
      <c r="J7" s="96"/>
      <c r="K7" s="95">
        <v>0</v>
      </c>
      <c r="L7" s="96">
        <v>1.18</v>
      </c>
      <c r="M7" s="95">
        <v>25000</v>
      </c>
      <c r="N7" s="96"/>
      <c r="O7" s="95">
        <v>0</v>
      </c>
      <c r="P7" s="96">
        <v>1.1714910000000001</v>
      </c>
      <c r="Q7" s="95">
        <v>758000</v>
      </c>
      <c r="R7" s="96">
        <v>1.1568210000000001</v>
      </c>
      <c r="S7" s="95">
        <v>410000</v>
      </c>
      <c r="T7" s="96">
        <v>1.2276400000000001</v>
      </c>
      <c r="U7" s="95">
        <v>184000</v>
      </c>
      <c r="V7" s="96">
        <v>1.2160530000000001</v>
      </c>
      <c r="W7" s="95">
        <v>265000</v>
      </c>
    </row>
    <row r="8" spans="1:23" x14ac:dyDescent="0.2">
      <c r="A8" s="146">
        <v>43398</v>
      </c>
      <c r="B8" s="129" t="s">
        <v>100</v>
      </c>
      <c r="C8" s="129">
        <v>91</v>
      </c>
      <c r="D8" s="96">
        <v>1.1599999999999999</v>
      </c>
      <c r="E8" s="95">
        <v>10000</v>
      </c>
      <c r="F8" s="96"/>
      <c r="G8" s="95">
        <v>0</v>
      </c>
      <c r="H8" s="96">
        <v>1.19</v>
      </c>
      <c r="I8" s="95">
        <v>180000</v>
      </c>
      <c r="J8" s="96"/>
      <c r="K8" s="95">
        <v>0</v>
      </c>
      <c r="L8" s="96">
        <v>1.1427849999999999</v>
      </c>
      <c r="M8" s="95">
        <v>158000</v>
      </c>
      <c r="N8" s="96"/>
      <c r="O8" s="95">
        <v>0</v>
      </c>
      <c r="P8" s="96">
        <v>1.276985</v>
      </c>
      <c r="Q8" s="95">
        <v>3691000</v>
      </c>
      <c r="R8" s="96">
        <v>1.30081</v>
      </c>
      <c r="S8" s="95">
        <v>5950000</v>
      </c>
      <c r="T8" s="96">
        <v>1.2329760000000001</v>
      </c>
      <c r="U8" s="95">
        <v>143000</v>
      </c>
      <c r="V8" s="96">
        <v>1.222683</v>
      </c>
      <c r="W8" s="95">
        <v>5000</v>
      </c>
    </row>
    <row r="9" spans="1:23" x14ac:dyDescent="0.2">
      <c r="A9" s="143"/>
      <c r="B9" s="144"/>
      <c r="C9" s="144"/>
      <c r="D9" s="96"/>
      <c r="E9" s="95"/>
      <c r="F9" s="96"/>
      <c r="G9" s="95"/>
      <c r="H9" s="96"/>
      <c r="I9" s="95"/>
      <c r="J9" s="96"/>
      <c r="K9" s="95"/>
      <c r="L9" s="96"/>
      <c r="M9" s="95"/>
      <c r="N9" s="96"/>
      <c r="O9" s="95"/>
      <c r="P9" s="96"/>
      <c r="Q9" s="95"/>
      <c r="R9" s="96"/>
      <c r="S9" s="95"/>
      <c r="T9" s="96"/>
      <c r="U9" s="95"/>
      <c r="V9" s="96"/>
      <c r="W9" s="95"/>
    </row>
    <row r="10" spans="1:23" x14ac:dyDescent="0.2">
      <c r="A10" s="145">
        <v>43405</v>
      </c>
      <c r="B10" s="129" t="s">
        <v>198</v>
      </c>
      <c r="C10" s="129">
        <v>182</v>
      </c>
      <c r="D10" s="96">
        <v>1.21</v>
      </c>
      <c r="E10" s="95">
        <v>86000</v>
      </c>
      <c r="F10" s="96"/>
      <c r="G10" s="95">
        <v>0</v>
      </c>
      <c r="H10" s="96">
        <v>1.281463</v>
      </c>
      <c r="I10" s="95">
        <v>196000</v>
      </c>
      <c r="J10" s="96">
        <v>1.2</v>
      </c>
      <c r="K10" s="95">
        <v>14000</v>
      </c>
      <c r="L10" s="96">
        <v>1.23</v>
      </c>
      <c r="M10" s="95">
        <v>65000</v>
      </c>
      <c r="N10" s="96">
        <v>1.1599999999999999</v>
      </c>
      <c r="O10" s="95">
        <v>100000</v>
      </c>
      <c r="P10" s="96">
        <v>1.2475000000000001</v>
      </c>
      <c r="Q10" s="95">
        <v>52000</v>
      </c>
      <c r="R10" s="96">
        <v>1.158838</v>
      </c>
      <c r="S10" s="95">
        <v>1063000</v>
      </c>
      <c r="T10" s="96">
        <v>1.125</v>
      </c>
      <c r="U10" s="95">
        <v>50000</v>
      </c>
      <c r="V10" s="96">
        <v>1.227033</v>
      </c>
      <c r="W10" s="95">
        <v>246000</v>
      </c>
    </row>
    <row r="11" spans="1:23" x14ac:dyDescent="0.2">
      <c r="A11" s="146">
        <v>43405</v>
      </c>
      <c r="B11" s="129" t="s">
        <v>90</v>
      </c>
      <c r="C11" s="129">
        <v>91</v>
      </c>
      <c r="D11" s="96"/>
      <c r="E11" s="95">
        <v>0</v>
      </c>
      <c r="F11" s="96"/>
      <c r="G11" s="95">
        <v>0</v>
      </c>
      <c r="H11" s="96"/>
      <c r="I11" s="95">
        <v>0</v>
      </c>
      <c r="J11" s="96"/>
      <c r="K11" s="95">
        <v>0</v>
      </c>
      <c r="L11" s="96"/>
      <c r="M11" s="95">
        <v>0</v>
      </c>
      <c r="N11" s="96"/>
      <c r="O11" s="95">
        <v>0</v>
      </c>
      <c r="P11" s="96">
        <v>1.292341</v>
      </c>
      <c r="Q11" s="95">
        <v>3281000</v>
      </c>
      <c r="R11" s="96">
        <v>1.285431</v>
      </c>
      <c r="S11" s="95">
        <v>3119000</v>
      </c>
      <c r="T11" s="96">
        <v>1.298095</v>
      </c>
      <c r="U11" s="95">
        <v>155000</v>
      </c>
      <c r="V11" s="96">
        <v>1.266359</v>
      </c>
      <c r="W11" s="95">
        <v>1140000</v>
      </c>
    </row>
    <row r="12" spans="1:23" x14ac:dyDescent="0.2">
      <c r="A12" s="143"/>
      <c r="B12" s="144"/>
      <c r="C12" s="144"/>
      <c r="D12" s="96"/>
      <c r="E12" s="95"/>
      <c r="F12" s="96"/>
      <c r="G12" s="95"/>
      <c r="H12" s="96"/>
      <c r="I12" s="95"/>
      <c r="J12" s="96"/>
      <c r="K12" s="95"/>
      <c r="L12" s="96"/>
      <c r="M12" s="95"/>
      <c r="N12" s="96"/>
      <c r="O12" s="95"/>
      <c r="P12" s="96"/>
      <c r="Q12" s="95"/>
      <c r="R12" s="96"/>
      <c r="S12" s="95"/>
      <c r="T12" s="96"/>
      <c r="U12" s="95"/>
      <c r="V12" s="96"/>
      <c r="W12" s="95"/>
    </row>
    <row r="13" spans="1:23" x14ac:dyDescent="0.2">
      <c r="A13" s="118">
        <v>43410</v>
      </c>
      <c r="B13" s="129" t="s">
        <v>1251</v>
      </c>
      <c r="C13" s="129">
        <v>13</v>
      </c>
      <c r="D13" s="96"/>
      <c r="E13" s="95">
        <v>0</v>
      </c>
      <c r="F13" s="96">
        <v>1.2</v>
      </c>
      <c r="G13" s="95">
        <v>523000</v>
      </c>
      <c r="H13" s="96">
        <v>1.204305</v>
      </c>
      <c r="I13" s="95">
        <v>220000</v>
      </c>
      <c r="J13" s="96"/>
      <c r="K13" s="95">
        <v>0</v>
      </c>
      <c r="L13" s="96">
        <v>1.2079029999999999</v>
      </c>
      <c r="M13" s="95">
        <v>270000</v>
      </c>
      <c r="N13" s="96">
        <v>1.2</v>
      </c>
      <c r="O13" s="95">
        <v>8000</v>
      </c>
      <c r="P13" s="96">
        <v>1.207911</v>
      </c>
      <c r="Q13" s="95">
        <v>2600000</v>
      </c>
      <c r="R13" s="96">
        <v>1.198</v>
      </c>
      <c r="S13" s="95">
        <v>59000</v>
      </c>
      <c r="T13" s="96">
        <v>1.20787</v>
      </c>
      <c r="U13" s="95">
        <v>100000</v>
      </c>
      <c r="V13" s="96">
        <v>1.2079139999999999</v>
      </c>
      <c r="W13" s="95">
        <v>970000</v>
      </c>
    </row>
    <row r="14" spans="1:23" x14ac:dyDescent="0.2">
      <c r="A14" s="143"/>
      <c r="B14" s="144"/>
      <c r="C14" s="144"/>
      <c r="D14" s="96"/>
      <c r="E14" s="95"/>
      <c r="F14" s="96"/>
      <c r="G14" s="95"/>
      <c r="H14" s="96"/>
      <c r="I14" s="95"/>
      <c r="J14" s="96"/>
      <c r="K14" s="95"/>
      <c r="L14" s="96"/>
      <c r="M14" s="95"/>
      <c r="N14" s="96"/>
      <c r="O14" s="95"/>
      <c r="P14" s="96"/>
      <c r="Q14" s="95"/>
      <c r="R14" s="96"/>
      <c r="S14" s="95"/>
      <c r="T14" s="96"/>
      <c r="U14" s="95"/>
      <c r="V14" s="96"/>
      <c r="W14" s="95"/>
    </row>
    <row r="15" spans="1:23" x14ac:dyDescent="0.2">
      <c r="A15" s="145">
        <v>43412</v>
      </c>
      <c r="B15" s="129" t="s">
        <v>91</v>
      </c>
      <c r="C15" s="129">
        <v>182</v>
      </c>
      <c r="D15" s="96"/>
      <c r="E15" s="95">
        <v>0</v>
      </c>
      <c r="F15" s="96"/>
      <c r="G15" s="95">
        <v>0</v>
      </c>
      <c r="H15" s="96">
        <v>1.397308</v>
      </c>
      <c r="I15" s="95">
        <v>175000</v>
      </c>
      <c r="J15" s="96"/>
      <c r="K15" s="95">
        <v>0</v>
      </c>
      <c r="L15" s="96">
        <v>1.1772480000000001</v>
      </c>
      <c r="M15" s="95">
        <v>129000</v>
      </c>
      <c r="N15" s="96"/>
      <c r="O15" s="95">
        <v>0</v>
      </c>
      <c r="P15" s="96">
        <v>1.1546920000000001</v>
      </c>
      <c r="Q15" s="95">
        <v>951000</v>
      </c>
      <c r="R15" s="96">
        <v>1.228165</v>
      </c>
      <c r="S15" s="95">
        <v>1861000</v>
      </c>
      <c r="T15" s="96">
        <v>1.2649999999999999</v>
      </c>
      <c r="U15" s="95">
        <v>20000</v>
      </c>
      <c r="V15" s="96">
        <v>1.2357910000000001</v>
      </c>
      <c r="W15" s="95">
        <v>139000</v>
      </c>
    </row>
    <row r="16" spans="1:23" x14ac:dyDescent="0.2">
      <c r="A16" s="146">
        <v>43412</v>
      </c>
      <c r="B16" s="129" t="s">
        <v>92</v>
      </c>
      <c r="C16" s="129">
        <v>91</v>
      </c>
      <c r="D16" s="96">
        <v>1.17</v>
      </c>
      <c r="E16" s="95">
        <v>10000</v>
      </c>
      <c r="F16" s="96"/>
      <c r="G16" s="95">
        <v>0</v>
      </c>
      <c r="H16" s="96"/>
      <c r="I16" s="95">
        <v>0</v>
      </c>
      <c r="J16" s="96">
        <v>1.22</v>
      </c>
      <c r="K16" s="95">
        <v>7000</v>
      </c>
      <c r="L16" s="96">
        <v>1.237797</v>
      </c>
      <c r="M16" s="95">
        <v>250000</v>
      </c>
      <c r="N16" s="96"/>
      <c r="O16" s="95">
        <v>0</v>
      </c>
      <c r="P16" s="96">
        <v>1.281339</v>
      </c>
      <c r="Q16" s="95">
        <v>4263000</v>
      </c>
      <c r="R16" s="96">
        <v>1.2676259999999999</v>
      </c>
      <c r="S16" s="95">
        <v>5719000</v>
      </c>
      <c r="T16" s="96">
        <v>1.2629790000000001</v>
      </c>
      <c r="U16" s="95">
        <v>240000</v>
      </c>
      <c r="V16" s="96">
        <v>1.1783650000000001</v>
      </c>
      <c r="W16" s="95">
        <v>672000</v>
      </c>
    </row>
    <row r="17" spans="1:23" x14ac:dyDescent="0.2">
      <c r="A17" s="143"/>
      <c r="B17" s="144"/>
      <c r="C17" s="144"/>
      <c r="D17" s="96"/>
      <c r="E17" s="95"/>
      <c r="F17" s="96"/>
      <c r="G17" s="95"/>
      <c r="H17" s="96"/>
      <c r="I17" s="95"/>
      <c r="J17" s="96"/>
      <c r="K17" s="95"/>
      <c r="L17" s="96"/>
      <c r="M17" s="95"/>
      <c r="N17" s="96"/>
      <c r="O17" s="95"/>
      <c r="P17" s="96"/>
      <c r="Q17" s="95"/>
      <c r="R17" s="96"/>
      <c r="S17" s="95"/>
      <c r="T17" s="96"/>
      <c r="U17" s="95"/>
      <c r="V17" s="96"/>
      <c r="W17" s="95"/>
    </row>
    <row r="18" spans="1:23" x14ac:dyDescent="0.2">
      <c r="A18" s="130">
        <v>43418</v>
      </c>
      <c r="B18" s="129" t="s">
        <v>82</v>
      </c>
      <c r="C18" s="129">
        <v>364</v>
      </c>
      <c r="D18" s="96"/>
      <c r="E18" s="95">
        <v>0</v>
      </c>
      <c r="F18" s="96"/>
      <c r="G18" s="95">
        <v>0</v>
      </c>
      <c r="H18" s="96"/>
      <c r="I18" s="95">
        <v>0</v>
      </c>
      <c r="J18" s="96"/>
      <c r="K18" s="95">
        <v>0</v>
      </c>
      <c r="L18" s="96">
        <v>1.22</v>
      </c>
      <c r="M18" s="95">
        <v>40000</v>
      </c>
      <c r="N18" s="96"/>
      <c r="O18" s="95">
        <v>0</v>
      </c>
      <c r="P18" s="96">
        <v>1.2</v>
      </c>
      <c r="Q18" s="95">
        <v>700000</v>
      </c>
      <c r="R18" s="96">
        <v>1.2332240000000001</v>
      </c>
      <c r="S18" s="95">
        <v>1489000</v>
      </c>
      <c r="T18" s="96"/>
      <c r="U18" s="95">
        <v>0</v>
      </c>
      <c r="V18" s="96">
        <v>1.22</v>
      </c>
      <c r="W18" s="95">
        <v>68000</v>
      </c>
    </row>
    <row r="19" spans="1:23" x14ac:dyDescent="0.2">
      <c r="A19" s="143"/>
      <c r="B19" s="144"/>
      <c r="C19" s="144"/>
      <c r="D19" s="96"/>
      <c r="E19" s="95"/>
      <c r="F19" s="96"/>
      <c r="G19" s="95"/>
      <c r="H19" s="96"/>
      <c r="I19" s="95"/>
      <c r="J19" s="96"/>
      <c r="K19" s="95"/>
      <c r="L19" s="96"/>
      <c r="M19" s="95"/>
      <c r="N19" s="96"/>
      <c r="O19" s="95"/>
      <c r="P19" s="96"/>
      <c r="Q19" s="95"/>
      <c r="R19" s="96"/>
      <c r="S19" s="95"/>
      <c r="T19" s="96"/>
      <c r="U19" s="95"/>
      <c r="V19" s="96"/>
      <c r="W19" s="95"/>
    </row>
    <row r="20" spans="1:23" x14ac:dyDescent="0.2">
      <c r="A20" s="145">
        <v>43419</v>
      </c>
      <c r="B20" s="129" t="s">
        <v>93</v>
      </c>
      <c r="C20" s="129">
        <v>182</v>
      </c>
      <c r="D20" s="96">
        <v>1.22</v>
      </c>
      <c r="E20" s="95">
        <v>60000</v>
      </c>
      <c r="F20" s="96"/>
      <c r="G20" s="95">
        <v>0</v>
      </c>
      <c r="H20" s="96">
        <v>1.416563</v>
      </c>
      <c r="I20" s="95">
        <v>40000</v>
      </c>
      <c r="J20" s="96"/>
      <c r="K20" s="95">
        <v>0</v>
      </c>
      <c r="L20" s="96"/>
      <c r="M20" s="95">
        <v>0</v>
      </c>
      <c r="N20" s="96"/>
      <c r="O20" s="95">
        <v>0</v>
      </c>
      <c r="P20" s="96">
        <v>1.1908529999999999</v>
      </c>
      <c r="Q20" s="95">
        <v>167000</v>
      </c>
      <c r="R20" s="96">
        <v>1.185459</v>
      </c>
      <c r="S20" s="95">
        <v>838000</v>
      </c>
      <c r="T20" s="96"/>
      <c r="U20" s="95">
        <v>0</v>
      </c>
      <c r="V20" s="96">
        <v>1.175</v>
      </c>
      <c r="W20" s="95">
        <v>31000</v>
      </c>
    </row>
    <row r="21" spans="1:23" x14ac:dyDescent="0.2">
      <c r="A21" s="146">
        <v>43419</v>
      </c>
      <c r="B21" s="129" t="s">
        <v>94</v>
      </c>
      <c r="C21" s="129">
        <v>91</v>
      </c>
      <c r="D21" s="96"/>
      <c r="E21" s="95">
        <v>0</v>
      </c>
      <c r="F21" s="96"/>
      <c r="G21" s="95">
        <v>0</v>
      </c>
      <c r="H21" s="96"/>
      <c r="I21" s="95">
        <v>0</v>
      </c>
      <c r="J21" s="96"/>
      <c r="K21" s="95">
        <v>0</v>
      </c>
      <c r="L21" s="96">
        <v>1.1957139999999999</v>
      </c>
      <c r="M21" s="95">
        <v>50000</v>
      </c>
      <c r="N21" s="96"/>
      <c r="O21" s="95">
        <v>0</v>
      </c>
      <c r="P21" s="96">
        <v>1.2636369999999999</v>
      </c>
      <c r="Q21" s="95">
        <v>2010000</v>
      </c>
      <c r="R21" s="96">
        <v>1.256931</v>
      </c>
      <c r="S21" s="95">
        <v>7964000</v>
      </c>
      <c r="T21" s="96">
        <v>1.256049</v>
      </c>
      <c r="U21" s="95">
        <v>360000</v>
      </c>
      <c r="V21" s="96">
        <v>1.22601</v>
      </c>
      <c r="W21" s="95">
        <v>1004000</v>
      </c>
    </row>
    <row r="22" spans="1:23" x14ac:dyDescent="0.2">
      <c r="A22" s="143"/>
      <c r="B22" s="144"/>
      <c r="C22" s="144"/>
      <c r="D22" s="96"/>
      <c r="E22" s="95"/>
      <c r="F22" s="96"/>
      <c r="G22" s="95"/>
      <c r="H22" s="96"/>
      <c r="I22" s="95"/>
      <c r="J22" s="96"/>
      <c r="K22" s="95"/>
      <c r="L22" s="96"/>
      <c r="M22" s="95"/>
      <c r="N22" s="96"/>
      <c r="O22" s="95"/>
      <c r="P22" s="96"/>
      <c r="Q22" s="95"/>
      <c r="R22" s="96"/>
      <c r="S22" s="95"/>
      <c r="T22" s="96"/>
      <c r="U22" s="95"/>
      <c r="V22" s="96"/>
      <c r="W22" s="95"/>
    </row>
    <row r="23" spans="1:23" x14ac:dyDescent="0.2">
      <c r="A23" s="145">
        <v>43426</v>
      </c>
      <c r="B23" s="129" t="s">
        <v>95</v>
      </c>
      <c r="C23" s="129">
        <v>182</v>
      </c>
      <c r="D23" s="96"/>
      <c r="E23" s="95">
        <v>0</v>
      </c>
      <c r="F23" s="96">
        <v>1.23</v>
      </c>
      <c r="G23" s="95">
        <v>71000</v>
      </c>
      <c r="H23" s="96">
        <v>1.28</v>
      </c>
      <c r="I23" s="95">
        <v>280000</v>
      </c>
      <c r="J23" s="96"/>
      <c r="K23" s="95">
        <v>0</v>
      </c>
      <c r="L23" s="96">
        <v>1.23</v>
      </c>
      <c r="M23" s="95">
        <v>100000</v>
      </c>
      <c r="N23" s="96"/>
      <c r="O23" s="95">
        <v>0</v>
      </c>
      <c r="P23" s="96">
        <v>1.2226189999999999</v>
      </c>
      <c r="Q23" s="95">
        <v>1050000</v>
      </c>
      <c r="R23" s="96">
        <v>1.233892</v>
      </c>
      <c r="S23" s="95">
        <v>2857000</v>
      </c>
      <c r="T23" s="96"/>
      <c r="U23" s="95">
        <v>0</v>
      </c>
      <c r="V23" s="96"/>
      <c r="W23" s="95">
        <v>0</v>
      </c>
    </row>
    <row r="24" spans="1:23" x14ac:dyDescent="0.2">
      <c r="A24" s="146">
        <v>43426</v>
      </c>
      <c r="B24" s="129" t="s">
        <v>96</v>
      </c>
      <c r="C24" s="129">
        <v>91</v>
      </c>
      <c r="D24" s="96"/>
      <c r="E24" s="95">
        <v>0</v>
      </c>
      <c r="F24" s="96"/>
      <c r="G24" s="95">
        <v>0</v>
      </c>
      <c r="H24" s="96"/>
      <c r="I24" s="95">
        <v>0</v>
      </c>
      <c r="J24" s="96"/>
      <c r="K24" s="95">
        <v>0</v>
      </c>
      <c r="L24" s="96"/>
      <c r="M24" s="95">
        <v>0</v>
      </c>
      <c r="N24" s="96"/>
      <c r="O24" s="95">
        <v>0</v>
      </c>
      <c r="P24" s="96">
        <v>1.282381</v>
      </c>
      <c r="Q24" s="95">
        <v>4000000</v>
      </c>
      <c r="R24" s="96">
        <v>1.273002</v>
      </c>
      <c r="S24" s="95">
        <v>4788000</v>
      </c>
      <c r="T24" s="96">
        <v>1.267692</v>
      </c>
      <c r="U24" s="95">
        <v>448000</v>
      </c>
      <c r="V24" s="96">
        <v>1.267868</v>
      </c>
      <c r="W24" s="95">
        <v>339000</v>
      </c>
    </row>
    <row r="25" spans="1:23" x14ac:dyDescent="0.2">
      <c r="A25" s="143"/>
      <c r="B25" s="144"/>
      <c r="C25" s="144"/>
      <c r="D25" s="96"/>
      <c r="E25" s="95"/>
      <c r="F25" s="96"/>
      <c r="G25" s="95"/>
      <c r="H25" s="96"/>
      <c r="I25" s="95"/>
      <c r="J25" s="96"/>
      <c r="K25" s="95"/>
      <c r="L25" s="96"/>
      <c r="M25" s="95"/>
      <c r="N25" s="96"/>
      <c r="O25" s="95"/>
      <c r="P25" s="96"/>
      <c r="Q25" s="95"/>
      <c r="R25" s="96"/>
      <c r="S25" s="95"/>
      <c r="T25" s="96"/>
      <c r="U25" s="95"/>
      <c r="V25" s="96"/>
      <c r="W25" s="95"/>
    </row>
    <row r="26" spans="1:23" x14ac:dyDescent="0.2">
      <c r="A26" s="145">
        <v>43433</v>
      </c>
      <c r="B26" s="129" t="s">
        <v>97</v>
      </c>
      <c r="C26" s="129">
        <v>182</v>
      </c>
      <c r="D26" s="96"/>
      <c r="E26" s="95">
        <v>0</v>
      </c>
      <c r="F26" s="96"/>
      <c r="G26" s="95">
        <v>0</v>
      </c>
      <c r="H26" s="96">
        <v>1.44</v>
      </c>
      <c r="I26" s="95">
        <v>90000</v>
      </c>
      <c r="J26" s="96"/>
      <c r="K26" s="95">
        <v>0</v>
      </c>
      <c r="L26" s="96">
        <v>1.112174</v>
      </c>
      <c r="M26" s="95">
        <v>225000</v>
      </c>
      <c r="N26" s="96">
        <v>1.35</v>
      </c>
      <c r="O26" s="95">
        <v>6000</v>
      </c>
      <c r="P26" s="96">
        <v>1.1434280000000001</v>
      </c>
      <c r="Q26" s="95">
        <v>1520000</v>
      </c>
      <c r="R26" s="96">
        <v>1.2101200000000001</v>
      </c>
      <c r="S26" s="95">
        <v>997000</v>
      </c>
      <c r="T26" s="96">
        <v>1.0900000000000001</v>
      </c>
      <c r="U26" s="95">
        <v>70000</v>
      </c>
      <c r="V26" s="96">
        <v>1.28</v>
      </c>
      <c r="W26" s="95">
        <v>21000</v>
      </c>
    </row>
    <row r="27" spans="1:23" x14ac:dyDescent="0.2">
      <c r="A27" s="146">
        <v>43433</v>
      </c>
      <c r="B27" s="129" t="s">
        <v>98</v>
      </c>
      <c r="C27" s="129">
        <v>91</v>
      </c>
      <c r="D27" s="96"/>
      <c r="E27" s="95">
        <v>0</v>
      </c>
      <c r="F27" s="96"/>
      <c r="G27" s="95">
        <v>0</v>
      </c>
      <c r="H27" s="96"/>
      <c r="I27" s="95">
        <v>0</v>
      </c>
      <c r="J27" s="96"/>
      <c r="K27" s="95">
        <v>0</v>
      </c>
      <c r="L27" s="96"/>
      <c r="M27" s="95">
        <v>0</v>
      </c>
      <c r="N27" s="96"/>
      <c r="O27" s="95">
        <v>0</v>
      </c>
      <c r="P27" s="96">
        <v>1.240904</v>
      </c>
      <c r="Q27" s="95">
        <v>3130000</v>
      </c>
      <c r="R27" s="96">
        <v>1.2433479999999999</v>
      </c>
      <c r="S27" s="95">
        <v>7059000</v>
      </c>
      <c r="T27" s="96">
        <v>1.2431099999999999</v>
      </c>
      <c r="U27" s="95">
        <v>200000</v>
      </c>
      <c r="V27" s="96">
        <v>1.241832</v>
      </c>
      <c r="W27" s="95">
        <v>666000</v>
      </c>
    </row>
    <row r="28" spans="1:23" x14ac:dyDescent="0.2">
      <c r="A28" s="143"/>
      <c r="B28" s="144"/>
      <c r="C28" s="144"/>
      <c r="D28" s="96"/>
      <c r="E28" s="95"/>
      <c r="F28" s="96"/>
      <c r="G28" s="95"/>
      <c r="H28" s="96"/>
      <c r="I28" s="95"/>
      <c r="J28" s="96"/>
      <c r="K28" s="95"/>
      <c r="L28" s="96"/>
      <c r="M28" s="95"/>
      <c r="N28" s="96"/>
      <c r="O28" s="95"/>
      <c r="P28" s="96"/>
      <c r="Q28" s="95"/>
      <c r="R28" s="96"/>
      <c r="S28" s="95"/>
      <c r="T28" s="96"/>
      <c r="U28" s="95"/>
      <c r="V28" s="96"/>
      <c r="W28" s="95"/>
    </row>
    <row r="29" spans="1:23" x14ac:dyDescent="0.2">
      <c r="A29" s="145">
        <v>43440</v>
      </c>
      <c r="B29" s="129" t="s">
        <v>299</v>
      </c>
      <c r="C29" s="129">
        <v>364</v>
      </c>
      <c r="D29" s="96"/>
      <c r="E29" s="95">
        <v>0</v>
      </c>
      <c r="F29" s="96"/>
      <c r="G29" s="95">
        <v>0</v>
      </c>
      <c r="H29" s="96">
        <v>1.3821349999999999</v>
      </c>
      <c r="I29" s="95">
        <v>397000</v>
      </c>
      <c r="J29" s="96"/>
      <c r="K29" s="95">
        <v>0</v>
      </c>
      <c r="L29" s="96"/>
      <c r="M29" s="95">
        <v>0</v>
      </c>
      <c r="N29" s="96">
        <v>1.479563</v>
      </c>
      <c r="O29" s="95">
        <v>233000</v>
      </c>
      <c r="P29" s="96"/>
      <c r="Q29" s="95">
        <v>0</v>
      </c>
      <c r="R29" s="96"/>
      <c r="S29" s="95">
        <v>0</v>
      </c>
      <c r="T29" s="96"/>
      <c r="U29" s="95">
        <v>0</v>
      </c>
      <c r="V29" s="96">
        <v>1.31</v>
      </c>
      <c r="W29" s="95">
        <v>50000</v>
      </c>
    </row>
    <row r="30" spans="1:23" x14ac:dyDescent="0.2">
      <c r="A30" s="146">
        <v>43440</v>
      </c>
      <c r="B30" s="129" t="s">
        <v>86</v>
      </c>
      <c r="C30" s="129">
        <v>91</v>
      </c>
      <c r="D30" s="96"/>
      <c r="E30" s="95">
        <v>0</v>
      </c>
      <c r="F30" s="96"/>
      <c r="G30" s="95">
        <v>0</v>
      </c>
      <c r="H30" s="96">
        <v>1.342595</v>
      </c>
      <c r="I30" s="95">
        <v>190000</v>
      </c>
      <c r="J30" s="96"/>
      <c r="K30" s="95">
        <v>0</v>
      </c>
      <c r="L30" s="96">
        <v>1.3426</v>
      </c>
      <c r="M30" s="95">
        <v>150000</v>
      </c>
      <c r="N30" s="96"/>
      <c r="O30" s="95">
        <v>0</v>
      </c>
      <c r="P30" s="96">
        <v>1.3426089999999999</v>
      </c>
      <c r="Q30" s="95">
        <v>4000000</v>
      </c>
      <c r="R30" s="96">
        <v>1.3426100000000001</v>
      </c>
      <c r="S30" s="95">
        <v>7000000</v>
      </c>
      <c r="T30" s="96">
        <v>1.3426</v>
      </c>
      <c r="U30" s="95">
        <v>150000</v>
      </c>
      <c r="V30" s="96">
        <v>1.3426119999999999</v>
      </c>
      <c r="W30" s="95">
        <v>1000000</v>
      </c>
    </row>
    <row r="31" spans="1:23" x14ac:dyDescent="0.2">
      <c r="A31" s="143"/>
      <c r="B31" s="144"/>
      <c r="C31" s="144"/>
      <c r="D31" s="96"/>
      <c r="E31" s="95"/>
      <c r="F31" s="96"/>
      <c r="G31" s="95"/>
      <c r="H31" s="96"/>
      <c r="I31" s="95"/>
      <c r="J31" s="96"/>
      <c r="K31" s="95"/>
      <c r="L31" s="96"/>
      <c r="M31" s="95"/>
      <c r="N31" s="96"/>
      <c r="O31" s="95"/>
      <c r="P31" s="96"/>
      <c r="Q31" s="95"/>
      <c r="R31" s="96"/>
      <c r="S31" s="95"/>
      <c r="T31" s="96"/>
      <c r="U31" s="95"/>
      <c r="V31" s="96"/>
      <c r="W31" s="95"/>
    </row>
    <row r="32" spans="1:23" x14ac:dyDescent="0.2">
      <c r="A32" s="145">
        <v>43447</v>
      </c>
      <c r="B32" s="129" t="s">
        <v>196</v>
      </c>
      <c r="C32" s="129">
        <v>182</v>
      </c>
      <c r="D32" s="96"/>
      <c r="E32" s="95">
        <v>0</v>
      </c>
      <c r="F32" s="96"/>
      <c r="G32" s="95">
        <v>0</v>
      </c>
      <c r="H32" s="96">
        <v>1.38</v>
      </c>
      <c r="I32" s="95">
        <v>10000</v>
      </c>
      <c r="J32" s="96"/>
      <c r="K32" s="95">
        <v>0</v>
      </c>
      <c r="L32" s="96"/>
      <c r="M32" s="95">
        <v>0</v>
      </c>
      <c r="N32" s="96">
        <v>1.38</v>
      </c>
      <c r="O32" s="95">
        <v>10000</v>
      </c>
      <c r="P32" s="96"/>
      <c r="Q32" s="95">
        <v>0</v>
      </c>
      <c r="R32" s="96">
        <v>1.265779</v>
      </c>
      <c r="S32" s="95">
        <v>571000</v>
      </c>
      <c r="T32" s="96"/>
      <c r="U32" s="95">
        <v>0</v>
      </c>
      <c r="V32" s="96"/>
      <c r="W32" s="95">
        <v>0</v>
      </c>
    </row>
    <row r="33" spans="1:23" x14ac:dyDescent="0.2">
      <c r="A33" s="146">
        <v>43447</v>
      </c>
      <c r="B33" s="129" t="s">
        <v>88</v>
      </c>
      <c r="C33" s="129">
        <v>91</v>
      </c>
      <c r="D33" s="96"/>
      <c r="E33" s="95">
        <v>0</v>
      </c>
      <c r="F33" s="96"/>
      <c r="G33" s="95">
        <v>0</v>
      </c>
      <c r="H33" s="96">
        <v>1.32</v>
      </c>
      <c r="I33" s="95">
        <v>70000</v>
      </c>
      <c r="J33" s="96"/>
      <c r="K33" s="95">
        <v>0</v>
      </c>
      <c r="L33" s="96">
        <v>1.163953</v>
      </c>
      <c r="M33" s="95">
        <v>150000</v>
      </c>
      <c r="N33" s="96"/>
      <c r="O33" s="95">
        <v>0</v>
      </c>
      <c r="P33" s="96">
        <v>1.1643289999999999</v>
      </c>
      <c r="Q33" s="95">
        <v>6010000</v>
      </c>
      <c r="R33" s="96">
        <v>1.1655310000000001</v>
      </c>
      <c r="S33" s="95">
        <v>5147000</v>
      </c>
      <c r="T33" s="96">
        <v>1.220769</v>
      </c>
      <c r="U33" s="95">
        <v>156000</v>
      </c>
      <c r="V33" s="96">
        <v>1.193222</v>
      </c>
      <c r="W33" s="95">
        <v>960000</v>
      </c>
    </row>
    <row r="34" spans="1:23" x14ac:dyDescent="0.2">
      <c r="A34" s="143"/>
      <c r="B34" s="144"/>
      <c r="C34" s="144"/>
      <c r="D34" s="96"/>
      <c r="E34" s="95"/>
      <c r="F34" s="96"/>
      <c r="G34" s="95"/>
      <c r="H34" s="96"/>
      <c r="I34" s="95"/>
      <c r="J34" s="96"/>
      <c r="K34" s="95"/>
      <c r="L34" s="96"/>
      <c r="M34" s="95"/>
      <c r="N34" s="96"/>
      <c r="O34" s="95"/>
      <c r="P34" s="96"/>
      <c r="Q34" s="95"/>
      <c r="R34" s="96"/>
      <c r="S34" s="95"/>
      <c r="T34" s="96"/>
      <c r="U34" s="95"/>
      <c r="V34" s="96"/>
      <c r="W34" s="95"/>
    </row>
    <row r="35" spans="1:23" x14ac:dyDescent="0.2">
      <c r="A35" s="145">
        <v>43454</v>
      </c>
      <c r="B35" s="129" t="s">
        <v>570</v>
      </c>
      <c r="C35" s="129">
        <v>182</v>
      </c>
      <c r="D35" s="96"/>
      <c r="E35" s="95">
        <v>0</v>
      </c>
      <c r="F35" s="96"/>
      <c r="G35" s="95">
        <v>0</v>
      </c>
      <c r="H35" s="96"/>
      <c r="I35" s="95">
        <v>0</v>
      </c>
      <c r="J35" s="96"/>
      <c r="K35" s="95">
        <v>0</v>
      </c>
      <c r="L35" s="96">
        <v>1.42</v>
      </c>
      <c r="M35" s="95">
        <v>108000</v>
      </c>
      <c r="N35" s="96">
        <v>1.29</v>
      </c>
      <c r="O35" s="95">
        <v>120000</v>
      </c>
      <c r="P35" s="96"/>
      <c r="Q35" s="95">
        <v>0</v>
      </c>
      <c r="R35" s="96"/>
      <c r="S35" s="95">
        <v>0</v>
      </c>
      <c r="T35" s="96"/>
      <c r="U35" s="95">
        <v>0</v>
      </c>
      <c r="V35" s="96"/>
      <c r="W35" s="95">
        <v>0</v>
      </c>
    </row>
    <row r="36" spans="1:23" x14ac:dyDescent="0.2">
      <c r="A36" s="146">
        <v>43454</v>
      </c>
      <c r="B36" s="129" t="s">
        <v>89</v>
      </c>
      <c r="C36" s="129">
        <v>91</v>
      </c>
      <c r="D36" s="96"/>
      <c r="E36" s="95">
        <v>0</v>
      </c>
      <c r="F36" s="96"/>
      <c r="G36" s="95">
        <v>0</v>
      </c>
      <c r="H36" s="96"/>
      <c r="I36" s="95">
        <v>0</v>
      </c>
      <c r="J36" s="96"/>
      <c r="K36" s="95">
        <v>0</v>
      </c>
      <c r="L36" s="96"/>
      <c r="M36" s="95">
        <v>0</v>
      </c>
      <c r="N36" s="96"/>
      <c r="O36" s="95">
        <v>0</v>
      </c>
      <c r="P36" s="96">
        <v>1.376952</v>
      </c>
      <c r="Q36" s="95">
        <v>2500000</v>
      </c>
      <c r="R36" s="96">
        <v>1.376922</v>
      </c>
      <c r="S36" s="95">
        <v>4499000</v>
      </c>
      <c r="T36" s="96">
        <v>1.3764179999999999</v>
      </c>
      <c r="U36" s="95">
        <v>201000</v>
      </c>
      <c r="V36" s="96">
        <v>1.3769830000000001</v>
      </c>
      <c r="W36" s="95">
        <v>600000</v>
      </c>
    </row>
    <row r="37" spans="1:23" x14ac:dyDescent="0.2">
      <c r="A37" s="143"/>
      <c r="B37" s="144"/>
      <c r="C37" s="144"/>
      <c r="D37" s="96"/>
      <c r="E37" s="95"/>
      <c r="F37" s="96"/>
      <c r="G37" s="95"/>
      <c r="H37" s="96"/>
      <c r="I37" s="95"/>
      <c r="J37" s="96"/>
      <c r="K37" s="95"/>
      <c r="L37" s="96"/>
      <c r="M37" s="95"/>
      <c r="N37" s="96"/>
      <c r="O37" s="95"/>
      <c r="P37" s="96"/>
      <c r="Q37" s="95"/>
      <c r="R37" s="96"/>
      <c r="S37" s="95"/>
      <c r="T37" s="96"/>
      <c r="U37" s="95"/>
      <c r="V37" s="96"/>
      <c r="W37" s="95"/>
    </row>
    <row r="38" spans="1:23" x14ac:dyDescent="0.2">
      <c r="A38" s="145">
        <v>43461</v>
      </c>
      <c r="B38" s="129" t="s">
        <v>571</v>
      </c>
      <c r="C38" s="129">
        <v>182</v>
      </c>
      <c r="D38" s="96">
        <v>1.476143</v>
      </c>
      <c r="E38" s="95">
        <v>55000</v>
      </c>
      <c r="F38" s="96"/>
      <c r="G38" s="95">
        <v>0</v>
      </c>
      <c r="H38" s="96"/>
      <c r="I38" s="95">
        <v>0</v>
      </c>
      <c r="J38" s="96"/>
      <c r="K38" s="95">
        <v>0</v>
      </c>
      <c r="L38" s="96"/>
      <c r="M38" s="95">
        <v>0</v>
      </c>
      <c r="N38" s="96">
        <v>1.47</v>
      </c>
      <c r="O38" s="95">
        <v>4000</v>
      </c>
      <c r="P38" s="96"/>
      <c r="Q38" s="95">
        <v>0</v>
      </c>
      <c r="R38" s="96"/>
      <c r="S38" s="95">
        <v>0</v>
      </c>
      <c r="T38" s="96"/>
      <c r="U38" s="95">
        <v>0</v>
      </c>
      <c r="V38" s="96"/>
      <c r="W38" s="95">
        <v>0</v>
      </c>
    </row>
    <row r="39" spans="1:23" x14ac:dyDescent="0.2">
      <c r="A39" s="146">
        <v>43461</v>
      </c>
      <c r="B39" s="129" t="s">
        <v>197</v>
      </c>
      <c r="C39" s="129">
        <v>91</v>
      </c>
      <c r="D39" s="96"/>
      <c r="E39" s="95">
        <v>0</v>
      </c>
      <c r="F39" s="96">
        <v>1.379141</v>
      </c>
      <c r="G39" s="95">
        <v>887000</v>
      </c>
      <c r="H39" s="96">
        <v>1.3725000000000001</v>
      </c>
      <c r="I39" s="95">
        <v>30000</v>
      </c>
      <c r="J39" s="96"/>
      <c r="K39" s="95">
        <v>0</v>
      </c>
      <c r="L39" s="96">
        <v>1.39</v>
      </c>
      <c r="M39" s="95">
        <v>279000</v>
      </c>
      <c r="N39" s="96">
        <v>1.379297</v>
      </c>
      <c r="O39" s="95">
        <v>462000</v>
      </c>
      <c r="P39" s="96"/>
      <c r="Q39" s="95">
        <v>0</v>
      </c>
      <c r="R39" s="96">
        <v>1.498219</v>
      </c>
      <c r="S39" s="95">
        <v>1036000</v>
      </c>
      <c r="T39" s="96">
        <v>1.494</v>
      </c>
      <c r="U39" s="95">
        <v>90000</v>
      </c>
      <c r="V39" s="96">
        <v>1.451176</v>
      </c>
      <c r="W39" s="95">
        <v>850000</v>
      </c>
    </row>
    <row r="40" spans="1:23" x14ac:dyDescent="0.2">
      <c r="A40" s="143"/>
      <c r="B40" s="144"/>
      <c r="C40" s="144"/>
      <c r="D40" s="96"/>
      <c r="E40" s="95"/>
      <c r="F40" s="96"/>
      <c r="G40" s="95"/>
      <c r="H40" s="96"/>
      <c r="I40" s="95"/>
      <c r="J40" s="96"/>
      <c r="K40" s="95"/>
      <c r="L40" s="96"/>
      <c r="M40" s="95"/>
      <c r="N40" s="96"/>
      <c r="O40" s="95"/>
      <c r="P40" s="96"/>
      <c r="Q40" s="95"/>
      <c r="R40" s="96"/>
      <c r="S40" s="95"/>
      <c r="T40" s="96"/>
      <c r="U40" s="95"/>
      <c r="V40" s="96"/>
      <c r="W40" s="95"/>
    </row>
    <row r="41" spans="1:23" x14ac:dyDescent="0.2">
      <c r="A41" s="145">
        <v>43468</v>
      </c>
      <c r="B41" s="129" t="s">
        <v>199</v>
      </c>
      <c r="C41" s="129">
        <v>182</v>
      </c>
      <c r="D41" s="96"/>
      <c r="E41" s="95">
        <v>0</v>
      </c>
      <c r="F41" s="96">
        <v>1.43</v>
      </c>
      <c r="G41" s="95">
        <v>33000</v>
      </c>
      <c r="H41" s="96">
        <v>1.365</v>
      </c>
      <c r="I41" s="95">
        <v>25000</v>
      </c>
      <c r="J41" s="96"/>
      <c r="K41" s="95">
        <v>0</v>
      </c>
      <c r="L41" s="96"/>
      <c r="M41" s="95">
        <v>0</v>
      </c>
      <c r="N41" s="96">
        <v>1.4120109999999999</v>
      </c>
      <c r="O41" s="95">
        <v>536000</v>
      </c>
      <c r="P41" s="96"/>
      <c r="Q41" s="95">
        <v>0</v>
      </c>
      <c r="R41" s="96">
        <v>1.4938940000000001</v>
      </c>
      <c r="S41" s="95">
        <v>303000</v>
      </c>
      <c r="T41" s="96"/>
      <c r="U41" s="95">
        <v>0</v>
      </c>
      <c r="V41" s="96">
        <v>1.5</v>
      </c>
      <c r="W41" s="95">
        <v>13000</v>
      </c>
    </row>
    <row r="42" spans="1:23" x14ac:dyDescent="0.2">
      <c r="A42" s="146">
        <v>43468</v>
      </c>
      <c r="B42" s="129" t="s">
        <v>101</v>
      </c>
      <c r="C42" s="129">
        <v>91</v>
      </c>
      <c r="D42" s="96"/>
      <c r="E42" s="95">
        <v>0</v>
      </c>
      <c r="F42" s="96"/>
      <c r="G42" s="95">
        <v>0</v>
      </c>
      <c r="H42" s="96"/>
      <c r="I42" s="95">
        <v>0</v>
      </c>
      <c r="J42" s="96"/>
      <c r="K42" s="95">
        <v>0</v>
      </c>
      <c r="L42" s="96">
        <v>1.490667</v>
      </c>
      <c r="M42" s="95">
        <v>90000</v>
      </c>
      <c r="N42" s="96"/>
      <c r="O42" s="95">
        <v>0</v>
      </c>
      <c r="P42" s="96">
        <v>1.490442</v>
      </c>
      <c r="Q42" s="95">
        <v>3000000</v>
      </c>
      <c r="R42" s="96">
        <v>1.4903040000000001</v>
      </c>
      <c r="S42" s="95">
        <v>6468000</v>
      </c>
      <c r="T42" s="96">
        <v>1.4906330000000001</v>
      </c>
      <c r="U42" s="95">
        <v>150000</v>
      </c>
      <c r="V42" s="96">
        <v>1.490669</v>
      </c>
      <c r="W42" s="95">
        <v>450000</v>
      </c>
    </row>
    <row r="43" spans="1:23" x14ac:dyDescent="0.2">
      <c r="A43" s="143"/>
      <c r="B43" s="144"/>
      <c r="C43" s="144"/>
      <c r="D43" s="96"/>
      <c r="E43" s="95"/>
      <c r="F43" s="96"/>
      <c r="G43" s="95"/>
      <c r="H43" s="96"/>
      <c r="I43" s="95"/>
      <c r="J43" s="96"/>
      <c r="K43" s="95"/>
      <c r="L43" s="96"/>
      <c r="M43" s="95"/>
      <c r="N43" s="96"/>
      <c r="O43" s="95"/>
      <c r="P43" s="96"/>
      <c r="Q43" s="95"/>
      <c r="R43" s="96"/>
      <c r="S43" s="95"/>
      <c r="T43" s="96"/>
      <c r="U43" s="95"/>
      <c r="V43" s="96"/>
      <c r="W43" s="95"/>
    </row>
    <row r="44" spans="1:23" x14ac:dyDescent="0.2">
      <c r="A44" s="145">
        <v>43475</v>
      </c>
      <c r="B44" s="129" t="s">
        <v>572</v>
      </c>
      <c r="C44" s="129">
        <v>182</v>
      </c>
      <c r="D44" s="96">
        <v>1.508</v>
      </c>
      <c r="E44" s="95">
        <v>90000</v>
      </c>
      <c r="F44" s="96"/>
      <c r="G44" s="95">
        <v>0</v>
      </c>
      <c r="H44" s="96"/>
      <c r="I44" s="95">
        <v>0</v>
      </c>
      <c r="J44" s="96"/>
      <c r="K44" s="95">
        <v>0</v>
      </c>
      <c r="L44" s="96"/>
      <c r="M44" s="95">
        <v>0</v>
      </c>
      <c r="N44" s="96">
        <v>1.425</v>
      </c>
      <c r="O44" s="95">
        <v>37000</v>
      </c>
      <c r="P44" s="96"/>
      <c r="Q44" s="95">
        <v>0</v>
      </c>
      <c r="R44" s="96"/>
      <c r="S44" s="95">
        <v>0</v>
      </c>
      <c r="T44" s="96"/>
      <c r="U44" s="95">
        <v>0</v>
      </c>
      <c r="V44" s="96"/>
      <c r="W44" s="95">
        <v>0</v>
      </c>
    </row>
    <row r="45" spans="1:23" x14ac:dyDescent="0.2">
      <c r="A45" s="146">
        <v>43475</v>
      </c>
      <c r="B45" s="129" t="s">
        <v>836</v>
      </c>
      <c r="C45" s="129">
        <v>91</v>
      </c>
      <c r="D45" s="96"/>
      <c r="E45" s="95">
        <v>0</v>
      </c>
      <c r="F45" s="96"/>
      <c r="G45" s="95">
        <v>0</v>
      </c>
      <c r="H45" s="96"/>
      <c r="I45" s="95">
        <v>0</v>
      </c>
      <c r="J45" s="96"/>
      <c r="K45" s="95">
        <v>0</v>
      </c>
      <c r="L45" s="96">
        <v>1.554554</v>
      </c>
      <c r="M45" s="95">
        <v>200000</v>
      </c>
      <c r="N45" s="96"/>
      <c r="O45" s="95">
        <v>0</v>
      </c>
      <c r="P45" s="96">
        <v>1.554413</v>
      </c>
      <c r="Q45" s="95">
        <v>4050000</v>
      </c>
      <c r="R45" s="96">
        <v>1.5545469999999999</v>
      </c>
      <c r="S45" s="95">
        <v>5000000</v>
      </c>
      <c r="T45" s="96">
        <v>1.5544899999999999</v>
      </c>
      <c r="U45" s="95">
        <v>200000</v>
      </c>
      <c r="V45" s="96">
        <v>1.554543</v>
      </c>
      <c r="W45" s="95">
        <v>850000</v>
      </c>
    </row>
    <row r="46" spans="1:23" x14ac:dyDescent="0.2">
      <c r="A46" s="143"/>
      <c r="B46" s="144"/>
      <c r="C46" s="144"/>
      <c r="D46" s="96"/>
      <c r="E46" s="95"/>
      <c r="F46" s="96"/>
      <c r="G46" s="95"/>
      <c r="H46" s="96"/>
      <c r="I46" s="95"/>
      <c r="J46" s="96"/>
      <c r="K46" s="95"/>
      <c r="L46" s="96"/>
      <c r="M46" s="95"/>
      <c r="N46" s="96"/>
      <c r="O46" s="95"/>
      <c r="P46" s="96"/>
      <c r="Q46" s="95"/>
      <c r="R46" s="96"/>
      <c r="S46" s="95"/>
      <c r="T46" s="96"/>
      <c r="U46" s="95"/>
      <c r="V46" s="96"/>
      <c r="W46" s="95"/>
    </row>
    <row r="47" spans="1:23" x14ac:dyDescent="0.2">
      <c r="A47" s="130">
        <v>43477</v>
      </c>
      <c r="B47" s="129" t="s">
        <v>625</v>
      </c>
      <c r="C47" s="129">
        <v>4383</v>
      </c>
      <c r="D47" s="96"/>
      <c r="E47" s="95">
        <v>0</v>
      </c>
      <c r="F47" s="96">
        <v>1.4112880000000001</v>
      </c>
      <c r="G47" s="95">
        <v>778000</v>
      </c>
      <c r="H47" s="96"/>
      <c r="I47" s="95">
        <v>0</v>
      </c>
      <c r="J47" s="96"/>
      <c r="K47" s="95">
        <v>0</v>
      </c>
      <c r="L47" s="96"/>
      <c r="M47" s="95">
        <v>0</v>
      </c>
      <c r="N47" s="96"/>
      <c r="O47" s="95">
        <v>0</v>
      </c>
      <c r="P47" s="96"/>
      <c r="Q47" s="95">
        <v>0</v>
      </c>
      <c r="R47" s="96"/>
      <c r="S47" s="95">
        <v>0</v>
      </c>
      <c r="T47" s="96"/>
      <c r="U47" s="95">
        <v>0</v>
      </c>
      <c r="V47" s="96"/>
      <c r="W47" s="95">
        <v>0</v>
      </c>
    </row>
    <row r="48" spans="1:23" x14ac:dyDescent="0.2">
      <c r="A48" s="143"/>
      <c r="B48" s="144"/>
      <c r="C48" s="144"/>
      <c r="D48" s="96"/>
      <c r="E48" s="95"/>
      <c r="F48" s="96"/>
      <c r="G48" s="95"/>
      <c r="H48" s="96"/>
      <c r="I48" s="95"/>
      <c r="J48" s="96"/>
      <c r="K48" s="95"/>
      <c r="L48" s="96"/>
      <c r="M48" s="95"/>
      <c r="N48" s="96"/>
      <c r="O48" s="95"/>
      <c r="P48" s="96"/>
      <c r="Q48" s="95"/>
      <c r="R48" s="96"/>
      <c r="S48" s="95"/>
      <c r="T48" s="96"/>
      <c r="U48" s="95"/>
      <c r="V48" s="96"/>
      <c r="W48" s="95"/>
    </row>
    <row r="49" spans="1:23" x14ac:dyDescent="0.2">
      <c r="A49" s="145">
        <v>43482</v>
      </c>
      <c r="B49" s="129" t="s">
        <v>802</v>
      </c>
      <c r="C49" s="129">
        <v>182</v>
      </c>
      <c r="D49" s="96">
        <v>1.5089999999999999</v>
      </c>
      <c r="E49" s="95">
        <v>50000</v>
      </c>
      <c r="F49" s="96"/>
      <c r="G49" s="95">
        <v>0</v>
      </c>
      <c r="H49" s="96">
        <v>1.57</v>
      </c>
      <c r="I49" s="95">
        <v>130000</v>
      </c>
      <c r="J49" s="96"/>
      <c r="K49" s="95">
        <v>0</v>
      </c>
      <c r="L49" s="96"/>
      <c r="M49" s="95">
        <v>0</v>
      </c>
      <c r="N49" s="96"/>
      <c r="O49" s="95">
        <v>0</v>
      </c>
      <c r="P49" s="96"/>
      <c r="Q49" s="95">
        <v>0</v>
      </c>
      <c r="R49" s="96">
        <v>1.5674999999999999</v>
      </c>
      <c r="S49" s="95">
        <v>400000</v>
      </c>
      <c r="T49" s="96"/>
      <c r="U49" s="95">
        <v>0</v>
      </c>
      <c r="V49" s="96"/>
      <c r="W49" s="95">
        <v>0</v>
      </c>
    </row>
    <row r="50" spans="1:23" x14ac:dyDescent="0.2">
      <c r="A50" s="146">
        <v>43482</v>
      </c>
      <c r="B50" s="129" t="s">
        <v>1215</v>
      </c>
      <c r="C50" s="129">
        <v>91</v>
      </c>
      <c r="D50" s="96"/>
      <c r="E50" s="95">
        <v>0</v>
      </c>
      <c r="F50" s="96"/>
      <c r="G50" s="95">
        <v>0</v>
      </c>
      <c r="H50" s="96"/>
      <c r="I50" s="95">
        <v>0</v>
      </c>
      <c r="J50" s="96"/>
      <c r="K50" s="95">
        <v>0</v>
      </c>
      <c r="L50" s="96"/>
      <c r="M50" s="95">
        <v>0</v>
      </c>
      <c r="N50" s="96"/>
      <c r="O50" s="95">
        <v>0</v>
      </c>
      <c r="P50" s="96">
        <v>1.567053</v>
      </c>
      <c r="Q50" s="95">
        <v>2500000</v>
      </c>
      <c r="R50" s="96">
        <v>1.567083</v>
      </c>
      <c r="S50" s="95">
        <v>6414000</v>
      </c>
      <c r="T50" s="96">
        <v>1.567043</v>
      </c>
      <c r="U50" s="95">
        <v>210000</v>
      </c>
      <c r="V50" s="96">
        <v>1.5670599999999999</v>
      </c>
      <c r="W50" s="95">
        <v>450000</v>
      </c>
    </row>
    <row r="51" spans="1:23" x14ac:dyDescent="0.2">
      <c r="A51" s="143"/>
      <c r="B51" s="144"/>
      <c r="C51" s="144"/>
      <c r="D51" s="96"/>
      <c r="E51" s="95"/>
      <c r="F51" s="96"/>
      <c r="G51" s="95"/>
      <c r="H51" s="96"/>
      <c r="I51" s="95"/>
      <c r="J51" s="96"/>
      <c r="K51" s="95"/>
      <c r="L51" s="96"/>
      <c r="M51" s="95"/>
      <c r="N51" s="96"/>
      <c r="O51" s="95"/>
      <c r="P51" s="96"/>
      <c r="Q51" s="95"/>
      <c r="R51" s="96"/>
      <c r="S51" s="95"/>
      <c r="T51" s="96"/>
      <c r="U51" s="95"/>
      <c r="V51" s="96"/>
      <c r="W51" s="95"/>
    </row>
    <row r="52" spans="1:23" x14ac:dyDescent="0.2">
      <c r="A52" s="130">
        <v>43496</v>
      </c>
      <c r="B52" s="129" t="s">
        <v>573</v>
      </c>
      <c r="C52" s="129">
        <v>182</v>
      </c>
      <c r="D52" s="96">
        <v>1.5</v>
      </c>
      <c r="E52" s="95">
        <v>100000</v>
      </c>
      <c r="F52" s="96"/>
      <c r="G52" s="95">
        <v>0</v>
      </c>
      <c r="H52" s="96"/>
      <c r="I52" s="95">
        <v>0</v>
      </c>
      <c r="J52" s="96"/>
      <c r="K52" s="95">
        <v>0</v>
      </c>
      <c r="L52" s="96"/>
      <c r="M52" s="95">
        <v>0</v>
      </c>
      <c r="N52" s="96">
        <v>1.48</v>
      </c>
      <c r="O52" s="95">
        <v>87000</v>
      </c>
      <c r="P52" s="96"/>
      <c r="Q52" s="95">
        <v>0</v>
      </c>
      <c r="R52" s="96"/>
      <c r="S52" s="95">
        <v>0</v>
      </c>
      <c r="T52" s="96"/>
      <c r="U52" s="95">
        <v>0</v>
      </c>
      <c r="V52" s="96"/>
      <c r="W52" s="95">
        <v>0</v>
      </c>
    </row>
    <row r="53" spans="1:23" x14ac:dyDescent="0.2">
      <c r="A53" s="143"/>
      <c r="B53" s="144"/>
      <c r="C53" s="144"/>
      <c r="D53" s="96"/>
      <c r="E53" s="95"/>
      <c r="F53" s="96"/>
      <c r="G53" s="95"/>
      <c r="H53" s="96"/>
      <c r="I53" s="95"/>
      <c r="J53" s="96"/>
      <c r="K53" s="95"/>
      <c r="L53" s="96"/>
      <c r="M53" s="95"/>
      <c r="N53" s="96"/>
      <c r="O53" s="95"/>
      <c r="P53" s="96"/>
      <c r="Q53" s="95"/>
      <c r="R53" s="96"/>
      <c r="S53" s="95"/>
      <c r="T53" s="96"/>
      <c r="U53" s="95"/>
      <c r="V53" s="96"/>
      <c r="W53" s="95"/>
    </row>
    <row r="54" spans="1:23" x14ac:dyDescent="0.2">
      <c r="A54" s="130">
        <v>43510</v>
      </c>
      <c r="B54" s="129" t="s">
        <v>574</v>
      </c>
      <c r="C54" s="129">
        <v>182</v>
      </c>
      <c r="D54" s="96"/>
      <c r="E54" s="95">
        <v>0</v>
      </c>
      <c r="F54" s="96"/>
      <c r="G54" s="95">
        <v>0</v>
      </c>
      <c r="H54" s="96"/>
      <c r="I54" s="95">
        <v>0</v>
      </c>
      <c r="J54" s="96"/>
      <c r="K54" s="95">
        <v>0</v>
      </c>
      <c r="L54" s="96"/>
      <c r="M54" s="95">
        <v>0</v>
      </c>
      <c r="N54" s="96">
        <v>1.4907969999999999</v>
      </c>
      <c r="O54" s="95">
        <v>69000</v>
      </c>
      <c r="P54" s="96"/>
      <c r="Q54" s="95">
        <v>0</v>
      </c>
      <c r="R54" s="96"/>
      <c r="S54" s="95">
        <v>0</v>
      </c>
      <c r="T54" s="96"/>
      <c r="U54" s="95">
        <v>0</v>
      </c>
      <c r="V54" s="96"/>
      <c r="W54" s="95">
        <v>0</v>
      </c>
    </row>
    <row r="55" spans="1:23" x14ac:dyDescent="0.2">
      <c r="A55" s="143"/>
      <c r="B55" s="144"/>
      <c r="C55" s="144"/>
      <c r="D55" s="96"/>
      <c r="E55" s="95"/>
      <c r="F55" s="96"/>
      <c r="G55" s="95"/>
      <c r="H55" s="96"/>
      <c r="I55" s="95"/>
      <c r="J55" s="96"/>
      <c r="K55" s="95"/>
      <c r="L55" s="96"/>
      <c r="M55" s="95"/>
      <c r="N55" s="96"/>
      <c r="O55" s="95"/>
      <c r="P55" s="96"/>
      <c r="Q55" s="95"/>
      <c r="R55" s="96"/>
      <c r="S55" s="95"/>
      <c r="T55" s="96"/>
      <c r="U55" s="95"/>
      <c r="V55" s="96"/>
      <c r="W55" s="95"/>
    </row>
    <row r="56" spans="1:23" x14ac:dyDescent="0.2">
      <c r="A56" s="130">
        <v>43516</v>
      </c>
      <c r="B56" s="129" t="s">
        <v>523</v>
      </c>
      <c r="C56" s="129">
        <v>730</v>
      </c>
      <c r="D56" s="96"/>
      <c r="E56" s="95">
        <v>0</v>
      </c>
      <c r="F56" s="96"/>
      <c r="G56" s="95">
        <v>0</v>
      </c>
      <c r="H56" s="96"/>
      <c r="I56" s="95">
        <v>0</v>
      </c>
      <c r="J56" s="96"/>
      <c r="K56" s="95">
        <v>0</v>
      </c>
      <c r="L56" s="96">
        <v>1.3946000000000001</v>
      </c>
      <c r="M56" s="95">
        <v>50000</v>
      </c>
      <c r="N56" s="96"/>
      <c r="O56" s="95">
        <v>0</v>
      </c>
      <c r="P56" s="96"/>
      <c r="Q56" s="95">
        <v>0</v>
      </c>
      <c r="R56" s="96"/>
      <c r="S56" s="95">
        <v>0</v>
      </c>
      <c r="T56" s="96"/>
      <c r="U56" s="95">
        <v>0</v>
      </c>
      <c r="V56" s="96"/>
      <c r="W56" s="95">
        <v>0</v>
      </c>
    </row>
    <row r="57" spans="1:23" x14ac:dyDescent="0.2">
      <c r="A57" s="143"/>
      <c r="B57" s="144"/>
      <c r="C57" s="144"/>
      <c r="D57" s="96"/>
      <c r="E57" s="95"/>
      <c r="F57" s="96"/>
      <c r="G57" s="95"/>
      <c r="H57" s="96"/>
      <c r="I57" s="95"/>
      <c r="J57" s="96"/>
      <c r="K57" s="95"/>
      <c r="L57" s="96"/>
      <c r="M57" s="95"/>
      <c r="N57" s="96"/>
      <c r="O57" s="95"/>
      <c r="P57" s="96"/>
      <c r="Q57" s="95"/>
      <c r="R57" s="96"/>
      <c r="S57" s="95"/>
      <c r="T57" s="96"/>
      <c r="U57" s="95"/>
      <c r="V57" s="96"/>
      <c r="W57" s="95"/>
    </row>
    <row r="58" spans="1:23" x14ac:dyDescent="0.2">
      <c r="A58" s="130">
        <v>43517</v>
      </c>
      <c r="B58" s="129" t="s">
        <v>756</v>
      </c>
      <c r="C58" s="129">
        <v>182</v>
      </c>
      <c r="D58" s="96">
        <v>1.5</v>
      </c>
      <c r="E58" s="95">
        <v>100000</v>
      </c>
      <c r="F58" s="96">
        <v>1.59</v>
      </c>
      <c r="G58" s="95">
        <v>17000</v>
      </c>
      <c r="H58" s="96">
        <v>1.5</v>
      </c>
      <c r="I58" s="95">
        <v>40000</v>
      </c>
      <c r="J58" s="96"/>
      <c r="K58" s="95">
        <v>0</v>
      </c>
      <c r="L58" s="96"/>
      <c r="M58" s="95">
        <v>0</v>
      </c>
      <c r="N58" s="96"/>
      <c r="O58" s="95">
        <v>0</v>
      </c>
      <c r="P58" s="96"/>
      <c r="Q58" s="95">
        <v>0</v>
      </c>
      <c r="R58" s="96"/>
      <c r="S58" s="95">
        <v>0</v>
      </c>
      <c r="T58" s="96"/>
      <c r="U58" s="95">
        <v>0</v>
      </c>
      <c r="V58" s="96"/>
      <c r="W58" s="95">
        <v>0</v>
      </c>
    </row>
    <row r="59" spans="1:23" x14ac:dyDescent="0.2">
      <c r="A59" s="143"/>
      <c r="B59" s="144"/>
      <c r="C59" s="144"/>
      <c r="D59" s="96"/>
      <c r="E59" s="95"/>
      <c r="F59" s="96"/>
      <c r="G59" s="95"/>
      <c r="H59" s="96"/>
      <c r="I59" s="95"/>
      <c r="J59" s="96"/>
      <c r="K59" s="95"/>
      <c r="L59" s="96"/>
      <c r="M59" s="95"/>
      <c r="N59" s="96"/>
      <c r="O59" s="95"/>
      <c r="P59" s="96"/>
      <c r="Q59" s="95"/>
      <c r="R59" s="96"/>
      <c r="S59" s="95"/>
      <c r="T59" s="96"/>
      <c r="U59" s="95"/>
      <c r="V59" s="96"/>
      <c r="W59" s="95"/>
    </row>
    <row r="60" spans="1:23" x14ac:dyDescent="0.2">
      <c r="A60" s="130">
        <v>43524</v>
      </c>
      <c r="B60" s="129" t="s">
        <v>575</v>
      </c>
      <c r="C60" s="129">
        <v>182</v>
      </c>
      <c r="D60" s="96">
        <v>1.49</v>
      </c>
      <c r="E60" s="95">
        <v>60000</v>
      </c>
      <c r="F60" s="96"/>
      <c r="G60" s="95">
        <v>0</v>
      </c>
      <c r="H60" s="96">
        <v>1.4627779999999999</v>
      </c>
      <c r="I60" s="95">
        <v>90000</v>
      </c>
      <c r="J60" s="96"/>
      <c r="K60" s="95">
        <v>0</v>
      </c>
      <c r="L60" s="96"/>
      <c r="M60" s="95">
        <v>0</v>
      </c>
      <c r="N60" s="96">
        <v>1.4524999999999999</v>
      </c>
      <c r="O60" s="95">
        <v>127000</v>
      </c>
      <c r="P60" s="96"/>
      <c r="Q60" s="95">
        <v>0</v>
      </c>
      <c r="R60" s="96"/>
      <c r="S60" s="95">
        <v>0</v>
      </c>
      <c r="T60" s="96"/>
      <c r="U60" s="95">
        <v>0</v>
      </c>
      <c r="V60" s="96"/>
      <c r="W60" s="95">
        <v>0</v>
      </c>
    </row>
    <row r="61" spans="1:23" x14ac:dyDescent="0.2">
      <c r="A61" s="143"/>
      <c r="B61" s="144"/>
      <c r="C61" s="144"/>
      <c r="D61" s="96"/>
      <c r="E61" s="95"/>
      <c r="F61" s="96"/>
      <c r="G61" s="95"/>
      <c r="H61" s="96"/>
      <c r="I61" s="95"/>
      <c r="J61" s="96"/>
      <c r="K61" s="95"/>
      <c r="L61" s="96"/>
      <c r="M61" s="95"/>
      <c r="N61" s="96"/>
      <c r="O61" s="95"/>
      <c r="P61" s="96"/>
      <c r="Q61" s="95"/>
      <c r="R61" s="96"/>
      <c r="S61" s="95"/>
      <c r="T61" s="96"/>
      <c r="U61" s="95"/>
      <c r="V61" s="96"/>
      <c r="W61" s="95"/>
    </row>
    <row r="62" spans="1:23" x14ac:dyDescent="0.2">
      <c r="A62" s="130">
        <v>43531</v>
      </c>
      <c r="B62" s="129" t="s">
        <v>576</v>
      </c>
      <c r="C62" s="129">
        <v>182</v>
      </c>
      <c r="D62" s="96"/>
      <c r="E62" s="95">
        <v>0</v>
      </c>
      <c r="F62" s="96">
        <v>1.56</v>
      </c>
      <c r="G62" s="95">
        <v>2000</v>
      </c>
      <c r="H62" s="96">
        <v>1.555625</v>
      </c>
      <c r="I62" s="95">
        <v>64000</v>
      </c>
      <c r="J62" s="96"/>
      <c r="K62" s="95">
        <v>0</v>
      </c>
      <c r="L62" s="96"/>
      <c r="M62" s="95">
        <v>0</v>
      </c>
      <c r="N62" s="96">
        <v>1.56</v>
      </c>
      <c r="O62" s="95">
        <v>18000</v>
      </c>
      <c r="P62" s="96"/>
      <c r="Q62" s="95">
        <v>0</v>
      </c>
      <c r="R62" s="96"/>
      <c r="S62" s="95">
        <v>0</v>
      </c>
      <c r="T62" s="96"/>
      <c r="U62" s="95">
        <v>0</v>
      </c>
      <c r="V62" s="96"/>
      <c r="W62" s="95">
        <v>0</v>
      </c>
    </row>
    <row r="63" spans="1:23" x14ac:dyDescent="0.2">
      <c r="A63" s="143"/>
      <c r="B63" s="144"/>
      <c r="C63" s="144"/>
      <c r="D63" s="96"/>
      <c r="E63" s="95"/>
      <c r="F63" s="96"/>
      <c r="G63" s="95"/>
      <c r="H63" s="96"/>
      <c r="I63" s="95"/>
      <c r="J63" s="96"/>
      <c r="K63" s="95"/>
      <c r="L63" s="96"/>
      <c r="M63" s="95"/>
      <c r="N63" s="96"/>
      <c r="O63" s="95"/>
      <c r="P63" s="96"/>
      <c r="Q63" s="95"/>
      <c r="R63" s="96"/>
      <c r="S63" s="95"/>
      <c r="T63" s="96"/>
      <c r="U63" s="95"/>
      <c r="V63" s="96"/>
      <c r="W63" s="95"/>
    </row>
    <row r="64" spans="1:23" x14ac:dyDescent="0.2">
      <c r="A64" s="130">
        <v>43532</v>
      </c>
      <c r="B64" s="129" t="s">
        <v>626</v>
      </c>
      <c r="C64" s="129">
        <v>2681</v>
      </c>
      <c r="D64" s="96"/>
      <c r="E64" s="95">
        <v>0</v>
      </c>
      <c r="F64" s="96">
        <v>1.486116</v>
      </c>
      <c r="G64" s="95">
        <v>159260</v>
      </c>
      <c r="H64" s="96"/>
      <c r="I64" s="95">
        <v>0</v>
      </c>
      <c r="J64" s="96"/>
      <c r="K64" s="95">
        <v>0</v>
      </c>
      <c r="L64" s="96"/>
      <c r="M64" s="95">
        <v>0</v>
      </c>
      <c r="N64" s="96"/>
      <c r="O64" s="95">
        <v>0</v>
      </c>
      <c r="P64" s="96"/>
      <c r="Q64" s="95">
        <v>0</v>
      </c>
      <c r="R64" s="96"/>
      <c r="S64" s="95">
        <v>0</v>
      </c>
      <c r="T64" s="96"/>
      <c r="U64" s="95">
        <v>0</v>
      </c>
      <c r="V64" s="96"/>
      <c r="W64" s="95">
        <v>0</v>
      </c>
    </row>
    <row r="65" spans="1:23" x14ac:dyDescent="0.2">
      <c r="A65" s="143"/>
      <c r="B65" s="144"/>
      <c r="C65" s="144"/>
      <c r="D65" s="96"/>
      <c r="E65" s="95"/>
      <c r="F65" s="96"/>
      <c r="G65" s="95"/>
      <c r="H65" s="96"/>
      <c r="I65" s="95"/>
      <c r="J65" s="96"/>
      <c r="K65" s="95"/>
      <c r="L65" s="96"/>
      <c r="M65" s="95"/>
      <c r="N65" s="96"/>
      <c r="O65" s="95"/>
      <c r="P65" s="96"/>
      <c r="Q65" s="95"/>
      <c r="R65" s="96"/>
      <c r="S65" s="95"/>
      <c r="T65" s="96"/>
      <c r="U65" s="95"/>
      <c r="V65" s="96"/>
      <c r="W65" s="95"/>
    </row>
    <row r="66" spans="1:23" x14ac:dyDescent="0.2">
      <c r="A66" s="130">
        <v>43538</v>
      </c>
      <c r="B66" s="129" t="s">
        <v>522</v>
      </c>
      <c r="C66" s="129">
        <v>364</v>
      </c>
      <c r="D66" s="96"/>
      <c r="E66" s="95">
        <v>0</v>
      </c>
      <c r="F66" s="96"/>
      <c r="G66" s="95">
        <v>0</v>
      </c>
      <c r="H66" s="96">
        <v>1.430879</v>
      </c>
      <c r="I66" s="95">
        <v>757000</v>
      </c>
      <c r="J66" s="96"/>
      <c r="K66" s="95">
        <v>0</v>
      </c>
      <c r="L66" s="96">
        <v>1.5315000000000001</v>
      </c>
      <c r="M66" s="95">
        <v>50000</v>
      </c>
      <c r="N66" s="96">
        <v>1.485306</v>
      </c>
      <c r="O66" s="95">
        <v>253000</v>
      </c>
      <c r="P66" s="96"/>
      <c r="Q66" s="95">
        <v>0</v>
      </c>
      <c r="R66" s="96"/>
      <c r="S66" s="95">
        <v>0</v>
      </c>
      <c r="T66" s="96"/>
      <c r="U66" s="95">
        <v>0</v>
      </c>
      <c r="V66" s="96"/>
      <c r="W66" s="95">
        <v>0</v>
      </c>
    </row>
    <row r="67" spans="1:23" x14ac:dyDescent="0.2">
      <c r="A67" s="143"/>
      <c r="B67" s="144"/>
      <c r="C67" s="144"/>
      <c r="D67" s="96"/>
      <c r="E67" s="95"/>
      <c r="F67" s="96"/>
      <c r="G67" s="95"/>
      <c r="H67" s="96"/>
      <c r="I67" s="95"/>
      <c r="J67" s="96"/>
      <c r="K67" s="95"/>
      <c r="L67" s="96"/>
      <c r="M67" s="95"/>
      <c r="N67" s="96"/>
      <c r="O67" s="95"/>
      <c r="P67" s="96"/>
      <c r="Q67" s="95"/>
      <c r="R67" s="96"/>
      <c r="S67" s="95"/>
      <c r="T67" s="96"/>
      <c r="U67" s="95"/>
      <c r="V67" s="96"/>
      <c r="W67" s="95"/>
    </row>
    <row r="68" spans="1:23" x14ac:dyDescent="0.2">
      <c r="A68" s="145">
        <v>43545</v>
      </c>
      <c r="B68" s="129" t="s">
        <v>582</v>
      </c>
      <c r="C68" s="129">
        <v>1095</v>
      </c>
      <c r="D68" s="96"/>
      <c r="E68" s="95">
        <v>0</v>
      </c>
      <c r="F68" s="96">
        <v>1.403095</v>
      </c>
      <c r="G68" s="95">
        <v>744000</v>
      </c>
      <c r="H68" s="96">
        <v>1.365</v>
      </c>
      <c r="I68" s="95">
        <v>145000</v>
      </c>
      <c r="J68" s="96"/>
      <c r="K68" s="95">
        <v>0</v>
      </c>
      <c r="L68" s="96"/>
      <c r="M68" s="95">
        <v>0</v>
      </c>
      <c r="N68" s="96">
        <v>1.4025000000000001</v>
      </c>
      <c r="O68" s="95">
        <v>30000</v>
      </c>
      <c r="P68" s="96"/>
      <c r="Q68" s="95">
        <v>0</v>
      </c>
      <c r="R68" s="96"/>
      <c r="S68" s="95">
        <v>0</v>
      </c>
      <c r="T68" s="96"/>
      <c r="U68" s="95">
        <v>0</v>
      </c>
      <c r="V68" s="96"/>
      <c r="W68" s="95">
        <v>0</v>
      </c>
    </row>
    <row r="69" spans="1:23" x14ac:dyDescent="0.2">
      <c r="A69" s="146">
        <v>43545</v>
      </c>
      <c r="B69" s="129" t="s">
        <v>577</v>
      </c>
      <c r="C69" s="129">
        <v>182</v>
      </c>
      <c r="D69" s="96"/>
      <c r="E69" s="95">
        <v>0</v>
      </c>
      <c r="F69" s="96">
        <v>1.5793440000000001</v>
      </c>
      <c r="G69" s="95">
        <v>89000</v>
      </c>
      <c r="H69" s="96">
        <v>1.65</v>
      </c>
      <c r="I69" s="95">
        <v>115000</v>
      </c>
      <c r="J69" s="96"/>
      <c r="K69" s="95">
        <v>0</v>
      </c>
      <c r="L69" s="96"/>
      <c r="M69" s="95">
        <v>0</v>
      </c>
      <c r="N69" s="96">
        <v>1.622069</v>
      </c>
      <c r="O69" s="95">
        <v>87000</v>
      </c>
      <c r="P69" s="96"/>
      <c r="Q69" s="95">
        <v>0</v>
      </c>
      <c r="R69" s="96"/>
      <c r="S69" s="95">
        <v>0</v>
      </c>
      <c r="T69" s="96"/>
      <c r="U69" s="95">
        <v>0</v>
      </c>
      <c r="V69" s="96"/>
      <c r="W69" s="95">
        <v>0</v>
      </c>
    </row>
    <row r="70" spans="1:23" x14ac:dyDescent="0.2">
      <c r="A70" s="143"/>
      <c r="B70" s="144"/>
      <c r="C70" s="144"/>
      <c r="D70" s="96"/>
      <c r="E70" s="95"/>
      <c r="F70" s="96"/>
      <c r="G70" s="95"/>
      <c r="H70" s="96"/>
      <c r="I70" s="95"/>
      <c r="J70" s="96"/>
      <c r="K70" s="95"/>
      <c r="L70" s="96"/>
      <c r="M70" s="95"/>
      <c r="N70" s="96"/>
      <c r="O70" s="95"/>
      <c r="P70" s="96"/>
      <c r="Q70" s="95"/>
      <c r="R70" s="96"/>
      <c r="S70" s="95"/>
      <c r="T70" s="96"/>
      <c r="U70" s="95"/>
      <c r="V70" s="96"/>
      <c r="W70" s="95"/>
    </row>
    <row r="71" spans="1:23" x14ac:dyDescent="0.2">
      <c r="A71" s="130">
        <v>43552</v>
      </c>
      <c r="B71" s="129" t="s">
        <v>578</v>
      </c>
      <c r="C71" s="129">
        <v>182</v>
      </c>
      <c r="D71" s="96"/>
      <c r="E71" s="95">
        <v>0</v>
      </c>
      <c r="F71" s="96">
        <v>1.57</v>
      </c>
      <c r="G71" s="95">
        <v>25000</v>
      </c>
      <c r="H71" s="96">
        <v>1.5717950000000001</v>
      </c>
      <c r="I71" s="95">
        <v>234000</v>
      </c>
      <c r="J71" s="96"/>
      <c r="K71" s="95">
        <v>0</v>
      </c>
      <c r="L71" s="96"/>
      <c r="M71" s="95">
        <v>0</v>
      </c>
      <c r="N71" s="96">
        <v>1.57</v>
      </c>
      <c r="O71" s="95">
        <v>261000</v>
      </c>
      <c r="P71" s="96"/>
      <c r="Q71" s="95">
        <v>0</v>
      </c>
      <c r="R71" s="96"/>
      <c r="S71" s="95">
        <v>0</v>
      </c>
      <c r="T71" s="96"/>
      <c r="U71" s="95">
        <v>0</v>
      </c>
      <c r="V71" s="96"/>
      <c r="W71" s="95">
        <v>0</v>
      </c>
    </row>
    <row r="72" spans="1:23" x14ac:dyDescent="0.2">
      <c r="A72" s="143"/>
      <c r="B72" s="144"/>
      <c r="C72" s="144"/>
      <c r="D72" s="96"/>
      <c r="E72" s="95"/>
      <c r="F72" s="96"/>
      <c r="G72" s="95"/>
      <c r="H72" s="96"/>
      <c r="I72" s="95"/>
      <c r="J72" s="96"/>
      <c r="K72" s="95"/>
      <c r="L72" s="96"/>
      <c r="M72" s="95"/>
      <c r="N72" s="96"/>
      <c r="O72" s="95"/>
      <c r="P72" s="96"/>
      <c r="Q72" s="95"/>
      <c r="R72" s="96"/>
      <c r="S72" s="95"/>
      <c r="T72" s="96"/>
      <c r="U72" s="95"/>
      <c r="V72" s="96"/>
      <c r="W72" s="95"/>
    </row>
    <row r="73" spans="1:23" x14ac:dyDescent="0.2">
      <c r="A73" s="130">
        <v>43558</v>
      </c>
      <c r="B73" s="129" t="s">
        <v>84</v>
      </c>
      <c r="C73" s="129">
        <v>364</v>
      </c>
      <c r="D73" s="96"/>
      <c r="E73" s="95">
        <v>0</v>
      </c>
      <c r="F73" s="96"/>
      <c r="G73" s="95">
        <v>0</v>
      </c>
      <c r="H73" s="96"/>
      <c r="I73" s="95">
        <v>0</v>
      </c>
      <c r="J73" s="96"/>
      <c r="K73" s="95">
        <v>0</v>
      </c>
      <c r="L73" s="96"/>
      <c r="M73" s="95">
        <v>0</v>
      </c>
      <c r="N73" s="96"/>
      <c r="O73" s="95">
        <v>0</v>
      </c>
      <c r="P73" s="96">
        <v>1.6</v>
      </c>
      <c r="Q73" s="95">
        <v>10000</v>
      </c>
      <c r="R73" s="96">
        <v>1.312079</v>
      </c>
      <c r="S73" s="95">
        <v>1190000</v>
      </c>
      <c r="T73" s="96"/>
      <c r="U73" s="95">
        <v>0</v>
      </c>
      <c r="V73" s="96"/>
      <c r="W73" s="95">
        <v>0</v>
      </c>
    </row>
    <row r="74" spans="1:23" x14ac:dyDescent="0.2">
      <c r="A74" s="143"/>
      <c r="B74" s="144"/>
      <c r="C74" s="144"/>
      <c r="D74" s="96"/>
      <c r="E74" s="95"/>
      <c r="F74" s="96"/>
      <c r="G74" s="95"/>
      <c r="H74" s="96"/>
      <c r="I74" s="95"/>
      <c r="J74" s="96"/>
      <c r="K74" s="95"/>
      <c r="L74" s="96"/>
      <c r="M74" s="95"/>
      <c r="N74" s="96"/>
      <c r="O74" s="95"/>
      <c r="P74" s="96"/>
      <c r="Q74" s="95"/>
      <c r="R74" s="96"/>
      <c r="S74" s="95"/>
      <c r="T74" s="96"/>
      <c r="U74" s="95"/>
      <c r="V74" s="96"/>
      <c r="W74" s="95"/>
    </row>
    <row r="75" spans="1:23" x14ac:dyDescent="0.2">
      <c r="A75" s="130">
        <v>43559</v>
      </c>
      <c r="B75" s="129" t="s">
        <v>579</v>
      </c>
      <c r="C75" s="129">
        <v>182</v>
      </c>
      <c r="D75" s="96"/>
      <c r="E75" s="95">
        <v>0</v>
      </c>
      <c r="F75" s="96">
        <v>1.5974999999999999</v>
      </c>
      <c r="G75" s="95">
        <v>871000</v>
      </c>
      <c r="H75" s="96">
        <v>1.5974999999999999</v>
      </c>
      <c r="I75" s="95">
        <v>50000</v>
      </c>
      <c r="J75" s="96"/>
      <c r="K75" s="95">
        <v>0</v>
      </c>
      <c r="L75" s="96"/>
      <c r="M75" s="95">
        <v>0</v>
      </c>
      <c r="N75" s="96">
        <v>1.5974999999999999</v>
      </c>
      <c r="O75" s="95">
        <v>194000</v>
      </c>
      <c r="P75" s="96"/>
      <c r="Q75" s="95">
        <v>0</v>
      </c>
      <c r="R75" s="96"/>
      <c r="S75" s="95">
        <v>0</v>
      </c>
      <c r="T75" s="96"/>
      <c r="U75" s="95">
        <v>0</v>
      </c>
      <c r="V75" s="96"/>
      <c r="W75" s="95">
        <v>0</v>
      </c>
    </row>
    <row r="76" spans="1:23" x14ac:dyDescent="0.2">
      <c r="A76" s="143"/>
      <c r="B76" s="144"/>
      <c r="C76" s="144"/>
      <c r="D76" s="96"/>
      <c r="E76" s="95"/>
      <c r="F76" s="96"/>
      <c r="G76" s="95"/>
      <c r="H76" s="96"/>
      <c r="I76" s="95"/>
      <c r="J76" s="96"/>
      <c r="K76" s="95"/>
      <c r="L76" s="96"/>
      <c r="M76" s="95"/>
      <c r="N76" s="96"/>
      <c r="O76" s="95"/>
      <c r="P76" s="96"/>
      <c r="Q76" s="95"/>
      <c r="R76" s="96"/>
      <c r="S76" s="95"/>
      <c r="T76" s="96"/>
      <c r="U76" s="95"/>
      <c r="V76" s="96"/>
      <c r="W76" s="95"/>
    </row>
    <row r="77" spans="1:23" x14ac:dyDescent="0.2">
      <c r="A77" s="130">
        <v>43566</v>
      </c>
      <c r="B77" s="129" t="s">
        <v>850</v>
      </c>
      <c r="C77" s="129">
        <v>182</v>
      </c>
      <c r="D77" s="96"/>
      <c r="E77" s="95">
        <v>0</v>
      </c>
      <c r="F77" s="96"/>
      <c r="G77" s="95">
        <v>0</v>
      </c>
      <c r="H77" s="96">
        <v>1.72</v>
      </c>
      <c r="I77" s="95">
        <v>200000</v>
      </c>
      <c r="J77" s="96"/>
      <c r="K77" s="95">
        <v>0</v>
      </c>
      <c r="L77" s="96"/>
      <c r="M77" s="95">
        <v>0</v>
      </c>
      <c r="N77" s="96"/>
      <c r="O77" s="95">
        <v>0</v>
      </c>
      <c r="P77" s="96"/>
      <c r="Q77" s="95">
        <v>0</v>
      </c>
      <c r="R77" s="96"/>
      <c r="S77" s="95">
        <v>0</v>
      </c>
      <c r="T77" s="96"/>
      <c r="U77" s="95">
        <v>0</v>
      </c>
      <c r="V77" s="96"/>
      <c r="W77" s="95">
        <v>0</v>
      </c>
    </row>
    <row r="78" spans="1:23" x14ac:dyDescent="0.2">
      <c r="A78" s="143"/>
      <c r="B78" s="144"/>
      <c r="C78" s="144"/>
      <c r="D78" s="96"/>
      <c r="E78" s="95"/>
      <c r="F78" s="96"/>
      <c r="G78" s="95"/>
      <c r="H78" s="96"/>
      <c r="I78" s="95"/>
      <c r="J78" s="96"/>
      <c r="K78" s="95"/>
      <c r="L78" s="96"/>
      <c r="M78" s="95"/>
      <c r="N78" s="96"/>
      <c r="O78" s="95"/>
      <c r="P78" s="96"/>
      <c r="Q78" s="95"/>
      <c r="R78" s="96"/>
      <c r="S78" s="95"/>
      <c r="T78" s="96"/>
      <c r="U78" s="95"/>
      <c r="V78" s="96"/>
      <c r="W78" s="95"/>
    </row>
    <row r="79" spans="1:23" x14ac:dyDescent="0.2">
      <c r="A79" s="130">
        <v>43622</v>
      </c>
      <c r="B79" s="129" t="s">
        <v>580</v>
      </c>
      <c r="C79" s="129">
        <v>364</v>
      </c>
      <c r="D79" s="96"/>
      <c r="E79" s="95">
        <v>0</v>
      </c>
      <c r="F79" s="96"/>
      <c r="G79" s="95">
        <v>0</v>
      </c>
      <c r="H79" s="96">
        <v>1.5829409999999999</v>
      </c>
      <c r="I79" s="95">
        <v>170000</v>
      </c>
      <c r="J79" s="96"/>
      <c r="K79" s="95">
        <v>0</v>
      </c>
      <c r="L79" s="96"/>
      <c r="M79" s="95">
        <v>0</v>
      </c>
      <c r="N79" s="96">
        <v>1.5750379999999999</v>
      </c>
      <c r="O79" s="95">
        <v>133000</v>
      </c>
      <c r="P79" s="96"/>
      <c r="Q79" s="95">
        <v>0</v>
      </c>
      <c r="R79" s="96"/>
      <c r="S79" s="95">
        <v>0</v>
      </c>
      <c r="T79" s="96"/>
      <c r="U79" s="95">
        <v>0</v>
      </c>
      <c r="V79" s="96"/>
      <c r="W79" s="95">
        <v>0</v>
      </c>
    </row>
    <row r="80" spans="1:23" x14ac:dyDescent="0.2">
      <c r="A80" s="143"/>
      <c r="B80" s="144"/>
      <c r="C80" s="144"/>
      <c r="D80" s="96"/>
      <c r="E80" s="95"/>
      <c r="F80" s="96"/>
      <c r="G80" s="95"/>
      <c r="H80" s="96"/>
      <c r="I80" s="95"/>
      <c r="J80" s="96"/>
      <c r="K80" s="95"/>
      <c r="L80" s="96"/>
      <c r="M80" s="95"/>
      <c r="N80" s="96"/>
      <c r="O80" s="95"/>
      <c r="P80" s="96"/>
      <c r="Q80" s="95"/>
      <c r="R80" s="96"/>
      <c r="S80" s="95"/>
      <c r="T80" s="96"/>
      <c r="U80" s="95"/>
      <c r="V80" s="96"/>
      <c r="W80" s="95"/>
    </row>
    <row r="81" spans="1:23" x14ac:dyDescent="0.2">
      <c r="A81" s="130">
        <v>43713</v>
      </c>
      <c r="B81" s="129" t="s">
        <v>581</v>
      </c>
      <c r="C81" s="129">
        <v>364</v>
      </c>
      <c r="D81" s="96"/>
      <c r="E81" s="95">
        <v>0</v>
      </c>
      <c r="F81" s="96">
        <v>1.735233</v>
      </c>
      <c r="G81" s="95">
        <v>313000</v>
      </c>
      <c r="H81" s="96">
        <v>1.757444</v>
      </c>
      <c r="I81" s="95">
        <v>177000</v>
      </c>
      <c r="J81" s="96"/>
      <c r="K81" s="95">
        <v>0</v>
      </c>
      <c r="L81" s="96"/>
      <c r="M81" s="95">
        <v>0</v>
      </c>
      <c r="N81" s="96">
        <v>1.7331730000000001</v>
      </c>
      <c r="O81" s="95">
        <v>624000</v>
      </c>
      <c r="P81" s="96"/>
      <c r="Q81" s="95">
        <v>0</v>
      </c>
      <c r="R81" s="96"/>
      <c r="S81" s="95">
        <v>0</v>
      </c>
      <c r="T81" s="96"/>
      <c r="U81" s="95">
        <v>0</v>
      </c>
      <c r="V81" s="96"/>
      <c r="W81" s="95">
        <v>0</v>
      </c>
    </row>
    <row r="82" spans="1:23" x14ac:dyDescent="0.2">
      <c r="A82" s="143"/>
      <c r="B82" s="144"/>
      <c r="C82" s="144"/>
      <c r="D82" s="96"/>
      <c r="E82" s="95"/>
      <c r="F82" s="96"/>
      <c r="G82" s="95"/>
      <c r="H82" s="96"/>
      <c r="I82" s="95"/>
      <c r="J82" s="96"/>
      <c r="K82" s="95"/>
      <c r="L82" s="96"/>
      <c r="M82" s="95"/>
      <c r="N82" s="96"/>
      <c r="O82" s="95"/>
      <c r="P82" s="96"/>
      <c r="Q82" s="95"/>
      <c r="R82" s="96"/>
      <c r="S82" s="95"/>
      <c r="T82" s="96"/>
      <c r="U82" s="95"/>
      <c r="V82" s="96"/>
      <c r="W82" s="95"/>
    </row>
    <row r="83" spans="1:23" x14ac:dyDescent="0.2">
      <c r="A83" s="130">
        <v>43720</v>
      </c>
      <c r="B83" s="129" t="s">
        <v>524</v>
      </c>
      <c r="C83" s="129">
        <v>1095</v>
      </c>
      <c r="D83" s="96"/>
      <c r="E83" s="95">
        <v>0</v>
      </c>
      <c r="F83" s="96"/>
      <c r="G83" s="95">
        <v>0</v>
      </c>
      <c r="H83" s="96"/>
      <c r="I83" s="95">
        <v>0</v>
      </c>
      <c r="J83" s="96"/>
      <c r="K83" s="95">
        <v>0</v>
      </c>
      <c r="L83" s="96">
        <v>1.47</v>
      </c>
      <c r="M83" s="95">
        <v>200000</v>
      </c>
      <c r="N83" s="96">
        <v>1.67875</v>
      </c>
      <c r="O83" s="95">
        <v>177000</v>
      </c>
      <c r="P83" s="96"/>
      <c r="Q83" s="95">
        <v>0</v>
      </c>
      <c r="R83" s="96"/>
      <c r="S83" s="95">
        <v>0</v>
      </c>
      <c r="T83" s="96"/>
      <c r="U83" s="95">
        <v>0</v>
      </c>
      <c r="V83" s="96"/>
      <c r="W83" s="95">
        <v>0</v>
      </c>
    </row>
    <row r="84" spans="1:23" x14ac:dyDescent="0.2">
      <c r="A84" s="143"/>
      <c r="B84" s="144"/>
      <c r="C84" s="144"/>
      <c r="D84" s="96"/>
      <c r="E84" s="95"/>
      <c r="F84" s="96"/>
      <c r="G84" s="95"/>
      <c r="H84" s="96"/>
      <c r="I84" s="95"/>
      <c r="J84" s="96"/>
      <c r="K84" s="95"/>
      <c r="L84" s="96"/>
      <c r="M84" s="95"/>
      <c r="N84" s="96"/>
      <c r="O84" s="95"/>
      <c r="P84" s="96"/>
      <c r="Q84" s="95"/>
      <c r="R84" s="96"/>
      <c r="S84" s="95"/>
      <c r="T84" s="96"/>
      <c r="U84" s="95"/>
      <c r="V84" s="96"/>
      <c r="W84" s="95"/>
    </row>
    <row r="85" spans="1:23" x14ac:dyDescent="0.2">
      <c r="A85" s="130">
        <v>43887</v>
      </c>
      <c r="B85" s="129" t="s">
        <v>624</v>
      </c>
      <c r="C85" s="129">
        <v>730</v>
      </c>
      <c r="D85" s="96"/>
      <c r="E85" s="95">
        <v>0</v>
      </c>
      <c r="F85" s="96">
        <v>1.4884820000000001</v>
      </c>
      <c r="G85" s="95">
        <v>198000</v>
      </c>
      <c r="H85" s="96"/>
      <c r="I85" s="95">
        <v>0</v>
      </c>
      <c r="J85" s="96"/>
      <c r="K85" s="95">
        <v>0</v>
      </c>
      <c r="L85" s="96"/>
      <c r="M85" s="95">
        <v>0</v>
      </c>
      <c r="N85" s="96"/>
      <c r="O85" s="95">
        <v>0</v>
      </c>
      <c r="P85" s="96"/>
      <c r="Q85" s="95">
        <v>0</v>
      </c>
      <c r="R85" s="96"/>
      <c r="S85" s="95">
        <v>0</v>
      </c>
      <c r="T85" s="96"/>
      <c r="U85" s="95">
        <v>0</v>
      </c>
      <c r="V85" s="96"/>
      <c r="W85" s="95">
        <v>0</v>
      </c>
    </row>
    <row r="86" spans="1:23" x14ac:dyDescent="0.2">
      <c r="A86" s="143"/>
      <c r="B86" s="144"/>
      <c r="C86" s="144"/>
      <c r="D86" s="96"/>
      <c r="E86" s="95"/>
      <c r="F86" s="96"/>
      <c r="G86" s="95"/>
      <c r="H86" s="96"/>
      <c r="I86" s="95"/>
      <c r="J86" s="96"/>
      <c r="K86" s="95"/>
      <c r="L86" s="96"/>
      <c r="M86" s="95"/>
      <c r="N86" s="96"/>
      <c r="O86" s="95"/>
      <c r="P86" s="96"/>
      <c r="Q86" s="95"/>
      <c r="R86" s="96"/>
      <c r="S86" s="95"/>
      <c r="T86" s="96"/>
      <c r="U86" s="95"/>
      <c r="V86" s="96"/>
      <c r="W86" s="95"/>
    </row>
    <row r="87" spans="1:23" x14ac:dyDescent="0.2">
      <c r="A87" s="130">
        <v>43917</v>
      </c>
      <c r="B87" s="129" t="s">
        <v>583</v>
      </c>
      <c r="C87" s="129">
        <v>1096</v>
      </c>
      <c r="D87" s="96"/>
      <c r="E87" s="95">
        <v>0</v>
      </c>
      <c r="F87" s="96">
        <v>1.7205189999999999</v>
      </c>
      <c r="G87" s="95">
        <v>898000</v>
      </c>
      <c r="H87" s="96">
        <v>1.5699799999999999</v>
      </c>
      <c r="I87" s="95">
        <v>50000</v>
      </c>
      <c r="J87" s="96"/>
      <c r="K87" s="95">
        <v>0</v>
      </c>
      <c r="L87" s="96"/>
      <c r="M87" s="95">
        <v>0</v>
      </c>
      <c r="N87" s="96">
        <v>1.7534510000000001</v>
      </c>
      <c r="O87" s="95">
        <v>393000</v>
      </c>
      <c r="P87" s="96"/>
      <c r="Q87" s="95">
        <v>0</v>
      </c>
      <c r="R87" s="96"/>
      <c r="S87" s="95">
        <v>0</v>
      </c>
      <c r="T87" s="96"/>
      <c r="U87" s="95">
        <v>0</v>
      </c>
      <c r="V87" s="96"/>
      <c r="W87" s="95">
        <v>0</v>
      </c>
    </row>
    <row r="88" spans="1:23" x14ac:dyDescent="0.2">
      <c r="A88" s="143"/>
      <c r="B88" s="144"/>
      <c r="C88" s="144"/>
      <c r="D88" s="96"/>
      <c r="E88" s="95"/>
      <c r="F88" s="96"/>
      <c r="G88" s="95"/>
      <c r="H88" s="96"/>
      <c r="I88" s="95"/>
      <c r="J88" s="96"/>
      <c r="K88" s="95"/>
      <c r="L88" s="96"/>
      <c r="M88" s="95"/>
      <c r="N88" s="96"/>
      <c r="O88" s="95"/>
      <c r="P88" s="96"/>
      <c r="Q88" s="95"/>
      <c r="R88" s="96"/>
      <c r="S88" s="95"/>
      <c r="T88" s="96"/>
      <c r="U88" s="95"/>
      <c r="V88" s="96"/>
      <c r="W88" s="95"/>
    </row>
    <row r="89" spans="1:23" x14ac:dyDescent="0.2">
      <c r="A89" s="130">
        <v>44008</v>
      </c>
      <c r="B89" s="129" t="s">
        <v>526</v>
      </c>
      <c r="C89" s="129">
        <v>1827</v>
      </c>
      <c r="D89" s="96"/>
      <c r="E89" s="95">
        <v>0</v>
      </c>
      <c r="F89" s="96">
        <v>1.6983729999999999</v>
      </c>
      <c r="G89" s="95">
        <v>3511000</v>
      </c>
      <c r="H89" s="96">
        <v>1.5104610000000001</v>
      </c>
      <c r="I89" s="95">
        <v>128000</v>
      </c>
      <c r="J89" s="96"/>
      <c r="K89" s="95">
        <v>0</v>
      </c>
      <c r="L89" s="96">
        <v>1.5216670000000001</v>
      </c>
      <c r="M89" s="95">
        <v>90000</v>
      </c>
      <c r="N89" s="96"/>
      <c r="O89" s="95">
        <v>0</v>
      </c>
      <c r="P89" s="96"/>
      <c r="Q89" s="95">
        <v>0</v>
      </c>
      <c r="R89" s="96"/>
      <c r="S89" s="95">
        <v>0</v>
      </c>
      <c r="T89" s="96"/>
      <c r="U89" s="95">
        <v>0</v>
      </c>
      <c r="V89" s="96"/>
      <c r="W89" s="95">
        <v>0</v>
      </c>
    </row>
    <row r="90" spans="1:23" x14ac:dyDescent="0.2">
      <c r="A90" s="143"/>
      <c r="B90" s="144"/>
      <c r="C90" s="144"/>
      <c r="D90" s="96"/>
      <c r="E90" s="95"/>
      <c r="F90" s="96"/>
      <c r="G90" s="95"/>
      <c r="H90" s="96"/>
      <c r="I90" s="95"/>
      <c r="J90" s="96"/>
      <c r="K90" s="95"/>
      <c r="L90" s="96"/>
      <c r="M90" s="95"/>
      <c r="N90" s="96"/>
      <c r="O90" s="95"/>
      <c r="P90" s="96"/>
      <c r="Q90" s="95"/>
      <c r="R90" s="96"/>
      <c r="S90" s="95"/>
      <c r="T90" s="96"/>
      <c r="U90" s="95"/>
      <c r="V90" s="96"/>
      <c r="W90" s="95"/>
    </row>
    <row r="91" spans="1:23" x14ac:dyDescent="0.2">
      <c r="A91" s="130">
        <v>44070</v>
      </c>
      <c r="B91" s="129" t="s">
        <v>757</v>
      </c>
      <c r="C91" s="129">
        <v>731</v>
      </c>
      <c r="D91" s="96"/>
      <c r="E91" s="95">
        <v>0</v>
      </c>
      <c r="F91" s="96"/>
      <c r="G91" s="95">
        <v>0</v>
      </c>
      <c r="H91" s="96">
        <v>1.9634499999999999</v>
      </c>
      <c r="I91" s="95">
        <v>180000</v>
      </c>
      <c r="J91" s="96"/>
      <c r="K91" s="95">
        <v>0</v>
      </c>
      <c r="L91" s="96"/>
      <c r="M91" s="95">
        <v>0</v>
      </c>
      <c r="N91" s="96"/>
      <c r="O91" s="95">
        <v>0</v>
      </c>
      <c r="P91" s="96"/>
      <c r="Q91" s="95">
        <v>0</v>
      </c>
      <c r="R91" s="96"/>
      <c r="S91" s="95">
        <v>0</v>
      </c>
      <c r="T91" s="96"/>
      <c r="U91" s="95">
        <v>0</v>
      </c>
      <c r="V91" s="96"/>
      <c r="W91" s="95">
        <v>0</v>
      </c>
    </row>
    <row r="92" spans="1:23" x14ac:dyDescent="0.2">
      <c r="A92" s="143"/>
      <c r="B92" s="144"/>
      <c r="C92" s="144"/>
      <c r="D92" s="96"/>
      <c r="E92" s="95"/>
      <c r="F92" s="96"/>
      <c r="G92" s="95"/>
      <c r="H92" s="96"/>
      <c r="I92" s="95"/>
      <c r="J92" s="96"/>
      <c r="K92" s="95"/>
      <c r="L92" s="96"/>
      <c r="M92" s="95"/>
      <c r="N92" s="96"/>
      <c r="O92" s="95"/>
      <c r="P92" s="96"/>
      <c r="Q92" s="95"/>
      <c r="R92" s="96"/>
      <c r="S92" s="95"/>
      <c r="T92" s="96"/>
      <c r="U92" s="95"/>
      <c r="V92" s="96"/>
      <c r="W92" s="95"/>
    </row>
    <row r="93" spans="1:23" x14ac:dyDescent="0.2">
      <c r="A93" s="130">
        <v>44099</v>
      </c>
      <c r="B93" s="129" t="s">
        <v>525</v>
      </c>
      <c r="C93" s="129">
        <v>1096</v>
      </c>
      <c r="D93" s="96"/>
      <c r="E93" s="95">
        <v>0</v>
      </c>
      <c r="F93" s="96"/>
      <c r="G93" s="95">
        <v>0</v>
      </c>
      <c r="H93" s="96">
        <v>1.5116959999999999</v>
      </c>
      <c r="I93" s="95">
        <v>280000</v>
      </c>
      <c r="J93" s="96"/>
      <c r="K93" s="95">
        <v>0</v>
      </c>
      <c r="L93" s="96">
        <v>1.52</v>
      </c>
      <c r="M93" s="95">
        <v>110000</v>
      </c>
      <c r="N93" s="96">
        <v>1.50197</v>
      </c>
      <c r="O93" s="95">
        <v>344500</v>
      </c>
      <c r="P93" s="96"/>
      <c r="Q93" s="95">
        <v>0</v>
      </c>
      <c r="R93" s="96"/>
      <c r="S93" s="95">
        <v>0</v>
      </c>
      <c r="T93" s="96"/>
      <c r="U93" s="95">
        <v>0</v>
      </c>
      <c r="V93" s="96"/>
      <c r="W93" s="95">
        <v>0</v>
      </c>
    </row>
    <row r="94" spans="1:23" x14ac:dyDescent="0.2">
      <c r="A94" s="143"/>
      <c r="B94" s="144"/>
      <c r="C94" s="144"/>
      <c r="D94" s="96"/>
      <c r="E94" s="95"/>
      <c r="F94" s="96"/>
      <c r="G94" s="95"/>
      <c r="H94" s="96"/>
      <c r="I94" s="95"/>
      <c r="J94" s="96"/>
      <c r="K94" s="95"/>
      <c r="L94" s="96"/>
      <c r="M94" s="95"/>
      <c r="N94" s="96"/>
      <c r="O94" s="95"/>
      <c r="P94" s="96"/>
      <c r="Q94" s="95"/>
      <c r="R94" s="96"/>
      <c r="S94" s="95"/>
      <c r="T94" s="96"/>
      <c r="U94" s="95"/>
      <c r="V94" s="96"/>
      <c r="W94" s="95"/>
    </row>
    <row r="95" spans="1:23" x14ac:dyDescent="0.2">
      <c r="A95" s="130">
        <v>44391</v>
      </c>
      <c r="B95" s="129" t="s">
        <v>584</v>
      </c>
      <c r="C95" s="129">
        <v>3653</v>
      </c>
      <c r="D95" s="96"/>
      <c r="E95" s="95">
        <v>0</v>
      </c>
      <c r="F95" s="96">
        <v>1.2048099999999999</v>
      </c>
      <c r="G95" s="95">
        <v>716000</v>
      </c>
      <c r="H95" s="96"/>
      <c r="I95" s="95">
        <v>0</v>
      </c>
      <c r="J95" s="96"/>
      <c r="K95" s="95">
        <v>0</v>
      </c>
      <c r="L95" s="96"/>
      <c r="M95" s="95">
        <v>0</v>
      </c>
      <c r="N95" s="96">
        <v>1.185627</v>
      </c>
      <c r="O95" s="95">
        <v>82000</v>
      </c>
      <c r="P95" s="96"/>
      <c r="Q95" s="95">
        <v>0</v>
      </c>
      <c r="R95" s="96"/>
      <c r="S95" s="95">
        <v>0</v>
      </c>
      <c r="T95" s="96"/>
      <c r="U95" s="95">
        <v>0</v>
      </c>
      <c r="V95" s="96"/>
      <c r="W95" s="95">
        <v>0</v>
      </c>
    </row>
    <row r="96" spans="1:23" x14ac:dyDescent="0.2">
      <c r="A96" s="143"/>
      <c r="B96" s="144"/>
      <c r="C96" s="144"/>
      <c r="D96" s="96"/>
      <c r="E96" s="95"/>
      <c r="F96" s="96"/>
      <c r="G96" s="95"/>
      <c r="H96" s="96"/>
      <c r="I96" s="95"/>
      <c r="J96" s="96"/>
      <c r="K96" s="95"/>
      <c r="L96" s="96"/>
      <c r="M96" s="95"/>
      <c r="N96" s="96"/>
      <c r="O96" s="95"/>
      <c r="P96" s="96"/>
      <c r="Q96" s="95"/>
      <c r="R96" s="96"/>
      <c r="S96" s="95"/>
      <c r="T96" s="96"/>
      <c r="U96" s="95"/>
      <c r="V96" s="96"/>
      <c r="W96" s="95"/>
    </row>
    <row r="97" spans="1:23" x14ac:dyDescent="0.2">
      <c r="A97" s="130">
        <v>44547</v>
      </c>
      <c r="B97" s="129" t="s">
        <v>627</v>
      </c>
      <c r="C97" s="129">
        <v>4046</v>
      </c>
      <c r="D97" s="96"/>
      <c r="E97" s="95">
        <v>0</v>
      </c>
      <c r="F97" s="96">
        <v>1.662968</v>
      </c>
      <c r="G97" s="95">
        <v>583000</v>
      </c>
      <c r="H97" s="96">
        <v>1.605507</v>
      </c>
      <c r="I97" s="95">
        <v>67000</v>
      </c>
      <c r="J97" s="96"/>
      <c r="K97" s="95">
        <v>0</v>
      </c>
      <c r="L97" s="96"/>
      <c r="M97" s="95">
        <v>0</v>
      </c>
      <c r="N97" s="96"/>
      <c r="O97" s="95">
        <v>0</v>
      </c>
      <c r="P97" s="96"/>
      <c r="Q97" s="95">
        <v>0</v>
      </c>
      <c r="R97" s="96"/>
      <c r="S97" s="95">
        <v>0</v>
      </c>
      <c r="T97" s="96"/>
      <c r="U97" s="95">
        <v>0</v>
      </c>
      <c r="V97" s="96"/>
      <c r="W97" s="95">
        <v>0</v>
      </c>
    </row>
    <row r="98" spans="1:23" x14ac:dyDescent="0.2">
      <c r="A98" s="143"/>
      <c r="B98" s="144"/>
      <c r="C98" s="144"/>
      <c r="D98" s="96"/>
      <c r="E98" s="95"/>
      <c r="F98" s="96"/>
      <c r="G98" s="95"/>
      <c r="H98" s="96"/>
      <c r="I98" s="95"/>
      <c r="J98" s="96"/>
      <c r="K98" s="95"/>
      <c r="L98" s="96"/>
      <c r="M98" s="95"/>
      <c r="N98" s="96"/>
      <c r="O98" s="95"/>
      <c r="P98" s="96"/>
      <c r="Q98" s="95"/>
      <c r="R98" s="96"/>
      <c r="S98" s="95"/>
      <c r="T98" s="96"/>
      <c r="U98" s="95"/>
      <c r="V98" s="96"/>
      <c r="W98" s="95"/>
    </row>
    <row r="99" spans="1:23" x14ac:dyDescent="0.2">
      <c r="A99" s="130">
        <v>44729</v>
      </c>
      <c r="B99" s="129" t="s">
        <v>585</v>
      </c>
      <c r="C99" s="129">
        <v>2163</v>
      </c>
      <c r="D99" s="96"/>
      <c r="E99" s="95">
        <v>0</v>
      </c>
      <c r="F99" s="96">
        <v>1.9837039999999999</v>
      </c>
      <c r="G99" s="95">
        <v>1695000</v>
      </c>
      <c r="H99" s="96"/>
      <c r="I99" s="95">
        <v>0</v>
      </c>
      <c r="J99" s="96"/>
      <c r="K99" s="95">
        <v>0</v>
      </c>
      <c r="L99" s="96"/>
      <c r="M99" s="95">
        <v>0</v>
      </c>
      <c r="N99" s="96">
        <v>2.246769</v>
      </c>
      <c r="O99" s="95">
        <v>142000</v>
      </c>
      <c r="P99" s="96"/>
      <c r="Q99" s="95">
        <v>0</v>
      </c>
      <c r="R99" s="96"/>
      <c r="S99" s="95">
        <v>0</v>
      </c>
      <c r="T99" s="96"/>
      <c r="U99" s="95">
        <v>0</v>
      </c>
      <c r="V99" s="96"/>
      <c r="W99" s="95">
        <v>0</v>
      </c>
    </row>
    <row r="100" spans="1:23" x14ac:dyDescent="0.2">
      <c r="A100" s="143"/>
      <c r="B100" s="144"/>
      <c r="C100" s="144"/>
      <c r="D100" s="96"/>
      <c r="E100" s="95"/>
      <c r="F100" s="96"/>
      <c r="G100" s="95"/>
      <c r="H100" s="96"/>
      <c r="I100" s="95"/>
      <c r="J100" s="96"/>
      <c r="K100" s="95"/>
      <c r="L100" s="96"/>
      <c r="M100" s="95"/>
      <c r="N100" s="96"/>
      <c r="O100" s="95"/>
      <c r="P100" s="96"/>
      <c r="Q100" s="95"/>
      <c r="R100" s="96"/>
      <c r="S100" s="95"/>
      <c r="T100" s="96"/>
      <c r="U100" s="95"/>
      <c r="V100" s="96"/>
      <c r="W100" s="95"/>
    </row>
    <row r="101" spans="1:23" x14ac:dyDescent="0.2">
      <c r="A101" s="130">
        <v>44912</v>
      </c>
      <c r="B101" s="129" t="s">
        <v>586</v>
      </c>
      <c r="C101" s="129">
        <v>1961</v>
      </c>
      <c r="D101" s="96"/>
      <c r="E101" s="95">
        <v>0</v>
      </c>
      <c r="F101" s="96">
        <v>1.8714660000000001</v>
      </c>
      <c r="G101" s="95">
        <v>237000</v>
      </c>
      <c r="H101" s="96">
        <v>1.794038</v>
      </c>
      <c r="I101" s="95">
        <v>390000</v>
      </c>
      <c r="J101" s="96"/>
      <c r="K101" s="95">
        <v>0</v>
      </c>
      <c r="L101" s="96"/>
      <c r="M101" s="95">
        <v>0</v>
      </c>
      <c r="N101" s="96">
        <v>1.819229</v>
      </c>
      <c r="O101" s="95">
        <v>112500</v>
      </c>
      <c r="P101" s="96"/>
      <c r="Q101" s="95">
        <v>0</v>
      </c>
      <c r="R101" s="96"/>
      <c r="S101" s="95">
        <v>0</v>
      </c>
      <c r="T101" s="96"/>
      <c r="U101" s="95">
        <v>0</v>
      </c>
      <c r="V101" s="96"/>
      <c r="W101" s="95">
        <v>0</v>
      </c>
    </row>
    <row r="102" spans="1:23" x14ac:dyDescent="0.2">
      <c r="A102" s="143"/>
      <c r="B102" s="144"/>
      <c r="C102" s="144"/>
      <c r="D102" s="96"/>
      <c r="E102" s="95"/>
      <c r="F102" s="96"/>
      <c r="G102" s="95"/>
      <c r="H102" s="96"/>
      <c r="I102" s="95"/>
      <c r="J102" s="96"/>
      <c r="K102" s="95"/>
      <c r="L102" s="96"/>
      <c r="M102" s="95"/>
      <c r="N102" s="96"/>
      <c r="O102" s="95"/>
      <c r="P102" s="96"/>
      <c r="Q102" s="95"/>
      <c r="R102" s="96"/>
      <c r="S102" s="95"/>
      <c r="T102" s="96"/>
      <c r="U102" s="95"/>
      <c r="V102" s="96"/>
      <c r="W102" s="95"/>
    </row>
    <row r="103" spans="1:23" x14ac:dyDescent="0.2">
      <c r="A103" s="130">
        <v>45277</v>
      </c>
      <c r="B103" s="129" t="s">
        <v>587</v>
      </c>
      <c r="C103" s="129">
        <v>1948</v>
      </c>
      <c r="D103" s="96"/>
      <c r="E103" s="95">
        <v>0</v>
      </c>
      <c r="F103" s="96">
        <v>2.3401049999999999</v>
      </c>
      <c r="G103" s="95">
        <v>206000</v>
      </c>
      <c r="H103" s="96">
        <v>2.34274</v>
      </c>
      <c r="I103" s="95">
        <v>127000</v>
      </c>
      <c r="J103" s="96"/>
      <c r="K103" s="95">
        <v>0</v>
      </c>
      <c r="L103" s="96"/>
      <c r="M103" s="95">
        <v>0</v>
      </c>
      <c r="N103" s="96">
        <v>2.3435640000000002</v>
      </c>
      <c r="O103" s="95">
        <v>57000</v>
      </c>
      <c r="P103" s="96"/>
      <c r="Q103" s="95">
        <v>0</v>
      </c>
      <c r="R103" s="96"/>
      <c r="S103" s="95">
        <v>0</v>
      </c>
      <c r="T103" s="96"/>
      <c r="U103" s="95">
        <v>0</v>
      </c>
      <c r="V103" s="96"/>
      <c r="W103" s="95">
        <v>0</v>
      </c>
    </row>
    <row r="104" spans="1:23" x14ac:dyDescent="0.2">
      <c r="A104" s="143"/>
      <c r="B104" s="144"/>
      <c r="C104" s="144"/>
      <c r="D104" s="96"/>
      <c r="E104" s="95"/>
      <c r="F104" s="96"/>
      <c r="G104" s="95"/>
      <c r="H104" s="96"/>
      <c r="I104" s="95"/>
      <c r="J104" s="96"/>
      <c r="K104" s="95"/>
      <c r="L104" s="96"/>
      <c r="M104" s="95"/>
      <c r="N104" s="96"/>
      <c r="O104" s="95"/>
      <c r="P104" s="96"/>
      <c r="Q104" s="95"/>
      <c r="R104" s="96"/>
      <c r="S104" s="95"/>
      <c r="T104" s="96"/>
      <c r="U104" s="95"/>
      <c r="V104" s="96"/>
      <c r="W104" s="95"/>
    </row>
    <row r="105" spans="1:23" x14ac:dyDescent="0.2">
      <c r="A105" s="118">
        <v>43403</v>
      </c>
      <c r="B105" s="129" t="s">
        <v>864</v>
      </c>
      <c r="C105" s="129">
        <v>14</v>
      </c>
      <c r="D105" s="96"/>
      <c r="E105" s="95">
        <v>0</v>
      </c>
      <c r="F105" s="96"/>
      <c r="G105" s="95">
        <v>0</v>
      </c>
      <c r="H105" s="96">
        <v>1.21</v>
      </c>
      <c r="I105" s="95">
        <v>50000</v>
      </c>
      <c r="J105" s="96"/>
      <c r="K105" s="95">
        <v>0</v>
      </c>
      <c r="L105" s="96"/>
      <c r="M105" s="95">
        <v>0</v>
      </c>
      <c r="N105" s="96"/>
      <c r="O105" s="95">
        <v>0</v>
      </c>
      <c r="P105" s="96">
        <v>1.2061550000000001</v>
      </c>
      <c r="Q105" s="95">
        <v>400000</v>
      </c>
      <c r="R105" s="96">
        <v>1.2061550000000001</v>
      </c>
      <c r="S105" s="95">
        <v>2390000</v>
      </c>
      <c r="T105" s="96">
        <v>1.2061470000000001</v>
      </c>
      <c r="U105" s="95">
        <v>221000</v>
      </c>
      <c r="V105" s="96">
        <v>1.2061470000000001</v>
      </c>
      <c r="W105" s="95">
        <v>89000</v>
      </c>
    </row>
    <row r="106" spans="1:23" x14ac:dyDescent="0.2">
      <c r="A106" s="143"/>
      <c r="B106" s="144"/>
      <c r="C106" s="144"/>
      <c r="D106" s="96"/>
      <c r="E106" s="95"/>
      <c r="F106" s="96"/>
      <c r="G106" s="95"/>
      <c r="H106" s="96"/>
      <c r="I106" s="95"/>
      <c r="J106" s="96"/>
      <c r="K106" s="95"/>
      <c r="L106" s="96"/>
      <c r="M106" s="95"/>
      <c r="N106" s="96"/>
      <c r="O106" s="95"/>
      <c r="P106" s="96"/>
      <c r="Q106" s="95"/>
      <c r="R106" s="96"/>
      <c r="S106" s="95"/>
      <c r="T106" s="96"/>
      <c r="U106" s="95"/>
      <c r="V106" s="96"/>
      <c r="W106" s="95"/>
    </row>
    <row r="107" spans="1:23" x14ac:dyDescent="0.2">
      <c r="A107" s="118">
        <v>43489</v>
      </c>
      <c r="B107" s="129" t="s">
        <v>1262</v>
      </c>
      <c r="C107" s="129">
        <v>91</v>
      </c>
      <c r="D107" s="96">
        <v>1.5669</v>
      </c>
      <c r="E107" s="95">
        <v>30000</v>
      </c>
      <c r="F107" s="96"/>
      <c r="G107" s="95">
        <v>0</v>
      </c>
      <c r="H107" s="96">
        <v>1.5668329999999999</v>
      </c>
      <c r="I107" s="95">
        <v>180000</v>
      </c>
      <c r="J107" s="96"/>
      <c r="K107" s="95">
        <v>0</v>
      </c>
      <c r="L107" s="96">
        <v>1.5668329999999999</v>
      </c>
      <c r="M107" s="95">
        <v>180000</v>
      </c>
      <c r="N107" s="96"/>
      <c r="O107" s="95">
        <v>0</v>
      </c>
      <c r="P107" s="96">
        <v>1.5668390000000001</v>
      </c>
      <c r="Q107" s="95">
        <v>3500000</v>
      </c>
      <c r="R107" s="96">
        <v>1.56684</v>
      </c>
      <c r="S107" s="95">
        <v>6000000</v>
      </c>
      <c r="T107" s="96">
        <v>1.566845</v>
      </c>
      <c r="U107" s="95">
        <v>200000</v>
      </c>
      <c r="V107" s="96">
        <v>1.5668359999999999</v>
      </c>
      <c r="W107" s="95">
        <v>250000</v>
      </c>
    </row>
    <row r="108" spans="1:23" x14ac:dyDescent="0.2">
      <c r="A108" s="143"/>
      <c r="B108" s="144"/>
      <c r="C108" s="144"/>
      <c r="D108" s="96"/>
      <c r="E108" s="95"/>
      <c r="F108" s="96"/>
      <c r="G108" s="95"/>
      <c r="H108" s="96"/>
      <c r="I108" s="95"/>
      <c r="J108" s="96"/>
      <c r="K108" s="95"/>
      <c r="L108" s="96"/>
      <c r="M108" s="95"/>
      <c r="N108" s="96"/>
      <c r="O108" s="95"/>
      <c r="P108" s="96"/>
      <c r="Q108" s="95"/>
      <c r="R108" s="96"/>
      <c r="S108" s="95"/>
      <c r="T108" s="96"/>
      <c r="U108" s="95"/>
      <c r="V108" s="96"/>
      <c r="W108" s="95"/>
    </row>
    <row r="109" spans="1:23" x14ac:dyDescent="0.2">
      <c r="A109" s="118">
        <v>47104</v>
      </c>
      <c r="B109" s="129" t="s">
        <v>1282</v>
      </c>
      <c r="C109" s="129">
        <v>3810</v>
      </c>
      <c r="D109" s="96"/>
      <c r="E109" s="95">
        <v>0</v>
      </c>
      <c r="F109" s="96">
        <v>2.87</v>
      </c>
      <c r="G109" s="95">
        <v>602000</v>
      </c>
      <c r="H109" s="96"/>
      <c r="I109" s="95">
        <v>0</v>
      </c>
      <c r="J109" s="96"/>
      <c r="K109" s="95">
        <v>0</v>
      </c>
      <c r="L109" s="96"/>
      <c r="M109" s="95">
        <v>0</v>
      </c>
      <c r="N109" s="96">
        <v>2.87</v>
      </c>
      <c r="O109" s="95">
        <v>178000</v>
      </c>
      <c r="P109" s="96"/>
      <c r="Q109" s="95">
        <v>0</v>
      </c>
      <c r="R109" s="96"/>
      <c r="S109" s="95">
        <v>0</v>
      </c>
      <c r="T109" s="96"/>
      <c r="U109" s="95">
        <v>0</v>
      </c>
      <c r="V109" s="96"/>
      <c r="W109" s="95">
        <v>0</v>
      </c>
    </row>
    <row r="110" spans="1:23" x14ac:dyDescent="0.2">
      <c r="A110" s="143"/>
      <c r="B110" s="144"/>
      <c r="C110" s="144"/>
      <c r="D110" s="96"/>
      <c r="E110" s="95"/>
      <c r="F110" s="96"/>
      <c r="G110" s="95"/>
      <c r="H110" s="96"/>
      <c r="I110" s="95"/>
      <c r="J110" s="96"/>
      <c r="K110" s="95"/>
      <c r="L110" s="96"/>
      <c r="M110" s="95"/>
      <c r="N110" s="96"/>
      <c r="O110" s="95"/>
      <c r="P110" s="96"/>
      <c r="Q110" s="95"/>
      <c r="R110" s="96"/>
      <c r="S110" s="95"/>
      <c r="T110" s="96"/>
      <c r="U110" s="95"/>
      <c r="V110" s="96"/>
      <c r="W110" s="95"/>
    </row>
    <row r="111" spans="1:23" x14ac:dyDescent="0.2">
      <c r="A111"/>
    </row>
    <row r="112" spans="1:23" x14ac:dyDescent="0.2">
      <c r="A112"/>
    </row>
    <row r="113" spans="1:3" x14ac:dyDescent="0.2">
      <c r="A113"/>
    </row>
    <row r="116" spans="1:3" x14ac:dyDescent="0.2">
      <c r="C116" s="5"/>
    </row>
  </sheetData>
  <mergeCells count="69">
    <mergeCell ref="P5:Q5"/>
    <mergeCell ref="R5:S5"/>
    <mergeCell ref="T5:U5"/>
    <mergeCell ref="V5:W5"/>
    <mergeCell ref="A104:C104"/>
    <mergeCell ref="A106:C106"/>
    <mergeCell ref="A108:C108"/>
    <mergeCell ref="A110:C110"/>
    <mergeCell ref="D5:E5"/>
    <mergeCell ref="A94:C94"/>
    <mergeCell ref="A96:C96"/>
    <mergeCell ref="A98:C98"/>
    <mergeCell ref="A100:C100"/>
    <mergeCell ref="A102:C102"/>
    <mergeCell ref="A84:C84"/>
    <mergeCell ref="A86:C86"/>
    <mergeCell ref="A88:C88"/>
    <mergeCell ref="A90:C90"/>
    <mergeCell ref="A92:C92"/>
    <mergeCell ref="A74:C74"/>
    <mergeCell ref="A76:C76"/>
    <mergeCell ref="A78:C78"/>
    <mergeCell ref="A80:C80"/>
    <mergeCell ref="A82:C82"/>
    <mergeCell ref="A23:A24"/>
    <mergeCell ref="A25:C25"/>
    <mergeCell ref="A26:A27"/>
    <mergeCell ref="A28:C28"/>
    <mergeCell ref="A29:A30"/>
    <mergeCell ref="A15:A16"/>
    <mergeCell ref="A17:C17"/>
    <mergeCell ref="A19:C19"/>
    <mergeCell ref="A20:A21"/>
    <mergeCell ref="A22:C22"/>
    <mergeCell ref="A7:A8"/>
    <mergeCell ref="A9:C9"/>
    <mergeCell ref="A10:A11"/>
    <mergeCell ref="A12:C12"/>
    <mergeCell ref="A14:C14"/>
    <mergeCell ref="F5:G5"/>
    <mergeCell ref="H5:I5"/>
    <mergeCell ref="J5:K5"/>
    <mergeCell ref="L5:M5"/>
    <mergeCell ref="N5:O5"/>
    <mergeCell ref="A55:C55"/>
    <mergeCell ref="A57:C57"/>
    <mergeCell ref="A59:C59"/>
    <mergeCell ref="A48:C48"/>
    <mergeCell ref="A49:A50"/>
    <mergeCell ref="A51:C51"/>
    <mergeCell ref="A53:C53"/>
    <mergeCell ref="A61:C61"/>
    <mergeCell ref="A63:C63"/>
    <mergeCell ref="A65:C65"/>
    <mergeCell ref="A67:C67"/>
    <mergeCell ref="A68:A69"/>
    <mergeCell ref="A70:C70"/>
    <mergeCell ref="A72:C72"/>
    <mergeCell ref="A31:C31"/>
    <mergeCell ref="A32:A33"/>
    <mergeCell ref="A34:C34"/>
    <mergeCell ref="A35:A36"/>
    <mergeCell ref="A37:C37"/>
    <mergeCell ref="A38:A39"/>
    <mergeCell ref="A40:C40"/>
    <mergeCell ref="A41:A42"/>
    <mergeCell ref="A43:C43"/>
    <mergeCell ref="A44:A45"/>
    <mergeCell ref="A46:C46"/>
  </mergeCells>
  <pageMargins left="0.7" right="0.7" top="0.75" bottom="0.75" header="0.3" footer="0.3"/>
  <pageSetup paperSize="9" orientation="portrait"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925CDB-3522-4889-945A-9DD361E7AE06}">
  <sheetPr codeName="Sheet8">
    <tabColor rgb="FF92D050"/>
  </sheetPr>
  <dimension ref="A1:AG62"/>
  <sheetViews>
    <sheetView zoomScale="90" zoomScaleNormal="90" workbookViewId="0">
      <pane xSplit="1" ySplit="6" topLeftCell="G7" activePane="bottomRight" state="frozen"/>
      <selection pane="topRight" activeCell="B1" sqref="B1"/>
      <selection pane="bottomLeft" activeCell="A7" sqref="A7"/>
      <selection pane="bottomRight" activeCell="P32" sqref="P32"/>
    </sheetView>
  </sheetViews>
  <sheetFormatPr defaultColWidth="9" defaultRowHeight="12.75" outlineLevelRow="1" x14ac:dyDescent="0.2"/>
  <cols>
    <col min="1" max="1" width="32" style="11" customWidth="1"/>
    <col min="2" max="16" width="18.75" style="11" customWidth="1"/>
    <col min="17" max="27" width="15.125" style="11" bestFit="1" customWidth="1"/>
    <col min="28" max="16384" width="9" style="11"/>
  </cols>
  <sheetData>
    <row r="1" spans="1:33" x14ac:dyDescent="0.2">
      <c r="A1" s="10" t="s">
        <v>340</v>
      </c>
    </row>
    <row r="2" spans="1:33" x14ac:dyDescent="0.2">
      <c r="A2" s="12">
        <f ca="1">[1]!SCBAM_PreviousBusinessDay(TODAY())</f>
        <v>43397</v>
      </c>
    </row>
    <row r="3" spans="1:33" x14ac:dyDescent="0.2">
      <c r="A3" s="13" t="s">
        <v>17</v>
      </c>
    </row>
    <row r="5" spans="1:33" s="18" customFormat="1" x14ac:dyDescent="0.2">
      <c r="A5" s="14" t="s">
        <v>341</v>
      </c>
      <c r="B5" s="15">
        <v>43382</v>
      </c>
      <c r="C5" s="15">
        <v>43383</v>
      </c>
      <c r="D5" s="15">
        <v>43384</v>
      </c>
      <c r="E5" s="15">
        <v>43385</v>
      </c>
      <c r="F5" s="15">
        <v>43389</v>
      </c>
      <c r="G5" s="15">
        <v>43390</v>
      </c>
      <c r="H5" s="15">
        <v>43391</v>
      </c>
      <c r="I5" s="15">
        <v>43392</v>
      </c>
      <c r="J5" s="15">
        <v>43395</v>
      </c>
      <c r="K5" s="15">
        <v>43397</v>
      </c>
      <c r="L5" s="15">
        <v>43398</v>
      </c>
      <c r="M5" s="15">
        <f t="shared" ref="L5:P5" si="0">[1]!SCBAM_NextBusinessDay(L5)</f>
        <v>43399</v>
      </c>
      <c r="N5" s="15">
        <f t="shared" si="0"/>
        <v>43402</v>
      </c>
      <c r="O5" s="15">
        <f t="shared" si="0"/>
        <v>43403</v>
      </c>
      <c r="P5" s="15">
        <f t="shared" si="0"/>
        <v>43404</v>
      </c>
      <c r="Q5" s="16"/>
      <c r="R5" s="16"/>
      <c r="S5" s="16"/>
      <c r="T5" s="16"/>
      <c r="U5" s="16"/>
      <c r="V5" s="16"/>
      <c r="W5" s="16"/>
      <c r="X5" s="16"/>
      <c r="Y5" s="16"/>
      <c r="Z5" s="16"/>
      <c r="AA5" s="16"/>
      <c r="AB5" s="17"/>
      <c r="AC5" s="17"/>
      <c r="AD5" s="17"/>
      <c r="AE5" s="17"/>
      <c r="AF5" s="17"/>
      <c r="AG5" s="17"/>
    </row>
    <row r="6" spans="1:33" s="21" customFormat="1" x14ac:dyDescent="0.2">
      <c r="A6" s="19" t="s">
        <v>342</v>
      </c>
      <c r="B6" s="20">
        <v>680634442.10000002</v>
      </c>
      <c r="C6" s="20">
        <v>67339335.709999993</v>
      </c>
      <c r="D6" s="20">
        <v>165448278.87</v>
      </c>
      <c r="E6" s="20">
        <v>1403046995.21</v>
      </c>
      <c r="F6" s="20">
        <v>1209408251.4000001</v>
      </c>
      <c r="G6" s="20">
        <v>2249263771.2600002</v>
      </c>
      <c r="H6" s="20">
        <v>427967987.77999997</v>
      </c>
      <c r="I6" s="20">
        <v>1065580825.62</v>
      </c>
      <c r="J6" s="20">
        <v>517291557.18000001</v>
      </c>
      <c r="K6" s="20">
        <v>229795884.00999999</v>
      </c>
      <c r="L6" s="20">
        <f ca="1">IF(AND(ISNUMBER(J48),ISNUMBER(J49)),IF(L5&lt;=TODAY(),K49,K48),INDEX(CashProjTable[CashBal],MATCH($A$3&amp;[1]!SCBAM_PreviousBusinessDay(L$5),CashProjTable[RefRng],0)))</f>
        <v>171719554.53999999</v>
      </c>
      <c r="M6" s="20">
        <f ca="1">IF(AND(ISNUMBER(K48),ISNUMBER(K49)),IF(M5&lt;=TODAY(),L49,L48),INDEX(CashProjTable[CashBal],MATCH($A$3&amp;[1]!SCBAM_PreviousBusinessDay(M$5),CashProjTable[RefRng],0)))</f>
        <v>802979504.17999983</v>
      </c>
      <c r="N6" s="20">
        <f ca="1">IF(AND(ISNUMBER(L48),ISNUMBER(L49)),IF(N5&lt;=TODAY(),M49,M48),INDEX(CashProjTable[CashBal],MATCH($A$3&amp;[1]!SCBAM_PreviousBusinessDay(N$5),CashProjTable[RefRng],0)))</f>
        <v>197458571.05000019</v>
      </c>
      <c r="O6" s="20">
        <f ca="1">IF(AND(ISNUMBER(M48),ISNUMBER(M49)),IF(O5&lt;=TODAY(),N49,N48),INDEX(CashProjTable[CashBal],MATCH($A$3&amp;[1]!SCBAM_PreviousBusinessDay(O$5),CashProjTable[RefRng],0)))</f>
        <v>211742010.8800002</v>
      </c>
      <c r="P6" s="20">
        <f ca="1">IF(AND(ISNUMBER(N48),ISNUMBER(N49)),IF(P5&lt;=TODAY(),O49,O48),INDEX(CashProjTable[CashBal],MATCH($A$3&amp;[1]!SCBAM_PreviousBusinessDay(P$5),CashProjTable[RefRng],0)))</f>
        <v>621399351.21000016</v>
      </c>
    </row>
    <row r="7" spans="1:33" s="22" customFormat="1" x14ac:dyDescent="0.2">
      <c r="B7" s="23"/>
    </row>
    <row r="8" spans="1:33" s="25" customFormat="1" x14ac:dyDescent="0.2">
      <c r="A8" s="24" t="s">
        <v>343</v>
      </c>
    </row>
    <row r="9" spans="1:33" s="27" customFormat="1" x14ac:dyDescent="0.2">
      <c r="A9" s="26" t="s">
        <v>842</v>
      </c>
      <c r="B9" s="23">
        <v>342790.48</v>
      </c>
      <c r="C9" s="23">
        <v>342790.48</v>
      </c>
      <c r="D9" s="23">
        <v>342790.48</v>
      </c>
      <c r="E9" s="23">
        <v>0</v>
      </c>
      <c r="F9" s="23">
        <v>342790.48</v>
      </c>
      <c r="G9" s="23">
        <v>0</v>
      </c>
      <c r="H9" s="23">
        <v>342790.48</v>
      </c>
      <c r="I9" s="23">
        <v>342790.48</v>
      </c>
      <c r="J9" s="23">
        <v>0</v>
      </c>
      <c r="K9" s="23">
        <v>0</v>
      </c>
      <c r="L9" s="23">
        <v>0</v>
      </c>
      <c r="M9" s="23">
        <f ca="1">IF(M5&gt;TODAY(),L$11,[1]!SCBAM_GetSecDtl($A$3,"-SACON SFF",M$5,"MarketVal"))</f>
        <v>0</v>
      </c>
      <c r="N9" s="23">
        <f ca="1">IF(N5&gt;TODAY(),M$11,[1]!SCBAM_GetSecDtl($A$3,"-SACON SFF",N$5,"MarketVal"))</f>
        <v>0</v>
      </c>
      <c r="O9" s="23">
        <f ca="1">IF(O5&gt;TODAY(),N$11,[1]!SCBAM_GetSecDtl($A$3,"-SACON SFF",O$5,"MarketVal"))</f>
        <v>0</v>
      </c>
      <c r="P9" s="23">
        <f ca="1">IF(P5&gt;TODAY(),O$11,[1]!SCBAM_GetSecDtl($A$3,"-SACON SFF",P$5,"MarketVal"))</f>
        <v>0</v>
      </c>
    </row>
    <row r="10" spans="1:33" s="27" customFormat="1" hidden="1" outlineLevel="1" x14ac:dyDescent="0.2">
      <c r="A10" s="26" t="s">
        <v>843</v>
      </c>
      <c r="B10" s="23"/>
      <c r="C10" s="23"/>
      <c r="D10" s="23"/>
      <c r="E10" s="23"/>
      <c r="F10" s="23"/>
      <c r="G10" s="23"/>
      <c r="H10" s="23"/>
      <c r="I10" s="23"/>
      <c r="J10" s="23"/>
      <c r="K10" s="23"/>
      <c r="L10" s="23"/>
      <c r="M10" s="23"/>
      <c r="N10" s="23"/>
      <c r="O10" s="23"/>
      <c r="P10" s="23"/>
    </row>
    <row r="11" spans="1:33" s="51" customFormat="1" hidden="1" outlineLevel="1" x14ac:dyDescent="0.2">
      <c r="A11" s="49" t="s">
        <v>841</v>
      </c>
      <c r="B11" s="50">
        <v>342790.48</v>
      </c>
      <c r="C11" s="50">
        <v>342790.48</v>
      </c>
      <c r="D11" s="50">
        <v>342790.48</v>
      </c>
      <c r="E11" s="50">
        <v>0</v>
      </c>
      <c r="F11" s="50">
        <v>342790.48</v>
      </c>
      <c r="G11" s="50">
        <v>0</v>
      </c>
      <c r="H11" s="50">
        <v>342790.48</v>
      </c>
      <c r="I11" s="50">
        <v>342790.48</v>
      </c>
      <c r="J11" s="50">
        <v>0</v>
      </c>
      <c r="K11" s="50">
        <v>0</v>
      </c>
      <c r="L11" s="50">
        <v>0</v>
      </c>
      <c r="M11" s="50">
        <f t="shared" ref="M11:O11" ca="1" si="1">M9+M10</f>
        <v>0</v>
      </c>
      <c r="N11" s="50">
        <f t="shared" ref="N11:P11" ca="1" si="2">N9+N10</f>
        <v>0</v>
      </c>
      <c r="O11" s="50">
        <f t="shared" ca="1" si="2"/>
        <v>0</v>
      </c>
      <c r="P11" s="50">
        <f t="shared" ca="1" si="2"/>
        <v>0</v>
      </c>
    </row>
    <row r="12" spans="1:33" s="27" customFormat="1" hidden="1" outlineLevel="1" x14ac:dyDescent="0.2">
      <c r="A12" s="26" t="s">
        <v>844</v>
      </c>
      <c r="B12" s="23">
        <v>66996545.229999997</v>
      </c>
      <c r="C12" s="23">
        <v>165105488.38999999</v>
      </c>
      <c r="D12" s="23">
        <v>1402704204.73</v>
      </c>
      <c r="E12" s="23">
        <v>1402704204.73</v>
      </c>
      <c r="F12" s="23">
        <v>0</v>
      </c>
      <c r="G12" s="23">
        <v>0</v>
      </c>
      <c r="H12" s="23">
        <v>0</v>
      </c>
      <c r="I12" s="23">
        <v>1402704204.73</v>
      </c>
      <c r="J12" s="23">
        <v>1402704204.73</v>
      </c>
      <c r="K12" s="23">
        <v>1402704204.73</v>
      </c>
      <c r="L12" s="23">
        <v>1402704204.73</v>
      </c>
      <c r="M12" s="23">
        <f ca="1">IF(M5&gt;=TODAY(),L$14,[1]!SCBAM_GetSecDtl($A$3,"CASH",M$5-1,"MarketVal"))</f>
        <v>1402704204.73</v>
      </c>
      <c r="N12" s="23">
        <f ca="1">IF(N5&gt;=TODAY(),M$14,[1]!SCBAM_GetSecDtl($A$3,"CASH",N$5-1,"MarketVal"))</f>
        <v>1402704204.73</v>
      </c>
      <c r="O12" s="23">
        <f ca="1">IF(O5&gt;=TODAY(),N$14,[1]!SCBAM_GetSecDtl($A$3,"CASH",O$5-1,"MarketVal"))</f>
        <v>1402704204.73</v>
      </c>
      <c r="P12" s="23">
        <f ca="1">IF(P5&gt;=TODAY(),O$14,[1]!SCBAM_GetSecDtl($A$3,"CASH",P$5-1,"MarketVal"))</f>
        <v>1402704204.73</v>
      </c>
    </row>
    <row r="13" spans="1:33" s="27" customFormat="1" hidden="1" outlineLevel="1" x14ac:dyDescent="0.2">
      <c r="A13" s="26" t="s">
        <v>845</v>
      </c>
      <c r="B13" s="23"/>
      <c r="C13" s="23"/>
      <c r="D13" s="23"/>
      <c r="E13" s="23"/>
      <c r="F13" s="23"/>
      <c r="G13" s="23"/>
      <c r="H13" s="23"/>
      <c r="I13" s="23"/>
      <c r="J13" s="23"/>
      <c r="K13" s="23"/>
      <c r="L13" s="23"/>
      <c r="M13" s="23"/>
      <c r="N13" s="23"/>
      <c r="O13" s="23"/>
      <c r="P13" s="23"/>
    </row>
    <row r="14" spans="1:33" s="54" customFormat="1" hidden="1" outlineLevel="1" x14ac:dyDescent="0.2">
      <c r="A14" s="52" t="s">
        <v>846</v>
      </c>
      <c r="B14" s="53">
        <v>66996545.229999997</v>
      </c>
      <c r="C14" s="53">
        <v>165105488.38999999</v>
      </c>
      <c r="D14" s="53">
        <v>1402704204.73</v>
      </c>
      <c r="E14" s="53">
        <v>1402704204.73</v>
      </c>
      <c r="F14" s="53">
        <v>0</v>
      </c>
      <c r="G14" s="53">
        <v>0</v>
      </c>
      <c r="H14" s="53">
        <v>0</v>
      </c>
      <c r="I14" s="53">
        <v>1402704204.73</v>
      </c>
      <c r="J14" s="53">
        <v>1402704204.73</v>
      </c>
      <c r="K14" s="53">
        <v>1402704204.73</v>
      </c>
      <c r="L14" s="53">
        <v>1402704204.73</v>
      </c>
      <c r="M14" s="53">
        <f t="shared" ref="M14:O14" ca="1" si="3">M12+M13</f>
        <v>1402704204.73</v>
      </c>
      <c r="N14" s="53">
        <f t="shared" ref="N14:P14" ca="1" si="4">N12+N13</f>
        <v>1402704204.73</v>
      </c>
      <c r="O14" s="53">
        <f t="shared" ca="1" si="4"/>
        <v>1402704204.73</v>
      </c>
      <c r="P14" s="53">
        <f t="shared" ca="1" si="4"/>
        <v>1402704204.73</v>
      </c>
    </row>
    <row r="15" spans="1:33" s="27" customFormat="1" hidden="1" outlineLevel="1" x14ac:dyDescent="0.2">
      <c r="A15" s="26" t="s">
        <v>847</v>
      </c>
      <c r="B15" s="23">
        <v>497966.31</v>
      </c>
      <c r="C15" s="23">
        <v>497966.31</v>
      </c>
      <c r="D15" s="23">
        <v>497966.31</v>
      </c>
      <c r="E15" s="23">
        <v>497966.31</v>
      </c>
      <c r="F15" s="23">
        <v>497966.31</v>
      </c>
      <c r="G15" s="23">
        <v>497966.31</v>
      </c>
      <c r="H15" s="23">
        <v>497966.31</v>
      </c>
      <c r="I15" s="23">
        <v>497966.31</v>
      </c>
      <c r="J15" s="23">
        <v>497966.31</v>
      </c>
      <c r="K15" s="23">
        <v>497966.31</v>
      </c>
      <c r="L15" s="23">
        <v>497966.31</v>
      </c>
      <c r="M15" s="23">
        <f ca="1">IF(M5&gt;=TODAY(),L$17,[1]!SCBAM_GetSecDtl($A$3,"INVSUOBTsff",M$5,"MarketVal"))</f>
        <v>497966.31</v>
      </c>
      <c r="N15" s="23">
        <f ca="1">IF(N5&gt;=TODAY(),M$17,[1]!SCBAM_GetSecDtl($A$3,"INVSUOBTsff",N$5,"MarketVal"))</f>
        <v>497966.31</v>
      </c>
      <c r="O15" s="23">
        <f ca="1">IF(O5&gt;=TODAY(),N$17,[1]!SCBAM_GetSecDtl($A$3,"INVSUOBTsff",O$5,"MarketVal"))</f>
        <v>497966.31</v>
      </c>
      <c r="P15" s="23">
        <f ca="1">IF(P5&gt;=TODAY(),O$17,[1]!SCBAM_GetSecDtl($A$3,"INVSUOBTsff",P$5,"MarketVal"))</f>
        <v>497966.31</v>
      </c>
    </row>
    <row r="16" spans="1:33" s="27" customFormat="1" hidden="1" outlineLevel="1" x14ac:dyDescent="0.2">
      <c r="A16" s="26" t="s">
        <v>848</v>
      </c>
      <c r="B16" s="23"/>
      <c r="C16" s="23"/>
      <c r="D16" s="23"/>
      <c r="E16" s="23"/>
      <c r="F16" s="23"/>
      <c r="G16" s="23"/>
      <c r="H16" s="23"/>
      <c r="I16" s="23"/>
      <c r="J16" s="23"/>
      <c r="K16" s="23"/>
      <c r="L16" s="23"/>
      <c r="M16" s="23"/>
      <c r="N16" s="23"/>
      <c r="O16" s="23"/>
      <c r="P16" s="23"/>
    </row>
    <row r="17" spans="1:16" s="57" customFormat="1" hidden="1" outlineLevel="1" x14ac:dyDescent="0.2">
      <c r="A17" s="55" t="s">
        <v>849</v>
      </c>
      <c r="B17" s="56">
        <v>497966.31</v>
      </c>
      <c r="C17" s="56">
        <v>497966.31</v>
      </c>
      <c r="D17" s="56">
        <v>497966.31</v>
      </c>
      <c r="E17" s="56">
        <v>497966.31</v>
      </c>
      <c r="F17" s="56">
        <v>497966.31</v>
      </c>
      <c r="G17" s="56">
        <v>497966.31</v>
      </c>
      <c r="H17" s="56">
        <v>497966.31</v>
      </c>
      <c r="I17" s="56">
        <v>497966.31</v>
      </c>
      <c r="J17" s="56">
        <v>497966.31</v>
      </c>
      <c r="K17" s="56">
        <v>497966.31</v>
      </c>
      <c r="L17" s="56">
        <v>497966.31</v>
      </c>
      <c r="M17" s="56">
        <f t="shared" ref="M17:O17" ca="1" si="5">M15+M16</f>
        <v>497966.31</v>
      </c>
      <c r="N17" s="56">
        <f t="shared" ref="N17:P17" ca="1" si="6">N15+N16</f>
        <v>497966.31</v>
      </c>
      <c r="O17" s="56">
        <f t="shared" ca="1" si="6"/>
        <v>497966.31</v>
      </c>
      <c r="P17" s="56">
        <f t="shared" ca="1" si="6"/>
        <v>497966.31</v>
      </c>
    </row>
    <row r="18" spans="1:16" s="30" customFormat="1" ht="13.5" collapsed="1" thickBot="1" x14ac:dyDescent="0.25">
      <c r="A18" s="28" t="s">
        <v>346</v>
      </c>
      <c r="B18" s="29">
        <v>67837302.019999996</v>
      </c>
      <c r="C18" s="29">
        <v>165946245.17999998</v>
      </c>
      <c r="D18" s="29">
        <v>1403544961.52</v>
      </c>
      <c r="E18" s="29">
        <v>1403202171.04</v>
      </c>
      <c r="F18" s="29">
        <v>840756.79</v>
      </c>
      <c r="G18" s="29">
        <v>497966.31</v>
      </c>
      <c r="H18" s="29">
        <v>497966.31</v>
      </c>
      <c r="I18" s="29">
        <v>497966.31</v>
      </c>
      <c r="J18" s="29">
        <v>1403202171.04</v>
      </c>
      <c r="K18" s="29">
        <v>1403202171.04</v>
      </c>
      <c r="L18" s="29">
        <v>1403202171.04</v>
      </c>
      <c r="M18" s="29">
        <f t="shared" ref="M18:O18" ca="1" si="7">M11+M14+M17</f>
        <v>1403202171.04</v>
      </c>
      <c r="N18" s="29">
        <f t="shared" ref="N18:P18" ca="1" si="8">N11+N14+N17</f>
        <v>1403202171.04</v>
      </c>
      <c r="O18" s="29">
        <f t="shared" ca="1" si="8"/>
        <v>1403202171.04</v>
      </c>
      <c r="P18" s="29">
        <f t="shared" ca="1" si="8"/>
        <v>1403202171.04</v>
      </c>
    </row>
    <row r="19" spans="1:16" s="22" customFormat="1" ht="13.15" customHeight="1" outlineLevel="1" x14ac:dyDescent="0.2"/>
    <row r="20" spans="1:16" s="31" customFormat="1" outlineLevel="1" x14ac:dyDescent="0.2">
      <c r="A20" s="31" t="s">
        <v>1209</v>
      </c>
      <c r="F20" s="116">
        <v>0</v>
      </c>
      <c r="G20" s="116">
        <v>0</v>
      </c>
      <c r="H20" s="116">
        <v>0</v>
      </c>
      <c r="I20" s="116">
        <v>0</v>
      </c>
      <c r="J20" s="116">
        <v>467536543.63999999</v>
      </c>
      <c r="K20" s="116">
        <v>0</v>
      </c>
      <c r="L20" s="116">
        <v>535627367.07999998</v>
      </c>
      <c r="M20" s="116">
        <f>SUMIFS(TermFund[NAV_AI],TermFund[MaturityDate],M$5)</f>
        <v>0</v>
      </c>
      <c r="N20" s="116">
        <f>SUMIFS(TermFund[NAV_AI],TermFund[MaturityDate],N$5)</f>
        <v>0</v>
      </c>
      <c r="O20" s="116">
        <f>SUMIFS(TermFund[NAV_AI],TermFund[MaturityDate],O$5)</f>
        <v>0</v>
      </c>
      <c r="P20" s="116">
        <f>SUMIFS(TermFund[NAV_AI],TermFund[MaturityDate],P$5)</f>
        <v>0</v>
      </c>
    </row>
    <row r="22" spans="1:16" s="25" customFormat="1" x14ac:dyDescent="0.2">
      <c r="A22" s="24" t="s">
        <v>347</v>
      </c>
    </row>
    <row r="23" spans="1:16" s="22" customFormat="1" x14ac:dyDescent="0.2">
      <c r="A23" s="32" t="s">
        <v>349</v>
      </c>
      <c r="B23" s="33">
        <v>196620299.34</v>
      </c>
      <c r="C23" s="33">
        <v>72067303.459999993</v>
      </c>
      <c r="D23" s="62">
        <v>120273683.88</v>
      </c>
      <c r="E23" s="62">
        <v>3311018883.5799999</v>
      </c>
      <c r="F23" s="62">
        <v>60526189.560000002</v>
      </c>
      <c r="G23" s="62">
        <v>145371650.91999999</v>
      </c>
      <c r="H23" s="62">
        <v>102218022.76000001</v>
      </c>
      <c r="I23" s="62">
        <v>88729145.689999998</v>
      </c>
      <c r="J23" s="62">
        <v>176047448.69</v>
      </c>
      <c r="K23" s="62">
        <v>608590905.98000002</v>
      </c>
      <c r="L23" s="62">
        <v>119371213.12</v>
      </c>
      <c r="M23" s="63">
        <f>IFERROR(INDEX(CashIntraTable[Amount],MATCH($A$3&amp;M$5&amp;$A58,CashIntraTable[RefRng],0)),0)</f>
        <v>698856783.64999998</v>
      </c>
      <c r="N23" s="33">
        <f>IFERROR(INDEX(CashIntraTable[Amount],MATCH($A$3&amp;N$5&amp;$A58,CashIntraTable[RefRng],0)),0)</f>
        <v>0</v>
      </c>
      <c r="O23" s="33">
        <f>IFERROR(INDEX(CashIntraTable[Amount],MATCH($A$3&amp;O$5&amp;$A58,CashIntraTable[RefRng],0)),0)</f>
        <v>0</v>
      </c>
      <c r="P23" s="33">
        <f>IFERROR(INDEX(CashIntraTable[Amount],MATCH($A$3&amp;P$5&amp;$A58,CashIntraTable[RefRng],0)),0)</f>
        <v>0</v>
      </c>
    </row>
    <row r="24" spans="1:16" s="22" customFormat="1" x14ac:dyDescent="0.2">
      <c r="A24" s="32" t="s">
        <v>351</v>
      </c>
      <c r="B24" s="33">
        <v>23562500</v>
      </c>
      <c r="C24" s="33">
        <v>15100000</v>
      </c>
      <c r="D24" s="62">
        <v>3150000</v>
      </c>
      <c r="E24" s="62">
        <v>0</v>
      </c>
      <c r="F24" s="62">
        <v>3900000</v>
      </c>
      <c r="G24" s="62">
        <v>17653504</v>
      </c>
      <c r="H24" s="62">
        <v>4100000</v>
      </c>
      <c r="I24" s="62">
        <v>59000000</v>
      </c>
      <c r="J24" s="62">
        <v>3800000</v>
      </c>
      <c r="K24" s="62">
        <v>52247000</v>
      </c>
      <c r="L24" s="62">
        <v>13800000</v>
      </c>
      <c r="M24" s="63">
        <f>IFERROR(INDEX(CashIntraTable[Amount],MATCH($A$3&amp;M$5&amp;$A59,CashIntraTable[RefRng],0)),0)</f>
        <v>13534000</v>
      </c>
      <c r="N24" s="33">
        <f>IFERROR(INDEX(CashIntraTable[Amount],MATCH($A$3&amp;N$5&amp;$A59,CashIntraTable[RefRng],0)),0)</f>
        <v>0</v>
      </c>
      <c r="O24" s="33">
        <f>IFERROR(INDEX(CashIntraTable[Amount],MATCH($A$3&amp;O$5&amp;$A59,CashIntraTable[RefRng],0)),0)</f>
        <v>0</v>
      </c>
      <c r="P24" s="33">
        <f>IFERROR(INDEX(CashIntraTable[Amount],MATCH($A$3&amp;P$5&amp;$A59,CashIntraTable[RefRng],0)),0)</f>
        <v>0</v>
      </c>
    </row>
    <row r="25" spans="1:16" s="22" customFormat="1" x14ac:dyDescent="0.2">
      <c r="A25" s="32" t="s">
        <v>350</v>
      </c>
      <c r="B25" s="33">
        <v>48194687.659999996</v>
      </c>
      <c r="C25" s="33">
        <v>17405878.710000001</v>
      </c>
      <c r="D25" s="62">
        <v>27915486.190000001</v>
      </c>
      <c r="E25" s="62">
        <v>41282862.850000001</v>
      </c>
      <c r="F25" s="62">
        <v>25399947.949999999</v>
      </c>
      <c r="G25" s="62">
        <v>89532920.200000003</v>
      </c>
      <c r="H25" s="62">
        <v>35853762.909999996</v>
      </c>
      <c r="I25" s="62">
        <v>26087769.210000001</v>
      </c>
      <c r="J25" s="62">
        <v>13179945.58</v>
      </c>
      <c r="K25" s="62">
        <v>34611502.710000001</v>
      </c>
      <c r="L25" s="62">
        <v>10653275.57</v>
      </c>
      <c r="M25" s="63">
        <f>IFERROR(INDEX(CashIntraTable[Amount],MATCH($A$3&amp;M$5&amp;$A60,CashIntraTable[RefRng],0)),0)</f>
        <v>86417302.980000004</v>
      </c>
      <c r="N25" s="33">
        <f>IFERROR(INDEX(CashIntraTable[Amount],MATCH($A$3&amp;N$5&amp;$A60,CashIntraTable[RefRng],0)),0)</f>
        <v>14283439.83</v>
      </c>
      <c r="O25" s="33">
        <f>IFERROR(INDEX(CashIntraTable[Amount],MATCH($A$3&amp;O$5&amp;$A60,CashIntraTable[RefRng],0)),0)</f>
        <v>9657340.3300000001</v>
      </c>
      <c r="P25" s="33">
        <f>IFERROR(INDEX(CashIntraTable[Amount],MATCH($A$3&amp;P$5&amp;$A60,CashIntraTable[RefRng],0)),0)</f>
        <v>2229870.15</v>
      </c>
    </row>
    <row r="26" spans="1:16" s="22" customFormat="1" x14ac:dyDescent="0.2">
      <c r="A26" s="32" t="s">
        <v>352</v>
      </c>
      <c r="B26" s="33">
        <v>0</v>
      </c>
      <c r="C26" s="33">
        <v>0</v>
      </c>
      <c r="D26" s="62">
        <v>0</v>
      </c>
      <c r="E26" s="62">
        <v>0</v>
      </c>
      <c r="F26" s="62">
        <v>0</v>
      </c>
      <c r="G26" s="62">
        <v>0</v>
      </c>
      <c r="H26" s="62">
        <v>0</v>
      </c>
      <c r="I26" s="62">
        <v>0</v>
      </c>
      <c r="J26" s="62">
        <v>0</v>
      </c>
      <c r="K26" s="62">
        <v>0</v>
      </c>
      <c r="L26" s="62">
        <v>0</v>
      </c>
      <c r="M26" s="63">
        <v>0</v>
      </c>
      <c r="N26" s="33">
        <v>0</v>
      </c>
      <c r="O26" s="33">
        <v>0</v>
      </c>
      <c r="P26" s="33">
        <v>0</v>
      </c>
    </row>
    <row r="27" spans="1:16" s="22" customFormat="1" x14ac:dyDescent="0.2">
      <c r="A27" s="26" t="s">
        <v>353</v>
      </c>
      <c r="B27" s="33">
        <v>1282000000</v>
      </c>
      <c r="C27" s="33">
        <v>450695082.70999998</v>
      </c>
      <c r="D27" s="33">
        <v>4620000000</v>
      </c>
      <c r="E27" s="33">
        <v>0</v>
      </c>
      <c r="F27" s="33">
        <v>144000000</v>
      </c>
      <c r="G27" s="33">
        <v>0</v>
      </c>
      <c r="H27" s="33">
        <v>3494000000</v>
      </c>
      <c r="I27" s="33">
        <v>0</v>
      </c>
      <c r="J27" s="33">
        <v>699544985</v>
      </c>
      <c r="K27" s="33">
        <v>2778887584</v>
      </c>
      <c r="L27" s="33">
        <v>4449000000</v>
      </c>
      <c r="M27" s="33">
        <f>IFERROR(INDEX(CashProjTable[DebtSell_BahtNet],MATCH($A$3&amp;M$5,CashProjTable[RefRng],0))+SUMIFS(IntraTrans[Net Settlement],IntraTrans[Portfolio],$A$3,IntraTrans[B/S],"S",IntraTrans[Settle Date],M$5,IntraTrans[Payment],"BAHTNET"),0)</f>
        <v>730348083.39999998</v>
      </c>
      <c r="N27" s="33">
        <f>IFERROR(INDEX(CashProjTable[DebtSell_BahtNet],MATCH($A$3&amp;N$5,CashProjTable[RefRng],0))+SUMIFS(IntraTrans[Net Settlement],IntraTrans[Portfolio],$A$3,IntraTrans[B/S],"S",IntraTrans[Settle Date],N$5,IntraTrans[Payment],"BAHTNET"),0)</f>
        <v>0</v>
      </c>
      <c r="O27" s="33">
        <f>IFERROR(INDEX(CashProjTable[DebtSell_BahtNet],MATCH($A$3&amp;O$5,CashProjTable[RefRng],0))+SUMIFS(IntraTrans[Net Settlement],IntraTrans[Portfolio],$A$3,IntraTrans[B/S],"S",IntraTrans[Settle Date],O$5,IntraTrans[Payment],"BAHTNET"),0)</f>
        <v>400000000</v>
      </c>
      <c r="P27" s="33">
        <f>IFERROR(INDEX(CashProjTable[DebtSell_BahtNet],MATCH($A$3&amp;P$5,CashProjTable[RefRng],0))+SUMIFS(IntraTrans[Net Settlement],IntraTrans[Portfolio],$A$3,IntraTrans[B/S],"S",IntraTrans[Settle Date],P$5,IntraTrans[Payment],"BAHTNET"),0)</f>
        <v>100000000</v>
      </c>
    </row>
    <row r="28" spans="1:16" s="22" customFormat="1" x14ac:dyDescent="0.2">
      <c r="A28" s="26" t="s">
        <v>354</v>
      </c>
      <c r="B28" s="33">
        <v>1700000000</v>
      </c>
      <c r="C28" s="33">
        <v>0</v>
      </c>
      <c r="D28" s="33">
        <v>0</v>
      </c>
      <c r="E28" s="33">
        <v>0</v>
      </c>
      <c r="F28" s="33">
        <v>0</v>
      </c>
      <c r="G28" s="33">
        <v>0</v>
      </c>
      <c r="H28" s="33">
        <v>0</v>
      </c>
      <c r="I28" s="33">
        <v>0</v>
      </c>
      <c r="J28" s="33">
        <v>0</v>
      </c>
      <c r="K28" s="33">
        <v>0</v>
      </c>
      <c r="L28" s="33">
        <v>0</v>
      </c>
      <c r="M28" s="33">
        <f>IFERROR((INDEX(CashProjTable[DebtSell],MATCH($A$3&amp;M$5,CashProjTable[RefRng],0))-INDEX(CashProjTable[DebtSell_BahtNet],MATCH($A$3&amp;M$5,CashProjTable[RefRng],0)))+SUMIFS(IntraTrans[Net Settlement],IntraTrans[Portfolio],$A$3,IntraTrans[B/S],"S",IntraTrans[Settle Date],M$5,IntraTrans[Payment],"CHEQUE"),0)</f>
        <v>0</v>
      </c>
      <c r="N28" s="33">
        <f>IFERROR((INDEX(CashProjTable[DebtSell],MATCH($A$3&amp;N$5,CashProjTable[RefRng],0))-INDEX(CashProjTable[DebtSell_BahtNet],MATCH($A$3&amp;N$5,CashProjTable[RefRng],0)))+SUMIFS(IntraTrans[Net Settlement],IntraTrans[Portfolio],$A$3,IntraTrans[B/S],"S",IntraTrans[Settle Date],N$5,IntraTrans[Payment],"CHEQUE"),0)</f>
        <v>0</v>
      </c>
      <c r="O28" s="33">
        <f>IFERROR((INDEX(CashProjTable[DebtSell],MATCH($A$3&amp;O$5,CashProjTable[RefRng],0))-INDEX(CashProjTable[DebtSell_BahtNet],MATCH($A$3&amp;O$5,CashProjTable[RefRng],0)))+SUMIFS(IntraTrans[Net Settlement],IntraTrans[Portfolio],$A$3,IntraTrans[B/S],"S",IntraTrans[Settle Date],O$5,IntraTrans[Payment],"CHEQUE"),0)</f>
        <v>0</v>
      </c>
      <c r="P28" s="33">
        <f>IFERROR((INDEX(CashProjTable[DebtSell],MATCH($A$3&amp;P$5,CashProjTable[RefRng],0))-INDEX(CashProjTable[DebtSell_BahtNet],MATCH($A$3&amp;P$5,CashProjTable[RefRng],0)))+SUMIFS(IntraTrans[Net Settlement],IntraTrans[Portfolio],$A$3,IntraTrans[B/S],"S",IntraTrans[Settle Date],P$5,IntraTrans[Payment],"CHEQUE"),0)</f>
        <v>0</v>
      </c>
    </row>
    <row r="29" spans="1:16" s="22" customFormat="1" x14ac:dyDescent="0.2">
      <c r="A29" s="26" t="s">
        <v>355</v>
      </c>
      <c r="B29" s="33">
        <v>0</v>
      </c>
      <c r="C29" s="33">
        <v>0</v>
      </c>
      <c r="D29" s="33">
        <v>0</v>
      </c>
      <c r="E29" s="33">
        <v>0</v>
      </c>
      <c r="F29" s="106">
        <v>3019968539.5500002</v>
      </c>
      <c r="G29" s="106">
        <v>0</v>
      </c>
      <c r="H29" s="106">
        <v>0</v>
      </c>
      <c r="I29" s="106">
        <v>0</v>
      </c>
      <c r="J29" s="106">
        <v>0</v>
      </c>
      <c r="K29" s="106">
        <v>0</v>
      </c>
      <c r="L29" s="106">
        <v>0</v>
      </c>
      <c r="M29" s="106">
        <f>IF(M$13&lt;0,-M$13,0)+IF(M$16&lt;0,-M$16,0)+IF(M$10&lt;0,-M$10,0)+INDEX(CashProjTable[CashEqSell_BahtNet],MATCH($A$3&amp;M$5,CashProjTable[RefRng],0))</f>
        <v>0</v>
      </c>
      <c r="N29" s="106">
        <f>IF(N$13&lt;0,-N$13,0)+IF(N$16&lt;0,-N$16,0)+IF(N$10&lt;0,-N$10,0)+INDEX(CashProjTable[CashEqSell_BahtNet],MATCH($A$3&amp;N$5,CashProjTable[RefRng],0))</f>
        <v>0</v>
      </c>
      <c r="O29" s="106">
        <f>IF(O$13&lt;0,-O$13,0)+IF(O$16&lt;0,-O$16,0)+IF(O$10&lt;0,-O$10,0)+INDEX(CashProjTable[CashEqSell_BahtNet],MATCH($A$3&amp;O$5,CashProjTable[RefRng],0))</f>
        <v>0</v>
      </c>
      <c r="P29" s="106">
        <f>IF(P$13&lt;0,-P$13,0)+IF(P$16&lt;0,-P$16,0)+IF(P$10&lt;0,-P$10,0)+INDEX(CashProjTable[CashEqSell_BahtNet],MATCH($A$3&amp;P$5,CashProjTable[RefRng],0))</f>
        <v>0</v>
      </c>
    </row>
    <row r="30" spans="1:16" s="22" customFormat="1" x14ac:dyDescent="0.2">
      <c r="A30" s="26" t="s">
        <v>356</v>
      </c>
      <c r="B30" s="33">
        <v>0</v>
      </c>
      <c r="C30" s="33">
        <v>0</v>
      </c>
      <c r="D30" s="33">
        <v>0</v>
      </c>
      <c r="E30" s="33">
        <v>0</v>
      </c>
      <c r="F30" s="33">
        <v>0</v>
      </c>
      <c r="G30" s="33">
        <v>0</v>
      </c>
      <c r="H30" s="33">
        <v>0</v>
      </c>
      <c r="I30" s="33">
        <v>0</v>
      </c>
      <c r="J30" s="33">
        <v>0</v>
      </c>
      <c r="K30" s="33">
        <v>0</v>
      </c>
      <c r="L30" s="33">
        <v>0</v>
      </c>
      <c r="M30" s="33">
        <v>0</v>
      </c>
      <c r="N30" s="33">
        <v>0</v>
      </c>
      <c r="O30" s="33">
        <v>0</v>
      </c>
      <c r="P30" s="33">
        <v>0</v>
      </c>
    </row>
    <row r="31" spans="1:16" s="22" customFormat="1" x14ac:dyDescent="0.2">
      <c r="A31" s="26" t="s">
        <v>357</v>
      </c>
      <c r="B31" s="33">
        <v>68458.73</v>
      </c>
      <c r="C31" s="33">
        <v>34230.410000000003</v>
      </c>
      <c r="D31" s="33">
        <v>0</v>
      </c>
      <c r="E31" s="33">
        <v>0</v>
      </c>
      <c r="F31" s="33">
        <v>0</v>
      </c>
      <c r="G31" s="33">
        <v>0</v>
      </c>
      <c r="H31" s="33">
        <v>0</v>
      </c>
      <c r="I31" s="33">
        <v>0</v>
      </c>
      <c r="J31" s="33">
        <v>45363.58</v>
      </c>
      <c r="K31" s="33">
        <v>18733.41</v>
      </c>
      <c r="L31" s="33">
        <v>0</v>
      </c>
      <c r="M31" s="33">
        <f>IFERROR(INDEX(CashProjTable[DebtInterest],MATCH($A$3&amp;M$5,CashProjTable[RefRng],0)),0)</f>
        <v>0</v>
      </c>
      <c r="N31" s="33">
        <f>IFERROR(INDEX(CashProjTable[DebtInterest],MATCH($A$3&amp;N$5,CashProjTable[RefRng],0)),0)</f>
        <v>0</v>
      </c>
      <c r="O31" s="33">
        <f>IFERROR(INDEX(CashProjTable[DebtInterest],MATCH($A$3&amp;O$5,CashProjTable[RefRng],0)),0)</f>
        <v>0</v>
      </c>
      <c r="P31" s="33">
        <f>IFERROR(INDEX(CashProjTable[DebtInterest],MATCH($A$3&amp;P$5,CashProjTable[RefRng],0)),0)</f>
        <v>2369315.0699999998</v>
      </c>
    </row>
    <row r="32" spans="1:16" s="22" customFormat="1" x14ac:dyDescent="0.2">
      <c r="A32" s="26" t="s">
        <v>358</v>
      </c>
      <c r="B32" s="33">
        <v>0</v>
      </c>
      <c r="C32" s="33">
        <v>0</v>
      </c>
      <c r="D32" s="33">
        <v>0</v>
      </c>
      <c r="E32" s="33">
        <v>0</v>
      </c>
      <c r="F32" s="33">
        <v>0</v>
      </c>
      <c r="G32" s="33">
        <v>0</v>
      </c>
      <c r="H32" s="33">
        <v>0</v>
      </c>
      <c r="I32" s="33">
        <v>0</v>
      </c>
      <c r="J32" s="33">
        <v>0</v>
      </c>
      <c r="K32" s="33">
        <v>0</v>
      </c>
      <c r="L32" s="33">
        <v>0</v>
      </c>
      <c r="M32" s="33">
        <f>IFERROR(INDEX(CashProjTable[CashEqInterest],MATCH($A$3&amp;M$5,CashProjTable[RefRng],0)),0)</f>
        <v>0</v>
      </c>
      <c r="N32" s="33">
        <f>IFERROR(INDEX(CashProjTable[CashEqInterest],MATCH($A$3&amp;N$5,CashProjTable[RefRng],0)),0)</f>
        <v>0</v>
      </c>
      <c r="O32" s="33">
        <f>IFERROR(INDEX(CashProjTable[CashEqInterest],MATCH($A$3&amp;O$5,CashProjTable[RefRng],0)),0)</f>
        <v>0</v>
      </c>
      <c r="P32" s="33">
        <f>IFERROR(INDEX(CashProjTable[CashEqInterest],MATCH($A$3&amp;P$5,CashProjTable[RefRng],0)),0)</f>
        <v>0</v>
      </c>
    </row>
    <row r="33" spans="1:16" s="36" customFormat="1" x14ac:dyDescent="0.2">
      <c r="A33" s="34" t="s">
        <v>359</v>
      </c>
      <c r="B33" s="35"/>
      <c r="C33" s="35"/>
      <c r="D33" s="35"/>
      <c r="E33" s="35"/>
      <c r="F33" s="35"/>
      <c r="G33" s="35"/>
      <c r="H33" s="35"/>
      <c r="I33" s="35"/>
      <c r="J33" s="35"/>
      <c r="K33" s="35"/>
      <c r="L33" s="35"/>
      <c r="M33" s="35"/>
      <c r="N33" s="35"/>
      <c r="O33" s="35"/>
      <c r="P33" s="35"/>
    </row>
    <row r="34" spans="1:16" s="38" customFormat="1" ht="13.5" thickBot="1" x14ac:dyDescent="0.25">
      <c r="A34" s="28" t="s">
        <v>360</v>
      </c>
      <c r="B34" s="37">
        <v>3250445945.73</v>
      </c>
      <c r="C34" s="37">
        <v>555302495.28999996</v>
      </c>
      <c r="D34" s="37">
        <v>4771339170.0699997</v>
      </c>
      <c r="E34" s="37">
        <v>3352301746.4299998</v>
      </c>
      <c r="F34" s="37">
        <v>3253794677.0600004</v>
      </c>
      <c r="G34" s="37">
        <v>252558075.12</v>
      </c>
      <c r="H34" s="37">
        <v>3636171785.6700001</v>
      </c>
      <c r="I34" s="37">
        <v>173816914.90000001</v>
      </c>
      <c r="J34" s="37">
        <v>892617742.85000002</v>
      </c>
      <c r="K34" s="37">
        <v>3474355726.0999999</v>
      </c>
      <c r="L34" s="37">
        <v>4592824488.6899996</v>
      </c>
      <c r="M34" s="37">
        <f t="shared" ref="L34:O34" si="9">SUM(M23:M33)</f>
        <v>1529156170.03</v>
      </c>
      <c r="N34" s="37">
        <f t="shared" ref="N34:P34" si="10">SUM(N23:N33)</f>
        <v>14283439.83</v>
      </c>
      <c r="O34" s="37">
        <f t="shared" si="10"/>
        <v>409657340.32999998</v>
      </c>
      <c r="P34" s="37">
        <f t="shared" si="10"/>
        <v>104599185.22</v>
      </c>
    </row>
    <row r="35" spans="1:16" s="22" customFormat="1" x14ac:dyDescent="0.2"/>
    <row r="36" spans="1:16" s="25" customFormat="1" x14ac:dyDescent="0.2">
      <c r="A36" s="24" t="s">
        <v>361</v>
      </c>
    </row>
    <row r="37" spans="1:16" s="22" customFormat="1" x14ac:dyDescent="0.2">
      <c r="A37" s="32" t="s">
        <v>362</v>
      </c>
      <c r="B37" s="33">
        <v>543764526.00999999</v>
      </c>
      <c r="C37" s="33">
        <v>195849263.49000001</v>
      </c>
      <c r="D37" s="62">
        <v>173001759.90000001</v>
      </c>
      <c r="E37" s="62">
        <v>277208766.31999999</v>
      </c>
      <c r="F37" s="62">
        <v>319498855.37</v>
      </c>
      <c r="G37" s="62">
        <v>638647968.30999994</v>
      </c>
      <c r="H37" s="62">
        <v>289623341.43000001</v>
      </c>
      <c r="I37" s="62">
        <v>242472933.37</v>
      </c>
      <c r="J37" s="62">
        <v>125659216.98</v>
      </c>
      <c r="K37" s="62">
        <v>298467207.94999999</v>
      </c>
      <c r="L37" s="62">
        <v>231107642.97999999</v>
      </c>
      <c r="M37" s="63">
        <f>IFERROR(ABS(INDEX(CashIntraTable[Amount],MATCH($A$3&amp;M$5&amp;$A61,CashIntraTable[RefRng],0))),0)</f>
        <v>266317259.74000001</v>
      </c>
      <c r="N37" s="62">
        <f>IFERROR(ABS(INDEX(CashIntraTable[Amount],MATCH($A$3&amp;N$5&amp;$A61,CashIntraTable[RefRng],0))),0)</f>
        <v>0</v>
      </c>
      <c r="O37" s="62">
        <f>IFERROR(ABS(INDEX(CashIntraTable[Amount],MATCH($A$3&amp;O$5&amp;$A61,CashIntraTable[RefRng],0))),0)</f>
        <v>0</v>
      </c>
      <c r="P37" s="62">
        <f>IFERROR(ABS(INDEX(CashIntraTable[Amount],MATCH($A$3&amp;P$5&amp;$A61,CashIntraTable[RefRng],0))),0)</f>
        <v>0</v>
      </c>
    </row>
    <row r="38" spans="1:16" s="22" customFormat="1" x14ac:dyDescent="0.2">
      <c r="A38" s="32" t="s">
        <v>363</v>
      </c>
      <c r="B38" s="33">
        <v>1853544785.1700001</v>
      </c>
      <c r="C38" s="33">
        <v>261306959.31999999</v>
      </c>
      <c r="D38" s="62">
        <v>322510144.76999998</v>
      </c>
      <c r="E38" s="62">
        <v>460305820.11000001</v>
      </c>
      <c r="F38" s="62">
        <v>894902723.03999996</v>
      </c>
      <c r="G38" s="62">
        <v>1335222860.47</v>
      </c>
      <c r="H38" s="62">
        <v>219607759.37</v>
      </c>
      <c r="I38" s="62">
        <v>479628917.55000001</v>
      </c>
      <c r="J38" s="62">
        <v>304806931.52999997</v>
      </c>
      <c r="K38" s="62">
        <v>635052920.90999997</v>
      </c>
      <c r="L38" s="62">
        <v>244075989.38999999</v>
      </c>
      <c r="M38" s="63">
        <f>IFERROR(ABS(INDEX(CashIntraTable[Amount],MATCH($A$3&amp;M$5&amp;$A62,CashIntraTable[RefRng],0))),0)</f>
        <v>180859843.41999999</v>
      </c>
      <c r="N38" s="62">
        <f>IFERROR(ABS(INDEX(CashIntraTable[Amount],MATCH($A$3&amp;N$5&amp;$A62,CashIntraTable[RefRng],0))),0)</f>
        <v>0</v>
      </c>
      <c r="O38" s="62">
        <f>IFERROR(ABS(INDEX(CashIntraTable[Amount],MATCH($A$3&amp;O$5&amp;$A62,CashIntraTable[RefRng],0))),0)</f>
        <v>0</v>
      </c>
      <c r="P38" s="62">
        <f>IFERROR(ABS(INDEX(CashIntraTable[Amount],MATCH($A$3&amp;P$5&amp;$A62,CashIntraTable[RefRng],0))),0)</f>
        <v>0</v>
      </c>
    </row>
    <row r="39" spans="1:16" s="22" customFormat="1" x14ac:dyDescent="0.2">
      <c r="A39" s="26" t="s">
        <v>364</v>
      </c>
      <c r="B39" s="33">
        <v>1466314289.8</v>
      </c>
      <c r="C39" s="33">
        <v>0</v>
      </c>
      <c r="D39" s="33">
        <v>3038224685.6199999</v>
      </c>
      <c r="E39" s="33">
        <v>2808019668.7199998</v>
      </c>
      <c r="F39" s="33">
        <v>999537578.78999996</v>
      </c>
      <c r="G39" s="33">
        <v>99924714</v>
      </c>
      <c r="H39" s="33">
        <v>2490270766.0500002</v>
      </c>
      <c r="I39" s="33">
        <v>0</v>
      </c>
      <c r="J39" s="33">
        <v>0</v>
      </c>
      <c r="K39" s="33">
        <v>2598881929.25</v>
      </c>
      <c r="L39" s="33">
        <v>3486380906.6799998</v>
      </c>
      <c r="M39" s="33">
        <f>IFERROR(INDEX(CashProjTable[DebtBuy_BahtNet],MATCH($A$3&amp;M$5,CashProjTable[RefRng],0))+SUMIFS(IntraTrans[Net Settlement],IntraTrans[Portfolio],$A$3,IntraTrans[B/S],"B",IntraTrans[Settle Date],M$5,IntraTrans[Payment],"BAHTNET"),0)</f>
        <v>0</v>
      </c>
      <c r="N39" s="33">
        <f>IFERROR(INDEX(CashProjTable[DebtBuy_BahtNet],MATCH($A$3&amp;N$5,CashProjTable[RefRng],0))+SUMIFS(IntraTrans[Net Settlement],IntraTrans[Portfolio],$A$3,IntraTrans[B/S],"B",IntraTrans[Settle Date],N$5,IntraTrans[Payment],"BAHTNET"),0)</f>
        <v>0</v>
      </c>
      <c r="O39" s="33">
        <f>IFERROR(INDEX(CashProjTable[DebtBuy_BahtNet],MATCH($A$3&amp;O$5,CashProjTable[RefRng],0))+SUMIFS(IntraTrans[Net Settlement],IntraTrans[Portfolio],$A$3,IntraTrans[B/S],"B",IntraTrans[Settle Date],O$5,IntraTrans[Payment],"BAHTNET"),0)</f>
        <v>0</v>
      </c>
      <c r="P39" s="33">
        <f>IFERROR(INDEX(CashProjTable[DebtBuy_BahtNet],MATCH($A$3&amp;P$5,CashProjTable[RefRng],0))+SUMIFS(IntraTrans[Net Settlement],IntraTrans[Portfolio],$A$3,IntraTrans[B/S],"B",IntraTrans[Settle Date],P$5,IntraTrans[Payment],"BAHTNET"),0)</f>
        <v>0</v>
      </c>
    </row>
    <row r="40" spans="1:16" s="22" customFormat="1" x14ac:dyDescent="0.2">
      <c r="A40" s="26" t="s">
        <v>365</v>
      </c>
      <c r="B40" s="33">
        <v>0</v>
      </c>
      <c r="C40" s="33">
        <v>0</v>
      </c>
      <c r="D40" s="33">
        <v>0</v>
      </c>
      <c r="E40" s="33">
        <v>0</v>
      </c>
      <c r="F40" s="33">
        <v>0</v>
      </c>
      <c r="G40" s="33">
        <v>0</v>
      </c>
      <c r="H40" s="33">
        <v>0</v>
      </c>
      <c r="I40" s="33">
        <v>0</v>
      </c>
      <c r="J40" s="33">
        <v>0</v>
      </c>
      <c r="K40" s="33">
        <v>0</v>
      </c>
      <c r="L40" s="33">
        <v>0</v>
      </c>
      <c r="M40" s="33">
        <f>IFERROR((INDEX(CashProjTable[DebtBuy],MATCH($A$3&amp;M$5,CashProjTable[RefRng],0))-INDEX(CashProjTable[DebtBuy_BahtNet],MATCH($A$3&amp;M$5,CashProjTable[RefRng],0)))+SUMIFS(IntraTrans[Net Settlement],IntraTrans[Portfolio],$A$3,IntraTrans[B/S],"B",IntraTrans[Settle Date],M$5,IntraTrans[Payment],"CHEQUE"),0)</f>
        <v>0</v>
      </c>
      <c r="N40" s="33">
        <f>IFERROR((INDEX(CashProjTable[DebtBuy],MATCH($A$3&amp;N$5,CashProjTable[RefRng],0))-INDEX(CashProjTable[DebtBuy_BahtNet],MATCH($A$3&amp;N$5,CashProjTable[RefRng],0)))+SUMIFS(IntraTrans[Net Settlement],IntraTrans[Portfolio],$A$3,IntraTrans[B/S],"B",IntraTrans[Settle Date],N$5,IntraTrans[Payment],"CHEQUE"),0)</f>
        <v>0</v>
      </c>
      <c r="O40" s="33">
        <f>IFERROR((INDEX(CashProjTable[DebtBuy],MATCH($A$3&amp;O$5,CashProjTable[RefRng],0))-INDEX(CashProjTable[DebtBuy_BahtNet],MATCH($A$3&amp;O$5,CashProjTable[RefRng],0)))+SUMIFS(IntraTrans[Net Settlement],IntraTrans[Portfolio],$A$3,IntraTrans[B/S],"B",IntraTrans[Settle Date],O$5,IntraTrans[Payment],"CHEQUE"),0)</f>
        <v>0</v>
      </c>
      <c r="P40" s="33">
        <f>IFERROR((INDEX(CashProjTable[DebtBuy],MATCH($A$3&amp;P$5,CashProjTable[RefRng],0))-INDEX(CashProjTable[DebtBuy_BahtNet],MATCH($A$3&amp;P$5,CashProjTable[RefRng],0)))+SUMIFS(IntraTrans[Net Settlement],IntraTrans[Portfolio],$A$3,IntraTrans[B/S],"B",IntraTrans[Settle Date],P$5,IntraTrans[Payment],"CHEQUE"),0)</f>
        <v>0</v>
      </c>
    </row>
    <row r="41" spans="1:16" s="22" customFormat="1" x14ac:dyDescent="0.2">
      <c r="A41" s="26" t="s">
        <v>355</v>
      </c>
      <c r="B41" s="33">
        <v>0</v>
      </c>
      <c r="C41" s="33">
        <v>0</v>
      </c>
      <c r="D41" s="33">
        <v>0</v>
      </c>
      <c r="E41" s="33">
        <v>0</v>
      </c>
      <c r="F41" s="33">
        <v>0</v>
      </c>
      <c r="G41" s="33">
        <v>0</v>
      </c>
      <c r="H41" s="33">
        <v>0</v>
      </c>
      <c r="I41" s="33">
        <v>0</v>
      </c>
      <c r="J41" s="33">
        <v>0</v>
      </c>
      <c r="K41" s="33">
        <v>0</v>
      </c>
      <c r="L41" s="33">
        <v>0</v>
      </c>
      <c r="M41" s="33">
        <f>IF(M$10&gt;0,M$10,0)+IF(M$13&gt;0,M$13,0)+IF(M$16&gt;0,M$16,0)+INDEX(CashProjTable[CashEqBuy_BahtNet],MATCH($A$3&amp;M$5,CashProjTable[RefRng],0))</f>
        <v>0</v>
      </c>
      <c r="N41" s="33">
        <f>IF(N$10&gt;0,N$10,0)+IF(N$13&gt;0,N$13,0)+IF(N$16&gt;0,N$16,0)+INDEX(CashProjTable[CashEqBuy_BahtNet],MATCH($A$3&amp;N$5,CashProjTable[RefRng],0))</f>
        <v>0</v>
      </c>
      <c r="O41" s="33">
        <f>IF(O$10&gt;0,O$10,0)+IF(O$13&gt;0,O$13,0)+IF(O$16&gt;0,O$16,0)+INDEX(CashProjTable[CashEqBuy_BahtNet],MATCH($A$3&amp;O$5,CashProjTable[RefRng],0))</f>
        <v>0</v>
      </c>
      <c r="P41" s="33">
        <f>IF(P$10&gt;0,P$10,0)+IF(P$13&gt;0,P$13,0)+IF(P$16&gt;0,P$16,0)+INDEX(CashProjTable[CashEqBuy_BahtNet],MATCH($A$3&amp;P$5,CashProjTable[RefRng],0))</f>
        <v>0</v>
      </c>
    </row>
    <row r="42" spans="1:16" s="22" customFormat="1" x14ac:dyDescent="0.2">
      <c r="A42" s="26" t="s">
        <v>356</v>
      </c>
      <c r="B42" s="33">
        <v>0</v>
      </c>
      <c r="C42" s="33">
        <v>0</v>
      </c>
      <c r="D42" s="33">
        <v>0</v>
      </c>
      <c r="E42" s="33">
        <v>0</v>
      </c>
      <c r="F42" s="33">
        <v>0</v>
      </c>
      <c r="G42" s="33">
        <v>0</v>
      </c>
      <c r="H42" s="33">
        <v>0</v>
      </c>
      <c r="I42" s="33">
        <v>0</v>
      </c>
      <c r="J42" s="33">
        <v>0</v>
      </c>
      <c r="K42" s="33">
        <v>0</v>
      </c>
      <c r="L42" s="33">
        <v>0</v>
      </c>
      <c r="M42" s="33">
        <v>0</v>
      </c>
      <c r="N42" s="33">
        <v>0</v>
      </c>
      <c r="O42" s="33">
        <v>0</v>
      </c>
      <c r="P42" s="33">
        <v>0</v>
      </c>
    </row>
    <row r="43" spans="1:16" s="22" customFormat="1" x14ac:dyDescent="0.2">
      <c r="A43" s="26" t="s">
        <v>366</v>
      </c>
      <c r="B43" s="33">
        <v>0</v>
      </c>
      <c r="C43" s="33">
        <v>0</v>
      </c>
      <c r="D43" s="33">
        <v>0</v>
      </c>
      <c r="E43" s="33">
        <v>0</v>
      </c>
      <c r="F43" s="33">
        <v>0</v>
      </c>
      <c r="G43" s="33">
        <v>0</v>
      </c>
      <c r="H43" s="33">
        <v>0</v>
      </c>
      <c r="I43" s="33">
        <v>0</v>
      </c>
      <c r="J43" s="33">
        <v>0</v>
      </c>
      <c r="K43" s="33">
        <v>0</v>
      </c>
      <c r="L43" s="33">
        <v>0</v>
      </c>
      <c r="M43" s="33">
        <f>IFERROR(INDEX(CashProjTable[Expense],MATCH($A$3&amp;M$5,CashProjTable[RefRng],0)),0)</f>
        <v>0</v>
      </c>
      <c r="N43" s="33">
        <f>IFERROR(INDEX(CashProjTable[Expense],MATCH($A$3&amp;N$5,CashProjTable[RefRng],0)),0)</f>
        <v>0</v>
      </c>
      <c r="O43" s="33">
        <f>IFERROR(INDEX(CashProjTable[Expense],MATCH($A$3&amp;O$5,CashProjTable[RefRng],0)),0)</f>
        <v>0</v>
      </c>
      <c r="P43" s="33">
        <f>IFERROR(INDEX(CashProjTable[Expense],MATCH($A$3&amp;P$5,CashProjTable[RefRng],0)),0)</f>
        <v>0</v>
      </c>
    </row>
    <row r="44" spans="1:16" s="36" customFormat="1" x14ac:dyDescent="0.2">
      <c r="A44" s="34" t="s">
        <v>359</v>
      </c>
      <c r="B44" s="35"/>
      <c r="C44" s="35"/>
      <c r="D44" s="35"/>
      <c r="E44" s="35"/>
      <c r="F44" s="35"/>
      <c r="G44" s="35"/>
      <c r="H44" s="35"/>
      <c r="I44" s="35"/>
      <c r="J44" s="35">
        <v>749600000</v>
      </c>
      <c r="K44" s="35"/>
      <c r="L44" s="35"/>
      <c r="M44" s="35">
        <v>1687500000</v>
      </c>
      <c r="N44" s="35"/>
      <c r="O44" s="35"/>
      <c r="P44" s="35"/>
    </row>
    <row r="45" spans="1:16" s="38" customFormat="1" ht="13.5" thickBot="1" x14ac:dyDescent="0.25">
      <c r="A45" s="28" t="s">
        <v>367</v>
      </c>
      <c r="B45" s="37">
        <v>3863623600.9800005</v>
      </c>
      <c r="C45" s="37">
        <v>457156222.81</v>
      </c>
      <c r="D45" s="37">
        <v>3533736590.29</v>
      </c>
      <c r="E45" s="37">
        <v>3545534255.1499996</v>
      </c>
      <c r="F45" s="37">
        <v>2213939157.1999998</v>
      </c>
      <c r="G45" s="37">
        <v>2073798552.78</v>
      </c>
      <c r="H45" s="37">
        <v>2999501866.8500004</v>
      </c>
      <c r="I45" s="37">
        <v>722101850.92000008</v>
      </c>
      <c r="J45" s="37">
        <v>1180066148.51</v>
      </c>
      <c r="K45" s="37">
        <v>3532402058.1099997</v>
      </c>
      <c r="L45" s="37">
        <f t="shared" ref="L45:O45" si="11">SUM(L37:L44)</f>
        <v>3961564539.0499997</v>
      </c>
      <c r="M45" s="37">
        <f t="shared" si="11"/>
        <v>2134677103.1599998</v>
      </c>
      <c r="N45" s="37">
        <f t="shared" ref="N45:P45" si="12">SUM(N37:N44)</f>
        <v>0</v>
      </c>
      <c r="O45" s="37">
        <f t="shared" si="12"/>
        <v>0</v>
      </c>
      <c r="P45" s="37">
        <f t="shared" si="12"/>
        <v>0</v>
      </c>
    </row>
    <row r="46" spans="1:16" s="22" customFormat="1" x14ac:dyDescent="0.2">
      <c r="D46" s="72"/>
    </row>
    <row r="47" spans="1:16" s="25" customFormat="1" x14ac:dyDescent="0.2">
      <c r="A47" s="24" t="s">
        <v>368</v>
      </c>
    </row>
    <row r="48" spans="1:16" s="41" customFormat="1" x14ac:dyDescent="0.2">
      <c r="A48" s="39" t="s">
        <v>369</v>
      </c>
      <c r="B48" s="40">
        <v>67456786.849999428</v>
      </c>
      <c r="C48" s="40">
        <v>165485608.19</v>
      </c>
      <c r="D48" s="40">
        <v>1403050858.6499996</v>
      </c>
      <c r="E48" s="40">
        <v>1209814486.4899998</v>
      </c>
      <c r="F48" s="40">
        <v>2249263771.2600012</v>
      </c>
      <c r="G48" s="40">
        <v>428023293.60000014</v>
      </c>
      <c r="H48" s="40">
        <v>1064637906.5999994</v>
      </c>
      <c r="I48" s="40">
        <v>517295889.5999999</v>
      </c>
      <c r="J48" s="40">
        <v>229843151.51999998</v>
      </c>
      <c r="K48" s="40">
        <v>171749552</v>
      </c>
      <c r="L48" s="40">
        <f t="shared" ref="K48:P48" ca="1" si="13">L$6+L$34-L$45</f>
        <v>802979504.17999983</v>
      </c>
      <c r="M48" s="40">
        <f t="shared" ca="1" si="13"/>
        <v>197458571.05000019</v>
      </c>
      <c r="N48" s="40">
        <f t="shared" ca="1" si="13"/>
        <v>211742010.8800002</v>
      </c>
      <c r="O48" s="40">
        <f t="shared" ca="1" si="13"/>
        <v>621399351.21000016</v>
      </c>
      <c r="P48" s="40">
        <f t="shared" ca="1" si="13"/>
        <v>725998536.43000019</v>
      </c>
    </row>
    <row r="49" spans="1:33" s="22" customFormat="1" x14ac:dyDescent="0.2">
      <c r="A49" s="26" t="s">
        <v>853</v>
      </c>
      <c r="B49" s="33">
        <v>67339335.709999993</v>
      </c>
      <c r="C49" s="33">
        <v>174353393.44999999</v>
      </c>
      <c r="D49" s="33">
        <v>1403046995.21</v>
      </c>
      <c r="E49" s="33">
        <v>0</v>
      </c>
      <c r="F49" s="33">
        <v>2249263771.2600002</v>
      </c>
      <c r="G49" s="33">
        <f>IFERROR(INDEX(CashProjTable[CashBal],MATCH($A$3&amp;G$5,CashProjTable[RefRng],0)),0)</f>
        <v>0</v>
      </c>
      <c r="H49" s="33">
        <v>1065580825.62</v>
      </c>
      <c r="I49" s="33">
        <v>517291557.18000001</v>
      </c>
      <c r="J49" s="33">
        <v>229795884.00999999</v>
      </c>
      <c r="K49" s="33">
        <f>IFERROR(INDEX(CashProjTable[CashBal],MATCH($A$3&amp;K$5,CashProjTable[RefRng],0)),0)</f>
        <v>171719554.53999999</v>
      </c>
      <c r="L49" s="33">
        <f>IFERROR(INDEX(CashProjTable[CashBal],MATCH($A$3&amp;L$5,CashProjTable[RefRng],0)),0)</f>
        <v>806062877.79999995</v>
      </c>
      <c r="M49" s="33">
        <f>IFERROR(INDEX(CashProjTable[CashBal],MATCH($A$3&amp;M$5,CashProjTable[RefRng],0)),0)</f>
        <v>806062877.79999995</v>
      </c>
      <c r="N49" s="33">
        <f>IFERROR(INDEX(CashProjTable[CashBal],MATCH($A$3&amp;N$5,CashProjTable[RefRng],0)),0)</f>
        <v>806062877.79999995</v>
      </c>
      <c r="O49" s="33">
        <f>IFERROR(INDEX(CashProjTable[CashBal],MATCH($A$3&amp;O$5,CashProjTable[RefRng],0)),0)</f>
        <v>1206062877.8</v>
      </c>
      <c r="P49" s="33">
        <f>IFERROR(INDEX(CashProjTable[CashBal],MATCH($A$3&amp;P$5,CashProjTable[RefRng],0)),0)</f>
        <v>1308432192.8699999</v>
      </c>
    </row>
    <row r="50" spans="1:33" s="41" customFormat="1" x14ac:dyDescent="0.2">
      <c r="A50" s="39" t="s">
        <v>370</v>
      </c>
      <c r="B50" s="40">
        <v>-117451.13999943435</v>
      </c>
      <c r="C50" s="40">
        <v>8867785.2599999905</v>
      </c>
      <c r="D50" s="40">
        <v>-3863.4399995803833</v>
      </c>
      <c r="E50" s="40">
        <v>31410800.990000248</v>
      </c>
      <c r="F50" s="40">
        <v>-19287591.100001335</v>
      </c>
      <c r="G50" s="40">
        <v>1821240477.6600001</v>
      </c>
      <c r="H50" s="40">
        <v>367059315.13000035</v>
      </c>
      <c r="I50" s="40">
        <v>548284936.01999998</v>
      </c>
      <c r="J50" s="40">
        <v>289917700.23999989</v>
      </c>
      <c r="K50" s="40">
        <v>-359461611.82999992</v>
      </c>
      <c r="L50" s="40">
        <v>331359143.67999983</v>
      </c>
      <c r="M50" s="40">
        <f t="shared" ref="M50:O50" ca="1" si="14">M49-M48</f>
        <v>608604306.74999976</v>
      </c>
      <c r="N50" s="40">
        <f t="shared" ref="N50:P50" ca="1" si="15">N49-N48</f>
        <v>594320866.91999972</v>
      </c>
      <c r="O50" s="40">
        <f t="shared" ca="1" si="15"/>
        <v>584663526.58999979</v>
      </c>
      <c r="P50" s="40">
        <f t="shared" ca="1" si="15"/>
        <v>582433656.4399997</v>
      </c>
    </row>
    <row r="51" spans="1:33" s="22" customFormat="1" x14ac:dyDescent="0.2">
      <c r="A51" s="26" t="s">
        <v>854</v>
      </c>
      <c r="B51" s="33">
        <v>74441114841.619995</v>
      </c>
      <c r="C51" s="33">
        <v>74072507153.12001</v>
      </c>
      <c r="D51" s="33">
        <v>73729649247.930008</v>
      </c>
      <c r="E51" s="33">
        <v>76346114293.729996</v>
      </c>
      <c r="F51" s="33">
        <v>75222433108.059982</v>
      </c>
      <c r="G51" s="33">
        <v>73506090893.569992</v>
      </c>
      <c r="H51" s="33">
        <v>73142595746.509995</v>
      </c>
      <c r="I51" s="33">
        <v>72594376320.259995</v>
      </c>
      <c r="J51" s="33">
        <v>72358082884.37001</v>
      </c>
      <c r="K51" s="33">
        <v>72122931479.960007</v>
      </c>
      <c r="L51" s="33">
        <v>71793470824.020004</v>
      </c>
      <c r="M51" s="33">
        <f t="shared" ref="M51" ca="1" si="16">IF(M5&gt;TODAY(),L51,L52)+SUM(M23:M26)-SUM(M37:M38)</f>
        <v>72145101807.490005</v>
      </c>
      <c r="N51" s="33">
        <f t="shared" ref="N51" ca="1" si="17">IF(N5&gt;TODAY(),M51,M52)+SUM(N23:N26)-SUM(N37:N38)</f>
        <v>72159385247.320007</v>
      </c>
      <c r="O51" s="33">
        <f t="shared" ref="O51" ca="1" si="18">IF(O5&gt;TODAY(),N51,N52)+SUM(O23:O26)-SUM(O37:O38)</f>
        <v>72169042587.650009</v>
      </c>
      <c r="P51" s="33">
        <f t="shared" ref="P51" ca="1" si="19">IF(P5&gt;TODAY(),O51,O52)+SUM(P23:P26)-SUM(P37:P38)</f>
        <v>72171272457.800003</v>
      </c>
    </row>
    <row r="52" spans="1:33" s="22" customFormat="1" x14ac:dyDescent="0.2">
      <c r="A52" s="26" t="s">
        <v>855</v>
      </c>
      <c r="B52" s="33">
        <v>74425090193.76001</v>
      </c>
      <c r="C52" s="33">
        <v>74073821982.529999</v>
      </c>
      <c r="D52" s="33">
        <v>73731327133.729996</v>
      </c>
      <c r="E52" s="33">
        <v>76347008548.959991</v>
      </c>
      <c r="F52" s="33">
        <v>75227403647.229996</v>
      </c>
      <c r="G52" s="33">
        <f>[1]!SCBAM_GetGroup1Dtl($A$3,"NET ASSET VALUE",G$5,"MarketVal")+[1]!SCBAM_GetGroup1Dtl($A$3,"NET ASSET VALUE",G$5,"ai")</f>
        <v>73509655061.639999</v>
      </c>
      <c r="H52" s="33">
        <v>73142661256.279999</v>
      </c>
      <c r="I52" s="33">
        <v>72595521638.610001</v>
      </c>
      <c r="J52" s="33">
        <v>72361002200.130005</v>
      </c>
      <c r="K52" s="33">
        <f>[1]!SCBAM_GetGroup1Dtl($A$3,"NET ASSET VALUE",K$5,"MarketVal")+[1]!SCBAM_GetGroup1Dtl($A$3,"NET ASSET VALUE",K$5,"ai")</f>
        <v>72124829967.699997</v>
      </c>
      <c r="L52" s="33">
        <f>[1]!SCBAM_GetGroup1Dtl($A$3,"NET ASSET VALUE",L$5,"MarketVal")+[1]!SCBAM_GetGroup1Dtl($A$3,"NET ASSET VALUE",L$5,"ai")</f>
        <v>0</v>
      </c>
      <c r="M52" s="33">
        <f>[1]!SCBAM_GetGroup1Dtl($A$3,"NET ASSET VALUE",M$5,"MarketVal")+[1]!SCBAM_GetGroup1Dtl($A$3,"NET ASSET VALUE",M$5,"ai")</f>
        <v>0</v>
      </c>
      <c r="N52" s="33">
        <f>[1]!SCBAM_GetGroup1Dtl($A$3,"NET ASSET VALUE",N$5,"MarketVal")+[1]!SCBAM_GetGroup1Dtl($A$3,"NET ASSET VALUE",N$5,"ai")</f>
        <v>0</v>
      </c>
      <c r="O52" s="33">
        <f>[1]!SCBAM_GetGroup1Dtl($A$3,"NET ASSET VALUE",O$5,"MarketVal")+[1]!SCBAM_GetGroup1Dtl($A$3,"NET ASSET VALUE",O$5,"ai")</f>
        <v>0</v>
      </c>
      <c r="P52" s="33">
        <f>[1]!SCBAM_GetGroup1Dtl($A$3,"NET ASSET VALUE",P$5,"MarketVal")+[1]!SCBAM_GetGroup1Dtl($A$3,"NET ASSET VALUE",P$5,"ai")</f>
        <v>0</v>
      </c>
    </row>
    <row r="53" spans="1:33" s="21" customFormat="1" x14ac:dyDescent="0.2">
      <c r="A53" s="19" t="s">
        <v>840</v>
      </c>
      <c r="B53" s="20">
        <v>-352585293.98000002</v>
      </c>
      <c r="C53" s="20">
        <v>-344172734.59999996</v>
      </c>
      <c r="D53" s="20">
        <v>2614787160</v>
      </c>
      <c r="E53" s="20">
        <v>-1124575440.8999999</v>
      </c>
      <c r="F53" s="20">
        <v>-1721312753.6599998</v>
      </c>
      <c r="G53" s="20">
        <v>33550604.559999999</v>
      </c>
      <c r="H53" s="20">
        <v>26105204.91</v>
      </c>
      <c r="I53" s="20">
        <v>2488709.17</v>
      </c>
      <c r="J53" s="20">
        <v>-52519689.939999998</v>
      </c>
      <c r="K53" s="20">
        <v>-331359143.68000001</v>
      </c>
      <c r="L53" s="20">
        <f t="shared" ref="L53:M53" si="20">SUM(M23:M26)-SUM(M37:M38)</f>
        <v>351630983.47000003</v>
      </c>
      <c r="M53" s="20">
        <f t="shared" si="20"/>
        <v>14283439.83</v>
      </c>
      <c r="N53" s="20">
        <f t="shared" ref="N53" si="21">SUM(O23:O26)-SUM(O37:O38)</f>
        <v>9657340.3300000001</v>
      </c>
      <c r="O53" s="20">
        <f t="shared" ref="O53" si="22">SUM(P23:P26)-SUM(P37:P38)</f>
        <v>2229870.15</v>
      </c>
      <c r="P53" s="20">
        <f t="shared" ref="P53" si="23">SUM(Q23:Q26)-SUM(Q37:Q38)</f>
        <v>0</v>
      </c>
    </row>
    <row r="54" spans="1:33" s="47" customFormat="1" x14ac:dyDescent="0.2">
      <c r="A54" s="45" t="s">
        <v>371</v>
      </c>
      <c r="B54" s="48">
        <v>9.0637158348590326E-4</v>
      </c>
      <c r="C54" s="48">
        <v>2.2340633136093487E-3</v>
      </c>
      <c r="D54" s="48">
        <v>1.9029236461527675E-2</v>
      </c>
      <c r="E54" s="48">
        <v>1.5846444808381779E-2</v>
      </c>
      <c r="F54" s="48">
        <v>2.989952679754385E-2</v>
      </c>
      <c r="G54" s="48">
        <v>5.5605691655105311E-3</v>
      </c>
      <c r="H54" s="48">
        <v>1.5212702849872431E-2</v>
      </c>
      <c r="I54" s="48">
        <v>7.5095026299972162E-3</v>
      </c>
      <c r="J54" s="48">
        <v>3.5028870867825353E-3</v>
      </c>
      <c r="K54" s="48">
        <v>1.2838768116036558E-2</v>
      </c>
      <c r="L54" s="48">
        <v>1.104929429926093E-2</v>
      </c>
      <c r="M54" s="48">
        <f t="shared" ref="M54:O54" ca="1" si="24">M48/IF(M5&lt;TODAY(),M52,M51)</f>
        <v>2.7369643413477076E-3</v>
      </c>
      <c r="N54" s="48">
        <f t="shared" ref="N54:P54" ca="1" si="25">N48/IF(N5&lt;TODAY(),N52,N51)</f>
        <v>2.9343655042829552E-3</v>
      </c>
      <c r="O54" s="48">
        <f t="shared" ca="1" si="25"/>
        <v>8.6103310911365433E-3</v>
      </c>
      <c r="P54" s="48">
        <f t="shared" ca="1" si="25"/>
        <v>1.0059383903124421E-2</v>
      </c>
      <c r="Q54" s="46"/>
      <c r="R54" s="46"/>
      <c r="S54" s="46"/>
      <c r="T54" s="46"/>
      <c r="U54" s="46"/>
      <c r="V54" s="46"/>
      <c r="W54" s="46"/>
      <c r="X54" s="46"/>
      <c r="Y54" s="46"/>
      <c r="Z54" s="46"/>
      <c r="AA54" s="46"/>
      <c r="AB54" s="46"/>
      <c r="AC54" s="46"/>
      <c r="AD54" s="46"/>
      <c r="AE54" s="46"/>
      <c r="AF54" s="46"/>
      <c r="AG54" s="46"/>
    </row>
    <row r="55" spans="1:33" s="42" customFormat="1" x14ac:dyDescent="0.2">
      <c r="A55" s="42" t="s">
        <v>372</v>
      </c>
      <c r="B55" s="43">
        <v>-209082222.83000001</v>
      </c>
      <c r="C55" s="43">
        <v>52169708.909999996</v>
      </c>
      <c r="D55" s="43">
        <v>1240635871.3</v>
      </c>
      <c r="E55" s="43">
        <v>-2132192722.75</v>
      </c>
      <c r="F55" s="43">
        <v>2113875738.2</v>
      </c>
      <c r="G55" s="43">
        <v>2214851344.4000001</v>
      </c>
      <c r="H55" s="43">
        <v>1410963736.4300001</v>
      </c>
      <c r="I55" s="43">
        <v>1061580130.78</v>
      </c>
      <c r="J55" s="43">
        <v>517292125.19</v>
      </c>
      <c r="K55" s="43">
        <v>556443633.05999994</v>
      </c>
      <c r="L55" s="43">
        <v>1112186694.75</v>
      </c>
      <c r="M55" s="43">
        <f>IFERROR(INDEX(CashProjTable[CashForUse],MATCH($A$3&amp;M$5,CashProjTable[RefRng],0)),0)</f>
        <v>799192334.87</v>
      </c>
      <c r="N55" s="43">
        <f>IFERROR(INDEX(CashProjTable[CashForUse],MATCH($A$3&amp;N$5,CashProjTable[RefRng],0)),0)</f>
        <v>806062877.79999995</v>
      </c>
      <c r="O55" s="43">
        <f>IFERROR(INDEX(CashProjTable[CashForUse],MATCH($A$3&amp;O$5,CashProjTable[RefRng],0)),0)</f>
        <v>1206062877.8</v>
      </c>
      <c r="P55" s="43">
        <f>IFERROR(INDEX(CashProjTable[CashForUse],MATCH($A$3&amp;P$5,CashProjTable[RefRng],0)),0)</f>
        <v>1308432192.8699999</v>
      </c>
    </row>
    <row r="56" spans="1:33" s="42" customFormat="1" x14ac:dyDescent="0.2">
      <c r="A56" s="42" t="s">
        <v>373</v>
      </c>
      <c r="B56" s="43">
        <v>-1689310672.7</v>
      </c>
      <c r="C56" s="43">
        <v>29914036.960000001</v>
      </c>
      <c r="D56" s="43">
        <v>1363716764.7</v>
      </c>
      <c r="E56" s="43">
        <v>-2158385223.2399998</v>
      </c>
      <c r="F56" s="43">
        <v>2027665501.48</v>
      </c>
      <c r="G56" s="43">
        <v>2184258882.4000001</v>
      </c>
      <c r="H56" s="43">
        <v>1273036639.03</v>
      </c>
      <c r="I56" s="43">
        <v>997532410.01999998</v>
      </c>
      <c r="J56" s="43">
        <v>464773796.29000002</v>
      </c>
      <c r="K56" s="43">
        <v>535972146.12</v>
      </c>
      <c r="L56" s="43">
        <v>1086964630.6099999</v>
      </c>
      <c r="M56" s="43">
        <f>IFERROR(INDEX(CashProjTable[CashForBahtNet],MATCH($A$3&amp;M$5,CashProjTable[RefRng],0)),0)</f>
        <v>785108458.52999997</v>
      </c>
      <c r="N56" s="43">
        <f>IFERROR(INDEX(CashProjTable[CashForBahtNet],MATCH($A$3&amp;N$5,CashProjTable[RefRng],0)),0)</f>
        <v>798849544.38999999</v>
      </c>
      <c r="O56" s="43">
        <f>IFERROR(INDEX(CashProjTable[CashForBahtNet],MATCH($A$3&amp;O$5,CashProjTable[RefRng],0)),0)</f>
        <v>1198849544.3900001</v>
      </c>
      <c r="P56" s="43">
        <f>IFERROR(INDEX(CashProjTable[CashForBahtNet],MATCH($A$3&amp;P$5,CashProjTable[RefRng],0)),0)</f>
        <v>1298849544.3900001</v>
      </c>
    </row>
    <row r="58" spans="1:33" x14ac:dyDescent="0.2">
      <c r="A58" s="11" t="s">
        <v>329</v>
      </c>
      <c r="B58" s="58"/>
    </row>
    <row r="59" spans="1:33" x14ac:dyDescent="0.2">
      <c r="A59" s="11" t="s">
        <v>333</v>
      </c>
    </row>
    <row r="60" spans="1:33" x14ac:dyDescent="0.2">
      <c r="A60" s="11" t="s">
        <v>330</v>
      </c>
    </row>
    <row r="61" spans="1:33" x14ac:dyDescent="0.2">
      <c r="A61" s="11" t="s">
        <v>331</v>
      </c>
    </row>
    <row r="62" spans="1:33" x14ac:dyDescent="0.2">
      <c r="A62" s="11" t="s">
        <v>332</v>
      </c>
    </row>
  </sheetData>
  <conditionalFormatting sqref="A5:C5 Q5:XFD5 E5">
    <cfRule type="cellIs" dxfId="573" priority="123" operator="equal">
      <formula>TODAY()</formula>
    </cfRule>
  </conditionalFormatting>
  <conditionalFormatting sqref="B9:E9">
    <cfRule type="cellIs" dxfId="572" priority="122" operator="greaterThan">
      <formula>"&lt;0"</formula>
    </cfRule>
  </conditionalFormatting>
  <conditionalFormatting sqref="B10:E10">
    <cfRule type="cellIs" dxfId="571" priority="121" operator="greaterThan">
      <formula>"&lt;0"</formula>
    </cfRule>
  </conditionalFormatting>
  <conditionalFormatting sqref="B18:E18">
    <cfRule type="cellIs" dxfId="570" priority="120" operator="greaterThan">
      <formula>"&lt;0"</formula>
    </cfRule>
  </conditionalFormatting>
  <conditionalFormatting sqref="B7">
    <cfRule type="cellIs" dxfId="569" priority="116" operator="greaterThan">
      <formula>"&lt;0"</formula>
    </cfRule>
  </conditionalFormatting>
  <conditionalFormatting sqref="D5">
    <cfRule type="cellIs" dxfId="568" priority="107" operator="equal">
      <formula>TODAY()</formula>
    </cfRule>
  </conditionalFormatting>
  <conditionalFormatting sqref="B14:E14 B16:E16">
    <cfRule type="cellIs" dxfId="567" priority="102" operator="greaterThan">
      <formula>"&lt;0"</formula>
    </cfRule>
  </conditionalFormatting>
  <conditionalFormatting sqref="B11:E11 B13:E13 B15:E15">
    <cfRule type="cellIs" dxfId="566" priority="103" operator="greaterThan">
      <formula>"&lt;0"</formula>
    </cfRule>
  </conditionalFormatting>
  <conditionalFormatting sqref="B12:E12">
    <cfRule type="cellIs" dxfId="565" priority="91" operator="greaterThan">
      <formula>"&lt;0"</formula>
    </cfRule>
  </conditionalFormatting>
  <conditionalFormatting sqref="B17:E17">
    <cfRule type="cellIs" dxfId="564" priority="95" operator="greaterThan">
      <formula>"&lt;0"</formula>
    </cfRule>
  </conditionalFormatting>
  <conditionalFormatting sqref="F5:G5">
    <cfRule type="cellIs" dxfId="563" priority="82" operator="equal">
      <formula>TODAY()</formula>
    </cfRule>
  </conditionalFormatting>
  <conditionalFormatting sqref="F9:G9">
    <cfRule type="cellIs" dxfId="562" priority="81" operator="greaterThan">
      <formula>"&lt;0"</formula>
    </cfRule>
  </conditionalFormatting>
  <conditionalFormatting sqref="F10:G10">
    <cfRule type="cellIs" dxfId="561" priority="80" operator="greaterThan">
      <formula>"&lt;0"</formula>
    </cfRule>
  </conditionalFormatting>
  <conditionalFormatting sqref="F18:G18">
    <cfRule type="cellIs" dxfId="560" priority="79" operator="greaterThan">
      <formula>"&lt;0"</formula>
    </cfRule>
  </conditionalFormatting>
  <conditionalFormatting sqref="F11:G11 F13:G13 F15:G15">
    <cfRule type="cellIs" dxfId="559" priority="78" operator="greaterThan">
      <formula>"&lt;0"</formula>
    </cfRule>
  </conditionalFormatting>
  <conditionalFormatting sqref="F14:G14 F16:G16">
    <cfRule type="cellIs" dxfId="558" priority="77" operator="greaterThan">
      <formula>"&lt;0"</formula>
    </cfRule>
  </conditionalFormatting>
  <conditionalFormatting sqref="F17:G17">
    <cfRule type="cellIs" dxfId="557" priority="76" operator="greaterThan">
      <formula>"&lt;0"</formula>
    </cfRule>
  </conditionalFormatting>
  <conditionalFormatting sqref="F12:G12">
    <cfRule type="cellIs" dxfId="556" priority="75" operator="greaterThan">
      <formula>"&lt;0"</formula>
    </cfRule>
  </conditionalFormatting>
  <conditionalFormatting sqref="H5">
    <cfRule type="cellIs" dxfId="555" priority="66" operator="equal">
      <formula>TODAY()</formula>
    </cfRule>
  </conditionalFormatting>
  <conditionalFormatting sqref="H18">
    <cfRule type="cellIs" dxfId="554" priority="63" operator="greaterThan">
      <formula>"&lt;0"</formula>
    </cfRule>
  </conditionalFormatting>
  <conditionalFormatting sqref="H13 H15">
    <cfRule type="cellIs" dxfId="553" priority="62" operator="greaterThan">
      <formula>"&lt;0"</formula>
    </cfRule>
  </conditionalFormatting>
  <conditionalFormatting sqref="H14 H16">
    <cfRule type="cellIs" dxfId="552" priority="61" operator="greaterThan">
      <formula>"&lt;0"</formula>
    </cfRule>
  </conditionalFormatting>
  <conditionalFormatting sqref="H17">
    <cfRule type="cellIs" dxfId="551" priority="60" operator="greaterThan">
      <formula>"&lt;0"</formula>
    </cfRule>
  </conditionalFormatting>
  <conditionalFormatting sqref="H12">
    <cfRule type="cellIs" dxfId="550" priority="59" operator="greaterThan">
      <formula>"&lt;0"</formula>
    </cfRule>
  </conditionalFormatting>
  <conditionalFormatting sqref="I5">
    <cfRule type="cellIs" dxfId="549" priority="57" operator="equal">
      <formula>TODAY()</formula>
    </cfRule>
  </conditionalFormatting>
  <conditionalFormatting sqref="I18">
    <cfRule type="cellIs" dxfId="548" priority="54" operator="greaterThan">
      <formula>"&lt;0"</formula>
    </cfRule>
  </conditionalFormatting>
  <conditionalFormatting sqref="I15">
    <cfRule type="cellIs" dxfId="547" priority="53" operator="greaterThan">
      <formula>"&lt;0"</formula>
    </cfRule>
  </conditionalFormatting>
  <conditionalFormatting sqref="I16">
    <cfRule type="cellIs" dxfId="546" priority="52" operator="greaterThan">
      <formula>"&lt;0"</formula>
    </cfRule>
  </conditionalFormatting>
  <conditionalFormatting sqref="I17">
    <cfRule type="cellIs" dxfId="545" priority="51" operator="greaterThan">
      <formula>"&lt;0"</formula>
    </cfRule>
  </conditionalFormatting>
  <conditionalFormatting sqref="J10">
    <cfRule type="cellIs" dxfId="544" priority="47" operator="greaterThan">
      <formula>"&lt;0"</formula>
    </cfRule>
  </conditionalFormatting>
  <conditionalFormatting sqref="J5">
    <cfRule type="cellIs" dxfId="543" priority="49" operator="equal">
      <formula>TODAY()</formula>
    </cfRule>
  </conditionalFormatting>
  <conditionalFormatting sqref="J9">
    <cfRule type="cellIs" dxfId="542" priority="48" operator="greaterThan">
      <formula>"&lt;0"</formula>
    </cfRule>
  </conditionalFormatting>
  <conditionalFormatting sqref="J18">
    <cfRule type="cellIs" dxfId="541" priority="46" operator="greaterThan">
      <formula>"&lt;0"</formula>
    </cfRule>
  </conditionalFormatting>
  <conditionalFormatting sqref="J11 J13 J15">
    <cfRule type="cellIs" dxfId="540" priority="45" operator="greaterThan">
      <formula>"&lt;0"</formula>
    </cfRule>
  </conditionalFormatting>
  <conditionalFormatting sqref="J14 J16">
    <cfRule type="cellIs" dxfId="539" priority="44" operator="greaterThan">
      <formula>"&lt;0"</formula>
    </cfRule>
  </conditionalFormatting>
  <conditionalFormatting sqref="J17">
    <cfRule type="cellIs" dxfId="538" priority="43" operator="greaterThan">
      <formula>"&lt;0"</formula>
    </cfRule>
  </conditionalFormatting>
  <conditionalFormatting sqref="J12">
    <cfRule type="cellIs" dxfId="537" priority="42" operator="greaterThan">
      <formula>"&lt;0"</formula>
    </cfRule>
  </conditionalFormatting>
  <conditionalFormatting sqref="K5">
    <cfRule type="cellIs" dxfId="536" priority="41" operator="equal">
      <formula>TODAY()</formula>
    </cfRule>
  </conditionalFormatting>
  <conditionalFormatting sqref="K9">
    <cfRule type="cellIs" dxfId="535" priority="40" operator="greaterThan">
      <formula>"&lt;0"</formula>
    </cfRule>
  </conditionalFormatting>
  <conditionalFormatting sqref="K10">
    <cfRule type="cellIs" dxfId="534" priority="39" operator="greaterThan">
      <formula>"&lt;0"</formula>
    </cfRule>
  </conditionalFormatting>
  <conditionalFormatting sqref="K18">
    <cfRule type="cellIs" dxfId="533" priority="38" operator="greaterThan">
      <formula>"&lt;0"</formula>
    </cfRule>
  </conditionalFormatting>
  <conditionalFormatting sqref="K11 K13 K15">
    <cfRule type="cellIs" dxfId="532" priority="37" operator="greaterThan">
      <formula>"&lt;0"</formula>
    </cfRule>
  </conditionalFormatting>
  <conditionalFormatting sqref="K14 K16">
    <cfRule type="cellIs" dxfId="531" priority="36" operator="greaterThan">
      <formula>"&lt;0"</formula>
    </cfRule>
  </conditionalFormatting>
  <conditionalFormatting sqref="K17">
    <cfRule type="cellIs" dxfId="530" priority="35" operator="greaterThan">
      <formula>"&lt;0"</formula>
    </cfRule>
  </conditionalFormatting>
  <conditionalFormatting sqref="K12">
    <cfRule type="cellIs" dxfId="529" priority="34" operator="greaterThan">
      <formula>"&lt;0"</formula>
    </cfRule>
  </conditionalFormatting>
  <conditionalFormatting sqref="H9">
    <cfRule type="cellIs" dxfId="528" priority="33" operator="greaterThan">
      <formula>"&lt;0"</formula>
    </cfRule>
  </conditionalFormatting>
  <conditionalFormatting sqref="H10">
    <cfRule type="cellIs" dxfId="527" priority="32" operator="greaterThan">
      <formula>"&lt;0"</formula>
    </cfRule>
  </conditionalFormatting>
  <conditionalFormatting sqref="H11">
    <cfRule type="cellIs" dxfId="526" priority="31" operator="greaterThan">
      <formula>"&lt;0"</formula>
    </cfRule>
  </conditionalFormatting>
  <conditionalFormatting sqref="I9">
    <cfRule type="cellIs" dxfId="525" priority="30" operator="greaterThan">
      <formula>"&lt;0"</formula>
    </cfRule>
  </conditionalFormatting>
  <conditionalFormatting sqref="I10">
    <cfRule type="cellIs" dxfId="524" priority="29" operator="greaterThan">
      <formula>"&lt;0"</formula>
    </cfRule>
  </conditionalFormatting>
  <conditionalFormatting sqref="I11">
    <cfRule type="cellIs" dxfId="523" priority="28" operator="greaterThan">
      <formula>"&lt;0"</formula>
    </cfRule>
  </conditionalFormatting>
  <conditionalFormatting sqref="I14">
    <cfRule type="cellIs" dxfId="522" priority="26" operator="greaterThan">
      <formula>"&lt;0"</formula>
    </cfRule>
  </conditionalFormatting>
  <conditionalFormatting sqref="I13">
    <cfRule type="cellIs" dxfId="521" priority="27" operator="greaterThan">
      <formula>"&lt;0"</formula>
    </cfRule>
  </conditionalFormatting>
  <conditionalFormatting sqref="I12">
    <cfRule type="cellIs" dxfId="520" priority="25" operator="greaterThan">
      <formula>"&lt;0"</formula>
    </cfRule>
  </conditionalFormatting>
  <conditionalFormatting sqref="L5">
    <cfRule type="cellIs" dxfId="519" priority="24" operator="equal">
      <formula>TODAY()</formula>
    </cfRule>
  </conditionalFormatting>
  <conditionalFormatting sqref="L9">
    <cfRule type="cellIs" dxfId="518" priority="23" operator="greaterThan">
      <formula>"&lt;0"</formula>
    </cfRule>
  </conditionalFormatting>
  <conditionalFormatting sqref="L10">
    <cfRule type="cellIs" dxfId="517" priority="22" operator="greaterThan">
      <formula>"&lt;0"</formula>
    </cfRule>
  </conditionalFormatting>
  <conditionalFormatting sqref="L18">
    <cfRule type="cellIs" dxfId="516" priority="21" operator="greaterThan">
      <formula>"&lt;0"</formula>
    </cfRule>
  </conditionalFormatting>
  <conditionalFormatting sqref="L11 L13 L15">
    <cfRule type="cellIs" dxfId="515" priority="20" operator="greaterThan">
      <formula>"&lt;0"</formula>
    </cfRule>
  </conditionalFormatting>
  <conditionalFormatting sqref="L14 L16">
    <cfRule type="cellIs" dxfId="514" priority="19" operator="greaterThan">
      <formula>"&lt;0"</formula>
    </cfRule>
  </conditionalFormatting>
  <conditionalFormatting sqref="L17">
    <cfRule type="cellIs" dxfId="513" priority="18" operator="greaterThan">
      <formula>"&lt;0"</formula>
    </cfRule>
  </conditionalFormatting>
  <conditionalFormatting sqref="L12">
    <cfRule type="cellIs" dxfId="512" priority="17" operator="greaterThan">
      <formula>"&lt;0"</formula>
    </cfRule>
  </conditionalFormatting>
  <conditionalFormatting sqref="M5">
    <cfRule type="cellIs" dxfId="511" priority="16" operator="equal">
      <formula>TODAY()</formula>
    </cfRule>
  </conditionalFormatting>
  <conditionalFormatting sqref="M9">
    <cfRule type="cellIs" dxfId="510" priority="15" operator="greaterThan">
      <formula>"&lt;0"</formula>
    </cfRule>
  </conditionalFormatting>
  <conditionalFormatting sqref="M10">
    <cfRule type="cellIs" dxfId="509" priority="14" operator="greaterThan">
      <formula>"&lt;0"</formula>
    </cfRule>
  </conditionalFormatting>
  <conditionalFormatting sqref="M18">
    <cfRule type="cellIs" dxfId="508" priority="13" operator="greaterThan">
      <formula>"&lt;0"</formula>
    </cfRule>
  </conditionalFormatting>
  <conditionalFormatting sqref="M11 M13 M15">
    <cfRule type="cellIs" dxfId="507" priority="12" operator="greaterThan">
      <formula>"&lt;0"</formula>
    </cfRule>
  </conditionalFormatting>
  <conditionalFormatting sqref="M14 M16">
    <cfRule type="cellIs" dxfId="506" priority="11" operator="greaterThan">
      <formula>"&lt;0"</formula>
    </cfRule>
  </conditionalFormatting>
  <conditionalFormatting sqref="M17">
    <cfRule type="cellIs" dxfId="505" priority="10" operator="greaterThan">
      <formula>"&lt;0"</formula>
    </cfRule>
  </conditionalFormatting>
  <conditionalFormatting sqref="M12">
    <cfRule type="cellIs" dxfId="504" priority="9" operator="greaterThan">
      <formula>"&lt;0"</formula>
    </cfRule>
  </conditionalFormatting>
  <conditionalFormatting sqref="N5:P5">
    <cfRule type="cellIs" dxfId="503" priority="8" operator="equal">
      <formula>TODAY()</formula>
    </cfRule>
  </conditionalFormatting>
  <conditionalFormatting sqref="N9:P9">
    <cfRule type="cellIs" dxfId="502" priority="7" operator="greaterThan">
      <formula>"&lt;0"</formula>
    </cfRule>
  </conditionalFormatting>
  <conditionalFormatting sqref="N10:P10">
    <cfRule type="cellIs" dxfId="501" priority="6" operator="greaterThan">
      <formula>"&lt;0"</formula>
    </cfRule>
  </conditionalFormatting>
  <conditionalFormatting sqref="N18:P18">
    <cfRule type="cellIs" dxfId="500" priority="5" operator="greaterThan">
      <formula>"&lt;0"</formula>
    </cfRule>
  </conditionalFormatting>
  <conditionalFormatting sqref="N11:P11 N13:P13 N15:P15">
    <cfRule type="cellIs" dxfId="499" priority="4" operator="greaterThan">
      <formula>"&lt;0"</formula>
    </cfRule>
  </conditionalFormatting>
  <conditionalFormatting sqref="N14:P14 N16:P16">
    <cfRule type="cellIs" dxfId="498" priority="3" operator="greaterThan">
      <formula>"&lt;0"</formula>
    </cfRule>
  </conditionalFormatting>
  <conditionalFormatting sqref="N17:P17">
    <cfRule type="cellIs" dxfId="497" priority="2" operator="greaterThan">
      <formula>"&lt;0"</formula>
    </cfRule>
  </conditionalFormatting>
  <conditionalFormatting sqref="N12:P12">
    <cfRule type="cellIs" dxfId="496" priority="1" operator="greaterThan">
      <formula>"&lt;0"</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A0F6F6-9638-4B00-921D-1BF7B9831B0D}">
  <sheetPr codeName="Sheet7"/>
  <dimension ref="A1:AG55"/>
  <sheetViews>
    <sheetView zoomScale="90" zoomScaleNormal="90" workbookViewId="0">
      <pane xSplit="1" ySplit="6" topLeftCell="F7" activePane="bottomRight" state="frozen"/>
      <selection pane="topRight" activeCell="B1" sqref="B1"/>
      <selection pane="bottomLeft" activeCell="A7" sqref="A7"/>
      <selection pane="bottomRight" activeCell="M15" sqref="M15"/>
    </sheetView>
  </sheetViews>
  <sheetFormatPr defaultColWidth="9" defaultRowHeight="12.75" outlineLevelRow="1" x14ac:dyDescent="0.2"/>
  <cols>
    <col min="1" max="1" width="32" style="11" customWidth="1"/>
    <col min="2" max="16" width="18.75" style="11" customWidth="1"/>
    <col min="17" max="27" width="15.125" style="11" bestFit="1" customWidth="1"/>
    <col min="28" max="16384" width="9" style="11"/>
  </cols>
  <sheetData>
    <row r="1" spans="1:33" x14ac:dyDescent="0.2">
      <c r="A1" s="10" t="s">
        <v>340</v>
      </c>
    </row>
    <row r="2" spans="1:33" x14ac:dyDescent="0.2">
      <c r="A2" s="12">
        <f ca="1">[1]!SCBAM_PreviousBusinessDay(TODAY())</f>
        <v>43397</v>
      </c>
    </row>
    <row r="3" spans="1:33" x14ac:dyDescent="0.2">
      <c r="A3" s="13" t="s">
        <v>338</v>
      </c>
    </row>
    <row r="5" spans="1:33" s="18" customFormat="1" x14ac:dyDescent="0.2">
      <c r="A5" s="14" t="s">
        <v>341</v>
      </c>
      <c r="B5" s="15">
        <v>43382</v>
      </c>
      <c r="C5" s="15">
        <v>43383</v>
      </c>
      <c r="D5" s="15">
        <v>43384</v>
      </c>
      <c r="E5" s="15">
        <v>43385</v>
      </c>
      <c r="F5" s="15">
        <v>43389</v>
      </c>
      <c r="G5" s="15">
        <v>43390</v>
      </c>
      <c r="H5" s="15">
        <v>43391</v>
      </c>
      <c r="I5" s="15">
        <v>43392</v>
      </c>
      <c r="J5" s="15">
        <v>43395</v>
      </c>
      <c r="K5" s="15">
        <v>43397</v>
      </c>
      <c r="L5" s="15">
        <v>43398</v>
      </c>
      <c r="M5" s="15">
        <f>[1]!SCBAM_NextBusinessDay(L5)</f>
        <v>43399</v>
      </c>
      <c r="N5" s="15">
        <f>[1]!SCBAM_NextBusinessDay(M5)</f>
        <v>43402</v>
      </c>
      <c r="O5" s="15">
        <f>[1]!SCBAM_NextBusinessDay(N5)</f>
        <v>43403</v>
      </c>
      <c r="P5" s="15">
        <f>[1]!SCBAM_NextBusinessDay(O5)</f>
        <v>43404</v>
      </c>
      <c r="Q5" s="16"/>
      <c r="R5" s="16"/>
      <c r="S5" s="16"/>
      <c r="T5" s="16"/>
      <c r="U5" s="16"/>
      <c r="V5" s="16"/>
      <c r="W5" s="16"/>
      <c r="X5" s="16"/>
      <c r="Y5" s="16"/>
      <c r="Z5" s="16"/>
      <c r="AA5" s="16"/>
      <c r="AB5" s="17"/>
      <c r="AC5" s="17"/>
      <c r="AD5" s="17"/>
      <c r="AE5" s="17"/>
      <c r="AF5" s="17"/>
      <c r="AG5" s="17"/>
    </row>
    <row r="6" spans="1:33" s="21" customFormat="1" x14ac:dyDescent="0.2">
      <c r="A6" s="19" t="s">
        <v>342</v>
      </c>
      <c r="B6" s="20">
        <v>3104031.18</v>
      </c>
      <c r="C6" s="20">
        <v>2267192.94</v>
      </c>
      <c r="D6" s="20">
        <v>2877942.19</v>
      </c>
      <c r="E6" s="20">
        <v>4235093.62</v>
      </c>
      <c r="F6" s="20">
        <v>4118621.36</v>
      </c>
      <c r="G6" s="20">
        <v>5435627.6500000004</v>
      </c>
      <c r="H6" s="20">
        <v>3196293.47</v>
      </c>
      <c r="I6" s="20">
        <v>7241768.2800000003</v>
      </c>
      <c r="J6" s="20">
        <v>4818793.25</v>
      </c>
      <c r="K6" s="20">
        <v>1977180.68</v>
      </c>
      <c r="L6" s="20">
        <f ca="1">IF(AND(ISNUMBER(K41),ISNUMBER(K42)),IF(L5&lt;=TODAY(),K42,K41),INDEX(CashProjTable[CashBal],MATCH($A$3&amp;[1]!SCBAM_PreviousBusinessDay(L$5),CashProjTable[RefRng],0)))</f>
        <v>3097722.44</v>
      </c>
      <c r="M6" s="20">
        <f ca="1">IF(AND(ISNUMBER(L41),ISNUMBER(L42)),IF(M5&lt;=TODAY(),L42,L41),INDEX(CashProjTable[CashBal],MATCH($A$3&amp;[1]!SCBAM_PreviousBusinessDay(M$5),CashProjTable[RefRng],0)))</f>
        <v>2349516.4699999988</v>
      </c>
      <c r="N6" s="20">
        <f ca="1">IF(AND(ISNUMBER(M41),ISNUMBER(M42)),IF(N5&lt;=TODAY(),M42,M41),INDEX(CashProjTable[CashBal],MATCH($A$3&amp;[1]!SCBAM_PreviousBusinessDay(N$5),CashProjTable[RefRng],0)))</f>
        <v>5109316.9099999964</v>
      </c>
      <c r="O6" s="20">
        <f ca="1">IF(AND(ISNUMBER(N41),ISNUMBER(N42)),IF(O5&lt;=TODAY(),N42,N41),INDEX(CashProjTable[CashBal],MATCH($A$3&amp;[1]!SCBAM_PreviousBusinessDay(O$5),CashProjTable[RefRng],0)))</f>
        <v>142420918.50999999</v>
      </c>
      <c r="P6" s="20">
        <f ca="1">IF(AND(ISNUMBER(O41),ISNUMBER(O42)),IF(P5&lt;=TODAY(),O42,O41),INDEX(CashProjTable[CashBal],MATCH($A$3&amp;[1]!SCBAM_PreviousBusinessDay(P$5),CashProjTable[RefRng],0)))</f>
        <v>142767287.13999999</v>
      </c>
    </row>
    <row r="7" spans="1:33" s="22" customFormat="1" x14ac:dyDescent="0.2">
      <c r="B7" s="23"/>
    </row>
    <row r="8" spans="1:33" s="25" customFormat="1" x14ac:dyDescent="0.2">
      <c r="A8" s="24" t="s">
        <v>343</v>
      </c>
    </row>
    <row r="9" spans="1:33" s="27" customFormat="1" x14ac:dyDescent="0.2">
      <c r="A9" s="26" t="s">
        <v>344</v>
      </c>
      <c r="B9" s="23">
        <v>10310271.09</v>
      </c>
      <c r="C9" s="23">
        <v>10310271.09</v>
      </c>
      <c r="D9" s="23">
        <v>5310271.09</v>
      </c>
      <c r="E9" s="23">
        <v>25310271.09</v>
      </c>
      <c r="F9" s="23">
        <v>310271.08999999985</v>
      </c>
      <c r="G9" s="23">
        <v>5310271.09</v>
      </c>
      <c r="H9" s="23">
        <v>15310271.09</v>
      </c>
      <c r="I9" s="23">
        <v>153310271.09</v>
      </c>
      <c r="J9" s="23">
        <v>3310271.0900000036</v>
      </c>
      <c r="K9" s="23">
        <v>310271.09000000358</v>
      </c>
      <c r="L9" s="23">
        <v>310271.09000000358</v>
      </c>
      <c r="M9" s="23">
        <f>IF(ISNUMBER(L$5),L$11,[1]!SCBAM_GetSecDtl($A$3,"INVSUOBTrm1",M$5-1,"MarketVal"))</f>
        <v>310271.09000000358</v>
      </c>
      <c r="N9" s="23">
        <f>IF(ISNUMBER(M$5),M$11,[1]!SCBAM_GetSecDtl($A$3,"INVSUOBTrm1",N$5-1,"MarketVal"))</f>
        <v>22310271.090000004</v>
      </c>
      <c r="O9" s="23">
        <f>IF(ISNUMBER(N$5),N$11,[1]!SCBAM_GetSecDtl($A$3,"INVSUOBTrm1",O$5-1,"MarketVal"))</f>
        <v>22310271.090000004</v>
      </c>
      <c r="P9" s="23">
        <f>IF(ISNUMBER(O$5),O$11,[1]!SCBAM_GetSecDtl($A$3,"INVSUOBTrm1",P$5-1,"MarketVal"))</f>
        <v>22310271.090000004</v>
      </c>
    </row>
    <row r="10" spans="1:33" s="61" customFormat="1" ht="14.25" x14ac:dyDescent="0.2">
      <c r="A10" s="59" t="s">
        <v>345</v>
      </c>
      <c r="B10" s="60">
        <v>0</v>
      </c>
      <c r="C10" s="60">
        <v>-5000000</v>
      </c>
      <c r="D10" s="60">
        <v>20000000</v>
      </c>
      <c r="E10" s="60">
        <v>-25000000</v>
      </c>
      <c r="F10" s="60">
        <v>5000000</v>
      </c>
      <c r="G10" s="60">
        <v>10000000</v>
      </c>
      <c r="H10" s="60">
        <v>138000000</v>
      </c>
      <c r="I10" s="60">
        <v>-150000000</v>
      </c>
      <c r="J10" s="60">
        <v>-3000000</v>
      </c>
      <c r="K10" s="60"/>
      <c r="L10" s="60"/>
      <c r="M10" s="60">
        <f>22*10^6</f>
        <v>22000000</v>
      </c>
      <c r="N10" s="60"/>
      <c r="O10" s="60"/>
      <c r="P10" s="60"/>
    </row>
    <row r="11" spans="1:33" s="30" customFormat="1" ht="13.5" thickBot="1" x14ac:dyDescent="0.25">
      <c r="A11" s="28" t="s">
        <v>346</v>
      </c>
      <c r="B11" s="29">
        <v>10310271.09</v>
      </c>
      <c r="C11" s="29">
        <v>5310271.09</v>
      </c>
      <c r="D11" s="29">
        <v>25310271.09</v>
      </c>
      <c r="E11" s="29">
        <v>310271.08999999985</v>
      </c>
      <c r="F11" s="29">
        <v>5310271.09</v>
      </c>
      <c r="G11" s="29">
        <v>15310271.09</v>
      </c>
      <c r="H11" s="29">
        <v>153310271.09</v>
      </c>
      <c r="I11" s="29">
        <v>3310271.0900000036</v>
      </c>
      <c r="J11" s="29">
        <v>310271.09000000358</v>
      </c>
      <c r="K11" s="29">
        <v>310271.09000000358</v>
      </c>
      <c r="L11" s="29">
        <v>310271.09000000358</v>
      </c>
      <c r="M11" s="29">
        <f t="shared" ref="M11:O11" si="0">SUM(M9:M10)</f>
        <v>22310271.090000004</v>
      </c>
      <c r="N11" s="29">
        <f t="shared" ref="N11:P11" si="1">SUM(N9:N10)</f>
        <v>22310271.090000004</v>
      </c>
      <c r="O11" s="29">
        <f t="shared" si="1"/>
        <v>22310271.090000004</v>
      </c>
      <c r="P11" s="29">
        <f t="shared" si="1"/>
        <v>22310271.090000004</v>
      </c>
    </row>
    <row r="12" spans="1:33" s="22" customFormat="1" ht="13.15" hidden="1" customHeight="1" outlineLevel="1" x14ac:dyDescent="0.2"/>
    <row r="13" spans="1:33" s="31" customFormat="1" hidden="1" outlineLevel="1" x14ac:dyDescent="0.2">
      <c r="A13" s="31" t="s">
        <v>348</v>
      </c>
    </row>
    <row r="14" spans="1:33" collapsed="1" x14ac:dyDescent="0.2"/>
    <row r="15" spans="1:33" s="25" customFormat="1" x14ac:dyDescent="0.2">
      <c r="A15" s="24" t="s">
        <v>347</v>
      </c>
    </row>
    <row r="16" spans="1:33" s="22" customFormat="1" x14ac:dyDescent="0.2">
      <c r="A16" s="32" t="s">
        <v>349</v>
      </c>
      <c r="B16" s="33">
        <v>2344200</v>
      </c>
      <c r="C16" s="33">
        <v>2117000</v>
      </c>
      <c r="D16" s="62">
        <v>1235200</v>
      </c>
      <c r="E16" s="62">
        <v>4682500</v>
      </c>
      <c r="F16" s="62">
        <v>1985200</v>
      </c>
      <c r="G16" s="62">
        <v>2084200</v>
      </c>
      <c r="H16" s="62">
        <v>1514200</v>
      </c>
      <c r="I16" s="62">
        <v>1343400</v>
      </c>
      <c r="J16" s="62">
        <v>1644700</v>
      </c>
      <c r="K16" s="62">
        <v>1768700</v>
      </c>
      <c r="L16" s="62">
        <v>2689200</v>
      </c>
      <c r="M16" s="63">
        <f>IFERROR(INDEX(CashIntraTable[Amount],MATCH($A$3&amp;M$5&amp;$A51,CashIntraTable[RefRng],0)),0)</f>
        <v>2353700</v>
      </c>
      <c r="N16" s="62">
        <f>IFERROR(INDEX(CashIntraTable[Amount],MATCH($A$3&amp;N$5&amp;$A51,CashIntraTable[RefRng],0)),0)</f>
        <v>0</v>
      </c>
      <c r="O16" s="62">
        <f>IFERROR(INDEX(CashIntraTable[Amount],MATCH($A$3&amp;O$5&amp;$A51,CashIntraTable[RefRng],0)),0)</f>
        <v>0</v>
      </c>
      <c r="P16" s="62">
        <f>IFERROR(INDEX(CashIntraTable[Amount],MATCH($A$3&amp;P$5&amp;$A51,CashIntraTable[RefRng],0)),0)</f>
        <v>0</v>
      </c>
    </row>
    <row r="17" spans="1:16" s="22" customFormat="1" x14ac:dyDescent="0.2">
      <c r="A17" s="32" t="s">
        <v>351</v>
      </c>
      <c r="B17" s="33">
        <v>3660000</v>
      </c>
      <c r="C17" s="33">
        <v>2615500</v>
      </c>
      <c r="D17" s="62">
        <v>2048000</v>
      </c>
      <c r="E17" s="62">
        <v>10241230</v>
      </c>
      <c r="F17" s="62">
        <v>3422000</v>
      </c>
      <c r="G17" s="62">
        <v>1745530</v>
      </c>
      <c r="H17" s="62">
        <v>2371000</v>
      </c>
      <c r="I17" s="62">
        <v>3754450</v>
      </c>
      <c r="J17" s="62">
        <v>4138234</v>
      </c>
      <c r="K17" s="62">
        <v>2919000</v>
      </c>
      <c r="L17" s="62">
        <v>5596750</v>
      </c>
      <c r="M17" s="63">
        <f>IFERROR(INDEX(CashIntraTable[Amount],MATCH($A$3&amp;M$5&amp;$A52,CashIntraTable[RefRng],0)),0)</f>
        <v>6896705</v>
      </c>
      <c r="N17" s="62">
        <f>IFERROR(INDEX(CashIntraTable[Amount],MATCH($A$3&amp;N$5&amp;$A52,CashIntraTable[RefRng],0)),0)</f>
        <v>0</v>
      </c>
      <c r="O17" s="62">
        <f>IFERROR(INDEX(CashIntraTable[Amount],MATCH($A$3&amp;O$5&amp;$A52,CashIntraTable[RefRng],0)),0)</f>
        <v>0</v>
      </c>
      <c r="P17" s="62">
        <f>IFERROR(INDEX(CashIntraTable[Amount],MATCH($A$3&amp;P$5&amp;$A52,CashIntraTable[RefRng],0)),0)</f>
        <v>0</v>
      </c>
    </row>
    <row r="18" spans="1:16" s="22" customFormat="1" x14ac:dyDescent="0.2">
      <c r="A18" s="32" t="s">
        <v>350</v>
      </c>
      <c r="B18" s="33">
        <v>3572816.12</v>
      </c>
      <c r="C18" s="33">
        <v>13926669.27</v>
      </c>
      <c r="D18" s="62">
        <v>1639593.54</v>
      </c>
      <c r="E18" s="62">
        <v>11396802.58</v>
      </c>
      <c r="F18" s="62">
        <v>24723212.16</v>
      </c>
      <c r="G18" s="62">
        <v>6187614.1399999997</v>
      </c>
      <c r="H18" s="62">
        <v>9794537.0399999991</v>
      </c>
      <c r="I18" s="62">
        <v>12888919.550000001</v>
      </c>
      <c r="J18" s="62">
        <v>4500392.3899999997</v>
      </c>
      <c r="K18" s="62">
        <v>7694280.5899999999</v>
      </c>
      <c r="L18" s="62">
        <v>2010938.85</v>
      </c>
      <c r="M18" s="63">
        <f>IFERROR(INDEX(CashIntraTable[Amount],MATCH($A$3&amp;M$5&amp;$A53,CashIntraTable[RefRng],0)),0)</f>
        <v>14297140.220000001</v>
      </c>
      <c r="N18" s="62">
        <f>IFERROR(INDEX(CashIntraTable[Amount],MATCH($A$3&amp;N$5&amp;$A53,CashIntraTable[RefRng],0)),0)</f>
        <v>15277948.449999999</v>
      </c>
      <c r="O18" s="62">
        <f>IFERROR(INDEX(CashIntraTable[Amount],MATCH($A$3&amp;O$5&amp;$A53,CashIntraTable[RefRng],0)),0)</f>
        <v>346368.63</v>
      </c>
      <c r="P18" s="62">
        <f>IFERROR(INDEX(CashIntraTable[Amount],MATCH($A$3&amp;P$5&amp;$A53,CashIntraTable[RefRng],0)),0)</f>
        <v>0</v>
      </c>
    </row>
    <row r="19" spans="1:16" s="22" customFormat="1" x14ac:dyDescent="0.2">
      <c r="A19" s="32" t="s">
        <v>352</v>
      </c>
      <c r="B19" s="33">
        <v>0</v>
      </c>
      <c r="C19" s="33">
        <v>0</v>
      </c>
      <c r="D19" s="62">
        <v>0</v>
      </c>
      <c r="E19" s="62">
        <v>0</v>
      </c>
      <c r="F19" s="62">
        <v>0</v>
      </c>
      <c r="G19" s="62">
        <v>0</v>
      </c>
      <c r="H19" s="62">
        <v>0</v>
      </c>
      <c r="I19" s="62">
        <v>0</v>
      </c>
      <c r="J19" s="62">
        <v>0</v>
      </c>
      <c r="K19" s="62">
        <v>0</v>
      </c>
      <c r="L19" s="62">
        <v>0</v>
      </c>
      <c r="M19" s="63">
        <v>0</v>
      </c>
      <c r="N19" s="62">
        <v>0</v>
      </c>
      <c r="O19" s="62">
        <v>0</v>
      </c>
      <c r="P19" s="62">
        <v>0</v>
      </c>
    </row>
    <row r="20" spans="1:16" s="22" customFormat="1" x14ac:dyDescent="0.2">
      <c r="A20" s="26" t="s">
        <v>353</v>
      </c>
      <c r="B20" s="33">
        <v>335976105.19999999</v>
      </c>
      <c r="C20" s="33">
        <v>0</v>
      </c>
      <c r="D20" s="33">
        <v>234000000</v>
      </c>
      <c r="E20" s="33">
        <v>9998060.6999999993</v>
      </c>
      <c r="F20" s="33">
        <v>0</v>
      </c>
      <c r="G20" s="33">
        <v>95017000</v>
      </c>
      <c r="H20" s="33">
        <v>269999999.99000001</v>
      </c>
      <c r="I20" s="33">
        <v>19998438.600000001</v>
      </c>
      <c r="J20" s="33">
        <v>4993605.45</v>
      </c>
      <c r="K20" s="33">
        <v>310000000</v>
      </c>
      <c r="L20" s="33">
        <v>212987922.59999999</v>
      </c>
      <c r="M20" s="33">
        <f>IFERROR(INDEX(CashProjTable[DebtSell_BahtNet],MATCH($A$3&amp;M$5,CashProjTable[RefRng],0))+SUMIFS(IntraTrans[Net Settlement],IntraTrans[Portfolio],$A$3,IntraTrans[B/S],"S",IntraTrans[Settle Date],M$5,IntraTrans[Payment],"BAHTNET"),0)</f>
        <v>49951964</v>
      </c>
      <c r="N20" s="33">
        <f>IFERROR(INDEX(CashProjTable[DebtSell_BahtNet],MATCH($A$3&amp;N$5,CashProjTable[RefRng],0))+SUMIFS(IntraTrans[Net Settlement],IntraTrans[Portfolio],$A$3,IntraTrans[B/S],"S",IntraTrans[Settle Date],N$5,IntraTrans[Payment],"BAHTNET"),0)</f>
        <v>102000000</v>
      </c>
      <c r="O20" s="33">
        <f>IFERROR(INDEX(CashProjTable[DebtSell_BahtNet],MATCH($A$3&amp;O$5,CashProjTable[RefRng],0))+SUMIFS(IntraTrans[Net Settlement],IntraTrans[Portfolio],$A$3,IntraTrans[B/S],"S",IntraTrans[Settle Date],O$5,IntraTrans[Payment],"BAHTNET"),0)</f>
        <v>0</v>
      </c>
      <c r="P20" s="33">
        <f>IFERROR(INDEX(CashProjTable[DebtSell_BahtNet],MATCH($A$3&amp;P$5,CashProjTable[RefRng],0))+SUMIFS(IntraTrans[Net Settlement],IntraTrans[Portfolio],$A$3,IntraTrans[B/S],"S",IntraTrans[Settle Date],P$5,IntraTrans[Payment],"BAHTNET"),0)</f>
        <v>0</v>
      </c>
    </row>
    <row r="21" spans="1:16" s="22" customFormat="1" x14ac:dyDescent="0.2">
      <c r="A21" s="26" t="s">
        <v>354</v>
      </c>
      <c r="B21" s="33">
        <v>0</v>
      </c>
      <c r="C21" s="33">
        <v>0</v>
      </c>
      <c r="D21" s="33">
        <v>0</v>
      </c>
      <c r="E21" s="33">
        <v>0</v>
      </c>
      <c r="F21" s="33">
        <v>0</v>
      </c>
      <c r="G21" s="33">
        <v>0</v>
      </c>
      <c r="H21" s="33">
        <v>0</v>
      </c>
      <c r="I21" s="33">
        <v>0</v>
      </c>
      <c r="J21" s="33">
        <v>0</v>
      </c>
      <c r="K21" s="33">
        <v>0</v>
      </c>
      <c r="L21" s="33">
        <v>0</v>
      </c>
      <c r="M21" s="33">
        <f>IFERROR((INDEX(CashProjTable[DebtSell],MATCH($A$3&amp;M$5,CashProjTable[RefRng],0))-INDEX(CashProjTable[DebtSell_BahtNet],MATCH($A$3&amp;M$5,CashProjTable[RefRng],0)))+SUMIFS(IntraTrans[Net Settlement],IntraTrans[Portfolio],$A$3,IntraTrans[B/S],"S",IntraTrans[Settle Date],M$5,IntraTrans[Payment],"CHEQUE"),0)</f>
        <v>0</v>
      </c>
      <c r="N21" s="33">
        <f>IFERROR((INDEX(CashProjTable[DebtSell],MATCH($A$3&amp;N$5,CashProjTable[RefRng],0))-INDEX(CashProjTable[DebtSell_BahtNet],MATCH($A$3&amp;N$5,CashProjTable[RefRng],0)))+SUMIFS(IntraTrans[Net Settlement],IntraTrans[Portfolio],$A$3,IntraTrans[B/S],"S",IntraTrans[Settle Date],N$5,IntraTrans[Payment],"CHEQUE"),0)</f>
        <v>15000000</v>
      </c>
      <c r="O21" s="33">
        <f>IFERROR((INDEX(CashProjTable[DebtSell],MATCH($A$3&amp;O$5,CashProjTable[RefRng],0))-INDEX(CashProjTable[DebtSell_BahtNet],MATCH($A$3&amp;O$5,CashProjTable[RefRng],0)))+SUMIFS(IntraTrans[Net Settlement],IntraTrans[Portfolio],$A$3,IntraTrans[B/S],"S",IntraTrans[Settle Date],O$5,IntraTrans[Payment],"CHEQUE"),0)</f>
        <v>0</v>
      </c>
      <c r="P21" s="33">
        <f>IFERROR((INDEX(CashProjTable[DebtSell],MATCH($A$3&amp;P$5,CashProjTable[RefRng],0))-INDEX(CashProjTable[DebtSell_BahtNet],MATCH($A$3&amp;P$5,CashProjTable[RefRng],0)))+SUMIFS(IntraTrans[Net Settlement],IntraTrans[Portfolio],$A$3,IntraTrans[B/S],"S",IntraTrans[Settle Date],P$5,IntraTrans[Payment],"CHEQUE"),0)</f>
        <v>0</v>
      </c>
    </row>
    <row r="22" spans="1:16" s="22" customFormat="1" x14ac:dyDescent="0.2">
      <c r="A22" s="26" t="s">
        <v>355</v>
      </c>
      <c r="B22" s="33">
        <v>0</v>
      </c>
      <c r="C22" s="33">
        <v>5000000</v>
      </c>
      <c r="D22" s="33">
        <v>0</v>
      </c>
      <c r="E22" s="33">
        <v>25000000</v>
      </c>
      <c r="F22" s="33">
        <v>0</v>
      </c>
      <c r="G22" s="33">
        <v>0</v>
      </c>
      <c r="H22" s="33">
        <v>0</v>
      </c>
      <c r="I22" s="33">
        <v>150000000</v>
      </c>
      <c r="J22" s="33">
        <v>3000000</v>
      </c>
      <c r="K22" s="33">
        <v>0</v>
      </c>
      <c r="L22" s="33">
        <v>0</v>
      </c>
      <c r="M22" s="33">
        <f>IF(M$10&lt;0,-M$10,0)+INDEX(CashProjTable[CashEqSell_BahtNet],MATCH($A$3&amp;M$5,CashProjTable[RefRng],0))</f>
        <v>0</v>
      </c>
      <c r="N22" s="33">
        <f>IF(N$10&lt;0,-N$10,0)+INDEX(CashProjTable[CashEqSell_BahtNet],MATCH($A$3&amp;N$5,CashProjTable[RefRng],0))</f>
        <v>0</v>
      </c>
      <c r="O22" s="33">
        <f>IF(O$10&lt;0,-O$10,0)+INDEX(CashProjTable[CashEqSell_BahtNet],MATCH($A$3&amp;O$5,CashProjTable[RefRng],0))</f>
        <v>0</v>
      </c>
      <c r="P22" s="33">
        <f>IF(P$10&lt;0,-P$10,0)+INDEX(CashProjTable[CashEqSell_BahtNet],MATCH($A$3&amp;P$5,CashProjTable[RefRng],0))</f>
        <v>0</v>
      </c>
    </row>
    <row r="23" spans="1:16" s="22" customFormat="1" x14ac:dyDescent="0.2">
      <c r="A23" s="26" t="s">
        <v>356</v>
      </c>
      <c r="B23" s="33">
        <v>0</v>
      </c>
      <c r="C23" s="33">
        <v>0</v>
      </c>
      <c r="D23" s="33">
        <v>0</v>
      </c>
      <c r="E23" s="33">
        <v>0</v>
      </c>
      <c r="F23" s="33">
        <v>0</v>
      </c>
      <c r="G23" s="33">
        <v>0</v>
      </c>
      <c r="H23" s="33">
        <v>0</v>
      </c>
      <c r="I23" s="33">
        <v>0</v>
      </c>
      <c r="J23" s="33">
        <v>0</v>
      </c>
      <c r="K23" s="33">
        <v>0</v>
      </c>
      <c r="L23" s="33">
        <v>0</v>
      </c>
      <c r="M23" s="33">
        <v>0</v>
      </c>
      <c r="N23" s="33">
        <v>0</v>
      </c>
      <c r="O23" s="33">
        <v>0</v>
      </c>
      <c r="P23" s="33">
        <v>0</v>
      </c>
    </row>
    <row r="24" spans="1:16" s="22" customFormat="1" x14ac:dyDescent="0.2">
      <c r="A24" s="26" t="s">
        <v>357</v>
      </c>
      <c r="B24" s="33">
        <v>0</v>
      </c>
      <c r="C24" s="33">
        <v>0</v>
      </c>
      <c r="D24" s="33">
        <v>137174.79</v>
      </c>
      <c r="E24" s="33">
        <v>3086432.88</v>
      </c>
      <c r="F24" s="33">
        <v>0</v>
      </c>
      <c r="G24" s="33">
        <v>2158031.31</v>
      </c>
      <c r="H24" s="33">
        <v>0</v>
      </c>
      <c r="I24" s="33">
        <v>150410.96</v>
      </c>
      <c r="J24" s="33">
        <v>336.1</v>
      </c>
      <c r="K24" s="33">
        <v>0</v>
      </c>
      <c r="L24" s="33">
        <v>2156010.7400000002</v>
      </c>
      <c r="M24" s="33">
        <f>IFERROR(INDEX(CashProjTable[DebtInterest],MATCH($A$3&amp;M$5,CashProjTable[RefRng],0)),0)</f>
        <v>0</v>
      </c>
      <c r="N24" s="33">
        <f>IFERROR(INDEX(CashProjTable[DebtInterest],MATCH($A$3&amp;N$5,CashProjTable[RefRng],0)),0)</f>
        <v>5033653.1500000004</v>
      </c>
      <c r="O24" s="33">
        <f>IFERROR(INDEX(CashProjTable[DebtInterest],MATCH($A$3&amp;O$5,CashProjTable[RefRng],0)),0)</f>
        <v>0</v>
      </c>
      <c r="P24" s="33">
        <f>IFERROR(INDEX(CashProjTable[DebtInterest],MATCH($A$3&amp;P$5,CashProjTable[RefRng],0)),0)</f>
        <v>128547.95</v>
      </c>
    </row>
    <row r="25" spans="1:16" s="22" customFormat="1" x14ac:dyDescent="0.2">
      <c r="A25" s="26" t="s">
        <v>358</v>
      </c>
      <c r="B25" s="33">
        <v>0</v>
      </c>
      <c r="C25" s="33">
        <v>0</v>
      </c>
      <c r="D25" s="33">
        <v>0</v>
      </c>
      <c r="E25" s="33">
        <v>0</v>
      </c>
      <c r="F25" s="33">
        <v>0</v>
      </c>
      <c r="G25" s="33">
        <v>0</v>
      </c>
      <c r="H25" s="33">
        <v>0</v>
      </c>
      <c r="I25" s="33">
        <v>0</v>
      </c>
      <c r="J25" s="33">
        <v>0</v>
      </c>
      <c r="K25" s="33">
        <v>0</v>
      </c>
      <c r="L25" s="33">
        <v>0</v>
      </c>
      <c r="M25" s="33">
        <f>IFERROR(INDEX(CashProjTable[CashEqInterest],MATCH($A$3&amp;M$5,CashProjTable[RefRng],0)),0)</f>
        <v>0</v>
      </c>
      <c r="N25" s="33">
        <f>IFERROR(INDEX(CashProjTable[CashEqInterest],MATCH($A$3&amp;N$5,CashProjTable[RefRng],0)),0)</f>
        <v>0</v>
      </c>
      <c r="O25" s="33">
        <f>IFERROR(INDEX(CashProjTable[CashEqInterest],MATCH($A$3&amp;O$5,CashProjTable[RefRng],0)),0)</f>
        <v>0</v>
      </c>
      <c r="P25" s="33">
        <f>IFERROR(INDEX(CashProjTable[CashEqInterest],MATCH($A$3&amp;P$5,CashProjTable[RefRng],0)),0)</f>
        <v>0</v>
      </c>
    </row>
    <row r="26" spans="1:16" s="36" customFormat="1" x14ac:dyDescent="0.2">
      <c r="A26" s="34" t="s">
        <v>359</v>
      </c>
      <c r="B26" s="35"/>
      <c r="C26" s="35"/>
      <c r="D26" s="35"/>
      <c r="E26" s="35"/>
      <c r="F26" s="35"/>
      <c r="G26" s="35"/>
      <c r="H26" s="35"/>
      <c r="I26" s="35"/>
      <c r="J26" s="35"/>
      <c r="K26" s="35"/>
      <c r="L26" s="35"/>
      <c r="M26" s="35"/>
      <c r="N26" s="35"/>
      <c r="O26" s="35"/>
      <c r="P26" s="35"/>
    </row>
    <row r="27" spans="1:16" s="38" customFormat="1" ht="13.5" thickBot="1" x14ac:dyDescent="0.25">
      <c r="A27" s="28" t="s">
        <v>360</v>
      </c>
      <c r="B27" s="37">
        <v>345553121.31999999</v>
      </c>
      <c r="C27" s="37">
        <v>23659169.27</v>
      </c>
      <c r="D27" s="37">
        <v>239059968.32999998</v>
      </c>
      <c r="E27" s="37">
        <v>64405026.160000004</v>
      </c>
      <c r="F27" s="37">
        <v>30130412.16</v>
      </c>
      <c r="G27" s="37">
        <v>107192375.45</v>
      </c>
      <c r="H27" s="37">
        <v>283679737.03000003</v>
      </c>
      <c r="I27" s="37">
        <v>188135619.11000001</v>
      </c>
      <c r="J27" s="37">
        <v>18277267.940000001</v>
      </c>
      <c r="K27" s="37">
        <v>322381980.58999997</v>
      </c>
      <c r="L27" s="37">
        <v>225440822.19</v>
      </c>
      <c r="M27" s="37">
        <f t="shared" ref="L27:O27" si="2">SUM(M16:M26)</f>
        <v>73499509.219999999</v>
      </c>
      <c r="N27" s="37">
        <f t="shared" ref="N27:P27" si="3">SUM(N16:N26)</f>
        <v>137311601.59999999</v>
      </c>
      <c r="O27" s="37">
        <f t="shared" si="3"/>
        <v>346368.63</v>
      </c>
      <c r="P27" s="37">
        <f t="shared" si="3"/>
        <v>128547.95</v>
      </c>
    </row>
    <row r="28" spans="1:16" s="22" customFormat="1" x14ac:dyDescent="0.2"/>
    <row r="29" spans="1:16" s="25" customFormat="1" x14ac:dyDescent="0.2">
      <c r="A29" s="24" t="s">
        <v>361</v>
      </c>
    </row>
    <row r="30" spans="1:16" s="22" customFormat="1" x14ac:dyDescent="0.2">
      <c r="A30" s="32" t="s">
        <v>362</v>
      </c>
      <c r="B30" s="33">
        <v>4604586.12</v>
      </c>
      <c r="C30" s="33">
        <v>5391707.8700000001</v>
      </c>
      <c r="D30" s="62">
        <v>4730620.6100000003</v>
      </c>
      <c r="E30" s="62">
        <v>3764846.88</v>
      </c>
      <c r="F30" s="62">
        <v>5917658.71</v>
      </c>
      <c r="G30" s="62">
        <v>3557881.01</v>
      </c>
      <c r="H30" s="62">
        <v>3115925.42</v>
      </c>
      <c r="I30" s="62">
        <v>230612.36</v>
      </c>
      <c r="J30" s="62">
        <v>1589998.16</v>
      </c>
      <c r="K30" s="62">
        <v>2717157.04</v>
      </c>
      <c r="L30" s="62">
        <v>5832944.0599999996</v>
      </c>
      <c r="M30" s="63">
        <f>IFERROR(ABS(INDEX(CashIntraTable[Amount],MATCH($A$3&amp;M$5&amp;$A54,CashIntraTable[RefRng],0))),0)</f>
        <v>2796232.1</v>
      </c>
      <c r="N30" s="62">
        <f>IFERROR(ABS(INDEX(CashIntraTable[Amount],MATCH($A$3&amp;N$5&amp;$A54,CashIntraTable[RefRng],0))),0)</f>
        <v>0</v>
      </c>
      <c r="O30" s="62">
        <f>IFERROR(ABS(INDEX(CashIntraTable[Amount],MATCH($A$3&amp;O$5&amp;$A54,CashIntraTable[RefRng],0))),0)</f>
        <v>0</v>
      </c>
      <c r="P30" s="62">
        <f>IFERROR(ABS(INDEX(CashIntraTable[Amount],MATCH($A$3&amp;P$5&amp;$A54,CashIntraTable[RefRng],0))),0)</f>
        <v>0</v>
      </c>
    </row>
    <row r="31" spans="1:16" s="22" customFormat="1" x14ac:dyDescent="0.2">
      <c r="A31" s="32" t="s">
        <v>363</v>
      </c>
      <c r="B31" s="33">
        <v>21933215.010000002</v>
      </c>
      <c r="C31" s="33">
        <v>17719807.190000001</v>
      </c>
      <c r="D31" s="62">
        <v>13691267.23</v>
      </c>
      <c r="E31" s="62">
        <v>60840438.630000003</v>
      </c>
      <c r="F31" s="62">
        <v>18040407.879999999</v>
      </c>
      <c r="G31" s="62">
        <v>5843637.9199999999</v>
      </c>
      <c r="H31" s="62">
        <v>1378396.35</v>
      </c>
      <c r="I31" s="62">
        <v>10464443.060000001</v>
      </c>
      <c r="J31" s="62">
        <v>19014454.329999998</v>
      </c>
      <c r="K31" s="62">
        <v>18640648.670000002</v>
      </c>
      <c r="L31" s="62">
        <v>41056491.899999999</v>
      </c>
      <c r="M31" s="63">
        <f>IFERROR(ABS(INDEX(CashIntraTable[Amount],MATCH($A$3&amp;M$5&amp;$A55,CashIntraTable[RefRng],0))),0)</f>
        <v>45943476.68</v>
      </c>
      <c r="N31" s="62">
        <f>IFERROR(ABS(INDEX(CashIntraTable[Amount],MATCH($A$3&amp;N$5&amp;$A55,CashIntraTable[RefRng],0))),0)</f>
        <v>0</v>
      </c>
      <c r="O31" s="62">
        <f>IFERROR(ABS(INDEX(CashIntraTable[Amount],MATCH($A$3&amp;O$5&amp;$A55,CashIntraTable[RefRng],0))),0)</f>
        <v>0</v>
      </c>
      <c r="P31" s="62">
        <f>IFERROR(ABS(INDEX(CashIntraTable[Amount],MATCH($A$3&amp;P$5&amp;$A55,CashIntraTable[RefRng],0))),0)</f>
        <v>0</v>
      </c>
    </row>
    <row r="32" spans="1:16" s="22" customFormat="1" x14ac:dyDescent="0.2">
      <c r="A32" s="26" t="s">
        <v>364</v>
      </c>
      <c r="B32" s="33">
        <v>319850430.75999999</v>
      </c>
      <c r="C32" s="33">
        <v>0</v>
      </c>
      <c r="D32" s="33">
        <v>199227844.96000001</v>
      </c>
      <c r="E32" s="33">
        <v>0</v>
      </c>
      <c r="F32" s="33">
        <v>0</v>
      </c>
      <c r="G32" s="33">
        <v>89960696.700000003</v>
      </c>
      <c r="H32" s="33">
        <v>137692510.44</v>
      </c>
      <c r="I32" s="33">
        <v>179879751</v>
      </c>
      <c r="J32" s="33">
        <v>0</v>
      </c>
      <c r="K32" s="33">
        <v>299870992.63</v>
      </c>
      <c r="L32" s="33">
        <v>179299592.19999999</v>
      </c>
      <c r="M32" s="33">
        <f>IFERROR(INDEX(CashProjTable[DebtBuy_BahtNet],MATCH($A$3&amp;M$5,CashProjTable[RefRng],0))+SUMIFS(IntraTrans[Net Settlement],IntraTrans[Portfolio],$A$3,IntraTrans[B/S],"B",IntraTrans[Settle Date],M$5,IntraTrans[Payment],"BAHTNET"),0)</f>
        <v>0</v>
      </c>
      <c r="N32" s="33">
        <f>IFERROR(INDEX(CashProjTable[DebtBuy_BahtNet],MATCH($A$3&amp;N$5,CashProjTable[RefRng],0))+SUMIFS(IntraTrans[Net Settlement],IntraTrans[Portfolio],$A$3,IntraTrans[B/S],"B",IntraTrans[Settle Date],N$5,IntraTrans[Payment],"BAHTNET"),0)</f>
        <v>0</v>
      </c>
      <c r="O32" s="33">
        <f>IFERROR(INDEX(CashProjTable[DebtBuy_BahtNet],MATCH($A$3&amp;O$5,CashProjTable[RefRng],0))+SUMIFS(IntraTrans[Net Settlement],IntraTrans[Portfolio],$A$3,IntraTrans[B/S],"B",IntraTrans[Settle Date],O$5,IntraTrans[Payment],"BAHTNET"),0)</f>
        <v>0</v>
      </c>
      <c r="P32" s="33">
        <f>IFERROR(INDEX(CashProjTable[DebtBuy_BahtNet],MATCH($A$3&amp;P$5,CashProjTable[RefRng],0))+SUMIFS(IntraTrans[Net Settlement],IntraTrans[Portfolio],$A$3,IntraTrans[B/S],"B",IntraTrans[Settle Date],P$5,IntraTrans[Payment],"BAHTNET"),0)</f>
        <v>0</v>
      </c>
    </row>
    <row r="33" spans="1:33" s="22" customFormat="1" x14ac:dyDescent="0.2">
      <c r="A33" s="26" t="s">
        <v>365</v>
      </c>
      <c r="B33" s="33">
        <v>0</v>
      </c>
      <c r="C33" s="33">
        <v>0</v>
      </c>
      <c r="D33" s="33">
        <v>0</v>
      </c>
      <c r="E33" s="33">
        <v>0</v>
      </c>
      <c r="F33" s="33">
        <v>0</v>
      </c>
      <c r="G33" s="33">
        <v>0</v>
      </c>
      <c r="H33" s="33">
        <v>0</v>
      </c>
      <c r="I33" s="33">
        <v>0</v>
      </c>
      <c r="J33" s="33">
        <v>0</v>
      </c>
      <c r="K33" s="33">
        <v>0</v>
      </c>
      <c r="L33" s="33">
        <v>0</v>
      </c>
      <c r="M33" s="33">
        <f>IFERROR((INDEX(CashProjTable[DebtBuy],MATCH($A$3&amp;M$5,CashProjTable[RefRng],0))-INDEX(CashProjTable[DebtBuy_BahtNet],MATCH($A$3&amp;M$5,CashProjTable[RefRng],0)))+SUMIFS(IntraTrans[Net Settlement],IntraTrans[Portfolio],$A$3,IntraTrans[B/S],"B",IntraTrans[Settle Date],M$5,IntraTrans[Payment],"CHEQUE"),0)</f>
        <v>0</v>
      </c>
      <c r="N33" s="33">
        <f>IFERROR((INDEX(CashProjTable[DebtBuy],MATCH($A$3&amp;N$5,CashProjTable[RefRng],0))-INDEX(CashProjTable[DebtBuy_BahtNet],MATCH($A$3&amp;N$5,CashProjTable[RefRng],0)))+SUMIFS(IntraTrans[Net Settlement],IntraTrans[Portfolio],$A$3,IntraTrans[B/S],"B",IntraTrans[Settle Date],N$5,IntraTrans[Payment],"CHEQUE"),0)</f>
        <v>0</v>
      </c>
      <c r="O33" s="33">
        <f>IFERROR((INDEX(CashProjTable[DebtBuy],MATCH($A$3&amp;O$5,CashProjTable[RefRng],0))-INDEX(CashProjTable[DebtBuy_BahtNet],MATCH($A$3&amp;O$5,CashProjTable[RefRng],0)))+SUMIFS(IntraTrans[Net Settlement],IntraTrans[Portfolio],$A$3,IntraTrans[B/S],"B",IntraTrans[Settle Date],O$5,IntraTrans[Payment],"CHEQUE"),0)</f>
        <v>0</v>
      </c>
      <c r="P33" s="33">
        <f>IFERROR((INDEX(CashProjTable[DebtBuy],MATCH($A$3&amp;P$5,CashProjTable[RefRng],0))-INDEX(CashProjTable[DebtBuy_BahtNet],MATCH($A$3&amp;P$5,CashProjTable[RefRng],0)))+SUMIFS(IntraTrans[Net Settlement],IntraTrans[Portfolio],$A$3,IntraTrans[B/S],"B",IntraTrans[Settle Date],P$5,IntraTrans[Payment],"CHEQUE"),0)</f>
        <v>0</v>
      </c>
    </row>
    <row r="34" spans="1:33" s="22" customFormat="1" x14ac:dyDescent="0.2">
      <c r="A34" s="26" t="s">
        <v>355</v>
      </c>
      <c r="B34" s="33">
        <v>0</v>
      </c>
      <c r="C34" s="33">
        <v>0</v>
      </c>
      <c r="D34" s="33">
        <v>20000000</v>
      </c>
      <c r="E34" s="33">
        <v>0</v>
      </c>
      <c r="F34" s="33">
        <v>5000000</v>
      </c>
      <c r="G34" s="33">
        <v>10000000</v>
      </c>
      <c r="H34" s="33">
        <v>138000000</v>
      </c>
      <c r="I34" s="33">
        <v>0</v>
      </c>
      <c r="J34" s="33">
        <v>0</v>
      </c>
      <c r="K34" s="33">
        <v>0</v>
      </c>
      <c r="L34" s="33">
        <v>0</v>
      </c>
      <c r="M34" s="33">
        <f>IF(M$10&gt;0,M$10,0)+INDEX(CashProjTable[CashEqBuy_BahtNet],MATCH($A$3&amp;M$5,CashProjTable[RefRng],0))</f>
        <v>22000000</v>
      </c>
      <c r="N34" s="33">
        <f>IF(N$10&gt;0,N$10,0)+INDEX(CashProjTable[CashEqBuy_BahtNet],MATCH($A$3&amp;N$5,CashProjTable[RefRng],0))</f>
        <v>0</v>
      </c>
      <c r="O34" s="33">
        <f>IF(O$10&gt;0,O$10,0)+INDEX(CashProjTable[CashEqBuy_BahtNet],MATCH($A$3&amp;O$5,CashProjTable[RefRng],0))</f>
        <v>0</v>
      </c>
      <c r="P34" s="33">
        <f>IF(P$10&gt;0,P$10,0)+INDEX(CashProjTable[CashEqBuy_BahtNet],MATCH($A$3&amp;P$5,CashProjTable[RefRng],0))</f>
        <v>0</v>
      </c>
    </row>
    <row r="35" spans="1:33" s="22" customFormat="1" x14ac:dyDescent="0.2">
      <c r="A35" s="26" t="s">
        <v>356</v>
      </c>
      <c r="B35" s="33">
        <v>0</v>
      </c>
      <c r="C35" s="33">
        <v>0</v>
      </c>
      <c r="D35" s="33">
        <v>0</v>
      </c>
      <c r="E35" s="33">
        <v>0</v>
      </c>
      <c r="F35" s="33">
        <v>0</v>
      </c>
      <c r="G35" s="33">
        <v>0</v>
      </c>
      <c r="H35" s="33">
        <v>0</v>
      </c>
      <c r="I35" s="33">
        <v>0</v>
      </c>
      <c r="J35" s="33">
        <v>0</v>
      </c>
      <c r="K35" s="33">
        <v>0</v>
      </c>
      <c r="L35" s="33">
        <v>0</v>
      </c>
      <c r="M35" s="33">
        <v>0</v>
      </c>
      <c r="N35" s="33">
        <v>0</v>
      </c>
      <c r="O35" s="33">
        <v>0</v>
      </c>
      <c r="P35" s="33">
        <v>0</v>
      </c>
    </row>
    <row r="36" spans="1:33" s="22" customFormat="1" x14ac:dyDescent="0.2">
      <c r="A36" s="26" t="s">
        <v>366</v>
      </c>
      <c r="B36" s="33">
        <v>0</v>
      </c>
      <c r="C36" s="33">
        <v>0</v>
      </c>
      <c r="D36" s="33">
        <v>0</v>
      </c>
      <c r="E36" s="33">
        <v>0</v>
      </c>
      <c r="F36" s="33">
        <v>0</v>
      </c>
      <c r="G36" s="33">
        <v>0</v>
      </c>
      <c r="H36" s="33">
        <v>0</v>
      </c>
      <c r="I36" s="33">
        <v>0</v>
      </c>
      <c r="J36" s="33">
        <v>0</v>
      </c>
      <c r="K36" s="33">
        <v>0</v>
      </c>
      <c r="L36" s="33">
        <v>0</v>
      </c>
      <c r="M36" s="33">
        <f>IFERROR(INDEX(CashProjTable[Expense],MATCH($A$3&amp;M$5,CashProjTable[RefRng],0)),0)</f>
        <v>0</v>
      </c>
      <c r="N36" s="33">
        <f>IFERROR(INDEX(CashProjTable[Expense],MATCH($A$3&amp;N$5,CashProjTable[RefRng],0)),0)</f>
        <v>0</v>
      </c>
      <c r="O36" s="33">
        <f>IFERROR(INDEX(CashProjTable[Expense],MATCH($A$3&amp;O$5,CashProjTable[RefRng],0)),0)</f>
        <v>0</v>
      </c>
      <c r="P36" s="33">
        <f>IFERROR(INDEX(CashProjTable[Expense],MATCH($A$3&amp;P$5,CashProjTable[RefRng],0)),0)</f>
        <v>0</v>
      </c>
    </row>
    <row r="37" spans="1:33" s="36" customFormat="1" x14ac:dyDescent="0.2">
      <c r="A37" s="34" t="s">
        <v>359</v>
      </c>
      <c r="B37" s="35"/>
      <c r="C37" s="35"/>
      <c r="D37" s="35"/>
      <c r="E37" s="35"/>
      <c r="F37" s="35"/>
      <c r="G37" s="35"/>
      <c r="H37" s="35"/>
      <c r="I37" s="35"/>
      <c r="J37" s="35"/>
      <c r="K37" s="35"/>
      <c r="L37" s="35"/>
      <c r="M37" s="35"/>
      <c r="N37" s="35"/>
      <c r="O37" s="35"/>
      <c r="P37" s="35"/>
    </row>
    <row r="38" spans="1:33" s="38" customFormat="1" ht="13.5" thickBot="1" x14ac:dyDescent="0.25">
      <c r="A38" s="28" t="s">
        <v>367</v>
      </c>
      <c r="B38" s="37">
        <v>346388231.88999999</v>
      </c>
      <c r="C38" s="37">
        <v>23111515.060000002</v>
      </c>
      <c r="D38" s="37">
        <v>237649732.80000001</v>
      </c>
      <c r="E38" s="37">
        <v>64605285.510000005</v>
      </c>
      <c r="F38" s="37">
        <v>28958066.59</v>
      </c>
      <c r="G38" s="37">
        <v>109362215.63</v>
      </c>
      <c r="H38" s="37">
        <v>280186832.21000004</v>
      </c>
      <c r="I38" s="37">
        <v>190574806.41999999</v>
      </c>
      <c r="J38" s="37">
        <v>20604452.489999998</v>
      </c>
      <c r="K38" s="37">
        <v>321228798.33999997</v>
      </c>
      <c r="L38" s="37">
        <v>226189028.16</v>
      </c>
      <c r="M38" s="37">
        <f t="shared" ref="L38:O38" si="4">SUM(M30:M37)</f>
        <v>70739708.780000001</v>
      </c>
      <c r="N38" s="37">
        <f t="shared" ref="N38:P38" si="5">SUM(N30:N37)</f>
        <v>0</v>
      </c>
      <c r="O38" s="37">
        <f t="shared" si="5"/>
        <v>0</v>
      </c>
      <c r="P38" s="37">
        <f t="shared" si="5"/>
        <v>0</v>
      </c>
    </row>
    <row r="39" spans="1:33" s="22" customFormat="1" x14ac:dyDescent="0.2"/>
    <row r="40" spans="1:33" s="25" customFormat="1" x14ac:dyDescent="0.2">
      <c r="A40" s="24" t="s">
        <v>839</v>
      </c>
    </row>
    <row r="41" spans="1:33" s="22" customFormat="1" x14ac:dyDescent="0.2">
      <c r="A41" s="26" t="s">
        <v>369</v>
      </c>
      <c r="B41" s="33">
        <v>2268920.6100000143</v>
      </c>
      <c r="C41" s="33">
        <v>2814847.1499999985</v>
      </c>
      <c r="D41" s="33">
        <v>4288177.719999969</v>
      </c>
      <c r="E41" s="33">
        <v>4034834.2699999958</v>
      </c>
      <c r="F41" s="33">
        <v>5290966.9300000034</v>
      </c>
      <c r="G41" s="33">
        <v>3265787.4700000137</v>
      </c>
      <c r="H41" s="33">
        <v>6689198.2900000215</v>
      </c>
      <c r="I41" s="33">
        <v>4802580.9700000286</v>
      </c>
      <c r="J41" s="33">
        <v>2491608.700000003</v>
      </c>
      <c r="K41" s="33">
        <v>3130362.9300000072</v>
      </c>
      <c r="L41" s="33">
        <f t="shared" ref="K41:P41" ca="1" si="6">L$6+L$27-L$38</f>
        <v>2349516.4699999988</v>
      </c>
      <c r="M41" s="33">
        <f t="shared" ca="1" si="6"/>
        <v>5109316.9099999964</v>
      </c>
      <c r="N41" s="33">
        <f t="shared" ca="1" si="6"/>
        <v>142420918.50999999</v>
      </c>
      <c r="O41" s="33">
        <f t="shared" ca="1" si="6"/>
        <v>142767287.13999999</v>
      </c>
      <c r="P41" s="33">
        <f t="shared" ca="1" si="6"/>
        <v>142895835.08999997</v>
      </c>
    </row>
    <row r="42" spans="1:33" s="22" customFormat="1" x14ac:dyDescent="0.2">
      <c r="A42" s="26" t="s">
        <v>853</v>
      </c>
      <c r="B42" s="33">
        <v>2267192.94</v>
      </c>
      <c r="C42" s="33">
        <v>-15609107.289999999</v>
      </c>
      <c r="D42" s="33">
        <v>4235093.62</v>
      </c>
      <c r="E42" s="33">
        <v>0</v>
      </c>
      <c r="F42" s="33">
        <v>5435627.6500000004</v>
      </c>
      <c r="G42" s="33">
        <v>0</v>
      </c>
      <c r="H42" s="33">
        <v>7241768.2800000003</v>
      </c>
      <c r="I42" s="33">
        <v>4818793.25</v>
      </c>
      <c r="J42" s="33">
        <v>1977180.68</v>
      </c>
      <c r="K42" s="33">
        <f>IFERROR(INDEX(CashProjTable[CashBal],MATCH($A$3&amp;K$5,CashProjTable[RefRng],0)),0)</f>
        <v>3097722.44</v>
      </c>
      <c r="L42" s="33">
        <f>IFERROR(INDEX(CashProjTable[CashBal],MATCH($A$3&amp;L$5,CashProjTable[RefRng],0)),0)</f>
        <v>342365.33000000502</v>
      </c>
      <c r="M42" s="33">
        <f>IFERROR(INDEX(CashProjTable[CashBal],MATCH($A$3&amp;M$5,CashProjTable[RefRng],0)),0)</f>
        <v>342365.33000000502</v>
      </c>
      <c r="N42" s="33">
        <f>IFERROR(INDEX(CashProjTable[CashBal],MATCH($A$3&amp;N$5,CashProjTable[RefRng],0)),0)</f>
        <v>122376018.48</v>
      </c>
      <c r="O42" s="33">
        <f>IFERROR(INDEX(CashProjTable[CashBal],MATCH($A$3&amp;O$5,CashProjTable[RefRng],0)),0)</f>
        <v>122376018.48</v>
      </c>
      <c r="P42" s="33">
        <f>IFERROR(INDEX(CashProjTable[CashBal],MATCH($A$3&amp;P$5,CashProjTable[RefRng],0)),0)</f>
        <v>122504566.43000001</v>
      </c>
    </row>
    <row r="43" spans="1:33" s="41" customFormat="1" x14ac:dyDescent="0.2">
      <c r="A43" s="39" t="s">
        <v>370</v>
      </c>
      <c r="B43" s="40">
        <v>-1727.670000014361</v>
      </c>
      <c r="C43" s="40">
        <v>-18423954.439999998</v>
      </c>
      <c r="D43" s="40">
        <v>-53084.099999968894</v>
      </c>
      <c r="E43" s="40">
        <v>-35849549.539999992</v>
      </c>
      <c r="F43" s="40">
        <v>-19713154.100000001</v>
      </c>
      <c r="G43" s="40">
        <v>9384174.7899999954</v>
      </c>
      <c r="H43" s="40">
        <v>266247021.08999997</v>
      </c>
      <c r="I43" s="40">
        <v>12009113.269999981</v>
      </c>
      <c r="J43" s="40">
        <v>2341690</v>
      </c>
      <c r="K43" s="40">
        <v>8975825.120000029</v>
      </c>
      <c r="L43" s="40">
        <v>6607827.0100000091</v>
      </c>
      <c r="M43" s="40">
        <f t="shared" ref="M43:O43" ca="1" si="7">M42-M41</f>
        <v>-4766951.5799999917</v>
      </c>
      <c r="N43" s="40">
        <f t="shared" ref="N43:P43" ca="1" si="8">N42-N41</f>
        <v>-20044900.029999986</v>
      </c>
      <c r="O43" s="40">
        <f t="shared" ca="1" si="8"/>
        <v>-20391268.659999982</v>
      </c>
      <c r="P43" s="40">
        <f t="shared" ca="1" si="8"/>
        <v>-20391268.659999967</v>
      </c>
    </row>
    <row r="44" spans="1:33" s="22" customFormat="1" x14ac:dyDescent="0.2">
      <c r="A44" s="26" t="s">
        <v>854</v>
      </c>
      <c r="B44" s="33">
        <v>9794408136.4700012</v>
      </c>
      <c r="C44" s="33">
        <v>9797992587.7600021</v>
      </c>
      <c r="D44" s="33">
        <v>9773092635.6499996</v>
      </c>
      <c r="E44" s="33">
        <v>9744329544.2300014</v>
      </c>
      <c r="F44" s="33">
        <v>9766743451.3099995</v>
      </c>
      <c r="G44" s="33">
        <v>9751821829.2800007</v>
      </c>
      <c r="H44" s="33">
        <v>9761290717.5400009</v>
      </c>
      <c r="I44" s="33">
        <v>9771485712.9400005</v>
      </c>
      <c r="J44" s="33">
        <v>9753751925.4099998</v>
      </c>
      <c r="K44" s="33">
        <v>9748934461.6800003</v>
      </c>
      <c r="L44" s="33">
        <v>9707884972.3400021</v>
      </c>
      <c r="M44" s="33">
        <f t="shared" ref="M44" ca="1" si="9">IF(M$5&gt;TODAY(),L44,L45)+SUM(M16:M19)-SUM(M30:M31)</f>
        <v>9682692808.7800007</v>
      </c>
      <c r="N44" s="33">
        <f t="shared" ref="N44" ca="1" si="10">IF(N$5&gt;TODAY(),M44,M45)+SUM(N16:N19)-SUM(N30:N31)</f>
        <v>9697970757.2300014</v>
      </c>
      <c r="O44" s="33">
        <f t="shared" ref="O44" ca="1" si="11">IF(O$5&gt;TODAY(),N44,N45)+SUM(O16:O19)-SUM(O30:O31)</f>
        <v>9698317125.8600006</v>
      </c>
      <c r="P44" s="33">
        <f t="shared" ref="P44" ca="1" si="12">IF(P$5&gt;TODAY(),O44,O45)+SUM(P16:P19)-SUM(P30:P31)</f>
        <v>9698317125.8600006</v>
      </c>
    </row>
    <row r="45" spans="1:33" s="22" customFormat="1" x14ac:dyDescent="0.2">
      <c r="A45" s="26" t="s">
        <v>855</v>
      </c>
      <c r="B45" s="33">
        <v>9802444933.5500011</v>
      </c>
      <c r="C45" s="33">
        <v>9786591729.9499989</v>
      </c>
      <c r="D45" s="33">
        <v>9782614297.1600018</v>
      </c>
      <c r="E45" s="33">
        <v>9760571105.7399998</v>
      </c>
      <c r="F45" s="33">
        <v>9751206004.0700016</v>
      </c>
      <c r="G45" s="33">
        <v>9752105302.2700005</v>
      </c>
      <c r="H45" s="33">
        <v>9764193998.8100014</v>
      </c>
      <c r="I45" s="33">
        <v>9764073051.5100002</v>
      </c>
      <c r="J45" s="33">
        <v>9757910286.7999992</v>
      </c>
      <c r="K45" s="33">
        <f>[1]!SCBAM_GetGroup1Dtl($A$3,"NET ASSET VALUE",K$5,"MarketVal")+[1]!SCBAM_GetGroup1Dtl($A$3,"NET ASSET VALUE",K$5,"ai")</f>
        <v>9744477519.4500008</v>
      </c>
      <c r="L45" s="33">
        <f>[1]!SCBAM_GetGroup1Dtl($A$3,"NET ASSET VALUE",L$5,"MarketVal")+[1]!SCBAM_GetGroup1Dtl($A$3,"NET ASSET VALUE",L$5,"ai")</f>
        <v>0</v>
      </c>
      <c r="M45" s="33">
        <f>[1]!SCBAM_GetGroup1Dtl($A$3,"NET ASSET VALUE",M$5,"MarketVal")+[1]!SCBAM_GetGroup1Dtl($A$3,"NET ASSET VALUE",M$5,"ai")</f>
        <v>0</v>
      </c>
      <c r="N45" s="33">
        <f>[1]!SCBAM_GetGroup1Dtl($A$3,"NET ASSET VALUE",N$5,"MarketVal")+[1]!SCBAM_GetGroup1Dtl($A$3,"NET ASSET VALUE",N$5,"ai")</f>
        <v>0</v>
      </c>
      <c r="O45" s="33">
        <f>[1]!SCBAM_GetGroup1Dtl($A$3,"NET ASSET VALUE",O$5,"MarketVal")+[1]!SCBAM_GetGroup1Dtl($A$3,"NET ASSET VALUE",O$5,"ai")</f>
        <v>0</v>
      </c>
      <c r="P45" s="33">
        <f>[1]!SCBAM_GetGroup1Dtl($A$3,"NET ASSET VALUE",P$5,"MarketVal")+[1]!SCBAM_GetGroup1Dtl($A$3,"NET ASSET VALUE",P$5,"ai")</f>
        <v>0</v>
      </c>
    </row>
    <row r="46" spans="1:33" s="21" customFormat="1" x14ac:dyDescent="0.2">
      <c r="A46" s="19" t="s">
        <v>840</v>
      </c>
      <c r="B46" s="20">
        <v>-4452345.7900000028</v>
      </c>
      <c r="C46" s="20">
        <v>-13499094.300000001</v>
      </c>
      <c r="D46" s="20">
        <v>-38284752.930000007</v>
      </c>
      <c r="E46" s="20">
        <v>25263275.539999999</v>
      </c>
      <c r="F46" s="20">
        <v>615825.21000000089</v>
      </c>
      <c r="G46" s="20">
        <v>9779008.1699999999</v>
      </c>
      <c r="H46" s="20">
        <v>12884722.51</v>
      </c>
      <c r="I46" s="20">
        <v>4483976.0299999993</v>
      </c>
      <c r="J46" s="20">
        <v>7989104.0899999999</v>
      </c>
      <c r="K46" s="20">
        <v>-36592547.109999999</v>
      </c>
      <c r="L46" s="20">
        <f t="shared" ref="L46:M46" si="13">SUM(M16:M19)-SUM(M30:M31)</f>
        <v>-25192163.560000002</v>
      </c>
      <c r="M46" s="20">
        <f t="shared" si="13"/>
        <v>15277948.449999999</v>
      </c>
      <c r="N46" s="20">
        <f t="shared" ref="N46" si="14">SUM(O16:O19)-SUM(O30:O31)</f>
        <v>346368.63</v>
      </c>
      <c r="O46" s="20">
        <f t="shared" ref="O46" si="15">SUM(P16:P19)-SUM(P30:P31)</f>
        <v>0</v>
      </c>
      <c r="P46" s="20">
        <f t="shared" ref="P46" si="16">SUM(Q16:Q19)-SUM(Q30:Q31)</f>
        <v>0</v>
      </c>
    </row>
    <row r="47" spans="1:33" s="47" customFormat="1" x14ac:dyDescent="0.2">
      <c r="A47" s="45" t="s">
        <v>371</v>
      </c>
      <c r="B47" s="48">
        <v>2.3146476469705749E-4</v>
      </c>
      <c r="C47" s="48">
        <v>2.8762282392813987E-4</v>
      </c>
      <c r="D47" s="48">
        <v>4.3834680482546197E-4</v>
      </c>
      <c r="E47" s="48">
        <v>4.1406997286839287E-4</v>
      </c>
      <c r="F47" s="48">
        <v>5.4259615967416094E-4</v>
      </c>
      <c r="G47" s="48">
        <v>-1.701428475670276E-3</v>
      </c>
      <c r="H47" s="48">
        <v>1.1304530393887258E-3</v>
      </c>
      <c r="I47" s="48">
        <v>1.3616088850624611E-2</v>
      </c>
      <c r="J47" s="48">
        <v>-1.6421906386886811E-2</v>
      </c>
      <c r="K47" s="48">
        <v>-3.945065222376362E-4</v>
      </c>
      <c r="L47" s="48">
        <v>-5.3884383621194615E-4</v>
      </c>
      <c r="M47" s="48">
        <f t="shared" ref="M47:O47" ca="1" si="17">M41/IF(M5&lt;TODAY(),M45,M44)</f>
        <v>5.2767520470824061E-4</v>
      </c>
      <c r="N47" s="48">
        <f t="shared" ref="N47:P47" ca="1" si="18">N41/IF(N5&lt;TODAY(),N45,N44)</f>
        <v>1.468564115888087E-2</v>
      </c>
      <c r="O47" s="48">
        <f t="shared" ca="1" si="18"/>
        <v>1.4720830973790214E-2</v>
      </c>
      <c r="P47" s="48">
        <f t="shared" ca="1" si="18"/>
        <v>1.473408563935041E-2</v>
      </c>
      <c r="Q47" s="46"/>
      <c r="R47" s="46"/>
      <c r="S47" s="46"/>
      <c r="T47" s="46"/>
      <c r="U47" s="46"/>
      <c r="V47" s="46"/>
      <c r="W47" s="46"/>
      <c r="X47" s="46"/>
      <c r="Y47" s="46"/>
      <c r="Z47" s="46"/>
      <c r="AA47" s="46"/>
      <c r="AB47" s="46"/>
      <c r="AC47" s="46"/>
      <c r="AD47" s="46"/>
      <c r="AE47" s="46"/>
      <c r="AF47" s="46"/>
      <c r="AG47" s="46"/>
    </row>
    <row r="48" spans="1:33" s="42" customFormat="1" x14ac:dyDescent="0.2">
      <c r="A48" s="42" t="s">
        <v>372</v>
      </c>
      <c r="B48" s="43">
        <v>-3799043.66</v>
      </c>
      <c r="C48" s="43">
        <v>-20841607.289999999</v>
      </c>
      <c r="D48" s="43">
        <v>949893.62</v>
      </c>
      <c r="E48" s="43">
        <v>-47287077.07</v>
      </c>
      <c r="F48" s="43">
        <v>-19839387.170000002</v>
      </c>
      <c r="G48" s="43">
        <v>-7207852.5599999996</v>
      </c>
      <c r="H48" s="43">
        <v>277281701.85000002</v>
      </c>
      <c r="I48" s="43">
        <v>145058530.94</v>
      </c>
      <c r="J48" s="43">
        <v>-157833511.03999999</v>
      </c>
      <c r="K48" s="43">
        <v>5129806.8900000099</v>
      </c>
      <c r="L48" s="43">
        <v>1376793.0300000201</v>
      </c>
      <c r="M48" s="43">
        <f>IFERROR(INDEX(CashProjTable[CashForUse],MATCH($A$3&amp;M$5,CashProjTable[RefRng],0)),0)</f>
        <v>342365.33000000502</v>
      </c>
      <c r="N48" s="43">
        <f>IFERROR(INDEX(CashProjTable[CashForUse],MATCH($A$3&amp;N$5,CashProjTable[RefRng],0)),0)</f>
        <v>122376018.48</v>
      </c>
      <c r="O48" s="43">
        <f>IFERROR(INDEX(CashProjTable[CashForUse],MATCH($A$3&amp;O$5,CashProjTable[RefRng],0)),0)</f>
        <v>122376018.48</v>
      </c>
      <c r="P48" s="43">
        <f>IFERROR(INDEX(CashProjTable[CashForUse],MATCH($A$3&amp;P$5,CashProjTable[RefRng],0)),0)</f>
        <v>122504566.43000001</v>
      </c>
    </row>
    <row r="49" spans="1:16" s="42" customFormat="1" x14ac:dyDescent="0.2">
      <c r="A49" s="42" t="s">
        <v>373</v>
      </c>
      <c r="B49" s="43">
        <v>-7438502.4900000002</v>
      </c>
      <c r="C49" s="43">
        <v>-26907843.890000001</v>
      </c>
      <c r="D49" s="43">
        <v>-4419781.17</v>
      </c>
      <c r="E49" s="43">
        <v>-53658709.950000003</v>
      </c>
      <c r="F49" s="43">
        <v>-35311748.969999999</v>
      </c>
      <c r="G49" s="43">
        <v>-14783083.869999999</v>
      </c>
      <c r="H49" s="43">
        <v>273248089.93000001</v>
      </c>
      <c r="I49" s="43">
        <v>141008965.41999999</v>
      </c>
      <c r="J49" s="43">
        <v>-163185797.68000001</v>
      </c>
      <c r="K49" s="43">
        <v>-663127.109999993</v>
      </c>
      <c r="L49" s="43">
        <v>-5553104.9699999802</v>
      </c>
      <c r="M49" s="43">
        <f>IFERROR(INDEX(CashProjTable[CashForBahtNet],MATCH($A$3&amp;M$5,CashProjTable[RefRng],0)),0)</f>
        <v>-7950584.6699999897</v>
      </c>
      <c r="N49" s="43">
        <f>IFERROR(INDEX(CashProjTable[CashForBahtNet],MATCH($A$3&amp;N$5,CashProjTable[RefRng],0)),0)</f>
        <v>102342365.33</v>
      </c>
      <c r="O49" s="43">
        <f>IFERROR(INDEX(CashProjTable[CashForBahtNet],MATCH($A$3&amp;O$5,CashProjTable[RefRng],0)),0)</f>
        <v>122376018.48</v>
      </c>
      <c r="P49" s="43">
        <f>IFERROR(INDEX(CashProjTable[CashForBahtNet],MATCH($A$3&amp;P$5,CashProjTable[RefRng],0)),0)</f>
        <v>122376018.48</v>
      </c>
    </row>
    <row r="51" spans="1:16" x14ac:dyDescent="0.2">
      <c r="A51" s="11" t="s">
        <v>329</v>
      </c>
    </row>
    <row r="52" spans="1:16" x14ac:dyDescent="0.2">
      <c r="A52" s="11" t="s">
        <v>333</v>
      </c>
    </row>
    <row r="53" spans="1:16" x14ac:dyDescent="0.2">
      <c r="A53" s="11" t="s">
        <v>330</v>
      </c>
    </row>
    <row r="54" spans="1:16" x14ac:dyDescent="0.2">
      <c r="A54" s="11" t="s">
        <v>331</v>
      </c>
    </row>
    <row r="55" spans="1:16" x14ac:dyDescent="0.2">
      <c r="A55" s="11" t="s">
        <v>332</v>
      </c>
    </row>
  </sheetData>
  <conditionalFormatting sqref="D5">
    <cfRule type="cellIs" dxfId="495" priority="40" operator="equal">
      <formula>TODAY()</formula>
    </cfRule>
  </conditionalFormatting>
  <conditionalFormatting sqref="D10">
    <cfRule type="cellIs" dxfId="494" priority="38" operator="greaterThan">
      <formula>"&lt;0"</formula>
    </cfRule>
  </conditionalFormatting>
  <conditionalFormatting sqref="D11">
    <cfRule type="cellIs" dxfId="493" priority="37" operator="greaterThan">
      <formula>"&lt;0"</formula>
    </cfRule>
  </conditionalFormatting>
  <conditionalFormatting sqref="A5:C5 Q5:XFD5 E5">
    <cfRule type="cellIs" dxfId="492" priority="52" operator="equal">
      <formula>TODAY()</formula>
    </cfRule>
  </conditionalFormatting>
  <conditionalFormatting sqref="B9:E9">
    <cfRule type="cellIs" dxfId="491" priority="51" operator="greaterThan">
      <formula>"&lt;0"</formula>
    </cfRule>
  </conditionalFormatting>
  <conditionalFormatting sqref="B10">
    <cfRule type="cellIs" dxfId="490" priority="50" operator="greaterThan">
      <formula>"&lt;0"</formula>
    </cfRule>
  </conditionalFormatting>
  <conditionalFormatting sqref="B11">
    <cfRule type="cellIs" dxfId="489" priority="49" operator="greaterThan">
      <formula>"&lt;0"</formula>
    </cfRule>
  </conditionalFormatting>
  <conditionalFormatting sqref="C10 E10">
    <cfRule type="cellIs" dxfId="488" priority="47" operator="greaterThan">
      <formula>"&lt;0"</formula>
    </cfRule>
  </conditionalFormatting>
  <conditionalFormatting sqref="C11 E11">
    <cfRule type="cellIs" dxfId="487" priority="46" operator="greaterThan">
      <formula>"&lt;0"</formula>
    </cfRule>
  </conditionalFormatting>
  <conditionalFormatting sqref="B7">
    <cfRule type="cellIs" dxfId="486" priority="45" operator="greaterThan">
      <formula>"&lt;0"</formula>
    </cfRule>
  </conditionalFormatting>
  <conditionalFormatting sqref="F5:G5">
    <cfRule type="cellIs" dxfId="485" priority="36" operator="equal">
      <formula>TODAY()</formula>
    </cfRule>
  </conditionalFormatting>
  <conditionalFormatting sqref="F9:G9">
    <cfRule type="cellIs" dxfId="484" priority="35" operator="greaterThan">
      <formula>"&lt;0"</formula>
    </cfRule>
  </conditionalFormatting>
  <conditionalFormatting sqref="F10:G10">
    <cfRule type="cellIs" dxfId="483" priority="34" operator="greaterThan">
      <formula>"&lt;0"</formula>
    </cfRule>
  </conditionalFormatting>
  <conditionalFormatting sqref="F11:G11">
    <cfRule type="cellIs" dxfId="482" priority="33" operator="greaterThan">
      <formula>"&lt;0"</formula>
    </cfRule>
  </conditionalFormatting>
  <conditionalFormatting sqref="H5">
    <cfRule type="cellIs" dxfId="481" priority="28" operator="equal">
      <formula>TODAY()</formula>
    </cfRule>
  </conditionalFormatting>
  <conditionalFormatting sqref="H9">
    <cfRule type="cellIs" dxfId="480" priority="27" operator="greaterThan">
      <formula>"&lt;0"</formula>
    </cfRule>
  </conditionalFormatting>
  <conditionalFormatting sqref="H10">
    <cfRule type="cellIs" dxfId="479" priority="26" operator="greaterThan">
      <formula>"&lt;0"</formula>
    </cfRule>
  </conditionalFormatting>
  <conditionalFormatting sqref="H11">
    <cfRule type="cellIs" dxfId="478" priority="25" operator="greaterThan">
      <formula>"&lt;0"</formula>
    </cfRule>
  </conditionalFormatting>
  <conditionalFormatting sqref="I5">
    <cfRule type="cellIs" dxfId="477" priority="24" operator="equal">
      <formula>TODAY()</formula>
    </cfRule>
  </conditionalFormatting>
  <conditionalFormatting sqref="I9">
    <cfRule type="cellIs" dxfId="476" priority="23" operator="greaterThan">
      <formula>"&lt;0"</formula>
    </cfRule>
  </conditionalFormatting>
  <conditionalFormatting sqref="I10">
    <cfRule type="cellIs" dxfId="475" priority="22" operator="greaterThan">
      <formula>"&lt;0"</formula>
    </cfRule>
  </conditionalFormatting>
  <conditionalFormatting sqref="I11">
    <cfRule type="cellIs" dxfId="474" priority="21" operator="greaterThan">
      <formula>"&lt;0"</formula>
    </cfRule>
  </conditionalFormatting>
  <conditionalFormatting sqref="J5">
    <cfRule type="cellIs" dxfId="473" priority="20" operator="equal">
      <formula>TODAY()</formula>
    </cfRule>
  </conditionalFormatting>
  <conditionalFormatting sqref="J9">
    <cfRule type="cellIs" dxfId="472" priority="19" operator="greaterThan">
      <formula>"&lt;0"</formula>
    </cfRule>
  </conditionalFormatting>
  <conditionalFormatting sqref="J10">
    <cfRule type="cellIs" dxfId="471" priority="18" operator="greaterThan">
      <formula>"&lt;0"</formula>
    </cfRule>
  </conditionalFormatting>
  <conditionalFormatting sqref="J11">
    <cfRule type="cellIs" dxfId="470" priority="17" operator="greaterThan">
      <formula>"&lt;0"</formula>
    </cfRule>
  </conditionalFormatting>
  <conditionalFormatting sqref="K5">
    <cfRule type="cellIs" dxfId="469" priority="16" operator="equal">
      <formula>TODAY()</formula>
    </cfRule>
  </conditionalFormatting>
  <conditionalFormatting sqref="K9">
    <cfRule type="cellIs" dxfId="468" priority="15" operator="greaterThan">
      <formula>"&lt;0"</formula>
    </cfRule>
  </conditionalFormatting>
  <conditionalFormatting sqref="K10">
    <cfRule type="cellIs" dxfId="467" priority="14" operator="greaterThan">
      <formula>"&lt;0"</formula>
    </cfRule>
  </conditionalFormatting>
  <conditionalFormatting sqref="K11">
    <cfRule type="cellIs" dxfId="466" priority="13" operator="greaterThan">
      <formula>"&lt;0"</formula>
    </cfRule>
  </conditionalFormatting>
  <conditionalFormatting sqref="L5">
    <cfRule type="cellIs" dxfId="465" priority="12" operator="equal">
      <formula>TODAY()</formula>
    </cfRule>
  </conditionalFormatting>
  <conditionalFormatting sqref="L9">
    <cfRule type="cellIs" dxfId="464" priority="11" operator="greaterThan">
      <formula>"&lt;0"</formula>
    </cfRule>
  </conditionalFormatting>
  <conditionalFormatting sqref="L10">
    <cfRule type="cellIs" dxfId="463" priority="10" operator="greaterThan">
      <formula>"&lt;0"</formula>
    </cfRule>
  </conditionalFormatting>
  <conditionalFormatting sqref="L11">
    <cfRule type="cellIs" dxfId="462" priority="9" operator="greaterThan">
      <formula>"&lt;0"</formula>
    </cfRule>
  </conditionalFormatting>
  <conditionalFormatting sqref="M5">
    <cfRule type="cellIs" dxfId="461" priority="8" operator="equal">
      <formula>TODAY()</formula>
    </cfRule>
  </conditionalFormatting>
  <conditionalFormatting sqref="M9">
    <cfRule type="cellIs" dxfId="460" priority="7" operator="greaterThan">
      <formula>"&lt;0"</formula>
    </cfRule>
  </conditionalFormatting>
  <conditionalFormatting sqref="M10">
    <cfRule type="cellIs" dxfId="459" priority="6" operator="greaterThan">
      <formula>"&lt;0"</formula>
    </cfRule>
  </conditionalFormatting>
  <conditionalFormatting sqref="M11">
    <cfRule type="cellIs" dxfId="458" priority="5" operator="greaterThan">
      <formula>"&lt;0"</formula>
    </cfRule>
  </conditionalFormatting>
  <conditionalFormatting sqref="N5:P5">
    <cfRule type="cellIs" dxfId="457" priority="4" operator="equal">
      <formula>TODAY()</formula>
    </cfRule>
  </conditionalFormatting>
  <conditionalFormatting sqref="N9:P9">
    <cfRule type="cellIs" dxfId="456" priority="3" operator="greaterThan">
      <formula>"&lt;0"</formula>
    </cfRule>
  </conditionalFormatting>
  <conditionalFormatting sqref="N10:P10">
    <cfRule type="cellIs" dxfId="455" priority="2" operator="greaterThan">
      <formula>"&lt;0"</formula>
    </cfRule>
  </conditionalFormatting>
  <conditionalFormatting sqref="N11:P11">
    <cfRule type="cellIs" dxfId="454" priority="1" operator="greaterThan">
      <formula>"&lt;0"</formula>
    </cfRule>
  </conditionalFormatting>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4DB09-B1DD-4E32-A393-E7AF585888EC}">
  <sheetPr codeName="Sheet5"/>
  <dimension ref="A1:AG55"/>
  <sheetViews>
    <sheetView zoomScale="90" zoomScaleNormal="90" workbookViewId="0">
      <pane xSplit="1" ySplit="6" topLeftCell="I7" activePane="bottomRight" state="frozen"/>
      <selection pane="topRight" activeCell="B1" sqref="B1"/>
      <selection pane="bottomLeft" activeCell="A7" sqref="A7"/>
      <selection pane="bottomRight" activeCell="M29" sqref="M29"/>
    </sheetView>
  </sheetViews>
  <sheetFormatPr defaultColWidth="9" defaultRowHeight="12.75" outlineLevelRow="1" x14ac:dyDescent="0.2"/>
  <cols>
    <col min="1" max="1" width="32" style="11" customWidth="1"/>
    <col min="2" max="16" width="18.75" style="11" customWidth="1"/>
    <col min="17" max="27" width="15.125" style="11" bestFit="1" customWidth="1"/>
    <col min="28" max="16384" width="9" style="11"/>
  </cols>
  <sheetData>
    <row r="1" spans="1:33" x14ac:dyDescent="0.2">
      <c r="A1" s="10" t="s">
        <v>340</v>
      </c>
    </row>
    <row r="2" spans="1:33" x14ac:dyDescent="0.2">
      <c r="A2" s="12">
        <f ca="1">[1]!SCBAM_PreviousBusinessDay(TODAY())</f>
        <v>43397</v>
      </c>
    </row>
    <row r="3" spans="1:33" x14ac:dyDescent="0.2">
      <c r="A3" s="13" t="s">
        <v>339</v>
      </c>
    </row>
    <row r="5" spans="1:33" s="18" customFormat="1" x14ac:dyDescent="0.2">
      <c r="A5" s="14" t="s">
        <v>341</v>
      </c>
      <c r="B5" s="15">
        <v>43382</v>
      </c>
      <c r="C5" s="15">
        <v>43383</v>
      </c>
      <c r="D5" s="15">
        <v>43384</v>
      </c>
      <c r="E5" s="15">
        <v>43385</v>
      </c>
      <c r="F5" s="15">
        <v>43389</v>
      </c>
      <c r="G5" s="15">
        <v>43390</v>
      </c>
      <c r="H5" s="15">
        <v>43391</v>
      </c>
      <c r="I5" s="15">
        <v>43392</v>
      </c>
      <c r="J5" s="15">
        <v>43395</v>
      </c>
      <c r="K5" s="15">
        <v>43397</v>
      </c>
      <c r="L5" s="15">
        <v>43398</v>
      </c>
      <c r="M5" s="15">
        <f>[1]!SCBAM_NextBusinessDay(L5)</f>
        <v>43399</v>
      </c>
      <c r="N5" s="15">
        <f>[1]!SCBAM_NextBusinessDay(M5)</f>
        <v>43402</v>
      </c>
      <c r="O5" s="15">
        <f>[1]!SCBAM_NextBusinessDay(N5)</f>
        <v>43403</v>
      </c>
      <c r="P5" s="15">
        <f>[1]!SCBAM_NextBusinessDay(O5)</f>
        <v>43404</v>
      </c>
      <c r="Q5" s="16"/>
      <c r="R5" s="16"/>
      <c r="S5" s="16"/>
      <c r="T5" s="16"/>
      <c r="U5" s="16"/>
      <c r="V5" s="16"/>
      <c r="W5" s="16"/>
      <c r="X5" s="16"/>
      <c r="Y5" s="16"/>
      <c r="Z5" s="16"/>
      <c r="AA5" s="16"/>
      <c r="AB5" s="17"/>
      <c r="AC5" s="17"/>
      <c r="AD5" s="17"/>
      <c r="AE5" s="17"/>
      <c r="AF5" s="17"/>
      <c r="AG5" s="17"/>
    </row>
    <row r="6" spans="1:33" s="21" customFormat="1" x14ac:dyDescent="0.2">
      <c r="A6" s="19" t="s">
        <v>342</v>
      </c>
      <c r="B6" s="20">
        <v>6592007.9299999997</v>
      </c>
      <c r="C6" s="20">
        <v>2767519.53</v>
      </c>
      <c r="D6" s="20">
        <v>2576583.0299999998</v>
      </c>
      <c r="E6" s="20">
        <v>2124664.88</v>
      </c>
      <c r="F6" s="20">
        <v>3656664.5</v>
      </c>
      <c r="G6" s="20">
        <v>3362545.47</v>
      </c>
      <c r="H6" s="20">
        <v>4519976.4800000004</v>
      </c>
      <c r="I6" s="20">
        <v>3265753.51</v>
      </c>
      <c r="J6" s="20">
        <v>2977590.56</v>
      </c>
      <c r="K6" s="20">
        <v>7010247.8600000003</v>
      </c>
      <c r="L6" s="20">
        <f ca="1">IF(AND(ISNUMBER(K41),ISNUMBER(K42)),IF(L5&lt;=TODAY(),K42,K41),INDEX(CashProjTable[CashBal],MATCH($A$3&amp;[1]!SCBAM_PreviousBusinessDay(L$5),CashProjTable[RefRng],0)))</f>
        <v>5100876.18</v>
      </c>
      <c r="M6" s="20">
        <f ca="1">IF(AND(ISNUMBER(L41),ISNUMBER(L42)),IF(M5&lt;=TODAY(),L42,L41),INDEX(CashProjTable[CashBal],MATCH($A$3&amp;[1]!SCBAM_PreviousBusinessDay(M$5),CashProjTable[RefRng],0)))</f>
        <v>4088189.83</v>
      </c>
      <c r="N6" s="20">
        <f ca="1">IF(AND(ISNUMBER(M41),ISNUMBER(M42)),IF(N5&lt;=TODAY(),M42,M41),INDEX(CashProjTable[CashBal],MATCH($A$3&amp;[1]!SCBAM_PreviousBusinessDay(N$5),CashProjTable[RefRng],0)))</f>
        <v>6769890.6399999857</v>
      </c>
      <c r="O6" s="20">
        <f ca="1">IF(AND(ISNUMBER(N41),ISNUMBER(N42)),IF(O5&lt;=TODAY(),N42,N41),INDEX(CashProjTable[CashBal],MATCH($A$3&amp;[1]!SCBAM_PreviousBusinessDay(O$5),CashProjTable[RefRng],0)))</f>
        <v>7802215.959999986</v>
      </c>
      <c r="P6" s="20">
        <f ca="1">IF(AND(ISNUMBER(O41),ISNUMBER(O42)),IF(P5&lt;=TODAY(),O42,O41),INDEX(CashProjTable[CashBal],MATCH($A$3&amp;[1]!SCBAM_PreviousBusinessDay(P$5),CashProjTable[RefRng],0)))</f>
        <v>8723674.2399999853</v>
      </c>
    </row>
    <row r="7" spans="1:33" s="22" customFormat="1" x14ac:dyDescent="0.2">
      <c r="B7" s="23"/>
    </row>
    <row r="8" spans="1:33" s="25" customFormat="1" x14ac:dyDescent="0.2">
      <c r="A8" s="24" t="s">
        <v>343</v>
      </c>
    </row>
    <row r="9" spans="1:33" s="27" customFormat="1" x14ac:dyDescent="0.2">
      <c r="A9" s="26" t="s">
        <v>344</v>
      </c>
      <c r="B9" s="23">
        <v>14128950.960000001</v>
      </c>
      <c r="C9" s="23">
        <v>14128950.960000001</v>
      </c>
      <c r="D9" s="23">
        <v>14128950.960000001</v>
      </c>
      <c r="E9" s="23">
        <v>14128950.960000001</v>
      </c>
      <c r="F9" s="23">
        <v>9128950.9600000009</v>
      </c>
      <c r="G9" s="23">
        <v>9128950.9600000009</v>
      </c>
      <c r="H9" s="23">
        <v>14128950.960000001</v>
      </c>
      <c r="I9" s="23">
        <v>14128950.960000001</v>
      </c>
      <c r="J9" s="23">
        <v>14128950.960000001</v>
      </c>
      <c r="K9" s="23">
        <v>69128950.960000008</v>
      </c>
      <c r="L9" s="23">
        <v>64128950.960000008</v>
      </c>
      <c r="M9" s="23">
        <f>IF(ISNUMBER(L$5),L$11,[1]!SCBAM_GetSecDtl($A$3,"INVSUOBTrm2",M$5,"MarketVal"))</f>
        <v>64128950.960000008</v>
      </c>
      <c r="N9" s="23">
        <f>IF(ISNUMBER(M$5),M$11,[1]!SCBAM_GetSecDtl($A$3,"INVSUOBTrm2",N$5,"MarketVal"))</f>
        <v>144128950.96000001</v>
      </c>
      <c r="O9" s="23">
        <f>IF(ISNUMBER(N$5),N$11,[1]!SCBAM_GetSecDtl($A$3,"INVSUOBTrm2",O$5,"MarketVal"))</f>
        <v>144128950.96000001</v>
      </c>
      <c r="P9" s="23">
        <f>IF(ISNUMBER(O$5),O$11,[1]!SCBAM_GetSecDtl($A$3,"INVSUOBTrm2",P$5,"MarketVal"))</f>
        <v>144128950.96000001</v>
      </c>
    </row>
    <row r="10" spans="1:33" s="61" customFormat="1" ht="14.25" x14ac:dyDescent="0.2">
      <c r="A10" s="59" t="s">
        <v>345</v>
      </c>
      <c r="B10" s="60"/>
      <c r="C10" s="60"/>
      <c r="D10" s="60"/>
      <c r="E10" s="60">
        <v>-5000000</v>
      </c>
      <c r="F10" s="60"/>
      <c r="G10" s="60">
        <v>5000000</v>
      </c>
      <c r="H10" s="60"/>
      <c r="I10" s="60"/>
      <c r="J10" s="60">
        <v>55000000</v>
      </c>
      <c r="K10" s="60">
        <v>-5000000</v>
      </c>
      <c r="L10" s="60"/>
      <c r="M10" s="60">
        <f>80*10^6</f>
        <v>80000000</v>
      </c>
      <c r="N10" s="60"/>
      <c r="O10" s="60"/>
      <c r="P10" s="60"/>
    </row>
    <row r="11" spans="1:33" s="30" customFormat="1" ht="13.5" thickBot="1" x14ac:dyDescent="0.25">
      <c r="A11" s="28" t="s">
        <v>346</v>
      </c>
      <c r="B11" s="29">
        <v>14128950.960000001</v>
      </c>
      <c r="C11" s="29">
        <v>14128950.960000001</v>
      </c>
      <c r="D11" s="29">
        <v>14128950.960000001</v>
      </c>
      <c r="E11" s="29">
        <v>9128950.9600000009</v>
      </c>
      <c r="F11" s="29">
        <v>9128950.9600000009</v>
      </c>
      <c r="G11" s="29">
        <v>14128950.960000001</v>
      </c>
      <c r="H11" s="29">
        <v>14128950.960000001</v>
      </c>
      <c r="I11" s="29">
        <v>14128950.960000001</v>
      </c>
      <c r="J11" s="29">
        <v>69128950.960000008</v>
      </c>
      <c r="K11" s="29">
        <v>64128950.960000008</v>
      </c>
      <c r="L11" s="29">
        <v>64128950.960000008</v>
      </c>
      <c r="M11" s="29">
        <f t="shared" ref="M11:O11" si="0">SUM(M9:M10)</f>
        <v>144128950.96000001</v>
      </c>
      <c r="N11" s="29">
        <f t="shared" ref="N11:P11" si="1">SUM(N9:N10)</f>
        <v>144128950.96000001</v>
      </c>
      <c r="O11" s="29">
        <f t="shared" si="1"/>
        <v>144128950.96000001</v>
      </c>
      <c r="P11" s="29">
        <f t="shared" si="1"/>
        <v>144128950.96000001</v>
      </c>
    </row>
    <row r="12" spans="1:33" s="22" customFormat="1" ht="13.15" hidden="1" customHeight="1" outlineLevel="1" x14ac:dyDescent="0.2"/>
    <row r="13" spans="1:33" s="31" customFormat="1" hidden="1" outlineLevel="1" x14ac:dyDescent="0.2">
      <c r="A13" s="31" t="s">
        <v>348</v>
      </c>
    </row>
    <row r="14" spans="1:33" collapsed="1" x14ac:dyDescent="0.2"/>
    <row r="15" spans="1:33" s="25" customFormat="1" x14ac:dyDescent="0.2">
      <c r="A15" s="24" t="s">
        <v>347</v>
      </c>
    </row>
    <row r="16" spans="1:33" s="22" customFormat="1" x14ac:dyDescent="0.2">
      <c r="A16" s="32" t="s">
        <v>349</v>
      </c>
      <c r="B16" s="33">
        <v>415700</v>
      </c>
      <c r="C16" s="33">
        <v>1951000</v>
      </c>
      <c r="D16" s="62">
        <v>0</v>
      </c>
      <c r="E16" s="62">
        <v>2112000</v>
      </c>
      <c r="F16" s="62">
        <v>696272</v>
      </c>
      <c r="G16" s="62">
        <v>1938700</v>
      </c>
      <c r="H16" s="62">
        <v>1270200</v>
      </c>
      <c r="I16" s="62">
        <v>1004000</v>
      </c>
      <c r="J16" s="62">
        <v>2723700</v>
      </c>
      <c r="K16" s="62">
        <v>1263200</v>
      </c>
      <c r="L16" s="62">
        <v>1613200</v>
      </c>
      <c r="M16" s="63">
        <f>IFERROR(INDEX(CashIntraTable[Amount],MATCH($A$3&amp;M$5&amp;$A51,CashIntraTable[RefRng],0)),0)</f>
        <v>590000</v>
      </c>
      <c r="N16" s="33">
        <f>IFERROR(INDEX(CashIntraTable[Amount],MATCH($A$3&amp;N$5&amp;$A51,CashIntraTable[RefRng],0)),0)</f>
        <v>0</v>
      </c>
      <c r="O16" s="33">
        <f>IFERROR(INDEX(CashIntraTable[Amount],MATCH($A$3&amp;O$5&amp;$A51,CashIntraTable[RefRng],0)),0)</f>
        <v>0</v>
      </c>
      <c r="P16" s="33">
        <f>IFERROR(INDEX(CashIntraTable[Amount],MATCH($A$3&amp;P$5&amp;$A51,CashIntraTable[RefRng],0)),0)</f>
        <v>0</v>
      </c>
    </row>
    <row r="17" spans="1:16" s="22" customFormat="1" x14ac:dyDescent="0.2">
      <c r="A17" s="32" t="s">
        <v>351</v>
      </c>
      <c r="B17" s="33">
        <v>659000</v>
      </c>
      <c r="C17" s="33">
        <v>1225000</v>
      </c>
      <c r="D17" s="62">
        <v>0</v>
      </c>
      <c r="E17" s="62">
        <v>2877500</v>
      </c>
      <c r="F17" s="62">
        <v>1930900</v>
      </c>
      <c r="G17" s="62">
        <v>1699500</v>
      </c>
      <c r="H17" s="62">
        <v>952000</v>
      </c>
      <c r="I17" s="62">
        <v>1598200</v>
      </c>
      <c r="J17" s="62">
        <v>2011300</v>
      </c>
      <c r="K17" s="62">
        <v>2390000</v>
      </c>
      <c r="L17" s="62">
        <v>4299520</v>
      </c>
      <c r="M17" s="63">
        <f>IFERROR(INDEX(CashIntraTable[Amount],MATCH($A$3&amp;M$5&amp;$A52,CashIntraTable[RefRng],0)),0)</f>
        <v>2643082.58</v>
      </c>
      <c r="N17" s="33">
        <f>IFERROR(INDEX(CashIntraTable[Amount],MATCH($A$3&amp;N$5&amp;$A52,CashIntraTable[RefRng],0)),0)</f>
        <v>0</v>
      </c>
      <c r="O17" s="33">
        <f>IFERROR(INDEX(CashIntraTable[Amount],MATCH($A$3&amp;O$5&amp;$A52,CashIntraTable[RefRng],0)),0)</f>
        <v>0</v>
      </c>
      <c r="P17" s="33">
        <f>IFERROR(INDEX(CashIntraTable[Amount],MATCH($A$3&amp;P$5&amp;$A52,CashIntraTable[RefRng],0)),0)</f>
        <v>0</v>
      </c>
    </row>
    <row r="18" spans="1:16" s="22" customFormat="1" x14ac:dyDescent="0.2">
      <c r="A18" s="32" t="s">
        <v>350</v>
      </c>
      <c r="B18" s="33">
        <v>887446.51</v>
      </c>
      <c r="C18" s="33">
        <v>887778.5</v>
      </c>
      <c r="D18" s="62">
        <v>0</v>
      </c>
      <c r="E18" s="62">
        <v>1210633.67</v>
      </c>
      <c r="F18" s="62">
        <v>9146418.75</v>
      </c>
      <c r="G18" s="62">
        <v>5380045.79</v>
      </c>
      <c r="H18" s="62">
        <v>1049135.6499999999</v>
      </c>
      <c r="I18" s="62">
        <v>1520195.29</v>
      </c>
      <c r="J18" s="62">
        <v>482015.98</v>
      </c>
      <c r="K18" s="62">
        <v>5216730.32</v>
      </c>
      <c r="L18" s="62">
        <v>3561166.83</v>
      </c>
      <c r="M18" s="63">
        <f>IFERROR(INDEX(CashIntraTable[Amount],MATCH($A$3&amp;M$5&amp;$A53,CashIntraTable[RefRng],0)),0)</f>
        <v>3182432.43</v>
      </c>
      <c r="N18" s="33">
        <f>IFERROR(INDEX(CashIntraTable[Amount],MATCH($A$3&amp;N$5&amp;$A53,CashIntraTable[RefRng],0)),0)</f>
        <v>722077.65</v>
      </c>
      <c r="O18" s="33">
        <f>IFERROR(INDEX(CashIntraTable[Amount],MATCH($A$3&amp;O$5&amp;$A53,CashIntraTable[RefRng],0)),0)</f>
        <v>921458.28</v>
      </c>
      <c r="P18" s="33">
        <f>IFERROR(INDEX(CashIntraTable[Amount],MATCH($A$3&amp;P$5&amp;$A53,CashIntraTable[RefRng],0)),0)</f>
        <v>0</v>
      </c>
    </row>
    <row r="19" spans="1:16" s="22" customFormat="1" x14ac:dyDescent="0.2">
      <c r="A19" s="32" t="s">
        <v>352</v>
      </c>
      <c r="B19" s="33">
        <v>0</v>
      </c>
      <c r="C19" s="33">
        <v>0</v>
      </c>
      <c r="D19" s="62">
        <v>0</v>
      </c>
      <c r="E19" s="62">
        <v>0</v>
      </c>
      <c r="F19" s="62">
        <v>0</v>
      </c>
      <c r="G19" s="62">
        <v>0</v>
      </c>
      <c r="H19" s="62">
        <v>0</v>
      </c>
      <c r="I19" s="62">
        <v>0</v>
      </c>
      <c r="J19" s="62">
        <v>0</v>
      </c>
      <c r="K19" s="62">
        <v>0</v>
      </c>
      <c r="L19" s="62">
        <v>0</v>
      </c>
      <c r="M19" s="63">
        <v>0</v>
      </c>
      <c r="N19" s="33">
        <v>0</v>
      </c>
      <c r="O19" s="33">
        <v>0</v>
      </c>
      <c r="P19" s="33">
        <v>0</v>
      </c>
    </row>
    <row r="20" spans="1:16" s="22" customFormat="1" x14ac:dyDescent="0.2">
      <c r="A20" s="26" t="s">
        <v>353</v>
      </c>
      <c r="B20" s="33"/>
      <c r="C20" s="33">
        <v>0</v>
      </c>
      <c r="D20" s="33">
        <v>0</v>
      </c>
      <c r="E20" s="33">
        <v>0</v>
      </c>
      <c r="F20" s="33">
        <v>150000000</v>
      </c>
      <c r="G20" s="33">
        <v>0</v>
      </c>
      <c r="H20" s="33">
        <v>60000000</v>
      </c>
      <c r="I20" s="33">
        <v>0</v>
      </c>
      <c r="J20" s="33">
        <v>63040570.740000002</v>
      </c>
      <c r="K20" s="33">
        <v>0</v>
      </c>
      <c r="L20" s="33">
        <v>0</v>
      </c>
      <c r="M20" s="33">
        <f>IFERROR(INDEX(CashProjTable[DebtSell_BahtNet],MATCH($A$3&amp;M$5,CashProjTable[RefRng],0))+SUMIFS(IntraTrans[Net Settlement],IntraTrans[Portfolio],$A$3,IntraTrans[B/S],"S",IntraTrans[Settle Date],M$5,IntraTrans[Payment],"BAHTNET"),0)</f>
        <v>0</v>
      </c>
      <c r="N20" s="33">
        <f>IFERROR(INDEX(CashProjTable[DebtSell_BahtNet],MATCH($A$3&amp;N$5,CashProjTable[RefRng],0))+SUMIFS(IntraTrans[Net Settlement],IntraTrans[Portfolio],$A$3,IntraTrans[B/S],"S",IntraTrans[Settle Date],N$5,IntraTrans[Payment],"BAHTNET"),0)</f>
        <v>0</v>
      </c>
      <c r="O20" s="33">
        <f>IFERROR(INDEX(CashProjTable[DebtSell_BahtNet],MATCH($A$3&amp;O$5,CashProjTable[RefRng],0))+SUMIFS(IntraTrans[Net Settlement],IntraTrans[Portfolio],$A$3,IntraTrans[B/S],"S",IntraTrans[Settle Date],O$5,IntraTrans[Payment],"BAHTNET"),0)</f>
        <v>0</v>
      </c>
      <c r="P20" s="33">
        <f>IFERROR(INDEX(CashProjTable[DebtSell_BahtNet],MATCH($A$3&amp;P$5,CashProjTable[RefRng],0))+SUMIFS(IntraTrans[Net Settlement],IntraTrans[Portfolio],$A$3,IntraTrans[B/S],"S",IntraTrans[Settle Date],P$5,IntraTrans[Payment],"BAHTNET"),0)</f>
        <v>0</v>
      </c>
    </row>
    <row r="21" spans="1:16" s="22" customFormat="1" x14ac:dyDescent="0.2">
      <c r="A21" s="26" t="s">
        <v>354</v>
      </c>
      <c r="B21" s="33">
        <v>0</v>
      </c>
      <c r="C21" s="33">
        <v>0</v>
      </c>
      <c r="D21" s="33">
        <v>0</v>
      </c>
      <c r="E21" s="33">
        <v>0</v>
      </c>
      <c r="F21" s="33">
        <v>0</v>
      </c>
      <c r="G21" s="33">
        <v>0</v>
      </c>
      <c r="H21" s="33">
        <v>0</v>
      </c>
      <c r="I21" s="33">
        <v>0</v>
      </c>
      <c r="J21" s="33">
        <v>0</v>
      </c>
      <c r="K21" s="33">
        <v>0</v>
      </c>
      <c r="L21" s="33">
        <v>0</v>
      </c>
      <c r="M21" s="33">
        <f>IFERROR((INDEX(CashProjTable[DebtSell],MATCH($A$3&amp;M$5,CashProjTable[RefRng],0))-INDEX(CashProjTable[DebtSell_BahtNet],MATCH($A$3&amp;M$5,CashProjTable[RefRng],0)))+SUMIFS(IntraTrans[Net Settlement],IntraTrans[Portfolio],$A$3,IntraTrans[B/S],"S",IntraTrans[Settle Date],M$5,IntraTrans[Payment],"CHEQUE"),0)</f>
        <v>0</v>
      </c>
      <c r="N21" s="33">
        <f>IFERROR((INDEX(CashProjTable[DebtSell],MATCH($A$3&amp;N$5,CashProjTable[RefRng],0))-INDEX(CashProjTable[DebtSell_BahtNet],MATCH($A$3&amp;N$5,CashProjTable[RefRng],0)))+SUMIFS(IntraTrans[Net Settlement],IntraTrans[Portfolio],$A$3,IntraTrans[B/S],"S",IntraTrans[Settle Date],N$5,IntraTrans[Payment],"CHEQUE"),0)</f>
        <v>0</v>
      </c>
      <c r="O21" s="33">
        <f>IFERROR((INDEX(CashProjTable[DebtSell],MATCH($A$3&amp;O$5,CashProjTable[RefRng],0))-INDEX(CashProjTable[DebtSell_BahtNet],MATCH($A$3&amp;O$5,CashProjTable[RefRng],0)))+SUMIFS(IntraTrans[Net Settlement],IntraTrans[Portfolio],$A$3,IntraTrans[B/S],"S",IntraTrans[Settle Date],O$5,IntraTrans[Payment],"CHEQUE"),0)</f>
        <v>0</v>
      </c>
      <c r="P21" s="33">
        <f>IFERROR((INDEX(CashProjTable[DebtSell],MATCH($A$3&amp;P$5,CashProjTable[RefRng],0))-INDEX(CashProjTable[DebtSell_BahtNet],MATCH($A$3&amp;P$5,CashProjTable[RefRng],0)))+SUMIFS(IntraTrans[Net Settlement],IntraTrans[Portfolio],$A$3,IntraTrans[B/S],"S",IntraTrans[Settle Date],P$5,IntraTrans[Payment],"CHEQUE"),0)</f>
        <v>0</v>
      </c>
    </row>
    <row r="22" spans="1:16" s="22" customFormat="1" x14ac:dyDescent="0.2">
      <c r="A22" s="26" t="s">
        <v>355</v>
      </c>
      <c r="B22" s="33">
        <v>0</v>
      </c>
      <c r="C22" s="33">
        <v>0</v>
      </c>
      <c r="D22" s="33">
        <v>0</v>
      </c>
      <c r="E22" s="33">
        <v>5000000</v>
      </c>
      <c r="F22" s="33">
        <v>0</v>
      </c>
      <c r="G22" s="33">
        <v>0</v>
      </c>
      <c r="H22" s="33">
        <v>0</v>
      </c>
      <c r="I22" s="33">
        <v>0</v>
      </c>
      <c r="J22" s="33">
        <v>0</v>
      </c>
      <c r="K22" s="33">
        <v>5000000</v>
      </c>
      <c r="L22" s="33">
        <v>0</v>
      </c>
      <c r="M22" s="33">
        <f>IF(M$10&lt;0,-M$10,0)+INDEX(CashProjTable[CashEqSell_BahtNet],MATCH($A$3&amp;M$5,CashProjTable[RefRng],0))</f>
        <v>0</v>
      </c>
      <c r="N22" s="33">
        <f>IF(N$10&lt;0,-N$10,0)+INDEX(CashProjTable[CashEqSell_BahtNet],MATCH($A$3&amp;N$5,CashProjTable[RefRng],0))</f>
        <v>0</v>
      </c>
      <c r="O22" s="33">
        <f>IF(O$10&lt;0,-O$10,0)+INDEX(CashProjTable[CashEqSell_BahtNet],MATCH($A$3&amp;O$5,CashProjTable[RefRng],0))</f>
        <v>0</v>
      </c>
      <c r="P22" s="33">
        <f>IF(P$10&lt;0,-P$10,0)+INDEX(CashProjTable[CashEqSell_BahtNet],MATCH($A$3&amp;P$5,CashProjTable[RefRng],0))</f>
        <v>0</v>
      </c>
    </row>
    <row r="23" spans="1:16" s="22" customFormat="1" x14ac:dyDescent="0.2">
      <c r="A23" s="26" t="s">
        <v>356</v>
      </c>
      <c r="B23" s="33">
        <v>0</v>
      </c>
      <c r="C23" s="33">
        <v>0</v>
      </c>
      <c r="D23" s="33">
        <v>0</v>
      </c>
      <c r="E23" s="33">
        <v>0</v>
      </c>
      <c r="F23" s="33">
        <v>0</v>
      </c>
      <c r="G23" s="33">
        <v>0</v>
      </c>
      <c r="H23" s="33">
        <v>0</v>
      </c>
      <c r="I23" s="33">
        <v>0</v>
      </c>
      <c r="J23" s="33">
        <v>0</v>
      </c>
      <c r="K23" s="33">
        <v>0</v>
      </c>
      <c r="L23" s="33">
        <v>0</v>
      </c>
      <c r="M23" s="33">
        <v>0</v>
      </c>
      <c r="N23" s="33">
        <v>0</v>
      </c>
      <c r="O23" s="33">
        <v>0</v>
      </c>
      <c r="P23" s="33">
        <v>0</v>
      </c>
    </row>
    <row r="24" spans="1:16" s="22" customFormat="1" x14ac:dyDescent="0.2">
      <c r="A24" s="26" t="s">
        <v>357</v>
      </c>
      <c r="B24" s="33">
        <v>0</v>
      </c>
      <c r="C24" s="33">
        <v>2007986.3</v>
      </c>
      <c r="D24" s="33">
        <v>0</v>
      </c>
      <c r="E24" s="33">
        <v>857492.88</v>
      </c>
      <c r="F24" s="33">
        <v>0</v>
      </c>
      <c r="G24" s="33">
        <v>0</v>
      </c>
      <c r="H24" s="33">
        <v>0</v>
      </c>
      <c r="I24" s="33">
        <v>0</v>
      </c>
      <c r="J24" s="33">
        <v>1582824.66</v>
      </c>
      <c r="K24" s="33">
        <v>0</v>
      </c>
      <c r="L24" s="33">
        <v>0</v>
      </c>
      <c r="M24" s="33">
        <f>IFERROR(INDEX(CashProjTable[DebtInterest],MATCH($A$3&amp;M$5,CashProjTable[RefRng],0)),0)</f>
        <v>0</v>
      </c>
      <c r="N24" s="33">
        <f>IFERROR(INDEX(CashProjTable[DebtInterest],MATCH($A$3&amp;N$5,CashProjTable[RefRng],0)),0)</f>
        <v>310247.67</v>
      </c>
      <c r="O24" s="33">
        <f>IFERROR(INDEX(CashProjTable[DebtInterest],MATCH($A$3&amp;O$5,CashProjTable[RefRng],0)),0)</f>
        <v>0</v>
      </c>
      <c r="P24" s="33">
        <f>IFERROR(INDEX(CashProjTable[DebtInterest],MATCH($A$3&amp;P$5,CashProjTable[RefRng],0)),0)</f>
        <v>0</v>
      </c>
    </row>
    <row r="25" spans="1:16" s="22" customFormat="1" x14ac:dyDescent="0.2">
      <c r="A25" s="26" t="s">
        <v>358</v>
      </c>
      <c r="B25" s="33">
        <v>0</v>
      </c>
      <c r="C25" s="33">
        <v>0</v>
      </c>
      <c r="D25" s="33">
        <v>0</v>
      </c>
      <c r="E25" s="33">
        <v>0</v>
      </c>
      <c r="F25" s="33">
        <v>0</v>
      </c>
      <c r="G25" s="33">
        <v>0</v>
      </c>
      <c r="H25" s="33">
        <v>0</v>
      </c>
      <c r="I25" s="33">
        <v>0</v>
      </c>
      <c r="J25" s="33">
        <v>0</v>
      </c>
      <c r="K25" s="33">
        <v>0</v>
      </c>
      <c r="L25" s="33">
        <v>0</v>
      </c>
      <c r="M25" s="33">
        <f>IFERROR(INDEX(CashProjTable[CashEqInterest],MATCH($A$3&amp;M$5,CashProjTable[RefRng],0)),0)</f>
        <v>0</v>
      </c>
      <c r="N25" s="33">
        <f>IFERROR(INDEX(CashProjTable[CashEqInterest],MATCH($A$3&amp;N$5,CashProjTable[RefRng],0)),0)</f>
        <v>0</v>
      </c>
      <c r="O25" s="33">
        <f>IFERROR(INDEX(CashProjTable[CashEqInterest],MATCH($A$3&amp;O$5,CashProjTable[RefRng],0)),0)</f>
        <v>0</v>
      </c>
      <c r="P25" s="33">
        <f>IFERROR(INDEX(CashProjTable[CashEqInterest],MATCH($A$3&amp;P$5,CashProjTable[RefRng],0)),0)</f>
        <v>0</v>
      </c>
    </row>
    <row r="26" spans="1:16" s="36" customFormat="1" x14ac:dyDescent="0.2">
      <c r="A26" s="34" t="s">
        <v>359</v>
      </c>
      <c r="B26" s="35">
        <v>0</v>
      </c>
      <c r="C26" s="35"/>
      <c r="D26" s="35"/>
      <c r="E26" s="35"/>
      <c r="F26" s="35"/>
      <c r="G26" s="35"/>
      <c r="H26" s="35"/>
      <c r="I26" s="35"/>
      <c r="J26" s="35"/>
      <c r="K26" s="35"/>
      <c r="L26" s="35"/>
      <c r="M26" s="35">
        <f>33964147+99979292+119333856+20962325.16</f>
        <v>274239620.16000003</v>
      </c>
      <c r="N26" s="35"/>
      <c r="O26" s="35"/>
      <c r="P26" s="35"/>
    </row>
    <row r="27" spans="1:16" s="38" customFormat="1" ht="13.5" thickBot="1" x14ac:dyDescent="0.25">
      <c r="A27" s="28" t="s">
        <v>360</v>
      </c>
      <c r="B27" s="37">
        <v>1962146.51</v>
      </c>
      <c r="C27" s="37">
        <v>6071764.7999999998</v>
      </c>
      <c r="D27" s="37">
        <v>0</v>
      </c>
      <c r="E27" s="37">
        <v>12057626.550000001</v>
      </c>
      <c r="F27" s="37">
        <v>161773590.75</v>
      </c>
      <c r="G27" s="37">
        <v>9018245.7899999991</v>
      </c>
      <c r="H27" s="37">
        <v>63271335.649999999</v>
      </c>
      <c r="I27" s="37">
        <v>4122395.29</v>
      </c>
      <c r="J27" s="37">
        <v>69840411.379999995</v>
      </c>
      <c r="K27" s="37">
        <v>13869930.32</v>
      </c>
      <c r="L27" s="37">
        <v>9473886.8300000001</v>
      </c>
      <c r="M27" s="37">
        <f t="shared" ref="L27:O27" si="2">SUM(M16:M26)</f>
        <v>280655135.17000002</v>
      </c>
      <c r="N27" s="37">
        <f t="shared" ref="N27:P27" si="3">SUM(N16:N26)</f>
        <v>1032325.3200000001</v>
      </c>
      <c r="O27" s="37">
        <f t="shared" si="3"/>
        <v>921458.28</v>
      </c>
      <c r="P27" s="37">
        <f t="shared" si="3"/>
        <v>0</v>
      </c>
    </row>
    <row r="28" spans="1:16" s="22" customFormat="1" x14ac:dyDescent="0.2"/>
    <row r="29" spans="1:16" s="25" customFormat="1" x14ac:dyDescent="0.2">
      <c r="A29" s="24" t="s">
        <v>361</v>
      </c>
    </row>
    <row r="30" spans="1:16" s="22" customFormat="1" x14ac:dyDescent="0.2">
      <c r="A30" s="32" t="s">
        <v>362</v>
      </c>
      <c r="B30" s="33">
        <v>3098270.51</v>
      </c>
      <c r="C30" s="33">
        <v>455292.3</v>
      </c>
      <c r="D30" s="62">
        <v>331134.84000000003</v>
      </c>
      <c r="E30" s="62">
        <v>871986.91</v>
      </c>
      <c r="F30" s="62">
        <v>541356.16</v>
      </c>
      <c r="G30" s="62">
        <v>2002617.45</v>
      </c>
      <c r="H30" s="62">
        <v>1163927.92</v>
      </c>
      <c r="I30" s="62">
        <v>63123.16</v>
      </c>
      <c r="J30" s="62">
        <v>4495659.82</v>
      </c>
      <c r="K30" s="62">
        <v>2593992.06</v>
      </c>
      <c r="L30" s="62">
        <v>733910.32</v>
      </c>
      <c r="M30" s="63">
        <f>IFERROR(ABS(INDEX(CashIntraTable[Amount],MATCH($A$3&amp;M$5&amp;$A54,CashIntraTable[RefRng],0))),0)</f>
        <v>100000</v>
      </c>
      <c r="N30" s="33">
        <f>IFERROR(ABS(INDEX(CashIntraTable[Amount],MATCH($A$3&amp;N$5&amp;$A54,CashIntraTable[RefRng],0))),0)</f>
        <v>0</v>
      </c>
      <c r="O30" s="33">
        <f>IFERROR(ABS(INDEX(CashIntraTable[Amount],MATCH($A$3&amp;O$5&amp;$A54,CashIntraTable[RefRng],0))),0)</f>
        <v>0</v>
      </c>
      <c r="P30" s="33">
        <f>IFERROR(ABS(INDEX(CashIntraTable[Amount],MATCH($A$3&amp;P$5&amp;$A54,CashIntraTable[RefRng],0))),0)</f>
        <v>0</v>
      </c>
    </row>
    <row r="31" spans="1:16" s="22" customFormat="1" x14ac:dyDescent="0.2">
      <c r="A31" s="32" t="s">
        <v>363</v>
      </c>
      <c r="B31" s="33">
        <v>3092018.34</v>
      </c>
      <c r="C31" s="33">
        <v>5807299.1500000004</v>
      </c>
      <c r="D31" s="62">
        <v>1183916.93</v>
      </c>
      <c r="E31" s="62">
        <v>9602085.2599999998</v>
      </c>
      <c r="F31" s="62">
        <v>5327888.43</v>
      </c>
      <c r="G31" s="62">
        <v>858450.19</v>
      </c>
      <c r="H31" s="62">
        <v>3360811.57</v>
      </c>
      <c r="I31" s="62">
        <v>4348461.09</v>
      </c>
      <c r="J31" s="62">
        <v>6314520.1399999997</v>
      </c>
      <c r="K31" s="62">
        <v>5189498.43</v>
      </c>
      <c r="L31" s="62">
        <v>9752662.8599999994</v>
      </c>
      <c r="M31" s="63">
        <f>IFERROR(ABS(INDEX(CashIntraTable[Amount],MATCH($A$3&amp;M$5&amp;$A55,CashIntraTable[RefRng],0))),0)</f>
        <v>18325708.34</v>
      </c>
      <c r="N31" s="33">
        <f>IFERROR(ABS(INDEX(CashIntraTable[Amount],MATCH($A$3&amp;N$5&amp;$A55,CashIntraTable[RefRng],0))),0)</f>
        <v>0</v>
      </c>
      <c r="O31" s="33">
        <f>IFERROR(ABS(INDEX(CashIntraTable[Amount],MATCH($A$3&amp;O$5&amp;$A55,CashIntraTable[RefRng],0))),0)</f>
        <v>0</v>
      </c>
      <c r="P31" s="33">
        <f>IFERROR(ABS(INDEX(CashIntraTable[Amount],MATCH($A$3&amp;P$5&amp;$A55,CashIntraTable[RefRng],0))),0)</f>
        <v>0</v>
      </c>
    </row>
    <row r="32" spans="1:16" s="22" customFormat="1" x14ac:dyDescent="0.2">
      <c r="A32" s="26" t="s">
        <v>364</v>
      </c>
      <c r="B32" s="33">
        <v>0</v>
      </c>
      <c r="C32" s="33">
        <v>0</v>
      </c>
      <c r="D32" s="33">
        <v>78038050.709999993</v>
      </c>
      <c r="E32" s="33">
        <v>0</v>
      </c>
      <c r="F32" s="33">
        <v>156198465.19</v>
      </c>
      <c r="G32" s="33">
        <v>0</v>
      </c>
      <c r="H32" s="33">
        <v>0</v>
      </c>
      <c r="I32" s="33">
        <v>0</v>
      </c>
      <c r="J32" s="33">
        <v>0</v>
      </c>
      <c r="K32" s="33">
        <v>7996582.3200000003</v>
      </c>
      <c r="L32" s="33">
        <v>0</v>
      </c>
      <c r="M32" s="33">
        <f>IFERROR(INDEX(CashProjTable[DebtBuy_BahtNet],MATCH($A$3&amp;M$5,CashProjTable[RefRng],0))+SUMIFS(IntraTrans[Net Settlement],IntraTrans[Portfolio],$A$3,IntraTrans[B/S],"B",IntraTrans[Settle Date],M$5,IntraTrans[Payment],"BAHTNET"),0)</f>
        <v>179547726.02000001</v>
      </c>
      <c r="N32" s="33">
        <f>IFERROR(INDEX(CashProjTable[DebtBuy_BahtNet],MATCH($A$3&amp;N$5,CashProjTable[RefRng],0))+SUMIFS(IntraTrans[Net Settlement],IntraTrans[Portfolio],$A$3,IntraTrans[B/S],"B",IntraTrans[Settle Date],N$5,IntraTrans[Payment],"BAHTNET"),0)</f>
        <v>0</v>
      </c>
      <c r="O32" s="33">
        <f>IFERROR(INDEX(CashProjTable[DebtBuy_BahtNet],MATCH($A$3&amp;O$5,CashProjTable[RefRng],0))+SUMIFS(IntraTrans[Net Settlement],IntraTrans[Portfolio],$A$3,IntraTrans[B/S],"B",IntraTrans[Settle Date],O$5,IntraTrans[Payment],"BAHTNET"),0)</f>
        <v>0</v>
      </c>
      <c r="P32" s="33">
        <f>IFERROR(INDEX(CashProjTable[DebtBuy_BahtNet],MATCH($A$3&amp;P$5,CashProjTable[RefRng],0))+SUMIFS(IntraTrans[Net Settlement],IntraTrans[Portfolio],$A$3,IntraTrans[B/S],"B",IntraTrans[Settle Date],P$5,IntraTrans[Payment],"BAHTNET"),0)</f>
        <v>0</v>
      </c>
    </row>
    <row r="33" spans="1:33" s="22" customFormat="1" x14ac:dyDescent="0.2">
      <c r="A33" s="26" t="s">
        <v>365</v>
      </c>
      <c r="B33" s="33">
        <v>0</v>
      </c>
      <c r="C33" s="33">
        <v>0</v>
      </c>
      <c r="D33" s="33">
        <v>0</v>
      </c>
      <c r="E33" s="33">
        <v>0</v>
      </c>
      <c r="F33" s="33">
        <v>0</v>
      </c>
      <c r="G33" s="33">
        <v>0</v>
      </c>
      <c r="H33" s="33">
        <v>0</v>
      </c>
      <c r="I33" s="33">
        <v>0</v>
      </c>
      <c r="J33" s="33">
        <v>0</v>
      </c>
      <c r="K33" s="33">
        <v>0</v>
      </c>
      <c r="L33" s="33">
        <v>0</v>
      </c>
      <c r="M33" s="33">
        <f>IFERROR((INDEX(CashProjTable[DebtBuy],MATCH($A$3&amp;M$5,CashProjTable[RefRng],0))-INDEX(CashProjTable[DebtBuy_BahtNet],MATCH($A$3&amp;M$5,CashProjTable[RefRng],0)))+SUMIFS(IntraTrans[Net Settlement],IntraTrans[Portfolio],$A$3,IntraTrans[B/S],"B",IntraTrans[Settle Date],M$5,IntraTrans[Payment],"CHEQUE"),0)</f>
        <v>0</v>
      </c>
      <c r="N33" s="33">
        <f>IFERROR((INDEX(CashProjTable[DebtBuy],MATCH($A$3&amp;N$5,CashProjTable[RefRng],0))-INDEX(CashProjTable[DebtBuy_BahtNet],MATCH($A$3&amp;N$5,CashProjTable[RefRng],0)))+SUMIFS(IntraTrans[Net Settlement],IntraTrans[Portfolio],$A$3,IntraTrans[B/S],"B",IntraTrans[Settle Date],N$5,IntraTrans[Payment],"CHEQUE"),0)</f>
        <v>0</v>
      </c>
      <c r="O33" s="33">
        <f>IFERROR((INDEX(CashProjTable[DebtBuy],MATCH($A$3&amp;O$5,CashProjTable[RefRng],0))-INDEX(CashProjTable[DebtBuy_BahtNet],MATCH($A$3&amp;O$5,CashProjTable[RefRng],0)))+SUMIFS(IntraTrans[Net Settlement],IntraTrans[Portfolio],$A$3,IntraTrans[B/S],"B",IntraTrans[Settle Date],O$5,IntraTrans[Payment],"CHEQUE"),0)</f>
        <v>0</v>
      </c>
      <c r="P33" s="33">
        <f>IFERROR((INDEX(CashProjTable[DebtBuy],MATCH($A$3&amp;P$5,CashProjTable[RefRng],0))-INDEX(CashProjTable[DebtBuy_BahtNet],MATCH($A$3&amp;P$5,CashProjTable[RefRng],0)))+SUMIFS(IntraTrans[Net Settlement],IntraTrans[Portfolio],$A$3,IntraTrans[B/S],"B",IntraTrans[Settle Date],P$5,IntraTrans[Payment],"CHEQUE"),0)</f>
        <v>0</v>
      </c>
    </row>
    <row r="34" spans="1:33" s="22" customFormat="1" x14ac:dyDescent="0.2">
      <c r="A34" s="26" t="s">
        <v>355</v>
      </c>
      <c r="B34" s="33">
        <v>0</v>
      </c>
      <c r="C34" s="33">
        <v>0</v>
      </c>
      <c r="D34" s="33">
        <v>0</v>
      </c>
      <c r="E34" s="33">
        <v>0</v>
      </c>
      <c r="F34" s="33">
        <v>0</v>
      </c>
      <c r="G34" s="33">
        <v>5000000</v>
      </c>
      <c r="H34" s="33">
        <v>0</v>
      </c>
      <c r="I34" s="33">
        <v>0</v>
      </c>
      <c r="J34" s="33">
        <v>55000000</v>
      </c>
      <c r="K34" s="33">
        <v>0</v>
      </c>
      <c r="L34" s="33">
        <v>0</v>
      </c>
      <c r="M34" s="33">
        <f>IF(M$10&gt;0,M$10,0)+INDEX(CashProjTable[CashEqBuy_BahtNet],MATCH($A$3&amp;M$5,CashProjTable[RefRng],0))</f>
        <v>80000000</v>
      </c>
      <c r="N34" s="33">
        <f>IF(N$10&gt;0,N$10,0)+INDEX(CashProjTable[CashEqBuy_BahtNet],MATCH($A$3&amp;N$5,CashProjTable[RefRng],0))</f>
        <v>0</v>
      </c>
      <c r="O34" s="33">
        <f>IF(O$10&gt;0,O$10,0)+INDEX(CashProjTable[CashEqBuy_BahtNet],MATCH($A$3&amp;O$5,CashProjTable[RefRng],0))</f>
        <v>0</v>
      </c>
      <c r="P34" s="33">
        <f>IF(P$10&gt;0,P$10,0)+INDEX(CashProjTable[CashEqBuy_BahtNet],MATCH($A$3&amp;P$5,CashProjTable[RefRng],0))</f>
        <v>0</v>
      </c>
    </row>
    <row r="35" spans="1:33" s="22" customFormat="1" x14ac:dyDescent="0.2">
      <c r="A35" s="26" t="s">
        <v>356</v>
      </c>
      <c r="B35" s="33">
        <v>0</v>
      </c>
      <c r="C35" s="33">
        <v>0</v>
      </c>
      <c r="D35" s="33">
        <v>0</v>
      </c>
      <c r="E35" s="33">
        <v>0</v>
      </c>
      <c r="F35" s="33">
        <v>0</v>
      </c>
      <c r="G35" s="33">
        <v>0</v>
      </c>
      <c r="H35" s="33">
        <v>0</v>
      </c>
      <c r="I35" s="33">
        <v>0</v>
      </c>
      <c r="J35" s="33">
        <v>0</v>
      </c>
      <c r="K35" s="33">
        <v>0</v>
      </c>
      <c r="L35" s="33">
        <v>0</v>
      </c>
      <c r="M35" s="33">
        <v>0</v>
      </c>
      <c r="N35" s="33">
        <v>0</v>
      </c>
      <c r="O35" s="33">
        <v>0</v>
      </c>
      <c r="P35" s="33">
        <v>0</v>
      </c>
    </row>
    <row r="36" spans="1:33" s="22" customFormat="1" x14ac:dyDescent="0.2">
      <c r="A36" s="26" t="s">
        <v>366</v>
      </c>
      <c r="B36" s="33">
        <v>0</v>
      </c>
      <c r="C36" s="33">
        <v>0</v>
      </c>
      <c r="D36" s="33">
        <v>0</v>
      </c>
      <c r="E36" s="33">
        <v>0</v>
      </c>
      <c r="F36" s="33">
        <v>0</v>
      </c>
      <c r="G36" s="33">
        <v>0</v>
      </c>
      <c r="H36" s="33">
        <v>0</v>
      </c>
      <c r="I36" s="33">
        <v>0</v>
      </c>
      <c r="J36" s="33">
        <v>0</v>
      </c>
      <c r="K36" s="33">
        <v>0</v>
      </c>
      <c r="L36" s="33">
        <v>0</v>
      </c>
      <c r="M36" s="33">
        <f>IFERROR(INDEX(CashProjTable[Expense],MATCH($A$3&amp;M$5,CashProjTable[RefRng],0)),0)</f>
        <v>0</v>
      </c>
      <c r="N36" s="33">
        <f>IFERROR(INDEX(CashProjTable[Expense],MATCH($A$3&amp;N$5,CashProjTable[RefRng],0)),0)</f>
        <v>0</v>
      </c>
      <c r="O36" s="33">
        <f>IFERROR(INDEX(CashProjTable[Expense],MATCH($A$3&amp;O$5,CashProjTable[RefRng],0)),0)</f>
        <v>0</v>
      </c>
      <c r="P36" s="33">
        <f>IFERROR(INDEX(CashProjTable[Expense],MATCH($A$3&amp;P$5,CashProjTable[RefRng],0)),0)</f>
        <v>0</v>
      </c>
    </row>
    <row r="37" spans="1:33" s="36" customFormat="1" x14ac:dyDescent="0.2">
      <c r="A37" s="34" t="s">
        <v>359</v>
      </c>
      <c r="B37" s="35"/>
      <c r="C37" s="35"/>
      <c r="D37" s="35"/>
      <c r="E37" s="35"/>
      <c r="F37" s="35">
        <v>0</v>
      </c>
      <c r="G37" s="35"/>
      <c r="H37" s="35">
        <v>60000000</v>
      </c>
      <c r="I37" s="35"/>
      <c r="J37" s="35"/>
      <c r="K37" s="35"/>
      <c r="L37" s="35"/>
      <c r="M37" s="35"/>
      <c r="N37" s="35"/>
      <c r="O37" s="35"/>
      <c r="P37" s="35"/>
    </row>
    <row r="38" spans="1:33" s="38" customFormat="1" ht="13.5" thickBot="1" x14ac:dyDescent="0.25">
      <c r="A38" s="28" t="s">
        <v>367</v>
      </c>
      <c r="B38" s="37">
        <v>6190288.8499999996</v>
      </c>
      <c r="C38" s="37">
        <v>6262591.4500000002</v>
      </c>
      <c r="D38" s="37">
        <v>79553102.479999989</v>
      </c>
      <c r="E38" s="37">
        <v>10474072.17</v>
      </c>
      <c r="F38" s="37">
        <v>162067709.78</v>
      </c>
      <c r="G38" s="37">
        <v>7861067.6399999997</v>
      </c>
      <c r="H38" s="37">
        <v>64524739.490000002</v>
      </c>
      <c r="I38" s="37">
        <v>4411584.25</v>
      </c>
      <c r="J38" s="37">
        <v>65810179.960000001</v>
      </c>
      <c r="K38" s="37">
        <v>15780072.810000001</v>
      </c>
      <c r="L38" s="37">
        <v>10486573.18</v>
      </c>
      <c r="M38" s="37">
        <f t="shared" ref="L38:O38" si="4">SUM(M30:M37)</f>
        <v>277973434.36000001</v>
      </c>
      <c r="N38" s="37">
        <f t="shared" ref="N38:P38" si="5">SUM(N30:N37)</f>
        <v>0</v>
      </c>
      <c r="O38" s="37">
        <f t="shared" si="5"/>
        <v>0</v>
      </c>
      <c r="P38" s="37">
        <f t="shared" si="5"/>
        <v>0</v>
      </c>
    </row>
    <row r="39" spans="1:33" s="22" customFormat="1" x14ac:dyDescent="0.2"/>
    <row r="40" spans="1:33" s="25" customFormat="1" x14ac:dyDescent="0.2">
      <c r="A40" s="24" t="s">
        <v>839</v>
      </c>
    </row>
    <row r="41" spans="1:33" s="22" customFormat="1" x14ac:dyDescent="0.2">
      <c r="A41" s="26" t="s">
        <v>369</v>
      </c>
      <c r="B41" s="33">
        <v>2363865.59</v>
      </c>
      <c r="C41" s="33">
        <v>2576692.88</v>
      </c>
      <c r="D41" s="33">
        <v>-76976519.449999988</v>
      </c>
      <c r="E41" s="33">
        <v>3708219.26</v>
      </c>
      <c r="F41" s="33">
        <v>3362545.4699999988</v>
      </c>
      <c r="G41" s="33">
        <v>4519723.62</v>
      </c>
      <c r="H41" s="33">
        <v>3266572.6399999931</v>
      </c>
      <c r="I41" s="33">
        <v>2976564.55</v>
      </c>
      <c r="J41" s="33">
        <v>7007821.9799999967</v>
      </c>
      <c r="K41" s="33">
        <v>5100105.3699999992</v>
      </c>
      <c r="L41" s="33">
        <f t="shared" ref="K41:P41" ca="1" si="6">L$6+L$27-L$38</f>
        <v>4088189.83</v>
      </c>
      <c r="M41" s="33">
        <f t="shared" ca="1" si="6"/>
        <v>6769890.6399999857</v>
      </c>
      <c r="N41" s="33">
        <f t="shared" ca="1" si="6"/>
        <v>7802215.959999986</v>
      </c>
      <c r="O41" s="33">
        <f t="shared" ca="1" si="6"/>
        <v>8723674.2399999853</v>
      </c>
      <c r="P41" s="33">
        <f t="shared" ca="1" si="6"/>
        <v>8723674.2399999853</v>
      </c>
    </row>
    <row r="42" spans="1:33" s="22" customFormat="1" x14ac:dyDescent="0.2">
      <c r="A42" s="26" t="s">
        <v>853</v>
      </c>
      <c r="B42" s="33">
        <v>2767519.53</v>
      </c>
      <c r="C42" s="33">
        <v>1687206.61</v>
      </c>
      <c r="D42" s="33">
        <f>IFERROR(INDEX(CashProjTable[CashBal],MATCH($A$3&amp;D$5,CashProjTable[RefRng],0)),0)</f>
        <v>0</v>
      </c>
      <c r="E42" s="33">
        <v>0</v>
      </c>
      <c r="F42" s="33">
        <v>3362545.47</v>
      </c>
      <c r="G42" s="33">
        <v>0</v>
      </c>
      <c r="H42" s="33">
        <v>3265753.51</v>
      </c>
      <c r="I42" s="33">
        <v>2977590.56</v>
      </c>
      <c r="J42" s="33">
        <v>7010247.8600000003</v>
      </c>
      <c r="K42" s="33">
        <f>IFERROR(INDEX(CashProjTable[CashBal],MATCH($A$3&amp;K$5,CashProjTable[RefRng],0)),0)</f>
        <v>5100876.18</v>
      </c>
      <c r="L42" s="33">
        <f>IFERROR(INDEX(CashProjTable[CashBal],MATCH($A$3&amp;L$5,CashProjTable[RefRng],0)),0)</f>
        <v>552945.09999999905</v>
      </c>
      <c r="M42" s="33">
        <f>IFERROR(INDEX(CashProjTable[CashBal],MATCH($A$3&amp;M$5,CashProjTable[RefRng],0)),0)</f>
        <v>-178994780.91999999</v>
      </c>
      <c r="N42" s="33">
        <f>IFERROR(INDEX(CashProjTable[CashBal],MATCH($A$3&amp;N$5,CashProjTable[RefRng],0)),0)</f>
        <v>-178684533.25</v>
      </c>
      <c r="O42" s="33">
        <f>IFERROR(INDEX(CashProjTable[CashBal],MATCH($A$3&amp;O$5,CashProjTable[RefRng],0)),0)</f>
        <v>-178684533.25</v>
      </c>
      <c r="P42" s="33">
        <f>IFERROR(INDEX(CashProjTable[CashBal],MATCH($A$3&amp;P$5,CashProjTable[RefRng],0)),0)</f>
        <v>-178684533.25</v>
      </c>
    </row>
    <row r="43" spans="1:33" s="41" customFormat="1" x14ac:dyDescent="0.2">
      <c r="A43" s="39" t="s">
        <v>370</v>
      </c>
      <c r="B43" s="40">
        <v>403653.93999999994</v>
      </c>
      <c r="C43" s="40">
        <v>-889486.26999999979</v>
      </c>
      <c r="D43" s="40">
        <v>76976519.449999988</v>
      </c>
      <c r="E43" s="40">
        <v>-6198459.6299999999</v>
      </c>
      <c r="F43" s="40">
        <v>-9417398.3499999978</v>
      </c>
      <c r="G43" s="40">
        <v>-1157178.1499999994</v>
      </c>
      <c r="H43" s="40">
        <v>1253403.8399999961</v>
      </c>
      <c r="I43" s="40">
        <v>289188.96000000089</v>
      </c>
      <c r="J43" s="40">
        <v>60593163.980000012</v>
      </c>
      <c r="K43" s="40">
        <v>-6086439.8299999982</v>
      </c>
      <c r="L43" s="40">
        <v>1012686.3499999996</v>
      </c>
      <c r="M43" s="40">
        <f t="shared" ref="M43:O43" ca="1" si="7">M42-M41</f>
        <v>-185764671.55999997</v>
      </c>
      <c r="N43" s="40">
        <f t="shared" ref="N43:P43" ca="1" si="8">N42-N41</f>
        <v>-186486749.20999998</v>
      </c>
      <c r="O43" s="40">
        <f t="shared" ca="1" si="8"/>
        <v>-187408207.48999998</v>
      </c>
      <c r="P43" s="40">
        <f t="shared" ca="1" si="8"/>
        <v>-187408207.48999998</v>
      </c>
    </row>
    <row r="44" spans="1:33" s="22" customFormat="1" x14ac:dyDescent="0.2">
      <c r="A44" s="26" t="s">
        <v>854</v>
      </c>
      <c r="B44" s="33">
        <v>6155199938.6999998</v>
      </c>
      <c r="C44" s="33">
        <v>6153192926.6100006</v>
      </c>
      <c r="D44" s="33">
        <v>6153219094.1199999</v>
      </c>
      <c r="E44" s="33">
        <v>6151797327.3999996</v>
      </c>
      <c r="F44" s="33">
        <v>6165940663.5</v>
      </c>
      <c r="G44" s="33">
        <v>6168549492.1499996</v>
      </c>
      <c r="H44" s="33">
        <v>6163790214.0100002</v>
      </c>
      <c r="I44" s="33">
        <v>6163941875.5099993</v>
      </c>
      <c r="J44" s="33">
        <v>6157746445.9899998</v>
      </c>
      <c r="K44" s="33">
        <v>6162987133.7399998</v>
      </c>
      <c r="L44" s="33">
        <v>6159993575.0999994</v>
      </c>
      <c r="M44" s="33">
        <f t="shared" ref="M44" ca="1" si="9">IF(M$5&gt;TODAY(),L44,L45)+SUM(M16:M19)-SUM(M30:M31)</f>
        <v>6147983381.7699995</v>
      </c>
      <c r="N44" s="33">
        <f t="shared" ref="N44" ca="1" si="10">IF(N$5&gt;TODAY(),M44,M45)+SUM(N16:N19)-SUM(N30:N31)</f>
        <v>6148705459.4199991</v>
      </c>
      <c r="O44" s="33">
        <f t="shared" ref="O44" ca="1" si="11">IF(O$5&gt;TODAY(),N44,N45)+SUM(O16:O19)-SUM(O30:O31)</f>
        <v>6149626917.6999989</v>
      </c>
      <c r="P44" s="33">
        <f t="shared" ref="P44" ca="1" si="12">IF(P$5&gt;TODAY(),O44,O45)+SUM(P16:P19)-SUM(P30:P31)</f>
        <v>6149626917.6999989</v>
      </c>
    </row>
    <row r="45" spans="1:33" s="22" customFormat="1" x14ac:dyDescent="0.2">
      <c r="A45" s="26" t="s">
        <v>855</v>
      </c>
      <c r="B45" s="33">
        <v>6155391739.5600004</v>
      </c>
      <c r="C45" s="33">
        <v>6154734145.8900003</v>
      </c>
      <c r="D45" s="33">
        <v>6156071265.8999996</v>
      </c>
      <c r="E45" s="33">
        <v>6160036317.3400002</v>
      </c>
      <c r="F45" s="33">
        <v>6162392314</v>
      </c>
      <c r="G45" s="33">
        <v>6165043617.8500004</v>
      </c>
      <c r="H45" s="33">
        <v>6164231064.4699993</v>
      </c>
      <c r="I45" s="33">
        <v>6163339609.9700003</v>
      </c>
      <c r="J45" s="33">
        <v>6161900693.9099998</v>
      </c>
      <c r="K45" s="33">
        <f>[1]!SCBAM_GetGroup1Dtl($A$3,"NET ASSET VALUE",K$5,"MarketVal")+[1]!SCBAM_GetGroup1Dtl($A$3,"NET ASSET VALUE",K$5,"ai")</f>
        <v>6161006261.4499998</v>
      </c>
      <c r="L45" s="33">
        <f>[1]!SCBAM_GetGroup1Dtl($A$3,"NET ASSET VALUE",L$5,"MarketVal")+[1]!SCBAM_GetGroup1Dtl($A$3,"NET ASSET VALUE",L$5,"ai")</f>
        <v>0</v>
      </c>
      <c r="M45" s="33">
        <f>[1]!SCBAM_GetGroup1Dtl($A$3,"NET ASSET VALUE",M$5,"MarketVal")+[1]!SCBAM_GetGroup1Dtl($A$3,"NET ASSET VALUE",M$5,"ai")</f>
        <v>0</v>
      </c>
      <c r="N45" s="33">
        <f>[1]!SCBAM_GetGroup1Dtl($A$3,"NET ASSET VALUE",N$5,"MarketVal")+[1]!SCBAM_GetGroup1Dtl($A$3,"NET ASSET VALUE",N$5,"ai")</f>
        <v>0</v>
      </c>
      <c r="O45" s="33">
        <f>[1]!SCBAM_GetGroup1Dtl($A$3,"NET ASSET VALUE",O$5,"MarketVal")+[1]!SCBAM_GetGroup1Dtl($A$3,"NET ASSET VALUE",O$5,"ai")</f>
        <v>0</v>
      </c>
      <c r="P45" s="33">
        <f>[1]!SCBAM_GetGroup1Dtl($A$3,"NET ASSET VALUE",P$5,"MarketVal")+[1]!SCBAM_GetGroup1Dtl($A$3,"NET ASSET VALUE",P$5,"ai")</f>
        <v>0</v>
      </c>
    </row>
    <row r="46" spans="1:33" s="21" customFormat="1" x14ac:dyDescent="0.2">
      <c r="A46" s="19" t="s">
        <v>840</v>
      </c>
      <c r="B46" s="20">
        <v>-2198812.9500000002</v>
      </c>
      <c r="C46" s="20">
        <v>3534365.44</v>
      </c>
      <c r="D46" s="20">
        <v>-4273938.5</v>
      </c>
      <c r="E46" s="20">
        <v>9295684.5999999996</v>
      </c>
      <c r="F46" s="20">
        <v>6157178.1499999994</v>
      </c>
      <c r="G46" s="20">
        <v>1048967.2</v>
      </c>
      <c r="H46" s="20">
        <v>1460359</v>
      </c>
      <c r="I46" s="20">
        <v>323478.09999999998</v>
      </c>
      <c r="J46" s="20">
        <v>1086439.83</v>
      </c>
      <c r="K46" s="20">
        <v>-1012686.3499999996</v>
      </c>
      <c r="L46" s="20">
        <f t="shared" ref="L46:M46" si="13">SUM(M16:M19)-SUM(M30:M31)</f>
        <v>-12010193.33</v>
      </c>
      <c r="M46" s="20">
        <f t="shared" si="13"/>
        <v>722077.65</v>
      </c>
      <c r="N46" s="20">
        <f t="shared" ref="N46" si="14">SUM(O16:O19)-SUM(O30:O31)</f>
        <v>921458.28</v>
      </c>
      <c r="O46" s="20">
        <f t="shared" ref="O46" si="15">SUM(P16:P19)-SUM(P30:P31)</f>
        <v>0</v>
      </c>
      <c r="P46" s="20">
        <f t="shared" ref="P46" si="16">SUM(Q16:Q19)-SUM(Q30:Q31)</f>
        <v>0</v>
      </c>
    </row>
    <row r="47" spans="1:33" s="47" customFormat="1" x14ac:dyDescent="0.2">
      <c r="A47" s="45" t="s">
        <v>371</v>
      </c>
      <c r="B47" s="48">
        <v>3.8403170586328493E-4</v>
      </c>
      <c r="C47" s="48">
        <v>4.1865218203139776E-4</v>
      </c>
      <c r="D47" s="48">
        <v>-1.2504163146452179E-2</v>
      </c>
      <c r="E47" s="48">
        <v>6.0278631798932239E-4</v>
      </c>
      <c r="F47" s="48">
        <v>5.4565585874187473E-4</v>
      </c>
      <c r="G47" s="48">
        <v>-7.9397510488206434E-4</v>
      </c>
      <c r="H47" s="48">
        <v>1.0204774101011926E-2</v>
      </c>
      <c r="I47" s="48">
        <v>1.0046716080507521E-2</v>
      </c>
      <c r="J47" s="48">
        <v>8.9181518241566559E-4</v>
      </c>
      <c r="K47" s="48">
        <v>1.097224667398645E-2</v>
      </c>
      <c r="L47" s="48">
        <v>-9.9783514464139964E-4</v>
      </c>
      <c r="M47" s="48">
        <f t="shared" ref="M47:O47" ca="1" si="17">M41/IF(M5&lt;TODAY(),M45,M44)</f>
        <v>1.1011563011172193E-3</v>
      </c>
      <c r="N47" s="48">
        <f t="shared" ref="N47:P47" ca="1" si="18">N41/IF(N5&lt;TODAY(),N45,N44)</f>
        <v>1.2689201022057024E-3</v>
      </c>
      <c r="O47" s="48">
        <f t="shared" ca="1" si="18"/>
        <v>1.4185696720708867E-3</v>
      </c>
      <c r="P47" s="48">
        <f t="shared" ca="1" si="18"/>
        <v>1.4185696720708867E-3</v>
      </c>
      <c r="Q47" s="46"/>
      <c r="R47" s="46"/>
      <c r="S47" s="46"/>
      <c r="T47" s="46"/>
      <c r="U47" s="46"/>
      <c r="V47" s="46"/>
      <c r="W47" s="46"/>
      <c r="X47" s="46"/>
      <c r="Y47" s="46"/>
      <c r="Z47" s="46"/>
      <c r="AA47" s="46"/>
      <c r="AB47" s="46"/>
      <c r="AC47" s="46"/>
      <c r="AD47" s="46"/>
      <c r="AE47" s="46"/>
      <c r="AF47" s="46"/>
      <c r="AG47" s="46"/>
    </row>
    <row r="48" spans="1:33" s="42" customFormat="1" x14ac:dyDescent="0.2">
      <c r="A48" s="42" t="s">
        <v>372</v>
      </c>
      <c r="B48" s="43">
        <v>1677819.53</v>
      </c>
      <c r="C48" s="43">
        <v>-1488793.39</v>
      </c>
      <c r="D48" s="43">
        <v>-2147200</v>
      </c>
      <c r="E48" s="43">
        <v>-7491740.3700000001</v>
      </c>
      <c r="F48" s="43">
        <v>-8732382.1799999997</v>
      </c>
      <c r="G48" s="43">
        <v>-6054852.8799999999</v>
      </c>
      <c r="H48" s="43">
        <v>64153490.579999998</v>
      </c>
      <c r="I48" s="43">
        <v>62216562.920000002</v>
      </c>
      <c r="J48" s="43">
        <v>66084735.75</v>
      </c>
      <c r="K48" s="43">
        <v>61535375.25</v>
      </c>
      <c r="L48" s="43">
        <v>-5133971.7300000004</v>
      </c>
      <c r="M48" s="43">
        <f>IFERROR(INDEX(CashProjTable[CashForUse],MATCH($A$3&amp;M$5,CashProjTable[RefRng],0)),0)</f>
        <v>-178994780.91999999</v>
      </c>
      <c r="N48" s="43">
        <f>IFERROR(INDEX(CashProjTable[CashForUse],MATCH($A$3&amp;N$5,CashProjTable[RefRng],0)),0)</f>
        <v>-178684533.25</v>
      </c>
      <c r="O48" s="43">
        <f>IFERROR(INDEX(CashProjTable[CashForUse],MATCH($A$3&amp;O$5,CashProjTable[RefRng],0)),0)</f>
        <v>-178684533.25</v>
      </c>
      <c r="P48" s="43">
        <f>IFERROR(INDEX(CashProjTable[CashForUse],MATCH($A$3&amp;P$5,CashProjTable[RefRng],0)),0)</f>
        <v>-178684533.25</v>
      </c>
    </row>
    <row r="49" spans="1:16" s="42" customFormat="1" x14ac:dyDescent="0.2">
      <c r="A49" s="42" t="s">
        <v>373</v>
      </c>
      <c r="B49" s="43">
        <v>-1390130.47</v>
      </c>
      <c r="C49" s="43">
        <v>-4586479.6900000004</v>
      </c>
      <c r="D49" s="43">
        <v>-2147200</v>
      </c>
      <c r="E49" s="43">
        <v>-10496433.25</v>
      </c>
      <c r="F49" s="43">
        <v>-13733882.18</v>
      </c>
      <c r="G49" s="43">
        <v>-8732382.1799999997</v>
      </c>
      <c r="H49" s="43">
        <v>60501730.689999998</v>
      </c>
      <c r="I49" s="43">
        <v>59994362.920000002</v>
      </c>
      <c r="J49" s="43">
        <v>61894711.090000004</v>
      </c>
      <c r="K49" s="43">
        <v>56790375.25</v>
      </c>
      <c r="L49" s="43">
        <v>-8842268.1400000006</v>
      </c>
      <c r="M49" s="43">
        <f>IFERROR(INDEX(CashProjTable[CashForBahtNet],MATCH($A$3&amp;M$5,CashProjTable[RefRng],0)),0)</f>
        <v>-184933495.19</v>
      </c>
      <c r="N49" s="43">
        <f>IFERROR(INDEX(CashProjTable[CashForBahtNet],MATCH($A$3&amp;N$5,CashProjTable[RefRng],0)),0)</f>
        <v>-178994780.91999999</v>
      </c>
      <c r="O49" s="43">
        <f>IFERROR(INDEX(CashProjTable[CashForBahtNet],MATCH($A$3&amp;O$5,CashProjTable[RefRng],0)),0)</f>
        <v>-178684533.25</v>
      </c>
      <c r="P49" s="43">
        <f>IFERROR(INDEX(CashProjTable[CashForBahtNet],MATCH($A$3&amp;P$5,CashProjTable[RefRng],0)),0)</f>
        <v>-178684533.25</v>
      </c>
    </row>
    <row r="51" spans="1:16" x14ac:dyDescent="0.2">
      <c r="A51" s="11" t="s">
        <v>329</v>
      </c>
    </row>
    <row r="52" spans="1:16" x14ac:dyDescent="0.2">
      <c r="A52" s="11" t="s">
        <v>333</v>
      </c>
    </row>
    <row r="53" spans="1:16" x14ac:dyDescent="0.2">
      <c r="A53" s="11" t="s">
        <v>330</v>
      </c>
    </row>
    <row r="54" spans="1:16" x14ac:dyDescent="0.2">
      <c r="A54" s="11" t="s">
        <v>331</v>
      </c>
    </row>
    <row r="55" spans="1:16" x14ac:dyDescent="0.2">
      <c r="A55" s="11" t="s">
        <v>332</v>
      </c>
    </row>
  </sheetData>
  <conditionalFormatting sqref="D5">
    <cfRule type="cellIs" dxfId="453" priority="47" operator="equal">
      <formula>TODAY()</formula>
    </cfRule>
  </conditionalFormatting>
  <conditionalFormatting sqref="D10">
    <cfRule type="cellIs" dxfId="452" priority="46" operator="greaterThan">
      <formula>"&lt;0"</formula>
    </cfRule>
  </conditionalFormatting>
  <conditionalFormatting sqref="D11">
    <cfRule type="cellIs" dxfId="451" priority="45" operator="greaterThan">
      <formula>"&lt;0"</formula>
    </cfRule>
  </conditionalFormatting>
  <conditionalFormatting sqref="A5:C5 Q5:XFD5">
    <cfRule type="cellIs" dxfId="450" priority="58" operator="equal">
      <formula>TODAY()</formula>
    </cfRule>
  </conditionalFormatting>
  <conditionalFormatting sqref="B9:D9">
    <cfRule type="cellIs" dxfId="449" priority="57" operator="greaterThan">
      <formula>"&lt;0"</formula>
    </cfRule>
  </conditionalFormatting>
  <conditionalFormatting sqref="B10">
    <cfRule type="cellIs" dxfId="448" priority="56" operator="greaterThan">
      <formula>"&lt;0"</formula>
    </cfRule>
  </conditionalFormatting>
  <conditionalFormatting sqref="B11">
    <cfRule type="cellIs" dxfId="447" priority="55" operator="greaterThan">
      <formula>"&lt;0"</formula>
    </cfRule>
  </conditionalFormatting>
  <conditionalFormatting sqref="C10">
    <cfRule type="cellIs" dxfId="446" priority="54" operator="greaterThan">
      <formula>"&lt;0"</formula>
    </cfRule>
  </conditionalFormatting>
  <conditionalFormatting sqref="C11">
    <cfRule type="cellIs" dxfId="445" priority="53" operator="greaterThan">
      <formula>"&lt;0"</formula>
    </cfRule>
  </conditionalFormatting>
  <conditionalFormatting sqref="B7">
    <cfRule type="cellIs" dxfId="444" priority="52" operator="greaterThan">
      <formula>"&lt;0"</formula>
    </cfRule>
  </conditionalFormatting>
  <conditionalFormatting sqref="F5">
    <cfRule type="cellIs" dxfId="443" priority="44" operator="equal">
      <formula>TODAY()</formula>
    </cfRule>
  </conditionalFormatting>
  <conditionalFormatting sqref="F9">
    <cfRule type="cellIs" dxfId="442" priority="43" operator="greaterThan">
      <formula>"&lt;0"</formula>
    </cfRule>
  </conditionalFormatting>
  <conditionalFormatting sqref="F10">
    <cfRule type="cellIs" dxfId="441" priority="42" operator="greaterThan">
      <formula>"&lt;0"</formula>
    </cfRule>
  </conditionalFormatting>
  <conditionalFormatting sqref="F11">
    <cfRule type="cellIs" dxfId="440" priority="41" operator="greaterThan">
      <formula>"&lt;0"</formula>
    </cfRule>
  </conditionalFormatting>
  <conditionalFormatting sqref="E10">
    <cfRule type="cellIs" dxfId="439" priority="34" operator="greaterThan">
      <formula>"&lt;0"</formula>
    </cfRule>
  </conditionalFormatting>
  <conditionalFormatting sqref="E11">
    <cfRule type="cellIs" dxfId="438" priority="33" operator="greaterThan">
      <formula>"&lt;0"</formula>
    </cfRule>
  </conditionalFormatting>
  <conditionalFormatting sqref="E9">
    <cfRule type="cellIs" dxfId="437" priority="36" operator="greaterThan">
      <formula>"&lt;0"</formula>
    </cfRule>
  </conditionalFormatting>
  <conditionalFormatting sqref="E5">
    <cfRule type="cellIs" dxfId="436" priority="35" operator="equal">
      <formula>TODAY()</formula>
    </cfRule>
  </conditionalFormatting>
  <conditionalFormatting sqref="G5">
    <cfRule type="cellIs" dxfId="435" priority="32" operator="equal">
      <formula>TODAY()</formula>
    </cfRule>
  </conditionalFormatting>
  <conditionalFormatting sqref="G9">
    <cfRule type="cellIs" dxfId="434" priority="31" operator="greaterThan">
      <formula>"&lt;0"</formula>
    </cfRule>
  </conditionalFormatting>
  <conditionalFormatting sqref="G10">
    <cfRule type="cellIs" dxfId="433" priority="30" operator="greaterThan">
      <formula>"&lt;0"</formula>
    </cfRule>
  </conditionalFormatting>
  <conditionalFormatting sqref="G11">
    <cfRule type="cellIs" dxfId="432" priority="29" operator="greaterThan">
      <formula>"&lt;0"</formula>
    </cfRule>
  </conditionalFormatting>
  <conditionalFormatting sqref="H5">
    <cfRule type="cellIs" dxfId="431" priority="28" operator="equal">
      <formula>TODAY()</formula>
    </cfRule>
  </conditionalFormatting>
  <conditionalFormatting sqref="H9">
    <cfRule type="cellIs" dxfId="430" priority="27" operator="greaterThan">
      <formula>"&lt;0"</formula>
    </cfRule>
  </conditionalFormatting>
  <conditionalFormatting sqref="H10">
    <cfRule type="cellIs" dxfId="429" priority="26" operator="greaterThan">
      <formula>"&lt;0"</formula>
    </cfRule>
  </conditionalFormatting>
  <conditionalFormatting sqref="H11">
    <cfRule type="cellIs" dxfId="428" priority="25" operator="greaterThan">
      <formula>"&lt;0"</formula>
    </cfRule>
  </conditionalFormatting>
  <conditionalFormatting sqref="I5">
    <cfRule type="cellIs" dxfId="427" priority="24" operator="equal">
      <formula>TODAY()</formula>
    </cfRule>
  </conditionalFormatting>
  <conditionalFormatting sqref="I9">
    <cfRule type="cellIs" dxfId="426" priority="23" operator="greaterThan">
      <formula>"&lt;0"</formula>
    </cfRule>
  </conditionalFormatting>
  <conditionalFormatting sqref="I10">
    <cfRule type="cellIs" dxfId="425" priority="22" operator="greaterThan">
      <formula>"&lt;0"</formula>
    </cfRule>
  </conditionalFormatting>
  <conditionalFormatting sqref="I11">
    <cfRule type="cellIs" dxfId="424" priority="21" operator="greaterThan">
      <formula>"&lt;0"</formula>
    </cfRule>
  </conditionalFormatting>
  <conditionalFormatting sqref="J5">
    <cfRule type="cellIs" dxfId="423" priority="20" operator="equal">
      <formula>TODAY()</formula>
    </cfRule>
  </conditionalFormatting>
  <conditionalFormatting sqref="J9">
    <cfRule type="cellIs" dxfId="422" priority="19" operator="greaterThan">
      <formula>"&lt;0"</formula>
    </cfRule>
  </conditionalFormatting>
  <conditionalFormatting sqref="J10">
    <cfRule type="cellIs" dxfId="421" priority="18" operator="greaterThan">
      <formula>"&lt;0"</formula>
    </cfRule>
  </conditionalFormatting>
  <conditionalFormatting sqref="J11">
    <cfRule type="cellIs" dxfId="420" priority="17" operator="greaterThan">
      <formula>"&lt;0"</formula>
    </cfRule>
  </conditionalFormatting>
  <conditionalFormatting sqref="K5">
    <cfRule type="cellIs" dxfId="419" priority="16" operator="equal">
      <formula>TODAY()</formula>
    </cfRule>
  </conditionalFormatting>
  <conditionalFormatting sqref="K9">
    <cfRule type="cellIs" dxfId="418" priority="15" operator="greaterThan">
      <formula>"&lt;0"</formula>
    </cfRule>
  </conditionalFormatting>
  <conditionalFormatting sqref="K10">
    <cfRule type="cellIs" dxfId="417" priority="14" operator="greaterThan">
      <formula>"&lt;0"</formula>
    </cfRule>
  </conditionalFormatting>
  <conditionalFormatting sqref="K11">
    <cfRule type="cellIs" dxfId="416" priority="13" operator="greaterThan">
      <formula>"&lt;0"</formula>
    </cfRule>
  </conditionalFormatting>
  <conditionalFormatting sqref="L5">
    <cfRule type="cellIs" dxfId="415" priority="12" operator="equal">
      <formula>TODAY()</formula>
    </cfRule>
  </conditionalFormatting>
  <conditionalFormatting sqref="L9">
    <cfRule type="cellIs" dxfId="414" priority="11" operator="greaterThan">
      <formula>"&lt;0"</formula>
    </cfRule>
  </conditionalFormatting>
  <conditionalFormatting sqref="L10">
    <cfRule type="cellIs" dxfId="413" priority="10" operator="greaterThan">
      <formula>"&lt;0"</formula>
    </cfRule>
  </conditionalFormatting>
  <conditionalFormatting sqref="L11">
    <cfRule type="cellIs" dxfId="412" priority="9" operator="greaterThan">
      <formula>"&lt;0"</formula>
    </cfRule>
  </conditionalFormatting>
  <conditionalFormatting sqref="M5">
    <cfRule type="cellIs" dxfId="411" priority="8" operator="equal">
      <formula>TODAY()</formula>
    </cfRule>
  </conditionalFormatting>
  <conditionalFormatting sqref="M9">
    <cfRule type="cellIs" dxfId="410" priority="7" operator="greaterThan">
      <formula>"&lt;0"</formula>
    </cfRule>
  </conditionalFormatting>
  <conditionalFormatting sqref="M10">
    <cfRule type="cellIs" dxfId="409" priority="6" operator="greaterThan">
      <formula>"&lt;0"</formula>
    </cfRule>
  </conditionalFormatting>
  <conditionalFormatting sqref="M11">
    <cfRule type="cellIs" dxfId="408" priority="5" operator="greaterThan">
      <formula>"&lt;0"</formula>
    </cfRule>
  </conditionalFormatting>
  <conditionalFormatting sqref="N5:P5">
    <cfRule type="cellIs" dxfId="407" priority="4" operator="equal">
      <formula>TODAY()</formula>
    </cfRule>
  </conditionalFormatting>
  <conditionalFormatting sqref="N9:P9">
    <cfRule type="cellIs" dxfId="406" priority="3" operator="greaterThan">
      <formula>"&lt;0"</formula>
    </cfRule>
  </conditionalFormatting>
  <conditionalFormatting sqref="N10:P10">
    <cfRule type="cellIs" dxfId="405" priority="2" operator="greaterThan">
      <formula>"&lt;0"</formula>
    </cfRule>
  </conditionalFormatting>
  <conditionalFormatting sqref="N11:P11">
    <cfRule type="cellIs" dxfId="404" priority="1" operator="greaterThan">
      <formula>"&lt;0"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7EBEE-D8DA-44C5-91F0-949B720B7C1C}">
  <sheetPr codeName="Sheet9"/>
  <dimension ref="A1:AG55"/>
  <sheetViews>
    <sheetView zoomScale="90" zoomScaleNormal="90" workbookViewId="0">
      <pane xSplit="1" ySplit="6" topLeftCell="J7" activePane="bottomRight" state="frozen"/>
      <selection pane="topRight" activeCell="B1" sqref="B1"/>
      <selection pane="bottomLeft" activeCell="A7" sqref="A7"/>
      <selection pane="bottomRight" activeCell="N38" sqref="N38"/>
    </sheetView>
  </sheetViews>
  <sheetFormatPr defaultColWidth="9" defaultRowHeight="12.75" outlineLevelRow="1" x14ac:dyDescent="0.2"/>
  <cols>
    <col min="1" max="1" width="32" style="11" customWidth="1"/>
    <col min="2" max="16" width="18.75" style="11" customWidth="1"/>
    <col min="17" max="27" width="15.125" style="11" bestFit="1" customWidth="1"/>
    <col min="28" max="16384" width="9" style="11"/>
  </cols>
  <sheetData>
    <row r="1" spans="1:33" x14ac:dyDescent="0.2">
      <c r="A1" s="10" t="s">
        <v>340</v>
      </c>
    </row>
    <row r="2" spans="1:33" x14ac:dyDescent="0.2">
      <c r="A2" s="12">
        <f ca="1">[1]!SCBAM_PreviousBusinessDay(TODAY())</f>
        <v>43397</v>
      </c>
    </row>
    <row r="3" spans="1:33" x14ac:dyDescent="0.2">
      <c r="A3" s="13" t="s">
        <v>337</v>
      </c>
    </row>
    <row r="5" spans="1:33" s="18" customFormat="1" x14ac:dyDescent="0.2">
      <c r="A5" s="14" t="s">
        <v>341</v>
      </c>
      <c r="B5" s="15">
        <v>43382</v>
      </c>
      <c r="C5" s="15">
        <v>43383</v>
      </c>
      <c r="D5" s="15">
        <v>43384</v>
      </c>
      <c r="E5" s="15">
        <v>43385</v>
      </c>
      <c r="F5" s="15">
        <v>43389</v>
      </c>
      <c r="G5" s="15">
        <v>43390</v>
      </c>
      <c r="H5" s="15">
        <v>43391</v>
      </c>
      <c r="I5" s="15">
        <v>43392</v>
      </c>
      <c r="J5" s="15">
        <v>43395</v>
      </c>
      <c r="K5" s="15">
        <v>43397</v>
      </c>
      <c r="L5" s="15">
        <v>43398</v>
      </c>
      <c r="M5" s="15">
        <f>[1]!SCBAM_NextBusinessDay(L5)</f>
        <v>43399</v>
      </c>
      <c r="N5" s="15">
        <f>[1]!SCBAM_NextBusinessDay(M5)</f>
        <v>43402</v>
      </c>
      <c r="O5" s="15">
        <f>[1]!SCBAM_NextBusinessDay(N5)</f>
        <v>43403</v>
      </c>
      <c r="P5" s="15">
        <f>[1]!SCBAM_NextBusinessDay(O5)</f>
        <v>43404</v>
      </c>
      <c r="Q5" s="16"/>
      <c r="R5" s="16"/>
      <c r="S5" s="16"/>
      <c r="T5" s="16"/>
      <c r="U5" s="16"/>
      <c r="V5" s="16"/>
      <c r="W5" s="16"/>
      <c r="X5" s="16"/>
      <c r="Y5" s="16"/>
      <c r="Z5" s="16"/>
      <c r="AA5" s="16"/>
      <c r="AB5" s="17"/>
      <c r="AC5" s="17"/>
      <c r="AD5" s="17"/>
      <c r="AE5" s="17"/>
      <c r="AF5" s="17"/>
      <c r="AG5" s="17"/>
    </row>
    <row r="6" spans="1:33" s="21" customFormat="1" x14ac:dyDescent="0.2">
      <c r="A6" s="19" t="s">
        <v>342</v>
      </c>
      <c r="B6" s="20">
        <v>794271.84</v>
      </c>
      <c r="C6" s="20">
        <v>798271.84</v>
      </c>
      <c r="D6" s="20">
        <v>898271.84</v>
      </c>
      <c r="E6" s="20">
        <v>908871.84</v>
      </c>
      <c r="F6" s="20">
        <v>918857.52</v>
      </c>
      <c r="G6" s="20">
        <v>972857.52</v>
      </c>
      <c r="H6" s="20">
        <v>2408132.7200000002</v>
      </c>
      <c r="I6" s="20">
        <v>223546.16</v>
      </c>
      <c r="J6" s="20">
        <v>348083.63</v>
      </c>
      <c r="K6" s="20">
        <v>681867.86</v>
      </c>
      <c r="L6" s="20">
        <f ca="1">IF(AND(ISNUMBER(K41),ISNUMBER(K42)),IF(L5&lt;=TODAY(),K42,K41),INDEX(CashProjTable[CashBal],MATCH($A$3&amp;[1]!SCBAM_PreviousBusinessDay(L$5),CashProjTable[RefRng],0)))</f>
        <v>693017.86</v>
      </c>
      <c r="M6" s="20">
        <f ca="1">IF(AND(ISNUMBER(L41),ISNUMBER(L42)),IF(M5&lt;=TODAY(),L42,L41),INDEX(CashProjTable[CashBal],MATCH($A$3&amp;[1]!SCBAM_PreviousBusinessDay(M$5),CashProjTable[RefRng],0)))</f>
        <v>7855932.7000000002</v>
      </c>
      <c r="N6" s="20">
        <f ca="1">IF(AND(ISNUMBER(M41),ISNUMBER(M42)),IF(N5&lt;=TODAY(),M42,M41),INDEX(CashProjTable[CashBal],MATCH($A$3&amp;[1]!SCBAM_PreviousBusinessDay(N$5),CashProjTable[RefRng],0)))</f>
        <v>138818.1099999994</v>
      </c>
      <c r="O6" s="20">
        <f ca="1">IF(AND(ISNUMBER(N41),ISNUMBER(N42)),IF(O5&lt;=TODAY(),N42,N41),INDEX(CashProjTable[CashBal],MATCH($A$3&amp;[1]!SCBAM_PreviousBusinessDay(O$5),CashProjTable[RefRng],0)))</f>
        <v>265324.40999999939</v>
      </c>
      <c r="P6" s="20">
        <f ca="1">IF(AND(ISNUMBER(O41),ISNUMBER(O42)),IF(P5&lt;=TODAY(),O42,O41),INDEX(CashProjTable[CashBal],MATCH($A$3&amp;[1]!SCBAM_PreviousBusinessDay(P$5),CashProjTable[RefRng],0)))</f>
        <v>265324.40999999939</v>
      </c>
    </row>
    <row r="7" spans="1:33" s="22" customFormat="1" x14ac:dyDescent="0.2">
      <c r="B7" s="23"/>
    </row>
    <row r="8" spans="1:33" s="25" customFormat="1" x14ac:dyDescent="0.2">
      <c r="A8" s="24" t="s">
        <v>343</v>
      </c>
    </row>
    <row r="9" spans="1:33" s="27" customFormat="1" x14ac:dyDescent="0.2">
      <c r="A9" s="26" t="s">
        <v>344</v>
      </c>
      <c r="B9" s="23">
        <v>14128950.960000001</v>
      </c>
      <c r="C9" s="23">
        <v>14128950.960000001</v>
      </c>
      <c r="D9" s="23">
        <v>14128950.960000001</v>
      </c>
      <c r="E9" s="23">
        <v>34034247.109999999</v>
      </c>
      <c r="F9" s="23">
        <v>34034247.109999999</v>
      </c>
      <c r="G9" s="23">
        <v>34034247.109999999</v>
      </c>
      <c r="H9" s="23">
        <v>4034247.1099999994</v>
      </c>
      <c r="I9" s="23">
        <v>434247.1099999994</v>
      </c>
      <c r="J9" s="23">
        <v>434247.1099999994</v>
      </c>
      <c r="K9" s="23">
        <v>1434247.1099999994</v>
      </c>
      <c r="L9" s="23">
        <v>1434247.1099999994</v>
      </c>
      <c r="M9" s="23">
        <f>IF(ISNUMBER(L$5),L$11,[1]!SCBAM_GetSecDtl($A$3,"INVSUOBTrf",M$5,"MarketVal"))</f>
        <v>1434247.1099999994</v>
      </c>
      <c r="N9" s="23">
        <f>IF(ISNUMBER(M$5),M$11,[1]!SCBAM_GetSecDtl($A$3,"INVSUOBTrf",N$5,"MarketVal"))</f>
        <v>34247.109999999404</v>
      </c>
      <c r="O9" s="23">
        <f>IF(ISNUMBER(N$5),N$11,[1]!SCBAM_GetSecDtl($A$3,"INVSUOBTrf",O$5,"MarketVal"))</f>
        <v>34247.109999999404</v>
      </c>
      <c r="P9" s="23">
        <f>IF(ISNUMBER(O$5),O$11,[1]!SCBAM_GetSecDtl($A$3,"INVSUOBTrf",P$5,"MarketVal"))</f>
        <v>34247.109999999404</v>
      </c>
    </row>
    <row r="10" spans="1:33" s="61" customFormat="1" ht="14.25" x14ac:dyDescent="0.2">
      <c r="A10" s="59" t="s">
        <v>345</v>
      </c>
      <c r="B10" s="60"/>
      <c r="C10" s="60"/>
      <c r="D10" s="60">
        <v>20000000</v>
      </c>
      <c r="E10" s="60"/>
      <c r="F10" s="60"/>
      <c r="G10" s="60">
        <v>-30000000</v>
      </c>
      <c r="H10" s="60">
        <v>-3600000</v>
      </c>
      <c r="I10" s="60"/>
      <c r="J10" s="60">
        <v>1000000</v>
      </c>
      <c r="K10" s="60"/>
      <c r="L10" s="60"/>
      <c r="M10" s="60">
        <f>-1.4*10^6</f>
        <v>-1400000</v>
      </c>
      <c r="N10" s="60"/>
      <c r="O10" s="60"/>
      <c r="P10" s="60"/>
    </row>
    <row r="11" spans="1:33" s="30" customFormat="1" ht="13.5" thickBot="1" x14ac:dyDescent="0.25">
      <c r="A11" s="28" t="s">
        <v>346</v>
      </c>
      <c r="B11" s="29">
        <v>14128950.960000001</v>
      </c>
      <c r="C11" s="29">
        <v>14128950.960000001</v>
      </c>
      <c r="D11" s="29">
        <v>34128950.960000001</v>
      </c>
      <c r="E11" s="29">
        <v>34034247.109999999</v>
      </c>
      <c r="F11" s="29">
        <v>34034247.109999999</v>
      </c>
      <c r="G11" s="29">
        <v>4034247.1099999994</v>
      </c>
      <c r="H11" s="29">
        <v>434247.1099999994</v>
      </c>
      <c r="I11" s="29">
        <v>434247.1099999994</v>
      </c>
      <c r="J11" s="29">
        <v>1434247.1099999994</v>
      </c>
      <c r="K11" s="29">
        <v>1434247.1099999994</v>
      </c>
      <c r="L11" s="29">
        <v>1434247.1099999994</v>
      </c>
      <c r="M11" s="29">
        <f t="shared" ref="M11:O11" si="0">SUM(M9:M10)</f>
        <v>34247.109999999404</v>
      </c>
      <c r="N11" s="29">
        <f t="shared" ref="N11:P11" si="1">SUM(N9:N10)</f>
        <v>34247.109999999404</v>
      </c>
      <c r="O11" s="29">
        <f t="shared" si="1"/>
        <v>34247.109999999404</v>
      </c>
      <c r="P11" s="29">
        <f t="shared" si="1"/>
        <v>34247.109999999404</v>
      </c>
    </row>
    <row r="12" spans="1:33" s="22" customFormat="1" ht="13.15" hidden="1" customHeight="1" outlineLevel="1" x14ac:dyDescent="0.2"/>
    <row r="13" spans="1:33" s="31" customFormat="1" hidden="1" outlineLevel="1" x14ac:dyDescent="0.2">
      <c r="A13" s="31" t="s">
        <v>348</v>
      </c>
    </row>
    <row r="14" spans="1:33" collapsed="1" x14ac:dyDescent="0.2"/>
    <row r="15" spans="1:33" s="25" customFormat="1" x14ac:dyDescent="0.2">
      <c r="A15" s="24" t="s">
        <v>347</v>
      </c>
    </row>
    <row r="16" spans="1:33" s="22" customFormat="1" x14ac:dyDescent="0.2">
      <c r="A16" s="32" t="s">
        <v>349</v>
      </c>
      <c r="B16" s="33">
        <v>4000</v>
      </c>
      <c r="C16" s="33">
        <v>100000</v>
      </c>
      <c r="D16" s="62">
        <v>10600</v>
      </c>
      <c r="E16" s="62">
        <v>9000</v>
      </c>
      <c r="F16" s="62">
        <v>54000</v>
      </c>
      <c r="G16" s="62">
        <v>12000</v>
      </c>
      <c r="H16" s="62">
        <v>143000</v>
      </c>
      <c r="I16" s="62">
        <v>16000</v>
      </c>
      <c r="J16" s="62">
        <v>33000</v>
      </c>
      <c r="K16" s="62">
        <v>11150</v>
      </c>
      <c r="L16" s="62">
        <v>116000</v>
      </c>
      <c r="M16" s="63">
        <f>IFERROR(INDEX(CashIntraTable[Amount],MATCH($A$3&amp;M$5&amp;$A51,CashIntraTable[RefRng],0)),0)</f>
        <v>70000</v>
      </c>
      <c r="N16" s="33">
        <f>IFERROR(INDEX(CashIntraTable[Amount],MATCH($A$3&amp;N$5&amp;$A51,CashIntraTable[RefRng],0)),0)</f>
        <v>0</v>
      </c>
      <c r="O16" s="33">
        <f>IFERROR(INDEX(CashIntraTable[Amount],MATCH($A$3&amp;O$5&amp;$A51,CashIntraTable[RefRng],0)),0)</f>
        <v>0</v>
      </c>
      <c r="P16" s="33">
        <f>IFERROR(INDEX(CashIntraTable[Amount],MATCH($A$3&amp;P$5&amp;$A51,CashIntraTable[RefRng],0)),0)</f>
        <v>0</v>
      </c>
    </row>
    <row r="17" spans="1:16" s="22" customFormat="1" x14ac:dyDescent="0.2">
      <c r="A17" s="32" t="s">
        <v>351</v>
      </c>
      <c r="B17" s="33">
        <v>0</v>
      </c>
      <c r="C17" s="33">
        <v>0</v>
      </c>
      <c r="D17" s="62">
        <v>0</v>
      </c>
      <c r="E17" s="62">
        <v>0</v>
      </c>
      <c r="F17" s="62">
        <v>0</v>
      </c>
      <c r="G17" s="62">
        <v>0</v>
      </c>
      <c r="H17" s="62">
        <v>0</v>
      </c>
      <c r="I17" s="62">
        <v>0</v>
      </c>
      <c r="J17" s="62">
        <v>0</v>
      </c>
      <c r="K17" s="62">
        <v>0</v>
      </c>
      <c r="L17" s="62">
        <v>0</v>
      </c>
      <c r="M17" s="63">
        <f>IFERROR(INDEX(CashIntraTable[Amount],MATCH($A$3&amp;M$5&amp;$A52,CashIntraTable[RefRng],0)),0)</f>
        <v>0</v>
      </c>
      <c r="N17" s="33">
        <f>IFERROR(INDEX(CashIntraTable[Amount],MATCH($A$3&amp;N$5&amp;$A52,CashIntraTable[RefRng],0)),0)</f>
        <v>0</v>
      </c>
      <c r="O17" s="33">
        <f>IFERROR(INDEX(CashIntraTable[Amount],MATCH($A$3&amp;O$5&amp;$A52,CashIntraTable[RefRng],0)),0)</f>
        <v>0</v>
      </c>
      <c r="P17" s="33">
        <f>IFERROR(INDEX(CashIntraTable[Amount],MATCH($A$3&amp;P$5&amp;$A52,CashIntraTable[RefRng],0)),0)</f>
        <v>0</v>
      </c>
    </row>
    <row r="18" spans="1:16" s="22" customFormat="1" x14ac:dyDescent="0.2">
      <c r="A18" s="32" t="s">
        <v>350</v>
      </c>
      <c r="B18" s="33">
        <v>0</v>
      </c>
      <c r="C18" s="33">
        <v>0</v>
      </c>
      <c r="D18" s="62">
        <v>0</v>
      </c>
      <c r="E18" s="62">
        <v>985.68</v>
      </c>
      <c r="F18" s="62">
        <v>0</v>
      </c>
      <c r="G18" s="62">
        <v>3000982.82</v>
      </c>
      <c r="H18" s="62">
        <v>0</v>
      </c>
      <c r="I18" s="62">
        <v>0</v>
      </c>
      <c r="J18" s="62">
        <v>1091712.98</v>
      </c>
      <c r="K18" s="62">
        <v>0</v>
      </c>
      <c r="L18" s="62">
        <v>0</v>
      </c>
      <c r="M18" s="63">
        <f>IFERROR(INDEX(CashIntraTable[Amount],MATCH($A$3&amp;M$5&amp;$A53,CashIntraTable[RefRng],0)),0)</f>
        <v>2000</v>
      </c>
      <c r="N18" s="33">
        <f>IFERROR(INDEX(CashIntraTable[Amount],MATCH($A$3&amp;N$5&amp;$A53,CashIntraTable[RefRng],0)),0)</f>
        <v>0</v>
      </c>
      <c r="O18" s="33">
        <f>IFERROR(INDEX(CashIntraTable[Amount],MATCH($A$3&amp;O$5&amp;$A53,CashIntraTable[RefRng],0)),0)</f>
        <v>0</v>
      </c>
      <c r="P18" s="33">
        <f>IFERROR(INDEX(CashIntraTable[Amount],MATCH($A$3&amp;P$5&amp;$A53,CashIntraTable[RefRng],0)),0)</f>
        <v>0</v>
      </c>
    </row>
    <row r="19" spans="1:16" s="22" customFormat="1" x14ac:dyDescent="0.2">
      <c r="A19" s="32" t="s">
        <v>352</v>
      </c>
      <c r="B19" s="33">
        <v>0</v>
      </c>
      <c r="C19" s="33">
        <v>0</v>
      </c>
      <c r="D19" s="62">
        <v>0</v>
      </c>
      <c r="E19" s="62">
        <v>0</v>
      </c>
      <c r="F19" s="62">
        <v>0</v>
      </c>
      <c r="G19" s="62">
        <v>0</v>
      </c>
      <c r="H19" s="62">
        <v>0</v>
      </c>
      <c r="I19" s="62">
        <v>0</v>
      </c>
      <c r="J19" s="62">
        <v>0</v>
      </c>
      <c r="K19" s="62">
        <v>0</v>
      </c>
      <c r="L19" s="62">
        <v>0</v>
      </c>
      <c r="M19" s="63">
        <v>0</v>
      </c>
      <c r="N19" s="33">
        <v>0</v>
      </c>
      <c r="O19" s="33">
        <v>0</v>
      </c>
      <c r="P19" s="33">
        <v>0</v>
      </c>
    </row>
    <row r="20" spans="1:16" s="22" customFormat="1" x14ac:dyDescent="0.2">
      <c r="A20" s="26" t="s">
        <v>353</v>
      </c>
      <c r="B20" s="33">
        <v>0</v>
      </c>
      <c r="C20" s="33">
        <v>0</v>
      </c>
      <c r="D20" s="33">
        <v>20000000</v>
      </c>
      <c r="E20" s="33">
        <v>0</v>
      </c>
      <c r="F20" s="33">
        <v>0</v>
      </c>
      <c r="G20" s="33">
        <v>24951336.649999999</v>
      </c>
      <c r="H20" s="33">
        <v>8000000</v>
      </c>
      <c r="I20" s="33">
        <v>7043696.7400000002</v>
      </c>
      <c r="J20" s="33">
        <v>0</v>
      </c>
      <c r="K20" s="33">
        <v>0</v>
      </c>
      <c r="L20" s="33">
        <v>7046914.8399999999</v>
      </c>
      <c r="M20" s="33">
        <f>IFERROR(INDEX(CashProjTable[DebtSell_BahtNet],MATCH($A$3&amp;M$5,CashProjTable[RefRng],0))+SUMIFS(IntraTrans[Net Settlement],IntraTrans[Portfolio],$A$3,IntraTrans[B/S],"S",IntraTrans[Settle Date],M$5,IntraTrans[Payment],"BAHTNET"),0)</f>
        <v>0</v>
      </c>
      <c r="N20" s="33">
        <f>IFERROR(INDEX(CashProjTable[DebtSell_BahtNet],MATCH($A$3&amp;N$5,CashProjTable[RefRng],0))+SUMIFS(IntraTrans[Net Settlement],IntraTrans[Portfolio],$A$3,IntraTrans[B/S],"S",IntraTrans[Settle Date],N$5,IntraTrans[Payment],"BAHTNET"),0)</f>
        <v>0</v>
      </c>
      <c r="O20" s="33">
        <f>IFERROR(INDEX(CashProjTable[DebtSell_BahtNet],MATCH($A$3&amp;O$5,CashProjTable[RefRng],0))+SUMIFS(IntraTrans[Net Settlement],IntraTrans[Portfolio],$A$3,IntraTrans[B/S],"S",IntraTrans[Settle Date],O$5,IntraTrans[Payment],"BAHTNET"),0)</f>
        <v>0</v>
      </c>
      <c r="P20" s="33">
        <f>IFERROR(INDEX(CashProjTable[DebtSell_BahtNet],MATCH($A$3&amp;P$5,CashProjTable[RefRng],0))+SUMIFS(IntraTrans[Net Settlement],IntraTrans[Portfolio],$A$3,IntraTrans[B/S],"S",IntraTrans[Settle Date],P$5,IntraTrans[Payment],"BAHTNET"),0)</f>
        <v>0</v>
      </c>
    </row>
    <row r="21" spans="1:16" s="22" customFormat="1" x14ac:dyDescent="0.2">
      <c r="A21" s="26" t="s">
        <v>354</v>
      </c>
      <c r="B21" s="33">
        <v>0</v>
      </c>
      <c r="C21" s="33">
        <v>0</v>
      </c>
      <c r="D21" s="33">
        <v>0</v>
      </c>
      <c r="E21" s="33">
        <v>0</v>
      </c>
      <c r="F21" s="33">
        <v>0</v>
      </c>
      <c r="G21" s="33">
        <v>0</v>
      </c>
      <c r="H21" s="33">
        <v>0</v>
      </c>
      <c r="I21" s="33">
        <v>0</v>
      </c>
      <c r="J21" s="33">
        <v>0</v>
      </c>
      <c r="K21" s="33">
        <v>0</v>
      </c>
      <c r="L21" s="33">
        <v>0</v>
      </c>
      <c r="M21" s="33">
        <f>IFERROR((INDEX(CashProjTable[DebtSell],MATCH($A$3&amp;M$5,CashProjTable[RefRng],0))-INDEX(CashProjTable[DebtSell_BahtNet],MATCH($A$3&amp;M$5,CashProjTable[RefRng],0)))+SUMIFS(IntraTrans[Net Settlement],IntraTrans[Portfolio],$A$3,IntraTrans[B/S],"S",IntraTrans[Settle Date],M$5,IntraTrans[Payment],"CHEQUE"),0)</f>
        <v>0</v>
      </c>
      <c r="N21" s="33">
        <f>IFERROR((INDEX(CashProjTable[DebtSell],MATCH($A$3&amp;N$5,CashProjTable[RefRng],0))-INDEX(CashProjTable[DebtSell_BahtNet],MATCH($A$3&amp;N$5,CashProjTable[RefRng],0)))+SUMIFS(IntraTrans[Net Settlement],IntraTrans[Portfolio],$A$3,IntraTrans[B/S],"S",IntraTrans[Settle Date],N$5,IntraTrans[Payment],"CHEQUE"),0)</f>
        <v>0</v>
      </c>
      <c r="O21" s="33">
        <f>IFERROR((INDEX(CashProjTable[DebtSell],MATCH($A$3&amp;O$5,CashProjTable[RefRng],0))-INDEX(CashProjTable[DebtSell_BahtNet],MATCH($A$3&amp;O$5,CashProjTable[RefRng],0)))+SUMIFS(IntraTrans[Net Settlement],IntraTrans[Portfolio],$A$3,IntraTrans[B/S],"S",IntraTrans[Settle Date],O$5,IntraTrans[Payment],"CHEQUE"),0)</f>
        <v>0</v>
      </c>
      <c r="P21" s="33">
        <f>IFERROR((INDEX(CashProjTable[DebtSell],MATCH($A$3&amp;P$5,CashProjTable[RefRng],0))-INDEX(CashProjTable[DebtSell_BahtNet],MATCH($A$3&amp;P$5,CashProjTable[RefRng],0)))+SUMIFS(IntraTrans[Net Settlement],IntraTrans[Portfolio],$A$3,IntraTrans[B/S],"S",IntraTrans[Settle Date],P$5,IntraTrans[Payment],"CHEQUE"),0)</f>
        <v>0</v>
      </c>
    </row>
    <row r="22" spans="1:16" s="22" customFormat="1" x14ac:dyDescent="0.2">
      <c r="A22" s="26" t="s">
        <v>355</v>
      </c>
      <c r="B22" s="33">
        <v>0</v>
      </c>
      <c r="C22" s="33">
        <v>0</v>
      </c>
      <c r="D22" s="33">
        <v>0</v>
      </c>
      <c r="E22" s="33">
        <v>0</v>
      </c>
      <c r="F22" s="33">
        <v>0</v>
      </c>
      <c r="G22" s="33">
        <v>30000000</v>
      </c>
      <c r="H22" s="33">
        <v>3600000</v>
      </c>
      <c r="I22" s="33">
        <v>0</v>
      </c>
      <c r="J22" s="33">
        <v>0</v>
      </c>
      <c r="K22" s="33">
        <v>0</v>
      </c>
      <c r="L22" s="33">
        <v>0</v>
      </c>
      <c r="M22" s="33">
        <f>IF(M$10&lt;0,-M$10,0)++INDEX(CashProjTable[CashEqSell_BahtNet],MATCH($A$3&amp;M$5,CashProjTable[RefRng],0))</f>
        <v>1400000</v>
      </c>
      <c r="N22" s="33">
        <f>IF(N$10&lt;0,-N$10,0)++INDEX(CashProjTable[CashEqSell_BahtNet],MATCH($A$3&amp;N$5,CashProjTable[RefRng],0))</f>
        <v>0</v>
      </c>
      <c r="O22" s="33">
        <f>IF(O$10&lt;0,-O$10,0)++INDEX(CashProjTable[CashEqSell_BahtNet],MATCH($A$3&amp;O$5,CashProjTable[RefRng],0))</f>
        <v>0</v>
      </c>
      <c r="P22" s="33">
        <f>IF(P$10&lt;0,-P$10,0)++INDEX(CashProjTable[CashEqSell_BahtNet],MATCH($A$3&amp;P$5,CashProjTable[RefRng],0))</f>
        <v>0</v>
      </c>
    </row>
    <row r="23" spans="1:16" s="22" customFormat="1" x14ac:dyDescent="0.2">
      <c r="A23" s="26" t="s">
        <v>356</v>
      </c>
      <c r="B23" s="33">
        <v>0</v>
      </c>
      <c r="C23" s="33">
        <v>0</v>
      </c>
      <c r="D23" s="33">
        <v>0</v>
      </c>
      <c r="E23" s="33">
        <v>0</v>
      </c>
      <c r="F23" s="33">
        <v>0</v>
      </c>
      <c r="G23" s="33">
        <v>0</v>
      </c>
      <c r="H23" s="33">
        <v>0</v>
      </c>
      <c r="I23" s="33">
        <v>0</v>
      </c>
      <c r="J23" s="33">
        <v>0</v>
      </c>
      <c r="K23" s="33">
        <v>0</v>
      </c>
      <c r="L23" s="33">
        <v>0</v>
      </c>
      <c r="M23" s="33">
        <v>0</v>
      </c>
      <c r="N23" s="33">
        <v>0</v>
      </c>
      <c r="O23" s="33">
        <v>0</v>
      </c>
      <c r="P23" s="33">
        <v>0</v>
      </c>
    </row>
    <row r="24" spans="1:16" s="22" customFormat="1" x14ac:dyDescent="0.2">
      <c r="A24" s="26" t="s">
        <v>357</v>
      </c>
      <c r="B24" s="33">
        <v>0</v>
      </c>
      <c r="C24" s="33">
        <v>0</v>
      </c>
      <c r="D24" s="33">
        <v>0</v>
      </c>
      <c r="E24" s="33">
        <v>0</v>
      </c>
      <c r="F24" s="33">
        <v>0</v>
      </c>
      <c r="G24" s="33">
        <v>0</v>
      </c>
      <c r="H24" s="33">
        <v>65972.600000000006</v>
      </c>
      <c r="I24" s="33">
        <v>60164.38</v>
      </c>
      <c r="J24" s="33">
        <v>209071.23</v>
      </c>
      <c r="K24" s="33">
        <v>0</v>
      </c>
      <c r="L24" s="33">
        <v>0</v>
      </c>
      <c r="M24" s="33">
        <f>IFERROR(INDEX(CashProjTable[DebtInterest],MATCH($A$3&amp;M$5,CashProjTable[RefRng],0)),0)</f>
        <v>0</v>
      </c>
      <c r="N24" s="33">
        <f>IFERROR(INDEX(CashProjTable[DebtInterest],MATCH($A$3&amp;N$5,CashProjTable[RefRng],0)),0)</f>
        <v>126506.3</v>
      </c>
      <c r="O24" s="33">
        <f>IFERROR(INDEX(CashProjTable[DebtInterest],MATCH($A$3&amp;O$5,CashProjTable[RefRng],0)),0)</f>
        <v>0</v>
      </c>
      <c r="P24" s="33">
        <f>IFERROR(INDEX(CashProjTable[DebtInterest],MATCH($A$3&amp;P$5,CashProjTable[RefRng],0)),0)</f>
        <v>0</v>
      </c>
    </row>
    <row r="25" spans="1:16" s="22" customFormat="1" x14ac:dyDescent="0.2">
      <c r="A25" s="26" t="s">
        <v>358</v>
      </c>
      <c r="B25" s="33">
        <v>0</v>
      </c>
      <c r="C25" s="33">
        <v>0</v>
      </c>
      <c r="D25" s="33">
        <v>0</v>
      </c>
      <c r="E25" s="33">
        <v>0</v>
      </c>
      <c r="F25" s="33">
        <v>0</v>
      </c>
      <c r="G25" s="33">
        <v>0</v>
      </c>
      <c r="H25" s="33">
        <v>0</v>
      </c>
      <c r="I25" s="33">
        <v>0</v>
      </c>
      <c r="J25" s="33">
        <v>0</v>
      </c>
      <c r="K25" s="33">
        <v>0</v>
      </c>
      <c r="L25" s="33">
        <v>0</v>
      </c>
      <c r="M25" s="33">
        <f>IFERROR(INDEX(CashProjTable[CashEqInterest],MATCH($A$3&amp;M$5,CashProjTable[RefRng],0)),0)</f>
        <v>0</v>
      </c>
      <c r="N25" s="33">
        <f>IFERROR(INDEX(CashProjTable[CashEqInterest],MATCH($A$3&amp;N$5,CashProjTable[RefRng],0)),0)</f>
        <v>0</v>
      </c>
      <c r="O25" s="33">
        <f>IFERROR(INDEX(CashProjTable[CashEqInterest],MATCH($A$3&amp;O$5,CashProjTable[RefRng],0)),0)</f>
        <v>0</v>
      </c>
      <c r="P25" s="33">
        <f>IFERROR(INDEX(CashProjTable[CashEqInterest],MATCH($A$3&amp;P$5,CashProjTable[RefRng],0)),0)</f>
        <v>0</v>
      </c>
    </row>
    <row r="26" spans="1:16" s="36" customFormat="1" x14ac:dyDescent="0.2">
      <c r="A26" s="34" t="s">
        <v>359</v>
      </c>
      <c r="B26" s="35">
        <v>0</v>
      </c>
      <c r="C26" s="35"/>
      <c r="D26" s="35"/>
      <c r="E26" s="35"/>
      <c r="F26" s="35"/>
      <c r="G26" s="35"/>
      <c r="H26" s="35"/>
      <c r="I26" s="35"/>
      <c r="J26" s="35"/>
      <c r="K26" s="35"/>
      <c r="L26" s="35"/>
      <c r="M26" s="35"/>
      <c r="N26" s="35"/>
      <c r="O26" s="35"/>
      <c r="P26" s="35"/>
    </row>
    <row r="27" spans="1:16" s="38" customFormat="1" ht="13.5" thickBot="1" x14ac:dyDescent="0.25">
      <c r="A27" s="28" t="s">
        <v>360</v>
      </c>
      <c r="B27" s="37">
        <v>4000</v>
      </c>
      <c r="C27" s="37">
        <v>100000</v>
      </c>
      <c r="D27" s="37">
        <v>20010600</v>
      </c>
      <c r="E27" s="37">
        <v>9985.68</v>
      </c>
      <c r="F27" s="37">
        <v>54000</v>
      </c>
      <c r="G27" s="37">
        <v>57964319.469999999</v>
      </c>
      <c r="H27" s="37">
        <v>11808972.6</v>
      </c>
      <c r="I27" s="37">
        <v>7119861.1200000001</v>
      </c>
      <c r="J27" s="37">
        <v>1333784.21</v>
      </c>
      <c r="K27" s="37">
        <v>11150</v>
      </c>
      <c r="L27" s="37">
        <v>7162914.8399999999</v>
      </c>
      <c r="M27" s="37">
        <f t="shared" ref="L27:O27" si="2">SUM(M16:M26)</f>
        <v>1472000</v>
      </c>
      <c r="N27" s="37">
        <f t="shared" ref="N27:P27" si="3">SUM(N16:N26)</f>
        <v>126506.3</v>
      </c>
      <c r="O27" s="37">
        <f t="shared" si="3"/>
        <v>0</v>
      </c>
      <c r="P27" s="37">
        <f t="shared" si="3"/>
        <v>0</v>
      </c>
    </row>
    <row r="28" spans="1:16" s="22" customFormat="1" x14ac:dyDescent="0.2"/>
    <row r="29" spans="1:16" s="25" customFormat="1" x14ac:dyDescent="0.2">
      <c r="A29" s="24" t="s">
        <v>361</v>
      </c>
    </row>
    <row r="30" spans="1:16" s="22" customFormat="1" x14ac:dyDescent="0.2">
      <c r="A30" s="32" t="s">
        <v>362</v>
      </c>
      <c r="B30" s="33">
        <v>0</v>
      </c>
      <c r="C30" s="33">
        <v>0</v>
      </c>
      <c r="D30" s="62">
        <v>0</v>
      </c>
      <c r="E30" s="62">
        <v>0</v>
      </c>
      <c r="F30" s="62">
        <v>0</v>
      </c>
      <c r="G30" s="62">
        <v>41835099.810000002</v>
      </c>
      <c r="H30" s="62">
        <v>0</v>
      </c>
      <c r="I30" s="62">
        <v>0</v>
      </c>
      <c r="J30" s="62">
        <v>0</v>
      </c>
      <c r="K30" s="62">
        <v>0</v>
      </c>
      <c r="L30" s="62">
        <v>0</v>
      </c>
      <c r="M30" s="63">
        <f>IFERROR(ABS(INDEX(CashIntraTable[Amount],MATCH($A$3&amp;M$5&amp;$A54,CashIntraTable[RefRng],0))),0)</f>
        <v>0</v>
      </c>
      <c r="N30" s="33">
        <f>IFERROR(ABS(INDEX(CashIntraTable[Amount],MATCH($A$3&amp;N$5&amp;$A54,CashIntraTable[RefRng],0))),0)</f>
        <v>0</v>
      </c>
      <c r="O30" s="33">
        <f>IFERROR(ABS(INDEX(CashIntraTable[Amount],MATCH($A$3&amp;O$5&amp;$A54,CashIntraTable[RefRng],0))),0)</f>
        <v>0</v>
      </c>
      <c r="P30" s="33">
        <f>IFERROR(ABS(INDEX(CashIntraTable[Amount],MATCH($A$3&amp;P$5&amp;$A54,CashIntraTable[RefRng],0))),0)</f>
        <v>0</v>
      </c>
    </row>
    <row r="31" spans="1:16" s="22" customFormat="1" x14ac:dyDescent="0.2">
      <c r="A31" s="32" t="s">
        <v>363</v>
      </c>
      <c r="B31" s="33">
        <v>0</v>
      </c>
      <c r="C31" s="33">
        <v>0</v>
      </c>
      <c r="D31" s="62">
        <v>0</v>
      </c>
      <c r="E31" s="62">
        <v>0</v>
      </c>
      <c r="F31" s="62">
        <v>0</v>
      </c>
      <c r="G31" s="62">
        <v>14686639.460000001</v>
      </c>
      <c r="H31" s="62">
        <v>0</v>
      </c>
      <c r="I31" s="62">
        <v>0</v>
      </c>
      <c r="J31" s="62">
        <v>0</v>
      </c>
      <c r="K31" s="62">
        <v>0</v>
      </c>
      <c r="L31" s="62">
        <v>0</v>
      </c>
      <c r="M31" s="63">
        <f>IFERROR(ABS(INDEX(CashIntraTable[Amount],MATCH($A$3&amp;M$5&amp;$A55,CashIntraTable[RefRng],0))),0)</f>
        <v>0</v>
      </c>
      <c r="N31" s="33">
        <f>IFERROR(ABS(INDEX(CashIntraTable[Amount],MATCH($A$3&amp;N$5&amp;$A55,CashIntraTable[RefRng],0))),0)</f>
        <v>0</v>
      </c>
      <c r="O31" s="33">
        <f>IFERROR(ABS(INDEX(CashIntraTable[Amount],MATCH($A$3&amp;O$5&amp;$A55,CashIntraTable[RefRng],0))),0)</f>
        <v>0</v>
      </c>
      <c r="P31" s="33">
        <f>IFERROR(ABS(INDEX(CashIntraTable[Amount],MATCH($A$3&amp;P$5&amp;$A55,CashIntraTable[RefRng],0))),0)</f>
        <v>0</v>
      </c>
    </row>
    <row r="32" spans="1:16" s="22" customFormat="1" x14ac:dyDescent="0.2">
      <c r="A32" s="26" t="s">
        <v>364</v>
      </c>
      <c r="B32" s="33">
        <v>0</v>
      </c>
      <c r="C32" s="33">
        <v>0</v>
      </c>
      <c r="D32" s="33">
        <v>0</v>
      </c>
      <c r="E32" s="33">
        <v>0</v>
      </c>
      <c r="F32" s="33">
        <v>0</v>
      </c>
      <c r="G32" s="33">
        <v>0</v>
      </c>
      <c r="H32" s="33">
        <v>13993559.16</v>
      </c>
      <c r="I32" s="33">
        <v>6995323.6500000004</v>
      </c>
      <c r="J32" s="33">
        <v>0</v>
      </c>
      <c r="K32" s="33">
        <v>0</v>
      </c>
      <c r="L32" s="33">
        <v>0</v>
      </c>
      <c r="M32" s="33">
        <f>IFERROR(INDEX(CashProjTable[DebtBuy_BahtNet],MATCH($A$3&amp;M$5,CashProjTable[RefRng],0))+SUMIFS(IntraTrans[Net Settlement],IntraTrans[Portfolio],$A$3,IntraTrans[B/S],"B",IntraTrans[Settle Date],M$5,IntraTrans[Payment],"BAHTNET"),0)</f>
        <v>8989114.5899999999</v>
      </c>
      <c r="N32" s="33">
        <f>IFERROR(INDEX(CashProjTable[DebtBuy_BahtNet],MATCH($A$3&amp;N$5,CashProjTable[RefRng],0))+SUMIFS(IntraTrans[Net Settlement],IntraTrans[Portfolio],$A$3,IntraTrans[B/S],"B",IntraTrans[Settle Date],N$5,IntraTrans[Payment],"BAHTNET"),0)</f>
        <v>0</v>
      </c>
      <c r="O32" s="33">
        <f>IFERROR(INDEX(CashProjTable[DebtBuy_BahtNet],MATCH($A$3&amp;O$5,CashProjTable[RefRng],0))+SUMIFS(IntraTrans[Net Settlement],IntraTrans[Portfolio],$A$3,IntraTrans[B/S],"B",IntraTrans[Settle Date],O$5,IntraTrans[Payment],"BAHTNET"),0)</f>
        <v>0</v>
      </c>
      <c r="P32" s="33">
        <f>IFERROR(INDEX(CashProjTable[DebtBuy_BahtNet],MATCH($A$3&amp;P$5,CashProjTable[RefRng],0))+SUMIFS(IntraTrans[Net Settlement],IntraTrans[Portfolio],$A$3,IntraTrans[B/S],"B",IntraTrans[Settle Date],P$5,IntraTrans[Payment],"BAHTNET"),0)</f>
        <v>0</v>
      </c>
    </row>
    <row r="33" spans="1:33" s="22" customFormat="1" x14ac:dyDescent="0.2">
      <c r="A33" s="26" t="s">
        <v>365</v>
      </c>
      <c r="B33" s="33">
        <v>0</v>
      </c>
      <c r="C33" s="33">
        <v>0</v>
      </c>
      <c r="D33" s="33">
        <v>0</v>
      </c>
      <c r="E33" s="33">
        <v>0</v>
      </c>
      <c r="F33" s="33">
        <v>0</v>
      </c>
      <c r="G33" s="33">
        <v>0</v>
      </c>
      <c r="H33" s="33">
        <v>0</v>
      </c>
      <c r="I33" s="33">
        <v>0</v>
      </c>
      <c r="J33" s="33">
        <v>0</v>
      </c>
      <c r="K33" s="33">
        <v>0</v>
      </c>
      <c r="L33" s="33">
        <v>0</v>
      </c>
      <c r="M33" s="33">
        <f>IFERROR((INDEX(CashProjTable[DebtBuy],MATCH($A$3&amp;M$5,CashProjTable[RefRng],0))-INDEX(CashProjTable[DebtBuy_BahtNet],MATCH($A$3&amp;M$5,CashProjTable[RefRng],0)))+SUMIFS(IntraTrans[Net Settlement],IntraTrans[Portfolio],$A$3,IntraTrans[B/S],"B",IntraTrans[Settle Date],M$5,IntraTrans[Payment],"CHEQUE"),0)</f>
        <v>0</v>
      </c>
      <c r="N33" s="33">
        <f>IFERROR((INDEX(CashProjTable[DebtBuy],MATCH($A$3&amp;N$5,CashProjTable[RefRng],0))-INDEX(CashProjTable[DebtBuy_BahtNet],MATCH($A$3&amp;N$5,CashProjTable[RefRng],0)))+SUMIFS(IntraTrans[Net Settlement],IntraTrans[Portfolio],$A$3,IntraTrans[B/S],"B",IntraTrans[Settle Date],N$5,IntraTrans[Payment],"CHEQUE"),0)</f>
        <v>0</v>
      </c>
      <c r="O33" s="33">
        <f>IFERROR((INDEX(CashProjTable[DebtBuy],MATCH($A$3&amp;O$5,CashProjTable[RefRng],0))-INDEX(CashProjTable[DebtBuy_BahtNet],MATCH($A$3&amp;O$5,CashProjTable[RefRng],0)))+SUMIFS(IntraTrans[Net Settlement],IntraTrans[Portfolio],$A$3,IntraTrans[B/S],"B",IntraTrans[Settle Date],O$5,IntraTrans[Payment],"CHEQUE"),0)</f>
        <v>0</v>
      </c>
      <c r="P33" s="33">
        <f>IFERROR((INDEX(CashProjTable[DebtBuy],MATCH($A$3&amp;P$5,CashProjTable[RefRng],0))-INDEX(CashProjTable[DebtBuy_BahtNet],MATCH($A$3&amp;P$5,CashProjTable[RefRng],0)))+SUMIFS(IntraTrans[Net Settlement],IntraTrans[Portfolio],$A$3,IntraTrans[B/S],"B",IntraTrans[Settle Date],P$5,IntraTrans[Payment],"CHEQUE"),0)</f>
        <v>0</v>
      </c>
    </row>
    <row r="34" spans="1:33" s="22" customFormat="1" x14ac:dyDescent="0.2">
      <c r="A34" s="26" t="s">
        <v>355</v>
      </c>
      <c r="B34" s="33">
        <v>0</v>
      </c>
      <c r="C34" s="33">
        <v>0</v>
      </c>
      <c r="D34" s="33">
        <v>20000000</v>
      </c>
      <c r="E34" s="33">
        <v>0</v>
      </c>
      <c r="F34" s="33">
        <v>0</v>
      </c>
      <c r="G34" s="33">
        <v>0</v>
      </c>
      <c r="H34" s="33">
        <v>0</v>
      </c>
      <c r="I34" s="33">
        <v>0</v>
      </c>
      <c r="J34" s="33">
        <v>1000000</v>
      </c>
      <c r="K34" s="33">
        <v>0</v>
      </c>
      <c r="L34" s="33">
        <v>0</v>
      </c>
      <c r="M34" s="33">
        <f>IF(M$10&gt;0,M$10,0)+INDEX(CashProjTable[CashEqBuy_BahtNet],MATCH($A$3&amp;M$5,CashProjTable[RefRng],0))</f>
        <v>0</v>
      </c>
      <c r="N34" s="33">
        <f>IF(N$10&gt;0,N$10,0)+INDEX(CashProjTable[CashEqBuy_BahtNet],MATCH($A$3&amp;N$5,CashProjTable[RefRng],0))</f>
        <v>0</v>
      </c>
      <c r="O34" s="33">
        <f>IF(O$10&gt;0,O$10,0)+INDEX(CashProjTable[CashEqBuy_BahtNet],MATCH($A$3&amp;O$5,CashProjTable[RefRng],0))</f>
        <v>0</v>
      </c>
      <c r="P34" s="33">
        <f>IF(P$10&gt;0,P$10,0)+INDEX(CashProjTable[CashEqBuy_BahtNet],MATCH($A$3&amp;P$5,CashProjTable[RefRng],0))</f>
        <v>0</v>
      </c>
    </row>
    <row r="35" spans="1:33" s="22" customFormat="1" x14ac:dyDescent="0.2">
      <c r="A35" s="26" t="s">
        <v>356</v>
      </c>
      <c r="B35" s="33">
        <v>0</v>
      </c>
      <c r="C35" s="33">
        <v>0</v>
      </c>
      <c r="D35" s="33">
        <v>0</v>
      </c>
      <c r="E35" s="33">
        <v>0</v>
      </c>
      <c r="F35" s="33">
        <v>0</v>
      </c>
      <c r="G35" s="33">
        <v>0</v>
      </c>
      <c r="H35" s="33">
        <v>0</v>
      </c>
      <c r="I35" s="33">
        <v>0</v>
      </c>
      <c r="J35" s="33">
        <v>0</v>
      </c>
      <c r="K35" s="33">
        <v>0</v>
      </c>
      <c r="L35" s="33">
        <v>0</v>
      </c>
      <c r="M35" s="33">
        <v>0</v>
      </c>
      <c r="N35" s="33">
        <v>0</v>
      </c>
      <c r="O35" s="33">
        <v>0</v>
      </c>
      <c r="P35" s="33">
        <v>0</v>
      </c>
    </row>
    <row r="36" spans="1:33" s="22" customFormat="1" x14ac:dyDescent="0.2">
      <c r="A36" s="26" t="s">
        <v>366</v>
      </c>
      <c r="B36" s="33">
        <v>0</v>
      </c>
      <c r="C36" s="33">
        <v>0</v>
      </c>
      <c r="D36" s="33">
        <v>0</v>
      </c>
      <c r="E36" s="33">
        <v>0</v>
      </c>
      <c r="F36" s="33">
        <v>0</v>
      </c>
      <c r="G36" s="33">
        <v>0</v>
      </c>
      <c r="H36" s="33">
        <v>0</v>
      </c>
      <c r="I36" s="33">
        <v>0</v>
      </c>
      <c r="J36" s="33">
        <v>0</v>
      </c>
      <c r="K36" s="33">
        <v>0</v>
      </c>
      <c r="L36" s="33">
        <v>0</v>
      </c>
      <c r="M36" s="33">
        <f>IFERROR(INDEX(CashProjTable[Expense],MATCH($A$3&amp;M$5,CashProjTable[RefRng],0)),0)</f>
        <v>0</v>
      </c>
      <c r="N36" s="33">
        <f>IFERROR(INDEX(CashProjTable[Expense],MATCH($A$3&amp;N$5,CashProjTable[RefRng],0)),0)</f>
        <v>0</v>
      </c>
      <c r="O36" s="33">
        <f>IFERROR(INDEX(CashProjTable[Expense],MATCH($A$3&amp;O$5,CashProjTable[RefRng],0)),0)</f>
        <v>0</v>
      </c>
      <c r="P36" s="33">
        <f>IFERROR(INDEX(CashProjTable[Expense],MATCH($A$3&amp;P$5,CashProjTable[RefRng],0)),0)</f>
        <v>0</v>
      </c>
    </row>
    <row r="37" spans="1:33" s="36" customFormat="1" x14ac:dyDescent="0.2">
      <c r="A37" s="34" t="s">
        <v>359</v>
      </c>
      <c r="B37" s="35"/>
      <c r="C37" s="35"/>
      <c r="D37" s="35"/>
      <c r="E37" s="35"/>
      <c r="F37" s="35"/>
      <c r="G37" s="35"/>
      <c r="H37" s="35"/>
      <c r="I37" s="35"/>
      <c r="J37" s="35"/>
      <c r="K37" s="35"/>
      <c r="L37" s="35"/>
      <c r="M37" s="35">
        <v>200000</v>
      </c>
      <c r="N37" s="35"/>
      <c r="O37" s="35"/>
      <c r="P37" s="35"/>
    </row>
    <row r="38" spans="1:33" s="38" customFormat="1" ht="13.5" thickBot="1" x14ac:dyDescent="0.25">
      <c r="A38" s="28" t="s">
        <v>367</v>
      </c>
      <c r="B38" s="37">
        <v>0</v>
      </c>
      <c r="C38" s="37">
        <v>0</v>
      </c>
      <c r="D38" s="37">
        <v>20000000</v>
      </c>
      <c r="E38" s="37">
        <v>0</v>
      </c>
      <c r="F38" s="37">
        <v>0</v>
      </c>
      <c r="G38" s="37">
        <v>56521739.270000003</v>
      </c>
      <c r="H38" s="37">
        <v>13993559.16</v>
      </c>
      <c r="I38" s="37">
        <v>6995323.6500000004</v>
      </c>
      <c r="J38" s="37">
        <v>1000000</v>
      </c>
      <c r="K38" s="37">
        <v>0</v>
      </c>
      <c r="L38" s="37">
        <v>0</v>
      </c>
      <c r="M38" s="37">
        <f t="shared" ref="L38:O38" si="4">SUM(M30:M37)</f>
        <v>9189114.5899999999</v>
      </c>
      <c r="N38" s="37">
        <f t="shared" ref="N38:P38" si="5">SUM(N30:N37)</f>
        <v>0</v>
      </c>
      <c r="O38" s="37">
        <f t="shared" si="5"/>
        <v>0</v>
      </c>
      <c r="P38" s="37">
        <f t="shared" si="5"/>
        <v>0</v>
      </c>
    </row>
    <row r="39" spans="1:33" s="22" customFormat="1" x14ac:dyDescent="0.2"/>
    <row r="40" spans="1:33" s="25" customFormat="1" x14ac:dyDescent="0.2">
      <c r="A40" s="24" t="s">
        <v>839</v>
      </c>
    </row>
    <row r="41" spans="1:33" s="22" customFormat="1" x14ac:dyDescent="0.2">
      <c r="A41" s="26" t="s">
        <v>369</v>
      </c>
      <c r="B41" s="33">
        <v>798271.84</v>
      </c>
      <c r="C41" s="33">
        <v>898271.84</v>
      </c>
      <c r="D41" s="33">
        <v>908871.83999999985</v>
      </c>
      <c r="E41" s="33">
        <v>918857.52</v>
      </c>
      <c r="F41" s="33">
        <v>972857.52</v>
      </c>
      <c r="G41" s="33">
        <v>2415437.7199999988</v>
      </c>
      <c r="H41" s="33">
        <v>223546.16000000015</v>
      </c>
      <c r="I41" s="33">
        <v>348083.62999999989</v>
      </c>
      <c r="J41" s="33">
        <v>681867.83999999985</v>
      </c>
      <c r="K41" s="33">
        <v>693017.86</v>
      </c>
      <c r="L41" s="33">
        <f t="shared" ref="K41:P41" ca="1" si="6">L$6+L$27-L$38</f>
        <v>7855932.7000000002</v>
      </c>
      <c r="M41" s="33">
        <f t="shared" ca="1" si="6"/>
        <v>138818.1099999994</v>
      </c>
      <c r="N41" s="33">
        <f t="shared" ca="1" si="6"/>
        <v>265324.40999999939</v>
      </c>
      <c r="O41" s="33">
        <f t="shared" ca="1" si="6"/>
        <v>265324.40999999939</v>
      </c>
      <c r="P41" s="33">
        <f t="shared" ca="1" si="6"/>
        <v>265324.40999999939</v>
      </c>
    </row>
    <row r="42" spans="1:33" s="22" customFormat="1" x14ac:dyDescent="0.2">
      <c r="A42" s="26" t="s">
        <v>853</v>
      </c>
      <c r="B42" s="33">
        <v>798271.84</v>
      </c>
      <c r="C42" s="33">
        <v>898271.84</v>
      </c>
      <c r="D42" s="33">
        <v>908871.84</v>
      </c>
      <c r="E42" s="33">
        <v>0</v>
      </c>
      <c r="F42" s="33">
        <v>972857.52</v>
      </c>
      <c r="G42" s="33">
        <v>0</v>
      </c>
      <c r="H42" s="33">
        <v>223546.16</v>
      </c>
      <c r="I42" s="33">
        <v>348083.63</v>
      </c>
      <c r="J42" s="33">
        <v>681867.86</v>
      </c>
      <c r="K42" s="33">
        <f>IFERROR(INDEX(CashProjTable[CashBal],MATCH($A$3&amp;K$5,CashProjTable[RefRng],0)),0)</f>
        <v>693017.86</v>
      </c>
      <c r="L42" s="33">
        <f>IFERROR(INDEX(CashProjTable[CashBal],MATCH($A$3&amp;L$5,CashProjTable[RefRng],0)),0)</f>
        <v>7855932.7000000002</v>
      </c>
      <c r="M42" s="33">
        <f>IFERROR(INDEX(CashProjTable[CashBal],MATCH($A$3&amp;M$5,CashProjTable[RefRng],0)),0)</f>
        <v>7855932.7000000002</v>
      </c>
      <c r="N42" s="33">
        <f>IFERROR(INDEX(CashProjTable[CashBal],MATCH($A$3&amp;N$5,CashProjTable[RefRng],0)),0)</f>
        <v>7982439</v>
      </c>
      <c r="O42" s="33">
        <f>IFERROR(INDEX(CashProjTable[CashBal],MATCH($A$3&amp;O$5,CashProjTable[RefRng],0)),0)</f>
        <v>7982439</v>
      </c>
      <c r="P42" s="33">
        <f>IFERROR(INDEX(CashProjTable[CashBal],MATCH($A$3&amp;P$5,CashProjTable[RefRng],0)),0)</f>
        <v>7982439</v>
      </c>
    </row>
    <row r="43" spans="1:33" s="41" customFormat="1" x14ac:dyDescent="0.2">
      <c r="A43" s="39" t="s">
        <v>370</v>
      </c>
      <c r="B43" s="40">
        <v>0</v>
      </c>
      <c r="C43" s="40">
        <v>0</v>
      </c>
      <c r="D43" s="40">
        <v>0</v>
      </c>
      <c r="E43" s="40">
        <v>0</v>
      </c>
      <c r="F43" s="40">
        <v>0</v>
      </c>
      <c r="G43" s="40">
        <v>-1442723.7499999958</v>
      </c>
      <c r="H43" s="40">
        <v>10199421.079999998</v>
      </c>
      <c r="I43" s="40">
        <v>6955210.5399999991</v>
      </c>
      <c r="J43" s="40">
        <v>-124712.97999999986</v>
      </c>
      <c r="K43" s="40">
        <v>-11150</v>
      </c>
      <c r="L43" s="40">
        <v>-7162914.8399999999</v>
      </c>
      <c r="M43" s="40">
        <f t="shared" ref="M43:O43" ca="1" si="7">M42-M41</f>
        <v>7717114.5900000008</v>
      </c>
      <c r="N43" s="40">
        <f t="shared" ref="N43:P43" ca="1" si="8">N42-N41</f>
        <v>7717114.5900000008</v>
      </c>
      <c r="O43" s="40">
        <f t="shared" ca="1" si="8"/>
        <v>7717114.5900000008</v>
      </c>
      <c r="P43" s="40">
        <f t="shared" ca="1" si="8"/>
        <v>7717114.5900000008</v>
      </c>
    </row>
    <row r="44" spans="1:33" s="22" customFormat="1" x14ac:dyDescent="0.2">
      <c r="A44" s="26" t="s">
        <v>854</v>
      </c>
      <c r="B44" s="33">
        <v>641612395.14999998</v>
      </c>
      <c r="C44" s="33">
        <v>641517017.38999999</v>
      </c>
      <c r="D44" s="33">
        <v>641681472.37</v>
      </c>
      <c r="E44" s="33">
        <v>641724219.76999986</v>
      </c>
      <c r="F44" s="33">
        <v>641868931.20999992</v>
      </c>
      <c r="G44" s="33">
        <v>588467334.13000011</v>
      </c>
      <c r="H44" s="33">
        <v>588712609.90999997</v>
      </c>
      <c r="I44" s="33">
        <v>588741222.33999991</v>
      </c>
      <c r="J44" s="33">
        <v>589800883.21000004</v>
      </c>
      <c r="K44" s="33">
        <v>589765051.33999991</v>
      </c>
      <c r="L44" s="33">
        <v>590010219.96999991</v>
      </c>
      <c r="M44" s="33">
        <f t="shared" ref="M44" ca="1" si="9">IF(M$5&gt;TODAY(),L44,L45)+SUM(M16:M19)-SUM(M30:M31)</f>
        <v>590082219.96999991</v>
      </c>
      <c r="N44" s="33">
        <f t="shared" ref="N44" ca="1" si="10">IF(N$5&gt;TODAY(),M44,M45)+SUM(N16:N19)-SUM(N30:N31)</f>
        <v>590082219.96999991</v>
      </c>
      <c r="O44" s="33">
        <f t="shared" ref="O44" ca="1" si="11">IF(O$5&gt;TODAY(),N44,N45)+SUM(O16:O19)-SUM(O30:O31)</f>
        <v>590082219.96999991</v>
      </c>
      <c r="P44" s="33">
        <f t="shared" ref="P44" ca="1" si="12">IF(P$5&gt;TODAY(),O44,O45)+SUM(P16:P19)-SUM(P30:P31)</f>
        <v>590082219.96999991</v>
      </c>
    </row>
    <row r="45" spans="1:33" s="22" customFormat="1" x14ac:dyDescent="0.2">
      <c r="A45" s="26" t="s">
        <v>855</v>
      </c>
      <c r="B45" s="33">
        <v>641417017.38999999</v>
      </c>
      <c r="C45" s="33">
        <v>641670872.37</v>
      </c>
      <c r="D45" s="33">
        <v>641714234.08999991</v>
      </c>
      <c r="E45" s="33">
        <v>641814931.20999992</v>
      </c>
      <c r="F45" s="33">
        <v>641976090.58000004</v>
      </c>
      <c r="G45" s="33">
        <v>588569609.90999997</v>
      </c>
      <c r="H45" s="33">
        <v>588725222.33999991</v>
      </c>
      <c r="I45" s="33">
        <v>588676170.23000002</v>
      </c>
      <c r="J45" s="33">
        <v>589753901.33999991</v>
      </c>
      <c r="K45" s="33">
        <f>[1]!SCBAM_GetGroup1Dtl($A$3,"NET ASSET VALUE",K$5,"MarketVal")+[1]!SCBAM_GetGroup1Dtl($A$3,"NET ASSET VALUE",K$5,"ai")</f>
        <v>589894219.96999991</v>
      </c>
      <c r="L45" s="33">
        <f>[1]!SCBAM_GetGroup1Dtl($A$3,"NET ASSET VALUE",L$5,"MarketVal")+[1]!SCBAM_GetGroup1Dtl($A$3,"NET ASSET VALUE",L$5,"ai")</f>
        <v>0</v>
      </c>
      <c r="M45" s="33">
        <f>[1]!SCBAM_GetGroup1Dtl($A$3,"NET ASSET VALUE",M$5,"MarketVal")+[1]!SCBAM_GetGroup1Dtl($A$3,"NET ASSET VALUE",M$5,"ai")</f>
        <v>0</v>
      </c>
      <c r="N45" s="33">
        <f>[1]!SCBAM_GetGroup1Dtl($A$3,"NET ASSET VALUE",N$5,"MarketVal")+[1]!SCBAM_GetGroup1Dtl($A$3,"NET ASSET VALUE",N$5,"ai")</f>
        <v>0</v>
      </c>
      <c r="O45" s="33">
        <f>[1]!SCBAM_GetGroup1Dtl($A$3,"NET ASSET VALUE",O$5,"MarketVal")+[1]!SCBAM_GetGroup1Dtl($A$3,"NET ASSET VALUE",O$5,"ai")</f>
        <v>0</v>
      </c>
      <c r="P45" s="33">
        <f>[1]!SCBAM_GetGroup1Dtl($A$3,"NET ASSET VALUE",P$5,"MarketVal")+[1]!SCBAM_GetGroup1Dtl($A$3,"NET ASSET VALUE",P$5,"ai")</f>
        <v>0</v>
      </c>
    </row>
    <row r="46" spans="1:33" s="21" customFormat="1" x14ac:dyDescent="0.2">
      <c r="A46" s="19" t="s">
        <v>840</v>
      </c>
      <c r="B46" s="20">
        <v>100000</v>
      </c>
      <c r="C46" s="20">
        <v>10600</v>
      </c>
      <c r="D46" s="20">
        <v>9985.68</v>
      </c>
      <c r="E46" s="20">
        <v>0</v>
      </c>
      <c r="F46" s="20">
        <v>-53508756.450000003</v>
      </c>
      <c r="G46" s="20">
        <v>0</v>
      </c>
      <c r="H46" s="20">
        <v>0</v>
      </c>
      <c r="I46" s="20">
        <v>1093712.98</v>
      </c>
      <c r="J46" s="20">
        <v>11150</v>
      </c>
      <c r="K46" s="20">
        <v>116000</v>
      </c>
      <c r="L46" s="20">
        <f t="shared" ref="L46:M46" si="13">SUM(M16:M19)-SUM(M30:M31)</f>
        <v>72000</v>
      </c>
      <c r="M46" s="20">
        <f t="shared" si="13"/>
        <v>0</v>
      </c>
      <c r="N46" s="20">
        <f t="shared" ref="N46" si="14">SUM(O16:O19)-SUM(O30:O31)</f>
        <v>0</v>
      </c>
      <c r="O46" s="20">
        <f t="shared" ref="O46" si="15">SUM(P16:P19)-SUM(P30:P31)</f>
        <v>0</v>
      </c>
      <c r="P46" s="20">
        <f t="shared" ref="P46" si="16">SUM(Q16:Q19)-SUM(Q30:Q31)</f>
        <v>0</v>
      </c>
    </row>
    <row r="47" spans="1:33" s="47" customFormat="1" x14ac:dyDescent="0.2">
      <c r="A47" s="45" t="s">
        <v>371</v>
      </c>
      <c r="B47" s="48">
        <v>1.2445442175018375E-3</v>
      </c>
      <c r="C47" s="48">
        <v>1.3998949908420322E-3</v>
      </c>
      <c r="D47" s="48">
        <v>1.4163186535652431E-3</v>
      </c>
      <c r="E47" s="48">
        <v>1.4318573176641633E-3</v>
      </c>
      <c r="F47" s="48">
        <v>1.5154108295856652E-3</v>
      </c>
      <c r="G47" s="48">
        <v>4.1048689194808597E-3</v>
      </c>
      <c r="H47" s="48">
        <v>-5.5587930696784145E-2</v>
      </c>
      <c r="I47" s="48">
        <v>-5.4825501213773224E-3</v>
      </c>
      <c r="J47" s="48">
        <v>1.156098370502472E-3</v>
      </c>
      <c r="K47" s="48">
        <v>2.8706649133469495E-3</v>
      </c>
      <c r="L47" s="48">
        <v>1.3314909528854346E-2</v>
      </c>
      <c r="M47" s="48">
        <f t="shared" ref="M47:O47" ca="1" si="17">M41/IF(M5&lt;TODAY(),M45,M44)</f>
        <v>2.3525214843290312E-4</v>
      </c>
      <c r="N47" s="48">
        <f t="shared" ref="N47:P47" ca="1" si="18">N41/IF(N5&lt;TODAY(),N45,N44)</f>
        <v>4.4963972988965609E-4</v>
      </c>
      <c r="O47" s="48">
        <f t="shared" ca="1" si="18"/>
        <v>4.4963972988965609E-4</v>
      </c>
      <c r="P47" s="48">
        <f t="shared" ca="1" si="18"/>
        <v>4.4963972988965609E-4</v>
      </c>
      <c r="Q47" s="46"/>
      <c r="R47" s="46"/>
      <c r="S47" s="46"/>
      <c r="T47" s="46"/>
      <c r="U47" s="46"/>
      <c r="V47" s="46"/>
      <c r="W47" s="46"/>
      <c r="X47" s="46"/>
      <c r="Y47" s="46"/>
      <c r="Z47" s="46"/>
      <c r="AA47" s="46"/>
      <c r="AB47" s="46"/>
      <c r="AC47" s="46"/>
      <c r="AD47" s="46"/>
      <c r="AE47" s="46"/>
      <c r="AF47" s="46"/>
      <c r="AG47" s="46"/>
    </row>
    <row r="48" spans="1:33" s="42" customFormat="1" x14ac:dyDescent="0.2">
      <c r="A48" s="42" t="s">
        <v>372</v>
      </c>
      <c r="B48" s="43">
        <v>794271.84</v>
      </c>
      <c r="C48" s="43">
        <v>798271.84</v>
      </c>
      <c r="D48" s="43">
        <v>898271.84</v>
      </c>
      <c r="E48" s="43">
        <v>908871.84</v>
      </c>
      <c r="F48" s="43">
        <v>918857.52</v>
      </c>
      <c r="G48" s="43">
        <v>972857.52</v>
      </c>
      <c r="H48" s="43">
        <v>-22525894.68</v>
      </c>
      <c r="I48" s="43">
        <v>3727407.28</v>
      </c>
      <c r="J48" s="43">
        <v>557154.86</v>
      </c>
      <c r="K48" s="43">
        <v>1681867.84</v>
      </c>
      <c r="L48" s="43">
        <v>693017.86</v>
      </c>
      <c r="M48" s="43">
        <f>IFERROR(INDEX(CashProjTable[CashForUse],MATCH($A$3&amp;M$5,CashProjTable[RefRng],0)),0)</f>
        <v>7855932.7000000002</v>
      </c>
      <c r="N48" s="43">
        <f>IFERROR(INDEX(CashProjTable[CashForUse],MATCH($A$3&amp;N$5,CashProjTable[RefRng],0)),0)</f>
        <v>7982439</v>
      </c>
      <c r="O48" s="43">
        <f>IFERROR(INDEX(CashProjTable[CashForUse],MATCH($A$3&amp;O$5,CashProjTable[RefRng],0)),0)</f>
        <v>7982439</v>
      </c>
      <c r="P48" s="43">
        <f>IFERROR(INDEX(CashProjTable[CashForUse],MATCH($A$3&amp;P$5,CashProjTable[RefRng],0)),0)</f>
        <v>7982439</v>
      </c>
    </row>
    <row r="49" spans="1:16" s="42" customFormat="1" x14ac:dyDescent="0.2">
      <c r="A49" s="42" t="s">
        <v>373</v>
      </c>
      <c r="B49" s="43">
        <v>750271.84</v>
      </c>
      <c r="C49" s="43">
        <v>794271.84</v>
      </c>
      <c r="D49" s="43">
        <v>798271.84</v>
      </c>
      <c r="E49" s="43">
        <v>898271.84</v>
      </c>
      <c r="F49" s="43">
        <v>908871.84</v>
      </c>
      <c r="G49" s="43">
        <v>918857.52</v>
      </c>
      <c r="H49" s="43">
        <v>-22604850.100000001</v>
      </c>
      <c r="I49" s="43">
        <v>3524242.9</v>
      </c>
      <c r="J49" s="43">
        <v>332083.63</v>
      </c>
      <c r="K49" s="43">
        <v>557154.86</v>
      </c>
      <c r="L49" s="43">
        <v>681867.86</v>
      </c>
      <c r="M49" s="43">
        <f>IFERROR(INDEX(CashProjTable[CashForBahtNet],MATCH($A$3&amp;M$5,CashProjTable[RefRng],0)),0)</f>
        <v>7739932.7000000002</v>
      </c>
      <c r="N49" s="43">
        <f>IFERROR(INDEX(CashProjTable[CashForBahtNet],MATCH($A$3&amp;N$5,CashProjTable[RefRng],0)),0)</f>
        <v>7855932.7000000002</v>
      </c>
      <c r="O49" s="43">
        <f>IFERROR(INDEX(CashProjTable[CashForBahtNet],MATCH($A$3&amp;O$5,CashProjTable[RefRng],0)),0)</f>
        <v>7982439</v>
      </c>
      <c r="P49" s="43">
        <f>IFERROR(INDEX(CashProjTable[CashForBahtNet],MATCH($A$3&amp;P$5,CashProjTable[RefRng],0)),0)</f>
        <v>7982439</v>
      </c>
    </row>
    <row r="51" spans="1:16" x14ac:dyDescent="0.2">
      <c r="A51" s="11" t="s">
        <v>329</v>
      </c>
    </row>
    <row r="52" spans="1:16" x14ac:dyDescent="0.2">
      <c r="A52" s="11" t="s">
        <v>333</v>
      </c>
    </row>
    <row r="53" spans="1:16" x14ac:dyDescent="0.2">
      <c r="A53" s="11" t="s">
        <v>330</v>
      </c>
    </row>
    <row r="54" spans="1:16" x14ac:dyDescent="0.2">
      <c r="A54" s="11" t="s">
        <v>331</v>
      </c>
    </row>
    <row r="55" spans="1:16" x14ac:dyDescent="0.2">
      <c r="A55" s="11" t="s">
        <v>332</v>
      </c>
    </row>
  </sheetData>
  <conditionalFormatting sqref="D5">
    <cfRule type="cellIs" dxfId="403" priority="51" operator="equal">
      <formula>TODAY()</formula>
    </cfRule>
  </conditionalFormatting>
  <conditionalFormatting sqref="D10">
    <cfRule type="cellIs" dxfId="402" priority="50" operator="greaterThan">
      <formula>"&lt;0"</formula>
    </cfRule>
  </conditionalFormatting>
  <conditionalFormatting sqref="D11">
    <cfRule type="cellIs" dxfId="401" priority="49" operator="greaterThan">
      <formula>"&lt;0"</formula>
    </cfRule>
  </conditionalFormatting>
  <conditionalFormatting sqref="A5:C5 Q5:XFD5">
    <cfRule type="cellIs" dxfId="400" priority="62" operator="equal">
      <formula>TODAY()</formula>
    </cfRule>
  </conditionalFormatting>
  <conditionalFormatting sqref="B9:D9">
    <cfRule type="cellIs" dxfId="399" priority="61" operator="greaterThan">
      <formula>"&lt;0"</formula>
    </cfRule>
  </conditionalFormatting>
  <conditionalFormatting sqref="B10">
    <cfRule type="cellIs" dxfId="398" priority="60" operator="greaterThan">
      <formula>"&lt;0"</formula>
    </cfRule>
  </conditionalFormatting>
  <conditionalFormatting sqref="B11">
    <cfRule type="cellIs" dxfId="397" priority="59" operator="greaterThan">
      <formula>"&lt;0"</formula>
    </cfRule>
  </conditionalFormatting>
  <conditionalFormatting sqref="C10">
    <cfRule type="cellIs" dxfId="396" priority="58" operator="greaterThan">
      <formula>"&lt;0"</formula>
    </cfRule>
  </conditionalFormatting>
  <conditionalFormatting sqref="C11">
    <cfRule type="cellIs" dxfId="395" priority="57" operator="greaterThan">
      <formula>"&lt;0"</formula>
    </cfRule>
  </conditionalFormatting>
  <conditionalFormatting sqref="B7">
    <cfRule type="cellIs" dxfId="394" priority="56" operator="greaterThan">
      <formula>"&lt;0"</formula>
    </cfRule>
  </conditionalFormatting>
  <conditionalFormatting sqref="F5">
    <cfRule type="cellIs" dxfId="393" priority="40" operator="equal">
      <formula>TODAY()</formula>
    </cfRule>
  </conditionalFormatting>
  <conditionalFormatting sqref="F9">
    <cfRule type="cellIs" dxfId="392" priority="39" operator="greaterThan">
      <formula>"&lt;0"</formula>
    </cfRule>
  </conditionalFormatting>
  <conditionalFormatting sqref="F10">
    <cfRule type="cellIs" dxfId="391" priority="38" operator="greaterThan">
      <formula>"&lt;0"</formula>
    </cfRule>
  </conditionalFormatting>
  <conditionalFormatting sqref="E11:F11">
    <cfRule type="cellIs" dxfId="390" priority="37" operator="greaterThan">
      <formula>"&lt;0"</formula>
    </cfRule>
  </conditionalFormatting>
  <conditionalFormatting sqref="E10">
    <cfRule type="cellIs" dxfId="389" priority="34" operator="greaterThan">
      <formula>"&lt;0"</formula>
    </cfRule>
  </conditionalFormatting>
  <conditionalFormatting sqref="E9">
    <cfRule type="cellIs" dxfId="388" priority="36" operator="greaterThan">
      <formula>"&lt;0"</formula>
    </cfRule>
  </conditionalFormatting>
  <conditionalFormatting sqref="E5">
    <cfRule type="cellIs" dxfId="387" priority="35" operator="equal">
      <formula>TODAY()</formula>
    </cfRule>
  </conditionalFormatting>
  <conditionalFormatting sqref="G5">
    <cfRule type="cellIs" dxfId="386" priority="32" operator="equal">
      <formula>TODAY()</formula>
    </cfRule>
  </conditionalFormatting>
  <conditionalFormatting sqref="G9">
    <cfRule type="cellIs" dxfId="385" priority="31" operator="greaterThan">
      <formula>"&lt;0"</formula>
    </cfRule>
  </conditionalFormatting>
  <conditionalFormatting sqref="G10">
    <cfRule type="cellIs" dxfId="384" priority="30" operator="greaterThan">
      <formula>"&lt;0"</formula>
    </cfRule>
  </conditionalFormatting>
  <conditionalFormatting sqref="G11">
    <cfRule type="cellIs" dxfId="383" priority="29" operator="greaterThan">
      <formula>"&lt;0"</formula>
    </cfRule>
  </conditionalFormatting>
  <conditionalFormatting sqref="H5">
    <cfRule type="cellIs" dxfId="382" priority="28" operator="equal">
      <formula>TODAY()</formula>
    </cfRule>
  </conditionalFormatting>
  <conditionalFormatting sqref="H9">
    <cfRule type="cellIs" dxfId="381" priority="27" operator="greaterThan">
      <formula>"&lt;0"</formula>
    </cfRule>
  </conditionalFormatting>
  <conditionalFormatting sqref="H10">
    <cfRule type="cellIs" dxfId="380" priority="26" operator="greaterThan">
      <formula>"&lt;0"</formula>
    </cfRule>
  </conditionalFormatting>
  <conditionalFormatting sqref="H11">
    <cfRule type="cellIs" dxfId="379" priority="25" operator="greaterThan">
      <formula>"&lt;0"</formula>
    </cfRule>
  </conditionalFormatting>
  <conditionalFormatting sqref="I5">
    <cfRule type="cellIs" dxfId="378" priority="24" operator="equal">
      <formula>TODAY()</formula>
    </cfRule>
  </conditionalFormatting>
  <conditionalFormatting sqref="I9">
    <cfRule type="cellIs" dxfId="377" priority="23" operator="greaterThan">
      <formula>"&lt;0"</formula>
    </cfRule>
  </conditionalFormatting>
  <conditionalFormatting sqref="I10">
    <cfRule type="cellIs" dxfId="376" priority="22" operator="greaterThan">
      <formula>"&lt;0"</formula>
    </cfRule>
  </conditionalFormatting>
  <conditionalFormatting sqref="I11">
    <cfRule type="cellIs" dxfId="375" priority="21" operator="greaterThan">
      <formula>"&lt;0"</formula>
    </cfRule>
  </conditionalFormatting>
  <conditionalFormatting sqref="J5">
    <cfRule type="cellIs" dxfId="374" priority="20" operator="equal">
      <formula>TODAY()</formula>
    </cfRule>
  </conditionalFormatting>
  <conditionalFormatting sqref="J9">
    <cfRule type="cellIs" dxfId="373" priority="19" operator="greaterThan">
      <formula>"&lt;0"</formula>
    </cfRule>
  </conditionalFormatting>
  <conditionalFormatting sqref="J10">
    <cfRule type="cellIs" dxfId="372" priority="18" operator="greaterThan">
      <formula>"&lt;0"</formula>
    </cfRule>
  </conditionalFormatting>
  <conditionalFormatting sqref="J11">
    <cfRule type="cellIs" dxfId="371" priority="17" operator="greaterThan">
      <formula>"&lt;0"</formula>
    </cfRule>
  </conditionalFormatting>
  <conditionalFormatting sqref="K5">
    <cfRule type="cellIs" dxfId="370" priority="16" operator="equal">
      <formula>TODAY()</formula>
    </cfRule>
  </conditionalFormatting>
  <conditionalFormatting sqref="K9">
    <cfRule type="cellIs" dxfId="369" priority="15" operator="greaterThan">
      <formula>"&lt;0"</formula>
    </cfRule>
  </conditionalFormatting>
  <conditionalFormatting sqref="K10">
    <cfRule type="cellIs" dxfId="368" priority="14" operator="greaterThan">
      <formula>"&lt;0"</formula>
    </cfRule>
  </conditionalFormatting>
  <conditionalFormatting sqref="K11">
    <cfRule type="cellIs" dxfId="367" priority="13" operator="greaterThan">
      <formula>"&lt;0"</formula>
    </cfRule>
  </conditionalFormatting>
  <conditionalFormatting sqref="L5">
    <cfRule type="cellIs" dxfId="366" priority="12" operator="equal">
      <formula>TODAY()</formula>
    </cfRule>
  </conditionalFormatting>
  <conditionalFormatting sqref="L9">
    <cfRule type="cellIs" dxfId="365" priority="11" operator="greaterThan">
      <formula>"&lt;0"</formula>
    </cfRule>
  </conditionalFormatting>
  <conditionalFormatting sqref="L10">
    <cfRule type="cellIs" dxfId="364" priority="10" operator="greaterThan">
      <formula>"&lt;0"</formula>
    </cfRule>
  </conditionalFormatting>
  <conditionalFormatting sqref="L11">
    <cfRule type="cellIs" dxfId="363" priority="9" operator="greaterThan">
      <formula>"&lt;0"</formula>
    </cfRule>
  </conditionalFormatting>
  <conditionalFormatting sqref="M5">
    <cfRule type="cellIs" dxfId="362" priority="8" operator="equal">
      <formula>TODAY()</formula>
    </cfRule>
  </conditionalFormatting>
  <conditionalFormatting sqref="M9">
    <cfRule type="cellIs" dxfId="361" priority="7" operator="greaterThan">
      <formula>"&lt;0"</formula>
    </cfRule>
  </conditionalFormatting>
  <conditionalFormatting sqref="M10">
    <cfRule type="cellIs" dxfId="360" priority="6" operator="greaterThan">
      <formula>"&lt;0"</formula>
    </cfRule>
  </conditionalFormatting>
  <conditionalFormatting sqref="M11">
    <cfRule type="cellIs" dxfId="359" priority="5" operator="greaterThan">
      <formula>"&lt;0"</formula>
    </cfRule>
  </conditionalFormatting>
  <conditionalFormatting sqref="N5:P5">
    <cfRule type="cellIs" dxfId="358" priority="4" operator="equal">
      <formula>TODAY()</formula>
    </cfRule>
  </conditionalFormatting>
  <conditionalFormatting sqref="N9:P9">
    <cfRule type="cellIs" dxfId="357" priority="3" operator="greaterThan">
      <formula>"&lt;0"</formula>
    </cfRule>
  </conditionalFormatting>
  <conditionalFormatting sqref="N10:P10">
    <cfRule type="cellIs" dxfId="356" priority="2" operator="greaterThan">
      <formula>"&lt;0"</formula>
    </cfRule>
  </conditionalFormatting>
  <conditionalFormatting sqref="N11:P11">
    <cfRule type="cellIs" dxfId="355" priority="1" operator="greaterThan">
      <formula>"&lt;0"</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E13AAC-E448-41D0-AC37-DFC647B8E38A}">
  <sheetPr codeName="Sheet10">
    <tabColor theme="5" tint="0.59999389629810485"/>
  </sheetPr>
  <dimension ref="A1:AG55"/>
  <sheetViews>
    <sheetView zoomScale="90" zoomScaleNormal="90" workbookViewId="0">
      <pane xSplit="1" ySplit="6" topLeftCell="F7" activePane="bottomRight" state="frozen"/>
      <selection pane="topRight" activeCell="B1" sqref="B1"/>
      <selection pane="bottomLeft" activeCell="A7" sqref="A7"/>
      <selection pane="bottomRight" activeCell="L24" sqref="L24"/>
    </sheetView>
  </sheetViews>
  <sheetFormatPr defaultColWidth="9" defaultRowHeight="12.75" outlineLevelRow="1" x14ac:dyDescent="0.2"/>
  <cols>
    <col min="1" max="1" width="32" style="11" customWidth="1"/>
    <col min="2" max="16" width="18.75" style="11" customWidth="1"/>
    <col min="17" max="27" width="15.125" style="11" bestFit="1" customWidth="1"/>
    <col min="28" max="16384" width="9" style="11"/>
  </cols>
  <sheetData>
    <row r="1" spans="1:33" x14ac:dyDescent="0.2">
      <c r="A1" s="10" t="s">
        <v>340</v>
      </c>
    </row>
    <row r="2" spans="1:33" x14ac:dyDescent="0.2">
      <c r="A2" s="12">
        <f ca="1">[1]!SCBAM_PreviousBusinessDay(TODAY())</f>
        <v>43397</v>
      </c>
    </row>
    <row r="3" spans="1:33" x14ac:dyDescent="0.2">
      <c r="A3" s="13" t="s">
        <v>130</v>
      </c>
    </row>
    <row r="5" spans="1:33" s="18" customFormat="1" x14ac:dyDescent="0.2">
      <c r="A5" s="14" t="s">
        <v>341</v>
      </c>
      <c r="B5" s="15">
        <v>43382</v>
      </c>
      <c r="C5" s="15">
        <v>43383</v>
      </c>
      <c r="D5" s="15">
        <v>43384</v>
      </c>
      <c r="E5" s="15">
        <v>43385</v>
      </c>
      <c r="F5" s="15">
        <v>43389</v>
      </c>
      <c r="G5" s="15">
        <v>43390</v>
      </c>
      <c r="H5" s="15">
        <v>43391</v>
      </c>
      <c r="I5" s="15">
        <v>43392</v>
      </c>
      <c r="J5" s="15">
        <v>43395</v>
      </c>
      <c r="K5" s="15">
        <v>43397</v>
      </c>
      <c r="L5" s="15">
        <v>43398</v>
      </c>
      <c r="M5" s="15">
        <f>[1]!SCBAM_NextBusinessDay(L5)</f>
        <v>43399</v>
      </c>
      <c r="N5" s="15">
        <f>[1]!SCBAM_NextBusinessDay(M5)</f>
        <v>43402</v>
      </c>
      <c r="O5" s="15">
        <f>[1]!SCBAM_NextBusinessDay(N5)</f>
        <v>43403</v>
      </c>
      <c r="P5" s="15">
        <f>[1]!SCBAM_NextBusinessDay(O5)</f>
        <v>43404</v>
      </c>
      <c r="Q5" s="16"/>
      <c r="R5" s="16"/>
      <c r="S5" s="16"/>
      <c r="T5" s="16"/>
      <c r="U5" s="16"/>
      <c r="V5" s="16"/>
      <c r="W5" s="16"/>
      <c r="X5" s="16"/>
      <c r="Y5" s="16"/>
      <c r="Z5" s="16"/>
      <c r="AA5" s="16"/>
      <c r="AB5" s="17"/>
      <c r="AC5" s="17"/>
      <c r="AD5" s="17"/>
      <c r="AE5" s="17"/>
      <c r="AF5" s="17"/>
      <c r="AG5" s="17"/>
    </row>
    <row r="6" spans="1:33" s="21" customFormat="1" x14ac:dyDescent="0.2">
      <c r="A6" s="19" t="s">
        <v>342</v>
      </c>
      <c r="B6" s="20">
        <v>10648845.939999999</v>
      </c>
      <c r="C6" s="20">
        <v>9318373.9100000001</v>
      </c>
      <c r="D6" s="20">
        <v>6215226.3700000001</v>
      </c>
      <c r="E6" s="20">
        <v>11156597.289999999</v>
      </c>
      <c r="F6" s="20">
        <v>6063956.5099999998</v>
      </c>
      <c r="G6" s="20">
        <v>10465940.24</v>
      </c>
      <c r="H6" s="20">
        <v>9978625.3200000003</v>
      </c>
      <c r="I6" s="20">
        <v>1138048067.1300001</v>
      </c>
      <c r="J6" s="20">
        <v>4469969.62</v>
      </c>
      <c r="K6" s="20">
        <v>4991128.72</v>
      </c>
      <c r="L6" s="20">
        <f ca="1">IF(AND(ISNUMBER(K41),ISNUMBER(K42)),IF(L5&lt;=TODAY(),K42,K41),INDEX(CashProjTable[CashBal],MATCH($A$3&amp;[1]!SCBAM_PreviousBusinessDay(L$5),CashProjTable[RefRng],0)))</f>
        <v>3424268.39</v>
      </c>
      <c r="M6" s="20">
        <f ca="1">IF(AND(ISNUMBER(L41),ISNUMBER(L42)),IF(M5&lt;=TODAY(),L42,L41),INDEX(CashProjTable[CashBal],MATCH($A$3&amp;[1]!SCBAM_PreviousBusinessDay(M$5),CashProjTable[RefRng],0)))</f>
        <v>25592728.270000458</v>
      </c>
      <c r="N6" s="20">
        <f ca="1">IF(AND(ISNUMBER(M41),ISNUMBER(M42)),IF(N5&lt;=TODAY(),M42,M41),INDEX(CashProjTable[CashBal],MATCH($A$3&amp;[1]!SCBAM_PreviousBusinessDay(N$5),CashProjTable[RefRng],0)))</f>
        <v>8610945.4800004959</v>
      </c>
      <c r="O6" s="20">
        <f ca="1">IF(AND(ISNUMBER(N41),ISNUMBER(N42)),IF(O5&lt;=TODAY(),N42,N41),INDEX(CashProjTable[CashBal],MATCH($A$3&amp;[1]!SCBAM_PreviousBusinessDay(O$5),CashProjTable[RefRng],0)))</f>
        <v>104169096.2900005</v>
      </c>
      <c r="P6" s="20">
        <f ca="1">IF(AND(ISNUMBER(O41),ISNUMBER(O42)),IF(P5&lt;=TODAY(),O42,O41),INDEX(CashProjTable[CashBal],MATCH($A$3&amp;[1]!SCBAM_PreviousBusinessDay(P$5),CashProjTable[RefRng],0)))</f>
        <v>2528941333.2900004</v>
      </c>
    </row>
    <row r="7" spans="1:33" s="22" customFormat="1" x14ac:dyDescent="0.2">
      <c r="B7" s="23"/>
    </row>
    <row r="8" spans="1:33" s="25" customFormat="1" x14ac:dyDescent="0.2">
      <c r="A8" s="24" t="s">
        <v>343</v>
      </c>
    </row>
    <row r="9" spans="1:33" s="27" customFormat="1" x14ac:dyDescent="0.2">
      <c r="A9" s="26" t="s">
        <v>344</v>
      </c>
      <c r="B9" s="23">
        <v>857730392.33000004</v>
      </c>
      <c r="C9" s="23">
        <v>17730392.330000043</v>
      </c>
      <c r="D9" s="23">
        <v>57730392.330000043</v>
      </c>
      <c r="E9" s="23">
        <v>47730392.330000043</v>
      </c>
      <c r="F9" s="23">
        <v>27730392.330000043</v>
      </c>
      <c r="G9" s="23">
        <v>3847730392.3299999</v>
      </c>
      <c r="H9" s="23">
        <v>842730392.32999992</v>
      </c>
      <c r="I9" s="23">
        <v>842730392.32999992</v>
      </c>
      <c r="J9" s="23">
        <v>32730392.329999924</v>
      </c>
      <c r="K9" s="23">
        <v>298730392.32999992</v>
      </c>
      <c r="L9" s="23">
        <v>758730392.32999992</v>
      </c>
      <c r="M9" s="23">
        <f>IF(ISNUMBER(L$5),L$11,[1]!SCBAM_GetSecDtl($A$3,"INVSUOBTsffplus",M$5,"MarketVal"))</f>
        <v>308730392.32999992</v>
      </c>
      <c r="N9" s="23">
        <f>IF(ISNUMBER(M$5),M$11,[1]!SCBAM_GetSecDtl($A$3,"INVSUOBTsffplus",N$5,"MarketVal"))</f>
        <v>228730392.32999992</v>
      </c>
      <c r="O9" s="23">
        <f>IF(ISNUMBER(N$5),N$11,[1]!SCBAM_GetSecDtl($A$3,"INVSUOBTsffplus",O$5,"MarketVal"))</f>
        <v>228730392.32999992</v>
      </c>
      <c r="P9" s="23">
        <f>IF(ISNUMBER(O$5),O$11,[1]!SCBAM_GetSecDtl($A$3,"INVSUOBTsffplus",P$5,"MarketVal"))</f>
        <v>228730392.32999992</v>
      </c>
    </row>
    <row r="10" spans="1:33" s="61" customFormat="1" ht="14.25" x14ac:dyDescent="0.2">
      <c r="A10" s="59" t="s">
        <v>345</v>
      </c>
      <c r="B10" s="60">
        <v>-840000000</v>
      </c>
      <c r="C10" s="60">
        <v>40000000</v>
      </c>
      <c r="D10" s="60">
        <v>-10000000</v>
      </c>
      <c r="E10" s="60">
        <v>-20000000</v>
      </c>
      <c r="F10" s="60">
        <v>3820000000</v>
      </c>
      <c r="G10" s="60">
        <v>-3005000000</v>
      </c>
      <c r="H10" s="60"/>
      <c r="I10" s="60">
        <v>-810000000</v>
      </c>
      <c r="J10" s="60">
        <v>266000000</v>
      </c>
      <c r="K10" s="60">
        <v>460000000</v>
      </c>
      <c r="L10" s="60">
        <v>-450000000</v>
      </c>
      <c r="M10" s="60">
        <f>-80*10^6</f>
        <v>-80000000</v>
      </c>
      <c r="N10" s="60"/>
      <c r="O10" s="60"/>
      <c r="P10" s="60"/>
    </row>
    <row r="11" spans="1:33" s="30" customFormat="1" ht="13.5" thickBot="1" x14ac:dyDescent="0.25">
      <c r="A11" s="28" t="s">
        <v>346</v>
      </c>
      <c r="B11" s="29">
        <v>17730392.330000043</v>
      </c>
      <c r="C11" s="29">
        <v>57730392.330000043</v>
      </c>
      <c r="D11" s="29">
        <v>47730392.330000043</v>
      </c>
      <c r="E11" s="29">
        <v>27730392.330000043</v>
      </c>
      <c r="F11" s="29">
        <v>3847730392.3299999</v>
      </c>
      <c r="G11" s="29">
        <v>842730392.32999992</v>
      </c>
      <c r="H11" s="29">
        <v>842730392.32999992</v>
      </c>
      <c r="I11" s="29">
        <v>32730392.329999924</v>
      </c>
      <c r="J11" s="29">
        <v>298730392.32999992</v>
      </c>
      <c r="K11" s="29">
        <v>758730392.32999992</v>
      </c>
      <c r="L11" s="29">
        <v>308730392.32999992</v>
      </c>
      <c r="M11" s="29">
        <f t="shared" ref="M11:O11" si="0">SUM(M9:M10)</f>
        <v>228730392.32999992</v>
      </c>
      <c r="N11" s="29">
        <f t="shared" ref="N11:P11" si="1">SUM(N9:N10)</f>
        <v>228730392.32999992</v>
      </c>
      <c r="O11" s="29">
        <f t="shared" si="1"/>
        <v>228730392.32999992</v>
      </c>
      <c r="P11" s="29">
        <f t="shared" si="1"/>
        <v>228730392.32999992</v>
      </c>
    </row>
    <row r="12" spans="1:33" s="22" customFormat="1" ht="13.15" hidden="1" customHeight="1" outlineLevel="1" x14ac:dyDescent="0.2"/>
    <row r="13" spans="1:33" s="31" customFormat="1" hidden="1" outlineLevel="1" x14ac:dyDescent="0.2">
      <c r="A13" s="31" t="s">
        <v>348</v>
      </c>
    </row>
    <row r="14" spans="1:33" collapsed="1" x14ac:dyDescent="0.2"/>
    <row r="15" spans="1:33" s="25" customFormat="1" x14ac:dyDescent="0.2">
      <c r="A15" s="24" t="s">
        <v>347</v>
      </c>
    </row>
    <row r="16" spans="1:33" s="22" customFormat="1" x14ac:dyDescent="0.2">
      <c r="A16" s="32" t="s">
        <v>349</v>
      </c>
      <c r="B16" s="33">
        <v>749262471.69000006</v>
      </c>
      <c r="C16" s="33">
        <v>317496396.74000001</v>
      </c>
      <c r="D16" s="62">
        <v>568759889.84000003</v>
      </c>
      <c r="E16" s="62">
        <v>519262181.94</v>
      </c>
      <c r="F16" s="62">
        <v>1628901972.71</v>
      </c>
      <c r="G16" s="62">
        <v>692611044.60000002</v>
      </c>
      <c r="H16" s="62">
        <v>860583710.32000005</v>
      </c>
      <c r="I16" s="62">
        <v>581474726.41999996</v>
      </c>
      <c r="J16" s="62">
        <v>689067812.12</v>
      </c>
      <c r="K16" s="62">
        <v>375684292.61000001</v>
      </c>
      <c r="L16" s="62">
        <v>314641437.80000001</v>
      </c>
      <c r="M16" s="63">
        <f>IFERROR(INDEX(CashIntraTable[Amount],MATCH($A$3&amp;M$5&amp;$A51,CashIntraTable[RefRng],0)),0)</f>
        <v>535555512.91000003</v>
      </c>
      <c r="N16" s="62">
        <f>IFERROR(INDEX(CashIntraTable[Amount],MATCH($A$3&amp;N$5&amp;$A51,CashIntraTable[RefRng],0)),0)</f>
        <v>0</v>
      </c>
      <c r="O16" s="62">
        <f>IFERROR(INDEX(CashIntraTable[Amount],MATCH($A$3&amp;O$5&amp;$A51,CashIntraTable[RefRng],0)),0)</f>
        <v>0</v>
      </c>
      <c r="P16" s="62">
        <f>IFERROR(INDEX(CashIntraTable[Amount],MATCH($A$3&amp;P$5&amp;$A51,CashIntraTable[RefRng],0)),0)</f>
        <v>0</v>
      </c>
    </row>
    <row r="17" spans="1:16" s="22" customFormat="1" x14ac:dyDescent="0.2">
      <c r="A17" s="32" t="s">
        <v>351</v>
      </c>
      <c r="B17" s="33">
        <v>122291913.59999999</v>
      </c>
      <c r="C17" s="33">
        <v>70798500</v>
      </c>
      <c r="D17" s="62">
        <v>24840680.620000001</v>
      </c>
      <c r="E17" s="62">
        <v>51500820</v>
      </c>
      <c r="F17" s="62">
        <v>18920000</v>
      </c>
      <c r="G17" s="62">
        <v>54116684.149999999</v>
      </c>
      <c r="H17" s="62">
        <v>89276471.700000003</v>
      </c>
      <c r="I17" s="62">
        <v>70024884.670000002</v>
      </c>
      <c r="J17" s="62">
        <v>150623876.88</v>
      </c>
      <c r="K17" s="62">
        <v>112508819.64</v>
      </c>
      <c r="L17" s="62">
        <v>25727031.899999999</v>
      </c>
      <c r="M17" s="63">
        <f>IFERROR(INDEX(CashIntraTable[Amount],MATCH($A$3&amp;M$5&amp;$A52,CashIntraTable[RefRng],0)),0)</f>
        <v>98930808.129999995</v>
      </c>
      <c r="N17" s="62">
        <f>IFERROR(INDEX(CashIntraTable[Amount],MATCH($A$3&amp;N$5&amp;$A52,CashIntraTable[RefRng],0)),0)</f>
        <v>0</v>
      </c>
      <c r="O17" s="62">
        <f>IFERROR(INDEX(CashIntraTable[Amount],MATCH($A$3&amp;O$5&amp;$A52,CashIntraTable[RefRng],0)),0)</f>
        <v>0</v>
      </c>
      <c r="P17" s="62">
        <f>IFERROR(INDEX(CashIntraTable[Amount],MATCH($A$3&amp;P$5&amp;$A52,CashIntraTable[RefRng],0)),0)</f>
        <v>0</v>
      </c>
    </row>
    <row r="18" spans="1:16" s="22" customFormat="1" x14ac:dyDescent="0.2">
      <c r="A18" s="32" t="s">
        <v>350</v>
      </c>
      <c r="B18" s="33">
        <v>234997421.22</v>
      </c>
      <c r="C18" s="33">
        <v>116239167.38</v>
      </c>
      <c r="D18" s="62">
        <v>362777153.61000001</v>
      </c>
      <c r="E18" s="62">
        <v>146622056.99000001</v>
      </c>
      <c r="F18" s="62">
        <v>360957113.31</v>
      </c>
      <c r="G18" s="62">
        <v>261686053.18000001</v>
      </c>
      <c r="H18" s="62">
        <v>178857419.72</v>
      </c>
      <c r="I18" s="62">
        <v>149701142.38</v>
      </c>
      <c r="J18" s="62">
        <v>172039556.90000001</v>
      </c>
      <c r="K18" s="62">
        <v>124179747.68000001</v>
      </c>
      <c r="L18" s="62">
        <v>98521396.579999998</v>
      </c>
      <c r="M18" s="63">
        <f>IFERROR(INDEX(CashIntraTable[Amount],MATCH($A$3&amp;M$5&amp;$A53,CashIntraTable[RefRng],0)),0)</f>
        <v>364613763.74000001</v>
      </c>
      <c r="N18" s="62">
        <f>IFERROR(INDEX(CashIntraTable[Amount],MATCH($A$3&amp;N$5&amp;$A53,CashIntraTable[RefRng],0)),0)</f>
        <v>95136463.140000001</v>
      </c>
      <c r="O18" s="62">
        <f>IFERROR(INDEX(CashIntraTable[Amount],MATCH($A$3&amp;O$5&amp;$A53,CashIntraTable[RefRng],0)),0)</f>
        <v>34772237</v>
      </c>
      <c r="P18" s="62">
        <f>IFERROR(INDEX(CashIntraTable[Amount],MATCH($A$3&amp;P$5&amp;$A53,CashIntraTable[RefRng],0)),0)</f>
        <v>11878259.26</v>
      </c>
    </row>
    <row r="19" spans="1:16" s="22" customFormat="1" x14ac:dyDescent="0.2">
      <c r="A19" s="32" t="s">
        <v>352</v>
      </c>
      <c r="B19" s="33">
        <v>0</v>
      </c>
      <c r="C19" s="33">
        <v>0</v>
      </c>
      <c r="D19" s="62">
        <v>0</v>
      </c>
      <c r="E19" s="62">
        <v>0</v>
      </c>
      <c r="F19" s="62">
        <v>0</v>
      </c>
      <c r="G19" s="62">
        <v>0</v>
      </c>
      <c r="H19" s="62">
        <v>0</v>
      </c>
      <c r="I19" s="62">
        <v>0</v>
      </c>
      <c r="J19" s="62">
        <v>0</v>
      </c>
      <c r="K19" s="62">
        <v>0</v>
      </c>
      <c r="L19" s="62">
        <v>0</v>
      </c>
      <c r="M19" s="63">
        <v>0</v>
      </c>
      <c r="N19" s="62">
        <v>0</v>
      </c>
      <c r="O19" s="62">
        <v>0</v>
      </c>
      <c r="P19" s="62">
        <v>0</v>
      </c>
    </row>
    <row r="20" spans="1:16" s="22" customFormat="1" x14ac:dyDescent="0.2">
      <c r="A20" s="26" t="s">
        <v>353</v>
      </c>
      <c r="B20" s="33">
        <v>1931165337.3499999</v>
      </c>
      <c r="C20" s="33">
        <v>618684930.78999996</v>
      </c>
      <c r="D20" s="33">
        <v>5578000000</v>
      </c>
      <c r="E20" s="33">
        <v>1059636827.2</v>
      </c>
      <c r="F20" s="33">
        <v>5281000000</v>
      </c>
      <c r="G20" s="33">
        <v>70000000</v>
      </c>
      <c r="H20" s="33">
        <v>6780999999.9899998</v>
      </c>
      <c r="I20" s="33">
        <v>284955232.94999999</v>
      </c>
      <c r="J20" s="33">
        <v>0</v>
      </c>
      <c r="K20" s="33">
        <v>828000000</v>
      </c>
      <c r="L20" s="33">
        <v>6360000000</v>
      </c>
      <c r="M20" s="33">
        <f>IFERROR(INDEX(CashProjTable[DebtSell_BahtNet],MATCH($A$3&amp;M$5,CashProjTable[RefRng],0))+SUMIFS(IntraTrans[Net Settlement],IntraTrans[Portfolio],$A$3,IntraTrans[B/S],"S",IntraTrans[Settle Date],M$5,IntraTrans[Payment],"BAHTNET"),0)</f>
        <v>0</v>
      </c>
      <c r="N20" s="33">
        <f>IFERROR(INDEX(CashProjTable[DebtSell_BahtNet],MATCH($A$3&amp;N$5,CashProjTable[RefRng],0))+SUMIFS(IntraTrans[Net Settlement],IntraTrans[Portfolio],$A$3,IntraTrans[B/S],"S",IntraTrans[Settle Date],N$5,IntraTrans[Payment],"BAHTNET"),0)</f>
        <v>0</v>
      </c>
      <c r="O20" s="33">
        <f>IFERROR(INDEX(CashProjTable[DebtSell_BahtNet],MATCH($A$3&amp;O$5,CashProjTable[RefRng],0))+SUMIFS(IntraTrans[Net Settlement],IntraTrans[Portfolio],$A$3,IntraTrans[B/S],"S",IntraTrans[Settle Date],O$5,IntraTrans[Payment],"BAHTNET"),0)</f>
        <v>2390000000</v>
      </c>
      <c r="P20" s="33">
        <f>IFERROR(INDEX(CashProjTable[DebtSell_BahtNet],MATCH($A$3&amp;P$5,CashProjTable[RefRng],0))+SUMIFS(IntraTrans[Net Settlement],IntraTrans[Portfolio],$A$3,IntraTrans[B/S],"S",IntraTrans[Settle Date],P$5,IntraTrans[Payment],"BAHTNET"),0)</f>
        <v>40000000</v>
      </c>
    </row>
    <row r="21" spans="1:16" s="22" customFormat="1" x14ac:dyDescent="0.2">
      <c r="A21" s="26" t="s">
        <v>354</v>
      </c>
      <c r="B21" s="33">
        <v>1200000000</v>
      </c>
      <c r="C21" s="33">
        <v>0</v>
      </c>
      <c r="D21" s="33">
        <v>0</v>
      </c>
      <c r="E21" s="33">
        <v>0</v>
      </c>
      <c r="F21" s="33">
        <v>0</v>
      </c>
      <c r="G21" s="33">
        <v>0</v>
      </c>
      <c r="H21" s="33">
        <v>0</v>
      </c>
      <c r="I21" s="33">
        <v>0</v>
      </c>
      <c r="J21" s="33">
        <v>0</v>
      </c>
      <c r="K21" s="33">
        <v>0</v>
      </c>
      <c r="L21" s="33">
        <v>0</v>
      </c>
      <c r="M21" s="33">
        <f>IFERROR((INDEX(CashProjTable[DebtSell],MATCH($A$3&amp;M$5,CashProjTable[RefRng],0))-INDEX(CashProjTable[DebtSell_BahtNet],MATCH($A$3&amp;M$5,CashProjTable[RefRng],0)))+SUMIFS(IntraTrans[Net Settlement],IntraTrans[Portfolio],$A$3,IntraTrans[B/S],"S",IntraTrans[Settle Date],M$5,IntraTrans[Payment],"CHEQUE"),0)</f>
        <v>0</v>
      </c>
      <c r="N21" s="33">
        <f>IFERROR((INDEX(CashProjTable[DebtSell],MATCH($A$3&amp;N$5,CashProjTable[RefRng],0))-INDEX(CashProjTable[DebtSell_BahtNet],MATCH($A$3&amp;N$5,CashProjTable[RefRng],0)))+SUMIFS(IntraTrans[Net Settlement],IntraTrans[Portfolio],$A$3,IntraTrans[B/S],"S",IntraTrans[Settle Date],N$5,IntraTrans[Payment],"CHEQUE"),0)</f>
        <v>0</v>
      </c>
      <c r="O21" s="33">
        <f>IFERROR((INDEX(CashProjTable[DebtSell],MATCH($A$3&amp;O$5,CashProjTable[RefRng],0))-INDEX(CashProjTable[DebtSell_BahtNet],MATCH($A$3&amp;O$5,CashProjTable[RefRng],0)))+SUMIFS(IntraTrans[Net Settlement],IntraTrans[Portfolio],$A$3,IntraTrans[B/S],"S",IntraTrans[Settle Date],O$5,IntraTrans[Payment],"CHEQUE"),0)</f>
        <v>0</v>
      </c>
      <c r="P21" s="33">
        <f>IFERROR((INDEX(CashProjTable[DebtSell],MATCH($A$3&amp;P$5,CashProjTable[RefRng],0))-INDEX(CashProjTable[DebtSell_BahtNet],MATCH($A$3&amp;P$5,CashProjTable[RefRng],0)))+SUMIFS(IntraTrans[Net Settlement],IntraTrans[Portfolio],$A$3,IntraTrans[B/S],"S",IntraTrans[Settle Date],P$5,IntraTrans[Payment],"CHEQUE"),0)</f>
        <v>0</v>
      </c>
    </row>
    <row r="22" spans="1:16" s="22" customFormat="1" x14ac:dyDescent="0.2">
      <c r="A22" s="26" t="s">
        <v>355</v>
      </c>
      <c r="B22" s="33">
        <v>840000000</v>
      </c>
      <c r="C22" s="33">
        <v>0</v>
      </c>
      <c r="D22" s="33">
        <v>10000000</v>
      </c>
      <c r="E22" s="33">
        <v>20000000</v>
      </c>
      <c r="F22" s="33">
        <v>3019968539.5500002</v>
      </c>
      <c r="G22" s="33">
        <v>3005000000</v>
      </c>
      <c r="H22" s="33">
        <v>0</v>
      </c>
      <c r="I22" s="33">
        <v>810000000</v>
      </c>
      <c r="J22" s="33">
        <v>1706843196.1400001</v>
      </c>
      <c r="K22" s="33">
        <v>0</v>
      </c>
      <c r="L22" s="148">
        <f>IF(L$10&lt;0,-L$10,0)+1268778230</f>
        <v>1718778230</v>
      </c>
      <c r="M22" s="33">
        <f>IF(M$10&lt;0,-M$10,0)+INDEX(CashProjTable[CashEqSell_BahtNet],MATCH($A$3&amp;M$5,CashProjTable[RefRng],0))</f>
        <v>80000000</v>
      </c>
      <c r="N22" s="33">
        <f>IF(N$10&lt;0,-N$10,0)+INDEX(CashProjTable[CashEqSell_BahtNet],MATCH($A$3&amp;N$5,CashProjTable[RefRng],0))</f>
        <v>0</v>
      </c>
      <c r="O22" s="33">
        <f>IF(O$10&lt;0,-O$10,0)+INDEX(CashProjTable[CashEqSell_BahtNet],MATCH($A$3&amp;O$5,CashProjTable[RefRng],0))</f>
        <v>0</v>
      </c>
      <c r="P22" s="33">
        <f>IF(P$10&lt;0,-P$10,0)+INDEX(CashProjTable[CashEqSell_BahtNet],MATCH($A$3&amp;P$5,CashProjTable[RefRng],0))</f>
        <v>0</v>
      </c>
    </row>
    <row r="23" spans="1:16" s="22" customFormat="1" x14ac:dyDescent="0.2">
      <c r="A23" s="26" t="s">
        <v>356</v>
      </c>
      <c r="B23" s="33">
        <v>0</v>
      </c>
      <c r="C23" s="33">
        <v>0</v>
      </c>
      <c r="D23" s="33">
        <v>0</v>
      </c>
      <c r="E23" s="33">
        <v>0</v>
      </c>
      <c r="F23" s="33">
        <v>0</v>
      </c>
      <c r="G23" s="33">
        <v>0</v>
      </c>
      <c r="H23" s="33">
        <v>0</v>
      </c>
      <c r="I23" s="33">
        <v>0</v>
      </c>
      <c r="J23" s="33">
        <v>0</v>
      </c>
      <c r="K23" s="33">
        <v>0</v>
      </c>
      <c r="L23" s="33">
        <v>0</v>
      </c>
      <c r="M23" s="33">
        <v>0</v>
      </c>
      <c r="N23" s="33">
        <v>0</v>
      </c>
      <c r="O23" s="33">
        <v>0</v>
      </c>
      <c r="P23" s="33">
        <v>0</v>
      </c>
    </row>
    <row r="24" spans="1:16" s="22" customFormat="1" x14ac:dyDescent="0.2">
      <c r="A24" s="26" t="s">
        <v>357</v>
      </c>
      <c r="B24" s="33">
        <v>0</v>
      </c>
      <c r="C24" s="33">
        <v>0</v>
      </c>
      <c r="D24" s="33">
        <v>80291.97</v>
      </c>
      <c r="E24" s="33">
        <v>60221.41</v>
      </c>
      <c r="F24" s="33">
        <v>0</v>
      </c>
      <c r="G24" s="33">
        <v>1589843.84</v>
      </c>
      <c r="H24" s="33">
        <v>0</v>
      </c>
      <c r="I24" s="33">
        <v>0</v>
      </c>
      <c r="J24" s="33">
        <v>0</v>
      </c>
      <c r="K24" s="33">
        <v>0</v>
      </c>
      <c r="L24" s="33">
        <v>0</v>
      </c>
      <c r="M24" s="33">
        <f>IFERROR(INDEX(CashProjTable[DebtInterest],MATCH($A$3&amp;M$5,CashProjTable[RefRng],0)),0)</f>
        <v>0</v>
      </c>
      <c r="N24" s="33">
        <f>IFERROR(INDEX(CashProjTable[DebtInterest],MATCH($A$3&amp;N$5,CashProjTable[RefRng],0)),0)</f>
        <v>421687.67</v>
      </c>
      <c r="O24" s="33">
        <f>IFERROR(INDEX(CashProjTable[DebtInterest],MATCH($A$3&amp;O$5,CashProjTable[RefRng],0)),0)</f>
        <v>0</v>
      </c>
      <c r="P24" s="33">
        <f>IFERROR(INDEX(CashProjTable[DebtInterest],MATCH($A$3&amp;P$5,CashProjTable[RefRng],0)),0)</f>
        <v>947726.03</v>
      </c>
    </row>
    <row r="25" spans="1:16" s="22" customFormat="1" x14ac:dyDescent="0.2">
      <c r="A25" s="26" t="s">
        <v>358</v>
      </c>
      <c r="B25" s="33">
        <v>0</v>
      </c>
      <c r="C25" s="33">
        <v>0</v>
      </c>
      <c r="D25" s="33">
        <v>0</v>
      </c>
      <c r="E25" s="33">
        <v>0</v>
      </c>
      <c r="F25" s="33">
        <v>0</v>
      </c>
      <c r="G25" s="33">
        <v>0</v>
      </c>
      <c r="H25" s="33">
        <v>0</v>
      </c>
      <c r="I25" s="33">
        <v>0</v>
      </c>
      <c r="J25" s="33"/>
      <c r="K25" s="33">
        <v>0</v>
      </c>
      <c r="L25" s="33"/>
      <c r="M25" s="33">
        <f>IFERROR(INDEX(CashProjTable[CashEqInterest],MATCH($A$3&amp;M$5,CashProjTable[RefRng],0)),0)</f>
        <v>0</v>
      </c>
      <c r="N25" s="33">
        <f>IFERROR(INDEX(CashProjTable[CashEqInterest],MATCH($A$3&amp;N$5,CashProjTable[RefRng],0)),0)</f>
        <v>0</v>
      </c>
      <c r="O25" s="33">
        <f>IFERROR(INDEX(CashProjTable[CashEqInterest],MATCH($A$3&amp;O$5,CashProjTable[RefRng],0)),0)</f>
        <v>0</v>
      </c>
      <c r="P25" s="33">
        <f>IFERROR(INDEX(CashProjTable[CashEqInterest],MATCH($A$3&amp;P$5,CashProjTable[RefRng],0)),0)</f>
        <v>0</v>
      </c>
    </row>
    <row r="26" spans="1:16" s="36" customFormat="1" x14ac:dyDescent="0.2">
      <c r="A26" s="34" t="s">
        <v>359</v>
      </c>
      <c r="B26" s="35">
        <v>0</v>
      </c>
      <c r="C26" s="35"/>
      <c r="D26" s="35"/>
      <c r="E26" s="35"/>
      <c r="F26" s="35"/>
      <c r="G26" s="35"/>
      <c r="H26" s="35"/>
      <c r="I26" s="35"/>
      <c r="J26" s="35"/>
      <c r="K26" s="35"/>
      <c r="L26" s="35"/>
      <c r="M26" s="35"/>
      <c r="N26" s="35"/>
      <c r="O26" s="35"/>
      <c r="P26" s="35"/>
    </row>
    <row r="27" spans="1:16" s="38" customFormat="1" ht="13.5" thickBot="1" x14ac:dyDescent="0.25">
      <c r="A27" s="28" t="s">
        <v>360</v>
      </c>
      <c r="B27" s="37">
        <v>5077717143.8599997</v>
      </c>
      <c r="C27" s="37">
        <v>1123218994.9099998</v>
      </c>
      <c r="D27" s="37">
        <v>6544458016.04</v>
      </c>
      <c r="E27" s="37">
        <v>1797082107.5400002</v>
      </c>
      <c r="F27" s="37">
        <v>10309747625.57</v>
      </c>
      <c r="G27" s="37">
        <v>4085003625.7700005</v>
      </c>
      <c r="H27" s="37">
        <v>7909717601.7299995</v>
      </c>
      <c r="I27" s="37">
        <v>1896155986.4199998</v>
      </c>
      <c r="J27" s="37">
        <v>2718574442.04</v>
      </c>
      <c r="K27" s="37">
        <v>1440372859.9300001</v>
      </c>
      <c r="L27" s="37">
        <f t="shared" ref="L27:O27" si="2">SUM(L16:L26)</f>
        <v>8517668096.2799997</v>
      </c>
      <c r="M27" s="37">
        <f t="shared" si="2"/>
        <v>1079100084.78</v>
      </c>
      <c r="N27" s="37">
        <f t="shared" ref="N27:P27" si="3">SUM(N16:N26)</f>
        <v>95558150.810000002</v>
      </c>
      <c r="O27" s="37">
        <f t="shared" si="3"/>
        <v>2424772237</v>
      </c>
      <c r="P27" s="37">
        <f t="shared" si="3"/>
        <v>52825985.289999999</v>
      </c>
    </row>
    <row r="28" spans="1:16" s="22" customFormat="1" x14ac:dyDescent="0.2">
      <c r="L28" s="72"/>
    </row>
    <row r="29" spans="1:16" s="25" customFormat="1" x14ac:dyDescent="0.2">
      <c r="A29" s="24" t="s">
        <v>361</v>
      </c>
    </row>
    <row r="30" spans="1:16" s="22" customFormat="1" x14ac:dyDescent="0.2">
      <c r="A30" s="32" t="s">
        <v>362</v>
      </c>
      <c r="B30" s="33">
        <v>905880195.55999994</v>
      </c>
      <c r="C30" s="33">
        <v>892716817.12</v>
      </c>
      <c r="D30" s="62">
        <v>990562191.70000005</v>
      </c>
      <c r="E30" s="62">
        <v>831132440.77999997</v>
      </c>
      <c r="F30" s="62">
        <v>647035808.00999999</v>
      </c>
      <c r="G30" s="62">
        <v>2282940551.7199998</v>
      </c>
      <c r="H30" s="62">
        <v>709699209.91999996</v>
      </c>
      <c r="I30" s="62">
        <v>2801362307.73</v>
      </c>
      <c r="J30" s="62">
        <v>944973922.45000005</v>
      </c>
      <c r="K30" s="62">
        <v>577610197.14999998</v>
      </c>
      <c r="L30" s="62">
        <v>1178633603.77</v>
      </c>
      <c r="M30" s="63">
        <f>IFERROR(ABS(INDEX(CashIntraTable[Amount],MATCH($A$3&amp;M$5&amp;$A54,CashIntraTable[RefRng],0))),0)</f>
        <v>854726874.16999996</v>
      </c>
      <c r="N30" s="62">
        <f>IFERROR(ABS(INDEX(CashIntraTable[Amount],MATCH($A$3&amp;N$5&amp;$A54,CashIntraTable[RefRng],0))),0)</f>
        <v>0</v>
      </c>
      <c r="O30" s="62">
        <f>IFERROR(ABS(INDEX(CashIntraTable[Amount],MATCH($A$3&amp;O$5&amp;$A54,CashIntraTable[RefRng],0))),0)</f>
        <v>0</v>
      </c>
      <c r="P30" s="62">
        <f>IFERROR(ABS(INDEX(CashIntraTable[Amount],MATCH($A$3&amp;P$5&amp;$A54,CashIntraTable[RefRng],0))),0)</f>
        <v>0</v>
      </c>
    </row>
    <row r="31" spans="1:16" s="22" customFormat="1" x14ac:dyDescent="0.2">
      <c r="A31" s="32" t="s">
        <v>363</v>
      </c>
      <c r="B31" s="33">
        <v>1338597903.01</v>
      </c>
      <c r="C31" s="33">
        <v>193601544.80000001</v>
      </c>
      <c r="D31" s="62">
        <v>193601544.80000001</v>
      </c>
      <c r="E31" s="62">
        <v>969417634.75</v>
      </c>
      <c r="F31" s="62">
        <v>391914158.66000003</v>
      </c>
      <c r="G31" s="62">
        <v>780552210.48000002</v>
      </c>
      <c r="H31" s="62">
        <v>95296788.469999999</v>
      </c>
      <c r="I31" s="62">
        <v>228369324.27000001</v>
      </c>
      <c r="J31" s="62">
        <v>382661754.81</v>
      </c>
      <c r="K31" s="62">
        <v>354595095.88999999</v>
      </c>
      <c r="L31" s="62">
        <v>369685345.72000003</v>
      </c>
      <c r="M31" s="63">
        <f>IFERROR(ABS(INDEX(CashIntraTable[Amount],MATCH($A$3&amp;M$5&amp;$A55,CashIntraTable[RefRng],0))),0)</f>
        <v>241354993.40000001</v>
      </c>
      <c r="N31" s="62">
        <f>IFERROR(ABS(INDEX(CashIntraTable[Amount],MATCH($A$3&amp;N$5&amp;$A55,CashIntraTable[RefRng],0))),0)</f>
        <v>0</v>
      </c>
      <c r="O31" s="62">
        <f>IFERROR(ABS(INDEX(CashIntraTable[Amount],MATCH($A$3&amp;O$5&amp;$A55,CashIntraTable[RefRng],0))),0)</f>
        <v>0</v>
      </c>
      <c r="P31" s="62">
        <f>IFERROR(ABS(INDEX(CashIntraTable[Amount],MATCH($A$3&amp;P$5&amp;$A55,CashIntraTable[RefRng],0))),0)</f>
        <v>0</v>
      </c>
    </row>
    <row r="32" spans="1:16" s="22" customFormat="1" x14ac:dyDescent="0.2">
      <c r="A32" s="26" t="s">
        <v>364</v>
      </c>
      <c r="B32" s="33">
        <v>2834533582.5500002</v>
      </c>
      <c r="C32" s="33">
        <v>0</v>
      </c>
      <c r="D32" s="33">
        <v>5385208192.71</v>
      </c>
      <c r="E32" s="33">
        <v>0</v>
      </c>
      <c r="F32" s="33">
        <v>3553902296.7399998</v>
      </c>
      <c r="G32" s="33">
        <v>952320002.34000003</v>
      </c>
      <c r="H32" s="33">
        <v>5976649816.75</v>
      </c>
      <c r="I32" s="33">
        <v>0</v>
      </c>
      <c r="J32" s="33">
        <v>0</v>
      </c>
      <c r="K32" s="33">
        <v>0</v>
      </c>
      <c r="L32" s="33">
        <v>6946680686.9099998</v>
      </c>
      <c r="M32" s="33">
        <f>IFERROR(INDEX(CashProjTable[DebtBuy_BahtNet],MATCH($A$3&amp;M$5,CashProjTable[RefRng],0))+SUMIFS(IntraTrans[Net Settlement],IntraTrans[Portfolio],$A$3,IntraTrans[B/S],"B",IntraTrans[Settle Date],M$5,IntraTrans[Payment],"BAHTNET"),0)</f>
        <v>0</v>
      </c>
      <c r="N32" s="33">
        <f>IFERROR(INDEX(CashProjTable[DebtBuy_BahtNet],MATCH($A$3&amp;N$5,CashProjTable[RefRng],0))+SUMIFS(IntraTrans[Net Settlement],IntraTrans[Portfolio],$A$3,IntraTrans[B/S],"B",IntraTrans[Settle Date],N$5,IntraTrans[Payment],"BAHTNET"),0)</f>
        <v>0</v>
      </c>
      <c r="O32" s="33">
        <f>IFERROR(INDEX(CashProjTable[DebtBuy_BahtNet],MATCH($A$3&amp;O$5,CashProjTable[RefRng],0))+SUMIFS(IntraTrans[Net Settlement],IntraTrans[Portfolio],$A$3,IntraTrans[B/S],"B",IntraTrans[Settle Date],O$5,IntraTrans[Payment],"BAHTNET"),0)</f>
        <v>0</v>
      </c>
      <c r="P32" s="33">
        <f>IFERROR(INDEX(CashProjTable[DebtBuy_BahtNet],MATCH($A$3&amp;P$5,CashProjTable[RefRng],0))+SUMIFS(IntraTrans[Net Settlement],IntraTrans[Portfolio],$A$3,IntraTrans[B/S],"B",IntraTrans[Settle Date],P$5,IntraTrans[Payment],"BAHTNET"),0)</f>
        <v>0</v>
      </c>
    </row>
    <row r="33" spans="1:33" s="22" customFormat="1" x14ac:dyDescent="0.2">
      <c r="A33" s="26" t="s">
        <v>365</v>
      </c>
      <c r="B33" s="33">
        <v>0</v>
      </c>
      <c r="C33" s="33">
        <v>0</v>
      </c>
      <c r="D33" s="33">
        <v>0</v>
      </c>
      <c r="E33" s="33">
        <v>0</v>
      </c>
      <c r="F33" s="33">
        <v>0</v>
      </c>
      <c r="G33" s="33">
        <v>0</v>
      </c>
      <c r="H33" s="33">
        <v>0</v>
      </c>
      <c r="I33" s="33">
        <v>0</v>
      </c>
      <c r="J33" s="33">
        <v>0</v>
      </c>
      <c r="K33" s="33">
        <v>0</v>
      </c>
      <c r="L33" s="33">
        <v>0</v>
      </c>
      <c r="M33" s="33">
        <f>IFERROR((INDEX(CashProjTable[DebtBuy],MATCH($A$3&amp;M$5,CashProjTable[RefRng],0))-INDEX(CashProjTable[DebtBuy_BahtNet],MATCH($A$3&amp;M$5,CashProjTable[RefRng],0)))+SUMIFS(IntraTrans[Net Settlement],IntraTrans[Portfolio],$A$3,IntraTrans[B/S],"B",IntraTrans[Settle Date],M$5,IntraTrans[Payment],"CHEQUE"),0)</f>
        <v>0</v>
      </c>
      <c r="N33" s="33">
        <f>IFERROR((INDEX(CashProjTable[DebtBuy],MATCH($A$3&amp;N$5,CashProjTable[RefRng],0))-INDEX(CashProjTable[DebtBuy_BahtNet],MATCH($A$3&amp;N$5,CashProjTable[RefRng],0)))+SUMIFS(IntraTrans[Net Settlement],IntraTrans[Portfolio],$A$3,IntraTrans[B/S],"B",IntraTrans[Settle Date],N$5,IntraTrans[Payment],"CHEQUE"),0)</f>
        <v>0</v>
      </c>
      <c r="O33" s="33">
        <f>IFERROR((INDEX(CashProjTable[DebtBuy],MATCH($A$3&amp;O$5,CashProjTable[RefRng],0))-INDEX(CashProjTable[DebtBuy_BahtNet],MATCH($A$3&amp;O$5,CashProjTable[RefRng],0)))+SUMIFS(IntraTrans[Net Settlement],IntraTrans[Portfolio],$A$3,IntraTrans[B/S],"B",IntraTrans[Settle Date],O$5,IntraTrans[Payment],"CHEQUE"),0)</f>
        <v>0</v>
      </c>
      <c r="P33" s="33">
        <f>IFERROR((INDEX(CashProjTable[DebtBuy],MATCH($A$3&amp;P$5,CashProjTable[RefRng],0))-INDEX(CashProjTable[DebtBuy_BahtNet],MATCH($A$3&amp;P$5,CashProjTable[RefRng],0)))+SUMIFS(IntraTrans[Net Settlement],IntraTrans[Portfolio],$A$3,IntraTrans[B/S],"B",IntraTrans[Settle Date],P$5,IntraTrans[Payment],"CHEQUE"),0)</f>
        <v>0</v>
      </c>
    </row>
    <row r="34" spans="1:33" s="22" customFormat="1" x14ac:dyDescent="0.2">
      <c r="A34" s="26" t="s">
        <v>355</v>
      </c>
      <c r="B34" s="33">
        <v>0</v>
      </c>
      <c r="C34" s="33">
        <v>40000000</v>
      </c>
      <c r="D34" s="33">
        <v>0</v>
      </c>
      <c r="E34" s="33">
        <v>0</v>
      </c>
      <c r="F34" s="33">
        <v>3820000000</v>
      </c>
      <c r="G34" s="33">
        <v>0</v>
      </c>
      <c r="H34" s="33">
        <v>0</v>
      </c>
      <c r="I34" s="33">
        <v>0</v>
      </c>
      <c r="J34" s="33">
        <v>266000000</v>
      </c>
      <c r="K34" s="33">
        <v>460000000</v>
      </c>
      <c r="L34" s="33">
        <v>0</v>
      </c>
      <c r="M34" s="33">
        <f>IF(M$10&gt;0,M$10,0)+INDEX(CashProjTable[CashEqBuy_BahtNet],MATCH($A$3&amp;M$5,CashProjTable[RefRng],0))</f>
        <v>0</v>
      </c>
      <c r="N34" s="33">
        <f>IF(N$10&gt;0,N$10,0)+INDEX(CashProjTable[CashEqBuy_BahtNet],MATCH($A$3&amp;N$5,CashProjTable[RefRng],0))</f>
        <v>0</v>
      </c>
      <c r="O34" s="33">
        <f>IF(O$10&gt;0,O$10,0)+INDEX(CashProjTable[CashEqBuy_BahtNet],MATCH($A$3&amp;O$5,CashProjTable[RefRng],0))</f>
        <v>0</v>
      </c>
      <c r="P34" s="33">
        <f>IF(P$10&gt;0,P$10,0)+INDEX(CashProjTable[CashEqBuy_BahtNet],MATCH($A$3&amp;P$5,CashProjTable[RefRng],0))</f>
        <v>0</v>
      </c>
    </row>
    <row r="35" spans="1:33" s="22" customFormat="1" x14ac:dyDescent="0.2">
      <c r="A35" s="26" t="s">
        <v>356</v>
      </c>
      <c r="B35" s="33">
        <v>0</v>
      </c>
      <c r="C35" s="33">
        <v>0</v>
      </c>
      <c r="D35" s="33">
        <v>0</v>
      </c>
      <c r="E35" s="33">
        <v>0</v>
      </c>
      <c r="F35" s="33">
        <v>0</v>
      </c>
      <c r="G35" s="33">
        <v>0</v>
      </c>
      <c r="H35" s="33">
        <v>0</v>
      </c>
      <c r="I35" s="33">
        <v>0</v>
      </c>
      <c r="J35" s="33">
        <v>0</v>
      </c>
      <c r="K35" s="33">
        <v>0</v>
      </c>
      <c r="L35" s="33">
        <v>0</v>
      </c>
      <c r="M35" s="33">
        <v>0</v>
      </c>
      <c r="N35" s="33">
        <v>0</v>
      </c>
      <c r="O35" s="33">
        <v>0</v>
      </c>
      <c r="P35" s="33">
        <v>0</v>
      </c>
    </row>
    <row r="36" spans="1:33" s="22" customFormat="1" x14ac:dyDescent="0.2">
      <c r="A36" s="26" t="s">
        <v>366</v>
      </c>
      <c r="B36" s="33">
        <v>0</v>
      </c>
      <c r="C36" s="33">
        <v>0</v>
      </c>
      <c r="D36" s="33">
        <v>0</v>
      </c>
      <c r="E36" s="33">
        <v>0</v>
      </c>
      <c r="F36" s="33">
        <v>0</v>
      </c>
      <c r="G36" s="33">
        <v>0</v>
      </c>
      <c r="H36" s="33">
        <v>0</v>
      </c>
      <c r="I36" s="33">
        <v>0</v>
      </c>
      <c r="J36" s="33">
        <v>0</v>
      </c>
      <c r="K36" s="33">
        <v>0</v>
      </c>
      <c r="L36" s="33">
        <v>0</v>
      </c>
      <c r="M36" s="33">
        <f>IFERROR(INDEX(CashProjTable[Expense],MATCH($A$3&amp;M$5,CashProjTable[RefRng],0)),0)</f>
        <v>0</v>
      </c>
      <c r="N36" s="33">
        <f>IFERROR(INDEX(CashProjTable[Expense],MATCH($A$3&amp;N$5,CashProjTable[RefRng],0)),0)</f>
        <v>0</v>
      </c>
      <c r="O36" s="33">
        <f>IFERROR(INDEX(CashProjTable[Expense],MATCH($A$3&amp;O$5,CashProjTable[RefRng],0)),0)</f>
        <v>0</v>
      </c>
      <c r="P36" s="33">
        <f>IFERROR(INDEX(CashProjTable[Expense],MATCH($A$3&amp;P$5,CashProjTable[RefRng],0)),0)</f>
        <v>0</v>
      </c>
    </row>
    <row r="37" spans="1:33" s="36" customFormat="1" x14ac:dyDescent="0.2">
      <c r="A37" s="34" t="s">
        <v>359</v>
      </c>
      <c r="B37" s="35"/>
      <c r="C37" s="35"/>
      <c r="D37" s="35"/>
      <c r="E37" s="35">
        <v>1500000</v>
      </c>
      <c r="F37" s="35">
        <v>1892500000</v>
      </c>
      <c r="G37" s="35"/>
      <c r="H37" s="35"/>
      <c r="I37" s="35"/>
      <c r="J37" s="35">
        <v>1124400000</v>
      </c>
      <c r="K37" s="35">
        <v>49726572</v>
      </c>
      <c r="L37" s="35">
        <v>500000</v>
      </c>
      <c r="M37" s="35"/>
      <c r="N37" s="35"/>
      <c r="O37" s="35"/>
      <c r="P37" s="35"/>
    </row>
    <row r="38" spans="1:33" s="38" customFormat="1" ht="13.5" thickBot="1" x14ac:dyDescent="0.25">
      <c r="A38" s="28" t="s">
        <v>367</v>
      </c>
      <c r="B38" s="37">
        <v>5079011681.1199999</v>
      </c>
      <c r="C38" s="37">
        <v>1126318361.9200001</v>
      </c>
      <c r="D38" s="37">
        <v>6569371929.21</v>
      </c>
      <c r="E38" s="37">
        <v>1802050075.53</v>
      </c>
      <c r="F38" s="37">
        <v>10305352263.41</v>
      </c>
      <c r="G38" s="37">
        <v>4015812764.54</v>
      </c>
      <c r="H38" s="37">
        <v>6781645815.1400003</v>
      </c>
      <c r="I38" s="37">
        <v>3029731632</v>
      </c>
      <c r="J38" s="37">
        <v>2718035677.2600002</v>
      </c>
      <c r="K38" s="37">
        <v>1441931865.04</v>
      </c>
      <c r="L38" s="37">
        <f t="shared" ref="L38:O38" si="4">SUM(L30:L37)</f>
        <v>8495499636.3999996</v>
      </c>
      <c r="M38" s="37">
        <f t="shared" si="4"/>
        <v>1096081867.5699999</v>
      </c>
      <c r="N38" s="37">
        <f t="shared" ref="N38:P38" si="5">SUM(N30:N37)</f>
        <v>0</v>
      </c>
      <c r="O38" s="37">
        <f t="shared" si="5"/>
        <v>0</v>
      </c>
      <c r="P38" s="37">
        <f t="shared" si="5"/>
        <v>0</v>
      </c>
    </row>
    <row r="39" spans="1:33" s="22" customFormat="1" x14ac:dyDescent="0.2"/>
    <row r="40" spans="1:33" s="25" customFormat="1" x14ac:dyDescent="0.2">
      <c r="A40" s="24" t="s">
        <v>839</v>
      </c>
    </row>
    <row r="41" spans="1:33" s="22" customFormat="1" x14ac:dyDescent="0.2">
      <c r="A41" s="26" t="s">
        <v>369</v>
      </c>
      <c r="B41" s="33">
        <v>9354308.6799993515</v>
      </c>
      <c r="C41" s="33">
        <v>6219006.8999998569</v>
      </c>
      <c r="D41" s="33">
        <v>-18698686.800000191</v>
      </c>
      <c r="E41" s="33">
        <v>6188629.3000001907</v>
      </c>
      <c r="F41" s="33">
        <v>10459318.670000076</v>
      </c>
      <c r="G41" s="33">
        <v>79656801.470000267</v>
      </c>
      <c r="H41" s="33">
        <v>1138050411.9099989</v>
      </c>
      <c r="I41" s="33">
        <v>4472421.5500001907</v>
      </c>
      <c r="J41" s="33">
        <v>5008734.3999996185</v>
      </c>
      <c r="K41" s="33">
        <v>3432123.6100001335</v>
      </c>
      <c r="L41" s="33">
        <f t="shared" ref="K41:P41" ca="1" si="6">L$6+L$27-L$38</f>
        <v>25592728.270000458</v>
      </c>
      <c r="M41" s="33">
        <f t="shared" ca="1" si="6"/>
        <v>8610945.4800004959</v>
      </c>
      <c r="N41" s="33">
        <f t="shared" ca="1" si="6"/>
        <v>104169096.2900005</v>
      </c>
      <c r="O41" s="33">
        <f t="shared" ca="1" si="6"/>
        <v>2528941333.2900004</v>
      </c>
      <c r="P41" s="33">
        <f t="shared" ca="1" si="6"/>
        <v>2581767318.5800004</v>
      </c>
    </row>
    <row r="42" spans="1:33" s="22" customFormat="1" x14ac:dyDescent="0.2">
      <c r="A42" s="26" t="s">
        <v>853</v>
      </c>
      <c r="B42" s="33">
        <v>9318373.9100000001</v>
      </c>
      <c r="C42" s="33">
        <v>628003304.70000005</v>
      </c>
      <c r="D42" s="33">
        <v>11156597.289999999</v>
      </c>
      <c r="E42" s="33">
        <v>0</v>
      </c>
      <c r="F42" s="33">
        <v>10465940.24</v>
      </c>
      <c r="G42" s="33">
        <f>IFERROR(INDEX(CashProjTable[CashBal],MATCH($A$3&amp;G$5,CashProjTable[RefRng],0)),0)</f>
        <v>0</v>
      </c>
      <c r="H42" s="33">
        <v>1138048067.1300001</v>
      </c>
      <c r="I42" s="33">
        <v>4469969.62</v>
      </c>
      <c r="J42" s="33">
        <v>4991128.72</v>
      </c>
      <c r="K42" s="33">
        <f>IFERROR(INDEX(CashProjTable[CashBal],MATCH($A$3&amp;K$5,CashProjTable[RefRng],0)),0)</f>
        <v>3424268.39</v>
      </c>
      <c r="L42" s="33">
        <f>IFERROR(INDEX(CashProjTable[CashBal],MATCH($A$3&amp;L$5,CashProjTable[RefRng],0)),0)</f>
        <v>752081601.48000097</v>
      </c>
      <c r="M42" s="33">
        <f>IFERROR(INDEX(CashProjTable[CashBal],MATCH($A$3&amp;M$5,CashProjTable[RefRng],0)),0)</f>
        <v>752081601.48000097</v>
      </c>
      <c r="N42" s="33">
        <f>IFERROR(INDEX(CashProjTable[CashBal],MATCH($A$3&amp;N$5,CashProjTable[RefRng],0)),0)</f>
        <v>752503289.15000105</v>
      </c>
      <c r="O42" s="33">
        <f>IFERROR(INDEX(CashProjTable[CashBal],MATCH($A$3&amp;O$5,CashProjTable[RefRng],0)),0)</f>
        <v>3142503289.1500001</v>
      </c>
      <c r="P42" s="33">
        <f>IFERROR(INDEX(CashProjTable[CashBal],MATCH($A$3&amp;P$5,CashProjTable[RefRng],0)),0)</f>
        <v>3183451015.1799998</v>
      </c>
    </row>
    <row r="43" spans="1:33" s="41" customFormat="1" x14ac:dyDescent="0.2">
      <c r="A43" s="39" t="s">
        <v>370</v>
      </c>
      <c r="B43" s="40">
        <v>-35934.769999351352</v>
      </c>
      <c r="C43" s="40">
        <v>621784297.80000019</v>
      </c>
      <c r="D43" s="40">
        <v>29855284.09000019</v>
      </c>
      <c r="E43" s="40">
        <v>1063165016.5999998</v>
      </c>
      <c r="F43" s="40">
        <v>4718530370.6999998</v>
      </c>
      <c r="G43" s="40">
        <v>-50548518.729999542</v>
      </c>
      <c r="H43" s="40">
        <v>-323721603.35000014</v>
      </c>
      <c r="I43" s="40">
        <v>1134703020.8300004</v>
      </c>
      <c r="J43" s="40">
        <v>1671844254.2700005</v>
      </c>
      <c r="K43" s="40">
        <v>829559005.10999966</v>
      </c>
      <c r="L43" s="40">
        <v>1571006052.0500002</v>
      </c>
      <c r="M43" s="40">
        <f t="shared" ref="M43:O43" ca="1" si="7">M42-M41</f>
        <v>743470656.00000048</v>
      </c>
      <c r="N43" s="40">
        <f t="shared" ref="N43:P43" ca="1" si="8">N42-N41</f>
        <v>648334192.86000061</v>
      </c>
      <c r="O43" s="40">
        <f t="shared" ca="1" si="8"/>
        <v>613561955.85999966</v>
      </c>
      <c r="P43" s="40">
        <f t="shared" ca="1" si="8"/>
        <v>601683696.59999943</v>
      </c>
    </row>
    <row r="44" spans="1:33" s="22" customFormat="1" x14ac:dyDescent="0.2">
      <c r="A44" s="26" t="s">
        <v>854</v>
      </c>
      <c r="B44" s="44">
        <v>214735959917.92999</v>
      </c>
      <c r="C44" s="33">
        <v>214119766953.74997</v>
      </c>
      <c r="D44" s="33">
        <v>213898008919.06003</v>
      </c>
      <c r="E44" s="33">
        <v>212852228038.22998</v>
      </c>
      <c r="F44" s="33">
        <v>213829433337.21997</v>
      </c>
      <c r="G44" s="33">
        <v>211804611491.37</v>
      </c>
      <c r="H44" s="33">
        <v>212069321725.92996</v>
      </c>
      <c r="I44" s="33">
        <v>209842559666.91</v>
      </c>
      <c r="J44" s="33">
        <v>209533501591.30997</v>
      </c>
      <c r="K44" s="33">
        <v>209233070279.10999</v>
      </c>
      <c r="L44" s="33">
        <v>208136626390.62</v>
      </c>
      <c r="M44" s="33">
        <f t="shared" ref="M44" ca="1" si="9">IF(M$5&gt;TODAY(),L44,L45)+SUM(M16:M19)-SUM(M30:M31)</f>
        <v>208039644607.82999</v>
      </c>
      <c r="N44" s="33">
        <f t="shared" ref="N44" ca="1" si="10">IF(N$5&gt;TODAY(),M44,M45)+SUM(N16:N19)-SUM(N30:N31)</f>
        <v>208134781070.97</v>
      </c>
      <c r="O44" s="33">
        <f t="shared" ref="O44" ca="1" si="11">IF(O$5&gt;TODAY(),N44,N45)+SUM(O16:O19)-SUM(O30:O31)</f>
        <v>208169553307.97</v>
      </c>
      <c r="P44" s="33">
        <f t="shared" ref="P44" ca="1" si="12">IF(P$5&gt;TODAY(),O44,O45)+SUM(P16:P19)-SUM(P30:P31)</f>
        <v>208181431567.23001</v>
      </c>
    </row>
    <row r="45" spans="1:33" s="22" customFormat="1" x14ac:dyDescent="0.2">
      <c r="A45" s="26" t="s">
        <v>855</v>
      </c>
      <c r="B45" s="33">
        <v>214701551251.54999</v>
      </c>
      <c r="C45" s="33">
        <v>214125794931.49002</v>
      </c>
      <c r="D45" s="33">
        <v>213935393054.82999</v>
      </c>
      <c r="E45" s="33">
        <v>212859604217.87</v>
      </c>
      <c r="F45" s="33">
        <v>213859690471.64001</v>
      </c>
      <c r="G45" s="33">
        <f>[1]!SCBAM_GetGroup1Dtl($A$3,"NET ASSET VALUE",G$5,"MarketVal")+[1]!SCBAM_GetGroup1Dtl($A$3,"NET ASSET VALUE",G$5,"ai")</f>
        <v>211745600122.57999</v>
      </c>
      <c r="H45" s="33">
        <v>212071090545.44</v>
      </c>
      <c r="I45" s="33">
        <v>209849406022.66998</v>
      </c>
      <c r="J45" s="33">
        <v>209552902712.22</v>
      </c>
      <c r="K45" s="33">
        <f>[1]!SCBAM_GetGroup1Dtl($A$3,"NET ASSET VALUE",K$5,"MarketVal")+[1]!SCBAM_GetGroup1Dtl($A$3,"NET ASSET VALUE",K$5,"ai")</f>
        <v>209246055473.82999</v>
      </c>
      <c r="L45" s="33">
        <f>[1]!SCBAM_GetGroup1Dtl($A$3,"NET ASSET VALUE",L$5,"MarketVal")+[1]!SCBAM_GetGroup1Dtl($A$3,"NET ASSET VALUE",L$5,"ai")</f>
        <v>0</v>
      </c>
      <c r="M45" s="33">
        <f>[1]!SCBAM_GetGroup1Dtl($A$3,"NET ASSET VALUE",M$5,"MarketVal")+[1]!SCBAM_GetGroup1Dtl($A$3,"NET ASSET VALUE",M$5,"ai")</f>
        <v>0</v>
      </c>
      <c r="N45" s="33">
        <f>[1]!SCBAM_GetGroup1Dtl($A$3,"NET ASSET VALUE",N$5,"MarketVal")+[1]!SCBAM_GetGroup1Dtl($A$3,"NET ASSET VALUE",N$5,"ai")</f>
        <v>0</v>
      </c>
      <c r="O45" s="33">
        <f>[1]!SCBAM_GetGroup1Dtl($A$3,"NET ASSET VALUE",O$5,"MarketVal")+[1]!SCBAM_GetGroup1Dtl($A$3,"NET ASSET VALUE",O$5,"ai")</f>
        <v>0</v>
      </c>
      <c r="P45" s="33">
        <f>[1]!SCBAM_GetGroup1Dtl($A$3,"NET ASSET VALUE",P$5,"MarketVal")+[1]!SCBAM_GetGroup1Dtl($A$3,"NET ASSET VALUE",P$5,"ai")</f>
        <v>0</v>
      </c>
    </row>
    <row r="46" spans="1:33" s="21" customFormat="1" x14ac:dyDescent="0.2">
      <c r="A46" s="19" t="s">
        <v>840</v>
      </c>
      <c r="B46" s="20">
        <v>-621784297.80000007</v>
      </c>
      <c r="C46" s="20">
        <v>-197835355.13999999</v>
      </c>
      <c r="D46" s="20">
        <v>-1083165016.5999999</v>
      </c>
      <c r="E46" s="20">
        <v>79371313.239999995</v>
      </c>
      <c r="F46" s="20">
        <v>-2055078980.2699997</v>
      </c>
      <c r="G46" s="20">
        <v>81737766.739999995</v>
      </c>
      <c r="H46" s="20">
        <v>103662954.59999999</v>
      </c>
      <c r="I46" s="20">
        <v>100601221.30000001</v>
      </c>
      <c r="J46" s="20">
        <v>-319832433.1099999</v>
      </c>
      <c r="K46" s="20">
        <v>-1109429083.21</v>
      </c>
      <c r="L46" s="20">
        <f t="shared" ref="L46:M46" si="13">SUM(M16:M19)-SUM(M30:M31)</f>
        <v>-96981782.789999962</v>
      </c>
      <c r="M46" s="20">
        <f t="shared" si="13"/>
        <v>95136463.140000001</v>
      </c>
      <c r="N46" s="20">
        <f t="shared" ref="N46" si="14">SUM(O16:O19)-SUM(O30:O31)</f>
        <v>34772237</v>
      </c>
      <c r="O46" s="20">
        <f t="shared" ref="O46" si="15">SUM(P16:P19)-SUM(P30:P31)</f>
        <v>11878259.26</v>
      </c>
      <c r="P46" s="20">
        <f t="shared" ref="P46" si="16">SUM(Q16:Q19)-SUM(Q30:Q31)</f>
        <v>0</v>
      </c>
    </row>
    <row r="47" spans="1:33" s="47" customFormat="1" x14ac:dyDescent="0.2">
      <c r="A47" s="45" t="s">
        <v>371</v>
      </c>
      <c r="B47" s="48">
        <v>4.3568891912846951E-5</v>
      </c>
      <c r="C47" s="48">
        <v>2.9043707237559308E-5</v>
      </c>
      <c r="D47" s="48">
        <v>-8.7403428357494186E-5</v>
      </c>
      <c r="E47" s="48">
        <v>3.6121911294342906E-5</v>
      </c>
      <c r="F47" s="48">
        <v>4.8907387114109233E-5</v>
      </c>
      <c r="G47" s="48">
        <v>2.265368442554189E-2</v>
      </c>
      <c r="H47" s="48">
        <v>1.2156759225324411E-3</v>
      </c>
      <c r="I47" s="48">
        <v>-1.5267361052902801E-3</v>
      </c>
      <c r="J47" s="48">
        <v>6.7938637690338607E-3</v>
      </c>
      <c r="K47" s="48">
        <v>8.0162561961289545E-3</v>
      </c>
      <c r="L47" s="48">
        <v>4.4043104264579946E-3</v>
      </c>
      <c r="M47" s="48">
        <f t="shared" ref="M47:O47" ca="1" si="17">M41/IF(M5&lt;TODAY(),M45,M44)</f>
        <v>4.1390887281281225E-5</v>
      </c>
      <c r="N47" s="48">
        <f t="shared" ref="N47:P47" ca="1" si="18">N41/IF(N5&lt;TODAY(),N45,N44)</f>
        <v>5.0048865333315352E-4</v>
      </c>
      <c r="O47" s="48">
        <f t="shared" ca="1" si="18"/>
        <v>1.214846884716439E-2</v>
      </c>
      <c r="P47" s="48">
        <f t="shared" ca="1" si="18"/>
        <v>1.2401525434540235E-2</v>
      </c>
      <c r="Q47" s="46"/>
      <c r="R47" s="46"/>
      <c r="S47" s="46"/>
      <c r="T47" s="46"/>
      <c r="U47" s="46"/>
      <c r="V47" s="46"/>
      <c r="W47" s="46"/>
      <c r="X47" s="46"/>
      <c r="Y47" s="46"/>
      <c r="Z47" s="46"/>
      <c r="AA47" s="46"/>
      <c r="AB47" s="46"/>
      <c r="AC47" s="46"/>
      <c r="AD47" s="46"/>
      <c r="AE47" s="46"/>
      <c r="AF47" s="46"/>
      <c r="AG47" s="46"/>
    </row>
    <row r="48" spans="1:33" s="42" customFormat="1" x14ac:dyDescent="0.2">
      <c r="A48" s="42" t="s">
        <v>372</v>
      </c>
      <c r="B48" s="43">
        <v>9318373.9100000001</v>
      </c>
      <c r="C48" s="43">
        <v>628003304.70000005</v>
      </c>
      <c r="D48" s="43">
        <v>11156597.289999999</v>
      </c>
      <c r="E48" s="43">
        <v>1070853645.9</v>
      </c>
      <c r="F48" s="43">
        <v>4728989689.3699999</v>
      </c>
      <c r="G48" s="43">
        <v>4747606309.8699999</v>
      </c>
      <c r="H48" s="43">
        <v>-65914035.020001203</v>
      </c>
      <c r="I48" s="43">
        <v>814328808.55999899</v>
      </c>
      <c r="J48" s="43">
        <v>3095386319.1300001</v>
      </c>
      <c r="K48" s="43">
        <v>2506824901.1700001</v>
      </c>
      <c r="L48" s="43">
        <v>2487704365.79</v>
      </c>
      <c r="M48" s="43">
        <f>IFERROR(INDEX(CashProjTable[CashForUse],MATCH($A$3&amp;M$5,CashProjTable[RefRng],0)),0)</f>
        <v>752081601.48000097</v>
      </c>
      <c r="N48" s="43">
        <f>IFERROR(INDEX(CashProjTable[CashForUse],MATCH($A$3&amp;N$5,CashProjTable[RefRng],0)),0)</f>
        <v>752503289.15000105</v>
      </c>
      <c r="O48" s="43">
        <f>IFERROR(INDEX(CashProjTable[CashForUse],MATCH($A$3&amp;O$5,CashProjTable[RefRng],0)),0)</f>
        <v>3142503289.1500001</v>
      </c>
      <c r="P48" s="43">
        <f>IFERROR(INDEX(CashProjTable[CashForUse],MATCH($A$3&amp;P$5,CashProjTable[RefRng],0)),0)</f>
        <v>3183451015.1799998</v>
      </c>
    </row>
    <row r="49" spans="1:16" s="42" customFormat="1" x14ac:dyDescent="0.2">
      <c r="A49" s="42" t="s">
        <v>373</v>
      </c>
      <c r="B49" s="43">
        <v>-1190681626.0899999</v>
      </c>
      <c r="C49" s="43">
        <v>628003304.70000005</v>
      </c>
      <c r="D49" s="43">
        <v>11076305.32</v>
      </c>
      <c r="E49" s="43">
        <v>1070793424.49</v>
      </c>
      <c r="F49" s="43">
        <v>4679671659.7700005</v>
      </c>
      <c r="G49" s="43">
        <v>4746016466.0299997</v>
      </c>
      <c r="H49" s="43">
        <v>-65914035.020001203</v>
      </c>
      <c r="I49" s="43">
        <v>814328808.55999899</v>
      </c>
      <c r="J49" s="43">
        <v>3085283300.0799999</v>
      </c>
      <c r="K49" s="43">
        <v>2506824901.1700001</v>
      </c>
      <c r="L49" s="43">
        <v>2467721375.79</v>
      </c>
      <c r="M49" s="43">
        <f>IFERROR(INDEX(CashProjTable[CashForBahtNet],MATCH($A$3&amp;M$5,CashProjTable[RefRng],0)),0)</f>
        <v>752081601.48000097</v>
      </c>
      <c r="N49" s="43">
        <f>IFERROR(INDEX(CashProjTable[CashForBahtNet],MATCH($A$3&amp;N$5,CashProjTable[RefRng],0)),0)</f>
        <v>752081601.48000097</v>
      </c>
      <c r="O49" s="43">
        <f>IFERROR(INDEX(CashProjTable[CashForBahtNet],MATCH($A$3&amp;O$5,CashProjTable[RefRng],0)),0)</f>
        <v>3142503289.1500001</v>
      </c>
      <c r="P49" s="43">
        <f>IFERROR(INDEX(CashProjTable[CashForBahtNet],MATCH($A$3&amp;P$5,CashProjTable[RefRng],0)),0)</f>
        <v>3182503289.1500001</v>
      </c>
    </row>
    <row r="51" spans="1:16" x14ac:dyDescent="0.2">
      <c r="A51" s="11" t="s">
        <v>329</v>
      </c>
    </row>
    <row r="52" spans="1:16" x14ac:dyDescent="0.2">
      <c r="A52" s="11" t="s">
        <v>333</v>
      </c>
    </row>
    <row r="53" spans="1:16" x14ac:dyDescent="0.2">
      <c r="A53" s="11" t="s">
        <v>330</v>
      </c>
    </row>
    <row r="54" spans="1:16" x14ac:dyDescent="0.2">
      <c r="A54" s="11" t="s">
        <v>331</v>
      </c>
    </row>
    <row r="55" spans="1:16" x14ac:dyDescent="0.2">
      <c r="A55" s="11" t="s">
        <v>332</v>
      </c>
    </row>
  </sheetData>
  <conditionalFormatting sqref="D5">
    <cfRule type="cellIs" dxfId="354" priority="51" operator="equal">
      <formula>TODAY()</formula>
    </cfRule>
  </conditionalFormatting>
  <conditionalFormatting sqref="D10">
    <cfRule type="cellIs" dxfId="353" priority="50" operator="greaterThan">
      <formula>"&lt;0"</formula>
    </cfRule>
  </conditionalFormatting>
  <conditionalFormatting sqref="D11">
    <cfRule type="cellIs" dxfId="352" priority="49" operator="greaterThan">
      <formula>"&lt;0"</formula>
    </cfRule>
  </conditionalFormatting>
  <conditionalFormatting sqref="A5:C5 Q5:XFD5">
    <cfRule type="cellIs" dxfId="351" priority="62" operator="equal">
      <formula>TODAY()</formula>
    </cfRule>
  </conditionalFormatting>
  <conditionalFormatting sqref="B9:D9">
    <cfRule type="cellIs" dxfId="350" priority="61" operator="greaterThan">
      <formula>"&lt;0"</formula>
    </cfRule>
  </conditionalFormatting>
  <conditionalFormatting sqref="B10">
    <cfRule type="cellIs" dxfId="349" priority="60" operator="greaterThan">
      <formula>"&lt;0"</formula>
    </cfRule>
  </conditionalFormatting>
  <conditionalFormatting sqref="B11">
    <cfRule type="cellIs" dxfId="348" priority="59" operator="greaterThan">
      <formula>"&lt;0"</formula>
    </cfRule>
  </conditionalFormatting>
  <conditionalFormatting sqref="C10">
    <cfRule type="cellIs" dxfId="347" priority="58" operator="greaterThan">
      <formula>"&lt;0"</formula>
    </cfRule>
  </conditionalFormatting>
  <conditionalFormatting sqref="C11">
    <cfRule type="cellIs" dxfId="346" priority="57" operator="greaterThan">
      <formula>"&lt;0"</formula>
    </cfRule>
  </conditionalFormatting>
  <conditionalFormatting sqref="B7">
    <cfRule type="cellIs" dxfId="345" priority="56" operator="greaterThan">
      <formula>"&lt;0"</formula>
    </cfRule>
  </conditionalFormatting>
  <conditionalFormatting sqref="F5">
    <cfRule type="cellIs" dxfId="344" priority="40" operator="equal">
      <formula>TODAY()</formula>
    </cfRule>
  </conditionalFormatting>
  <conditionalFormatting sqref="F9">
    <cfRule type="cellIs" dxfId="343" priority="39" operator="greaterThan">
      <formula>"&lt;0"</formula>
    </cfRule>
  </conditionalFormatting>
  <conditionalFormatting sqref="F10">
    <cfRule type="cellIs" dxfId="342" priority="38" operator="greaterThan">
      <formula>"&lt;0"</formula>
    </cfRule>
  </conditionalFormatting>
  <conditionalFormatting sqref="F11">
    <cfRule type="cellIs" dxfId="341" priority="37" operator="greaterThan">
      <formula>"&lt;0"</formula>
    </cfRule>
  </conditionalFormatting>
  <conditionalFormatting sqref="E10">
    <cfRule type="cellIs" dxfId="340" priority="34" operator="greaterThan">
      <formula>"&lt;0"</formula>
    </cfRule>
  </conditionalFormatting>
  <conditionalFormatting sqref="E11">
    <cfRule type="cellIs" dxfId="339" priority="33" operator="greaterThan">
      <formula>"&lt;0"</formula>
    </cfRule>
  </conditionalFormatting>
  <conditionalFormatting sqref="E9">
    <cfRule type="cellIs" dxfId="338" priority="36" operator="greaterThan">
      <formula>"&lt;0"</formula>
    </cfRule>
  </conditionalFormatting>
  <conditionalFormatting sqref="E5">
    <cfRule type="cellIs" dxfId="337" priority="35" operator="equal">
      <formula>TODAY()</formula>
    </cfRule>
  </conditionalFormatting>
  <conditionalFormatting sqref="G10">
    <cfRule type="cellIs" dxfId="336" priority="30" operator="greaterThan">
      <formula>"&lt;0"</formula>
    </cfRule>
  </conditionalFormatting>
  <conditionalFormatting sqref="G11">
    <cfRule type="cellIs" dxfId="335" priority="29" operator="greaterThan">
      <formula>"&lt;0"</formula>
    </cfRule>
  </conditionalFormatting>
  <conditionalFormatting sqref="G9">
    <cfRule type="cellIs" dxfId="334" priority="32" operator="greaterThan">
      <formula>"&lt;0"</formula>
    </cfRule>
  </conditionalFormatting>
  <conditionalFormatting sqref="G5">
    <cfRule type="cellIs" dxfId="333" priority="31" operator="equal">
      <formula>TODAY()</formula>
    </cfRule>
  </conditionalFormatting>
  <conditionalFormatting sqref="H10">
    <cfRule type="cellIs" dxfId="332" priority="26" operator="greaterThan">
      <formula>"&lt;0"</formula>
    </cfRule>
  </conditionalFormatting>
  <conditionalFormatting sqref="H11">
    <cfRule type="cellIs" dxfId="331" priority="25" operator="greaterThan">
      <formula>"&lt;0"</formula>
    </cfRule>
  </conditionalFormatting>
  <conditionalFormatting sqref="H9">
    <cfRule type="cellIs" dxfId="330" priority="28" operator="greaterThan">
      <formula>"&lt;0"</formula>
    </cfRule>
  </conditionalFormatting>
  <conditionalFormatting sqref="H5">
    <cfRule type="cellIs" dxfId="329" priority="27" operator="equal">
      <formula>TODAY()</formula>
    </cfRule>
  </conditionalFormatting>
  <conditionalFormatting sqref="I10">
    <cfRule type="cellIs" dxfId="328" priority="22" operator="greaterThan">
      <formula>"&lt;0"</formula>
    </cfRule>
  </conditionalFormatting>
  <conditionalFormatting sqref="I11">
    <cfRule type="cellIs" dxfId="327" priority="21" operator="greaterThan">
      <formula>"&lt;0"</formula>
    </cfRule>
  </conditionalFormatting>
  <conditionalFormatting sqref="I9">
    <cfRule type="cellIs" dxfId="326" priority="24" operator="greaterThan">
      <formula>"&lt;0"</formula>
    </cfRule>
  </conditionalFormatting>
  <conditionalFormatting sqref="I5">
    <cfRule type="cellIs" dxfId="325" priority="23" operator="equal">
      <formula>TODAY()</formula>
    </cfRule>
  </conditionalFormatting>
  <conditionalFormatting sqref="J10">
    <cfRule type="cellIs" dxfId="324" priority="18" operator="greaterThan">
      <formula>"&lt;0"</formula>
    </cfRule>
  </conditionalFormatting>
  <conditionalFormatting sqref="J11">
    <cfRule type="cellIs" dxfId="323" priority="17" operator="greaterThan">
      <formula>"&lt;0"</formula>
    </cfRule>
  </conditionalFormatting>
  <conditionalFormatting sqref="J9">
    <cfRule type="cellIs" dxfId="322" priority="20" operator="greaterThan">
      <formula>"&lt;0"</formula>
    </cfRule>
  </conditionalFormatting>
  <conditionalFormatting sqref="J5">
    <cfRule type="cellIs" dxfId="321" priority="19" operator="equal">
      <formula>TODAY()</formula>
    </cfRule>
  </conditionalFormatting>
  <conditionalFormatting sqref="K10">
    <cfRule type="cellIs" dxfId="320" priority="14" operator="greaterThan">
      <formula>"&lt;0"</formula>
    </cfRule>
  </conditionalFormatting>
  <conditionalFormatting sqref="K11">
    <cfRule type="cellIs" dxfId="319" priority="13" operator="greaterThan">
      <formula>"&lt;0"</formula>
    </cfRule>
  </conditionalFormatting>
  <conditionalFormatting sqref="K9">
    <cfRule type="cellIs" dxfId="318" priority="16" operator="greaterThan">
      <formula>"&lt;0"</formula>
    </cfRule>
  </conditionalFormatting>
  <conditionalFormatting sqref="K5">
    <cfRule type="cellIs" dxfId="317" priority="15" operator="equal">
      <formula>TODAY()</formula>
    </cfRule>
  </conditionalFormatting>
  <conditionalFormatting sqref="L10">
    <cfRule type="cellIs" dxfId="316" priority="10" operator="greaterThan">
      <formula>"&lt;0"</formula>
    </cfRule>
  </conditionalFormatting>
  <conditionalFormatting sqref="L11">
    <cfRule type="cellIs" dxfId="315" priority="9" operator="greaterThan">
      <formula>"&lt;0"</formula>
    </cfRule>
  </conditionalFormatting>
  <conditionalFormatting sqref="L9">
    <cfRule type="cellIs" dxfId="314" priority="12" operator="greaterThan">
      <formula>"&lt;0"</formula>
    </cfRule>
  </conditionalFormatting>
  <conditionalFormatting sqref="L5">
    <cfRule type="cellIs" dxfId="313" priority="11" operator="equal">
      <formula>TODAY()</formula>
    </cfRule>
  </conditionalFormatting>
  <conditionalFormatting sqref="M10">
    <cfRule type="cellIs" dxfId="312" priority="6" operator="greaterThan">
      <formula>"&lt;0"</formula>
    </cfRule>
  </conditionalFormatting>
  <conditionalFormatting sqref="M11">
    <cfRule type="cellIs" dxfId="311" priority="5" operator="greaterThan">
      <formula>"&lt;0"</formula>
    </cfRule>
  </conditionalFormatting>
  <conditionalFormatting sqref="M9">
    <cfRule type="cellIs" dxfId="310" priority="8" operator="greaterThan">
      <formula>"&lt;0"</formula>
    </cfRule>
  </conditionalFormatting>
  <conditionalFormatting sqref="M5">
    <cfRule type="cellIs" dxfId="309" priority="7" operator="equal">
      <formula>TODAY()</formula>
    </cfRule>
  </conditionalFormatting>
  <conditionalFormatting sqref="N10:P10">
    <cfRule type="cellIs" dxfId="308" priority="2" operator="greaterThan">
      <formula>"&lt;0"</formula>
    </cfRule>
  </conditionalFormatting>
  <conditionalFormatting sqref="N11:P11">
    <cfRule type="cellIs" dxfId="307" priority="1" operator="greaterThan">
      <formula>"&lt;0"</formula>
    </cfRule>
  </conditionalFormatting>
  <conditionalFormatting sqref="N9:P9">
    <cfRule type="cellIs" dxfId="306" priority="4" operator="greaterThan">
      <formula>"&lt;0"</formula>
    </cfRule>
  </conditionalFormatting>
  <conditionalFormatting sqref="N5:P5">
    <cfRule type="cellIs" dxfId="305" priority="3" operator="equal">
      <formula>TODAY()</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860167-CA04-4BB2-A5AD-E37E735896D6}">
  <sheetPr codeName="Sheet11"/>
  <dimension ref="A1:AG55"/>
  <sheetViews>
    <sheetView zoomScale="90" zoomScaleNormal="90" workbookViewId="0">
      <pane xSplit="1" ySplit="6" topLeftCell="E7" activePane="bottomRight" state="frozen"/>
      <selection pane="topRight" activeCell="B1" sqref="B1"/>
      <selection pane="bottomLeft" activeCell="A7" sqref="A7"/>
      <selection pane="bottomRight" activeCell="M14" sqref="M14"/>
    </sheetView>
  </sheetViews>
  <sheetFormatPr defaultColWidth="9" defaultRowHeight="12.75" outlineLevelRow="1" x14ac:dyDescent="0.2"/>
  <cols>
    <col min="1" max="1" width="32" style="11" customWidth="1"/>
    <col min="2" max="16" width="18.75" style="11" customWidth="1"/>
    <col min="17" max="27" width="15.125" style="11" bestFit="1" customWidth="1"/>
    <col min="28" max="16384" width="9" style="11"/>
  </cols>
  <sheetData>
    <row r="1" spans="1:33" x14ac:dyDescent="0.2">
      <c r="A1" s="10" t="s">
        <v>340</v>
      </c>
    </row>
    <row r="2" spans="1:33" x14ac:dyDescent="0.2">
      <c r="A2" s="12">
        <f ca="1">[1]!SCBAM_PreviousBusinessDay(TODAY())</f>
        <v>43397</v>
      </c>
    </row>
    <row r="3" spans="1:33" x14ac:dyDescent="0.2">
      <c r="A3" s="13" t="s">
        <v>131</v>
      </c>
    </row>
    <row r="5" spans="1:33" s="18" customFormat="1" x14ac:dyDescent="0.2">
      <c r="A5" s="14" t="s">
        <v>341</v>
      </c>
      <c r="B5" s="15">
        <v>43382</v>
      </c>
      <c r="C5" s="15">
        <v>43383</v>
      </c>
      <c r="D5" s="15">
        <v>43384</v>
      </c>
      <c r="E5" s="15">
        <v>43385</v>
      </c>
      <c r="F5" s="15">
        <v>43389</v>
      </c>
      <c r="G5" s="15">
        <v>43390</v>
      </c>
      <c r="H5" s="15">
        <v>43391</v>
      </c>
      <c r="I5" s="15">
        <v>43392</v>
      </c>
      <c r="J5" s="15">
        <v>43395</v>
      </c>
      <c r="K5" s="15">
        <v>43397</v>
      </c>
      <c r="L5" s="15">
        <v>43398</v>
      </c>
      <c r="M5" s="15">
        <f>[1]!SCBAM_NextBusinessDay(L5)</f>
        <v>43399</v>
      </c>
      <c r="N5" s="15">
        <f>[1]!SCBAM_NextBusinessDay(M5)</f>
        <v>43402</v>
      </c>
      <c r="O5" s="15">
        <f>[1]!SCBAM_NextBusinessDay(N5)</f>
        <v>43403</v>
      </c>
      <c r="P5" s="15">
        <f>[1]!SCBAM_NextBusinessDay(O5)</f>
        <v>43404</v>
      </c>
      <c r="Q5" s="16"/>
      <c r="R5" s="16"/>
      <c r="S5" s="16"/>
      <c r="T5" s="16"/>
      <c r="U5" s="16"/>
      <c r="V5" s="16"/>
      <c r="W5" s="16"/>
      <c r="X5" s="16"/>
      <c r="Y5" s="16"/>
      <c r="Z5" s="16"/>
      <c r="AA5" s="16"/>
      <c r="AB5" s="17"/>
      <c r="AC5" s="17"/>
      <c r="AD5" s="17"/>
      <c r="AE5" s="17"/>
      <c r="AF5" s="17"/>
      <c r="AG5" s="17"/>
    </row>
    <row r="6" spans="1:33" s="21" customFormat="1" x14ac:dyDescent="0.2">
      <c r="A6" s="19" t="s">
        <v>342</v>
      </c>
      <c r="B6" s="20">
        <v>1876711.2</v>
      </c>
      <c r="C6" s="20">
        <v>3373326.37</v>
      </c>
      <c r="D6" s="20">
        <v>2720904.51</v>
      </c>
      <c r="E6" s="20">
        <v>2363199.08</v>
      </c>
      <c r="F6" s="20">
        <v>2520799.73</v>
      </c>
      <c r="G6" s="20">
        <v>4696557.8899999997</v>
      </c>
      <c r="H6" s="20">
        <v>2196430.2799999998</v>
      </c>
      <c r="I6" s="20">
        <v>4300861.1500000004</v>
      </c>
      <c r="J6" s="20">
        <v>1908032.51</v>
      </c>
      <c r="K6" s="20">
        <v>1925845.08</v>
      </c>
      <c r="L6" s="20">
        <f ca="1">IF(AND(ISNUMBER(K41),ISNUMBER(K42)),IF(L5&lt;=TODAY(),K42,K41),INDEX(CashProjTable[CashBal],MATCH($A$3&amp;[1]!SCBAM_PreviousBusinessDay(L$5),CashProjTable[RefRng],0)))</f>
        <v>3539799.75</v>
      </c>
      <c r="M6" s="20">
        <f ca="1">IF(AND(ISNUMBER(L41),ISNUMBER(L42)),IF(M5&lt;=TODAY(),L42,L41),INDEX(CashProjTable[CashBal],MATCH($A$3&amp;[1]!SCBAM_PreviousBusinessDay(M$5),CashProjTable[RefRng],0)))</f>
        <v>15581873.300000012</v>
      </c>
      <c r="N6" s="20">
        <f ca="1">IF(AND(ISNUMBER(M41),ISNUMBER(M42)),IF(N5&lt;=TODAY(),M42,M41),INDEX(CashProjTable[CashBal],MATCH($A$3&amp;[1]!SCBAM_PreviousBusinessDay(N$5),CashProjTable[RefRng],0)))</f>
        <v>3442272.3400000185</v>
      </c>
      <c r="O6" s="20">
        <f ca="1">IF(AND(ISNUMBER(N41),ISNUMBER(N42)),IF(O5&lt;=TODAY(),N42,N41),INDEX(CashProjTable[CashBal],MATCH($A$3&amp;[1]!SCBAM_PreviousBusinessDay(O$5),CashProjTable[RefRng],0)))</f>
        <v>3897544.6600000183</v>
      </c>
      <c r="P6" s="20">
        <f ca="1">IF(AND(ISNUMBER(O41),ISNUMBER(O42)),IF(P5&lt;=TODAY(),O42,O41),INDEX(CashProjTable[CashBal],MATCH($A$3&amp;[1]!SCBAM_PreviousBusinessDay(P$5),CashProjTable[RefRng],0)))</f>
        <v>226397544.66000003</v>
      </c>
    </row>
    <row r="7" spans="1:33" s="22" customFormat="1" x14ac:dyDescent="0.2">
      <c r="B7" s="23"/>
    </row>
    <row r="8" spans="1:33" s="25" customFormat="1" x14ac:dyDescent="0.2">
      <c r="A8" s="24" t="s">
        <v>343</v>
      </c>
    </row>
    <row r="9" spans="1:33" s="27" customFormat="1" x14ac:dyDescent="0.2">
      <c r="A9" s="26" t="s">
        <v>344</v>
      </c>
      <c r="B9" s="23">
        <v>3275021.05</v>
      </c>
      <c r="C9" s="23">
        <v>3275021.05</v>
      </c>
      <c r="D9" s="23">
        <v>11275021.050000001</v>
      </c>
      <c r="E9" s="23">
        <v>38275021.049999997</v>
      </c>
      <c r="F9" s="23">
        <v>18275021.049999997</v>
      </c>
      <c r="G9" s="23">
        <v>5275021.049999997</v>
      </c>
      <c r="H9" s="23">
        <v>3275021.049999997</v>
      </c>
      <c r="I9" s="23">
        <v>10275021.049999997</v>
      </c>
      <c r="J9" s="23">
        <v>75021.04999999702</v>
      </c>
      <c r="K9" s="23">
        <v>5075021.049999997</v>
      </c>
      <c r="L9" s="23">
        <v>5075021.049999997</v>
      </c>
      <c r="M9" s="23">
        <f>IF(ISNUMBER(L$5),L$11,[1]!SCBAM_GetSecDtl($A$3,"INVSUOBTtmf",M$5,"MarketVal"))</f>
        <v>105075021.05</v>
      </c>
      <c r="N9" s="23">
        <f>IF(ISNUMBER(M$5),M$11,[1]!SCBAM_GetSecDtl($A$3,"INVSUOBTtmf",N$5,"MarketVal"))</f>
        <v>7075021.049999997</v>
      </c>
      <c r="O9" s="23">
        <f>IF(ISNUMBER(N$5),N$11,[1]!SCBAM_GetSecDtl($A$3,"INVSUOBTtmf",O$5,"MarketVal"))</f>
        <v>7075021.049999997</v>
      </c>
      <c r="P9" s="23">
        <f>IF(ISNUMBER(O$5),O$11,[1]!SCBAM_GetSecDtl($A$3,"INVSUOBTtmf",P$5,"MarketVal"))</f>
        <v>7075021.049999997</v>
      </c>
    </row>
    <row r="10" spans="1:33" s="61" customFormat="1" ht="14.25" x14ac:dyDescent="0.2">
      <c r="A10" s="59" t="s">
        <v>345</v>
      </c>
      <c r="B10" s="60"/>
      <c r="C10" s="60">
        <v>8000000</v>
      </c>
      <c r="D10" s="60">
        <v>27000000</v>
      </c>
      <c r="E10" s="60">
        <v>-20000000</v>
      </c>
      <c r="F10" s="60">
        <v>-13000000</v>
      </c>
      <c r="G10" s="60">
        <v>-2000000</v>
      </c>
      <c r="H10" s="60">
        <v>7000000</v>
      </c>
      <c r="I10" s="60">
        <v>-10200000</v>
      </c>
      <c r="J10" s="60">
        <v>5000000</v>
      </c>
      <c r="K10" s="60"/>
      <c r="L10" s="60">
        <v>100000000</v>
      </c>
      <c r="M10" s="60">
        <f>-98*10^6</f>
        <v>-98000000</v>
      </c>
      <c r="N10" s="60"/>
      <c r="O10" s="60"/>
      <c r="P10" s="60"/>
    </row>
    <row r="11" spans="1:33" s="30" customFormat="1" ht="13.5" thickBot="1" x14ac:dyDescent="0.25">
      <c r="A11" s="28" t="s">
        <v>346</v>
      </c>
      <c r="B11" s="29">
        <v>3275021.05</v>
      </c>
      <c r="C11" s="29">
        <v>11275021.050000001</v>
      </c>
      <c r="D11" s="29">
        <v>38275021.049999997</v>
      </c>
      <c r="E11" s="29">
        <v>18275021.049999997</v>
      </c>
      <c r="F11" s="29">
        <v>5275021.049999997</v>
      </c>
      <c r="G11" s="29">
        <v>3275021.049999997</v>
      </c>
      <c r="H11" s="29">
        <v>10275021.049999997</v>
      </c>
      <c r="I11" s="29">
        <v>75021.04999999702</v>
      </c>
      <c r="J11" s="29">
        <v>5075021.049999997</v>
      </c>
      <c r="K11" s="29">
        <v>5075021.049999997</v>
      </c>
      <c r="L11" s="29">
        <v>105075021.05</v>
      </c>
      <c r="M11" s="29">
        <f t="shared" ref="M11:O11" si="0">SUM(M9:M10)</f>
        <v>7075021.049999997</v>
      </c>
      <c r="N11" s="29">
        <f t="shared" ref="N11:P11" si="1">SUM(N9:N10)</f>
        <v>7075021.049999997</v>
      </c>
      <c r="O11" s="29">
        <f t="shared" si="1"/>
        <v>7075021.049999997</v>
      </c>
      <c r="P11" s="29">
        <f t="shared" si="1"/>
        <v>7075021.049999997</v>
      </c>
    </row>
    <row r="12" spans="1:33" s="22" customFormat="1" ht="13.15" hidden="1" customHeight="1" outlineLevel="1" x14ac:dyDescent="0.2"/>
    <row r="13" spans="1:33" s="31" customFormat="1" hidden="1" outlineLevel="1" x14ac:dyDescent="0.2">
      <c r="A13" s="31" t="s">
        <v>348</v>
      </c>
    </row>
    <row r="14" spans="1:33" collapsed="1" x14ac:dyDescent="0.2"/>
    <row r="15" spans="1:33" s="25" customFormat="1" x14ac:dyDescent="0.2">
      <c r="A15" s="24" t="s">
        <v>347</v>
      </c>
    </row>
    <row r="16" spans="1:33" s="22" customFormat="1" x14ac:dyDescent="0.2">
      <c r="A16" s="32" t="s">
        <v>349</v>
      </c>
      <c r="B16" s="33">
        <v>2633173.7400000002</v>
      </c>
      <c r="C16" s="33">
        <v>8226709.5599999996</v>
      </c>
      <c r="D16" s="62">
        <v>1829000</v>
      </c>
      <c r="E16" s="62">
        <v>1837071.43</v>
      </c>
      <c r="F16" s="62">
        <v>4376934.5</v>
      </c>
      <c r="G16" s="62">
        <v>1136640</v>
      </c>
      <c r="H16" s="62">
        <v>2450456.44</v>
      </c>
      <c r="I16" s="62">
        <v>2578000</v>
      </c>
      <c r="J16" s="62">
        <v>15448474.560000001</v>
      </c>
      <c r="K16" s="62">
        <v>13014625.359999999</v>
      </c>
      <c r="L16" s="62">
        <v>3333077.79</v>
      </c>
      <c r="M16" s="63">
        <f>IFERROR(INDEX(CashIntraTable[Amount],MATCH($A$3&amp;M$5&amp;$A51,CashIntraTable[RefRng],0)),0)</f>
        <v>3140935.49</v>
      </c>
      <c r="N16" s="62">
        <f>IFERROR(INDEX(CashIntraTable[Amount],MATCH($A$3&amp;N$5&amp;$A51,CashIntraTable[RefRng],0)),0)</f>
        <v>0</v>
      </c>
      <c r="O16" s="62">
        <f>IFERROR(INDEX(CashIntraTable[Amount],MATCH($A$3&amp;O$5&amp;$A51,CashIntraTable[RefRng],0)),0)</f>
        <v>0</v>
      </c>
      <c r="P16" s="62">
        <f>IFERROR(INDEX(CashIntraTable[Amount],MATCH($A$3&amp;P$5&amp;$A51,CashIntraTable[RefRng],0)),0)</f>
        <v>0</v>
      </c>
    </row>
    <row r="17" spans="1:16" s="22" customFormat="1" x14ac:dyDescent="0.2">
      <c r="A17" s="32" t="s">
        <v>351</v>
      </c>
      <c r="B17" s="33">
        <v>2098557.69</v>
      </c>
      <c r="C17" s="33">
        <v>0</v>
      </c>
      <c r="D17" s="62">
        <v>0</v>
      </c>
      <c r="E17" s="62">
        <v>0</v>
      </c>
      <c r="F17" s="62">
        <v>0</v>
      </c>
      <c r="G17" s="62">
        <v>0</v>
      </c>
      <c r="H17" s="62">
        <v>0</v>
      </c>
      <c r="I17" s="62">
        <v>0</v>
      </c>
      <c r="J17" s="62">
        <v>0</v>
      </c>
      <c r="K17" s="62">
        <v>0</v>
      </c>
      <c r="L17" s="62">
        <v>3500000</v>
      </c>
      <c r="M17" s="63">
        <f>IFERROR(INDEX(CashIntraTable[Amount],MATCH($A$3&amp;M$5&amp;$A52,CashIntraTable[RefRng],0)),0)</f>
        <v>0</v>
      </c>
      <c r="N17" s="62">
        <f>IFERROR(INDEX(CashIntraTable[Amount],MATCH($A$3&amp;N$5&amp;$A52,CashIntraTable[RefRng],0)),0)</f>
        <v>0</v>
      </c>
      <c r="O17" s="62">
        <f>IFERROR(INDEX(CashIntraTable[Amount],MATCH($A$3&amp;O$5&amp;$A52,CashIntraTable[RefRng],0)),0)</f>
        <v>0</v>
      </c>
      <c r="P17" s="62">
        <f>IFERROR(INDEX(CashIntraTable[Amount],MATCH($A$3&amp;P$5&amp;$A52,CashIntraTable[RefRng],0)),0)</f>
        <v>0</v>
      </c>
    </row>
    <row r="18" spans="1:16" s="22" customFormat="1" x14ac:dyDescent="0.2">
      <c r="A18" s="32" t="s">
        <v>350</v>
      </c>
      <c r="B18" s="33">
        <v>11254.71</v>
      </c>
      <c r="C18" s="33">
        <v>364437.38</v>
      </c>
      <c r="D18" s="62">
        <v>700000</v>
      </c>
      <c r="E18" s="62">
        <v>92347.27</v>
      </c>
      <c r="F18" s="62">
        <v>103087.48</v>
      </c>
      <c r="G18" s="62">
        <v>259367.4</v>
      </c>
      <c r="H18" s="62">
        <v>108281.2</v>
      </c>
      <c r="I18" s="62">
        <v>206328.1</v>
      </c>
      <c r="J18" s="62">
        <v>795133.68</v>
      </c>
      <c r="K18" s="62">
        <v>943.3</v>
      </c>
      <c r="L18" s="62">
        <v>15866.15</v>
      </c>
      <c r="M18" s="63">
        <f>IFERROR(INDEX(CashIntraTable[Amount],MATCH($A$3&amp;M$5&amp;$A53,CashIntraTable[RefRng],0)),0)</f>
        <v>61700.74</v>
      </c>
      <c r="N18" s="62">
        <f>IFERROR(INDEX(CashIntraTable[Amount],MATCH($A$3&amp;N$5&amp;$A53,CashIntraTable[RefRng],0)),0)</f>
        <v>455272.32</v>
      </c>
      <c r="O18" s="62">
        <f>IFERROR(INDEX(CashIntraTable[Amount],MATCH($A$3&amp;O$5&amp;$A53,CashIntraTable[RefRng],0)),0)</f>
        <v>1500000</v>
      </c>
      <c r="P18" s="62">
        <f>IFERROR(INDEX(CashIntraTable[Amount],MATCH($A$3&amp;P$5&amp;$A53,CashIntraTable[RefRng],0)),0)</f>
        <v>10118.549999999999</v>
      </c>
    </row>
    <row r="19" spans="1:16" s="22" customFormat="1" x14ac:dyDescent="0.2">
      <c r="A19" s="32" t="s">
        <v>352</v>
      </c>
      <c r="B19" s="33">
        <v>0</v>
      </c>
      <c r="C19" s="33">
        <v>0</v>
      </c>
      <c r="D19" s="62">
        <v>0</v>
      </c>
      <c r="E19" s="62">
        <v>0</v>
      </c>
      <c r="F19" s="62">
        <v>0</v>
      </c>
      <c r="G19" s="62">
        <v>0</v>
      </c>
      <c r="H19" s="62">
        <v>0</v>
      </c>
      <c r="I19" s="62">
        <v>0</v>
      </c>
      <c r="J19" s="62">
        <v>0</v>
      </c>
      <c r="K19" s="62">
        <v>0</v>
      </c>
      <c r="L19" s="62">
        <v>0</v>
      </c>
      <c r="M19" s="63">
        <v>0</v>
      </c>
      <c r="N19" s="62">
        <v>0</v>
      </c>
      <c r="O19" s="62">
        <v>0</v>
      </c>
      <c r="P19" s="62">
        <v>0</v>
      </c>
    </row>
    <row r="20" spans="1:16" s="22" customFormat="1" x14ac:dyDescent="0.2">
      <c r="A20" s="26" t="s">
        <v>353</v>
      </c>
      <c r="B20" s="33">
        <v>44948798.950000003</v>
      </c>
      <c r="C20" s="33">
        <v>19985364.199999999</v>
      </c>
      <c r="D20" s="33">
        <v>238000000</v>
      </c>
      <c r="E20" s="33">
        <v>0</v>
      </c>
      <c r="F20" s="33">
        <v>589969910</v>
      </c>
      <c r="G20" s="33">
        <v>19989649.199999999</v>
      </c>
      <c r="H20" s="33">
        <v>446994439.5</v>
      </c>
      <c r="I20" s="33">
        <v>4979436.0999999996</v>
      </c>
      <c r="J20" s="33">
        <v>0</v>
      </c>
      <c r="K20" s="33">
        <v>100998126.40000001</v>
      </c>
      <c r="L20" s="33">
        <v>326999999.99000001</v>
      </c>
      <c r="M20" s="33">
        <f>IFERROR(INDEX(CashProjTable[DebtSell_BahtNet],MATCH($A$3&amp;M$5,CashProjTable[RefRng],0))+SUMIFS(IntraTrans[Net Settlement],IntraTrans[Portfolio],$A$3,IntraTrans[B/S],"S",IntraTrans[Settle Date],M$5,IntraTrans[Payment],"BAHTNET"),0)</f>
        <v>0</v>
      </c>
      <c r="N20" s="33">
        <f>IFERROR(INDEX(CashProjTable[DebtSell_BahtNet],MATCH($A$3&amp;N$5,CashProjTable[RefRng],0))+SUMIFS(IntraTrans[Net Settlement],IntraTrans[Portfolio],$A$3,IntraTrans[B/S],"S",IntraTrans[Settle Date],N$5,IntraTrans[Payment],"BAHTNET"),0)</f>
        <v>0</v>
      </c>
      <c r="O20" s="33">
        <f>IFERROR(INDEX(CashProjTable[DebtSell_BahtNet],MATCH($A$3&amp;O$5,CashProjTable[RefRng],0))+SUMIFS(IntraTrans[Net Settlement],IntraTrans[Portfolio],$A$3,IntraTrans[B/S],"S",IntraTrans[Settle Date],O$5,IntraTrans[Payment],"BAHTNET"),0)</f>
        <v>221000000</v>
      </c>
      <c r="P20" s="33">
        <f>IFERROR(INDEX(CashProjTable[DebtSell_BahtNet],MATCH($A$3&amp;P$5,CashProjTable[RefRng],0))+SUMIFS(IntraTrans[Net Settlement],IntraTrans[Portfolio],$A$3,IntraTrans[B/S],"S",IntraTrans[Settle Date],P$5,IntraTrans[Payment],"BAHTNET"),0)</f>
        <v>0</v>
      </c>
    </row>
    <row r="21" spans="1:16" s="22" customFormat="1" x14ac:dyDescent="0.2">
      <c r="A21" s="26" t="s">
        <v>354</v>
      </c>
      <c r="B21" s="33">
        <v>0</v>
      </c>
      <c r="C21" s="33">
        <v>0</v>
      </c>
      <c r="D21" s="33">
        <v>0</v>
      </c>
      <c r="E21" s="33">
        <v>0</v>
      </c>
      <c r="F21" s="33">
        <v>0</v>
      </c>
      <c r="G21" s="33">
        <v>0</v>
      </c>
      <c r="H21" s="33">
        <v>0</v>
      </c>
      <c r="I21" s="33">
        <v>0</v>
      </c>
      <c r="J21" s="33">
        <v>0</v>
      </c>
      <c r="K21" s="33">
        <v>0</v>
      </c>
      <c r="L21" s="33">
        <v>0</v>
      </c>
      <c r="M21" s="33">
        <f>IFERROR((INDEX(CashProjTable[DebtSell],MATCH($A$3&amp;M$5,CashProjTable[RefRng],0))-INDEX(CashProjTable[DebtSell_BahtNet],MATCH($A$3&amp;M$5,CashProjTable[RefRng],0)))+SUMIFS(IntraTrans[Net Settlement],IntraTrans[Portfolio],$A$3,IntraTrans[B/S],"S",IntraTrans[Settle Date],M$5,IntraTrans[Payment],"CHEQUE"),0)</f>
        <v>0</v>
      </c>
      <c r="N21" s="33">
        <f>IFERROR((INDEX(CashProjTable[DebtSell],MATCH($A$3&amp;N$5,CashProjTable[RefRng],0))-INDEX(CashProjTable[DebtSell_BahtNet],MATCH($A$3&amp;N$5,CashProjTable[RefRng],0)))+SUMIFS(IntraTrans[Net Settlement],IntraTrans[Portfolio],$A$3,IntraTrans[B/S],"S",IntraTrans[Settle Date],N$5,IntraTrans[Payment],"CHEQUE"),0)</f>
        <v>0</v>
      </c>
      <c r="O21" s="33">
        <f>IFERROR((INDEX(CashProjTable[DebtSell],MATCH($A$3&amp;O$5,CashProjTable[RefRng],0))-INDEX(CashProjTable[DebtSell_BahtNet],MATCH($A$3&amp;O$5,CashProjTable[RefRng],0)))+SUMIFS(IntraTrans[Net Settlement],IntraTrans[Portfolio],$A$3,IntraTrans[B/S],"S",IntraTrans[Settle Date],O$5,IntraTrans[Payment],"CHEQUE"),0)</f>
        <v>0</v>
      </c>
      <c r="P21" s="33">
        <f>IFERROR((INDEX(CashProjTable[DebtSell],MATCH($A$3&amp;P$5,CashProjTable[RefRng],0))-INDEX(CashProjTable[DebtSell_BahtNet],MATCH($A$3&amp;P$5,CashProjTable[RefRng],0)))+SUMIFS(IntraTrans[Net Settlement],IntraTrans[Portfolio],$A$3,IntraTrans[B/S],"S",IntraTrans[Settle Date],P$5,IntraTrans[Payment],"CHEQUE"),0)</f>
        <v>0</v>
      </c>
    </row>
    <row r="22" spans="1:16" s="22" customFormat="1" x14ac:dyDescent="0.2">
      <c r="A22" s="26" t="s">
        <v>355</v>
      </c>
      <c r="B22" s="33">
        <v>0</v>
      </c>
      <c r="C22" s="33">
        <v>0</v>
      </c>
      <c r="D22" s="33">
        <v>0</v>
      </c>
      <c r="E22" s="33">
        <v>20000000</v>
      </c>
      <c r="F22" s="33">
        <v>13000000</v>
      </c>
      <c r="G22" s="33">
        <v>2000000</v>
      </c>
      <c r="H22" s="33">
        <v>0</v>
      </c>
      <c r="I22" s="33">
        <v>10200000</v>
      </c>
      <c r="J22" s="33">
        <v>0</v>
      </c>
      <c r="K22" s="33">
        <v>0</v>
      </c>
      <c r="L22" s="33">
        <v>0</v>
      </c>
      <c r="M22" s="33">
        <f>IF(M$10&lt;0,-M$10,0)+INDEX(CashProjTable[CashEqSell_BahtNet],MATCH($A$3&amp;M$5,CashProjTable[RefRng],0))</f>
        <v>98000000</v>
      </c>
      <c r="N22" s="33">
        <f>IF(N$10&lt;0,-N$10,0)+INDEX(CashProjTable[CashEqSell_BahtNet],MATCH($A$3&amp;N$5,CashProjTable[RefRng],0))</f>
        <v>0</v>
      </c>
      <c r="O22" s="33">
        <f>IF(O$10&lt;0,-O$10,0)+INDEX(CashProjTable[CashEqSell_BahtNet],MATCH($A$3&amp;O$5,CashProjTable[RefRng],0))</f>
        <v>0</v>
      </c>
      <c r="P22" s="33">
        <f>IF(P$10&lt;0,-P$10,0)+INDEX(CashProjTable[CashEqSell_BahtNet],MATCH($A$3&amp;P$5,CashProjTable[RefRng],0))</f>
        <v>0</v>
      </c>
    </row>
    <row r="23" spans="1:16" s="22" customFormat="1" x14ac:dyDescent="0.2">
      <c r="A23" s="26" t="s">
        <v>356</v>
      </c>
      <c r="B23" s="33">
        <v>0</v>
      </c>
      <c r="C23" s="33">
        <v>0</v>
      </c>
      <c r="D23" s="33">
        <v>0</v>
      </c>
      <c r="E23" s="33">
        <v>0</v>
      </c>
      <c r="F23" s="33">
        <v>0</v>
      </c>
      <c r="G23" s="33">
        <v>0</v>
      </c>
      <c r="H23" s="33">
        <v>0</v>
      </c>
      <c r="I23" s="33">
        <v>0</v>
      </c>
      <c r="J23" s="33">
        <v>0</v>
      </c>
      <c r="K23" s="33">
        <v>0</v>
      </c>
      <c r="L23" s="33">
        <v>0</v>
      </c>
      <c r="M23" s="33">
        <v>0</v>
      </c>
      <c r="N23" s="33">
        <v>0</v>
      </c>
      <c r="O23" s="33">
        <v>0</v>
      </c>
      <c r="P23" s="33">
        <v>0</v>
      </c>
    </row>
    <row r="24" spans="1:16" s="22" customFormat="1" x14ac:dyDescent="0.2">
      <c r="A24" s="26" t="s">
        <v>357</v>
      </c>
      <c r="B24" s="33">
        <v>0</v>
      </c>
      <c r="C24" s="33">
        <v>0</v>
      </c>
      <c r="D24" s="33">
        <v>37655.199999999997</v>
      </c>
      <c r="E24" s="33">
        <v>28242.16</v>
      </c>
      <c r="F24" s="33">
        <v>1249.83</v>
      </c>
      <c r="G24" s="33">
        <v>0</v>
      </c>
      <c r="H24" s="33">
        <v>0</v>
      </c>
      <c r="I24" s="33">
        <v>0</v>
      </c>
      <c r="J24" s="33">
        <v>0</v>
      </c>
      <c r="K24" s="33">
        <v>312.22000000000003</v>
      </c>
      <c r="L24" s="33">
        <v>0</v>
      </c>
      <c r="M24" s="33">
        <f>IFERROR(INDEX(CashProjTable[DebtInterest],MATCH($A$3&amp;M$5,CashProjTable[RefRng],0)),0)</f>
        <v>0</v>
      </c>
      <c r="N24" s="33">
        <f>IFERROR(INDEX(CashProjTable[DebtInterest],MATCH($A$3&amp;N$5,CashProjTable[RefRng],0)),0)</f>
        <v>0</v>
      </c>
      <c r="O24" s="33">
        <f>IFERROR(INDEX(CashProjTable[DebtInterest],MATCH($A$3&amp;O$5,CashProjTable[RefRng],0)),0)</f>
        <v>0</v>
      </c>
      <c r="P24" s="33">
        <f>IFERROR(INDEX(CashProjTable[DebtInterest],MATCH($A$3&amp;P$5,CashProjTable[RefRng],0)),0)</f>
        <v>0</v>
      </c>
    </row>
    <row r="25" spans="1:16" s="22" customFormat="1" x14ac:dyDescent="0.2">
      <c r="A25" s="26" t="s">
        <v>358</v>
      </c>
      <c r="B25" s="33">
        <v>0</v>
      </c>
      <c r="C25" s="33">
        <v>0</v>
      </c>
      <c r="D25" s="33">
        <v>0</v>
      </c>
      <c r="E25" s="33">
        <v>0</v>
      </c>
      <c r="F25" s="33">
        <v>0</v>
      </c>
      <c r="G25" s="33">
        <v>0</v>
      </c>
      <c r="H25" s="33">
        <v>0</v>
      </c>
      <c r="I25" s="33">
        <v>0</v>
      </c>
      <c r="J25" s="33">
        <v>0</v>
      </c>
      <c r="K25" s="33">
        <v>0</v>
      </c>
      <c r="L25" s="33">
        <v>0</v>
      </c>
      <c r="M25" s="33">
        <f>IFERROR(INDEX(CashProjTable[CashEqInterest],MATCH($A$3&amp;M$5,CashProjTable[RefRng],0)),0)</f>
        <v>0</v>
      </c>
      <c r="N25" s="33">
        <f>IFERROR(INDEX(CashProjTable[CashEqInterest],MATCH($A$3&amp;N$5,CashProjTable[RefRng],0)),0)</f>
        <v>0</v>
      </c>
      <c r="O25" s="33">
        <f>IFERROR(INDEX(CashProjTable[CashEqInterest],MATCH($A$3&amp;O$5,CashProjTable[RefRng],0)),0)</f>
        <v>0</v>
      </c>
      <c r="P25" s="33">
        <f>IFERROR(INDEX(CashProjTable[CashEqInterest],MATCH($A$3&amp;P$5,CashProjTable[RefRng],0)),0)</f>
        <v>0</v>
      </c>
    </row>
    <row r="26" spans="1:16" s="36" customFormat="1" x14ac:dyDescent="0.2">
      <c r="A26" s="34" t="s">
        <v>359</v>
      </c>
      <c r="B26" s="35">
        <v>0</v>
      </c>
      <c r="C26" s="35"/>
      <c r="D26" s="35"/>
      <c r="E26" s="35"/>
      <c r="F26" s="35"/>
      <c r="G26" s="35">
        <v>20000000</v>
      </c>
      <c r="H26" s="35"/>
      <c r="I26" s="35"/>
      <c r="J26" s="35"/>
      <c r="K26" s="35"/>
      <c r="L26" s="35"/>
      <c r="M26" s="35"/>
      <c r="N26" s="35"/>
      <c r="O26" s="35"/>
      <c r="P26" s="35"/>
    </row>
    <row r="27" spans="1:16" s="38" customFormat="1" ht="13.5" thickBot="1" x14ac:dyDescent="0.25">
      <c r="A27" s="28" t="s">
        <v>360</v>
      </c>
      <c r="B27" s="37">
        <v>49691785.090000004</v>
      </c>
      <c r="C27" s="37">
        <v>28576511.140000001</v>
      </c>
      <c r="D27" s="37">
        <v>240566655.19999999</v>
      </c>
      <c r="E27" s="37">
        <v>21957660.859999999</v>
      </c>
      <c r="F27" s="37">
        <v>607451181.81000006</v>
      </c>
      <c r="G27" s="37">
        <v>43385656.599999994</v>
      </c>
      <c r="H27" s="37">
        <v>449553177.13999999</v>
      </c>
      <c r="I27" s="37">
        <v>17963764.199999999</v>
      </c>
      <c r="J27" s="37">
        <v>16243608.24</v>
      </c>
      <c r="K27" s="37">
        <v>114014007.28</v>
      </c>
      <c r="L27" s="37">
        <v>333848943.93000001</v>
      </c>
      <c r="M27" s="37">
        <f t="shared" ref="L27:O27" si="2">SUM(M16:M26)</f>
        <v>101202636.23</v>
      </c>
      <c r="N27" s="37">
        <f t="shared" ref="N27:P27" si="3">SUM(N16:N26)</f>
        <v>455272.32</v>
      </c>
      <c r="O27" s="37">
        <f t="shared" si="3"/>
        <v>222500000</v>
      </c>
      <c r="P27" s="37">
        <f t="shared" si="3"/>
        <v>10118.549999999999</v>
      </c>
    </row>
    <row r="28" spans="1:16" s="22" customFormat="1" x14ac:dyDescent="0.2"/>
    <row r="29" spans="1:16" s="25" customFormat="1" x14ac:dyDescent="0.2">
      <c r="A29" s="24" t="s">
        <v>361</v>
      </c>
    </row>
    <row r="30" spans="1:16" s="22" customFormat="1" x14ac:dyDescent="0.2">
      <c r="A30" s="32" t="s">
        <v>362</v>
      </c>
      <c r="B30" s="33">
        <v>44548109.719999999</v>
      </c>
      <c r="C30" s="33">
        <v>20415637.039999999</v>
      </c>
      <c r="D30" s="62">
        <v>13513327.560000001</v>
      </c>
      <c r="E30" s="62">
        <v>14018005.15</v>
      </c>
      <c r="F30" s="62">
        <v>53566018.020000003</v>
      </c>
      <c r="G30" s="62">
        <v>19092636.649999999</v>
      </c>
      <c r="H30" s="62">
        <v>3286082.32</v>
      </c>
      <c r="I30" s="62">
        <v>19609745.210000001</v>
      </c>
      <c r="J30" s="62">
        <v>8022458.6100000003</v>
      </c>
      <c r="K30" s="62">
        <v>10876127.220000001</v>
      </c>
      <c r="L30" s="62">
        <v>21003945.050000001</v>
      </c>
      <c r="M30" s="63">
        <f>IFERROR(ABS(INDEX(CashIntraTable[Amount],MATCH($A$3&amp;M$5&amp;$A54,CashIntraTable[RefRng],0))),0)</f>
        <v>21760029.559999999</v>
      </c>
      <c r="N30" s="62">
        <f>IFERROR(ABS(INDEX(CashIntraTable[Amount],MATCH($A$3&amp;N$5&amp;$A54,CashIntraTable[RefRng],0))),0)</f>
        <v>0</v>
      </c>
      <c r="O30" s="62">
        <f>IFERROR(ABS(INDEX(CashIntraTable[Amount],MATCH($A$3&amp;O$5&amp;$A54,CashIntraTable[RefRng],0))),0)</f>
        <v>0</v>
      </c>
      <c r="P30" s="62">
        <f>IFERROR(ABS(INDEX(CashIntraTable[Amount],MATCH($A$3&amp;P$5&amp;$A54,CashIntraTable[RefRng],0))),0)</f>
        <v>0</v>
      </c>
    </row>
    <row r="31" spans="1:16" s="22" customFormat="1" x14ac:dyDescent="0.2">
      <c r="A31" s="32" t="s">
        <v>363</v>
      </c>
      <c r="B31" s="33">
        <v>3646961.84</v>
      </c>
      <c r="C31" s="33">
        <v>813242.48</v>
      </c>
      <c r="D31" s="62">
        <v>1145500.93</v>
      </c>
      <c r="E31" s="62">
        <v>7753807.0700000003</v>
      </c>
      <c r="F31" s="62">
        <v>1977111.72</v>
      </c>
      <c r="G31" s="62">
        <v>6792884.6200000001</v>
      </c>
      <c r="H31" s="62">
        <v>28171269.940000001</v>
      </c>
      <c r="I31" s="62">
        <v>766597.39</v>
      </c>
      <c r="J31" s="62">
        <v>3201902.47</v>
      </c>
      <c r="K31" s="62">
        <v>1566469.92</v>
      </c>
      <c r="L31" s="62">
        <v>1581161.99</v>
      </c>
      <c r="M31" s="63">
        <f>IFERROR(ABS(INDEX(CashIntraTable[Amount],MATCH($A$3&amp;M$5&amp;$A55,CashIntraTable[RefRng],0))),0)</f>
        <v>1850665.03</v>
      </c>
      <c r="N31" s="62">
        <f>IFERROR(ABS(INDEX(CashIntraTable[Amount],MATCH($A$3&amp;N$5&amp;$A55,CashIntraTable[RefRng],0))),0)</f>
        <v>0</v>
      </c>
      <c r="O31" s="62">
        <f>IFERROR(ABS(INDEX(CashIntraTable[Amount],MATCH($A$3&amp;O$5&amp;$A55,CashIntraTable[RefRng],0))),0)</f>
        <v>0</v>
      </c>
      <c r="P31" s="62">
        <f>IFERROR(ABS(INDEX(CashIntraTable[Amount],MATCH($A$3&amp;P$5&amp;$A55,CashIntraTable[RefRng],0))),0)</f>
        <v>0</v>
      </c>
    </row>
    <row r="32" spans="1:16" s="22" customFormat="1" x14ac:dyDescent="0.2">
      <c r="A32" s="26" t="s">
        <v>364</v>
      </c>
      <c r="B32" s="33">
        <v>0</v>
      </c>
      <c r="C32" s="33">
        <v>0</v>
      </c>
      <c r="D32" s="33">
        <v>199227876.94</v>
      </c>
      <c r="E32" s="33">
        <v>0</v>
      </c>
      <c r="F32" s="33">
        <v>549731044.08000004</v>
      </c>
      <c r="G32" s="33">
        <v>0</v>
      </c>
      <c r="H32" s="33">
        <v>408991151.72000003</v>
      </c>
      <c r="I32" s="33">
        <v>0</v>
      </c>
      <c r="J32" s="33">
        <v>0</v>
      </c>
      <c r="K32" s="33">
        <v>99956998.730000004</v>
      </c>
      <c r="L32" s="33">
        <v>199221763.34</v>
      </c>
      <c r="M32" s="33">
        <f>IFERROR(INDEX(CashProjTable[DebtBuy_BahtNet],MATCH($A$3&amp;M$5,CashProjTable[RefRng],0))+SUMIFS(IntraTrans[Net Settlement],IntraTrans[Portfolio],$A$3,IntraTrans[B/S],"B",IntraTrans[Settle Date],M$5,IntraTrans[Payment],"BAHTNET"),0)</f>
        <v>89731542.599999994</v>
      </c>
      <c r="N32" s="33">
        <f>IFERROR(INDEX(CashProjTable[DebtBuy_BahtNet],MATCH($A$3&amp;N$5,CashProjTable[RefRng],0))+SUMIFS(IntraTrans[Net Settlement],IntraTrans[Portfolio],$A$3,IntraTrans[B/S],"B",IntraTrans[Settle Date],N$5,IntraTrans[Payment],"BAHTNET"),0)</f>
        <v>0</v>
      </c>
      <c r="O32" s="33">
        <f>IFERROR(INDEX(CashProjTable[DebtBuy_BahtNet],MATCH($A$3&amp;O$5,CashProjTable[RefRng],0))+SUMIFS(IntraTrans[Net Settlement],IntraTrans[Portfolio],$A$3,IntraTrans[B/S],"B",IntraTrans[Settle Date],O$5,IntraTrans[Payment],"BAHTNET"),0)</f>
        <v>0</v>
      </c>
      <c r="P32" s="33">
        <f>IFERROR(INDEX(CashProjTable[DebtBuy_BahtNet],MATCH($A$3&amp;P$5,CashProjTable[RefRng],0))+SUMIFS(IntraTrans[Net Settlement],IntraTrans[Portfolio],$A$3,IntraTrans[B/S],"B",IntraTrans[Settle Date],P$5,IntraTrans[Payment],"BAHTNET"),0)</f>
        <v>0</v>
      </c>
    </row>
    <row r="33" spans="1:33" s="22" customFormat="1" x14ac:dyDescent="0.2">
      <c r="A33" s="26" t="s">
        <v>365</v>
      </c>
      <c r="B33" s="33">
        <v>0</v>
      </c>
      <c r="C33" s="33">
        <v>0</v>
      </c>
      <c r="D33" s="33">
        <v>0</v>
      </c>
      <c r="E33" s="33">
        <v>0</v>
      </c>
      <c r="F33" s="33">
        <v>0</v>
      </c>
      <c r="G33" s="33">
        <v>0</v>
      </c>
      <c r="H33" s="33">
        <v>0</v>
      </c>
      <c r="I33" s="33">
        <v>0</v>
      </c>
      <c r="J33" s="33">
        <v>0</v>
      </c>
      <c r="K33" s="33">
        <v>0</v>
      </c>
      <c r="L33" s="33">
        <v>0</v>
      </c>
      <c r="M33" s="33">
        <f>IFERROR((INDEX(CashProjTable[DebtBuy],MATCH($A$3&amp;M$5,CashProjTable[RefRng],0))-INDEX(CashProjTable[DebtBuy_BahtNet],MATCH($A$3&amp;M$5,CashProjTable[RefRng],0)))+SUMIFS(IntraTrans[Net Settlement],IntraTrans[Portfolio],$A$3,IntraTrans[B/S],"B",IntraTrans[Settle Date],M$5,IntraTrans[Payment],"CHEQUE"),0)</f>
        <v>0</v>
      </c>
      <c r="N33" s="33">
        <f>IFERROR((INDEX(CashProjTable[DebtBuy],MATCH($A$3&amp;N$5,CashProjTable[RefRng],0))-INDEX(CashProjTable[DebtBuy_BahtNet],MATCH($A$3&amp;N$5,CashProjTable[RefRng],0)))+SUMIFS(IntraTrans[Net Settlement],IntraTrans[Portfolio],$A$3,IntraTrans[B/S],"B",IntraTrans[Settle Date],N$5,IntraTrans[Payment],"CHEQUE"),0)</f>
        <v>0</v>
      </c>
      <c r="O33" s="33">
        <f>IFERROR((INDEX(CashProjTable[DebtBuy],MATCH($A$3&amp;O$5,CashProjTable[RefRng],0))-INDEX(CashProjTable[DebtBuy_BahtNet],MATCH($A$3&amp;O$5,CashProjTable[RefRng],0)))+SUMIFS(IntraTrans[Net Settlement],IntraTrans[Portfolio],$A$3,IntraTrans[B/S],"B",IntraTrans[Settle Date],O$5,IntraTrans[Payment],"CHEQUE"),0)</f>
        <v>0</v>
      </c>
      <c r="P33" s="33">
        <f>IFERROR((INDEX(CashProjTable[DebtBuy],MATCH($A$3&amp;P$5,CashProjTable[RefRng],0))-INDEX(CashProjTable[DebtBuy_BahtNet],MATCH($A$3&amp;P$5,CashProjTable[RefRng],0)))+SUMIFS(IntraTrans[Net Settlement],IntraTrans[Portfolio],$A$3,IntraTrans[B/S],"B",IntraTrans[Settle Date],P$5,IntraTrans[Payment],"CHEQUE"),0)</f>
        <v>0</v>
      </c>
    </row>
    <row r="34" spans="1:33" s="22" customFormat="1" x14ac:dyDescent="0.2">
      <c r="A34" s="26" t="s">
        <v>355</v>
      </c>
      <c r="B34" s="33">
        <v>0</v>
      </c>
      <c r="C34" s="33">
        <v>8000000</v>
      </c>
      <c r="D34" s="33">
        <v>27000000</v>
      </c>
      <c r="E34" s="33">
        <v>0</v>
      </c>
      <c r="F34" s="33">
        <v>0</v>
      </c>
      <c r="G34" s="33">
        <v>0</v>
      </c>
      <c r="H34" s="33">
        <v>7000000</v>
      </c>
      <c r="I34" s="33">
        <v>0</v>
      </c>
      <c r="J34" s="33">
        <v>5000000</v>
      </c>
      <c r="K34" s="33">
        <v>0</v>
      </c>
      <c r="L34" s="33">
        <v>100000000</v>
      </c>
      <c r="M34" s="33">
        <f>IF(M$10&gt;0,M$10,0)+INDEX(CashProjTable[CashEqBuy_BahtNet],MATCH($A$3&amp;M$5,CashProjTable[RefRng],0))</f>
        <v>0</v>
      </c>
      <c r="N34" s="33">
        <f>IF(N$10&gt;0,N$10,0)+INDEX(CashProjTable[CashEqBuy_BahtNet],MATCH($A$3&amp;N$5,CashProjTable[RefRng],0))</f>
        <v>0</v>
      </c>
      <c r="O34" s="33">
        <f>IF(O$10&gt;0,O$10,0)+INDEX(CashProjTable[CashEqBuy_BahtNet],MATCH($A$3&amp;O$5,CashProjTable[RefRng],0))</f>
        <v>0</v>
      </c>
      <c r="P34" s="33">
        <f>IF(P$10&gt;0,P$10,0)+INDEX(CashProjTable[CashEqBuy_BahtNet],MATCH($A$3&amp;P$5,CashProjTable[RefRng],0))</f>
        <v>0</v>
      </c>
    </row>
    <row r="35" spans="1:33" s="22" customFormat="1" x14ac:dyDescent="0.2">
      <c r="A35" s="26" t="s">
        <v>356</v>
      </c>
      <c r="B35" s="33">
        <v>0</v>
      </c>
      <c r="C35" s="33">
        <v>0</v>
      </c>
      <c r="D35" s="33">
        <v>0</v>
      </c>
      <c r="E35" s="33">
        <v>0</v>
      </c>
      <c r="F35" s="33">
        <v>0</v>
      </c>
      <c r="G35" s="33">
        <v>0</v>
      </c>
      <c r="H35" s="33">
        <v>0</v>
      </c>
      <c r="I35" s="33">
        <v>0</v>
      </c>
      <c r="J35" s="33">
        <v>0</v>
      </c>
      <c r="K35" s="33">
        <v>0</v>
      </c>
      <c r="L35" s="33">
        <v>0</v>
      </c>
      <c r="M35" s="33">
        <v>0</v>
      </c>
      <c r="N35" s="33">
        <v>0</v>
      </c>
      <c r="O35" s="33">
        <v>0</v>
      </c>
      <c r="P35" s="33">
        <v>0</v>
      </c>
    </row>
    <row r="36" spans="1:33" s="22" customFormat="1" x14ac:dyDescent="0.2">
      <c r="A36" s="26" t="s">
        <v>366</v>
      </c>
      <c r="B36" s="33">
        <v>0</v>
      </c>
      <c r="C36" s="33">
        <v>0</v>
      </c>
      <c r="D36" s="33">
        <v>0</v>
      </c>
      <c r="E36" s="33">
        <v>0</v>
      </c>
      <c r="F36" s="33">
        <v>0</v>
      </c>
      <c r="G36" s="33">
        <v>0</v>
      </c>
      <c r="H36" s="33">
        <v>0</v>
      </c>
      <c r="I36" s="33">
        <v>0</v>
      </c>
      <c r="J36" s="33">
        <v>0</v>
      </c>
      <c r="K36" s="33">
        <v>0</v>
      </c>
      <c r="L36" s="33">
        <v>0</v>
      </c>
      <c r="M36" s="33">
        <f>IFERROR(INDEX(CashProjTable[Expense],MATCH($A$3&amp;M$5,CashProjTable[RefRng],0)),0)</f>
        <v>0</v>
      </c>
      <c r="N36" s="33">
        <f>IFERROR(INDEX(CashProjTable[Expense],MATCH($A$3&amp;N$5,CashProjTable[RefRng],0)),0)</f>
        <v>0</v>
      </c>
      <c r="O36" s="33">
        <f>IFERROR(INDEX(CashProjTable[Expense],MATCH($A$3&amp;O$5,CashProjTable[RefRng],0)),0)</f>
        <v>0</v>
      </c>
      <c r="P36" s="33">
        <f>IFERROR(INDEX(CashProjTable[Expense],MATCH($A$3&amp;P$5,CashProjTable[RefRng],0)),0)</f>
        <v>0</v>
      </c>
    </row>
    <row r="37" spans="1:33" s="36" customFormat="1" x14ac:dyDescent="0.2">
      <c r="A37" s="34" t="s">
        <v>359</v>
      </c>
      <c r="B37" s="35"/>
      <c r="C37" s="35"/>
      <c r="D37" s="35"/>
      <c r="E37" s="35"/>
      <c r="F37" s="35"/>
      <c r="G37" s="35"/>
      <c r="H37" s="35"/>
      <c r="I37" s="35"/>
      <c r="J37" s="35"/>
      <c r="K37" s="35"/>
      <c r="L37" s="35"/>
      <c r="M37" s="35"/>
      <c r="N37" s="35"/>
      <c r="O37" s="35"/>
      <c r="P37" s="35"/>
    </row>
    <row r="38" spans="1:33" s="38" customFormat="1" ht="13.5" thickBot="1" x14ac:dyDescent="0.25">
      <c r="A38" s="28" t="s">
        <v>367</v>
      </c>
      <c r="B38" s="37">
        <v>48195071.560000002</v>
      </c>
      <c r="C38" s="37">
        <v>29228879.52</v>
      </c>
      <c r="D38" s="37">
        <v>240886705.43000001</v>
      </c>
      <c r="E38" s="37">
        <v>21771812.219999999</v>
      </c>
      <c r="F38" s="37">
        <v>605274173.82000005</v>
      </c>
      <c r="G38" s="37">
        <v>25885521.27</v>
      </c>
      <c r="H38" s="37">
        <v>447448503.98000002</v>
      </c>
      <c r="I38" s="37">
        <v>20376342.600000001</v>
      </c>
      <c r="J38" s="37">
        <v>16224361.08</v>
      </c>
      <c r="K38" s="37">
        <v>112399595.87</v>
      </c>
      <c r="L38" s="37">
        <v>321806870.38</v>
      </c>
      <c r="M38" s="37">
        <f t="shared" ref="L38:O38" si="4">SUM(M30:M37)</f>
        <v>113342237.19</v>
      </c>
      <c r="N38" s="37">
        <f t="shared" ref="N38:P38" si="5">SUM(N30:N37)</f>
        <v>0</v>
      </c>
      <c r="O38" s="37">
        <f t="shared" si="5"/>
        <v>0</v>
      </c>
      <c r="P38" s="37">
        <f t="shared" si="5"/>
        <v>0</v>
      </c>
    </row>
    <row r="39" spans="1:33" s="22" customFormat="1" x14ac:dyDescent="0.2"/>
    <row r="40" spans="1:33" s="25" customFormat="1" x14ac:dyDescent="0.2">
      <c r="A40" s="24" t="s">
        <v>839</v>
      </c>
    </row>
    <row r="41" spans="1:33" s="22" customFormat="1" x14ac:dyDescent="0.2">
      <c r="A41" s="26" t="s">
        <v>369</v>
      </c>
      <c r="B41" s="33">
        <v>3373424.7300000042</v>
      </c>
      <c r="C41" s="33">
        <v>2720957.9900000021</v>
      </c>
      <c r="D41" s="33">
        <v>2400854.2799999714</v>
      </c>
      <c r="E41" s="33">
        <v>2549047.7199999988</v>
      </c>
      <c r="F41" s="33">
        <v>4697807.7200000286</v>
      </c>
      <c r="G41" s="33">
        <v>22196693.219999995</v>
      </c>
      <c r="H41" s="33">
        <v>4301103.439999938</v>
      </c>
      <c r="I41" s="33">
        <v>1888282.75</v>
      </c>
      <c r="J41" s="33">
        <v>1927279.67</v>
      </c>
      <c r="K41" s="33">
        <v>3540256.4899999946</v>
      </c>
      <c r="L41" s="33">
        <f t="shared" ref="K41:P41" ca="1" si="6">L$6+L$27-L$38</f>
        <v>15581873.300000012</v>
      </c>
      <c r="M41" s="33">
        <f t="shared" ca="1" si="6"/>
        <v>3442272.3400000185</v>
      </c>
      <c r="N41" s="33">
        <f t="shared" ca="1" si="6"/>
        <v>3897544.6600000183</v>
      </c>
      <c r="O41" s="33">
        <f t="shared" ca="1" si="6"/>
        <v>226397544.66000003</v>
      </c>
      <c r="P41" s="33">
        <f t="shared" ca="1" si="6"/>
        <v>226407663.21000004</v>
      </c>
    </row>
    <row r="42" spans="1:33" s="22" customFormat="1" x14ac:dyDescent="0.2">
      <c r="A42" s="26" t="s">
        <v>853</v>
      </c>
      <c r="B42" s="33">
        <v>3373326.37</v>
      </c>
      <c r="C42" s="33">
        <v>10720904.550000001</v>
      </c>
      <c r="D42" s="33">
        <v>2363199.08</v>
      </c>
      <c r="E42" s="33">
        <v>0</v>
      </c>
      <c r="F42" s="33">
        <v>4696557.8899999997</v>
      </c>
      <c r="G42" s="33">
        <v>2196430.2799999998</v>
      </c>
      <c r="H42" s="33">
        <v>4300861.1500000004</v>
      </c>
      <c r="I42" s="33">
        <v>1908032.51</v>
      </c>
      <c r="J42" s="33">
        <v>1925845.08</v>
      </c>
      <c r="K42" s="33">
        <f>IFERROR(INDEX(CashProjTable[CashBal],MATCH($A$3&amp;K$5,CashProjTable[RefRng],0)),0)</f>
        <v>3539799.75</v>
      </c>
      <c r="L42" s="33">
        <f>IFERROR(INDEX(CashProjTable[CashBal],MATCH($A$3&amp;L$5,CashProjTable[RefRng],0)),0)</f>
        <v>115571850.45999999</v>
      </c>
      <c r="M42" s="33">
        <f>IFERROR(INDEX(CashProjTable[CashBal],MATCH($A$3&amp;M$5,CashProjTable[RefRng],0)),0)</f>
        <v>115571850.45999999</v>
      </c>
      <c r="N42" s="33">
        <f>IFERROR(INDEX(CashProjTable[CashBal],MATCH($A$3&amp;N$5,CashProjTable[RefRng],0)),0)</f>
        <v>115571850.45999999</v>
      </c>
      <c r="O42" s="33">
        <f>IFERROR(INDEX(CashProjTable[CashBal],MATCH($A$3&amp;O$5,CashProjTable[RefRng],0)),0)</f>
        <v>336571850.45999998</v>
      </c>
      <c r="P42" s="33">
        <f>IFERROR(INDEX(CashProjTable[CashBal],MATCH($A$3&amp;P$5,CashProjTable[RefRng],0)),0)</f>
        <v>336571850.45999998</v>
      </c>
    </row>
    <row r="43" spans="1:33" s="41" customFormat="1" x14ac:dyDescent="0.2">
      <c r="A43" s="39" t="s">
        <v>370</v>
      </c>
      <c r="B43" s="40">
        <v>-98.360000004060566</v>
      </c>
      <c r="C43" s="40">
        <v>7999946.5599999987</v>
      </c>
      <c r="D43" s="40">
        <v>-37655.199999971315</v>
      </c>
      <c r="E43" s="40">
        <v>-20002005.619999997</v>
      </c>
      <c r="F43" s="40">
        <v>-13000000.009999949</v>
      </c>
      <c r="G43" s="40">
        <v>2489513.870000002</v>
      </c>
      <c r="H43" s="40">
        <v>11001434.120000031</v>
      </c>
      <c r="I43" s="40">
        <v>2412578.4000000004</v>
      </c>
      <c r="J43" s="40">
        <v>-19247.160000000149</v>
      </c>
      <c r="K43" s="40">
        <v>-10531843.719999997</v>
      </c>
      <c r="L43" s="40">
        <v>115736163.10000001</v>
      </c>
      <c r="M43" s="40">
        <f t="shared" ref="M43:O43" ca="1" si="7">M42-M41</f>
        <v>112129578.11999997</v>
      </c>
      <c r="N43" s="40">
        <f t="shared" ref="N43:P43" ca="1" si="8">N42-N41</f>
        <v>111674305.79999998</v>
      </c>
      <c r="O43" s="40">
        <f t="shared" ca="1" si="8"/>
        <v>110174305.79999995</v>
      </c>
      <c r="P43" s="40">
        <f t="shared" ca="1" si="8"/>
        <v>110164187.24999994</v>
      </c>
    </row>
    <row r="44" spans="1:33" s="22" customFormat="1" x14ac:dyDescent="0.2">
      <c r="A44" s="26" t="s">
        <v>854</v>
      </c>
      <c r="B44" s="44">
        <v>3722778945.6799998</v>
      </c>
      <c r="C44" s="33">
        <v>3710187010.5700002</v>
      </c>
      <c r="D44" s="33">
        <v>3698101864.0700002</v>
      </c>
      <c r="E44" s="33">
        <v>3678308015.7199998</v>
      </c>
      <c r="F44" s="33">
        <v>3627292973.9400001</v>
      </c>
      <c r="G44" s="33">
        <v>3602993438.8000002</v>
      </c>
      <c r="H44" s="33">
        <v>3574142156.3599997</v>
      </c>
      <c r="I44" s="33">
        <v>3556602327.1600003</v>
      </c>
      <c r="J44" s="33">
        <v>3561688102.0699997</v>
      </c>
      <c r="K44" s="33">
        <v>3562405043.21</v>
      </c>
      <c r="L44" s="33">
        <v>3546765833</v>
      </c>
      <c r="M44" s="33">
        <f t="shared" ref="M44" ca="1" si="9">IF(M$5&gt;TODAY(),L44,L45)+SUM(M16:M19)-SUM(M30:M31)</f>
        <v>3526357774.6399999</v>
      </c>
      <c r="N44" s="33">
        <f t="shared" ref="N44" ca="1" si="10">IF(N$5&gt;TODAY(),M44,M45)+SUM(N16:N19)-SUM(N30:N31)</f>
        <v>3526813046.96</v>
      </c>
      <c r="O44" s="33">
        <f t="shared" ref="O44" ca="1" si="11">IF(O$5&gt;TODAY(),N44,N45)+SUM(O16:O19)-SUM(O30:O31)</f>
        <v>3528313046.96</v>
      </c>
      <c r="P44" s="33">
        <f t="shared" ref="P44" ca="1" si="12">IF(P$5&gt;TODAY(),O44,O45)+SUM(P16:P19)-SUM(P30:P31)</f>
        <v>3528323165.5100002</v>
      </c>
    </row>
    <row r="45" spans="1:33" s="22" customFormat="1" x14ac:dyDescent="0.2">
      <c r="A45" s="26" t="s">
        <v>855</v>
      </c>
      <c r="B45" s="33">
        <v>3722824743.1500001</v>
      </c>
      <c r="C45" s="33">
        <v>3710231692.5599999</v>
      </c>
      <c r="D45" s="33">
        <v>3698150409.2399998</v>
      </c>
      <c r="E45" s="33">
        <v>3678356081.6999998</v>
      </c>
      <c r="F45" s="33">
        <v>3627482952.6700001</v>
      </c>
      <c r="G45" s="33">
        <v>3603040770.98</v>
      </c>
      <c r="H45" s="33">
        <v>3574194341.6600003</v>
      </c>
      <c r="I45" s="33">
        <v>3556668854.9099998</v>
      </c>
      <c r="J45" s="33">
        <v>3561832071.6900001</v>
      </c>
      <c r="K45" s="33">
        <f>[1]!SCBAM_GetGroup1Dtl($A$3,"NET ASSET VALUE",K$5,"MarketVal")+[1]!SCBAM_GetGroup1Dtl($A$3,"NET ASSET VALUE",K$5,"ai")</f>
        <v>3562501996.0999999</v>
      </c>
      <c r="L45" s="33">
        <f>[1]!SCBAM_GetGroup1Dtl($A$3,"NET ASSET VALUE",L$5,"MarketVal")+[1]!SCBAM_GetGroup1Dtl($A$3,"NET ASSET VALUE",L$5,"ai")</f>
        <v>0</v>
      </c>
      <c r="M45" s="33">
        <f>[1]!SCBAM_GetGroup1Dtl($A$3,"NET ASSET VALUE",M$5,"MarketVal")+[1]!SCBAM_GetGroup1Dtl($A$3,"NET ASSET VALUE",M$5,"ai")</f>
        <v>0</v>
      </c>
      <c r="N45" s="33">
        <f>[1]!SCBAM_GetGroup1Dtl($A$3,"NET ASSET VALUE",N$5,"MarketVal")+[1]!SCBAM_GetGroup1Dtl($A$3,"NET ASSET VALUE",N$5,"ai")</f>
        <v>0</v>
      </c>
      <c r="O45" s="33">
        <f>[1]!SCBAM_GetGroup1Dtl($A$3,"NET ASSET VALUE",O$5,"MarketVal")+[1]!SCBAM_GetGroup1Dtl($A$3,"NET ASSET VALUE",O$5,"ai")</f>
        <v>0</v>
      </c>
      <c r="P45" s="33">
        <f>[1]!SCBAM_GetGroup1Dtl($A$3,"NET ASSET VALUE",P$5,"MarketVal")+[1]!SCBAM_GetGroup1Dtl($A$3,"NET ASSET VALUE",P$5,"ai")</f>
        <v>0</v>
      </c>
    </row>
    <row r="46" spans="1:33" s="21" customFormat="1" x14ac:dyDescent="0.2">
      <c r="A46" s="19" t="s">
        <v>840</v>
      </c>
      <c r="B46" s="20">
        <v>-12637732.58</v>
      </c>
      <c r="C46" s="20">
        <v>-12129828.23</v>
      </c>
      <c r="D46" s="20">
        <v>-19842393.52</v>
      </c>
      <c r="E46" s="20">
        <v>103087.48</v>
      </c>
      <c r="F46" s="20">
        <v>-24489513.870000001</v>
      </c>
      <c r="G46" s="20">
        <v>102970.75</v>
      </c>
      <c r="H46" s="20">
        <v>180460.26</v>
      </c>
      <c r="I46" s="20">
        <v>5019247.16</v>
      </c>
      <c r="J46" s="20">
        <v>572971.51999999955</v>
      </c>
      <c r="K46" s="20">
        <v>-15736163.099999998</v>
      </c>
      <c r="L46" s="20">
        <f t="shared" ref="L46:M46" si="13">SUM(M16:M19)-SUM(M30:M31)</f>
        <v>-20408058.359999999</v>
      </c>
      <c r="M46" s="20">
        <f t="shared" si="13"/>
        <v>455272.32</v>
      </c>
      <c r="N46" s="20">
        <f t="shared" ref="N46" si="14">SUM(O16:O19)-SUM(O30:O31)</f>
        <v>1500000</v>
      </c>
      <c r="O46" s="20">
        <f t="shared" ref="O46" si="15">SUM(P16:P19)-SUM(P30:P31)</f>
        <v>10118.549999999999</v>
      </c>
      <c r="P46" s="20">
        <f t="shared" ref="P46" si="16">SUM(Q16:Q19)-SUM(Q30:Q31)</f>
        <v>0</v>
      </c>
    </row>
    <row r="47" spans="1:33" s="47" customFormat="1" x14ac:dyDescent="0.2">
      <c r="A47" s="45" t="s">
        <v>371</v>
      </c>
      <c r="B47" s="48">
        <v>9.061465319330726E-4</v>
      </c>
      <c r="C47" s="48">
        <v>7.3336605782766762E-4</v>
      </c>
      <c r="D47" s="48">
        <v>6.4920406536232982E-4</v>
      </c>
      <c r="E47" s="48">
        <v>6.9299463479026858E-4</v>
      </c>
      <c r="F47" s="48">
        <v>1.2950599027742415E-3</v>
      </c>
      <c r="G47" s="48">
        <v>-2.9952056098093167E-3</v>
      </c>
      <c r="H47" s="48">
        <v>5.7248260715063611E-4</v>
      </c>
      <c r="I47" s="48">
        <v>2.4976879428331906E-3</v>
      </c>
      <c r="J47" s="48">
        <v>-2.3226964526152694E-3</v>
      </c>
      <c r="K47" s="48">
        <v>2.386615448517039E-3</v>
      </c>
      <c r="L47" s="48">
        <v>4.3933505181028374E-3</v>
      </c>
      <c r="M47" s="48">
        <f t="shared" ref="M47:O47" ca="1" si="17">M41/IF(M5&lt;TODAY(),M45,M44)</f>
        <v>9.7615516064629448E-4</v>
      </c>
      <c r="N47" s="48">
        <f t="shared" ref="N47:P47" ca="1" si="18">N41/IF(N5&lt;TODAY(),N45,N44)</f>
        <v>1.1051180224479369E-3</v>
      </c>
      <c r="O47" s="48">
        <f t="shared" ca="1" si="18"/>
        <v>6.4165946061692139E-2</v>
      </c>
      <c r="P47" s="48">
        <f t="shared" ca="1" si="18"/>
        <v>6.4168629853176729E-2</v>
      </c>
      <c r="Q47" s="46"/>
      <c r="R47" s="46"/>
      <c r="S47" s="46"/>
      <c r="T47" s="46"/>
      <c r="U47" s="46"/>
      <c r="V47" s="46"/>
      <c r="W47" s="46"/>
      <c r="X47" s="46"/>
      <c r="Y47" s="46"/>
      <c r="Z47" s="46"/>
      <c r="AA47" s="46"/>
      <c r="AB47" s="46"/>
      <c r="AC47" s="46"/>
      <c r="AD47" s="46"/>
      <c r="AE47" s="46"/>
      <c r="AF47" s="46"/>
      <c r="AG47" s="46"/>
    </row>
    <row r="48" spans="1:33" s="42" customFormat="1" x14ac:dyDescent="0.2">
      <c r="A48" s="42" t="s">
        <v>372</v>
      </c>
      <c r="B48" s="43">
        <v>3362071.66</v>
      </c>
      <c r="C48" s="43">
        <v>10356467.17</v>
      </c>
      <c r="D48" s="43">
        <v>1663199.08</v>
      </c>
      <c r="E48" s="43">
        <v>-17543305.460000001</v>
      </c>
      <c r="F48" s="43">
        <v>-8405279.7699999306</v>
      </c>
      <c r="G48" s="43">
        <v>-8302192.2899999199</v>
      </c>
      <c r="H48" s="43">
        <v>13047568.34</v>
      </c>
      <c r="I48" s="43">
        <v>11295861.15</v>
      </c>
      <c r="J48" s="43">
        <v>-8291967.4800000004</v>
      </c>
      <c r="K48" s="43">
        <v>-2029752.81</v>
      </c>
      <c r="L48" s="43">
        <v>131318348.61</v>
      </c>
      <c r="M48" s="43">
        <f>IFERROR(INDEX(CashProjTable[CashForUse],MATCH($A$3&amp;M$5,CashProjTable[RefRng],0)),0)</f>
        <v>115571850.45999999</v>
      </c>
      <c r="N48" s="43">
        <f>IFERROR(INDEX(CashProjTable[CashForUse],MATCH($A$3&amp;N$5,CashProjTable[RefRng],0)),0)</f>
        <v>115571850.45999999</v>
      </c>
      <c r="O48" s="43">
        <f>IFERROR(INDEX(CashProjTable[CashForUse],MATCH($A$3&amp;O$5,CashProjTable[RefRng],0)),0)</f>
        <v>336571850.45999998</v>
      </c>
      <c r="P48" s="43">
        <f>IFERROR(INDEX(CashProjTable[CashForUse],MATCH($A$3&amp;P$5,CashProjTable[RefRng],0)),0)</f>
        <v>336571850.45999998</v>
      </c>
    </row>
    <row r="49" spans="1:16" s="42" customFormat="1" x14ac:dyDescent="0.2">
      <c r="A49" s="42" t="s">
        <v>373</v>
      </c>
      <c r="B49" s="43">
        <v>209713.55</v>
      </c>
      <c r="C49" s="43">
        <v>10345212.460000001</v>
      </c>
      <c r="D49" s="43">
        <v>1261106.5</v>
      </c>
      <c r="E49" s="43">
        <v>-18271547.620000001</v>
      </c>
      <c r="F49" s="43">
        <v>-8496877.1599999294</v>
      </c>
      <c r="G49" s="43">
        <v>-8405279.7699999306</v>
      </c>
      <c r="H49" s="43">
        <v>12945894.59</v>
      </c>
      <c r="I49" s="43">
        <v>11192579.949999999</v>
      </c>
      <c r="J49" s="43">
        <v>-8498295.5800000001</v>
      </c>
      <c r="K49" s="43">
        <v>-2824886.49</v>
      </c>
      <c r="L49" s="43">
        <v>131317405.31</v>
      </c>
      <c r="M49" s="43">
        <f>IFERROR(INDEX(CashProjTable[CashForBahtNet],MATCH($A$3&amp;M$5,CashProjTable[RefRng],0)),0)</f>
        <v>115565986.44</v>
      </c>
      <c r="N49" s="43">
        <f>IFERROR(INDEX(CashProjTable[CashForBahtNet],MATCH($A$3&amp;N$5,CashProjTable[RefRng],0)),0)</f>
        <v>115571850.45999999</v>
      </c>
      <c r="O49" s="43">
        <f>IFERROR(INDEX(CashProjTable[CashForBahtNet],MATCH($A$3&amp;O$5,CashProjTable[RefRng],0)),0)</f>
        <v>336571850.45999998</v>
      </c>
      <c r="P49" s="43">
        <f>IFERROR(INDEX(CashProjTable[CashForBahtNet],MATCH($A$3&amp;P$5,CashProjTable[RefRng],0)),0)</f>
        <v>336571850.45999998</v>
      </c>
    </row>
    <row r="51" spans="1:16" x14ac:dyDescent="0.2">
      <c r="A51" s="11" t="s">
        <v>329</v>
      </c>
    </row>
    <row r="52" spans="1:16" x14ac:dyDescent="0.2">
      <c r="A52" s="11" t="s">
        <v>333</v>
      </c>
    </row>
    <row r="53" spans="1:16" x14ac:dyDescent="0.2">
      <c r="A53" s="11" t="s">
        <v>330</v>
      </c>
    </row>
    <row r="54" spans="1:16" x14ac:dyDescent="0.2">
      <c r="A54" s="11" t="s">
        <v>331</v>
      </c>
    </row>
    <row r="55" spans="1:16" x14ac:dyDescent="0.2">
      <c r="A55" s="11" t="s">
        <v>332</v>
      </c>
    </row>
  </sheetData>
  <conditionalFormatting sqref="D5">
    <cfRule type="cellIs" dxfId="304" priority="56" operator="equal">
      <formula>TODAY()</formula>
    </cfRule>
  </conditionalFormatting>
  <conditionalFormatting sqref="D10">
    <cfRule type="cellIs" dxfId="303" priority="55" operator="greaterThan">
      <formula>"&lt;0"</formula>
    </cfRule>
  </conditionalFormatting>
  <conditionalFormatting sqref="D11">
    <cfRule type="cellIs" dxfId="302" priority="54" operator="greaterThan">
      <formula>"&lt;0"</formula>
    </cfRule>
  </conditionalFormatting>
  <conditionalFormatting sqref="A5:C5 Q5:XFD5">
    <cfRule type="cellIs" dxfId="301" priority="67" operator="equal">
      <formula>TODAY()</formula>
    </cfRule>
  </conditionalFormatting>
  <conditionalFormatting sqref="B9:D9">
    <cfRule type="cellIs" dxfId="300" priority="66" operator="greaterThan">
      <formula>"&lt;0"</formula>
    </cfRule>
  </conditionalFormatting>
  <conditionalFormatting sqref="B10">
    <cfRule type="cellIs" dxfId="299" priority="65" operator="greaterThan">
      <formula>"&lt;0"</formula>
    </cfRule>
  </conditionalFormatting>
  <conditionalFormatting sqref="B11">
    <cfRule type="cellIs" dxfId="298" priority="64" operator="greaterThan">
      <formula>"&lt;0"</formula>
    </cfRule>
  </conditionalFormatting>
  <conditionalFormatting sqref="C10">
    <cfRule type="cellIs" dxfId="297" priority="63" operator="greaterThan">
      <formula>"&lt;0"</formula>
    </cfRule>
  </conditionalFormatting>
  <conditionalFormatting sqref="C11">
    <cfRule type="cellIs" dxfId="296" priority="62" operator="greaterThan">
      <formula>"&lt;0"</formula>
    </cfRule>
  </conditionalFormatting>
  <conditionalFormatting sqref="B7">
    <cfRule type="cellIs" dxfId="295" priority="61" operator="greaterThan">
      <formula>"&lt;0"</formula>
    </cfRule>
  </conditionalFormatting>
  <conditionalFormatting sqref="F5">
    <cfRule type="cellIs" dxfId="294" priority="45" operator="equal">
      <formula>TODAY()</formula>
    </cfRule>
  </conditionalFormatting>
  <conditionalFormatting sqref="F9">
    <cfRule type="cellIs" dxfId="293" priority="44" operator="greaterThan">
      <formula>"&lt;0"</formula>
    </cfRule>
  </conditionalFormatting>
  <conditionalFormatting sqref="F10">
    <cfRule type="cellIs" dxfId="292" priority="43" operator="greaterThan">
      <formula>"&lt;0"</formula>
    </cfRule>
  </conditionalFormatting>
  <conditionalFormatting sqref="E11">
    <cfRule type="cellIs" dxfId="291" priority="38" operator="greaterThan">
      <formula>"&lt;0"</formula>
    </cfRule>
  </conditionalFormatting>
  <conditionalFormatting sqref="E10">
    <cfRule type="cellIs" dxfId="290" priority="39" operator="greaterThan">
      <formula>"&lt;0"</formula>
    </cfRule>
  </conditionalFormatting>
  <conditionalFormatting sqref="E9">
    <cfRule type="cellIs" dxfId="289" priority="41" operator="greaterThan">
      <formula>"&lt;0"</formula>
    </cfRule>
  </conditionalFormatting>
  <conditionalFormatting sqref="E5">
    <cfRule type="cellIs" dxfId="288" priority="40" operator="equal">
      <formula>TODAY()</formula>
    </cfRule>
  </conditionalFormatting>
  <conditionalFormatting sqref="G10">
    <cfRule type="cellIs" dxfId="287" priority="35" operator="greaterThan">
      <formula>"&lt;0"</formula>
    </cfRule>
  </conditionalFormatting>
  <conditionalFormatting sqref="H10">
    <cfRule type="cellIs" dxfId="286" priority="31" operator="greaterThan">
      <formula>"&lt;0"</formula>
    </cfRule>
  </conditionalFormatting>
  <conditionalFormatting sqref="G5">
    <cfRule type="cellIs" dxfId="285" priority="36" operator="equal">
      <formula>TODAY()</formula>
    </cfRule>
  </conditionalFormatting>
  <conditionalFormatting sqref="J9">
    <cfRule type="cellIs" dxfId="284" priority="25" operator="greaterThan">
      <formula>"&lt;0"</formula>
    </cfRule>
  </conditionalFormatting>
  <conditionalFormatting sqref="H5">
    <cfRule type="cellIs" dxfId="283" priority="32" operator="equal">
      <formula>TODAY()</formula>
    </cfRule>
  </conditionalFormatting>
  <conditionalFormatting sqref="I10">
    <cfRule type="cellIs" dxfId="282" priority="27" operator="greaterThan">
      <formula>"&lt;0"</formula>
    </cfRule>
  </conditionalFormatting>
  <conditionalFormatting sqref="I11">
    <cfRule type="cellIs" dxfId="281" priority="26" operator="greaterThan">
      <formula>"&lt;0"</formula>
    </cfRule>
  </conditionalFormatting>
  <conditionalFormatting sqref="I9">
    <cfRule type="cellIs" dxfId="280" priority="29" operator="greaterThan">
      <formula>"&lt;0"</formula>
    </cfRule>
  </conditionalFormatting>
  <conditionalFormatting sqref="I5">
    <cfRule type="cellIs" dxfId="279" priority="28" operator="equal">
      <formula>TODAY()</formula>
    </cfRule>
  </conditionalFormatting>
  <conditionalFormatting sqref="J10">
    <cfRule type="cellIs" dxfId="278" priority="23" operator="greaterThan">
      <formula>"&lt;0"</formula>
    </cfRule>
  </conditionalFormatting>
  <conditionalFormatting sqref="J11">
    <cfRule type="cellIs" dxfId="277" priority="22" operator="greaterThan">
      <formula>"&lt;0"</formula>
    </cfRule>
  </conditionalFormatting>
  <conditionalFormatting sqref="J5">
    <cfRule type="cellIs" dxfId="276" priority="24" operator="equal">
      <formula>TODAY()</formula>
    </cfRule>
  </conditionalFormatting>
  <conditionalFormatting sqref="H11">
    <cfRule type="cellIs" dxfId="275" priority="21" operator="greaterThan">
      <formula>"&lt;0"</formula>
    </cfRule>
  </conditionalFormatting>
  <conditionalFormatting sqref="H9">
    <cfRule type="cellIs" dxfId="274" priority="17" operator="greaterThan">
      <formula>"&lt;0"</formula>
    </cfRule>
  </conditionalFormatting>
  <conditionalFormatting sqref="F11">
    <cfRule type="cellIs" dxfId="273" priority="20" operator="greaterThan">
      <formula>"&lt;0"</formula>
    </cfRule>
  </conditionalFormatting>
  <conditionalFormatting sqref="G11">
    <cfRule type="cellIs" dxfId="272" priority="19" operator="greaterThan">
      <formula>"&lt;0"</formula>
    </cfRule>
  </conditionalFormatting>
  <conditionalFormatting sqref="G9">
    <cfRule type="cellIs" dxfId="271" priority="18" operator="greaterThan">
      <formula>"&lt;0"</formula>
    </cfRule>
  </conditionalFormatting>
  <conditionalFormatting sqref="K9">
    <cfRule type="cellIs" dxfId="270" priority="16" operator="greaterThan">
      <formula>"&lt;0"</formula>
    </cfRule>
  </conditionalFormatting>
  <conditionalFormatting sqref="K10">
    <cfRule type="cellIs" dxfId="269" priority="14" operator="greaterThan">
      <formula>"&lt;0"</formula>
    </cfRule>
  </conditionalFormatting>
  <conditionalFormatting sqref="K11">
    <cfRule type="cellIs" dxfId="268" priority="13" operator="greaterThan">
      <formula>"&lt;0"</formula>
    </cfRule>
  </conditionalFormatting>
  <conditionalFormatting sqref="K5">
    <cfRule type="cellIs" dxfId="267" priority="15" operator="equal">
      <formula>TODAY()</formula>
    </cfRule>
  </conditionalFormatting>
  <conditionalFormatting sqref="L9">
    <cfRule type="cellIs" dxfId="266" priority="12" operator="greaterThan">
      <formula>"&lt;0"</formula>
    </cfRule>
  </conditionalFormatting>
  <conditionalFormatting sqref="L10">
    <cfRule type="cellIs" dxfId="265" priority="10" operator="greaterThan">
      <formula>"&lt;0"</formula>
    </cfRule>
  </conditionalFormatting>
  <conditionalFormatting sqref="L11">
    <cfRule type="cellIs" dxfId="264" priority="9" operator="greaterThan">
      <formula>"&lt;0"</formula>
    </cfRule>
  </conditionalFormatting>
  <conditionalFormatting sqref="L5">
    <cfRule type="cellIs" dxfId="263" priority="11" operator="equal">
      <formula>TODAY()</formula>
    </cfRule>
  </conditionalFormatting>
  <conditionalFormatting sqref="M9">
    <cfRule type="cellIs" dxfId="262" priority="8" operator="greaterThan">
      <formula>"&lt;0"</formula>
    </cfRule>
  </conditionalFormatting>
  <conditionalFormatting sqref="M10">
    <cfRule type="cellIs" dxfId="261" priority="6" operator="greaterThan">
      <formula>"&lt;0"</formula>
    </cfRule>
  </conditionalFormatting>
  <conditionalFormatting sqref="M11">
    <cfRule type="cellIs" dxfId="260" priority="5" operator="greaterThan">
      <formula>"&lt;0"</formula>
    </cfRule>
  </conditionalFormatting>
  <conditionalFormatting sqref="M5">
    <cfRule type="cellIs" dxfId="259" priority="7" operator="equal">
      <formula>TODAY()</formula>
    </cfRule>
  </conditionalFormatting>
  <conditionalFormatting sqref="N9:P9">
    <cfRule type="cellIs" dxfId="258" priority="4" operator="greaterThan">
      <formula>"&lt;0"</formula>
    </cfRule>
  </conditionalFormatting>
  <conditionalFormatting sqref="N10:P10">
    <cfRule type="cellIs" dxfId="257" priority="2" operator="greaterThan">
      <formula>"&lt;0"</formula>
    </cfRule>
  </conditionalFormatting>
  <conditionalFormatting sqref="N11:P11">
    <cfRule type="cellIs" dxfId="256" priority="1" operator="greaterThan">
      <formula>"&lt;0"</formula>
    </cfRule>
  </conditionalFormatting>
  <conditionalFormatting sqref="N5:P5">
    <cfRule type="cellIs" dxfId="255" priority="3" operator="equal">
      <formula>TODAY()</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B50B8-BF2B-4FFE-9445-F993469CFC7D}">
  <sheetPr codeName="Sheet12"/>
  <dimension ref="A1:AG55"/>
  <sheetViews>
    <sheetView zoomScale="90" zoomScaleNormal="90" workbookViewId="0">
      <pane xSplit="1" ySplit="6" topLeftCell="F8" activePane="bottomRight" state="frozen"/>
      <selection pane="topRight" activeCell="B1" sqref="B1"/>
      <selection pane="bottomLeft" activeCell="A7" sqref="A7"/>
      <selection pane="bottomRight" activeCell="M14" sqref="M14"/>
    </sheetView>
  </sheetViews>
  <sheetFormatPr defaultColWidth="9" defaultRowHeight="12.75" outlineLevelRow="1" x14ac:dyDescent="0.2"/>
  <cols>
    <col min="1" max="1" width="32" style="11" customWidth="1"/>
    <col min="2" max="16" width="18.75" style="11" customWidth="1"/>
    <col min="17" max="27" width="15.125" style="11" bestFit="1" customWidth="1"/>
    <col min="28" max="16384" width="9" style="11"/>
  </cols>
  <sheetData>
    <row r="1" spans="1:33" x14ac:dyDescent="0.2">
      <c r="A1" s="10" t="s">
        <v>340</v>
      </c>
    </row>
    <row r="2" spans="1:33" x14ac:dyDescent="0.2">
      <c r="A2" s="12">
        <f ca="1">[1]!SCBAM_PreviousBusinessDay(TODAY())</f>
        <v>43397</v>
      </c>
    </row>
    <row r="3" spans="1:33" x14ac:dyDescent="0.2">
      <c r="A3" s="13" t="s">
        <v>132</v>
      </c>
    </row>
    <row r="5" spans="1:33" s="18" customFormat="1" x14ac:dyDescent="0.2">
      <c r="A5" s="14" t="s">
        <v>341</v>
      </c>
      <c r="B5" s="15">
        <v>43382</v>
      </c>
      <c r="C5" s="15">
        <v>43383</v>
      </c>
      <c r="D5" s="15">
        <v>43384</v>
      </c>
      <c r="E5" s="15">
        <v>43385</v>
      </c>
      <c r="F5" s="15">
        <v>43389</v>
      </c>
      <c r="G5" s="15">
        <v>43390</v>
      </c>
      <c r="H5" s="15">
        <v>43391</v>
      </c>
      <c r="I5" s="15">
        <v>43392</v>
      </c>
      <c r="J5" s="15">
        <v>43395</v>
      </c>
      <c r="K5" s="15">
        <v>43397</v>
      </c>
      <c r="L5" s="15">
        <v>43398</v>
      </c>
      <c r="M5" s="15">
        <f>[1]!SCBAM_NextBusinessDay(L5)</f>
        <v>43399</v>
      </c>
      <c r="N5" s="15">
        <f>[1]!SCBAM_NextBusinessDay(M5)</f>
        <v>43402</v>
      </c>
      <c r="O5" s="15">
        <f>[1]!SCBAM_NextBusinessDay(N5)</f>
        <v>43403</v>
      </c>
      <c r="P5" s="15">
        <f>[1]!SCBAM_NextBusinessDay(O5)</f>
        <v>43404</v>
      </c>
      <c r="Q5" s="16"/>
      <c r="R5" s="16"/>
      <c r="S5" s="16"/>
      <c r="T5" s="16"/>
      <c r="U5" s="16"/>
      <c r="V5" s="16"/>
      <c r="W5" s="16"/>
      <c r="X5" s="16"/>
      <c r="Y5" s="16"/>
      <c r="Z5" s="16"/>
      <c r="AA5" s="16"/>
      <c r="AB5" s="17"/>
      <c r="AC5" s="17"/>
      <c r="AD5" s="17"/>
      <c r="AE5" s="17"/>
      <c r="AF5" s="17"/>
      <c r="AG5" s="17"/>
    </row>
    <row r="6" spans="1:33" s="21" customFormat="1" x14ac:dyDescent="0.2">
      <c r="A6" s="19" t="s">
        <v>342</v>
      </c>
      <c r="B6" s="20">
        <v>2752722.41</v>
      </c>
      <c r="C6" s="20">
        <v>2268790.71</v>
      </c>
      <c r="D6" s="20">
        <v>2607249.7200000002</v>
      </c>
      <c r="E6" s="20">
        <v>2189118.65</v>
      </c>
      <c r="F6" s="20">
        <v>3396762.72</v>
      </c>
      <c r="G6" s="20">
        <v>3146000.86</v>
      </c>
      <c r="H6" s="20">
        <v>2104183.94</v>
      </c>
      <c r="I6" s="20">
        <v>4770679.4400000004</v>
      </c>
      <c r="J6" s="20">
        <v>2865348.19</v>
      </c>
      <c r="K6" s="20">
        <v>1590572.52</v>
      </c>
      <c r="L6" s="20">
        <f ca="1">IF(AND(ISNUMBER(K41),ISNUMBER(K42)),IF(L5&lt;=TODAY(),K42,K41),INDEX(CashProjTable[CashBal],MATCH($A$3&amp;[1]!SCBAM_PreviousBusinessDay(L$5),CashProjTable[RefRng],0)))</f>
        <v>2440005.86</v>
      </c>
      <c r="M6" s="20">
        <f ca="1">IF(AND(ISNUMBER(L41),ISNUMBER(L42)),IF(M5&lt;=TODAY(),L42,L41),INDEX(CashProjTable[CashBal],MATCH($A$3&amp;[1]!SCBAM_PreviousBusinessDay(M$5),CashProjTable[RefRng],0)))</f>
        <v>22208429.039999962</v>
      </c>
      <c r="N6" s="20">
        <f ca="1">IF(AND(ISNUMBER(M41),ISNUMBER(M42)),IF(N5&lt;=TODAY(),M42,M41),INDEX(CashProjTable[CashBal],MATCH($A$3&amp;[1]!SCBAM_PreviousBusinessDay(N$5),CashProjTable[RefRng],0)))</f>
        <v>3626721.7799999714</v>
      </c>
      <c r="O6" s="20">
        <f ca="1">IF(AND(ISNUMBER(N41),ISNUMBER(N42)),IF(O5&lt;=TODAY(),N42,N41),INDEX(CashProjTable[CashBal],MATCH($A$3&amp;[1]!SCBAM_PreviousBusinessDay(O$5),CashProjTable[RefRng],0)))</f>
        <v>3681879.9099999713</v>
      </c>
      <c r="P6" s="20">
        <f ca="1">IF(AND(ISNUMBER(O41),ISNUMBER(O42)),IF(P5&lt;=TODAY(),O42,O41),INDEX(CashProjTable[CashBal],MATCH($A$3&amp;[1]!SCBAM_PreviousBusinessDay(P$5),CashProjTable[RefRng],0)))</f>
        <v>92681879.909999967</v>
      </c>
    </row>
    <row r="7" spans="1:33" s="22" customFormat="1" x14ac:dyDescent="0.2">
      <c r="B7" s="23"/>
    </row>
    <row r="8" spans="1:33" s="25" customFormat="1" x14ac:dyDescent="0.2">
      <c r="A8" s="24" t="s">
        <v>343</v>
      </c>
    </row>
    <row r="9" spans="1:33" s="27" customFormat="1" x14ac:dyDescent="0.2">
      <c r="A9" s="26" t="s">
        <v>344</v>
      </c>
      <c r="B9" s="23">
        <v>114816728.56</v>
      </c>
      <c r="C9" s="23">
        <v>48816728.560000002</v>
      </c>
      <c r="D9" s="23">
        <v>21816728.560000002</v>
      </c>
      <c r="E9" s="23">
        <v>26816728.560000002</v>
      </c>
      <c r="F9" s="23">
        <v>11816728.560000002</v>
      </c>
      <c r="G9" s="23">
        <v>54816728.560000002</v>
      </c>
      <c r="H9" s="23">
        <v>124816728.56</v>
      </c>
      <c r="I9" s="23">
        <v>244816728.56</v>
      </c>
      <c r="J9" s="23">
        <v>73816728.560000002</v>
      </c>
      <c r="K9" s="23">
        <v>20816728.560000002</v>
      </c>
      <c r="L9" s="23">
        <v>20816728.560000002</v>
      </c>
      <c r="M9" s="23">
        <f>IF(ISNUMBER(L$5),L$11,[1]!SCBAM_GetSecDtl($A$3,"INVSUOBTtmf",M$5,"MarketVal"))</f>
        <v>110816728.56</v>
      </c>
      <c r="N9" s="23">
        <f>IF(ISNUMBER(M$5),M$11,[1]!SCBAM_GetSecDtl($A$3,"INVSUOBTtmf",N$5,"MarketVal"))</f>
        <v>28816728.560000002</v>
      </c>
      <c r="O9" s="23">
        <f>IF(ISNUMBER(N$5),N$11,[1]!SCBAM_GetSecDtl($A$3,"INVSUOBTtmf",O$5,"MarketVal"))</f>
        <v>28816728.560000002</v>
      </c>
      <c r="P9" s="23">
        <f>IF(ISNUMBER(O$5),O$11,[1]!SCBAM_GetSecDtl($A$3,"INVSUOBTtmf",P$5,"MarketVal"))</f>
        <v>28816728.560000002</v>
      </c>
    </row>
    <row r="10" spans="1:33" s="61" customFormat="1" ht="14.25" x14ac:dyDescent="0.2">
      <c r="A10" s="59" t="s">
        <v>345</v>
      </c>
      <c r="B10" s="60">
        <v>-66000000</v>
      </c>
      <c r="C10" s="60">
        <v>-27000000</v>
      </c>
      <c r="D10" s="60">
        <v>5000000</v>
      </c>
      <c r="E10" s="60">
        <v>-15000000</v>
      </c>
      <c r="F10" s="60">
        <v>43000000</v>
      </c>
      <c r="G10" s="60">
        <v>70000000</v>
      </c>
      <c r="H10" s="60">
        <v>120000000</v>
      </c>
      <c r="I10" s="60">
        <v>-171000000</v>
      </c>
      <c r="J10" s="60">
        <v>-53000000</v>
      </c>
      <c r="K10" s="60"/>
      <c r="L10" s="60">
        <v>90000000</v>
      </c>
      <c r="M10" s="60">
        <f>-82*10^6</f>
        <v>-82000000</v>
      </c>
      <c r="N10" s="60"/>
      <c r="O10" s="60"/>
      <c r="P10" s="60"/>
    </row>
    <row r="11" spans="1:33" s="30" customFormat="1" ht="13.5" thickBot="1" x14ac:dyDescent="0.25">
      <c r="A11" s="28" t="s">
        <v>346</v>
      </c>
      <c r="B11" s="29">
        <v>48816728.560000002</v>
      </c>
      <c r="C11" s="29">
        <v>21816728.560000002</v>
      </c>
      <c r="D11" s="29">
        <v>26816728.560000002</v>
      </c>
      <c r="E11" s="29">
        <v>11816728.560000002</v>
      </c>
      <c r="F11" s="29">
        <v>54816728.560000002</v>
      </c>
      <c r="G11" s="29">
        <v>124816728.56</v>
      </c>
      <c r="H11" s="29">
        <v>244816728.56</v>
      </c>
      <c r="I11" s="29">
        <v>73816728.560000002</v>
      </c>
      <c r="J11" s="29">
        <v>20816728.560000002</v>
      </c>
      <c r="K11" s="29">
        <v>20816728.560000002</v>
      </c>
      <c r="L11" s="29">
        <v>110816728.56</v>
      </c>
      <c r="M11" s="29">
        <f t="shared" ref="M11:O11" si="0">SUM(M9:M10)</f>
        <v>28816728.560000002</v>
      </c>
      <c r="N11" s="29">
        <f t="shared" ref="N11:P11" si="1">SUM(N9:N10)</f>
        <v>28816728.560000002</v>
      </c>
      <c r="O11" s="29">
        <f t="shared" si="1"/>
        <v>28816728.560000002</v>
      </c>
      <c r="P11" s="29">
        <f t="shared" si="1"/>
        <v>28816728.560000002</v>
      </c>
    </row>
    <row r="12" spans="1:33" s="22" customFormat="1" ht="13.15" hidden="1" customHeight="1" outlineLevel="1" x14ac:dyDescent="0.2"/>
    <row r="13" spans="1:33" s="31" customFormat="1" hidden="1" outlineLevel="1" x14ac:dyDescent="0.2">
      <c r="A13" s="31" t="s">
        <v>348</v>
      </c>
    </row>
    <row r="14" spans="1:33" collapsed="1" x14ac:dyDescent="0.2"/>
    <row r="15" spans="1:33" s="25" customFormat="1" x14ac:dyDescent="0.2">
      <c r="A15" s="24" t="s">
        <v>347</v>
      </c>
    </row>
    <row r="16" spans="1:33" s="22" customFormat="1" x14ac:dyDescent="0.2">
      <c r="A16" s="32" t="s">
        <v>349</v>
      </c>
      <c r="B16" s="33">
        <v>16418378.189999999</v>
      </c>
      <c r="C16" s="33">
        <v>12260267.41</v>
      </c>
      <c r="D16" s="62">
        <v>6427095.8200000003</v>
      </c>
      <c r="E16" s="62">
        <v>50354320.009999998</v>
      </c>
      <c r="F16" s="62">
        <v>23781071.07</v>
      </c>
      <c r="G16" s="62">
        <v>93657400.799999997</v>
      </c>
      <c r="H16" s="62">
        <v>226353505.44999999</v>
      </c>
      <c r="I16" s="62">
        <v>104510203.55</v>
      </c>
      <c r="J16" s="62">
        <v>4560615.51</v>
      </c>
      <c r="K16" s="62">
        <v>43938355.93</v>
      </c>
      <c r="L16" s="62">
        <v>122094293.97</v>
      </c>
      <c r="M16" s="63">
        <f>IFERROR(INDEX(CashIntraTable[Amount],MATCH($A$3&amp;M$5&amp;$A51,CashIntraTable[RefRng],0)),0)</f>
        <v>57628997.869999997</v>
      </c>
      <c r="N16" s="62">
        <f>IFERROR(INDEX(CashIntraTable[Amount],MATCH($A$3&amp;N$5&amp;$A51,CashIntraTable[RefRng],0)),0)</f>
        <v>0</v>
      </c>
      <c r="O16" s="62">
        <f>IFERROR(INDEX(CashIntraTable[Amount],MATCH($A$3&amp;O$5&amp;$A51,CashIntraTable[RefRng],0)),0)</f>
        <v>0</v>
      </c>
      <c r="P16" s="62">
        <f>IFERROR(INDEX(CashIntraTable[Amount],MATCH($A$3&amp;P$5&amp;$A51,CashIntraTable[RefRng],0)),0)</f>
        <v>0</v>
      </c>
    </row>
    <row r="17" spans="1:16" s="22" customFormat="1" x14ac:dyDescent="0.2">
      <c r="A17" s="32" t="s">
        <v>351</v>
      </c>
      <c r="B17" s="33">
        <v>70450000</v>
      </c>
      <c r="C17" s="33">
        <v>0</v>
      </c>
      <c r="D17" s="62">
        <v>7000000</v>
      </c>
      <c r="E17" s="62">
        <v>0</v>
      </c>
      <c r="F17" s="62">
        <v>10600000</v>
      </c>
      <c r="G17" s="62">
        <v>700000</v>
      </c>
      <c r="H17" s="62">
        <v>3335000</v>
      </c>
      <c r="I17" s="62">
        <v>0</v>
      </c>
      <c r="J17" s="62">
        <v>1300000</v>
      </c>
      <c r="K17" s="62">
        <v>1800000</v>
      </c>
      <c r="L17" s="62">
        <v>640000</v>
      </c>
      <c r="M17" s="63">
        <f>IFERROR(INDEX(CashIntraTable[Amount],MATCH($A$3&amp;M$5&amp;$A52,CashIntraTable[RefRng],0)),0)</f>
        <v>1800000</v>
      </c>
      <c r="N17" s="62">
        <f>IFERROR(INDEX(CashIntraTable[Amount],MATCH($A$3&amp;N$5&amp;$A52,CashIntraTable[RefRng],0)),0)</f>
        <v>0</v>
      </c>
      <c r="O17" s="62">
        <f>IFERROR(INDEX(CashIntraTable[Amount],MATCH($A$3&amp;O$5&amp;$A52,CashIntraTable[RefRng],0)),0)</f>
        <v>0</v>
      </c>
      <c r="P17" s="62">
        <f>IFERROR(INDEX(CashIntraTable[Amount],MATCH($A$3&amp;P$5&amp;$A52,CashIntraTable[RefRng],0)),0)</f>
        <v>0</v>
      </c>
    </row>
    <row r="18" spans="1:16" s="22" customFormat="1" x14ac:dyDescent="0.2">
      <c r="A18" s="32" t="s">
        <v>350</v>
      </c>
      <c r="B18" s="33">
        <v>30000</v>
      </c>
      <c r="C18" s="33">
        <v>1931657.21</v>
      </c>
      <c r="D18" s="62">
        <v>1000</v>
      </c>
      <c r="E18" s="62">
        <v>0</v>
      </c>
      <c r="F18" s="62">
        <v>5005611.66</v>
      </c>
      <c r="G18" s="62">
        <v>20155.79</v>
      </c>
      <c r="H18" s="62">
        <v>605712.05000000005</v>
      </c>
      <c r="I18" s="62">
        <v>9828.2900000000009</v>
      </c>
      <c r="J18" s="62">
        <v>10972.71</v>
      </c>
      <c r="K18" s="62">
        <v>0</v>
      </c>
      <c r="L18" s="62">
        <v>942858.7</v>
      </c>
      <c r="M18" s="63">
        <f>IFERROR(INDEX(CashIntraTable[Amount],MATCH($A$3&amp;M$5&amp;$A53,CashIntraTable[RefRng],0)),0)</f>
        <v>2417468.1</v>
      </c>
      <c r="N18" s="62">
        <f>IFERROR(INDEX(CashIntraTable[Amount],MATCH($A$3&amp;N$5&amp;$A53,CashIntraTable[RefRng],0)),0)</f>
        <v>55158.13</v>
      </c>
      <c r="O18" s="62">
        <f>IFERROR(INDEX(CashIntraTable[Amount],MATCH($A$3&amp;O$5&amp;$A53,CashIntraTable[RefRng],0)),0)</f>
        <v>0</v>
      </c>
      <c r="P18" s="62">
        <f>IFERROR(INDEX(CashIntraTable[Amount],MATCH($A$3&amp;P$5&amp;$A53,CashIntraTable[RefRng],0)),0)</f>
        <v>0</v>
      </c>
    </row>
    <row r="19" spans="1:16" s="22" customFormat="1" x14ac:dyDescent="0.2">
      <c r="A19" s="32" t="s">
        <v>352</v>
      </c>
      <c r="B19" s="33">
        <v>0</v>
      </c>
      <c r="C19" s="33">
        <v>0</v>
      </c>
      <c r="D19" s="62">
        <v>0</v>
      </c>
      <c r="E19" s="62">
        <v>0</v>
      </c>
      <c r="F19" s="62">
        <v>0</v>
      </c>
      <c r="G19" s="62">
        <v>0</v>
      </c>
      <c r="H19" s="62">
        <v>0</v>
      </c>
      <c r="I19" s="62">
        <v>0</v>
      </c>
      <c r="J19" s="62">
        <v>0</v>
      </c>
      <c r="K19" s="62">
        <v>0</v>
      </c>
      <c r="L19" s="62">
        <v>0</v>
      </c>
      <c r="M19" s="63">
        <v>0</v>
      </c>
      <c r="N19" s="62">
        <v>0</v>
      </c>
      <c r="O19" s="62">
        <v>0</v>
      </c>
      <c r="P19" s="62">
        <v>0</v>
      </c>
    </row>
    <row r="20" spans="1:16" s="22" customFormat="1" x14ac:dyDescent="0.2">
      <c r="A20" s="26" t="s">
        <v>353</v>
      </c>
      <c r="B20" s="33">
        <v>474000000</v>
      </c>
      <c r="C20" s="33">
        <v>9992682.0999999996</v>
      </c>
      <c r="D20" s="33">
        <v>2074257120</v>
      </c>
      <c r="E20" s="33">
        <v>79984485.599999994</v>
      </c>
      <c r="F20" s="33">
        <v>820000000</v>
      </c>
      <c r="G20" s="33">
        <v>0</v>
      </c>
      <c r="H20" s="33">
        <v>452000000</v>
      </c>
      <c r="I20" s="33">
        <v>0</v>
      </c>
      <c r="J20" s="33">
        <v>0</v>
      </c>
      <c r="K20" s="33">
        <v>1159964401.5999999</v>
      </c>
      <c r="L20" s="33">
        <v>469953215.99000001</v>
      </c>
      <c r="M20" s="33">
        <f>IFERROR(INDEX(CashProjTable[DebtSell_BahtNet],MATCH($A$3&amp;M$5,CashProjTable[RefRng],0))+SUMIFS(IntraTrans[Net Settlement],IntraTrans[Portfolio],$A$3,IntraTrans[B/S],"S",IntraTrans[Settle Date],M$5,IntraTrans[Payment],"BAHTNET"),0)</f>
        <v>68916545.189999998</v>
      </c>
      <c r="N20" s="33">
        <f>IFERROR(INDEX(CashProjTable[DebtSell_BahtNet],MATCH($A$3&amp;N$5,CashProjTable[RefRng],0))+SUMIFS(IntraTrans[Net Settlement],IntraTrans[Portfolio],$A$3,IntraTrans[B/S],"S",IntraTrans[Settle Date],N$5,IntraTrans[Payment],"BAHTNET"),0)</f>
        <v>0</v>
      </c>
      <c r="O20" s="33">
        <f>IFERROR(INDEX(CashProjTable[DebtSell_BahtNet],MATCH($A$3&amp;O$5,CashProjTable[RefRng],0))+SUMIFS(IntraTrans[Net Settlement],IntraTrans[Portfolio],$A$3,IntraTrans[B/S],"S",IntraTrans[Settle Date],O$5,IntraTrans[Payment],"BAHTNET"),0)</f>
        <v>89000000</v>
      </c>
      <c r="P20" s="33">
        <f>IFERROR(INDEX(CashProjTable[DebtSell_BahtNet],MATCH($A$3&amp;P$5,CashProjTable[RefRng],0))+SUMIFS(IntraTrans[Net Settlement],IntraTrans[Portfolio],$A$3,IntraTrans[B/S],"S",IntraTrans[Settle Date],P$5,IntraTrans[Payment],"BAHTNET"),0)</f>
        <v>0</v>
      </c>
    </row>
    <row r="21" spans="1:16" s="22" customFormat="1" x14ac:dyDescent="0.2">
      <c r="A21" s="26" t="s">
        <v>354</v>
      </c>
      <c r="B21" s="33">
        <v>0</v>
      </c>
      <c r="C21" s="33">
        <v>0</v>
      </c>
      <c r="D21" s="33">
        <v>0</v>
      </c>
      <c r="E21" s="33">
        <v>0</v>
      </c>
      <c r="F21" s="33">
        <v>0</v>
      </c>
      <c r="G21" s="33">
        <v>0</v>
      </c>
      <c r="H21" s="33">
        <v>0</v>
      </c>
      <c r="I21" s="33">
        <v>0</v>
      </c>
      <c r="J21" s="33">
        <v>0</v>
      </c>
      <c r="K21" s="33">
        <v>0</v>
      </c>
      <c r="L21" s="33">
        <v>0</v>
      </c>
      <c r="M21" s="33">
        <f>IFERROR((INDEX(CashProjTable[DebtSell],MATCH($A$3&amp;M$5,CashProjTable[RefRng],0))-INDEX(CashProjTable[DebtSell_BahtNet],MATCH($A$3&amp;M$5,CashProjTable[RefRng],0)))+SUMIFS(IntraTrans[Net Settlement],IntraTrans[Portfolio],$A$3,IntraTrans[B/S],"S",IntraTrans[Settle Date],M$5,IntraTrans[Payment],"CHEQUE"),0)</f>
        <v>0</v>
      </c>
      <c r="N21" s="33">
        <f>IFERROR((INDEX(CashProjTable[DebtSell],MATCH($A$3&amp;N$5,CashProjTable[RefRng],0))-INDEX(CashProjTable[DebtSell_BahtNet],MATCH($A$3&amp;N$5,CashProjTable[RefRng],0)))+SUMIFS(IntraTrans[Net Settlement],IntraTrans[Portfolio],$A$3,IntraTrans[B/S],"S",IntraTrans[Settle Date],N$5,IntraTrans[Payment],"CHEQUE"),0)</f>
        <v>0</v>
      </c>
      <c r="O21" s="33">
        <f>IFERROR((INDEX(CashProjTable[DebtSell],MATCH($A$3&amp;O$5,CashProjTable[RefRng],0))-INDEX(CashProjTable[DebtSell_BahtNet],MATCH($A$3&amp;O$5,CashProjTable[RefRng],0)))+SUMIFS(IntraTrans[Net Settlement],IntraTrans[Portfolio],$A$3,IntraTrans[B/S],"S",IntraTrans[Settle Date],O$5,IntraTrans[Payment],"CHEQUE"),0)</f>
        <v>0</v>
      </c>
      <c r="P21" s="33">
        <f>IFERROR((INDEX(CashProjTable[DebtSell],MATCH($A$3&amp;P$5,CashProjTable[RefRng],0))-INDEX(CashProjTable[DebtSell_BahtNet],MATCH($A$3&amp;P$5,CashProjTable[RefRng],0)))+SUMIFS(IntraTrans[Net Settlement],IntraTrans[Portfolio],$A$3,IntraTrans[B/S],"S",IntraTrans[Settle Date],P$5,IntraTrans[Payment],"CHEQUE"),0)</f>
        <v>0</v>
      </c>
    </row>
    <row r="22" spans="1:16" s="22" customFormat="1" x14ac:dyDescent="0.2">
      <c r="A22" s="26" t="s">
        <v>355</v>
      </c>
      <c r="B22" s="33">
        <v>66000000</v>
      </c>
      <c r="C22" s="33">
        <v>27000000</v>
      </c>
      <c r="D22" s="33">
        <v>0</v>
      </c>
      <c r="E22" s="33">
        <v>15000000</v>
      </c>
      <c r="F22" s="33">
        <v>0</v>
      </c>
      <c r="G22" s="33">
        <v>0</v>
      </c>
      <c r="H22" s="33">
        <v>0</v>
      </c>
      <c r="I22" s="33">
        <v>171000000</v>
      </c>
      <c r="J22" s="33">
        <v>53000000</v>
      </c>
      <c r="K22" s="33">
        <v>0</v>
      </c>
      <c r="L22" s="33">
        <v>0</v>
      </c>
      <c r="M22" s="33">
        <f>IF(M$10&lt;0,-M$10,0)+INDEX(CashProjTable[CashEqSell_BahtNet],MATCH($A$3&amp;M$5,CashProjTable[RefRng],0))</f>
        <v>82000000</v>
      </c>
      <c r="N22" s="33">
        <f>IF(N$10&lt;0,-N$10,0)+INDEX(CashProjTable[CashEqSell_BahtNet],MATCH($A$3&amp;N$5,CashProjTable[RefRng],0))</f>
        <v>0</v>
      </c>
      <c r="O22" s="33">
        <f>IF(O$10&lt;0,-O$10,0)+INDEX(CashProjTable[CashEqSell_BahtNet],MATCH($A$3&amp;O$5,CashProjTable[RefRng],0))</f>
        <v>0</v>
      </c>
      <c r="P22" s="33">
        <f>IF(P$10&lt;0,-P$10,0)+INDEX(CashProjTable[CashEqSell_BahtNet],MATCH($A$3&amp;P$5,CashProjTable[RefRng],0))</f>
        <v>0</v>
      </c>
    </row>
    <row r="23" spans="1:16" s="22" customFormat="1" x14ac:dyDescent="0.2">
      <c r="A23" s="26" t="s">
        <v>356</v>
      </c>
      <c r="B23" s="33">
        <v>0</v>
      </c>
      <c r="C23" s="33">
        <v>0</v>
      </c>
      <c r="D23" s="33">
        <v>0</v>
      </c>
      <c r="E23" s="33">
        <v>0</v>
      </c>
      <c r="F23" s="33">
        <v>0</v>
      </c>
      <c r="G23" s="33">
        <v>0</v>
      </c>
      <c r="H23" s="33">
        <v>0</v>
      </c>
      <c r="I23" s="33">
        <v>0</v>
      </c>
      <c r="J23" s="33">
        <v>0</v>
      </c>
      <c r="K23" s="33">
        <v>0</v>
      </c>
      <c r="L23" s="33">
        <v>0</v>
      </c>
      <c r="M23" s="33">
        <v>0</v>
      </c>
      <c r="N23" s="33">
        <v>0</v>
      </c>
      <c r="O23" s="33">
        <v>0</v>
      </c>
      <c r="P23" s="33">
        <v>0</v>
      </c>
    </row>
    <row r="24" spans="1:16" s="22" customFormat="1" x14ac:dyDescent="0.2">
      <c r="A24" s="26" t="s">
        <v>357</v>
      </c>
      <c r="B24" s="33">
        <v>0</v>
      </c>
      <c r="C24" s="33">
        <v>0</v>
      </c>
      <c r="D24" s="33">
        <v>51717.64</v>
      </c>
      <c r="E24" s="33">
        <v>38789.32</v>
      </c>
      <c r="F24" s="33">
        <v>0</v>
      </c>
      <c r="G24" s="33">
        <v>0</v>
      </c>
      <c r="H24" s="33">
        <v>0</v>
      </c>
      <c r="I24" s="33">
        <v>0</v>
      </c>
      <c r="J24" s="33">
        <v>0</v>
      </c>
      <c r="K24" s="33">
        <v>5932.25</v>
      </c>
      <c r="L24" s="33">
        <v>0</v>
      </c>
      <c r="M24" s="33">
        <f>IFERROR(INDEX(CashProjTable[DebtInterest],MATCH($A$3&amp;M$5,CashProjTable[RefRng],0)),0)</f>
        <v>0</v>
      </c>
      <c r="N24" s="33">
        <f>IFERROR(INDEX(CashProjTable[DebtInterest],MATCH($A$3&amp;N$5,CashProjTable[RefRng],0)),0)</f>
        <v>0</v>
      </c>
      <c r="O24" s="33">
        <f>IFERROR(INDEX(CashProjTable[DebtInterest],MATCH($A$3&amp;O$5,CashProjTable[RefRng],0)),0)</f>
        <v>0</v>
      </c>
      <c r="P24" s="33">
        <f>IFERROR(INDEX(CashProjTable[DebtInterest],MATCH($A$3&amp;P$5,CashProjTable[RefRng],0)),0)</f>
        <v>0</v>
      </c>
    </row>
    <row r="25" spans="1:16" s="22" customFormat="1" x14ac:dyDescent="0.2">
      <c r="A25" s="26" t="s">
        <v>358</v>
      </c>
      <c r="B25" s="33">
        <v>0</v>
      </c>
      <c r="C25" s="33">
        <v>0</v>
      </c>
      <c r="D25" s="33">
        <v>0</v>
      </c>
      <c r="E25" s="33">
        <v>0</v>
      </c>
      <c r="F25" s="33">
        <v>0</v>
      </c>
      <c r="G25" s="33">
        <v>0</v>
      </c>
      <c r="H25" s="33">
        <v>0</v>
      </c>
      <c r="I25" s="33">
        <v>0</v>
      </c>
      <c r="J25" s="33">
        <v>0</v>
      </c>
      <c r="K25" s="33">
        <v>0</v>
      </c>
      <c r="L25" s="33">
        <v>0</v>
      </c>
      <c r="M25" s="33">
        <f>IFERROR(INDEX(CashProjTable[CashEqInterest],MATCH($A$3&amp;M$5,CashProjTable[RefRng],0)),0)</f>
        <v>0</v>
      </c>
      <c r="N25" s="33">
        <f>IFERROR(INDEX(CashProjTable[CashEqInterest],MATCH($A$3&amp;N$5,CashProjTable[RefRng],0)),0)</f>
        <v>0</v>
      </c>
      <c r="O25" s="33">
        <f>IFERROR(INDEX(CashProjTable[CashEqInterest],MATCH($A$3&amp;O$5,CashProjTable[RefRng],0)),0)</f>
        <v>0</v>
      </c>
      <c r="P25" s="33">
        <f>IFERROR(INDEX(CashProjTable[CashEqInterest],MATCH($A$3&amp;P$5,CashProjTable[RefRng],0)),0)</f>
        <v>0</v>
      </c>
    </row>
    <row r="26" spans="1:16" s="36" customFormat="1" x14ac:dyDescent="0.2">
      <c r="A26" s="34" t="s">
        <v>359</v>
      </c>
      <c r="B26" s="35">
        <v>0</v>
      </c>
      <c r="C26" s="35"/>
      <c r="D26" s="35"/>
      <c r="E26" s="35"/>
      <c r="F26" s="35"/>
      <c r="G26" s="35"/>
      <c r="H26" s="35"/>
      <c r="I26" s="35"/>
      <c r="J26" s="35"/>
      <c r="K26" s="35"/>
      <c r="L26" s="35"/>
      <c r="M26" s="35"/>
      <c r="N26" s="35"/>
      <c r="O26" s="35"/>
      <c r="P26" s="35"/>
    </row>
    <row r="27" spans="1:16" s="38" customFormat="1" ht="13.5" thickBot="1" x14ac:dyDescent="0.25">
      <c r="A27" s="28" t="s">
        <v>360</v>
      </c>
      <c r="B27" s="37">
        <v>626898378.19000006</v>
      </c>
      <c r="C27" s="37">
        <v>51184606.719999999</v>
      </c>
      <c r="D27" s="37">
        <v>2087736933.46</v>
      </c>
      <c r="E27" s="37">
        <v>145377594.92999998</v>
      </c>
      <c r="F27" s="37">
        <v>859386682.73000002</v>
      </c>
      <c r="G27" s="37">
        <v>94377556.590000004</v>
      </c>
      <c r="H27" s="37">
        <v>682294217.5</v>
      </c>
      <c r="I27" s="37">
        <v>275520031.84000003</v>
      </c>
      <c r="J27" s="37">
        <v>58871588.219999999</v>
      </c>
      <c r="K27" s="37">
        <v>1205708689.78</v>
      </c>
      <c r="L27" s="37">
        <v>593630368.65999997</v>
      </c>
      <c r="M27" s="37">
        <f t="shared" ref="L27:O27" si="2">SUM(M16:M26)</f>
        <v>212763011.16</v>
      </c>
      <c r="N27" s="37">
        <f t="shared" ref="N27:P27" si="3">SUM(N16:N26)</f>
        <v>55158.13</v>
      </c>
      <c r="O27" s="37">
        <f t="shared" si="3"/>
        <v>89000000</v>
      </c>
      <c r="P27" s="37">
        <f t="shared" si="3"/>
        <v>0</v>
      </c>
    </row>
    <row r="28" spans="1:16" s="22" customFormat="1" x14ac:dyDescent="0.2"/>
    <row r="29" spans="1:16" s="25" customFormat="1" x14ac:dyDescent="0.2">
      <c r="A29" s="24" t="s">
        <v>361</v>
      </c>
    </row>
    <row r="30" spans="1:16" s="22" customFormat="1" x14ac:dyDescent="0.2">
      <c r="A30" s="32" t="s">
        <v>362</v>
      </c>
      <c r="B30" s="33">
        <v>57393587.789999999</v>
      </c>
      <c r="C30" s="33">
        <v>50645120.630000003</v>
      </c>
      <c r="D30" s="62">
        <v>1235314440.5699999</v>
      </c>
      <c r="E30" s="62">
        <v>143263032.65000001</v>
      </c>
      <c r="F30" s="62">
        <v>21462761.59</v>
      </c>
      <c r="G30" s="62">
        <v>25419291.300000001</v>
      </c>
      <c r="H30" s="62">
        <v>54435243.5</v>
      </c>
      <c r="I30" s="62">
        <v>277365523.56</v>
      </c>
      <c r="J30" s="62">
        <v>59278099.32</v>
      </c>
      <c r="K30" s="62">
        <v>235264312.06</v>
      </c>
      <c r="L30" s="62">
        <v>234074735.74000001</v>
      </c>
      <c r="M30" s="63">
        <f>IFERROR(ABS(INDEX(CashIntraTable[Amount],MATCH($A$3&amp;M$5&amp;$A54,CashIntraTable[RefRng],0))),0)</f>
        <v>231112718.41999999</v>
      </c>
      <c r="N30" s="62">
        <f>IFERROR(ABS(INDEX(CashIntraTable[Amount],MATCH($A$3&amp;N$5&amp;$A54,CashIntraTable[RefRng],0))),0)</f>
        <v>0</v>
      </c>
      <c r="O30" s="62">
        <f>IFERROR(ABS(INDEX(CashIntraTable[Amount],MATCH($A$3&amp;O$5&amp;$A54,CashIntraTable[RefRng],0))),0)</f>
        <v>0</v>
      </c>
      <c r="P30" s="62">
        <f>IFERROR(ABS(INDEX(CashIntraTable[Amount],MATCH($A$3&amp;P$5&amp;$A54,CashIntraTable[RefRng],0))),0)</f>
        <v>0</v>
      </c>
    </row>
    <row r="31" spans="1:16" s="22" customFormat="1" x14ac:dyDescent="0.2">
      <c r="A31" s="32" t="s">
        <v>363</v>
      </c>
      <c r="B31" s="33">
        <v>255009.36</v>
      </c>
      <c r="C31" s="33">
        <v>201000</v>
      </c>
      <c r="D31" s="62">
        <v>1070501.81</v>
      </c>
      <c r="E31" s="62">
        <v>864290.59</v>
      </c>
      <c r="F31" s="62">
        <v>514000</v>
      </c>
      <c r="G31" s="62">
        <v>0</v>
      </c>
      <c r="H31" s="62">
        <v>5000</v>
      </c>
      <c r="I31" s="62">
        <v>55037.27</v>
      </c>
      <c r="J31" s="62">
        <v>868241.74</v>
      </c>
      <c r="K31" s="62">
        <v>5000</v>
      </c>
      <c r="L31" s="62">
        <v>760000</v>
      </c>
      <c r="M31" s="63">
        <f>IFERROR(ABS(INDEX(CashIntraTable[Amount],MATCH($A$3&amp;M$5&amp;$A55,CashIntraTable[RefRng],0))),0)</f>
        <v>232000</v>
      </c>
      <c r="N31" s="62">
        <f>IFERROR(ABS(INDEX(CashIntraTable[Amount],MATCH($A$3&amp;N$5&amp;$A55,CashIntraTable[RefRng],0))),0)</f>
        <v>0</v>
      </c>
      <c r="O31" s="62">
        <f>IFERROR(ABS(INDEX(CashIntraTable[Amount],MATCH($A$3&amp;O$5&amp;$A55,CashIntraTable[RefRng],0))),0)</f>
        <v>0</v>
      </c>
      <c r="P31" s="62">
        <f>IFERROR(ABS(INDEX(CashIntraTable[Amount],MATCH($A$3&amp;P$5&amp;$A55,CashIntraTable[RefRng],0))),0)</f>
        <v>0</v>
      </c>
    </row>
    <row r="32" spans="1:16" s="22" customFormat="1" x14ac:dyDescent="0.2">
      <c r="A32" s="26" t="s">
        <v>364</v>
      </c>
      <c r="B32" s="33">
        <v>569733661.33000004</v>
      </c>
      <c r="C32" s="33">
        <v>0</v>
      </c>
      <c r="D32" s="33">
        <v>846718364.39999998</v>
      </c>
      <c r="E32" s="33">
        <v>0</v>
      </c>
      <c r="F32" s="33">
        <v>794660683</v>
      </c>
      <c r="G32" s="33">
        <v>0</v>
      </c>
      <c r="H32" s="33">
        <v>505187480.48000002</v>
      </c>
      <c r="I32" s="33">
        <v>0</v>
      </c>
      <c r="J32" s="33">
        <v>0</v>
      </c>
      <c r="K32" s="33">
        <v>969582872.34000003</v>
      </c>
      <c r="L32" s="33">
        <v>249027209.74000001</v>
      </c>
      <c r="M32" s="33">
        <f>IFERROR(INDEX(CashProjTable[DebtBuy_BahtNet],MATCH($A$3&amp;M$5,CashProjTable[RefRng],0))+SUMIFS(IntraTrans[Net Settlement],IntraTrans[Portfolio],$A$3,IntraTrans[B/S],"B",IntraTrans[Settle Date],M$5,IntraTrans[Payment],"BAHTNET"),0)</f>
        <v>0</v>
      </c>
      <c r="N32" s="33">
        <f>IFERROR(INDEX(CashProjTable[DebtBuy_BahtNet],MATCH($A$3&amp;N$5,CashProjTable[RefRng],0))+SUMIFS(IntraTrans[Net Settlement],IntraTrans[Portfolio],$A$3,IntraTrans[B/S],"B",IntraTrans[Settle Date],N$5,IntraTrans[Payment],"BAHTNET"),0)</f>
        <v>0</v>
      </c>
      <c r="O32" s="33">
        <f>IFERROR(INDEX(CashProjTable[DebtBuy_BahtNet],MATCH($A$3&amp;O$5,CashProjTable[RefRng],0))+SUMIFS(IntraTrans[Net Settlement],IntraTrans[Portfolio],$A$3,IntraTrans[B/S],"B",IntraTrans[Settle Date],O$5,IntraTrans[Payment],"BAHTNET"),0)</f>
        <v>0</v>
      </c>
      <c r="P32" s="33">
        <f>IFERROR(INDEX(CashProjTable[DebtBuy_BahtNet],MATCH($A$3&amp;P$5,CashProjTable[RefRng],0))+SUMIFS(IntraTrans[Net Settlement],IntraTrans[Portfolio],$A$3,IntraTrans[B/S],"B",IntraTrans[Settle Date],P$5,IntraTrans[Payment],"BAHTNET"),0)</f>
        <v>0</v>
      </c>
    </row>
    <row r="33" spans="1:33" s="22" customFormat="1" x14ac:dyDescent="0.2">
      <c r="A33" s="26" t="s">
        <v>365</v>
      </c>
      <c r="B33" s="33">
        <v>0</v>
      </c>
      <c r="C33" s="33">
        <v>0</v>
      </c>
      <c r="D33" s="33">
        <v>0</v>
      </c>
      <c r="E33" s="33">
        <v>0</v>
      </c>
      <c r="F33" s="33">
        <v>0</v>
      </c>
      <c r="G33" s="33">
        <v>0</v>
      </c>
      <c r="H33" s="33">
        <v>0</v>
      </c>
      <c r="I33" s="33">
        <v>0</v>
      </c>
      <c r="J33" s="33">
        <v>0</v>
      </c>
      <c r="K33" s="33">
        <v>0</v>
      </c>
      <c r="L33" s="33">
        <v>0</v>
      </c>
      <c r="M33" s="33">
        <f>IFERROR((INDEX(CashProjTable[DebtBuy],MATCH($A$3&amp;M$5,CashProjTable[RefRng],0))-INDEX(CashProjTable[DebtBuy_BahtNet],MATCH($A$3&amp;M$5,CashProjTable[RefRng],0)))+SUMIFS(IntraTrans[Net Settlement],IntraTrans[Portfolio],$A$3,IntraTrans[B/S],"B",IntraTrans[Settle Date],M$5,IntraTrans[Payment],"CHEQUE"),0)</f>
        <v>0</v>
      </c>
      <c r="N33" s="33">
        <f>IFERROR((INDEX(CashProjTable[DebtBuy],MATCH($A$3&amp;N$5,CashProjTable[RefRng],0))-INDEX(CashProjTable[DebtBuy_BahtNet],MATCH($A$3&amp;N$5,CashProjTable[RefRng],0)))+SUMIFS(IntraTrans[Net Settlement],IntraTrans[Portfolio],$A$3,IntraTrans[B/S],"B",IntraTrans[Settle Date],N$5,IntraTrans[Payment],"CHEQUE"),0)</f>
        <v>0</v>
      </c>
      <c r="O33" s="33">
        <f>IFERROR((INDEX(CashProjTable[DebtBuy],MATCH($A$3&amp;O$5,CashProjTable[RefRng],0))-INDEX(CashProjTable[DebtBuy_BahtNet],MATCH($A$3&amp;O$5,CashProjTable[RefRng],0)))+SUMIFS(IntraTrans[Net Settlement],IntraTrans[Portfolio],$A$3,IntraTrans[B/S],"B",IntraTrans[Settle Date],O$5,IntraTrans[Payment],"CHEQUE"),0)</f>
        <v>0</v>
      </c>
      <c r="P33" s="33">
        <f>IFERROR((INDEX(CashProjTable[DebtBuy],MATCH($A$3&amp;P$5,CashProjTable[RefRng],0))-INDEX(CashProjTable[DebtBuy_BahtNet],MATCH($A$3&amp;P$5,CashProjTable[RefRng],0)))+SUMIFS(IntraTrans[Net Settlement],IntraTrans[Portfolio],$A$3,IntraTrans[B/S],"B",IntraTrans[Settle Date],P$5,IntraTrans[Payment],"CHEQUE"),0)</f>
        <v>0</v>
      </c>
    </row>
    <row r="34" spans="1:33" s="22" customFormat="1" x14ac:dyDescent="0.2">
      <c r="A34" s="26" t="s">
        <v>355</v>
      </c>
      <c r="B34" s="33">
        <v>0</v>
      </c>
      <c r="C34" s="33">
        <v>0</v>
      </c>
      <c r="D34" s="33">
        <v>5000000</v>
      </c>
      <c r="E34" s="33">
        <v>0</v>
      </c>
      <c r="F34" s="33">
        <v>43000000</v>
      </c>
      <c r="G34" s="33">
        <v>70000000</v>
      </c>
      <c r="H34" s="33">
        <v>120000000</v>
      </c>
      <c r="I34" s="33">
        <v>0</v>
      </c>
      <c r="J34" s="33">
        <v>0</v>
      </c>
      <c r="K34" s="33">
        <v>0</v>
      </c>
      <c r="L34" s="33">
        <v>90000000</v>
      </c>
      <c r="M34" s="33">
        <f>IF(M$10&gt;0,M$10,0)+INDEX(CashProjTable[CashEqBuy_BahtNet],MATCH($A$3&amp;M$5,CashProjTable[RefRng],0))</f>
        <v>0</v>
      </c>
      <c r="N34" s="33">
        <f>IF(N$10&gt;0,N$10,0)+INDEX(CashProjTable[CashEqBuy_BahtNet],MATCH($A$3&amp;N$5,CashProjTable[RefRng],0))</f>
        <v>0</v>
      </c>
      <c r="O34" s="33">
        <f>IF(O$10&gt;0,O$10,0)+INDEX(CashProjTable[CashEqBuy_BahtNet],MATCH($A$3&amp;O$5,CashProjTable[RefRng],0))</f>
        <v>0</v>
      </c>
      <c r="P34" s="33">
        <f>IF(P$10&gt;0,P$10,0)+INDEX(CashProjTable[CashEqBuy_BahtNet],MATCH($A$3&amp;P$5,CashProjTable[RefRng],0))</f>
        <v>0</v>
      </c>
    </row>
    <row r="35" spans="1:33" s="22" customFormat="1" x14ac:dyDescent="0.2">
      <c r="A35" s="26" t="s">
        <v>356</v>
      </c>
      <c r="B35" s="33">
        <v>0</v>
      </c>
      <c r="C35" s="33">
        <v>0</v>
      </c>
      <c r="D35" s="33">
        <v>0</v>
      </c>
      <c r="E35" s="33">
        <v>0</v>
      </c>
      <c r="F35" s="33">
        <v>0</v>
      </c>
      <c r="G35" s="33">
        <v>0</v>
      </c>
      <c r="H35" s="33">
        <v>0</v>
      </c>
      <c r="I35" s="33">
        <v>0</v>
      </c>
      <c r="J35" s="33">
        <v>0</v>
      </c>
      <c r="K35" s="33">
        <v>0</v>
      </c>
      <c r="L35" s="33">
        <v>0</v>
      </c>
      <c r="M35" s="33">
        <v>0</v>
      </c>
      <c r="N35" s="33">
        <v>0</v>
      </c>
      <c r="O35" s="33">
        <v>0</v>
      </c>
      <c r="P35" s="33">
        <v>0</v>
      </c>
    </row>
    <row r="36" spans="1:33" s="22" customFormat="1" x14ac:dyDescent="0.2">
      <c r="A36" s="26" t="s">
        <v>366</v>
      </c>
      <c r="B36" s="33">
        <v>0</v>
      </c>
      <c r="C36" s="33">
        <v>0</v>
      </c>
      <c r="D36" s="33">
        <v>0</v>
      </c>
      <c r="E36" s="33">
        <v>0</v>
      </c>
      <c r="F36" s="33">
        <v>0</v>
      </c>
      <c r="G36" s="33">
        <v>0</v>
      </c>
      <c r="H36" s="33">
        <v>0</v>
      </c>
      <c r="I36" s="33">
        <v>0</v>
      </c>
      <c r="J36" s="33">
        <v>0</v>
      </c>
      <c r="K36" s="33">
        <v>0</v>
      </c>
      <c r="L36" s="33">
        <v>0</v>
      </c>
      <c r="M36" s="33">
        <f>IFERROR(INDEX(CashProjTable[Expense],MATCH($A$3&amp;M$5,CashProjTable[RefRng],0)),0)</f>
        <v>0</v>
      </c>
      <c r="N36" s="33">
        <f>IFERROR(INDEX(CashProjTable[Expense],MATCH($A$3&amp;N$5,CashProjTable[RefRng],0)),0)</f>
        <v>0</v>
      </c>
      <c r="O36" s="33">
        <f>IFERROR(INDEX(CashProjTable[Expense],MATCH($A$3&amp;O$5,CashProjTable[RefRng],0)),0)</f>
        <v>0</v>
      </c>
      <c r="P36" s="33">
        <f>IFERROR(INDEX(CashProjTable[Expense],MATCH($A$3&amp;P$5,CashProjTable[RefRng],0)),0)</f>
        <v>0</v>
      </c>
    </row>
    <row r="37" spans="1:33" s="36" customFormat="1" x14ac:dyDescent="0.2">
      <c r="A37" s="34" t="s">
        <v>359</v>
      </c>
      <c r="B37" s="35"/>
      <c r="C37" s="35"/>
      <c r="D37" s="35"/>
      <c r="E37" s="35"/>
      <c r="F37" s="35"/>
      <c r="G37" s="35"/>
      <c r="H37" s="35"/>
      <c r="I37" s="35"/>
      <c r="J37" s="35"/>
      <c r="K37" s="35"/>
      <c r="L37" s="35"/>
      <c r="M37" s="35"/>
      <c r="N37" s="35"/>
      <c r="O37" s="35"/>
      <c r="P37" s="35"/>
    </row>
    <row r="38" spans="1:33" s="38" customFormat="1" ht="13.5" thickBot="1" x14ac:dyDescent="0.25">
      <c r="A38" s="28" t="s">
        <v>367</v>
      </c>
      <c r="B38" s="37">
        <v>627382258.48000002</v>
      </c>
      <c r="C38" s="37">
        <v>50846120.630000003</v>
      </c>
      <c r="D38" s="37">
        <v>2088103306.7799997</v>
      </c>
      <c r="E38" s="37">
        <v>144127323.24000001</v>
      </c>
      <c r="F38" s="37">
        <v>859637444.59000003</v>
      </c>
      <c r="G38" s="37">
        <v>95419291.299999997</v>
      </c>
      <c r="H38" s="37">
        <v>679627723.98000002</v>
      </c>
      <c r="I38" s="37">
        <v>277420560.82999998</v>
      </c>
      <c r="J38" s="37">
        <v>60146341.060000002</v>
      </c>
      <c r="K38" s="37">
        <v>1204852184.4000001</v>
      </c>
      <c r="L38" s="37">
        <v>573861945.48000002</v>
      </c>
      <c r="M38" s="37">
        <f t="shared" ref="L38:O38" si="4">SUM(M30:M37)</f>
        <v>231344718.41999999</v>
      </c>
      <c r="N38" s="37">
        <f t="shared" ref="N38:P38" si="5">SUM(N30:N37)</f>
        <v>0</v>
      </c>
      <c r="O38" s="37">
        <f t="shared" si="5"/>
        <v>0</v>
      </c>
      <c r="P38" s="37">
        <f t="shared" si="5"/>
        <v>0</v>
      </c>
    </row>
    <row r="39" spans="1:33" s="22" customFormat="1" x14ac:dyDescent="0.2"/>
    <row r="40" spans="1:33" s="25" customFormat="1" x14ac:dyDescent="0.2">
      <c r="A40" s="24" t="s">
        <v>839</v>
      </c>
    </row>
    <row r="41" spans="1:33" s="22" customFormat="1" x14ac:dyDescent="0.2">
      <c r="A41" s="26" t="s">
        <v>369</v>
      </c>
      <c r="B41" s="33">
        <v>2268842.1200000048</v>
      </c>
      <c r="C41" s="33">
        <v>2607276.799999997</v>
      </c>
      <c r="D41" s="33">
        <v>2240876.4000003338</v>
      </c>
      <c r="E41" s="33">
        <v>3439390.3399999738</v>
      </c>
      <c r="F41" s="33">
        <v>3146000.8600000143</v>
      </c>
      <c r="G41" s="33">
        <v>2104266.150000006</v>
      </c>
      <c r="H41" s="33">
        <v>4770677.4600000381</v>
      </c>
      <c r="I41" s="33">
        <v>2870150.4500000477</v>
      </c>
      <c r="J41" s="33">
        <v>1590595.349999994</v>
      </c>
      <c r="K41" s="33">
        <v>2447077.8999998569</v>
      </c>
      <c r="L41" s="33">
        <f t="shared" ref="K41:P41" ca="1" si="6">L$6+L$27-L$38</f>
        <v>22208429.039999962</v>
      </c>
      <c r="M41" s="33">
        <f t="shared" ca="1" si="6"/>
        <v>3626721.7799999714</v>
      </c>
      <c r="N41" s="33">
        <f t="shared" ca="1" si="6"/>
        <v>3681879.9099999713</v>
      </c>
      <c r="O41" s="33">
        <f t="shared" ca="1" si="6"/>
        <v>92681879.909999967</v>
      </c>
      <c r="P41" s="33">
        <f t="shared" ca="1" si="6"/>
        <v>92681879.909999967</v>
      </c>
    </row>
    <row r="42" spans="1:33" s="22" customFormat="1" x14ac:dyDescent="0.2">
      <c r="A42" s="26" t="s">
        <v>853</v>
      </c>
      <c r="B42" s="33">
        <v>2268790.71</v>
      </c>
      <c r="C42" s="33">
        <v>12261472.810000001</v>
      </c>
      <c r="D42" s="33">
        <v>2189118.65</v>
      </c>
      <c r="E42" s="33">
        <v>0</v>
      </c>
      <c r="F42" s="33">
        <v>3146000.86</v>
      </c>
      <c r="G42" s="33">
        <f>IFERROR(INDEX(CashProjTable[CashBal],MATCH($A$3&amp;G$5,CashProjTable[RefRng],0)),0)</f>
        <v>0</v>
      </c>
      <c r="H42" s="33">
        <v>4770679.4400000004</v>
      </c>
      <c r="I42" s="33">
        <v>2865348.19</v>
      </c>
      <c r="J42" s="33">
        <v>1590572.52</v>
      </c>
      <c r="K42" s="33">
        <f>IFERROR(INDEX(CashProjTable[CashBal],MATCH($A$3&amp;K$5,CashProjTable[RefRng],0)),0)</f>
        <v>2440005.86</v>
      </c>
      <c r="L42" s="33">
        <f>IFERROR(INDEX(CashProjTable[CashBal],MATCH($A$3&amp;L$5,CashProjTable[RefRng],0)),0)</f>
        <v>223366012.11000001</v>
      </c>
      <c r="M42" s="33">
        <f>IFERROR(INDEX(CashProjTable[CashBal],MATCH($A$3&amp;M$5,CashProjTable[RefRng],0)),0)</f>
        <v>223366012.11000001</v>
      </c>
      <c r="N42" s="33">
        <f>IFERROR(INDEX(CashProjTable[CashBal],MATCH($A$3&amp;N$5,CashProjTable[RefRng],0)),0)</f>
        <v>223366012.11000001</v>
      </c>
      <c r="O42" s="33">
        <f>IFERROR(INDEX(CashProjTable[CashBal],MATCH($A$3&amp;O$5,CashProjTable[RefRng],0)),0)</f>
        <v>312366012.11000001</v>
      </c>
      <c r="P42" s="33">
        <f>IFERROR(INDEX(CashProjTable[CashBal],MATCH($A$3&amp;P$5,CashProjTable[RefRng],0)),0)</f>
        <v>312366012.11000001</v>
      </c>
    </row>
    <row r="43" spans="1:33" s="41" customFormat="1" x14ac:dyDescent="0.2">
      <c r="A43" s="39" t="s">
        <v>370</v>
      </c>
      <c r="B43" s="40">
        <v>-51.410000004805624</v>
      </c>
      <c r="C43" s="40">
        <v>9654196.0100000035</v>
      </c>
      <c r="D43" s="40">
        <v>-51757.750000333879</v>
      </c>
      <c r="E43" s="40">
        <v>78773003.230000019</v>
      </c>
      <c r="F43" s="40">
        <v>25590078.860000085</v>
      </c>
      <c r="G43" s="40">
        <v>1041734.7099999897</v>
      </c>
      <c r="H43" s="40">
        <v>911597.53999994975</v>
      </c>
      <c r="I43" s="40">
        <v>1900528.9899999574</v>
      </c>
      <c r="J43" s="40">
        <v>1274752.8400000064</v>
      </c>
      <c r="K43" s="40">
        <v>312384.3299999889</v>
      </c>
      <c r="L43" s="40">
        <v>11214045.370000035</v>
      </c>
      <c r="M43" s="40">
        <f t="shared" ref="M43:O43" ca="1" si="7">M42-M41</f>
        <v>219739290.33000004</v>
      </c>
      <c r="N43" s="40">
        <f t="shared" ref="N43:P43" ca="1" si="8">N42-N41</f>
        <v>219684132.20000005</v>
      </c>
      <c r="O43" s="40">
        <f t="shared" ca="1" si="8"/>
        <v>219684132.20000005</v>
      </c>
      <c r="P43" s="40">
        <f t="shared" ca="1" si="8"/>
        <v>219684132.20000005</v>
      </c>
    </row>
    <row r="44" spans="1:33" s="22" customFormat="1" x14ac:dyDescent="0.2">
      <c r="A44" s="26" t="s">
        <v>854</v>
      </c>
      <c r="B44" s="44">
        <v>13306514864.389999</v>
      </c>
      <c r="C44" s="33">
        <v>13270233390.68</v>
      </c>
      <c r="D44" s="33">
        <v>12047655995.77</v>
      </c>
      <c r="E44" s="33">
        <v>11954249077.66</v>
      </c>
      <c r="F44" s="33">
        <v>11972025719.51</v>
      </c>
      <c r="G44" s="33">
        <v>12042391538.5</v>
      </c>
      <c r="H44" s="33">
        <v>12218602881.189999</v>
      </c>
      <c r="I44" s="33">
        <v>12046070457.630001</v>
      </c>
      <c r="J44" s="33">
        <v>11992186690.68</v>
      </c>
      <c r="K44" s="33">
        <v>11803726071.250002</v>
      </c>
      <c r="L44" s="33">
        <v>11693279360.700001</v>
      </c>
      <c r="M44" s="33">
        <f t="shared" ref="M44" ca="1" si="9">IF(M$5&gt;TODAY(),L44,L45)+SUM(M16:M19)-SUM(M30:M31)</f>
        <v>11523781108.25</v>
      </c>
      <c r="N44" s="33">
        <f t="shared" ref="N44" ca="1" si="10">IF(N$5&gt;TODAY(),M44,M45)+SUM(N16:N19)-SUM(N30:N31)</f>
        <v>11523836266.379999</v>
      </c>
      <c r="O44" s="33">
        <f t="shared" ref="O44" ca="1" si="11">IF(O$5&gt;TODAY(),N44,N45)+SUM(O16:O19)-SUM(O30:O31)</f>
        <v>11523836266.379999</v>
      </c>
      <c r="P44" s="33">
        <f t="shared" ref="P44" ca="1" si="12">IF(P$5&gt;TODAY(),O44,O45)+SUM(P16:P19)-SUM(P30:P31)</f>
        <v>11523836266.379999</v>
      </c>
    </row>
    <row r="45" spans="1:33" s="22" customFormat="1" x14ac:dyDescent="0.2">
      <c r="A45" s="26" t="s">
        <v>855</v>
      </c>
      <c r="B45" s="33">
        <v>13306887586.689999</v>
      </c>
      <c r="C45" s="33">
        <v>13270612842.33</v>
      </c>
      <c r="D45" s="33">
        <v>12048022080.889999</v>
      </c>
      <c r="E45" s="33">
        <v>11954615798.370001</v>
      </c>
      <c r="F45" s="33">
        <v>11973433273.209999</v>
      </c>
      <c r="G45" s="33">
        <f>[1]!SCBAM_GetGroup1Dtl($A$3,"NET ASSET VALUE",G$5,"MarketVal")+[1]!SCBAM_GetGroup1Dtl($A$3,"NET ASSET VALUE",G$5,"ai")</f>
        <v>12042748907.189999</v>
      </c>
      <c r="H45" s="33">
        <v>12218970986.620001</v>
      </c>
      <c r="I45" s="33">
        <v>12046461443.52</v>
      </c>
      <c r="J45" s="33">
        <v>11993257027.380001</v>
      </c>
      <c r="K45" s="33">
        <f>[1]!SCBAM_GetGroup1Dtl($A$3,"NET ASSET VALUE",K$5,"MarketVal")+[1]!SCBAM_GetGroup1Dtl($A$3,"NET ASSET VALUE",K$5,"ai")</f>
        <v>11804436943.77</v>
      </c>
      <c r="L45" s="33">
        <f>[1]!SCBAM_GetGroup1Dtl($A$3,"NET ASSET VALUE",L$5,"MarketVal")+[1]!SCBAM_GetGroup1Dtl($A$3,"NET ASSET VALUE",L$5,"ai")</f>
        <v>0</v>
      </c>
      <c r="M45" s="33">
        <f>[1]!SCBAM_GetGroup1Dtl($A$3,"NET ASSET VALUE",M$5,"MarketVal")+[1]!SCBAM_GetGroup1Dtl($A$3,"NET ASSET VALUE",M$5,"ai")</f>
        <v>0</v>
      </c>
      <c r="N45" s="33">
        <f>[1]!SCBAM_GetGroup1Dtl($A$3,"NET ASSET VALUE",N$5,"MarketVal")+[1]!SCBAM_GetGroup1Dtl($A$3,"NET ASSET VALUE",N$5,"ai")</f>
        <v>0</v>
      </c>
      <c r="O45" s="33">
        <f>[1]!SCBAM_GetGroup1Dtl($A$3,"NET ASSET VALUE",O$5,"MarketVal")+[1]!SCBAM_GetGroup1Dtl($A$3,"NET ASSET VALUE",O$5,"ai")</f>
        <v>0</v>
      </c>
      <c r="P45" s="33">
        <f>[1]!SCBAM_GetGroup1Dtl($A$3,"NET ASSET VALUE",P$5,"MarketVal")+[1]!SCBAM_GetGroup1Dtl($A$3,"NET ASSET VALUE",P$5,"ai")</f>
        <v>0</v>
      </c>
    </row>
    <row r="46" spans="1:33" s="21" customFormat="1" x14ac:dyDescent="0.2">
      <c r="A46" s="19" t="s">
        <v>840</v>
      </c>
      <c r="B46" s="20">
        <v>-36654196.010000005</v>
      </c>
      <c r="C46" s="20">
        <v>-1222956846.5</v>
      </c>
      <c r="D46" s="20">
        <v>-93773003.230000019</v>
      </c>
      <c r="E46" s="20">
        <v>4937020.25</v>
      </c>
      <c r="F46" s="20">
        <v>68958265.290000007</v>
      </c>
      <c r="G46" s="20">
        <v>521330.63</v>
      </c>
      <c r="H46" s="20">
        <v>-172900528.98999998</v>
      </c>
      <c r="I46" s="20">
        <v>-54274752.840000004</v>
      </c>
      <c r="J46" s="20">
        <v>-189530956.13</v>
      </c>
      <c r="K46" s="20">
        <v>-111157583.07000001</v>
      </c>
      <c r="L46" s="20">
        <f t="shared" ref="L46:M46" si="13">SUM(M16:M19)-SUM(M30:M31)</f>
        <v>-169498252.44999999</v>
      </c>
      <c r="M46" s="20">
        <f t="shared" si="13"/>
        <v>55158.13</v>
      </c>
      <c r="N46" s="20">
        <f t="shared" ref="N46" si="14">SUM(O16:O19)-SUM(O30:O31)</f>
        <v>0</v>
      </c>
      <c r="O46" s="20">
        <f t="shared" ref="O46" si="15">SUM(P16:P19)-SUM(P30:P31)</f>
        <v>0</v>
      </c>
      <c r="P46" s="20">
        <f t="shared" ref="P46" si="16">SUM(Q16:Q19)-SUM(Q30:Q31)</f>
        <v>0</v>
      </c>
    </row>
    <row r="47" spans="1:33" s="47" customFormat="1" x14ac:dyDescent="0.2">
      <c r="A47" s="45" t="s">
        <v>371</v>
      </c>
      <c r="B47" s="48">
        <v>1.7050133663632793E-4</v>
      </c>
      <c r="C47" s="48">
        <v>1.9646996193600219E-4</v>
      </c>
      <c r="D47" s="48">
        <v>1.8599537624974189E-4</v>
      </c>
      <c r="E47" s="48">
        <v>2.877127887880032E-4</v>
      </c>
      <c r="F47" s="48">
        <v>2.6274843549168518E-4</v>
      </c>
      <c r="G47" s="48">
        <v>2.2997379649598833E-3</v>
      </c>
      <c r="H47" s="48">
        <v>4.8988194953243636E-4</v>
      </c>
      <c r="I47" s="48">
        <v>-4.3984323117120753E-3</v>
      </c>
      <c r="J47" s="48">
        <v>2.9151702605805267E-4</v>
      </c>
      <c r="K47" s="48">
        <v>2.5162321643791346E-4</v>
      </c>
      <c r="L47" s="48">
        <v>1.7252369731969124E-2</v>
      </c>
      <c r="M47" s="48">
        <f t="shared" ref="M47:O47" ca="1" si="17">M41/IF(M5&lt;TODAY(),M45,M44)</f>
        <v>3.1471630239518885E-4</v>
      </c>
      <c r="N47" s="48">
        <f t="shared" ref="N47:P47" ca="1" si="18">N41/IF(N5&lt;TODAY(),N45,N44)</f>
        <v>3.1950123421499861E-4</v>
      </c>
      <c r="O47" s="48">
        <f t="shared" ca="1" si="18"/>
        <v>8.0426238075243205E-3</v>
      </c>
      <c r="P47" s="48">
        <f t="shared" ca="1" si="18"/>
        <v>8.0426238075243205E-3</v>
      </c>
      <c r="Q47" s="46"/>
      <c r="R47" s="46"/>
      <c r="S47" s="46"/>
      <c r="T47" s="46"/>
      <c r="U47" s="46"/>
      <c r="V47" s="46"/>
      <c r="W47" s="46"/>
      <c r="X47" s="46"/>
      <c r="Y47" s="46"/>
      <c r="Z47" s="46"/>
      <c r="AA47" s="46"/>
      <c r="AB47" s="46"/>
      <c r="AC47" s="46"/>
      <c r="AD47" s="46"/>
      <c r="AE47" s="46"/>
      <c r="AF47" s="46"/>
      <c r="AG47" s="46"/>
    </row>
    <row r="48" spans="1:33" s="42" customFormat="1" x14ac:dyDescent="0.2">
      <c r="A48" s="42" t="s">
        <v>372</v>
      </c>
      <c r="B48" s="43">
        <v>2268790.71</v>
      </c>
      <c r="C48" s="43">
        <v>12261472.810000001</v>
      </c>
      <c r="D48" s="43">
        <v>2189118.65</v>
      </c>
      <c r="E48" s="43">
        <v>82212393.569999993</v>
      </c>
      <c r="F48" s="43">
        <v>28736079.720000099</v>
      </c>
      <c r="G48" s="43">
        <v>28736079.720000099</v>
      </c>
      <c r="H48" s="43">
        <v>6897270.5399999497</v>
      </c>
      <c r="I48" s="43">
        <v>-51083296.540000103</v>
      </c>
      <c r="J48" s="43">
        <v>4770679.4400000004</v>
      </c>
      <c r="K48" s="43">
        <v>3282475.8499999698</v>
      </c>
      <c r="L48" s="43">
        <v>212950824.28</v>
      </c>
      <c r="M48" s="43">
        <f>IFERROR(INDEX(CashProjTable[CashForUse],MATCH($A$3&amp;M$5,CashProjTable[RefRng],0)),0)</f>
        <v>223366012.11000001</v>
      </c>
      <c r="N48" s="43">
        <f>IFERROR(INDEX(CashProjTable[CashForUse],MATCH($A$3&amp;N$5,CashProjTable[RefRng],0)),0)</f>
        <v>223366012.11000001</v>
      </c>
      <c r="O48" s="43">
        <f>IFERROR(INDEX(CashProjTable[CashForUse],MATCH($A$3&amp;O$5,CashProjTable[RefRng],0)),0)</f>
        <v>312366012.11000001</v>
      </c>
      <c r="P48" s="43">
        <f>IFERROR(INDEX(CashProjTable[CashForUse],MATCH($A$3&amp;P$5,CashProjTable[RefRng],0)),0)</f>
        <v>312366012.11000001</v>
      </c>
    </row>
    <row r="49" spans="1:16" s="42" customFormat="1" x14ac:dyDescent="0.2">
      <c r="A49" s="42" t="s">
        <v>373</v>
      </c>
      <c r="B49" s="43">
        <v>2268790.71</v>
      </c>
      <c r="C49" s="43">
        <v>12261472.810000001</v>
      </c>
      <c r="D49" s="43">
        <v>2137401.0099999998</v>
      </c>
      <c r="E49" s="43">
        <v>82173604.25</v>
      </c>
      <c r="F49" s="43">
        <v>28736079.720000099</v>
      </c>
      <c r="G49" s="43">
        <v>28736079.720000099</v>
      </c>
      <c r="H49" s="43">
        <v>6897270.5399999497</v>
      </c>
      <c r="I49" s="43">
        <v>-51083296.540000103</v>
      </c>
      <c r="J49" s="43">
        <v>4770679.4400000004</v>
      </c>
      <c r="K49" s="43">
        <v>3282475.8499999698</v>
      </c>
      <c r="L49" s="43">
        <v>212950824.28</v>
      </c>
      <c r="M49" s="43">
        <f>IFERROR(INDEX(CashProjTable[CashForBahtNet],MATCH($A$3&amp;M$5,CashProjTable[RefRng],0)),0)</f>
        <v>223366012.11000001</v>
      </c>
      <c r="N49" s="43">
        <f>IFERROR(INDEX(CashProjTable[CashForBahtNet],MATCH($A$3&amp;N$5,CashProjTable[RefRng],0)),0)</f>
        <v>223366012.11000001</v>
      </c>
      <c r="O49" s="43">
        <f>IFERROR(INDEX(CashProjTable[CashForBahtNet],MATCH($A$3&amp;O$5,CashProjTable[RefRng],0)),0)</f>
        <v>312366012.11000001</v>
      </c>
      <c r="P49" s="43">
        <f>IFERROR(INDEX(CashProjTable[CashForBahtNet],MATCH($A$3&amp;P$5,CashProjTable[RefRng],0)),0)</f>
        <v>312366012.11000001</v>
      </c>
    </row>
    <row r="51" spans="1:16" x14ac:dyDescent="0.2">
      <c r="A51" s="11" t="s">
        <v>329</v>
      </c>
    </row>
    <row r="52" spans="1:16" x14ac:dyDescent="0.2">
      <c r="A52" s="11" t="s">
        <v>333</v>
      </c>
    </row>
    <row r="53" spans="1:16" x14ac:dyDescent="0.2">
      <c r="A53" s="11" t="s">
        <v>330</v>
      </c>
    </row>
    <row r="54" spans="1:16" x14ac:dyDescent="0.2">
      <c r="A54" s="11" t="s">
        <v>331</v>
      </c>
    </row>
    <row r="55" spans="1:16" x14ac:dyDescent="0.2">
      <c r="A55" s="11" t="s">
        <v>332</v>
      </c>
    </row>
  </sheetData>
  <conditionalFormatting sqref="D5">
    <cfRule type="cellIs" dxfId="254" priority="51" operator="equal">
      <formula>TODAY()</formula>
    </cfRule>
  </conditionalFormatting>
  <conditionalFormatting sqref="D10">
    <cfRule type="cellIs" dxfId="253" priority="50" operator="greaterThan">
      <formula>"&lt;0"</formula>
    </cfRule>
  </conditionalFormatting>
  <conditionalFormatting sqref="D11">
    <cfRule type="cellIs" dxfId="252" priority="49" operator="greaterThan">
      <formula>"&lt;0"</formula>
    </cfRule>
  </conditionalFormatting>
  <conditionalFormatting sqref="A5:C5 Q5:XFD5">
    <cfRule type="cellIs" dxfId="251" priority="62" operator="equal">
      <formula>TODAY()</formula>
    </cfRule>
  </conditionalFormatting>
  <conditionalFormatting sqref="B9:D9">
    <cfRule type="cellIs" dxfId="250" priority="61" operator="greaterThan">
      <formula>"&lt;0"</formula>
    </cfRule>
  </conditionalFormatting>
  <conditionalFormatting sqref="B10">
    <cfRule type="cellIs" dxfId="249" priority="60" operator="greaterThan">
      <formula>"&lt;0"</formula>
    </cfRule>
  </conditionalFormatting>
  <conditionalFormatting sqref="B11">
    <cfRule type="cellIs" dxfId="248" priority="59" operator="greaterThan">
      <formula>"&lt;0"</formula>
    </cfRule>
  </conditionalFormatting>
  <conditionalFormatting sqref="C10">
    <cfRule type="cellIs" dxfId="247" priority="58" operator="greaterThan">
      <formula>"&lt;0"</formula>
    </cfRule>
  </conditionalFormatting>
  <conditionalFormatting sqref="C11">
    <cfRule type="cellIs" dxfId="246" priority="57" operator="greaterThan">
      <formula>"&lt;0"</formula>
    </cfRule>
  </conditionalFormatting>
  <conditionalFormatting sqref="B7">
    <cfRule type="cellIs" dxfId="245" priority="56" operator="greaterThan">
      <formula>"&lt;0"</formula>
    </cfRule>
  </conditionalFormatting>
  <conditionalFormatting sqref="F5">
    <cfRule type="cellIs" dxfId="244" priority="40" operator="equal">
      <formula>TODAY()</formula>
    </cfRule>
  </conditionalFormatting>
  <conditionalFormatting sqref="F9">
    <cfRule type="cellIs" dxfId="243" priority="39" operator="greaterThan">
      <formula>"&lt;0"</formula>
    </cfRule>
  </conditionalFormatting>
  <conditionalFormatting sqref="F10">
    <cfRule type="cellIs" dxfId="242" priority="38" operator="greaterThan">
      <formula>"&lt;0"</formula>
    </cfRule>
  </conditionalFormatting>
  <conditionalFormatting sqref="F11">
    <cfRule type="cellIs" dxfId="241" priority="37" operator="greaterThan">
      <formula>"&lt;0"</formula>
    </cfRule>
  </conditionalFormatting>
  <conditionalFormatting sqref="E10">
    <cfRule type="cellIs" dxfId="240" priority="34" operator="greaterThan">
      <formula>"&lt;0"</formula>
    </cfRule>
  </conditionalFormatting>
  <conditionalFormatting sqref="E11">
    <cfRule type="cellIs" dxfId="239" priority="33" operator="greaterThan">
      <formula>"&lt;0"</formula>
    </cfRule>
  </conditionalFormatting>
  <conditionalFormatting sqref="E9">
    <cfRule type="cellIs" dxfId="238" priority="36" operator="greaterThan">
      <formula>"&lt;0"</formula>
    </cfRule>
  </conditionalFormatting>
  <conditionalFormatting sqref="E5">
    <cfRule type="cellIs" dxfId="237" priority="35" operator="equal">
      <formula>TODAY()</formula>
    </cfRule>
  </conditionalFormatting>
  <conditionalFormatting sqref="G10">
    <cfRule type="cellIs" dxfId="236" priority="30" operator="greaterThan">
      <formula>"&lt;0"</formula>
    </cfRule>
  </conditionalFormatting>
  <conditionalFormatting sqref="G11">
    <cfRule type="cellIs" dxfId="235" priority="29" operator="greaterThan">
      <formula>"&lt;0"</formula>
    </cfRule>
  </conditionalFormatting>
  <conditionalFormatting sqref="G9">
    <cfRule type="cellIs" dxfId="234" priority="32" operator="greaterThan">
      <formula>"&lt;0"</formula>
    </cfRule>
  </conditionalFormatting>
  <conditionalFormatting sqref="G5">
    <cfRule type="cellIs" dxfId="233" priority="31" operator="equal">
      <formula>TODAY()</formula>
    </cfRule>
  </conditionalFormatting>
  <conditionalFormatting sqref="H10">
    <cfRule type="cellIs" dxfId="232" priority="26" operator="greaterThan">
      <formula>"&lt;0"</formula>
    </cfRule>
  </conditionalFormatting>
  <conditionalFormatting sqref="H11">
    <cfRule type="cellIs" dxfId="231" priority="25" operator="greaterThan">
      <formula>"&lt;0"</formula>
    </cfRule>
  </conditionalFormatting>
  <conditionalFormatting sqref="H9">
    <cfRule type="cellIs" dxfId="230" priority="28" operator="greaterThan">
      <formula>"&lt;0"</formula>
    </cfRule>
  </conditionalFormatting>
  <conditionalFormatting sqref="H5">
    <cfRule type="cellIs" dxfId="229" priority="27" operator="equal">
      <formula>TODAY()</formula>
    </cfRule>
  </conditionalFormatting>
  <conditionalFormatting sqref="I10">
    <cfRule type="cellIs" dxfId="228" priority="22" operator="greaterThan">
      <formula>"&lt;0"</formula>
    </cfRule>
  </conditionalFormatting>
  <conditionalFormatting sqref="I11">
    <cfRule type="cellIs" dxfId="227" priority="21" operator="greaterThan">
      <formula>"&lt;0"</formula>
    </cfRule>
  </conditionalFormatting>
  <conditionalFormatting sqref="I9">
    <cfRule type="cellIs" dxfId="226" priority="24" operator="greaterThan">
      <formula>"&lt;0"</formula>
    </cfRule>
  </conditionalFormatting>
  <conditionalFormatting sqref="I5">
    <cfRule type="cellIs" dxfId="225" priority="23" operator="equal">
      <formula>TODAY()</formula>
    </cfRule>
  </conditionalFormatting>
  <conditionalFormatting sqref="J10">
    <cfRule type="cellIs" dxfId="224" priority="18" operator="greaterThan">
      <formula>"&lt;0"</formula>
    </cfRule>
  </conditionalFormatting>
  <conditionalFormatting sqref="J11">
    <cfRule type="cellIs" dxfId="223" priority="17" operator="greaterThan">
      <formula>"&lt;0"</formula>
    </cfRule>
  </conditionalFormatting>
  <conditionalFormatting sqref="J9">
    <cfRule type="cellIs" dxfId="222" priority="20" operator="greaterThan">
      <formula>"&lt;0"</formula>
    </cfRule>
  </conditionalFormatting>
  <conditionalFormatting sqref="J5">
    <cfRule type="cellIs" dxfId="221" priority="19" operator="equal">
      <formula>TODAY()</formula>
    </cfRule>
  </conditionalFormatting>
  <conditionalFormatting sqref="K10">
    <cfRule type="cellIs" dxfId="220" priority="14" operator="greaterThan">
      <formula>"&lt;0"</formula>
    </cfRule>
  </conditionalFormatting>
  <conditionalFormatting sqref="K11">
    <cfRule type="cellIs" dxfId="219" priority="13" operator="greaterThan">
      <formula>"&lt;0"</formula>
    </cfRule>
  </conditionalFormatting>
  <conditionalFormatting sqref="K9">
    <cfRule type="cellIs" dxfId="218" priority="16" operator="greaterThan">
      <formula>"&lt;0"</formula>
    </cfRule>
  </conditionalFormatting>
  <conditionalFormatting sqref="K5">
    <cfRule type="cellIs" dxfId="217" priority="15" operator="equal">
      <formula>TODAY()</formula>
    </cfRule>
  </conditionalFormatting>
  <conditionalFormatting sqref="L10">
    <cfRule type="cellIs" dxfId="216" priority="10" operator="greaterThan">
      <formula>"&lt;0"</formula>
    </cfRule>
  </conditionalFormatting>
  <conditionalFormatting sqref="L11">
    <cfRule type="cellIs" dxfId="215" priority="9" operator="greaterThan">
      <formula>"&lt;0"</formula>
    </cfRule>
  </conditionalFormatting>
  <conditionalFormatting sqref="L9">
    <cfRule type="cellIs" dxfId="214" priority="12" operator="greaterThan">
      <formula>"&lt;0"</formula>
    </cfRule>
  </conditionalFormatting>
  <conditionalFormatting sqref="L5">
    <cfRule type="cellIs" dxfId="213" priority="11" operator="equal">
      <formula>TODAY()</formula>
    </cfRule>
  </conditionalFormatting>
  <conditionalFormatting sqref="M10">
    <cfRule type="cellIs" dxfId="212" priority="6" operator="greaterThan">
      <formula>"&lt;0"</formula>
    </cfRule>
  </conditionalFormatting>
  <conditionalFormatting sqref="M11">
    <cfRule type="cellIs" dxfId="211" priority="5" operator="greaterThan">
      <formula>"&lt;0"</formula>
    </cfRule>
  </conditionalFormatting>
  <conditionalFormatting sqref="M9">
    <cfRule type="cellIs" dxfId="210" priority="8" operator="greaterThan">
      <formula>"&lt;0"</formula>
    </cfRule>
  </conditionalFormatting>
  <conditionalFormatting sqref="M5">
    <cfRule type="cellIs" dxfId="209" priority="7" operator="equal">
      <formula>TODAY()</formula>
    </cfRule>
  </conditionalFormatting>
  <conditionalFormatting sqref="N10:P10">
    <cfRule type="cellIs" dxfId="208" priority="2" operator="greaterThan">
      <formula>"&lt;0"</formula>
    </cfRule>
  </conditionalFormatting>
  <conditionalFormatting sqref="N11:P11">
    <cfRule type="cellIs" dxfId="207" priority="1" operator="greaterThan">
      <formula>"&lt;0"</formula>
    </cfRule>
  </conditionalFormatting>
  <conditionalFormatting sqref="N9:P9">
    <cfRule type="cellIs" dxfId="206" priority="4" operator="greaterThan">
      <formula>"&lt;0"</formula>
    </cfRule>
  </conditionalFormatting>
  <conditionalFormatting sqref="N5:P5">
    <cfRule type="cellIs" dxfId="205" priority="3" operator="equal">
      <formula>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6EE520-92D6-4324-8C2F-7FF8078D71DD}">
  <sheetPr codeName="Sheet13"/>
  <dimension ref="A1:AG55"/>
  <sheetViews>
    <sheetView tabSelected="1" zoomScale="90" zoomScaleNormal="90" workbookViewId="0">
      <pane xSplit="1" ySplit="6" topLeftCell="J10" activePane="bottomRight" state="frozen"/>
      <selection pane="topRight" activeCell="B1" sqref="B1"/>
      <selection pane="bottomLeft" activeCell="A7" sqref="A7"/>
      <selection pane="bottomRight" activeCell="M26" sqref="M26"/>
    </sheetView>
  </sheetViews>
  <sheetFormatPr defaultColWidth="9" defaultRowHeight="12.75" outlineLevelRow="1" x14ac:dyDescent="0.2"/>
  <cols>
    <col min="1" max="1" width="32" style="11" customWidth="1"/>
    <col min="2" max="16" width="18.75" style="11" customWidth="1"/>
    <col min="17" max="27" width="15.125" style="11" bestFit="1" customWidth="1"/>
    <col min="28" max="16384" width="9" style="11"/>
  </cols>
  <sheetData>
    <row r="1" spans="1:33" x14ac:dyDescent="0.2">
      <c r="A1" s="10" t="s">
        <v>340</v>
      </c>
    </row>
    <row r="2" spans="1:33" x14ac:dyDescent="0.2">
      <c r="A2" s="12">
        <f ca="1">[1]!SCBAM_PreviousBusinessDay(TODAY())</f>
        <v>43397</v>
      </c>
    </row>
    <row r="3" spans="1:33" x14ac:dyDescent="0.2">
      <c r="A3" s="13" t="s">
        <v>335</v>
      </c>
    </row>
    <row r="5" spans="1:33" s="18" customFormat="1" x14ac:dyDescent="0.2">
      <c r="A5" s="14" t="s">
        <v>341</v>
      </c>
      <c r="B5" s="15">
        <v>43382</v>
      </c>
      <c r="C5" s="15">
        <v>43383</v>
      </c>
      <c r="D5" s="15">
        <v>43384</v>
      </c>
      <c r="E5" s="15">
        <v>43385</v>
      </c>
      <c r="F5" s="15">
        <v>43389</v>
      </c>
      <c r="G5" s="15">
        <v>43390</v>
      </c>
      <c r="H5" s="15">
        <v>43391</v>
      </c>
      <c r="I5" s="15">
        <v>43392</v>
      </c>
      <c r="J5" s="15">
        <v>43395</v>
      </c>
      <c r="K5" s="15">
        <v>43397</v>
      </c>
      <c r="L5" s="15">
        <v>43398</v>
      </c>
      <c r="M5" s="15">
        <f>[1]!SCBAM_NextBusinessDay(L5)</f>
        <v>43399</v>
      </c>
      <c r="N5" s="15">
        <f>[1]!SCBAM_NextBusinessDay(M5)</f>
        <v>43402</v>
      </c>
      <c r="O5" s="15">
        <f>[1]!SCBAM_NextBusinessDay(N5)</f>
        <v>43403</v>
      </c>
      <c r="P5" s="15">
        <f>[1]!SCBAM_NextBusinessDay(O5)</f>
        <v>43404</v>
      </c>
      <c r="Q5" s="16"/>
      <c r="R5" s="16"/>
      <c r="S5" s="16"/>
      <c r="T5" s="16"/>
      <c r="U5" s="16"/>
      <c r="V5" s="16"/>
      <c r="W5" s="16"/>
      <c r="X5" s="16"/>
      <c r="Y5" s="16"/>
      <c r="Z5" s="16"/>
      <c r="AA5" s="16"/>
      <c r="AB5" s="17"/>
      <c r="AC5" s="17"/>
      <c r="AD5" s="17"/>
      <c r="AE5" s="17"/>
      <c r="AF5" s="17"/>
      <c r="AG5" s="17"/>
    </row>
    <row r="6" spans="1:33" s="21" customFormat="1" x14ac:dyDescent="0.2">
      <c r="A6" s="19" t="s">
        <v>342</v>
      </c>
      <c r="B6" s="20">
        <v>12733576.08</v>
      </c>
      <c r="C6" s="20">
        <v>8945803.4800000004</v>
      </c>
      <c r="D6" s="20">
        <v>3876174.24</v>
      </c>
      <c r="E6" s="20">
        <v>10446046.369999999</v>
      </c>
      <c r="F6" s="20">
        <v>4702615.62</v>
      </c>
      <c r="G6" s="20">
        <v>3016458.74</v>
      </c>
      <c r="H6" s="20">
        <v>7333557.5300000003</v>
      </c>
      <c r="I6" s="20">
        <v>10139399.869999999</v>
      </c>
      <c r="J6" s="20">
        <v>3780429.59</v>
      </c>
      <c r="K6" s="20">
        <v>5248615.75</v>
      </c>
      <c r="L6" s="20">
        <f ca="1">IF(AND(ISNUMBER(K41),ISNUMBER(K42)),IF(L5&lt;=TODAY(),K42,K41),INDEX(CashProjTable[CashBal],MATCH($A$3&amp;[1]!SCBAM_PreviousBusinessDay(L$5),CashProjTable[RefRng],0)))</f>
        <v>9904558.8399999999</v>
      </c>
      <c r="M6" s="20">
        <f ca="1">IF(AND(ISNUMBER(L41),ISNUMBER(L42)),IF(M5&lt;=TODAY(),L42,L41),INDEX(CashProjTable[CashBal],MATCH($A$3&amp;[1]!SCBAM_PreviousBusinessDay(M$5),CashProjTable[RefRng],0)))</f>
        <v>65914740.099999994</v>
      </c>
      <c r="N6" s="20">
        <f ca="1">IF(AND(ISNUMBER(M41),ISNUMBER(M42)),IF(N5&lt;=TODAY(),M42,M41),INDEX(CashProjTable[CashBal],MATCH($A$3&amp;[1]!SCBAM_PreviousBusinessDay(N$5),CashProjTable[RefRng],0)))</f>
        <v>62093060.430000067</v>
      </c>
      <c r="O6" s="20">
        <f ca="1">IF(AND(ISNUMBER(N41),ISNUMBER(N42)),IF(O5&lt;=TODAY(),N42,N41),INDEX(CashProjTable[CashBal],MATCH($A$3&amp;[1]!SCBAM_PreviousBusinessDay(O$5),CashProjTable[RefRng],0)))</f>
        <v>66478734.290000066</v>
      </c>
      <c r="P6" s="20">
        <f ca="1">IF(AND(ISNUMBER(O41),ISNUMBER(O42)),IF(P5&lt;=TODAY(),O42,O41),INDEX(CashProjTable[CashBal],MATCH($A$3&amp;[1]!SCBAM_PreviousBusinessDay(P$5),CashProjTable[RefRng],0)))</f>
        <v>66792399.040000066</v>
      </c>
    </row>
    <row r="7" spans="1:33" s="22" customFormat="1" x14ac:dyDescent="0.2">
      <c r="B7" s="23"/>
    </row>
    <row r="8" spans="1:33" s="25" customFormat="1" x14ac:dyDescent="0.2">
      <c r="A8" s="24" t="s">
        <v>343</v>
      </c>
    </row>
    <row r="9" spans="1:33" s="27" customFormat="1" x14ac:dyDescent="0.2">
      <c r="A9" s="26" t="s">
        <v>344</v>
      </c>
      <c r="B9" s="23">
        <v>47640424.210000001</v>
      </c>
      <c r="C9" s="23">
        <v>42640424.210000001</v>
      </c>
      <c r="D9" s="23">
        <v>132640424.21000001</v>
      </c>
      <c r="E9" s="23">
        <v>37640424.210000008</v>
      </c>
      <c r="F9" s="23">
        <v>37640424.210000008</v>
      </c>
      <c r="G9" s="23">
        <v>640424.21000000834</v>
      </c>
      <c r="H9" s="23">
        <v>640424.21000000834</v>
      </c>
      <c r="I9" s="23">
        <v>640424.21000000834</v>
      </c>
      <c r="J9" s="23">
        <v>640424.21000000834</v>
      </c>
      <c r="K9" s="23">
        <v>20640424.210000008</v>
      </c>
      <c r="L9" s="23">
        <v>10640424.210000008</v>
      </c>
      <c r="M9" s="23">
        <f>IF(ISNUMBER(L$5),L$11,[1]!SCBAM_GetSecDtl($A$3,"INVSUOBTtmf",M$5,"MarketVal"))</f>
        <v>10640424.210000008</v>
      </c>
      <c r="N9" s="23">
        <f>IF(ISNUMBER(M$5),M$11,[1]!SCBAM_GetSecDtl($A$3,"INVSUOBTtmf",N$5,"MarketVal"))</f>
        <v>10640424.210000008</v>
      </c>
      <c r="O9" s="23">
        <f>IF(ISNUMBER(N$5),N$11,[1]!SCBAM_GetSecDtl($A$3,"INVSUOBTtmf",O$5,"MarketVal"))</f>
        <v>10640424.210000008</v>
      </c>
      <c r="P9" s="23">
        <f>IF(ISNUMBER(O$5),O$11,[1]!SCBAM_GetSecDtl($A$3,"INVSUOBTtmf",P$5,"MarketVal"))</f>
        <v>10640424.210000008</v>
      </c>
    </row>
    <row r="10" spans="1:33" s="61" customFormat="1" ht="14.25" x14ac:dyDescent="0.2">
      <c r="A10" s="59" t="s">
        <v>345</v>
      </c>
      <c r="B10" s="60">
        <v>-5000000</v>
      </c>
      <c r="C10" s="60">
        <v>90000000</v>
      </c>
      <c r="D10" s="60">
        <v>-95000000</v>
      </c>
      <c r="E10" s="60"/>
      <c r="F10" s="60">
        <v>-37000000</v>
      </c>
      <c r="G10" s="60"/>
      <c r="H10" s="60"/>
      <c r="I10" s="60"/>
      <c r="J10" s="60">
        <v>20000000</v>
      </c>
      <c r="K10" s="60">
        <v>-10000000</v>
      </c>
      <c r="L10" s="60"/>
      <c r="M10" s="60"/>
      <c r="N10" s="60"/>
      <c r="O10" s="60"/>
      <c r="P10" s="60"/>
    </row>
    <row r="11" spans="1:33" s="30" customFormat="1" ht="13.5" thickBot="1" x14ac:dyDescent="0.25">
      <c r="A11" s="28" t="s">
        <v>346</v>
      </c>
      <c r="B11" s="29">
        <v>42640424.210000001</v>
      </c>
      <c r="C11" s="29">
        <v>132640424.21000001</v>
      </c>
      <c r="D11" s="29">
        <v>37640424.210000008</v>
      </c>
      <c r="E11" s="29">
        <v>37640424.210000008</v>
      </c>
      <c r="F11" s="29">
        <v>640424.21000000834</v>
      </c>
      <c r="G11" s="29">
        <v>640424.21000000834</v>
      </c>
      <c r="H11" s="29">
        <v>640424.21000000834</v>
      </c>
      <c r="I11" s="29">
        <v>640424.21000000834</v>
      </c>
      <c r="J11" s="29">
        <v>20640424.210000008</v>
      </c>
      <c r="K11" s="29">
        <v>10640424.210000008</v>
      </c>
      <c r="L11" s="29">
        <v>10640424.210000008</v>
      </c>
      <c r="M11" s="29">
        <f t="shared" ref="M11:O11" si="0">SUM(M9:M10)</f>
        <v>10640424.210000008</v>
      </c>
      <c r="N11" s="29">
        <f t="shared" ref="N11:P11" si="1">SUM(N9:N10)</f>
        <v>10640424.210000008</v>
      </c>
      <c r="O11" s="29">
        <f t="shared" si="1"/>
        <v>10640424.210000008</v>
      </c>
      <c r="P11" s="29">
        <f t="shared" si="1"/>
        <v>10640424.210000008</v>
      </c>
    </row>
    <row r="12" spans="1:33" s="22" customFormat="1" ht="13.15" hidden="1" customHeight="1" outlineLevel="1" x14ac:dyDescent="0.2"/>
    <row r="13" spans="1:33" s="31" customFormat="1" hidden="1" outlineLevel="1" x14ac:dyDescent="0.2">
      <c r="A13" s="31" t="s">
        <v>348</v>
      </c>
    </row>
    <row r="14" spans="1:33" collapsed="1" x14ac:dyDescent="0.2"/>
    <row r="15" spans="1:33" s="25" customFormat="1" x14ac:dyDescent="0.2">
      <c r="A15" s="24" t="s">
        <v>347</v>
      </c>
    </row>
    <row r="16" spans="1:33" s="22" customFormat="1" x14ac:dyDescent="0.2">
      <c r="A16" s="32" t="s">
        <v>349</v>
      </c>
      <c r="B16" s="33">
        <v>13933176.68</v>
      </c>
      <c r="C16" s="33">
        <v>21081516.309999999</v>
      </c>
      <c r="D16" s="62">
        <v>78968760.030000001</v>
      </c>
      <c r="E16" s="62">
        <v>6030356.9500000002</v>
      </c>
      <c r="F16" s="62">
        <v>204636712.75</v>
      </c>
      <c r="G16" s="62">
        <v>4176633.39</v>
      </c>
      <c r="H16" s="62">
        <v>9040079</v>
      </c>
      <c r="I16" s="62">
        <v>38979800</v>
      </c>
      <c r="J16" s="62">
        <v>10767100</v>
      </c>
      <c r="K16" s="62">
        <v>3169250</v>
      </c>
      <c r="L16" s="62">
        <v>51323045</v>
      </c>
      <c r="M16" s="63">
        <f>IFERROR(INDEX(CashIntraTable[Amount],MATCH($A$3&amp;M$5&amp;$A51,CashIntraTable[RefRng],0)),0)</f>
        <v>13524420</v>
      </c>
      <c r="N16" s="33">
        <f>IFERROR(INDEX(CashIntraTable[Amount],MATCH($A$3&amp;N$5&amp;$A51,CashIntraTable[RefRng],0)),0)</f>
        <v>0</v>
      </c>
      <c r="O16" s="33">
        <f>IFERROR(INDEX(CashIntraTable[Amount],MATCH($A$3&amp;O$5&amp;$A51,CashIntraTable[RefRng],0)),0)</f>
        <v>0</v>
      </c>
      <c r="P16" s="33">
        <f>IFERROR(INDEX(CashIntraTable[Amount],MATCH($A$3&amp;P$5&amp;$A51,CashIntraTable[RefRng],0)),0)</f>
        <v>0</v>
      </c>
    </row>
    <row r="17" spans="1:16" s="22" customFormat="1" x14ac:dyDescent="0.2">
      <c r="A17" s="32" t="s">
        <v>351</v>
      </c>
      <c r="B17" s="33">
        <v>0</v>
      </c>
      <c r="C17" s="33">
        <v>0</v>
      </c>
      <c r="D17" s="62">
        <v>0</v>
      </c>
      <c r="E17" s="62">
        <v>0</v>
      </c>
      <c r="F17" s="62">
        <v>9900000</v>
      </c>
      <c r="G17" s="62">
        <v>10000000</v>
      </c>
      <c r="H17" s="62">
        <v>0</v>
      </c>
      <c r="I17" s="62">
        <v>0</v>
      </c>
      <c r="J17" s="62">
        <v>0</v>
      </c>
      <c r="K17" s="62">
        <v>0</v>
      </c>
      <c r="L17" s="62">
        <v>0</v>
      </c>
      <c r="M17" s="63">
        <f>IFERROR(INDEX(CashIntraTable[Amount],MATCH($A$3&amp;M$5&amp;$A52,CashIntraTable[RefRng],0)),0)</f>
        <v>0</v>
      </c>
      <c r="N17" s="33">
        <f>IFERROR(INDEX(CashIntraTable[Amount],MATCH($A$3&amp;N$5&amp;$A52,CashIntraTable[RefRng],0)),0)</f>
        <v>0</v>
      </c>
      <c r="O17" s="33">
        <f>IFERROR(INDEX(CashIntraTable[Amount],MATCH($A$3&amp;O$5&amp;$A52,CashIntraTable[RefRng],0)),0)</f>
        <v>0</v>
      </c>
      <c r="P17" s="33">
        <f>IFERROR(INDEX(CashIntraTable[Amount],MATCH($A$3&amp;P$5&amp;$A52,CashIntraTable[RefRng],0)),0)</f>
        <v>0</v>
      </c>
    </row>
    <row r="18" spans="1:16" s="22" customFormat="1" x14ac:dyDescent="0.2">
      <c r="A18" s="32" t="s">
        <v>350</v>
      </c>
      <c r="B18" s="33">
        <v>32524283.690000001</v>
      </c>
      <c r="C18" s="33">
        <v>39080.980000000003</v>
      </c>
      <c r="D18" s="62">
        <v>652780.67000000004</v>
      </c>
      <c r="E18" s="62">
        <v>110719.66</v>
      </c>
      <c r="F18" s="62">
        <v>2929121.61</v>
      </c>
      <c r="G18" s="62">
        <v>12684044.789999999</v>
      </c>
      <c r="H18" s="62">
        <v>6047492.9199999999</v>
      </c>
      <c r="I18" s="62">
        <v>6136313.6699999999</v>
      </c>
      <c r="J18" s="62">
        <v>5706357.4000000004</v>
      </c>
      <c r="K18" s="62">
        <v>441398.03</v>
      </c>
      <c r="L18" s="62">
        <v>324690.23</v>
      </c>
      <c r="M18" s="63">
        <f>IFERROR(INDEX(CashIntraTable[Amount],MATCH($A$3&amp;M$5&amp;$A53,CashIntraTable[RefRng],0)),0)</f>
        <v>32707253.75</v>
      </c>
      <c r="N18" s="33">
        <f>IFERROR(INDEX(CashIntraTable[Amount],MATCH($A$3&amp;N$5&amp;$A53,CashIntraTable[RefRng],0)),0)</f>
        <v>246433.04</v>
      </c>
      <c r="O18" s="33">
        <f>IFERROR(INDEX(CashIntraTable[Amount],MATCH($A$3&amp;O$5&amp;$A53,CashIntraTable[RefRng],0)),0)</f>
        <v>313664.75</v>
      </c>
      <c r="P18" s="33">
        <f>IFERROR(INDEX(CashIntraTable[Amount],MATCH($A$3&amp;P$5&amp;$A53,CashIntraTable[RefRng],0)),0)</f>
        <v>0</v>
      </c>
    </row>
    <row r="19" spans="1:16" s="22" customFormat="1" x14ac:dyDescent="0.2">
      <c r="A19" s="32" t="s">
        <v>352</v>
      </c>
      <c r="B19" s="33">
        <v>0</v>
      </c>
      <c r="C19" s="33">
        <v>0</v>
      </c>
      <c r="D19" s="62">
        <v>0</v>
      </c>
      <c r="E19" s="62">
        <v>0</v>
      </c>
      <c r="F19" s="62">
        <v>0</v>
      </c>
      <c r="G19" s="62">
        <v>0</v>
      </c>
      <c r="H19" s="62">
        <v>0</v>
      </c>
      <c r="I19" s="62">
        <v>0</v>
      </c>
      <c r="J19" s="62">
        <v>0</v>
      </c>
      <c r="K19" s="62">
        <v>0</v>
      </c>
      <c r="L19" s="62">
        <v>0</v>
      </c>
      <c r="M19" s="63">
        <v>0</v>
      </c>
      <c r="N19" s="33">
        <v>0</v>
      </c>
      <c r="O19" s="33">
        <v>0</v>
      </c>
      <c r="P19" s="33">
        <v>0</v>
      </c>
    </row>
    <row r="20" spans="1:16" s="22" customFormat="1" x14ac:dyDescent="0.2">
      <c r="A20" s="26" t="s">
        <v>353</v>
      </c>
      <c r="B20" s="33">
        <v>118263848.15000001</v>
      </c>
      <c r="C20" s="33">
        <v>129180351.3</v>
      </c>
      <c r="D20" s="33">
        <v>297832353</v>
      </c>
      <c r="E20" s="33">
        <v>298171839</v>
      </c>
      <c r="F20" s="33">
        <v>601603790.63999999</v>
      </c>
      <c r="G20" s="33">
        <v>306712938.25</v>
      </c>
      <c r="H20" s="33">
        <v>903572021.58000004</v>
      </c>
      <c r="I20" s="33">
        <v>49863320</v>
      </c>
      <c r="J20" s="33">
        <v>196911988</v>
      </c>
      <c r="K20" s="33">
        <v>39758432</v>
      </c>
      <c r="L20" s="33">
        <v>70010509.099999994</v>
      </c>
      <c r="M20" s="33">
        <f>IFERROR(INDEX(CashProjTable[DebtSell_BahtNet],MATCH($A$3&amp;M$5,CashProjTable[RefRng],0))+SUMIFS(IntraTrans[Net Settlement],IntraTrans[Portfolio],$A$3,IntraTrans[B/S],"S",IntraTrans[Settle Date],M$5,IntraTrans[Payment],"BAHTNET"),0)</f>
        <v>0</v>
      </c>
      <c r="N20" s="33">
        <f>IFERROR(INDEX(CashProjTable[DebtSell_BahtNet],MATCH($A$3&amp;N$5,CashProjTable[RefRng],0))+SUMIFS(IntraTrans[Net Settlement],IntraTrans[Portfolio],$A$3,IntraTrans[B/S],"S",IntraTrans[Settle Date],N$5,IntraTrans[Payment],"BAHTNET"),0)</f>
        <v>0</v>
      </c>
      <c r="O20" s="33">
        <f>IFERROR(INDEX(CashProjTable[DebtSell_BahtNet],MATCH($A$3&amp;O$5,CashProjTable[RefRng],0))+SUMIFS(IntraTrans[Net Settlement],IntraTrans[Portfolio],$A$3,IntraTrans[B/S],"S",IntraTrans[Settle Date],O$5,IntraTrans[Payment],"BAHTNET"),0)</f>
        <v>0</v>
      </c>
      <c r="P20" s="33">
        <f>IFERROR(INDEX(CashProjTable[DebtSell_BahtNet],MATCH($A$3&amp;P$5,CashProjTable[RefRng],0))+SUMIFS(IntraTrans[Net Settlement],IntraTrans[Portfolio],$A$3,IntraTrans[B/S],"S",IntraTrans[Settle Date],P$5,IntraTrans[Payment],"BAHTNET"),0)</f>
        <v>0</v>
      </c>
    </row>
    <row r="21" spans="1:16" s="22" customFormat="1" x14ac:dyDescent="0.2">
      <c r="A21" s="26" t="s">
        <v>354</v>
      </c>
      <c r="B21" s="33">
        <v>0</v>
      </c>
      <c r="C21" s="33">
        <v>0</v>
      </c>
      <c r="D21" s="33">
        <v>0</v>
      </c>
      <c r="E21" s="33">
        <v>0</v>
      </c>
      <c r="F21" s="33">
        <v>0</v>
      </c>
      <c r="G21" s="33">
        <v>0</v>
      </c>
      <c r="H21" s="33">
        <v>0</v>
      </c>
      <c r="I21" s="33">
        <v>0</v>
      </c>
      <c r="J21" s="33">
        <v>0</v>
      </c>
      <c r="K21" s="33">
        <v>0</v>
      </c>
      <c r="L21" s="33">
        <v>0</v>
      </c>
      <c r="M21" s="33">
        <f>IFERROR((INDEX(CashProjTable[DebtSell],MATCH($A$3&amp;M$5,CashProjTable[RefRng],0))-INDEX(CashProjTable[DebtSell_BahtNet],MATCH($A$3&amp;M$5,CashProjTable[RefRng],0)))+SUMIFS(IntraTrans[Net Settlement],IntraTrans[Portfolio],$A$3,IntraTrans[B/S],"S",IntraTrans[Settle Date],M$5,IntraTrans[Payment],"CHEQUE"),0)</f>
        <v>0</v>
      </c>
      <c r="N21" s="33">
        <f>IFERROR((INDEX(CashProjTable[DebtSell],MATCH($A$3&amp;N$5,CashProjTable[RefRng],0))-INDEX(CashProjTable[DebtSell_BahtNet],MATCH($A$3&amp;N$5,CashProjTable[RefRng],0)))+SUMIFS(IntraTrans[Net Settlement],IntraTrans[Portfolio],$A$3,IntraTrans[B/S],"S",IntraTrans[Settle Date],N$5,IntraTrans[Payment],"CHEQUE"),0)</f>
        <v>0</v>
      </c>
      <c r="O21" s="33">
        <f>IFERROR((INDEX(CashProjTable[DebtSell],MATCH($A$3&amp;O$5,CashProjTable[RefRng],0))-INDEX(CashProjTable[DebtSell_BahtNet],MATCH($A$3&amp;O$5,CashProjTable[RefRng],0)))+SUMIFS(IntraTrans[Net Settlement],IntraTrans[Portfolio],$A$3,IntraTrans[B/S],"S",IntraTrans[Settle Date],O$5,IntraTrans[Payment],"CHEQUE"),0)</f>
        <v>0</v>
      </c>
      <c r="P21" s="33">
        <f>IFERROR((INDEX(CashProjTable[DebtSell],MATCH($A$3&amp;P$5,CashProjTable[RefRng],0))-INDEX(CashProjTable[DebtSell_BahtNet],MATCH($A$3&amp;P$5,CashProjTable[RefRng],0)))+SUMIFS(IntraTrans[Net Settlement],IntraTrans[Portfolio],$A$3,IntraTrans[B/S],"S",IntraTrans[Settle Date],P$5,IntraTrans[Payment],"CHEQUE"),0)</f>
        <v>0</v>
      </c>
    </row>
    <row r="22" spans="1:16" s="22" customFormat="1" x14ac:dyDescent="0.2">
      <c r="A22" s="26" t="s">
        <v>355</v>
      </c>
      <c r="B22" s="33">
        <v>5000000</v>
      </c>
      <c r="C22" s="33">
        <v>0</v>
      </c>
      <c r="D22" s="33">
        <v>95000000</v>
      </c>
      <c r="E22" s="33">
        <v>0</v>
      </c>
      <c r="F22" s="33">
        <v>37000000</v>
      </c>
      <c r="G22" s="33">
        <v>0</v>
      </c>
      <c r="H22" s="33">
        <v>0</v>
      </c>
      <c r="I22" s="33">
        <v>0</v>
      </c>
      <c r="J22" s="33">
        <v>0</v>
      </c>
      <c r="K22" s="33">
        <v>1120180951.25</v>
      </c>
      <c r="L22" s="33">
        <v>0</v>
      </c>
      <c r="M22" s="33">
        <f>IF(M$10&lt;0,-M$10,0)+INDEX(CashProjTable[CashEqSell_BahtNet],MATCH($A$3&amp;M$5,CashProjTable[RefRng],0))</f>
        <v>0</v>
      </c>
      <c r="N22" s="33">
        <f>IF(N$10&lt;0,-N$10,0)+INDEX(CashProjTable[CashEqSell_BahtNet],MATCH($A$3&amp;N$5,CashProjTable[RefRng],0))</f>
        <v>0</v>
      </c>
      <c r="O22" s="33">
        <f>IF(O$10&lt;0,-O$10,0)+INDEX(CashProjTable[CashEqSell_BahtNet],MATCH($A$3&amp;O$5,CashProjTable[RefRng],0))</f>
        <v>0</v>
      </c>
      <c r="P22" s="33">
        <f>IF(P$10&lt;0,-P$10,0)+INDEX(CashProjTable[CashEqSell_BahtNet],MATCH($A$3&amp;P$5,CashProjTable[RefRng],0))</f>
        <v>0</v>
      </c>
    </row>
    <row r="23" spans="1:16" s="22" customFormat="1" x14ac:dyDescent="0.2">
      <c r="A23" s="26" t="s">
        <v>356</v>
      </c>
      <c r="B23" s="33">
        <v>0</v>
      </c>
      <c r="C23" s="33">
        <v>0</v>
      </c>
      <c r="D23" s="33">
        <v>0</v>
      </c>
      <c r="E23" s="33">
        <v>0</v>
      </c>
      <c r="F23" s="33">
        <v>0</v>
      </c>
      <c r="G23" s="33">
        <v>0</v>
      </c>
      <c r="H23" s="33">
        <v>0</v>
      </c>
      <c r="I23" s="33">
        <v>0</v>
      </c>
      <c r="J23" s="33">
        <v>0</v>
      </c>
      <c r="K23" s="33">
        <v>0</v>
      </c>
      <c r="L23" s="33">
        <v>0</v>
      </c>
      <c r="M23" s="33">
        <v>0</v>
      </c>
      <c r="N23" s="33">
        <v>0</v>
      </c>
      <c r="O23" s="33">
        <v>0</v>
      </c>
      <c r="P23" s="33">
        <v>0</v>
      </c>
    </row>
    <row r="24" spans="1:16" s="22" customFormat="1" x14ac:dyDescent="0.2">
      <c r="A24" s="26" t="s">
        <v>357</v>
      </c>
      <c r="B24" s="33">
        <v>0</v>
      </c>
      <c r="C24" s="33">
        <v>0</v>
      </c>
      <c r="D24" s="33">
        <v>0</v>
      </c>
      <c r="E24" s="33">
        <v>2795738.63</v>
      </c>
      <c r="F24" s="33">
        <v>78378.59</v>
      </c>
      <c r="G24" s="33">
        <v>503375.34</v>
      </c>
      <c r="H24" s="33">
        <v>5385013.7000000002</v>
      </c>
      <c r="I24" s="33">
        <v>0</v>
      </c>
      <c r="J24" s="33">
        <v>3499127.52</v>
      </c>
      <c r="K24" s="33">
        <v>1791.65</v>
      </c>
      <c r="L24" s="33">
        <v>0</v>
      </c>
      <c r="M24" s="33">
        <f>IFERROR(INDEX(CashProjTable[DebtInterest],MATCH($A$3&amp;M$5,CashProjTable[RefRng],0)),0)</f>
        <v>0</v>
      </c>
      <c r="N24" s="33">
        <f>IFERROR(INDEX(CashProjTable[DebtInterest],MATCH($A$3&amp;N$5,CashProjTable[RefRng],0)),0)</f>
        <v>4139240.82</v>
      </c>
      <c r="O24" s="33">
        <f>IFERROR(INDEX(CashProjTable[DebtInterest],MATCH($A$3&amp;O$5,CashProjTable[RefRng],0)),0)</f>
        <v>0</v>
      </c>
      <c r="P24" s="33">
        <f>IFERROR(INDEX(CashProjTable[DebtInterest],MATCH($A$3&amp;P$5,CashProjTable[RefRng],0)),0)</f>
        <v>13033753.43</v>
      </c>
    </row>
    <row r="25" spans="1:16" s="22" customFormat="1" x14ac:dyDescent="0.2">
      <c r="A25" s="26" t="s">
        <v>358</v>
      </c>
      <c r="B25" s="33">
        <v>0</v>
      </c>
      <c r="C25" s="33">
        <v>0</v>
      </c>
      <c r="D25" s="33">
        <v>0</v>
      </c>
      <c r="E25" s="33">
        <v>0</v>
      </c>
      <c r="F25" s="33">
        <v>0</v>
      </c>
      <c r="G25" s="33">
        <v>0</v>
      </c>
      <c r="H25" s="33">
        <v>0</v>
      </c>
      <c r="I25" s="33">
        <v>0</v>
      </c>
      <c r="J25" s="33">
        <v>0</v>
      </c>
      <c r="K25" s="33"/>
      <c r="L25" s="33">
        <v>0</v>
      </c>
      <c r="M25" s="33">
        <f>IFERROR(INDEX(CashProjTable[CashEqInterest],MATCH($A$3&amp;M$5,CashProjTable[RefRng],0)),0)</f>
        <v>0</v>
      </c>
      <c r="N25" s="33">
        <f>IFERROR(INDEX(CashProjTable[CashEqInterest],MATCH($A$3&amp;N$5,CashProjTable[RefRng],0)),0)</f>
        <v>0</v>
      </c>
      <c r="O25" s="33">
        <f>IFERROR(INDEX(CashProjTable[CashEqInterest],MATCH($A$3&amp;O$5,CashProjTable[RefRng],0)),0)</f>
        <v>0</v>
      </c>
      <c r="P25" s="33">
        <f>IFERROR(INDEX(CashProjTable[CashEqInterest],MATCH($A$3&amp;P$5,CashProjTable[RefRng],0)),0)</f>
        <v>0</v>
      </c>
    </row>
    <row r="26" spans="1:16" s="36" customFormat="1" x14ac:dyDescent="0.2">
      <c r="A26" s="34" t="s">
        <v>359</v>
      </c>
      <c r="B26" s="35">
        <v>0</v>
      </c>
      <c r="C26" s="35"/>
      <c r="D26" s="35"/>
      <c r="E26" s="35"/>
      <c r="F26" s="35"/>
      <c r="G26" s="35">
        <v>307000000</v>
      </c>
      <c r="H26" s="35"/>
      <c r="I26" s="35"/>
      <c r="J26" s="35"/>
      <c r="K26" s="35"/>
      <c r="L26" s="35">
        <v>60000000</v>
      </c>
      <c r="M26" s="35">
        <f>367239167.3+444828821.84+308174910.94+99736559+70931788.88</f>
        <v>1290911247.96</v>
      </c>
      <c r="N26" s="35"/>
      <c r="O26" s="35"/>
      <c r="P26" s="35"/>
    </row>
    <row r="27" spans="1:16" s="38" customFormat="1" ht="13.5" thickBot="1" x14ac:dyDescent="0.25">
      <c r="A27" s="28" t="s">
        <v>360</v>
      </c>
      <c r="B27" s="37">
        <v>169721308.52000001</v>
      </c>
      <c r="C27" s="37">
        <v>150300948.59</v>
      </c>
      <c r="D27" s="37">
        <v>472453893.69999999</v>
      </c>
      <c r="E27" s="37">
        <v>307108654.24000001</v>
      </c>
      <c r="F27" s="37">
        <v>856148003.59000003</v>
      </c>
      <c r="G27" s="37">
        <v>641076991.76999998</v>
      </c>
      <c r="H27" s="37">
        <v>924044607.20000005</v>
      </c>
      <c r="I27" s="37">
        <v>94979433.670000002</v>
      </c>
      <c r="J27" s="37">
        <v>216884572.92000002</v>
      </c>
      <c r="K27" s="37">
        <v>1163551822.9300001</v>
      </c>
      <c r="L27" s="37">
        <v>181658244.32999998</v>
      </c>
      <c r="M27" s="37">
        <f t="shared" ref="L27:O27" si="2">SUM(M16:M26)</f>
        <v>1337142921.71</v>
      </c>
      <c r="N27" s="37">
        <f t="shared" ref="N27:P27" si="3">SUM(N16:N26)</f>
        <v>4385673.8599999994</v>
      </c>
      <c r="O27" s="37">
        <f t="shared" si="3"/>
        <v>313664.75</v>
      </c>
      <c r="P27" s="37">
        <f t="shared" si="3"/>
        <v>13033753.43</v>
      </c>
    </row>
    <row r="28" spans="1:16" s="22" customFormat="1" x14ac:dyDescent="0.2">
      <c r="K28" s="72"/>
    </row>
    <row r="29" spans="1:16" s="25" customFormat="1" x14ac:dyDescent="0.2">
      <c r="A29" s="24" t="s">
        <v>361</v>
      </c>
    </row>
    <row r="30" spans="1:16" s="22" customFormat="1" x14ac:dyDescent="0.2">
      <c r="A30" s="32" t="s">
        <v>362</v>
      </c>
      <c r="B30" s="33">
        <v>72287450.400000006</v>
      </c>
      <c r="C30" s="33">
        <v>35934639.030000001</v>
      </c>
      <c r="D30" s="62">
        <v>74378106.569999993</v>
      </c>
      <c r="E30" s="62">
        <v>237938760.84</v>
      </c>
      <c r="F30" s="62">
        <v>128680753.25</v>
      </c>
      <c r="G30" s="62">
        <v>257180457.68000001</v>
      </c>
      <c r="H30" s="62">
        <v>85513493.739999995</v>
      </c>
      <c r="I30" s="62">
        <v>80801881.590000004</v>
      </c>
      <c r="J30" s="62">
        <v>107065661.02</v>
      </c>
      <c r="K30" s="62">
        <v>503235980.79000002</v>
      </c>
      <c r="L30" s="62">
        <v>62478303.939999998</v>
      </c>
      <c r="M30" s="63">
        <f>IFERROR(ABS(INDEX(CashIntraTable[Amount],MATCH($A$3&amp;M$5&amp;$A54,CashIntraTable[RefRng],0))),0)</f>
        <v>98356089.120000005</v>
      </c>
      <c r="N30" s="33">
        <f>IFERROR(ABS(INDEX(CashIntraTable[Amount],MATCH($A$3&amp;N$5&amp;$A54,CashIntraTable[RefRng],0))),0)</f>
        <v>0</v>
      </c>
      <c r="O30" s="33">
        <f>IFERROR(ABS(INDEX(CashIntraTable[Amount],MATCH($A$3&amp;O$5&amp;$A54,CashIntraTable[RefRng],0))),0)</f>
        <v>0</v>
      </c>
      <c r="P30" s="33">
        <f>IFERROR(ABS(INDEX(CashIntraTable[Amount],MATCH($A$3&amp;P$5&amp;$A54,CashIntraTable[RefRng],0))),0)</f>
        <v>0</v>
      </c>
    </row>
    <row r="31" spans="1:16" s="22" customFormat="1" x14ac:dyDescent="0.2">
      <c r="A31" s="32" t="s">
        <v>363</v>
      </c>
      <c r="B31" s="33">
        <v>101221631.55</v>
      </c>
      <c r="C31" s="33">
        <v>29444340.420000002</v>
      </c>
      <c r="D31" s="62">
        <v>225264876.52000001</v>
      </c>
      <c r="E31" s="62">
        <v>74914352</v>
      </c>
      <c r="F31" s="62">
        <v>106749164.54000001</v>
      </c>
      <c r="G31" s="62">
        <v>72570101.969999999</v>
      </c>
      <c r="H31" s="62">
        <v>95723001.349999994</v>
      </c>
      <c r="I31" s="62">
        <v>20533099.18</v>
      </c>
      <c r="J31" s="62">
        <v>88313042.519999996</v>
      </c>
      <c r="K31" s="62">
        <v>55914468.689999998</v>
      </c>
      <c r="L31" s="62">
        <v>63169759.130000003</v>
      </c>
      <c r="M31" s="63">
        <f>IFERROR(ABS(INDEX(CashIntraTable[Amount],MATCH($A$3&amp;M$5&amp;$A55,CashIntraTable[RefRng],0))),0)</f>
        <v>72124068.079999998</v>
      </c>
      <c r="N31" s="33">
        <f>IFERROR(ABS(INDEX(CashIntraTable[Amount],MATCH($A$3&amp;N$5&amp;$A55,CashIntraTable[RefRng],0))),0)</f>
        <v>0</v>
      </c>
      <c r="O31" s="33">
        <f>IFERROR(ABS(INDEX(CashIntraTable[Amount],MATCH($A$3&amp;O$5&amp;$A55,CashIntraTable[RefRng],0))),0)</f>
        <v>0</v>
      </c>
      <c r="P31" s="33">
        <f>IFERROR(ABS(INDEX(CashIntraTable[Amount],MATCH($A$3&amp;P$5&amp;$A55,CashIntraTable[RefRng],0))),0)</f>
        <v>0</v>
      </c>
    </row>
    <row r="32" spans="1:16" s="22" customFormat="1" x14ac:dyDescent="0.2">
      <c r="A32" s="26" t="s">
        <v>364</v>
      </c>
      <c r="B32" s="33">
        <v>0</v>
      </c>
      <c r="C32" s="33">
        <v>0</v>
      </c>
      <c r="D32" s="33">
        <v>166245100.86000001</v>
      </c>
      <c r="E32" s="33">
        <v>0</v>
      </c>
      <c r="F32" s="33">
        <v>54350864.090000004</v>
      </c>
      <c r="G32" s="33">
        <v>0</v>
      </c>
      <c r="H32" s="33">
        <v>0</v>
      </c>
      <c r="I32" s="33">
        <v>0</v>
      </c>
      <c r="J32" s="33">
        <v>0</v>
      </c>
      <c r="K32" s="33">
        <v>599662533</v>
      </c>
      <c r="L32" s="33">
        <v>0</v>
      </c>
      <c r="M32" s="33">
        <f>IFERROR(INDEX(CashProjTable[DebtBuy_BahtNet],MATCH($A$3&amp;M$5,CashProjTable[RefRng],0))+SUMIFS(IntraTrans[Net Settlement],IntraTrans[Portfolio],$A$3,IntraTrans[B/S],"B",IntraTrans[Settle Date],M$5,IntraTrans[Payment],"BAHTNET"),0)</f>
        <v>607234444.17999995</v>
      </c>
      <c r="N32" s="33">
        <f>IFERROR(INDEX(CashProjTable[DebtBuy_BahtNet],MATCH($A$3&amp;N$5,CashProjTable[RefRng],0))+SUMIFS(IntraTrans[Net Settlement],IntraTrans[Portfolio],$A$3,IntraTrans[B/S],"B",IntraTrans[Settle Date],N$5,IntraTrans[Payment],"BAHTNET"),0)</f>
        <v>0</v>
      </c>
      <c r="O32" s="33">
        <f>IFERROR(INDEX(CashProjTable[DebtBuy_BahtNet],MATCH($A$3&amp;O$5,CashProjTable[RefRng],0))+SUMIFS(IntraTrans[Net Settlement],IntraTrans[Portfolio],$A$3,IntraTrans[B/S],"B",IntraTrans[Settle Date],O$5,IntraTrans[Payment],"BAHTNET"),0)</f>
        <v>0</v>
      </c>
      <c r="P32" s="33">
        <f>IFERROR(INDEX(CashProjTable[DebtBuy_BahtNet],MATCH($A$3&amp;P$5,CashProjTable[RefRng],0))+SUMIFS(IntraTrans[Net Settlement],IntraTrans[Portfolio],$A$3,IntraTrans[B/S],"B",IntraTrans[Settle Date],P$5,IntraTrans[Payment],"BAHTNET"),0)</f>
        <v>0</v>
      </c>
    </row>
    <row r="33" spans="1:33" s="22" customFormat="1" x14ac:dyDescent="0.2">
      <c r="A33" s="26" t="s">
        <v>365</v>
      </c>
      <c r="B33" s="33">
        <v>0</v>
      </c>
      <c r="C33" s="33">
        <v>0</v>
      </c>
      <c r="D33" s="33">
        <v>0</v>
      </c>
      <c r="E33" s="33">
        <v>0</v>
      </c>
      <c r="F33" s="33">
        <v>0</v>
      </c>
      <c r="G33" s="33">
        <v>0</v>
      </c>
      <c r="H33" s="33">
        <v>0</v>
      </c>
      <c r="I33" s="33">
        <v>0</v>
      </c>
      <c r="J33" s="33">
        <v>0</v>
      </c>
      <c r="K33" s="33">
        <v>0</v>
      </c>
      <c r="L33" s="33">
        <v>0</v>
      </c>
      <c r="M33" s="33">
        <f>IFERROR((INDEX(CashProjTable[DebtBuy],MATCH($A$3&amp;M$5,CashProjTable[RefRng],0))-INDEX(CashProjTable[DebtBuy_BahtNet],MATCH($A$3&amp;M$5,CashProjTable[RefRng],0)))+SUMIFS(IntraTrans[Net Settlement],IntraTrans[Portfolio],$A$3,IntraTrans[B/S],"B",IntraTrans[Settle Date],M$5,IntraTrans[Payment],"CHEQUE"),0)</f>
        <v>0</v>
      </c>
      <c r="N33" s="33">
        <f>IFERROR((INDEX(CashProjTable[DebtBuy],MATCH($A$3&amp;N$5,CashProjTable[RefRng],0))-INDEX(CashProjTable[DebtBuy_BahtNet],MATCH($A$3&amp;N$5,CashProjTable[RefRng],0)))+SUMIFS(IntraTrans[Net Settlement],IntraTrans[Portfolio],$A$3,IntraTrans[B/S],"B",IntraTrans[Settle Date],N$5,IntraTrans[Payment],"CHEQUE"),0)</f>
        <v>0</v>
      </c>
      <c r="O33" s="33">
        <f>IFERROR((INDEX(CashProjTable[DebtBuy],MATCH($A$3&amp;O$5,CashProjTable[RefRng],0))-INDEX(CashProjTable[DebtBuy_BahtNet],MATCH($A$3&amp;O$5,CashProjTable[RefRng],0)))+SUMIFS(IntraTrans[Net Settlement],IntraTrans[Portfolio],$A$3,IntraTrans[B/S],"B",IntraTrans[Settle Date],O$5,IntraTrans[Payment],"CHEQUE"),0)</f>
        <v>0</v>
      </c>
      <c r="P33" s="33">
        <f>IFERROR((INDEX(CashProjTable[DebtBuy],MATCH($A$3&amp;P$5,CashProjTable[RefRng],0))-INDEX(CashProjTable[DebtBuy_BahtNet],MATCH($A$3&amp;P$5,CashProjTable[RefRng],0)))+SUMIFS(IntraTrans[Net Settlement],IntraTrans[Portfolio],$A$3,IntraTrans[B/S],"B",IntraTrans[Settle Date],P$5,IntraTrans[Payment],"CHEQUE"),0)</f>
        <v>0</v>
      </c>
    </row>
    <row r="34" spans="1:33" s="22" customFormat="1" x14ac:dyDescent="0.2">
      <c r="A34" s="26" t="s">
        <v>355</v>
      </c>
      <c r="B34" s="33">
        <v>0</v>
      </c>
      <c r="C34" s="33">
        <v>90000000</v>
      </c>
      <c r="D34" s="33">
        <v>0</v>
      </c>
      <c r="E34" s="33">
        <v>0</v>
      </c>
      <c r="F34" s="33">
        <v>0</v>
      </c>
      <c r="G34" s="33">
        <v>0</v>
      </c>
      <c r="H34" s="33">
        <v>0</v>
      </c>
      <c r="I34" s="33">
        <v>0</v>
      </c>
      <c r="J34" s="33">
        <v>20000000</v>
      </c>
      <c r="K34" s="33">
        <v>0</v>
      </c>
      <c r="L34" s="33">
        <v>0</v>
      </c>
      <c r="M34" s="33">
        <f>IF(M$10&gt;0,M$10,0)+INDEX(CashProjTable[CashEqBuy_BahtNet],MATCH($A$3&amp;M$5,CashProjTable[RefRng],0))</f>
        <v>0</v>
      </c>
      <c r="N34" s="33">
        <f>IF(N$10&gt;0,N$10,0)+INDEX(CashProjTable[CashEqBuy_BahtNet],MATCH($A$3&amp;N$5,CashProjTable[RefRng],0))</f>
        <v>0</v>
      </c>
      <c r="O34" s="33">
        <f>IF(O$10&gt;0,O$10,0)+INDEX(CashProjTable[CashEqBuy_BahtNet],MATCH($A$3&amp;O$5,CashProjTable[RefRng],0))</f>
        <v>0</v>
      </c>
      <c r="P34" s="33">
        <f>IF(P$10&gt;0,P$10,0)+INDEX(CashProjTable[CashEqBuy_BahtNet],MATCH($A$3&amp;P$5,CashProjTable[RefRng],0))</f>
        <v>0</v>
      </c>
    </row>
    <row r="35" spans="1:33" s="22" customFormat="1" x14ac:dyDescent="0.2">
      <c r="A35" s="26" t="s">
        <v>356</v>
      </c>
      <c r="B35" s="33">
        <v>0</v>
      </c>
      <c r="C35" s="33">
        <v>0</v>
      </c>
      <c r="D35" s="33">
        <v>0</v>
      </c>
      <c r="E35" s="33">
        <v>0</v>
      </c>
      <c r="F35" s="33">
        <v>0</v>
      </c>
      <c r="G35" s="33">
        <v>0</v>
      </c>
      <c r="H35" s="33">
        <v>0</v>
      </c>
      <c r="I35" s="33">
        <v>0</v>
      </c>
      <c r="J35" s="33">
        <v>0</v>
      </c>
      <c r="K35" s="33">
        <v>0</v>
      </c>
      <c r="L35" s="33">
        <v>0</v>
      </c>
      <c r="M35" s="33">
        <v>0</v>
      </c>
      <c r="N35" s="33">
        <v>0</v>
      </c>
      <c r="O35" s="33">
        <v>0</v>
      </c>
      <c r="P35" s="33">
        <v>0</v>
      </c>
    </row>
    <row r="36" spans="1:33" s="22" customFormat="1" x14ac:dyDescent="0.2">
      <c r="A36" s="26" t="s">
        <v>366</v>
      </c>
      <c r="B36" s="33">
        <v>0</v>
      </c>
      <c r="C36" s="33">
        <v>0</v>
      </c>
      <c r="D36" s="33">
        <v>0</v>
      </c>
      <c r="E36" s="33">
        <v>0</v>
      </c>
      <c r="F36" s="33">
        <v>0</v>
      </c>
      <c r="G36" s="33">
        <v>0</v>
      </c>
      <c r="H36" s="33">
        <v>0</v>
      </c>
      <c r="I36" s="33">
        <v>0</v>
      </c>
      <c r="J36" s="33">
        <v>0</v>
      </c>
      <c r="K36" s="33">
        <v>0</v>
      </c>
      <c r="L36" s="33">
        <v>0</v>
      </c>
      <c r="M36" s="33">
        <f>IFERROR(INDEX(CashProjTable[Expense],MATCH($A$3&amp;M$5,CashProjTable[RefRng],0)),0)</f>
        <v>0</v>
      </c>
      <c r="N36" s="33">
        <f>IFERROR(INDEX(CashProjTable[Expense],MATCH($A$3&amp;N$5,CashProjTable[RefRng],0)),0)</f>
        <v>0</v>
      </c>
      <c r="O36" s="33">
        <f>IFERROR(INDEX(CashProjTable[Expense],MATCH($A$3&amp;O$5,CashProjTable[RefRng],0)),0)</f>
        <v>0</v>
      </c>
      <c r="P36" s="33">
        <f>IFERROR(INDEX(CashProjTable[Expense],MATCH($A$3&amp;P$5,CashProjTable[RefRng],0)),0)</f>
        <v>0</v>
      </c>
    </row>
    <row r="37" spans="1:33" s="36" customFormat="1" x14ac:dyDescent="0.2">
      <c r="A37" s="34" t="s">
        <v>359</v>
      </c>
      <c r="B37" s="35"/>
      <c r="C37" s="35"/>
      <c r="D37" s="35"/>
      <c r="E37" s="35"/>
      <c r="F37" s="35">
        <v>567980000</v>
      </c>
      <c r="G37" s="35"/>
      <c r="H37" s="35">
        <v>740000000</v>
      </c>
      <c r="I37" s="35"/>
      <c r="J37" s="35"/>
      <c r="K37" s="35"/>
      <c r="L37" s="35"/>
      <c r="M37" s="35">
        <v>563250000</v>
      </c>
      <c r="N37" s="35"/>
      <c r="O37" s="35"/>
      <c r="P37" s="35"/>
    </row>
    <row r="38" spans="1:33" s="38" customFormat="1" ht="13.5" thickBot="1" x14ac:dyDescent="0.25">
      <c r="A38" s="28" t="s">
        <v>367</v>
      </c>
      <c r="B38" s="37">
        <v>173509081.94999999</v>
      </c>
      <c r="C38" s="37">
        <v>155378979.44999999</v>
      </c>
      <c r="D38" s="37">
        <v>465888083.95000005</v>
      </c>
      <c r="E38" s="37">
        <v>312853112.84000003</v>
      </c>
      <c r="F38" s="37">
        <v>857760781.88</v>
      </c>
      <c r="G38" s="37">
        <v>329750559.64999998</v>
      </c>
      <c r="H38" s="37">
        <v>921236495.08999991</v>
      </c>
      <c r="I38" s="37">
        <v>101334980.77000001</v>
      </c>
      <c r="J38" s="37">
        <v>215378703.53999999</v>
      </c>
      <c r="K38" s="37">
        <v>1158812982.48</v>
      </c>
      <c r="L38" s="37">
        <f t="shared" ref="L38:O38" si="4">SUM(L30:L37)</f>
        <v>125648063.06999999</v>
      </c>
      <c r="M38" s="37">
        <f t="shared" si="4"/>
        <v>1340964601.3799999</v>
      </c>
      <c r="N38" s="37">
        <f t="shared" ref="N38:P38" si="5">SUM(N30:N37)</f>
        <v>0</v>
      </c>
      <c r="O38" s="37">
        <f t="shared" si="5"/>
        <v>0</v>
      </c>
      <c r="P38" s="37">
        <f t="shared" si="5"/>
        <v>0</v>
      </c>
    </row>
    <row r="39" spans="1:33" s="22" customFormat="1" x14ac:dyDescent="0.2">
      <c r="H39" s="72"/>
    </row>
    <row r="40" spans="1:33" s="25" customFormat="1" x14ac:dyDescent="0.2">
      <c r="A40" s="24" t="s">
        <v>839</v>
      </c>
    </row>
    <row r="41" spans="1:33" s="22" customFormat="1" x14ac:dyDescent="0.2">
      <c r="A41" s="26" t="s">
        <v>369</v>
      </c>
      <c r="B41" s="33">
        <v>8945802.6500000358</v>
      </c>
      <c r="C41" s="33">
        <v>3867772.6200000048</v>
      </c>
      <c r="D41" s="33">
        <v>10441983.98999995</v>
      </c>
      <c r="E41" s="33">
        <v>4701587.7699999809</v>
      </c>
      <c r="F41" s="33">
        <v>3089837.3300000429</v>
      </c>
      <c r="G41" s="33">
        <v>314342890.86000001</v>
      </c>
      <c r="H41" s="33">
        <v>10141669.640000105</v>
      </c>
      <c r="I41" s="33">
        <v>3783852.7699999958</v>
      </c>
      <c r="J41" s="33">
        <v>5286298.9700000286</v>
      </c>
      <c r="K41" s="33">
        <v>9987456.2000000477</v>
      </c>
      <c r="L41" s="33">
        <f t="shared" ref="K41:P41" ca="1" si="6">L$6+L$27-L$38</f>
        <v>65914740.099999994</v>
      </c>
      <c r="M41" s="33">
        <f t="shared" ca="1" si="6"/>
        <v>62093060.430000067</v>
      </c>
      <c r="N41" s="33">
        <f t="shared" ca="1" si="6"/>
        <v>66478734.290000066</v>
      </c>
      <c r="O41" s="33">
        <f t="shared" ca="1" si="6"/>
        <v>66792399.040000066</v>
      </c>
      <c r="P41" s="33">
        <f t="shared" ca="1" si="6"/>
        <v>79826152.470000058</v>
      </c>
    </row>
    <row r="42" spans="1:33" s="22" customFormat="1" x14ac:dyDescent="0.2">
      <c r="A42" s="26" t="s">
        <v>853</v>
      </c>
      <c r="B42" s="33">
        <v>8945803.4800000004</v>
      </c>
      <c r="C42" s="33">
        <v>138126154.78</v>
      </c>
      <c r="D42" s="33">
        <v>10446046.369999999</v>
      </c>
      <c r="E42" s="33">
        <v>0</v>
      </c>
      <c r="F42" s="33">
        <v>3016458.74</v>
      </c>
      <c r="G42" s="33">
        <f>IFERROR(INDEX(CashProjTable[CashBal],MATCH($A$3&amp;G$5,CashProjTable[RefRng],0)),0)</f>
        <v>0</v>
      </c>
      <c r="H42" s="33">
        <v>10139399.869999999</v>
      </c>
      <c r="I42" s="33">
        <v>3780429.59</v>
      </c>
      <c r="J42" s="33">
        <v>5248615.75</v>
      </c>
      <c r="K42" s="33">
        <f>IFERROR(INDEX(CashProjTable[CashBal],MATCH($A$3&amp;K$5,CashProjTable[RefRng],0)),0)</f>
        <v>9904558.8399999999</v>
      </c>
      <c r="L42" s="33">
        <f>IFERROR(INDEX(CashProjTable[CashBal],MATCH($A$3&amp;L$5,CashProjTable[RefRng],0)),0)</f>
        <v>79915067.939999998</v>
      </c>
      <c r="M42" s="33">
        <f>IFERROR(INDEX(CashProjTable[CashBal],MATCH($A$3&amp;M$5,CashProjTable[RefRng],0)),0)</f>
        <v>-527319376.24000001</v>
      </c>
      <c r="N42" s="33">
        <f>IFERROR(INDEX(CashProjTable[CashBal],MATCH($A$3&amp;N$5,CashProjTable[RefRng],0)),0)</f>
        <v>-523180135.42000002</v>
      </c>
      <c r="O42" s="33">
        <f>IFERROR(INDEX(CashProjTable[CashBal],MATCH($A$3&amp;O$5,CashProjTable[RefRng],0)),0)</f>
        <v>-523180135.42000002</v>
      </c>
      <c r="P42" s="33">
        <f>IFERROR(INDEX(CashProjTable[CashBal],MATCH($A$3&amp;P$5,CashProjTable[RefRng],0)),0)</f>
        <v>-510146381.99000001</v>
      </c>
    </row>
    <row r="43" spans="1:33" s="41" customFormat="1" x14ac:dyDescent="0.2">
      <c r="A43" s="39" t="s">
        <v>370</v>
      </c>
      <c r="B43" s="40">
        <v>0.82999996468424797</v>
      </c>
      <c r="C43" s="40">
        <v>134258382.16</v>
      </c>
      <c r="D43" s="40">
        <v>4062.3800000492483</v>
      </c>
      <c r="E43" s="40">
        <v>306712036.23000002</v>
      </c>
      <c r="F43" s="40">
        <v>548944083.42999995</v>
      </c>
      <c r="G43" s="40">
        <v>-4110118.5299999714</v>
      </c>
      <c r="H43" s="40">
        <v>906148923.16999984</v>
      </c>
      <c r="I43" s="40">
        <v>56218867.100000024</v>
      </c>
      <c r="J43" s="40">
        <v>-1094753.8600000143</v>
      </c>
      <c r="K43" s="40">
        <v>545539801.45000005</v>
      </c>
      <c r="L43" s="40">
        <v>14000327.840000153</v>
      </c>
      <c r="M43" s="40">
        <f t="shared" ref="M43:O43" ca="1" si="7">M42-M41</f>
        <v>-589412436.67000008</v>
      </c>
      <c r="N43" s="40">
        <f t="shared" ref="N43:P43" ca="1" si="8">N42-N41</f>
        <v>-589658869.71000004</v>
      </c>
      <c r="O43" s="40">
        <f t="shared" ca="1" si="8"/>
        <v>-589972534.46000004</v>
      </c>
      <c r="P43" s="40">
        <f t="shared" ca="1" si="8"/>
        <v>-589972534.46000004</v>
      </c>
    </row>
    <row r="44" spans="1:33" s="22" customFormat="1" x14ac:dyDescent="0.2">
      <c r="A44" s="26" t="s">
        <v>854</v>
      </c>
      <c r="B44" s="44">
        <v>57257707827.890007</v>
      </c>
      <c r="C44" s="33">
        <v>57199718753.990005</v>
      </c>
      <c r="D44" s="33">
        <v>56979124049.760002</v>
      </c>
      <c r="E44" s="33">
        <v>56671969954.200005</v>
      </c>
      <c r="F44" s="33">
        <v>56657041737.860001</v>
      </c>
      <c r="G44" s="33">
        <v>56360179300.75</v>
      </c>
      <c r="H44" s="33">
        <v>56196636811</v>
      </c>
      <c r="I44" s="33">
        <v>56143340160.120003</v>
      </c>
      <c r="J44" s="33">
        <v>55967749012.849998</v>
      </c>
      <c r="K44" s="33">
        <v>55444851978.289993</v>
      </c>
      <c r="L44" s="33">
        <v>55340906214.910004</v>
      </c>
      <c r="M44" s="33">
        <f t="shared" ref="M44" ca="1" si="9">IF(M$5&gt;TODAY(),L44,L45)+SUM(M16:M19)-SUM(M30:M31)</f>
        <v>55216657731.460007</v>
      </c>
      <c r="N44" s="33">
        <f t="shared" ref="N44" ca="1" si="10">IF(N$5&gt;TODAY(),M44,M45)+SUM(N16:N19)-SUM(N30:N31)</f>
        <v>55216904164.500008</v>
      </c>
      <c r="O44" s="33">
        <f t="shared" ref="O44" ca="1" si="11">IF(O$5&gt;TODAY(),N44,N45)+SUM(O16:O19)-SUM(O30:O31)</f>
        <v>55217217829.250008</v>
      </c>
      <c r="P44" s="33">
        <f t="shared" ref="P44" ca="1" si="12">IF(P$5&gt;TODAY(),O44,O45)+SUM(P16:P19)-SUM(P30:P31)</f>
        <v>55217217829.250008</v>
      </c>
    </row>
    <row r="45" spans="1:33" s="22" customFormat="1" x14ac:dyDescent="0.2">
      <c r="A45" s="26" t="s">
        <v>855</v>
      </c>
      <c r="B45" s="33">
        <v>57243977136.150002</v>
      </c>
      <c r="C45" s="33">
        <v>57199145492.150002</v>
      </c>
      <c r="D45" s="33">
        <v>56978681990.43</v>
      </c>
      <c r="E45" s="33">
        <v>56675005821.290001</v>
      </c>
      <c r="F45" s="33">
        <v>56663069182.220001</v>
      </c>
      <c r="G45" s="33">
        <f>[1]!SCBAM_GetGroup1Dtl($A$3,"NET ASSET VALUE",G$5,"MarketVal")+[1]!SCBAM_GetGroup1Dtl($A$3,"NET ASSET VALUE",G$5,"ai")</f>
        <v>56362785734.169998</v>
      </c>
      <c r="H45" s="33">
        <v>56199559027.220001</v>
      </c>
      <c r="I45" s="33">
        <v>56146654258.989998</v>
      </c>
      <c r="J45" s="33">
        <v>55976424262.739998</v>
      </c>
      <c r="K45" s="33">
        <f>[1]!SCBAM_GetGroup1Dtl($A$3,"NET ASSET VALUE",K$5,"MarketVal")+[1]!SCBAM_GetGroup1Dtl($A$3,"NET ASSET VALUE",K$5,"ai")</f>
        <v>55414906542.75</v>
      </c>
      <c r="L45" s="33">
        <f>[1]!SCBAM_GetGroup1Dtl($A$3,"NET ASSET VALUE",L$5,"MarketVal")+[1]!SCBAM_GetGroup1Dtl($A$3,"NET ASSET VALUE",L$5,"ai")</f>
        <v>0</v>
      </c>
      <c r="M45" s="33">
        <f>[1]!SCBAM_GetGroup1Dtl($A$3,"NET ASSET VALUE",M$5,"MarketVal")+[1]!SCBAM_GetGroup1Dtl($A$3,"NET ASSET VALUE",M$5,"ai")</f>
        <v>0</v>
      </c>
      <c r="N45" s="33">
        <f>[1]!SCBAM_GetGroup1Dtl($A$3,"NET ASSET VALUE",N$5,"MarketVal")+[1]!SCBAM_GetGroup1Dtl($A$3,"NET ASSET VALUE",N$5,"ai")</f>
        <v>0</v>
      </c>
      <c r="O45" s="33">
        <f>[1]!SCBAM_GetGroup1Dtl($A$3,"NET ASSET VALUE",O$5,"MarketVal")+[1]!SCBAM_GetGroup1Dtl($A$3,"NET ASSET VALUE",O$5,"ai")</f>
        <v>0</v>
      </c>
      <c r="P45" s="33">
        <f>[1]!SCBAM_GetGroup1Dtl($A$3,"NET ASSET VALUE",P$5,"MarketVal")+[1]!SCBAM_GetGroup1Dtl($A$3,"NET ASSET VALUE",P$5,"ai")</f>
        <v>0</v>
      </c>
    </row>
    <row r="46" spans="1:33" s="21" customFormat="1" x14ac:dyDescent="0.2">
      <c r="A46" s="19" t="s">
        <v>840</v>
      </c>
      <c r="B46" s="20">
        <v>-44258382.160000004</v>
      </c>
      <c r="C46" s="20">
        <v>-220021442.39000005</v>
      </c>
      <c r="D46" s="20">
        <v>-306712036.23000002</v>
      </c>
      <c r="E46" s="20">
        <v>2274145.9700000002</v>
      </c>
      <c r="F46" s="20">
        <v>-302889881.46999997</v>
      </c>
      <c r="G46" s="20">
        <v>4944831.18</v>
      </c>
      <c r="H46" s="20">
        <v>-56218867.100000009</v>
      </c>
      <c r="I46" s="20">
        <v>-178905246.13999999</v>
      </c>
      <c r="J46" s="20">
        <v>-9306634.4000000004</v>
      </c>
      <c r="K46" s="20">
        <v>-74000327.840000004</v>
      </c>
      <c r="L46" s="20">
        <f t="shared" ref="L46:M46" si="13">SUM(M16:M19)-SUM(M30:M31)</f>
        <v>-124248483.44999999</v>
      </c>
      <c r="M46" s="20">
        <f t="shared" si="13"/>
        <v>246433.04</v>
      </c>
      <c r="N46" s="20">
        <f t="shared" ref="N46" si="14">SUM(O16:O19)-SUM(O30:O31)</f>
        <v>313664.75</v>
      </c>
      <c r="O46" s="20">
        <f t="shared" ref="O46" si="15">SUM(P16:P19)-SUM(P30:P31)</f>
        <v>0</v>
      </c>
      <c r="P46" s="20">
        <f t="shared" ref="P46" si="16">SUM(Q16:Q19)-SUM(Q30:Q31)</f>
        <v>0</v>
      </c>
    </row>
    <row r="47" spans="1:33" s="47" customFormat="1" x14ac:dyDescent="0.2">
      <c r="A47" s="45" t="s">
        <v>371</v>
      </c>
      <c r="B47" s="48">
        <v>1.5627500214953957E-4</v>
      </c>
      <c r="C47" s="48">
        <v>6.7619412610470155E-5</v>
      </c>
      <c r="D47" s="48">
        <v>1.8326124131396652E-4</v>
      </c>
      <c r="E47" s="48">
        <v>8.2961431794229394E-5</v>
      </c>
      <c r="F47" s="48">
        <v>5.4530002955956831E-5</v>
      </c>
      <c r="G47" s="48">
        <v>9.8766082992676456E-3</v>
      </c>
      <c r="H47" s="48">
        <v>1.8056038335756508E-3</v>
      </c>
      <c r="I47" s="48">
        <v>1.5319211918227302E-2</v>
      </c>
      <c r="J47" s="48">
        <v>1.1538338255335811E-3</v>
      </c>
      <c r="K47" s="48">
        <v>1.4747195424566406E-2</v>
      </c>
      <c r="L47" s="48">
        <v>1.0940024269911289E-2</v>
      </c>
      <c r="M47" s="48">
        <f t="shared" ref="M47:O47" ca="1" si="17">M41/IF(M5&lt;TODAY(),M45,M44)</f>
        <v>1.1245349316864246E-3</v>
      </c>
      <c r="N47" s="48">
        <f t="shared" ref="N47:P47" ca="1" si="18">N41/IF(N5&lt;TODAY(),N45,N44)</f>
        <v>1.203956203193668E-3</v>
      </c>
      <c r="O47" s="48">
        <f t="shared" ca="1" si="18"/>
        <v>1.2096299246105511E-3</v>
      </c>
      <c r="P47" s="48">
        <f t="shared" ca="1" si="18"/>
        <v>1.4456750196442179E-3</v>
      </c>
      <c r="Q47" s="46"/>
      <c r="R47" s="46"/>
      <c r="S47" s="46"/>
      <c r="T47" s="46"/>
      <c r="U47" s="46"/>
      <c r="V47" s="46"/>
      <c r="W47" s="46"/>
      <c r="X47" s="46"/>
      <c r="Y47" s="46"/>
      <c r="Z47" s="46"/>
      <c r="AA47" s="46"/>
      <c r="AB47" s="46"/>
      <c r="AC47" s="46"/>
      <c r="AD47" s="46"/>
      <c r="AE47" s="46"/>
      <c r="AF47" s="46"/>
      <c r="AG47" s="46"/>
    </row>
    <row r="48" spans="1:33" s="42" customFormat="1" x14ac:dyDescent="0.2">
      <c r="A48" s="42" t="s">
        <v>372</v>
      </c>
      <c r="B48" s="43">
        <v>-4987373.2</v>
      </c>
      <c r="C48" s="43">
        <v>138126154.78</v>
      </c>
      <c r="D48" s="43">
        <v>-68522713.659999996</v>
      </c>
      <c r="E48" s="43">
        <v>311413624</v>
      </c>
      <c r="F48" s="43">
        <v>552033920.75999999</v>
      </c>
      <c r="G48" s="43">
        <v>552537296.10000002</v>
      </c>
      <c r="H48" s="43">
        <v>1007617786.03</v>
      </c>
      <c r="I48" s="43">
        <v>916290592.80999994</v>
      </c>
      <c r="J48" s="43">
        <v>63482728.090000004</v>
      </c>
      <c r="K48" s="43">
        <v>1363195868.8599999</v>
      </c>
      <c r="L48" s="43">
        <v>619431184.95000005</v>
      </c>
      <c r="M48" s="43">
        <f>IFERROR(INDEX(CashProjTable[CashForUse],MATCH($A$3&amp;M$5,CashProjTable[RefRng],0)),0)</f>
        <v>-527319376.24000001</v>
      </c>
      <c r="N48" s="43">
        <f>IFERROR(INDEX(CashProjTable[CashForUse],MATCH($A$3&amp;N$5,CashProjTable[RefRng],0)),0)</f>
        <v>-523180135.42000002</v>
      </c>
      <c r="O48" s="43">
        <f>IFERROR(INDEX(CashProjTable[CashForUse],MATCH($A$3&amp;O$5,CashProjTable[RefRng],0)),0)</f>
        <v>-523180135.42000002</v>
      </c>
      <c r="P48" s="43">
        <f>IFERROR(INDEX(CashProjTable[CashForUse],MATCH($A$3&amp;P$5,CashProjTable[RefRng],0)),0)</f>
        <v>-510146381.99000001</v>
      </c>
    </row>
    <row r="49" spans="1:16" s="42" customFormat="1" x14ac:dyDescent="0.2">
      <c r="A49" s="42" t="s">
        <v>373</v>
      </c>
      <c r="B49" s="43">
        <v>-13960444.689999999</v>
      </c>
      <c r="C49" s="43">
        <v>124192978.09999999</v>
      </c>
      <c r="D49" s="43">
        <v>-89604229.969999999</v>
      </c>
      <c r="E49" s="43">
        <v>229649125.34</v>
      </c>
      <c r="F49" s="43">
        <v>545925185.22000003</v>
      </c>
      <c r="G49" s="43">
        <v>552033920.75999999</v>
      </c>
      <c r="H49" s="43">
        <v>1002232772.33</v>
      </c>
      <c r="I49" s="43">
        <v>916290592.80999994</v>
      </c>
      <c r="J49" s="43">
        <v>60002719.869999997</v>
      </c>
      <c r="K49" s="43">
        <v>1345786545.1099999</v>
      </c>
      <c r="L49" s="43">
        <v>619431184.95000005</v>
      </c>
      <c r="M49" s="43">
        <f>IFERROR(INDEX(CashProjTable[CashForBahtNet],MATCH($A$3&amp;M$5,CashProjTable[RefRng],0)),0)</f>
        <v>-527319376.24000001</v>
      </c>
      <c r="N49" s="43">
        <f>IFERROR(INDEX(CashProjTable[CashForBahtNet],MATCH($A$3&amp;N$5,CashProjTable[RefRng],0)),0)</f>
        <v>-527319376.24000001</v>
      </c>
      <c r="O49" s="43">
        <f>IFERROR(INDEX(CashProjTable[CashForBahtNet],MATCH($A$3&amp;O$5,CashProjTable[RefRng],0)),0)</f>
        <v>-523180135.42000002</v>
      </c>
      <c r="P49" s="43">
        <f>IFERROR(INDEX(CashProjTable[CashForBahtNet],MATCH($A$3&amp;P$5,CashProjTable[RefRng],0)),0)</f>
        <v>-523180135.42000002</v>
      </c>
    </row>
    <row r="51" spans="1:16" x14ac:dyDescent="0.2">
      <c r="A51" s="11" t="s">
        <v>329</v>
      </c>
    </row>
    <row r="52" spans="1:16" x14ac:dyDescent="0.2">
      <c r="A52" s="11" t="s">
        <v>333</v>
      </c>
    </row>
    <row r="53" spans="1:16" x14ac:dyDescent="0.2">
      <c r="A53" s="11" t="s">
        <v>330</v>
      </c>
    </row>
    <row r="54" spans="1:16" x14ac:dyDescent="0.2">
      <c r="A54" s="11" t="s">
        <v>331</v>
      </c>
    </row>
    <row r="55" spans="1:16" x14ac:dyDescent="0.2">
      <c r="A55" s="11" t="s">
        <v>332</v>
      </c>
    </row>
  </sheetData>
  <conditionalFormatting sqref="D5">
    <cfRule type="cellIs" dxfId="204" priority="51" operator="equal">
      <formula>TODAY()</formula>
    </cfRule>
  </conditionalFormatting>
  <conditionalFormatting sqref="D10">
    <cfRule type="cellIs" dxfId="203" priority="50" operator="greaterThan">
      <formula>"&lt;0"</formula>
    </cfRule>
  </conditionalFormatting>
  <conditionalFormatting sqref="D11">
    <cfRule type="cellIs" dxfId="202" priority="49" operator="greaterThan">
      <formula>"&lt;0"</formula>
    </cfRule>
  </conditionalFormatting>
  <conditionalFormatting sqref="A5:C5 Q5:XFD5">
    <cfRule type="cellIs" dxfId="201" priority="62" operator="equal">
      <formula>TODAY()</formula>
    </cfRule>
  </conditionalFormatting>
  <conditionalFormatting sqref="B9:D9">
    <cfRule type="cellIs" dxfId="200" priority="61" operator="greaterThan">
      <formula>"&lt;0"</formula>
    </cfRule>
  </conditionalFormatting>
  <conditionalFormatting sqref="B10">
    <cfRule type="cellIs" dxfId="199" priority="60" operator="greaterThan">
      <formula>"&lt;0"</formula>
    </cfRule>
  </conditionalFormatting>
  <conditionalFormatting sqref="B11">
    <cfRule type="cellIs" dxfId="198" priority="59" operator="greaterThan">
      <formula>"&lt;0"</formula>
    </cfRule>
  </conditionalFormatting>
  <conditionalFormatting sqref="C10">
    <cfRule type="cellIs" dxfId="197" priority="58" operator="greaterThan">
      <formula>"&lt;0"</formula>
    </cfRule>
  </conditionalFormatting>
  <conditionalFormatting sqref="C11">
    <cfRule type="cellIs" dxfId="196" priority="57" operator="greaterThan">
      <formula>"&lt;0"</formula>
    </cfRule>
  </conditionalFormatting>
  <conditionalFormatting sqref="B7">
    <cfRule type="cellIs" dxfId="195" priority="56" operator="greaterThan">
      <formula>"&lt;0"</formula>
    </cfRule>
  </conditionalFormatting>
  <conditionalFormatting sqref="E10">
    <cfRule type="cellIs" dxfId="194" priority="38" operator="greaterThan">
      <formula>"&lt;0"</formula>
    </cfRule>
  </conditionalFormatting>
  <conditionalFormatting sqref="E11">
    <cfRule type="cellIs" dxfId="193" priority="37" operator="greaterThan">
      <formula>"&lt;0"</formula>
    </cfRule>
  </conditionalFormatting>
  <conditionalFormatting sqref="E9">
    <cfRule type="cellIs" dxfId="192" priority="40" operator="greaterThan">
      <formula>"&lt;0"</formula>
    </cfRule>
  </conditionalFormatting>
  <conditionalFormatting sqref="E5">
    <cfRule type="cellIs" dxfId="191" priority="39" operator="equal">
      <formula>TODAY()</formula>
    </cfRule>
  </conditionalFormatting>
  <conditionalFormatting sqref="F5">
    <cfRule type="cellIs" dxfId="190" priority="36" operator="equal">
      <formula>TODAY()</formula>
    </cfRule>
  </conditionalFormatting>
  <conditionalFormatting sqref="F9">
    <cfRule type="cellIs" dxfId="189" priority="35" operator="greaterThan">
      <formula>"&lt;0"</formula>
    </cfRule>
  </conditionalFormatting>
  <conditionalFormatting sqref="F10">
    <cfRule type="cellIs" dxfId="188" priority="34" operator="greaterThan">
      <formula>"&lt;0"</formula>
    </cfRule>
  </conditionalFormatting>
  <conditionalFormatting sqref="F11">
    <cfRule type="cellIs" dxfId="187" priority="33" operator="greaterThan">
      <formula>"&lt;0"</formula>
    </cfRule>
  </conditionalFormatting>
  <conditionalFormatting sqref="G5">
    <cfRule type="cellIs" dxfId="186" priority="32" operator="equal">
      <formula>TODAY()</formula>
    </cfRule>
  </conditionalFormatting>
  <conditionalFormatting sqref="G9">
    <cfRule type="cellIs" dxfId="185" priority="31" operator="greaterThan">
      <formula>"&lt;0"</formula>
    </cfRule>
  </conditionalFormatting>
  <conditionalFormatting sqref="G10">
    <cfRule type="cellIs" dxfId="184" priority="30" operator="greaterThan">
      <formula>"&lt;0"</formula>
    </cfRule>
  </conditionalFormatting>
  <conditionalFormatting sqref="G11">
    <cfRule type="cellIs" dxfId="183" priority="29" operator="greaterThan">
      <formula>"&lt;0"</formula>
    </cfRule>
  </conditionalFormatting>
  <conditionalFormatting sqref="H5">
    <cfRule type="cellIs" dxfId="182" priority="28" operator="equal">
      <formula>TODAY()</formula>
    </cfRule>
  </conditionalFormatting>
  <conditionalFormatting sqref="H9">
    <cfRule type="cellIs" dxfId="181" priority="27" operator="greaterThan">
      <formula>"&lt;0"</formula>
    </cfRule>
  </conditionalFormatting>
  <conditionalFormatting sqref="H10">
    <cfRule type="cellIs" dxfId="180" priority="26" operator="greaterThan">
      <formula>"&lt;0"</formula>
    </cfRule>
  </conditionalFormatting>
  <conditionalFormatting sqref="H11">
    <cfRule type="cellIs" dxfId="179" priority="25" operator="greaterThan">
      <formula>"&lt;0"</formula>
    </cfRule>
  </conditionalFormatting>
  <conditionalFormatting sqref="I5">
    <cfRule type="cellIs" dxfId="178" priority="24" operator="equal">
      <formula>TODAY()</formula>
    </cfRule>
  </conditionalFormatting>
  <conditionalFormatting sqref="I9">
    <cfRule type="cellIs" dxfId="177" priority="23" operator="greaterThan">
      <formula>"&lt;0"</formula>
    </cfRule>
  </conditionalFormatting>
  <conditionalFormatting sqref="I10">
    <cfRule type="cellIs" dxfId="176" priority="22" operator="greaterThan">
      <formula>"&lt;0"</formula>
    </cfRule>
  </conditionalFormatting>
  <conditionalFormatting sqref="I11">
    <cfRule type="cellIs" dxfId="175" priority="21" operator="greaterThan">
      <formula>"&lt;0"</formula>
    </cfRule>
  </conditionalFormatting>
  <conditionalFormatting sqref="J5">
    <cfRule type="cellIs" dxfId="174" priority="20" operator="equal">
      <formula>TODAY()</formula>
    </cfRule>
  </conditionalFormatting>
  <conditionalFormatting sqref="J9">
    <cfRule type="cellIs" dxfId="173" priority="19" operator="greaterThan">
      <formula>"&lt;0"</formula>
    </cfRule>
  </conditionalFormatting>
  <conditionalFormatting sqref="J10">
    <cfRule type="cellIs" dxfId="172" priority="18" operator="greaterThan">
      <formula>"&lt;0"</formula>
    </cfRule>
  </conditionalFormatting>
  <conditionalFormatting sqref="J11">
    <cfRule type="cellIs" dxfId="171" priority="17" operator="greaterThan">
      <formula>"&lt;0"</formula>
    </cfRule>
  </conditionalFormatting>
  <conditionalFormatting sqref="K5">
    <cfRule type="cellIs" dxfId="170" priority="16" operator="equal">
      <formula>TODAY()</formula>
    </cfRule>
  </conditionalFormatting>
  <conditionalFormatting sqref="K9">
    <cfRule type="cellIs" dxfId="169" priority="15" operator="greaterThan">
      <formula>"&lt;0"</formula>
    </cfRule>
  </conditionalFormatting>
  <conditionalFormatting sqref="K10">
    <cfRule type="cellIs" dxfId="168" priority="14" operator="greaterThan">
      <formula>"&lt;0"</formula>
    </cfRule>
  </conditionalFormatting>
  <conditionalFormatting sqref="K11">
    <cfRule type="cellIs" dxfId="167" priority="13" operator="greaterThan">
      <formula>"&lt;0"</formula>
    </cfRule>
  </conditionalFormatting>
  <conditionalFormatting sqref="L5">
    <cfRule type="cellIs" dxfId="166" priority="12" operator="equal">
      <formula>TODAY()</formula>
    </cfRule>
  </conditionalFormatting>
  <conditionalFormatting sqref="L9">
    <cfRule type="cellIs" dxfId="165" priority="11" operator="greaterThan">
      <formula>"&lt;0"</formula>
    </cfRule>
  </conditionalFormatting>
  <conditionalFormatting sqref="L10">
    <cfRule type="cellIs" dxfId="164" priority="10" operator="greaterThan">
      <formula>"&lt;0"</formula>
    </cfRule>
  </conditionalFormatting>
  <conditionalFormatting sqref="L11">
    <cfRule type="cellIs" dxfId="163" priority="9" operator="greaterThan">
      <formula>"&lt;0"</formula>
    </cfRule>
  </conditionalFormatting>
  <conditionalFormatting sqref="M5">
    <cfRule type="cellIs" dxfId="162" priority="8" operator="equal">
      <formula>TODAY()</formula>
    </cfRule>
  </conditionalFormatting>
  <conditionalFormatting sqref="M9">
    <cfRule type="cellIs" dxfId="161" priority="7" operator="greaterThan">
      <formula>"&lt;0"</formula>
    </cfRule>
  </conditionalFormatting>
  <conditionalFormatting sqref="M10">
    <cfRule type="cellIs" dxfId="160" priority="6" operator="greaterThan">
      <formula>"&lt;0"</formula>
    </cfRule>
  </conditionalFormatting>
  <conditionalFormatting sqref="M11">
    <cfRule type="cellIs" dxfId="159" priority="5" operator="greaterThan">
      <formula>"&lt;0"</formula>
    </cfRule>
  </conditionalFormatting>
  <conditionalFormatting sqref="N5:P5">
    <cfRule type="cellIs" dxfId="158" priority="4" operator="equal">
      <formula>TODAY()</formula>
    </cfRule>
  </conditionalFormatting>
  <conditionalFormatting sqref="N9:P9">
    <cfRule type="cellIs" dxfId="157" priority="3" operator="greaterThan">
      <formula>"&lt;0"</formula>
    </cfRule>
  </conditionalFormatting>
  <conditionalFormatting sqref="N10:P10">
    <cfRule type="cellIs" dxfId="156" priority="2" operator="greaterThan">
      <formula>"&lt;0"</formula>
    </cfRule>
  </conditionalFormatting>
  <conditionalFormatting sqref="N11:P11">
    <cfRule type="cellIs" dxfId="155" priority="1" operator="greaterThan">
      <formula>"&lt;0"</formula>
    </cfRule>
  </conditionalFormatting>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BBEBDD-55CC-4437-BA1D-D2DF0CD5F9A5}">
  <sheetPr codeName="Sheet15"/>
  <dimension ref="A1:AG55"/>
  <sheetViews>
    <sheetView zoomScale="90" zoomScaleNormal="90" workbookViewId="0">
      <pane xSplit="1" ySplit="6" topLeftCell="D7" activePane="bottomRight" state="frozen"/>
      <selection pane="topRight" activeCell="B1" sqref="B1"/>
      <selection pane="bottomLeft" activeCell="A7" sqref="A7"/>
      <selection pane="bottomRight" activeCell="L1" sqref="L1:L1048576"/>
    </sheetView>
  </sheetViews>
  <sheetFormatPr defaultColWidth="9" defaultRowHeight="12.75" outlineLevelRow="1" x14ac:dyDescent="0.2"/>
  <cols>
    <col min="1" max="1" width="32" style="11" customWidth="1"/>
    <col min="2" max="16" width="18.75" style="11" customWidth="1"/>
    <col min="17" max="27" width="15.125" style="11" bestFit="1" customWidth="1"/>
    <col min="28" max="16384" width="9" style="11"/>
  </cols>
  <sheetData>
    <row r="1" spans="1:33" x14ac:dyDescent="0.2">
      <c r="A1" s="10" t="s">
        <v>340</v>
      </c>
    </row>
    <row r="2" spans="1:33" x14ac:dyDescent="0.2">
      <c r="A2" s="12">
        <f ca="1">[1]!SCBAM_PreviousBusinessDay(TODAY())</f>
        <v>43397</v>
      </c>
    </row>
    <row r="3" spans="1:33" x14ac:dyDescent="0.2">
      <c r="A3" s="13" t="s">
        <v>336</v>
      </c>
    </row>
    <row r="5" spans="1:33" s="18" customFormat="1" x14ac:dyDescent="0.2">
      <c r="A5" s="14" t="s">
        <v>341</v>
      </c>
      <c r="B5" s="15">
        <v>43382</v>
      </c>
      <c r="C5" s="15">
        <v>43383</v>
      </c>
      <c r="D5" s="15">
        <v>43384</v>
      </c>
      <c r="E5" s="15">
        <v>43385</v>
      </c>
      <c r="F5" s="15">
        <v>43389</v>
      </c>
      <c r="G5" s="15">
        <v>43390</v>
      </c>
      <c r="H5" s="15">
        <v>43391</v>
      </c>
      <c r="I5" s="15">
        <v>43392</v>
      </c>
      <c r="J5" s="15">
        <v>43395</v>
      </c>
      <c r="K5" s="15">
        <v>43397</v>
      </c>
      <c r="L5" s="15">
        <v>43398</v>
      </c>
      <c r="M5" s="15">
        <f>[1]!SCBAM_NextBusinessDay(L5)</f>
        <v>43399</v>
      </c>
      <c r="N5" s="15">
        <f>[1]!SCBAM_NextBusinessDay(M5)</f>
        <v>43402</v>
      </c>
      <c r="O5" s="15">
        <f>[1]!SCBAM_NextBusinessDay(N5)</f>
        <v>43403</v>
      </c>
      <c r="P5" s="15">
        <f>[1]!SCBAM_NextBusinessDay(O5)</f>
        <v>43404</v>
      </c>
      <c r="Q5" s="16"/>
      <c r="R5" s="16"/>
      <c r="S5" s="16"/>
      <c r="T5" s="16"/>
      <c r="U5" s="16"/>
      <c r="V5" s="16"/>
      <c r="W5" s="16"/>
      <c r="X5" s="16"/>
      <c r="Y5" s="16"/>
      <c r="Z5" s="16"/>
      <c r="AA5" s="16"/>
      <c r="AB5" s="17"/>
      <c r="AC5" s="17"/>
      <c r="AD5" s="17"/>
      <c r="AE5" s="17"/>
      <c r="AF5" s="17"/>
      <c r="AG5" s="17"/>
    </row>
    <row r="6" spans="1:33" s="21" customFormat="1" x14ac:dyDescent="0.2">
      <c r="A6" s="19" t="s">
        <v>342</v>
      </c>
      <c r="B6" s="20">
        <v>4534915.28</v>
      </c>
      <c r="C6" s="20">
        <v>5344816.45</v>
      </c>
      <c r="D6" s="20">
        <v>3307744.37</v>
      </c>
      <c r="E6" s="20">
        <v>2428943.04</v>
      </c>
      <c r="F6" s="20">
        <v>6828344.0199999996</v>
      </c>
      <c r="G6" s="20">
        <v>14433801.439999999</v>
      </c>
      <c r="H6" s="20">
        <v>6212146.54</v>
      </c>
      <c r="I6" s="20">
        <v>9389634.7400000002</v>
      </c>
      <c r="J6" s="20">
        <v>7436109.2300000004</v>
      </c>
      <c r="K6" s="20">
        <v>10081087.57</v>
      </c>
      <c r="L6" s="20">
        <v>3252442.31</v>
      </c>
      <c r="M6" s="20">
        <f ca="1">IF(AND(ISNUMBER(L41),ISNUMBER(L42)),IF(M5&lt;=TODAY(),L42,L41),INDEX(CashProjTable[CashBal],MATCH($A$3&amp;[1]!SCBAM_PreviousBusinessDay(M$5),CashProjTable[RefRng],0)))</f>
        <v>6000033.1699998379</v>
      </c>
      <c r="N6" s="20">
        <f ca="1">IF(AND(ISNUMBER(M41),ISNUMBER(M42)),IF(N5&lt;=TODAY(),M42,M41),INDEX(CashProjTable[CashBal],MATCH($A$3&amp;[1]!SCBAM_PreviousBusinessDay(N$5),CashProjTable[RefRng],0)))</f>
        <v>8553802.8399998397</v>
      </c>
      <c r="O6" s="20">
        <f ca="1">IF(AND(ISNUMBER(N41),ISNUMBER(N42)),IF(O5&lt;=TODAY(),N42,N41),INDEX(CashProjTable[CashBal],MATCH($A$3&amp;[1]!SCBAM_PreviousBusinessDay(O$5),CashProjTable[RefRng],0)))</f>
        <v>10864825.809999838</v>
      </c>
      <c r="P6" s="20">
        <f ca="1">IF(AND(ISNUMBER(O41),ISNUMBER(O42)),IF(P5&lt;=TODAY(),O42,O41),INDEX(CashProjTable[CashBal],MATCH($A$3&amp;[1]!SCBAM_PreviousBusinessDay(P$5),CashProjTable[RefRng],0)))</f>
        <v>60864825.809999838</v>
      </c>
    </row>
    <row r="7" spans="1:33" s="22" customFormat="1" x14ac:dyDescent="0.2">
      <c r="B7" s="23"/>
    </row>
    <row r="8" spans="1:33" s="25" customFormat="1" x14ac:dyDescent="0.2">
      <c r="A8" s="24" t="s">
        <v>343</v>
      </c>
    </row>
    <row r="9" spans="1:33" s="27" customFormat="1" x14ac:dyDescent="0.2">
      <c r="A9" s="26" t="s">
        <v>344</v>
      </c>
      <c r="B9" s="23">
        <v>36153570.5</v>
      </c>
      <c r="C9" s="23">
        <v>21153570.5</v>
      </c>
      <c r="D9" s="23">
        <v>19153570.5</v>
      </c>
      <c r="E9" s="23">
        <v>4153570.5</v>
      </c>
      <c r="F9" s="23">
        <v>4153570.5</v>
      </c>
      <c r="G9" s="23">
        <v>24153570.5</v>
      </c>
      <c r="H9" s="23">
        <v>24153570.5</v>
      </c>
      <c r="I9" s="23">
        <v>84153570.5</v>
      </c>
      <c r="J9" s="23">
        <v>112153570.5</v>
      </c>
      <c r="K9" s="23">
        <v>80153570.5</v>
      </c>
      <c r="L9" s="23">
        <v>50153570.5</v>
      </c>
      <c r="M9" s="23">
        <f>IF(ISNUMBER(L$5),L$11,[1]!SCBAM_GetSecDtl($A$3,"INVSUOBTtmf",M$5,"MarketVal"))</f>
        <v>153570.5</v>
      </c>
      <c r="N9" s="23">
        <f>IF(ISNUMBER(M$5),M$11,[1]!SCBAM_GetSecDtl($A$3,"INVSUOBTtmf",N$5,"MarketVal"))</f>
        <v>30153570.5</v>
      </c>
      <c r="O9" s="23">
        <f>IF(ISNUMBER(N$5),N$11,[1]!SCBAM_GetSecDtl($A$3,"INVSUOBTtmf",O$5,"MarketVal"))</f>
        <v>30153570.5</v>
      </c>
      <c r="P9" s="23">
        <f>IF(ISNUMBER(O$5),O$11,[1]!SCBAM_GetSecDtl($A$3,"INVSUOBTtmf",P$5,"MarketVal"))</f>
        <v>30153570.5</v>
      </c>
    </row>
    <row r="10" spans="1:33" s="61" customFormat="1" ht="14.25" x14ac:dyDescent="0.2">
      <c r="A10" s="59" t="s">
        <v>345</v>
      </c>
      <c r="B10" s="60">
        <v>-15000000</v>
      </c>
      <c r="C10" s="60">
        <v>-2000000</v>
      </c>
      <c r="D10" s="60">
        <v>-15000000</v>
      </c>
      <c r="E10" s="60"/>
      <c r="F10" s="60">
        <v>20000000</v>
      </c>
      <c r="G10" s="60"/>
      <c r="H10" s="60">
        <v>60000000</v>
      </c>
      <c r="I10" s="60">
        <v>28000000</v>
      </c>
      <c r="J10" s="60">
        <v>-32000000</v>
      </c>
      <c r="K10" s="60">
        <v>-30000000</v>
      </c>
      <c r="L10" s="60">
        <v>-50000000</v>
      </c>
      <c r="M10" s="60">
        <f>30*10^6</f>
        <v>30000000</v>
      </c>
      <c r="N10" s="60"/>
      <c r="O10" s="60"/>
      <c r="P10" s="60"/>
    </row>
    <row r="11" spans="1:33" s="30" customFormat="1" ht="13.5" thickBot="1" x14ac:dyDescent="0.25">
      <c r="A11" s="28" t="s">
        <v>346</v>
      </c>
      <c r="B11" s="29">
        <v>21153570.5</v>
      </c>
      <c r="C11" s="29">
        <v>19153570.5</v>
      </c>
      <c r="D11" s="29">
        <v>4153570.5</v>
      </c>
      <c r="E11" s="29">
        <v>4153570.5</v>
      </c>
      <c r="F11" s="29">
        <v>24153570.5</v>
      </c>
      <c r="G11" s="29">
        <v>24153570.5</v>
      </c>
      <c r="H11" s="29">
        <v>84153570.5</v>
      </c>
      <c r="I11" s="29">
        <v>112153570.5</v>
      </c>
      <c r="J11" s="29">
        <v>80153570.5</v>
      </c>
      <c r="K11" s="29">
        <v>50153570.5</v>
      </c>
      <c r="L11" s="29">
        <v>153570.5</v>
      </c>
      <c r="M11" s="29">
        <f t="shared" ref="M11:O11" si="0">SUM(M9:M10)</f>
        <v>30153570.5</v>
      </c>
      <c r="N11" s="29">
        <f t="shared" ref="N11:P11" si="1">SUM(N9:N10)</f>
        <v>30153570.5</v>
      </c>
      <c r="O11" s="29">
        <f t="shared" si="1"/>
        <v>30153570.5</v>
      </c>
      <c r="P11" s="29">
        <f t="shared" si="1"/>
        <v>30153570.5</v>
      </c>
    </row>
    <row r="12" spans="1:33" s="22" customFormat="1" ht="13.15" hidden="1" customHeight="1" outlineLevel="1" x14ac:dyDescent="0.2"/>
    <row r="13" spans="1:33" s="31" customFormat="1" hidden="1" outlineLevel="1" x14ac:dyDescent="0.2">
      <c r="A13" s="31" t="s">
        <v>348</v>
      </c>
    </row>
    <row r="14" spans="1:33" collapsed="1" x14ac:dyDescent="0.2"/>
    <row r="15" spans="1:33" s="25" customFormat="1" x14ac:dyDescent="0.2">
      <c r="A15" s="24" t="s">
        <v>347</v>
      </c>
    </row>
    <row r="16" spans="1:33" s="22" customFormat="1" x14ac:dyDescent="0.2">
      <c r="A16" s="32" t="s">
        <v>349</v>
      </c>
      <c r="B16" s="33">
        <v>9028005</v>
      </c>
      <c r="C16" s="33">
        <v>10969000</v>
      </c>
      <c r="D16" s="62">
        <v>2800000</v>
      </c>
      <c r="E16" s="62">
        <v>41576000</v>
      </c>
      <c r="F16" s="62">
        <v>3267721</v>
      </c>
      <c r="G16" s="62">
        <v>11618257</v>
      </c>
      <c r="H16" s="62">
        <v>2060397.72</v>
      </c>
      <c r="I16" s="62">
        <v>5220000</v>
      </c>
      <c r="J16" s="62">
        <v>455500</v>
      </c>
      <c r="K16" s="62">
        <v>20459750</v>
      </c>
      <c r="L16" s="62">
        <v>1901104.18</v>
      </c>
      <c r="M16" s="63">
        <f>IFERROR(INDEX(CashIntraTable[Amount],MATCH($A$3&amp;M$5&amp;$A51,CashIntraTable[RefRng],0)),0)</f>
        <v>7325350</v>
      </c>
      <c r="N16" s="62">
        <f>IFERROR(INDEX(CashIntraTable[Amount],MATCH($A$3&amp;N$5&amp;$A51,CashIntraTable[RefRng],0)),0)</f>
        <v>0</v>
      </c>
      <c r="O16" s="62">
        <f>IFERROR(INDEX(CashIntraTable[Amount],MATCH($A$3&amp;O$5&amp;$A51,CashIntraTable[RefRng],0)),0)</f>
        <v>0</v>
      </c>
      <c r="P16" s="62">
        <f>IFERROR(INDEX(CashIntraTable[Amount],MATCH($A$3&amp;P$5&amp;$A51,CashIntraTable[RefRng],0)),0)</f>
        <v>0</v>
      </c>
    </row>
    <row r="17" spans="1:16" s="22" customFormat="1" x14ac:dyDescent="0.2">
      <c r="A17" s="32" t="s">
        <v>351</v>
      </c>
      <c r="B17" s="33">
        <v>0</v>
      </c>
      <c r="C17" s="33">
        <v>0</v>
      </c>
      <c r="D17" s="62">
        <v>0</v>
      </c>
      <c r="E17" s="62">
        <v>0</v>
      </c>
      <c r="F17" s="62">
        <v>0</v>
      </c>
      <c r="G17" s="62">
        <v>0</v>
      </c>
      <c r="H17" s="62">
        <v>0</v>
      </c>
      <c r="I17" s="62">
        <v>0</v>
      </c>
      <c r="J17" s="62">
        <v>9809870</v>
      </c>
      <c r="K17" s="62">
        <v>0</v>
      </c>
      <c r="L17" s="62">
        <v>5000000</v>
      </c>
      <c r="M17" s="63">
        <f>IFERROR(INDEX(CashIntraTable[Amount],MATCH($A$3&amp;M$5&amp;$A52,CashIntraTable[RefRng],0)),0)</f>
        <v>0</v>
      </c>
      <c r="N17" s="62">
        <f>IFERROR(INDEX(CashIntraTable[Amount],MATCH($A$3&amp;N$5&amp;$A52,CashIntraTable[RefRng],0)),0)</f>
        <v>0</v>
      </c>
      <c r="O17" s="62">
        <f>IFERROR(INDEX(CashIntraTable[Amount],MATCH($A$3&amp;O$5&amp;$A52,CashIntraTable[RefRng],0)),0)</f>
        <v>0</v>
      </c>
      <c r="P17" s="62">
        <f>IFERROR(INDEX(CashIntraTable[Amount],MATCH($A$3&amp;P$5&amp;$A52,CashIntraTable[RefRng],0)),0)</f>
        <v>0</v>
      </c>
    </row>
    <row r="18" spans="1:16" s="22" customFormat="1" x14ac:dyDescent="0.2">
      <c r="A18" s="32" t="s">
        <v>350</v>
      </c>
      <c r="B18" s="33">
        <v>63098775.770000003</v>
      </c>
      <c r="C18" s="33">
        <v>21258192.859999999</v>
      </c>
      <c r="D18" s="62">
        <v>35719458.460000001</v>
      </c>
      <c r="E18" s="62">
        <v>13591028.75</v>
      </c>
      <c r="F18" s="62">
        <v>100396940.18000001</v>
      </c>
      <c r="G18" s="62">
        <v>30361093.530000001</v>
      </c>
      <c r="H18" s="62">
        <v>30345408.690000001</v>
      </c>
      <c r="I18" s="62">
        <v>20965889.859999999</v>
      </c>
      <c r="J18" s="62">
        <v>76937306.959999993</v>
      </c>
      <c r="K18" s="62">
        <v>7365504.0599999996</v>
      </c>
      <c r="L18" s="62">
        <v>31233368.579999998</v>
      </c>
      <c r="M18" s="63">
        <f>IFERROR(INDEX(CashIntraTable[Amount],MATCH($A$3&amp;M$5&amp;$A53,CashIntraTable[RefRng],0)),0)</f>
        <v>80350980.799999997</v>
      </c>
      <c r="N18" s="62">
        <f>IFERROR(INDEX(CashIntraTable[Amount],MATCH($A$3&amp;N$5&amp;$A53,CashIntraTable[RefRng],0)),0)</f>
        <v>2124275.5699999998</v>
      </c>
      <c r="O18" s="62">
        <f>IFERROR(INDEX(CashIntraTable[Amount],MATCH($A$3&amp;O$5&amp;$A53,CashIntraTable[RefRng],0)),0)</f>
        <v>0</v>
      </c>
      <c r="P18" s="62">
        <f>IFERROR(INDEX(CashIntraTable[Amount],MATCH($A$3&amp;P$5&amp;$A53,CashIntraTable[RefRng],0)),0)</f>
        <v>500000</v>
      </c>
    </row>
    <row r="19" spans="1:16" s="22" customFormat="1" x14ac:dyDescent="0.2">
      <c r="A19" s="32" t="s">
        <v>352</v>
      </c>
      <c r="B19" s="33">
        <v>0</v>
      </c>
      <c r="C19" s="33">
        <v>0</v>
      </c>
      <c r="D19" s="62">
        <v>0</v>
      </c>
      <c r="E19" s="62">
        <v>0</v>
      </c>
      <c r="F19" s="62">
        <v>0</v>
      </c>
      <c r="G19" s="62">
        <v>0</v>
      </c>
      <c r="H19" s="62">
        <v>0</v>
      </c>
      <c r="I19" s="62">
        <v>0</v>
      </c>
      <c r="J19" s="62">
        <v>0</v>
      </c>
      <c r="K19" s="62">
        <v>0</v>
      </c>
      <c r="L19" s="62">
        <v>0</v>
      </c>
      <c r="M19" s="63">
        <v>0</v>
      </c>
      <c r="N19" s="62">
        <v>0</v>
      </c>
      <c r="O19" s="62">
        <v>0</v>
      </c>
      <c r="P19" s="62">
        <v>0</v>
      </c>
    </row>
    <row r="20" spans="1:16" s="22" customFormat="1" x14ac:dyDescent="0.2">
      <c r="A20" s="26" t="s">
        <v>353</v>
      </c>
      <c r="B20" s="33">
        <v>36000000</v>
      </c>
      <c r="C20" s="33">
        <v>0</v>
      </c>
      <c r="D20" s="33">
        <v>0</v>
      </c>
      <c r="E20" s="33">
        <v>0</v>
      </c>
      <c r="F20" s="33">
        <v>53991411.359999999</v>
      </c>
      <c r="G20" s="33">
        <v>0</v>
      </c>
      <c r="H20" s="33">
        <v>269000000</v>
      </c>
      <c r="I20" s="33">
        <v>0</v>
      </c>
      <c r="J20" s="33">
        <v>136029311.97999999</v>
      </c>
      <c r="K20" s="33">
        <v>171154260.97</v>
      </c>
      <c r="L20" s="33">
        <v>463965710.30000001</v>
      </c>
      <c r="M20" s="33">
        <f>IFERROR(INDEX(CashProjTable[DebtSell_BahtNet],MATCH($A$3&amp;M$5,CashProjTable[RefRng],0))+SUMIFS(IntraTrans[Net Settlement],IntraTrans[Portfolio],$A$3,IntraTrans[B/S],"S",IntraTrans[Settle Date],M$5,IntraTrans[Payment],"BAHTNET"),0)</f>
        <v>15791565.08</v>
      </c>
      <c r="N20" s="33">
        <f>IFERROR(INDEX(CashProjTable[DebtSell_BahtNet],MATCH($A$3&amp;N$5,CashProjTable[RefRng],0))+SUMIFS(IntraTrans[Net Settlement],IntraTrans[Portfolio],$A$3,IntraTrans[B/S],"S",IntraTrans[Settle Date],N$5,IntraTrans[Payment],"BAHTNET"),0)</f>
        <v>0</v>
      </c>
      <c r="O20" s="33">
        <f>IFERROR(INDEX(CashProjTable[DebtSell_BahtNet],MATCH($A$3&amp;O$5,CashProjTable[RefRng],0))+SUMIFS(IntraTrans[Net Settlement],IntraTrans[Portfolio],$A$3,IntraTrans[B/S],"S",IntraTrans[Settle Date],O$5,IntraTrans[Payment],"BAHTNET"),0)</f>
        <v>50000000</v>
      </c>
      <c r="P20" s="33">
        <f>IFERROR(INDEX(CashProjTable[DebtSell_BahtNet],MATCH($A$3&amp;P$5,CashProjTable[RefRng],0))+SUMIFS(IntraTrans[Net Settlement],IntraTrans[Portfolio],$A$3,IntraTrans[B/S],"S",IntraTrans[Settle Date],P$5,IntraTrans[Payment],"BAHTNET"),0)</f>
        <v>0</v>
      </c>
    </row>
    <row r="21" spans="1:16" s="22" customFormat="1" x14ac:dyDescent="0.2">
      <c r="A21" s="26" t="s">
        <v>354</v>
      </c>
      <c r="B21" s="33">
        <v>0</v>
      </c>
      <c r="C21" s="33">
        <v>0</v>
      </c>
      <c r="D21" s="33">
        <v>342628000</v>
      </c>
      <c r="E21" s="33">
        <v>0</v>
      </c>
      <c r="F21" s="33">
        <v>0</v>
      </c>
      <c r="G21" s="33">
        <v>0</v>
      </c>
      <c r="H21" s="33">
        <v>0</v>
      </c>
      <c r="I21" s="33">
        <v>0</v>
      </c>
      <c r="J21" s="33">
        <v>0</v>
      </c>
      <c r="K21" s="33">
        <v>0</v>
      </c>
      <c r="L21" s="33">
        <v>0</v>
      </c>
      <c r="M21" s="33">
        <f>IFERROR((INDEX(CashProjTable[DebtSell],MATCH($A$3&amp;M$5,CashProjTable[RefRng],0))-INDEX(CashProjTable[DebtSell_BahtNet],MATCH($A$3&amp;M$5,CashProjTable[RefRng],0)))+SUMIFS(IntraTrans[Net Settlement],IntraTrans[Portfolio],$A$3,IntraTrans[B/S],"S",IntraTrans[Settle Date],M$5,IntraTrans[Payment],"CHEQUE"),0)</f>
        <v>0</v>
      </c>
      <c r="N21" s="33">
        <f>IFERROR((INDEX(CashProjTable[DebtSell],MATCH($A$3&amp;N$5,CashProjTable[RefRng],0))-INDEX(CashProjTable[DebtSell_BahtNet],MATCH($A$3&amp;N$5,CashProjTable[RefRng],0)))+SUMIFS(IntraTrans[Net Settlement],IntraTrans[Portfolio],$A$3,IntraTrans[B/S],"S",IntraTrans[Settle Date],N$5,IntraTrans[Payment],"CHEQUE"),0)</f>
        <v>0</v>
      </c>
      <c r="O21" s="33">
        <f>IFERROR((INDEX(CashProjTable[DebtSell],MATCH($A$3&amp;O$5,CashProjTable[RefRng],0))-INDEX(CashProjTable[DebtSell_BahtNet],MATCH($A$3&amp;O$5,CashProjTable[RefRng],0)))+SUMIFS(IntraTrans[Net Settlement],IntraTrans[Portfolio],$A$3,IntraTrans[B/S],"S",IntraTrans[Settle Date],O$5,IntraTrans[Payment],"CHEQUE"),0)</f>
        <v>0</v>
      </c>
      <c r="P21" s="33">
        <f>IFERROR((INDEX(CashProjTable[DebtSell],MATCH($A$3&amp;P$5,CashProjTable[RefRng],0))-INDEX(CashProjTable[DebtSell_BahtNet],MATCH($A$3&amp;P$5,CashProjTable[RefRng],0)))+SUMIFS(IntraTrans[Net Settlement],IntraTrans[Portfolio],$A$3,IntraTrans[B/S],"S",IntraTrans[Settle Date],P$5,IntraTrans[Payment],"CHEQUE"),0)</f>
        <v>0</v>
      </c>
    </row>
    <row r="22" spans="1:16" s="22" customFormat="1" x14ac:dyDescent="0.2">
      <c r="A22" s="26" t="s">
        <v>355</v>
      </c>
      <c r="B22" s="33">
        <v>15000000</v>
      </c>
      <c r="C22" s="33">
        <v>2000000</v>
      </c>
      <c r="D22" s="33">
        <v>15000000</v>
      </c>
      <c r="E22" s="33">
        <v>0</v>
      </c>
      <c r="F22" s="33">
        <v>0</v>
      </c>
      <c r="G22" s="33">
        <v>0</v>
      </c>
      <c r="H22" s="33">
        <v>0</v>
      </c>
      <c r="I22" s="33">
        <v>0</v>
      </c>
      <c r="J22" s="33">
        <v>32000000</v>
      </c>
      <c r="K22" s="33">
        <v>30000000</v>
      </c>
      <c r="L22" s="33">
        <v>50000000</v>
      </c>
      <c r="M22" s="33">
        <f>IF(M$10&lt;0,-M$10,0)+IFERROR(INDEX(CashProjTable[CashEqSell_BahtNet],MATCH($A$3&amp;N$5,CashProjTable[RefRng],0)),0)</f>
        <v>0</v>
      </c>
      <c r="N22" s="33">
        <f>IF(N$10&lt;0,-N$10,0)+IFERROR(INDEX(CashProjTable[CashEqSell_BahtNet],MATCH($A$3&amp;O$5,CashProjTable[RefRng],0)),0)</f>
        <v>0</v>
      </c>
      <c r="O22" s="33">
        <f>IF(O$10&lt;0,-O$10,0)+IFERROR(INDEX(CashProjTable[CashEqSell_BahtNet],MATCH($A$3&amp;P$5,CashProjTable[RefRng],0)),0)</f>
        <v>0</v>
      </c>
      <c r="P22" s="33">
        <f>IF(P$10&lt;0,-P$10,0)+IFERROR(INDEX(CashProjTable[CashEqSell_BahtNet],MATCH($A$3&amp;Q$5,CashProjTable[RefRng],0)),0)</f>
        <v>0</v>
      </c>
    </row>
    <row r="23" spans="1:16" s="22" customFormat="1" x14ac:dyDescent="0.2">
      <c r="A23" s="26" t="s">
        <v>356</v>
      </c>
      <c r="B23" s="33">
        <v>0</v>
      </c>
      <c r="C23" s="33">
        <v>0</v>
      </c>
      <c r="D23" s="33">
        <v>0</v>
      </c>
      <c r="E23" s="33">
        <v>0</v>
      </c>
      <c r="F23" s="33">
        <v>0</v>
      </c>
      <c r="G23" s="33">
        <v>0</v>
      </c>
      <c r="H23" s="33">
        <v>0</v>
      </c>
      <c r="I23" s="33">
        <v>0</v>
      </c>
      <c r="J23" s="33">
        <v>0</v>
      </c>
      <c r="K23" s="33">
        <v>0</v>
      </c>
      <c r="L23" s="33">
        <v>0</v>
      </c>
      <c r="M23" s="33">
        <v>0</v>
      </c>
      <c r="N23" s="33">
        <v>0</v>
      </c>
      <c r="O23" s="33">
        <v>0</v>
      </c>
      <c r="P23" s="33">
        <v>0</v>
      </c>
    </row>
    <row r="24" spans="1:16" s="22" customFormat="1" x14ac:dyDescent="0.2">
      <c r="A24" s="26" t="s">
        <v>357</v>
      </c>
      <c r="B24" s="33">
        <v>0</v>
      </c>
      <c r="C24" s="33">
        <v>0</v>
      </c>
      <c r="D24" s="33">
        <v>0</v>
      </c>
      <c r="E24" s="33">
        <v>12723563.84</v>
      </c>
      <c r="F24" s="33">
        <v>504.07</v>
      </c>
      <c r="G24" s="33">
        <v>0</v>
      </c>
      <c r="H24" s="33">
        <v>1954438.36</v>
      </c>
      <c r="I24" s="33">
        <v>0</v>
      </c>
      <c r="J24" s="33">
        <v>7812.4</v>
      </c>
      <c r="K24" s="33">
        <v>0</v>
      </c>
      <c r="L24" s="33">
        <v>0</v>
      </c>
      <c r="M24" s="33">
        <f>IFERROR(INDEX(CashProjTable[DebtInterest],MATCH($A$3&amp;M$5,CashProjTable[RefRng],0)),0)</f>
        <v>0</v>
      </c>
      <c r="N24" s="33">
        <f>IFERROR(INDEX(CashProjTable[DebtInterest],MATCH($A$3&amp;N$5,CashProjTable[RefRng],0)),0)</f>
        <v>186747.4</v>
      </c>
      <c r="O24" s="33">
        <f>IFERROR(INDEX(CashProjTable[DebtInterest],MATCH($A$3&amp;O$5,CashProjTable[RefRng],0)),0)</f>
        <v>0</v>
      </c>
      <c r="P24" s="33">
        <f>IFERROR(INDEX(CashProjTable[DebtInterest],MATCH($A$3&amp;P$5,CashProjTable[RefRng],0)),0)</f>
        <v>9704109.5899999999</v>
      </c>
    </row>
    <row r="25" spans="1:16" s="22" customFormat="1" x14ac:dyDescent="0.2">
      <c r="A25" s="26" t="s">
        <v>358</v>
      </c>
      <c r="B25" s="33">
        <v>0</v>
      </c>
      <c r="C25" s="33">
        <v>0</v>
      </c>
      <c r="D25" s="33">
        <v>0</v>
      </c>
      <c r="E25" s="33">
        <v>0</v>
      </c>
      <c r="F25" s="33">
        <v>0</v>
      </c>
      <c r="G25" s="33">
        <v>0</v>
      </c>
      <c r="H25" s="33">
        <v>0</v>
      </c>
      <c r="I25" s="33">
        <v>0</v>
      </c>
      <c r="J25" s="33">
        <v>0</v>
      </c>
      <c r="K25" s="33">
        <v>0</v>
      </c>
      <c r="L25" s="33">
        <v>0</v>
      </c>
      <c r="M25" s="33">
        <f>IFERROR(INDEX(CashProjTable[CashEqInterest],MATCH($A$3&amp;M$5,CashProjTable[RefRng],0)),0)</f>
        <v>0</v>
      </c>
      <c r="N25" s="33">
        <f>IFERROR(INDEX(CashProjTable[CashEqInterest],MATCH($A$3&amp;N$5,CashProjTable[RefRng],0)),0)</f>
        <v>0</v>
      </c>
      <c r="O25" s="33">
        <f>IFERROR(INDEX(CashProjTable[CashEqInterest],MATCH($A$3&amp;O$5,CashProjTable[RefRng],0)),0)</f>
        <v>0</v>
      </c>
      <c r="P25" s="33">
        <f>IFERROR(INDEX(CashProjTable[CashEqInterest],MATCH($A$3&amp;P$5,CashProjTable[RefRng],0)),0)</f>
        <v>0</v>
      </c>
    </row>
    <row r="26" spans="1:16" s="36" customFormat="1" x14ac:dyDescent="0.2">
      <c r="A26" s="34" t="s">
        <v>359</v>
      </c>
      <c r="B26" s="35">
        <v>0</v>
      </c>
      <c r="C26" s="35"/>
      <c r="D26" s="35"/>
      <c r="E26" s="35"/>
      <c r="F26" s="35"/>
      <c r="G26" s="35"/>
      <c r="H26" s="35"/>
      <c r="I26" s="35"/>
      <c r="J26" s="35"/>
      <c r="K26" s="35"/>
      <c r="L26" s="35"/>
      <c r="M26" s="35"/>
      <c r="N26" s="35"/>
      <c r="O26" s="35"/>
      <c r="P26" s="35"/>
    </row>
    <row r="27" spans="1:16" s="38" customFormat="1" ht="13.5" thickBot="1" x14ac:dyDescent="0.25">
      <c r="A27" s="28" t="s">
        <v>360</v>
      </c>
      <c r="B27" s="37">
        <v>123126780.77000001</v>
      </c>
      <c r="C27" s="37">
        <v>34227192.859999999</v>
      </c>
      <c r="D27" s="37">
        <v>396147458.45999998</v>
      </c>
      <c r="E27" s="37">
        <v>67890592.590000004</v>
      </c>
      <c r="F27" s="37">
        <v>157656576.61000001</v>
      </c>
      <c r="G27" s="37">
        <v>41979350.530000001</v>
      </c>
      <c r="H27" s="37">
        <v>303360244.77000004</v>
      </c>
      <c r="I27" s="37">
        <v>26185889.859999999</v>
      </c>
      <c r="J27" s="37">
        <v>255239801.34</v>
      </c>
      <c r="K27" s="37">
        <v>228979515.03</v>
      </c>
      <c r="L27" s="37">
        <v>552100183.05999994</v>
      </c>
      <c r="M27" s="37">
        <f t="shared" ref="L27:O27" si="2">SUM(M16:M26)</f>
        <v>103467895.88</v>
      </c>
      <c r="N27" s="37">
        <f t="shared" ref="N27:P27" si="3">SUM(N16:N26)</f>
        <v>2311022.9699999997</v>
      </c>
      <c r="O27" s="37">
        <f t="shared" si="3"/>
        <v>50000000</v>
      </c>
      <c r="P27" s="37">
        <f t="shared" si="3"/>
        <v>10204109.59</v>
      </c>
    </row>
    <row r="28" spans="1:16" s="22" customFormat="1" x14ac:dyDescent="0.2"/>
    <row r="29" spans="1:16" s="25" customFormat="1" x14ac:dyDescent="0.2">
      <c r="A29" s="24" t="s">
        <v>361</v>
      </c>
    </row>
    <row r="30" spans="1:16" s="22" customFormat="1" x14ac:dyDescent="0.2">
      <c r="A30" s="32" t="s">
        <v>362</v>
      </c>
      <c r="B30" s="33">
        <v>0</v>
      </c>
      <c r="C30" s="33">
        <v>0</v>
      </c>
      <c r="D30" s="62">
        <v>0</v>
      </c>
      <c r="E30" s="62">
        <v>0</v>
      </c>
      <c r="F30" s="62">
        <v>0</v>
      </c>
      <c r="G30" s="62">
        <v>0</v>
      </c>
      <c r="H30" s="62">
        <v>0</v>
      </c>
      <c r="I30" s="62">
        <v>0</v>
      </c>
      <c r="J30" s="62">
        <v>0</v>
      </c>
      <c r="K30" s="62">
        <v>0</v>
      </c>
      <c r="L30" s="62">
        <v>0</v>
      </c>
      <c r="M30" s="63">
        <f>IFERROR(ABS(INDEX(CashIntraTable[Amount],MATCH($A$3&amp;M$5&amp;$A54,CashIntraTable[RefRng],0))),0)</f>
        <v>0</v>
      </c>
      <c r="N30" s="62">
        <f>IFERROR(ABS(INDEX(CashIntraTable[Amount],MATCH($A$3&amp;N$5&amp;$A54,CashIntraTable[RefRng],0))),0)</f>
        <v>0</v>
      </c>
      <c r="O30" s="62">
        <f>IFERROR(ABS(INDEX(CashIntraTable[Amount],MATCH($A$3&amp;O$5&amp;$A54,CashIntraTable[RefRng],0))),0)</f>
        <v>0</v>
      </c>
      <c r="P30" s="62">
        <f>IFERROR(ABS(INDEX(CashIntraTable[Amount],MATCH($A$3&amp;P$5&amp;$A54,CashIntraTable[RefRng],0))),0)</f>
        <v>0</v>
      </c>
    </row>
    <row r="31" spans="1:16" s="22" customFormat="1" x14ac:dyDescent="0.2">
      <c r="A31" s="32" t="s">
        <v>363</v>
      </c>
      <c r="B31" s="33">
        <v>0</v>
      </c>
      <c r="C31" s="33">
        <v>0</v>
      </c>
      <c r="D31" s="62">
        <v>0</v>
      </c>
      <c r="E31" s="62">
        <v>0</v>
      </c>
      <c r="F31" s="62">
        <v>0</v>
      </c>
      <c r="G31" s="62">
        <v>0</v>
      </c>
      <c r="H31" s="62">
        <v>0</v>
      </c>
      <c r="I31" s="62">
        <v>0</v>
      </c>
      <c r="J31" s="62">
        <v>0</v>
      </c>
      <c r="K31" s="62">
        <v>0</v>
      </c>
      <c r="L31" s="62">
        <v>0</v>
      </c>
      <c r="M31" s="63">
        <f>IFERROR(ABS(INDEX(CashIntraTable[Amount],MATCH($A$3&amp;M$5&amp;$A55,CashIntraTable[RefRng],0))),0)</f>
        <v>0</v>
      </c>
      <c r="N31" s="62">
        <f>IFERROR(ABS(INDEX(CashIntraTable[Amount],MATCH($A$3&amp;N$5&amp;$A55,CashIntraTable[RefRng],0))),0)</f>
        <v>0</v>
      </c>
      <c r="O31" s="62">
        <f>IFERROR(ABS(INDEX(CashIntraTable[Amount],MATCH($A$3&amp;O$5&amp;$A55,CashIntraTable[RefRng],0))),0)</f>
        <v>0</v>
      </c>
      <c r="P31" s="62">
        <f>IFERROR(ABS(INDEX(CashIntraTable[Amount],MATCH($A$3&amp;P$5&amp;$A55,CashIntraTable[RefRng],0))),0)</f>
        <v>0</v>
      </c>
    </row>
    <row r="32" spans="1:16" s="22" customFormat="1" x14ac:dyDescent="0.2">
      <c r="A32" s="26" t="s">
        <v>364</v>
      </c>
      <c r="B32" s="33">
        <v>119944053.59999999</v>
      </c>
      <c r="C32" s="33">
        <v>36092432.380000003</v>
      </c>
      <c r="D32" s="33">
        <v>376432019.64999998</v>
      </c>
      <c r="E32" s="33">
        <v>63197613.920000002</v>
      </c>
      <c r="F32" s="33">
        <v>129482035.8</v>
      </c>
      <c r="G32" s="33">
        <v>49978639.5</v>
      </c>
      <c r="H32" s="33">
        <v>0</v>
      </c>
      <c r="I32" s="33">
        <v>0</v>
      </c>
      <c r="J32" s="33">
        <v>252123328</v>
      </c>
      <c r="K32" s="33">
        <v>235660165.50999999</v>
      </c>
      <c r="L32" s="33">
        <v>542352592.20000005</v>
      </c>
      <c r="M32" s="33">
        <f>IFERROR(INDEX(CashProjTable[DebtBuy_BahtNet],MATCH($A$3&amp;M$5,CashProjTable[RefRng],0))+SUMIFS(IntraTrans[Net Settlement],IntraTrans[Portfolio],$A$3,IntraTrans[B/S],"B",IntraTrans[Settle Date],M$5,IntraTrans[Payment],"BAHTNET"),0)</f>
        <v>70914126.209999993</v>
      </c>
      <c r="N32" s="33">
        <f>IFERROR(INDEX(CashProjTable[DebtBuy_BahtNet],MATCH($A$3&amp;N$5,CashProjTable[RefRng],0))+SUMIFS(IntraTrans[Net Settlement],IntraTrans[Portfolio],$A$3,IntraTrans[B/S],"B",IntraTrans[Settle Date],N$5,IntraTrans[Payment],"BAHTNET"),0)</f>
        <v>0</v>
      </c>
      <c r="O32" s="33">
        <f>IFERROR(INDEX(CashProjTable[DebtBuy_BahtNet],MATCH($A$3&amp;O$5,CashProjTable[RefRng],0))+SUMIFS(IntraTrans[Net Settlement],IntraTrans[Portfolio],$A$3,IntraTrans[B/S],"B",IntraTrans[Settle Date],O$5,IntraTrans[Payment],"BAHTNET"),0)</f>
        <v>0</v>
      </c>
      <c r="P32" s="33">
        <f>IFERROR(INDEX(CashProjTable[DebtBuy_BahtNet],MATCH($A$3&amp;P$5,CashProjTable[RefRng],0))+SUMIFS(IntraTrans[Net Settlement],IntraTrans[Portfolio],$A$3,IntraTrans[B/S],"B",IntraTrans[Settle Date],P$5,IntraTrans[Payment],"BAHTNET"),0)</f>
        <v>0</v>
      </c>
    </row>
    <row r="33" spans="1:33" s="22" customFormat="1" x14ac:dyDescent="0.2">
      <c r="A33" s="26" t="s">
        <v>365</v>
      </c>
      <c r="B33" s="33">
        <v>0</v>
      </c>
      <c r="C33" s="33">
        <v>0</v>
      </c>
      <c r="D33" s="33">
        <v>0</v>
      </c>
      <c r="E33" s="33">
        <v>0</v>
      </c>
      <c r="F33" s="33">
        <v>0</v>
      </c>
      <c r="G33" s="33">
        <v>0</v>
      </c>
      <c r="H33" s="33">
        <v>0</v>
      </c>
      <c r="I33" s="33">
        <v>0</v>
      </c>
      <c r="J33" s="33">
        <v>0</v>
      </c>
      <c r="K33" s="33">
        <v>0</v>
      </c>
      <c r="L33" s="33">
        <v>0</v>
      </c>
      <c r="M33" s="33">
        <f>IFERROR((INDEX(CashProjTable[DebtBuy],MATCH($A$3&amp;M$5,CashProjTable[RefRng],0))-INDEX(CashProjTable[DebtBuy_BahtNet],MATCH($A$3&amp;M$5,CashProjTable[RefRng],0)))+SUMIFS(IntraTrans[Net Settlement],IntraTrans[Portfolio],$A$3,IntraTrans[B/S],"B",IntraTrans[Settle Date],M$5,IntraTrans[Payment],"CHEQUE"),0)</f>
        <v>0</v>
      </c>
      <c r="N33" s="33">
        <f>IFERROR((INDEX(CashProjTable[DebtBuy],MATCH($A$3&amp;N$5,CashProjTable[RefRng],0))-INDEX(CashProjTable[DebtBuy_BahtNet],MATCH($A$3&amp;N$5,CashProjTable[RefRng],0)))+SUMIFS(IntraTrans[Net Settlement],IntraTrans[Portfolio],$A$3,IntraTrans[B/S],"B",IntraTrans[Settle Date],N$5,IntraTrans[Payment],"CHEQUE"),0)</f>
        <v>0</v>
      </c>
      <c r="O33" s="33">
        <f>IFERROR((INDEX(CashProjTable[DebtBuy],MATCH($A$3&amp;O$5,CashProjTable[RefRng],0))-INDEX(CashProjTable[DebtBuy_BahtNet],MATCH($A$3&amp;O$5,CashProjTable[RefRng],0)))+SUMIFS(IntraTrans[Net Settlement],IntraTrans[Portfolio],$A$3,IntraTrans[B/S],"B",IntraTrans[Settle Date],O$5,IntraTrans[Payment],"CHEQUE"),0)</f>
        <v>0</v>
      </c>
      <c r="P33" s="33">
        <f>IFERROR((INDEX(CashProjTable[DebtBuy],MATCH($A$3&amp;P$5,CashProjTable[RefRng],0))-INDEX(CashProjTable[DebtBuy_BahtNet],MATCH($A$3&amp;P$5,CashProjTable[RefRng],0)))+SUMIFS(IntraTrans[Net Settlement],IntraTrans[Portfolio],$A$3,IntraTrans[B/S],"B",IntraTrans[Settle Date],P$5,IntraTrans[Payment],"CHEQUE"),0)</f>
        <v>0</v>
      </c>
    </row>
    <row r="34" spans="1:33" s="22" customFormat="1" x14ac:dyDescent="0.2">
      <c r="A34" s="26" t="s">
        <v>355</v>
      </c>
      <c r="B34" s="33">
        <v>0</v>
      </c>
      <c r="C34" s="33">
        <v>0</v>
      </c>
      <c r="D34" s="33">
        <v>0</v>
      </c>
      <c r="E34" s="33">
        <v>0</v>
      </c>
      <c r="F34" s="33">
        <v>20000000</v>
      </c>
      <c r="G34" s="33">
        <v>0</v>
      </c>
      <c r="H34" s="33">
        <v>60000000</v>
      </c>
      <c r="I34" s="33">
        <v>28000000</v>
      </c>
      <c r="J34" s="33">
        <v>0</v>
      </c>
      <c r="K34" s="33">
        <v>0</v>
      </c>
      <c r="L34" s="33">
        <v>0</v>
      </c>
      <c r="M34" s="33">
        <f>IF(M$10&gt;0,M$10,0)+IFERROR(INDEX(CashProjTable[CashEqBuy_BahtNet],MATCH($A$3&amp;N$5,CashProjTable[RefRng],0)),0)</f>
        <v>30000000</v>
      </c>
      <c r="N34" s="33">
        <f>IF(N$10&gt;0,N$10,0)+IFERROR(INDEX(CashProjTable[CashEqBuy_BahtNet],MATCH($A$3&amp;O$5,CashProjTable[RefRng],0)),0)</f>
        <v>0</v>
      </c>
      <c r="O34" s="33">
        <f>IF(O$10&gt;0,O$10,0)+IFERROR(INDEX(CashProjTable[CashEqBuy_BahtNet],MATCH($A$3&amp;P$5,CashProjTable[RefRng],0)),0)</f>
        <v>0</v>
      </c>
      <c r="P34" s="33">
        <f>IF(P$10&gt;0,P$10,0)+IFERROR(INDEX(CashProjTable[CashEqBuy_BahtNet],MATCH($A$3&amp;Q$5,CashProjTable[RefRng],0)),0)</f>
        <v>0</v>
      </c>
    </row>
    <row r="35" spans="1:33" s="22" customFormat="1" x14ac:dyDescent="0.2">
      <c r="A35" s="26" t="s">
        <v>356</v>
      </c>
      <c r="B35" s="33">
        <v>0</v>
      </c>
      <c r="C35" s="33">
        <v>0</v>
      </c>
      <c r="D35" s="33">
        <v>0</v>
      </c>
      <c r="E35" s="33">
        <v>0</v>
      </c>
      <c r="F35" s="33">
        <v>0</v>
      </c>
      <c r="G35" s="33">
        <v>0</v>
      </c>
      <c r="H35" s="33">
        <v>0</v>
      </c>
      <c r="I35" s="33">
        <v>0</v>
      </c>
      <c r="J35" s="33">
        <v>0</v>
      </c>
      <c r="K35" s="33">
        <v>0</v>
      </c>
      <c r="L35" s="33">
        <v>0</v>
      </c>
      <c r="M35" s="33">
        <v>0</v>
      </c>
      <c r="N35" s="33">
        <v>0</v>
      </c>
      <c r="O35" s="33">
        <v>0</v>
      </c>
      <c r="P35" s="33">
        <v>0</v>
      </c>
    </row>
    <row r="36" spans="1:33" s="22" customFormat="1" x14ac:dyDescent="0.2">
      <c r="A36" s="26" t="s">
        <v>366</v>
      </c>
      <c r="B36" s="33">
        <v>0</v>
      </c>
      <c r="C36" s="33">
        <v>0</v>
      </c>
      <c r="D36" s="33">
        <v>0</v>
      </c>
      <c r="E36" s="33">
        <v>0</v>
      </c>
      <c r="F36" s="33">
        <v>0</v>
      </c>
      <c r="G36" s="33">
        <v>0</v>
      </c>
      <c r="H36" s="33">
        <v>0</v>
      </c>
      <c r="I36" s="33">
        <v>0</v>
      </c>
      <c r="J36" s="33">
        <v>0</v>
      </c>
      <c r="K36" s="33">
        <v>0</v>
      </c>
      <c r="L36" s="33">
        <v>0</v>
      </c>
      <c r="M36" s="33">
        <f>IFERROR(INDEX(CashProjTable[Expense],MATCH($A$3&amp;M$5,CashProjTable[RefRng],0)),0)</f>
        <v>0</v>
      </c>
      <c r="N36" s="33">
        <f>IFERROR(INDEX(CashProjTable[Expense],MATCH($A$3&amp;N$5,CashProjTable[RefRng],0)),0)</f>
        <v>0</v>
      </c>
      <c r="O36" s="33">
        <f>IFERROR(INDEX(CashProjTable[Expense],MATCH($A$3&amp;O$5,CashProjTable[RefRng],0)),0)</f>
        <v>0</v>
      </c>
      <c r="P36" s="33">
        <f>IFERROR(INDEX(CashProjTable[Expense],MATCH($A$3&amp;P$5,CashProjTable[RefRng],0)),0)</f>
        <v>0</v>
      </c>
    </row>
    <row r="37" spans="1:33" s="36" customFormat="1" x14ac:dyDescent="0.2">
      <c r="A37" s="34" t="s">
        <v>359</v>
      </c>
      <c r="B37" s="35"/>
      <c r="C37" s="35"/>
      <c r="D37" s="35"/>
      <c r="E37" s="35"/>
      <c r="F37" s="35"/>
      <c r="G37" s="35"/>
      <c r="H37" s="35">
        <v>240000000</v>
      </c>
      <c r="I37" s="35"/>
      <c r="J37" s="35"/>
      <c r="K37" s="35"/>
      <c r="L37" s="35">
        <v>7000000</v>
      </c>
      <c r="M37" s="35"/>
      <c r="N37" s="35"/>
      <c r="O37" s="35"/>
      <c r="P37" s="35"/>
    </row>
    <row r="38" spans="1:33" s="38" customFormat="1" ht="13.5" thickBot="1" x14ac:dyDescent="0.25">
      <c r="A38" s="28" t="s">
        <v>367</v>
      </c>
      <c r="B38" s="37">
        <v>119944053.59999999</v>
      </c>
      <c r="C38" s="37">
        <v>36092432.380000003</v>
      </c>
      <c r="D38" s="37">
        <v>376432019.64999998</v>
      </c>
      <c r="E38" s="37">
        <v>63197613.920000002</v>
      </c>
      <c r="F38" s="37">
        <v>149482035.80000001</v>
      </c>
      <c r="G38" s="37">
        <v>49978639.5</v>
      </c>
      <c r="H38" s="37">
        <v>300000000</v>
      </c>
      <c r="I38" s="37">
        <v>28000000</v>
      </c>
      <c r="J38" s="37">
        <v>252123328</v>
      </c>
      <c r="K38" s="37">
        <v>235660165.50999999</v>
      </c>
      <c r="L38" s="37">
        <v>549352592.20000005</v>
      </c>
      <c r="M38" s="37">
        <f t="shared" ref="L38:O38" si="4">SUM(M30:M37)</f>
        <v>100914126.20999999</v>
      </c>
      <c r="N38" s="37">
        <f t="shared" ref="N38:P38" si="5">SUM(N30:N37)</f>
        <v>0</v>
      </c>
      <c r="O38" s="37">
        <f t="shared" si="5"/>
        <v>0</v>
      </c>
      <c r="P38" s="37">
        <f t="shared" si="5"/>
        <v>0</v>
      </c>
    </row>
    <row r="39" spans="1:33" s="22" customFormat="1" x14ac:dyDescent="0.2"/>
    <row r="40" spans="1:33" s="25" customFormat="1" x14ac:dyDescent="0.2">
      <c r="A40" s="24" t="s">
        <v>839</v>
      </c>
    </row>
    <row r="41" spans="1:33" s="22" customFormat="1" x14ac:dyDescent="0.2">
      <c r="A41" s="26" t="s">
        <v>369</v>
      </c>
      <c r="B41" s="33">
        <v>7717642.4500000179</v>
      </c>
      <c r="C41" s="33">
        <v>3479576.9299999997</v>
      </c>
      <c r="D41" s="33">
        <v>23023183.180000007</v>
      </c>
      <c r="E41" s="33">
        <v>7121921.7100000083</v>
      </c>
      <c r="F41" s="33">
        <v>15002884.830000013</v>
      </c>
      <c r="G41" s="33">
        <v>6434512.4699999988</v>
      </c>
      <c r="H41" s="33">
        <v>9572391.310000062</v>
      </c>
      <c r="I41" s="33">
        <v>7575524.6000000015</v>
      </c>
      <c r="J41" s="33">
        <v>10552582.569999993</v>
      </c>
      <c r="K41" s="33">
        <v>3400437.0900000036</v>
      </c>
      <c r="L41" s="33">
        <v>6000033.1699998379</v>
      </c>
      <c r="M41" s="33">
        <f t="shared" ref="K41:P41" ca="1" si="6">M$6+M$27-M$38</f>
        <v>8553802.8399998397</v>
      </c>
      <c r="N41" s="33">
        <f t="shared" ca="1" si="6"/>
        <v>10864825.809999838</v>
      </c>
      <c r="O41" s="33">
        <f t="shared" ca="1" si="6"/>
        <v>60864825.809999838</v>
      </c>
      <c r="P41" s="33">
        <f t="shared" ca="1" si="6"/>
        <v>71068935.399999842</v>
      </c>
    </row>
    <row r="42" spans="1:33" s="22" customFormat="1" x14ac:dyDescent="0.2">
      <c r="A42" s="26" t="s">
        <v>853</v>
      </c>
      <c r="B42" s="33">
        <v>5344816.45</v>
      </c>
      <c r="C42" s="33">
        <v>-8530674.8499999996</v>
      </c>
      <c r="D42" s="33">
        <v>2428943.04</v>
      </c>
      <c r="E42" s="33">
        <v>0</v>
      </c>
      <c r="F42" s="33">
        <v>14433801.439999999</v>
      </c>
      <c r="G42" s="33">
        <f>IFERROR(INDEX(CashProjTable[CashBal],MATCH($A$3&amp;G$5,CashProjTable[RefRng],0)),0)</f>
        <v>0</v>
      </c>
      <c r="H42" s="33">
        <v>9389634.7400000002</v>
      </c>
      <c r="I42" s="33">
        <v>7436109.2300000004</v>
      </c>
      <c r="J42" s="33">
        <v>10081087.57</v>
      </c>
      <c r="K42" s="33">
        <f>IFERROR(INDEX(CashProjTable[CashBal],MATCH($A$3&amp;K$5,CashProjTable[RefRng],0)),0)</f>
        <v>3252442.31</v>
      </c>
      <c r="L42" s="33">
        <v>-62499966.829999998</v>
      </c>
      <c r="M42" s="33">
        <f>IFERROR(INDEX(CashProjTable[CashBal],MATCH($A$3&amp;M$5,CashProjTable[RefRng],0)),0)</f>
        <v>-46708401.75</v>
      </c>
      <c r="N42" s="33">
        <f>IFERROR(INDEX(CashProjTable[CashBal],MATCH($A$3&amp;N$5,CashProjTable[RefRng],0)),0)</f>
        <v>-46521654.350000001</v>
      </c>
      <c r="O42" s="33">
        <f>IFERROR(INDEX(CashProjTable[CashBal],MATCH($A$3&amp;O$5,CashProjTable[RefRng],0)),0)</f>
        <v>3478345.6499999599</v>
      </c>
      <c r="P42" s="33">
        <f>IFERROR(INDEX(CashProjTable[CashBal],MATCH($A$3&amp;P$5,CashProjTable[RefRng],0)),0)</f>
        <v>13182455.24</v>
      </c>
    </row>
    <row r="43" spans="1:33" s="41" customFormat="1" x14ac:dyDescent="0.2">
      <c r="A43" s="39" t="s">
        <v>370</v>
      </c>
      <c r="B43" s="40">
        <v>-2372826.0000000177</v>
      </c>
      <c r="C43" s="40">
        <v>-12010251.779999999</v>
      </c>
      <c r="D43" s="40">
        <v>-20594240.140000008</v>
      </c>
      <c r="E43" s="40">
        <v>-9681028.7500000075</v>
      </c>
      <c r="F43" s="40">
        <v>-57759670.040000014</v>
      </c>
      <c r="G43" s="40">
        <v>7999288.9699999988</v>
      </c>
      <c r="H43" s="40">
        <v>292987476.78999996</v>
      </c>
      <c r="I43" s="40">
        <v>1814110.1399999857</v>
      </c>
      <c r="J43" s="40">
        <v>-238709143.35999998</v>
      </c>
      <c r="K43" s="40">
        <v>57763467.939999998</v>
      </c>
      <c r="L43" s="40">
        <v>-330985930.25999993</v>
      </c>
      <c r="M43" s="40">
        <f t="shared" ref="M43:O43" ca="1" si="7">M42-M41</f>
        <v>-55262204.58999984</v>
      </c>
      <c r="N43" s="40">
        <f t="shared" ref="N43:P43" ca="1" si="8">N42-N41</f>
        <v>-57386480.15999984</v>
      </c>
      <c r="O43" s="40">
        <f t="shared" ca="1" si="8"/>
        <v>-57386480.159999877</v>
      </c>
      <c r="P43" s="40">
        <f t="shared" ca="1" si="8"/>
        <v>-57886480.15999984</v>
      </c>
    </row>
    <row r="44" spans="1:33" s="22" customFormat="1" x14ac:dyDescent="0.2">
      <c r="A44" s="26" t="s">
        <v>854</v>
      </c>
      <c r="B44" s="44">
        <v>20856336187.580002</v>
      </c>
      <c r="C44" s="33">
        <v>20877480273.040001</v>
      </c>
      <c r="D44" s="33">
        <v>20939168373.650002</v>
      </c>
      <c r="E44" s="33">
        <v>20958547253.91</v>
      </c>
      <c r="F44" s="33">
        <v>21075783162.18</v>
      </c>
      <c r="G44" s="33">
        <v>21120128116.139999</v>
      </c>
      <c r="H44" s="33">
        <v>21155652658.610001</v>
      </c>
      <c r="I44" s="33">
        <v>26185889.859999999</v>
      </c>
      <c r="J44" s="33">
        <v>21252016857.580002</v>
      </c>
      <c r="K44" s="33">
        <v>21285611034.829998</v>
      </c>
      <c r="L44" s="33">
        <v>21311055833.629997</v>
      </c>
      <c r="M44" s="33">
        <f t="shared" ref="M44" ca="1" si="9">IF(M$5&gt;TODAY(),L44,L45)+SUM(M16:M19)-SUM(M30:M31)</f>
        <v>21398732164.429996</v>
      </c>
      <c r="N44" s="33">
        <f t="shared" ref="N44" ca="1" si="10">IF(N$5&gt;TODAY(),M44,M45)+SUM(N16:N19)-SUM(N30:N31)</f>
        <v>21400856439.999996</v>
      </c>
      <c r="O44" s="33">
        <f t="shared" ref="O44" ca="1" si="11">IF(O$5&gt;TODAY(),N44,N45)+SUM(O16:O19)-SUM(O30:O31)</f>
        <v>21400856439.999996</v>
      </c>
      <c r="P44" s="33">
        <f t="shared" ref="P44" ca="1" si="12">IF(P$5&gt;TODAY(),O44,O45)+SUM(P16:P19)-SUM(P30:P31)</f>
        <v>21401356439.999996</v>
      </c>
    </row>
    <row r="45" spans="1:33" s="22" customFormat="1" x14ac:dyDescent="0.2">
      <c r="A45" s="26" t="s">
        <v>855</v>
      </c>
      <c r="B45" s="33">
        <v>20845253080.18</v>
      </c>
      <c r="C45" s="33">
        <v>20900648915.190002</v>
      </c>
      <c r="D45" s="33">
        <v>20903380225.16</v>
      </c>
      <c r="E45" s="33">
        <v>20972118501</v>
      </c>
      <c r="F45" s="33">
        <v>21078148765.610001</v>
      </c>
      <c r="G45" s="33">
        <f>[1]!SCBAM_GetGroup1Dtl($A$3,"NET ASSET VALUE",G$5,"MarketVal")+[1]!SCBAM_GetGroup1Dtl($A$3,"NET ASSET VALUE",G$5,"ai")</f>
        <v>21123246852.200001</v>
      </c>
      <c r="H45" s="33">
        <v>21164577511.049999</v>
      </c>
      <c r="I45" s="33">
        <v>21164814180.620003</v>
      </c>
      <c r="J45" s="33">
        <v>21257785780.769997</v>
      </c>
      <c r="K45" s="33">
        <f>[1]!SCBAM_GetGroup1Dtl($A$3,"NET ASSET VALUE",K$5,"MarketVal")+[1]!SCBAM_GetGroup1Dtl($A$3,"NET ASSET VALUE",K$5,"ai")</f>
        <v>21272921360.869999</v>
      </c>
      <c r="L45" s="33">
        <v>0</v>
      </c>
      <c r="M45" s="33">
        <f>[1]!SCBAM_GetGroup1Dtl($A$3,"NET ASSET VALUE",M$5,"MarketVal")+[1]!SCBAM_GetGroup1Dtl($A$3,"NET ASSET VALUE",M$5,"ai")</f>
        <v>0</v>
      </c>
      <c r="N45" s="33">
        <f>[1]!SCBAM_GetGroup1Dtl($A$3,"NET ASSET VALUE",N$5,"MarketVal")+[1]!SCBAM_GetGroup1Dtl($A$3,"NET ASSET VALUE",N$5,"ai")</f>
        <v>0</v>
      </c>
      <c r="O45" s="33">
        <f>[1]!SCBAM_GetGroup1Dtl($A$3,"NET ASSET VALUE",O$5,"MarketVal")+[1]!SCBAM_GetGroup1Dtl($A$3,"NET ASSET VALUE",O$5,"ai")</f>
        <v>0</v>
      </c>
      <c r="P45" s="33">
        <f>[1]!SCBAM_GetGroup1Dtl($A$3,"NET ASSET VALUE",P$5,"MarketVal")+[1]!SCBAM_GetGroup1Dtl($A$3,"NET ASSET VALUE",P$5,"ai")</f>
        <v>0</v>
      </c>
    </row>
    <row r="46" spans="1:33" s="21" customFormat="1" x14ac:dyDescent="0.2">
      <c r="A46" s="19" t="s">
        <v>840</v>
      </c>
      <c r="B46" s="20">
        <v>32227192.859999999</v>
      </c>
      <c r="C46" s="20">
        <v>38519458.460000001</v>
      </c>
      <c r="D46" s="20">
        <v>55167028.75</v>
      </c>
      <c r="E46" s="20">
        <v>2903716.3</v>
      </c>
      <c r="F46" s="20">
        <v>41979350.530000001</v>
      </c>
      <c r="G46" s="20">
        <v>9260632.2100000009</v>
      </c>
      <c r="H46" s="20">
        <v>26185889.859999999</v>
      </c>
      <c r="I46" s="20">
        <v>87202676.959999993</v>
      </c>
      <c r="J46" s="20">
        <v>3090586.3200000003</v>
      </c>
      <c r="K46" s="20">
        <v>38134472.759999998</v>
      </c>
      <c r="L46" s="20">
        <v>87676330.799999997</v>
      </c>
      <c r="M46" s="20">
        <f t="shared" ref="L46:M46" si="13">SUM(N16:N19)-SUM(N30:N31)</f>
        <v>2124275.5699999998</v>
      </c>
      <c r="N46" s="20">
        <f t="shared" ref="N46" si="14">SUM(O16:O19)-SUM(O30:O31)</f>
        <v>0</v>
      </c>
      <c r="O46" s="20">
        <f t="shared" ref="O46" si="15">SUM(P16:P19)-SUM(P30:P31)</f>
        <v>500000</v>
      </c>
      <c r="P46" s="20">
        <f t="shared" ref="P46" si="16">SUM(Q16:Q19)-SUM(Q30:Q31)</f>
        <v>0</v>
      </c>
    </row>
    <row r="47" spans="1:33" s="47" customFormat="1" x14ac:dyDescent="0.2">
      <c r="A47" s="45" t="s">
        <v>371</v>
      </c>
      <c r="B47" s="48">
        <v>3.7023500843643271E-4</v>
      </c>
      <c r="C47" s="48">
        <v>1.6648176542839976E-4</v>
      </c>
      <c r="D47" s="48">
        <v>1.1014095773988048E-3</v>
      </c>
      <c r="E47" s="48">
        <v>3.3980989348731468E-4</v>
      </c>
      <c r="F47" s="48">
        <v>7.1177431172124244E-4</v>
      </c>
      <c r="G47" s="48">
        <v>-2.4032086311641366E-3</v>
      </c>
      <c r="H47" s="48">
        <v>4.5247440315221177E-4</v>
      </c>
      <c r="I47" s="48">
        <v>11.485031044119729</v>
      </c>
      <c r="J47" s="48">
        <v>9.4035658233877664E-4</v>
      </c>
      <c r="K47" s="48">
        <v>-3.1719627249375431E-3</v>
      </c>
      <c r="L47" s="48">
        <v>-1.2515940602956419E-3</v>
      </c>
      <c r="M47" s="48">
        <f t="shared" ref="M47:O47" ca="1" si="17">M41/IF(M5&lt;TODAY(),M45,M44)</f>
        <v>3.9973409519178816E-4</v>
      </c>
      <c r="N47" s="48">
        <f t="shared" ref="N47:P47" ca="1" si="18">N41/IF(N5&lt;TODAY(),N45,N44)</f>
        <v>5.0768182294296253E-4</v>
      </c>
      <c r="O47" s="48">
        <f t="shared" ca="1" si="18"/>
        <v>2.8440369188327611E-3</v>
      </c>
      <c r="P47" s="48">
        <f t="shared" ca="1" si="18"/>
        <v>3.3207678026972694E-3</v>
      </c>
      <c r="Q47" s="46"/>
      <c r="R47" s="46"/>
      <c r="S47" s="46"/>
      <c r="T47" s="46"/>
      <c r="U47" s="46"/>
      <c r="V47" s="46"/>
      <c r="W47" s="46"/>
      <c r="X47" s="46"/>
      <c r="Y47" s="46"/>
      <c r="Z47" s="46"/>
      <c r="AA47" s="46"/>
      <c r="AB47" s="46"/>
      <c r="AC47" s="46"/>
      <c r="AD47" s="46"/>
      <c r="AE47" s="46"/>
      <c r="AF47" s="46"/>
      <c r="AG47" s="46"/>
    </row>
    <row r="48" spans="1:33" s="42" customFormat="1" x14ac:dyDescent="0.2">
      <c r="A48" s="42" t="s">
        <v>372</v>
      </c>
      <c r="B48" s="43">
        <v>-3730760.47</v>
      </c>
      <c r="C48" s="43">
        <v>-30747615.93</v>
      </c>
      <c r="D48" s="43">
        <v>-9533853.8399999999</v>
      </c>
      <c r="E48" s="43">
        <v>-48045107.039999999</v>
      </c>
      <c r="F48" s="43">
        <v>-68661776.349999994</v>
      </c>
      <c r="G48" s="43">
        <v>-42756785.210000001</v>
      </c>
      <c r="H48" s="43">
        <v>277166584.89999998</v>
      </c>
      <c r="I48" s="43">
        <v>302559868.10000002</v>
      </c>
      <c r="J48" s="43">
        <v>-218724669.41999999</v>
      </c>
      <c r="K48" s="43">
        <v>-9753696.8399999999</v>
      </c>
      <c r="L48" s="43">
        <v>-357658721.16000003</v>
      </c>
      <c r="M48" s="43">
        <f>IFERROR(INDEX(CashProjTable[CashForUse],MATCH($A$3&amp;M$5,CashProjTable[RefRng],0)),0)</f>
        <v>-46708401.75</v>
      </c>
      <c r="N48" s="43">
        <f>IFERROR(INDEX(CashProjTable[CashForUse],MATCH($A$3&amp;N$5,CashProjTable[RefRng],0)),0)</f>
        <v>-46521654.350000001</v>
      </c>
      <c r="O48" s="43">
        <f>IFERROR(INDEX(CashProjTable[CashForUse],MATCH($A$3&amp;O$5,CashProjTable[RefRng],0)),0)</f>
        <v>3478345.6499999599</v>
      </c>
      <c r="P48" s="43">
        <f>IFERROR(INDEX(CashProjTable[CashForUse],MATCH($A$3&amp;P$5,CashProjTable[RefRng],0)),0)</f>
        <v>13182455.24</v>
      </c>
    </row>
    <row r="49" spans="1:16" s="42" customFormat="1" x14ac:dyDescent="0.2">
      <c r="A49" s="42" t="s">
        <v>373</v>
      </c>
      <c r="B49" s="43">
        <v>-7746277.7400000002</v>
      </c>
      <c r="C49" s="43">
        <v>-37738252.280000001</v>
      </c>
      <c r="D49" s="43">
        <v>-363072506.57999998</v>
      </c>
      <c r="E49" s="43">
        <v>-63553768.109999999</v>
      </c>
      <c r="F49" s="43">
        <v>-110016996.95</v>
      </c>
      <c r="G49" s="43">
        <v>-46007217.530000001</v>
      </c>
      <c r="H49" s="43">
        <v>263655677.44999999</v>
      </c>
      <c r="I49" s="43">
        <v>300510368.10000002</v>
      </c>
      <c r="J49" s="43">
        <v>-223944669.41999999</v>
      </c>
      <c r="K49" s="43">
        <v>-20019066.84</v>
      </c>
      <c r="L49" s="43">
        <v>-378118471.16000003</v>
      </c>
      <c r="M49" s="43">
        <f>IFERROR(INDEX(CashProjTable[CashForBahtNet],MATCH($A$3&amp;M$5,CashProjTable[RefRng],0)),0)</f>
        <v>-53609505.93</v>
      </c>
      <c r="N49" s="43">
        <f>IFERROR(INDEX(CashProjTable[CashForBahtNet],MATCH($A$3&amp;N$5,CashProjTable[RefRng],0)),0)</f>
        <v>-46708401.75</v>
      </c>
      <c r="O49" s="43">
        <f>IFERROR(INDEX(CashProjTable[CashForBahtNet],MATCH($A$3&amp;O$5,CashProjTable[RefRng],0)),0)</f>
        <v>3478345.6499999599</v>
      </c>
      <c r="P49" s="43">
        <f>IFERROR(INDEX(CashProjTable[CashForBahtNet],MATCH($A$3&amp;P$5,CashProjTable[RefRng],0)),0)</f>
        <v>3478345.6499999599</v>
      </c>
    </row>
    <row r="51" spans="1:16" x14ac:dyDescent="0.2">
      <c r="A51" s="11" t="s">
        <v>329</v>
      </c>
    </row>
    <row r="52" spans="1:16" x14ac:dyDescent="0.2">
      <c r="A52" s="11" t="s">
        <v>333</v>
      </c>
    </row>
    <row r="53" spans="1:16" x14ac:dyDescent="0.2">
      <c r="A53" s="11" t="s">
        <v>330</v>
      </c>
    </row>
    <row r="54" spans="1:16" x14ac:dyDescent="0.2">
      <c r="A54" s="11" t="s">
        <v>331</v>
      </c>
    </row>
    <row r="55" spans="1:16" x14ac:dyDescent="0.2">
      <c r="A55" s="11" t="s">
        <v>332</v>
      </c>
    </row>
  </sheetData>
  <conditionalFormatting sqref="D5">
    <cfRule type="cellIs" dxfId="154" priority="51" operator="equal">
      <formula>TODAY()</formula>
    </cfRule>
  </conditionalFormatting>
  <conditionalFormatting sqref="D10">
    <cfRule type="cellIs" dxfId="153" priority="50" operator="greaterThan">
      <formula>"&lt;0"</formula>
    </cfRule>
  </conditionalFormatting>
  <conditionalFormatting sqref="D11">
    <cfRule type="cellIs" dxfId="152" priority="49" operator="greaterThan">
      <formula>"&lt;0"</formula>
    </cfRule>
  </conditionalFormatting>
  <conditionalFormatting sqref="A5:C5 Q5:XFD5">
    <cfRule type="cellIs" dxfId="151" priority="62" operator="equal">
      <formula>TODAY()</formula>
    </cfRule>
  </conditionalFormatting>
  <conditionalFormatting sqref="B9:D9">
    <cfRule type="cellIs" dxfId="150" priority="61" operator="greaterThan">
      <formula>"&lt;0"</formula>
    </cfRule>
  </conditionalFormatting>
  <conditionalFormatting sqref="B10">
    <cfRule type="cellIs" dxfId="149" priority="60" operator="greaterThan">
      <formula>"&lt;0"</formula>
    </cfRule>
  </conditionalFormatting>
  <conditionalFormatting sqref="B11">
    <cfRule type="cellIs" dxfId="148" priority="59" operator="greaterThan">
      <formula>"&lt;0"</formula>
    </cfRule>
  </conditionalFormatting>
  <conditionalFormatting sqref="C10">
    <cfRule type="cellIs" dxfId="147" priority="58" operator="greaterThan">
      <formula>"&lt;0"</formula>
    </cfRule>
  </conditionalFormatting>
  <conditionalFormatting sqref="C11">
    <cfRule type="cellIs" dxfId="146" priority="57" operator="greaterThan">
      <formula>"&lt;0"</formula>
    </cfRule>
  </conditionalFormatting>
  <conditionalFormatting sqref="B7">
    <cfRule type="cellIs" dxfId="145" priority="56" operator="greaterThan">
      <formula>"&lt;0"</formula>
    </cfRule>
  </conditionalFormatting>
  <conditionalFormatting sqref="F5">
    <cfRule type="cellIs" dxfId="144" priority="40" operator="equal">
      <formula>TODAY()</formula>
    </cfRule>
  </conditionalFormatting>
  <conditionalFormatting sqref="F9">
    <cfRule type="cellIs" dxfId="143" priority="39" operator="greaterThan">
      <formula>"&lt;0"</formula>
    </cfRule>
  </conditionalFormatting>
  <conditionalFormatting sqref="F10">
    <cfRule type="cellIs" dxfId="142" priority="38" operator="greaterThan">
      <formula>"&lt;0"</formula>
    </cfRule>
  </conditionalFormatting>
  <conditionalFormatting sqref="F11">
    <cfRule type="cellIs" dxfId="141" priority="37" operator="greaterThan">
      <formula>"&lt;0"</formula>
    </cfRule>
  </conditionalFormatting>
  <conditionalFormatting sqref="E10">
    <cfRule type="cellIs" dxfId="140" priority="34" operator="greaterThan">
      <formula>"&lt;0"</formula>
    </cfRule>
  </conditionalFormatting>
  <conditionalFormatting sqref="E11">
    <cfRule type="cellIs" dxfId="139" priority="33" operator="greaterThan">
      <formula>"&lt;0"</formula>
    </cfRule>
  </conditionalFormatting>
  <conditionalFormatting sqref="E9">
    <cfRule type="cellIs" dxfId="138" priority="36" operator="greaterThan">
      <formula>"&lt;0"</formula>
    </cfRule>
  </conditionalFormatting>
  <conditionalFormatting sqref="E5">
    <cfRule type="cellIs" dxfId="137" priority="35" operator="equal">
      <formula>TODAY()</formula>
    </cfRule>
  </conditionalFormatting>
  <conditionalFormatting sqref="G10">
    <cfRule type="cellIs" dxfId="136" priority="30" operator="greaterThan">
      <formula>"&lt;0"</formula>
    </cfRule>
  </conditionalFormatting>
  <conditionalFormatting sqref="G11">
    <cfRule type="cellIs" dxfId="135" priority="29" operator="greaterThan">
      <formula>"&lt;0"</formula>
    </cfRule>
  </conditionalFormatting>
  <conditionalFormatting sqref="G9">
    <cfRule type="cellIs" dxfId="134" priority="32" operator="greaterThan">
      <formula>"&lt;0"</formula>
    </cfRule>
  </conditionalFormatting>
  <conditionalFormatting sqref="G5">
    <cfRule type="cellIs" dxfId="133" priority="31" operator="equal">
      <formula>TODAY()</formula>
    </cfRule>
  </conditionalFormatting>
  <conditionalFormatting sqref="H10">
    <cfRule type="cellIs" dxfId="132" priority="26" operator="greaterThan">
      <formula>"&lt;0"</formula>
    </cfRule>
  </conditionalFormatting>
  <conditionalFormatting sqref="H11">
    <cfRule type="cellIs" dxfId="131" priority="25" operator="greaterThan">
      <formula>"&lt;0"</formula>
    </cfRule>
  </conditionalFormatting>
  <conditionalFormatting sqref="H9">
    <cfRule type="cellIs" dxfId="130" priority="28" operator="greaterThan">
      <formula>"&lt;0"</formula>
    </cfRule>
  </conditionalFormatting>
  <conditionalFormatting sqref="H5">
    <cfRule type="cellIs" dxfId="129" priority="27" operator="equal">
      <formula>TODAY()</formula>
    </cfRule>
  </conditionalFormatting>
  <conditionalFormatting sqref="I10">
    <cfRule type="cellIs" dxfId="128" priority="22" operator="greaterThan">
      <formula>"&lt;0"</formula>
    </cfRule>
  </conditionalFormatting>
  <conditionalFormatting sqref="I11">
    <cfRule type="cellIs" dxfId="127" priority="21" operator="greaterThan">
      <formula>"&lt;0"</formula>
    </cfRule>
  </conditionalFormatting>
  <conditionalFormatting sqref="I9">
    <cfRule type="cellIs" dxfId="126" priority="24" operator="greaterThan">
      <formula>"&lt;0"</formula>
    </cfRule>
  </conditionalFormatting>
  <conditionalFormatting sqref="I5">
    <cfRule type="cellIs" dxfId="125" priority="23" operator="equal">
      <formula>TODAY()</formula>
    </cfRule>
  </conditionalFormatting>
  <conditionalFormatting sqref="J10">
    <cfRule type="cellIs" dxfId="124" priority="18" operator="greaterThan">
      <formula>"&lt;0"</formula>
    </cfRule>
  </conditionalFormatting>
  <conditionalFormatting sqref="J11">
    <cfRule type="cellIs" dxfId="123" priority="17" operator="greaterThan">
      <formula>"&lt;0"</formula>
    </cfRule>
  </conditionalFormatting>
  <conditionalFormatting sqref="J9">
    <cfRule type="cellIs" dxfId="122" priority="20" operator="greaterThan">
      <formula>"&lt;0"</formula>
    </cfRule>
  </conditionalFormatting>
  <conditionalFormatting sqref="J5">
    <cfRule type="cellIs" dxfId="121" priority="19" operator="equal">
      <formula>TODAY()</formula>
    </cfRule>
  </conditionalFormatting>
  <conditionalFormatting sqref="K10">
    <cfRule type="cellIs" dxfId="120" priority="14" operator="greaterThan">
      <formula>"&lt;0"</formula>
    </cfRule>
  </conditionalFormatting>
  <conditionalFormatting sqref="K11">
    <cfRule type="cellIs" dxfId="119" priority="13" operator="greaterThan">
      <formula>"&lt;0"</formula>
    </cfRule>
  </conditionalFormatting>
  <conditionalFormatting sqref="K9">
    <cfRule type="cellIs" dxfId="118" priority="16" operator="greaterThan">
      <formula>"&lt;0"</formula>
    </cfRule>
  </conditionalFormatting>
  <conditionalFormatting sqref="K5">
    <cfRule type="cellIs" dxfId="117" priority="15" operator="equal">
      <formula>TODAY()</formula>
    </cfRule>
  </conditionalFormatting>
  <conditionalFormatting sqref="L10">
    <cfRule type="cellIs" dxfId="116" priority="10" operator="greaterThan">
      <formula>"&lt;0"</formula>
    </cfRule>
  </conditionalFormatting>
  <conditionalFormatting sqref="L11">
    <cfRule type="cellIs" dxfId="115" priority="9" operator="greaterThan">
      <formula>"&lt;0"</formula>
    </cfRule>
  </conditionalFormatting>
  <conditionalFormatting sqref="L9">
    <cfRule type="cellIs" dxfId="114" priority="12" operator="greaterThan">
      <formula>"&lt;0"</formula>
    </cfRule>
  </conditionalFormatting>
  <conditionalFormatting sqref="L5">
    <cfRule type="cellIs" dxfId="113" priority="11" operator="equal">
      <formula>TODAY()</formula>
    </cfRule>
  </conditionalFormatting>
  <conditionalFormatting sqref="M10">
    <cfRule type="cellIs" dxfId="112" priority="6" operator="greaterThan">
      <formula>"&lt;0"</formula>
    </cfRule>
  </conditionalFormatting>
  <conditionalFormatting sqref="M11">
    <cfRule type="cellIs" dxfId="111" priority="5" operator="greaterThan">
      <formula>"&lt;0"</formula>
    </cfRule>
  </conditionalFormatting>
  <conditionalFormatting sqref="M9">
    <cfRule type="cellIs" dxfId="110" priority="8" operator="greaterThan">
      <formula>"&lt;0"</formula>
    </cfRule>
  </conditionalFormatting>
  <conditionalFormatting sqref="M5">
    <cfRule type="cellIs" dxfId="109" priority="7" operator="equal">
      <formula>TODAY()</formula>
    </cfRule>
  </conditionalFormatting>
  <conditionalFormatting sqref="N10:P10">
    <cfRule type="cellIs" dxfId="108" priority="2" operator="greaterThan">
      <formula>"&lt;0"</formula>
    </cfRule>
  </conditionalFormatting>
  <conditionalFormatting sqref="N11:P11">
    <cfRule type="cellIs" dxfId="107" priority="1" operator="greaterThan">
      <formula>"&lt;0"</formula>
    </cfRule>
  </conditionalFormatting>
  <conditionalFormatting sqref="N9:P9">
    <cfRule type="cellIs" dxfId="106" priority="4" operator="greaterThan">
      <formula>"&lt;0"</formula>
    </cfRule>
  </conditionalFormatting>
  <conditionalFormatting sqref="N5:P5">
    <cfRule type="cellIs" dxfId="105" priority="3" operator="equal">
      <formula>TODAY()</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1F580-DB59-4F3A-9079-DC214144B501}">
  <sheetPr codeName="Sheet14"/>
  <dimension ref="A1:AG55"/>
  <sheetViews>
    <sheetView zoomScale="90" zoomScaleNormal="90" workbookViewId="0">
      <pane xSplit="1" ySplit="6" topLeftCell="F7" activePane="bottomRight" state="frozen"/>
      <selection pane="topRight" activeCell="B1" sqref="B1"/>
      <selection pane="bottomLeft" activeCell="A7" sqref="A7"/>
      <selection pane="bottomRight" activeCell="M45" sqref="M45"/>
    </sheetView>
  </sheetViews>
  <sheetFormatPr defaultColWidth="9" defaultRowHeight="12.75" outlineLevelRow="1" x14ac:dyDescent="0.2"/>
  <cols>
    <col min="1" max="1" width="32" style="11" customWidth="1"/>
    <col min="2" max="16" width="18.75" style="11" customWidth="1"/>
    <col min="17" max="27" width="15.125" style="11" bestFit="1" customWidth="1"/>
    <col min="28" max="16384" width="9" style="11"/>
  </cols>
  <sheetData>
    <row r="1" spans="1:33" x14ac:dyDescent="0.2">
      <c r="A1" s="10" t="s">
        <v>340</v>
      </c>
    </row>
    <row r="2" spans="1:33" x14ac:dyDescent="0.2">
      <c r="A2" s="12">
        <f ca="1">[1]!SCBAM_PreviousBusinessDay(TODAY())</f>
        <v>43397</v>
      </c>
    </row>
    <row r="3" spans="1:33" x14ac:dyDescent="0.2">
      <c r="A3" s="13" t="s">
        <v>334</v>
      </c>
    </row>
    <row r="5" spans="1:33" s="18" customFormat="1" x14ac:dyDescent="0.2">
      <c r="A5" s="14" t="s">
        <v>341</v>
      </c>
      <c r="B5" s="15">
        <v>43382</v>
      </c>
      <c r="C5" s="15">
        <v>43383</v>
      </c>
      <c r="D5" s="15">
        <v>43384</v>
      </c>
      <c r="E5" s="15">
        <v>43385</v>
      </c>
      <c r="F5" s="15">
        <v>43389</v>
      </c>
      <c r="G5" s="15">
        <v>43390</v>
      </c>
      <c r="H5" s="15">
        <v>43391</v>
      </c>
      <c r="I5" s="15">
        <v>43392</v>
      </c>
      <c r="J5" s="15">
        <v>43395</v>
      </c>
      <c r="K5" s="15">
        <v>43397</v>
      </c>
      <c r="L5" s="15">
        <v>43398</v>
      </c>
      <c r="M5" s="15">
        <f>[1]!SCBAM_NextBusinessDay(L5)</f>
        <v>43399</v>
      </c>
      <c r="N5" s="15">
        <f>[1]!SCBAM_NextBusinessDay(M5)</f>
        <v>43402</v>
      </c>
      <c r="O5" s="15">
        <f>[1]!SCBAM_NextBusinessDay(N5)</f>
        <v>43403</v>
      </c>
      <c r="P5" s="15">
        <f>[1]!SCBAM_NextBusinessDay(O5)</f>
        <v>43404</v>
      </c>
      <c r="Q5" s="16"/>
      <c r="R5" s="16"/>
      <c r="S5" s="16"/>
      <c r="T5" s="16"/>
      <c r="U5" s="16"/>
      <c r="V5" s="16"/>
      <c r="W5" s="16"/>
      <c r="X5" s="16"/>
      <c r="Y5" s="16"/>
      <c r="Z5" s="16"/>
      <c r="AA5" s="16"/>
      <c r="AB5" s="17"/>
      <c r="AC5" s="17"/>
      <c r="AD5" s="17"/>
      <c r="AE5" s="17"/>
      <c r="AF5" s="17"/>
      <c r="AG5" s="17"/>
    </row>
    <row r="6" spans="1:33" s="21" customFormat="1" x14ac:dyDescent="0.2">
      <c r="A6" s="19" t="s">
        <v>342</v>
      </c>
      <c r="B6" s="20">
        <v>2282205.56</v>
      </c>
      <c r="C6" s="20">
        <v>2233339.83</v>
      </c>
      <c r="D6" s="20">
        <v>2750830.41</v>
      </c>
      <c r="E6" s="20">
        <v>2843826.08</v>
      </c>
      <c r="F6" s="20">
        <v>1261475.49</v>
      </c>
      <c r="G6" s="20">
        <v>3719900.91</v>
      </c>
      <c r="H6" s="20">
        <v>3741584.77</v>
      </c>
      <c r="I6" s="20">
        <v>33922326.200000003</v>
      </c>
      <c r="J6" s="20">
        <v>3427585.09</v>
      </c>
      <c r="K6" s="20">
        <v>3159359.87</v>
      </c>
      <c r="L6" s="20">
        <f ca="1">IF(AND(ISNUMBER(K41),ISNUMBER(K42)),IF(L5&lt;=TODAY(),K42,K41),INDEX(CashProjTable[CashBal],MATCH($A$3&amp;[1]!SCBAM_PreviousBusinessDay(L$5),CashProjTable[RefRng],0)))</f>
        <v>6088582.5700000003</v>
      </c>
      <c r="M6" s="20">
        <f ca="1">IF(AND(ISNUMBER(L41),ISNUMBER(L42)),IF(M5&lt;=TODAY(),L42,L41),INDEX(CashProjTable[CashBal],MATCH($A$3&amp;[1]!SCBAM_PreviousBusinessDay(M$5),CashProjTable[RefRng],0)))</f>
        <v>1717663.0599999875</v>
      </c>
      <c r="N6" s="20">
        <f ca="1">IF(AND(ISNUMBER(M41),ISNUMBER(M42)),IF(N5&lt;=TODAY(),M42,M41),INDEX(CashProjTable[CashBal],MATCH($A$3&amp;[1]!SCBAM_PreviousBusinessDay(N$5),CashProjTable[RefRng],0)))</f>
        <v>3166592.7399999872</v>
      </c>
      <c r="O6" s="20">
        <f ca="1">IF(AND(ISNUMBER(N41),ISNUMBER(N42)),IF(O5&lt;=TODAY(),N42,N41),INDEX(CashProjTable[CashBal],MATCH($A$3&amp;[1]!SCBAM_PreviousBusinessDay(O$5),CashProjTable[RefRng],0)))</f>
        <v>3168494.1099999873</v>
      </c>
      <c r="P6" s="20">
        <f ca="1">IF(AND(ISNUMBER(O41),ISNUMBER(O42)),IF(P5&lt;=TODAY(),O42,O41),INDEX(CashProjTable[CashBal],MATCH($A$3&amp;[1]!SCBAM_PreviousBusinessDay(P$5),CashProjTable[RefRng],0)))</f>
        <v>3168494.1099999873</v>
      </c>
    </row>
    <row r="7" spans="1:33" s="22" customFormat="1" x14ac:dyDescent="0.2">
      <c r="B7" s="23"/>
    </row>
    <row r="8" spans="1:33" s="25" customFormat="1" x14ac:dyDescent="0.2">
      <c r="A8" s="24" t="s">
        <v>343</v>
      </c>
    </row>
    <row r="9" spans="1:33" s="27" customFormat="1" x14ac:dyDescent="0.2">
      <c r="A9" s="26" t="s">
        <v>344</v>
      </c>
      <c r="B9" s="23">
        <v>1007009.58</v>
      </c>
      <c r="C9" s="23">
        <v>6007009.5800000001</v>
      </c>
      <c r="D9" s="23">
        <v>4007009.58</v>
      </c>
      <c r="E9" s="23">
        <v>4007009.58</v>
      </c>
      <c r="F9" s="23">
        <v>7009.5800000000745</v>
      </c>
      <c r="G9" s="23">
        <v>3007009.58</v>
      </c>
      <c r="H9" s="23">
        <v>3007009.58</v>
      </c>
      <c r="I9" s="23">
        <v>3007009.58</v>
      </c>
      <c r="J9" s="23">
        <v>13007009.58</v>
      </c>
      <c r="K9" s="23">
        <v>11007009.58</v>
      </c>
      <c r="L9" s="23">
        <v>11007009.58</v>
      </c>
      <c r="M9" s="23">
        <f>IF(ISNUMBER(L$5),L$11,[1]!SCBAM_GetSecDtl($A$3,"INVSUOBTtmf",M$5,"MarketVal"))</f>
        <v>6007009.5800000001</v>
      </c>
      <c r="N9" s="23">
        <f>IF(ISNUMBER(M$5),M$11,[1]!SCBAM_GetSecDtl($A$3,"INVSUOBTtmf",N$5,"MarketVal"))</f>
        <v>6007009.5800000001</v>
      </c>
      <c r="O9" s="23">
        <f>IF(ISNUMBER(N$5),N$11,[1]!SCBAM_GetSecDtl($A$3,"INVSUOBTtmf",O$5,"MarketVal"))</f>
        <v>6007009.5800000001</v>
      </c>
      <c r="P9" s="23">
        <f>IF(ISNUMBER(O$5),O$11,[1]!SCBAM_GetSecDtl($A$3,"INVSUOBTtmf",P$5,"MarketVal"))</f>
        <v>6007009.5800000001</v>
      </c>
    </row>
    <row r="10" spans="1:33" s="61" customFormat="1" ht="14.25" x14ac:dyDescent="0.2">
      <c r="A10" s="59" t="s">
        <v>345</v>
      </c>
      <c r="B10" s="60">
        <v>5000000</v>
      </c>
      <c r="C10" s="60">
        <v>-2000000</v>
      </c>
      <c r="D10" s="60"/>
      <c r="E10" s="60">
        <v>-4000000</v>
      </c>
      <c r="F10" s="60">
        <v>3000000</v>
      </c>
      <c r="G10" s="60"/>
      <c r="H10" s="60"/>
      <c r="I10" s="60">
        <v>10000000</v>
      </c>
      <c r="J10" s="60">
        <v>-2000000</v>
      </c>
      <c r="K10" s="60"/>
      <c r="L10" s="60">
        <v>-5000000</v>
      </c>
      <c r="M10" s="60"/>
      <c r="N10" s="60"/>
      <c r="O10" s="60"/>
      <c r="P10" s="60"/>
    </row>
    <row r="11" spans="1:33" s="30" customFormat="1" ht="13.5" thickBot="1" x14ac:dyDescent="0.25">
      <c r="A11" s="28" t="s">
        <v>346</v>
      </c>
      <c r="B11" s="29">
        <v>6007009.5800000001</v>
      </c>
      <c r="C11" s="29">
        <v>4007009.58</v>
      </c>
      <c r="D11" s="29">
        <v>4007009.58</v>
      </c>
      <c r="E11" s="29">
        <v>7009.5800000000745</v>
      </c>
      <c r="F11" s="29">
        <v>3007009.58</v>
      </c>
      <c r="G11" s="29">
        <v>3007009.58</v>
      </c>
      <c r="H11" s="29">
        <v>3007009.58</v>
      </c>
      <c r="I11" s="29">
        <v>13007009.58</v>
      </c>
      <c r="J11" s="29">
        <v>11007009.58</v>
      </c>
      <c r="K11" s="29">
        <v>11007009.58</v>
      </c>
      <c r="L11" s="29">
        <v>6007009.5800000001</v>
      </c>
      <c r="M11" s="29">
        <f t="shared" ref="M11:O11" si="0">SUM(M9:M10)</f>
        <v>6007009.5800000001</v>
      </c>
      <c r="N11" s="29">
        <f t="shared" ref="N11:P11" si="1">SUM(N9:N10)</f>
        <v>6007009.5800000001</v>
      </c>
      <c r="O11" s="29">
        <f t="shared" si="1"/>
        <v>6007009.5800000001</v>
      </c>
      <c r="P11" s="29">
        <f t="shared" si="1"/>
        <v>6007009.5800000001</v>
      </c>
    </row>
    <row r="12" spans="1:33" s="22" customFormat="1" ht="13.15" hidden="1" customHeight="1" outlineLevel="1" x14ac:dyDescent="0.2"/>
    <row r="13" spans="1:33" s="31" customFormat="1" hidden="1" outlineLevel="1" x14ac:dyDescent="0.2">
      <c r="A13" s="31" t="s">
        <v>348</v>
      </c>
    </row>
    <row r="14" spans="1:33" collapsed="1" x14ac:dyDescent="0.2"/>
    <row r="15" spans="1:33" s="25" customFormat="1" x14ac:dyDescent="0.2">
      <c r="A15" s="24" t="s">
        <v>347</v>
      </c>
    </row>
    <row r="16" spans="1:33" s="22" customFormat="1" x14ac:dyDescent="0.2">
      <c r="A16" s="32" t="s">
        <v>349</v>
      </c>
      <c r="B16" s="33">
        <v>6221000</v>
      </c>
      <c r="C16" s="33">
        <v>623500</v>
      </c>
      <c r="D16" s="62">
        <v>1108000</v>
      </c>
      <c r="E16" s="62">
        <v>13063.11</v>
      </c>
      <c r="F16" s="62">
        <v>3170000</v>
      </c>
      <c r="G16" s="62">
        <v>162300</v>
      </c>
      <c r="H16" s="62">
        <v>213023</v>
      </c>
      <c r="I16" s="62">
        <v>19322</v>
      </c>
      <c r="J16" s="62">
        <v>10260607</v>
      </c>
      <c r="K16" s="62">
        <v>429543</v>
      </c>
      <c r="L16" s="62">
        <v>2507000</v>
      </c>
      <c r="M16" s="63">
        <f>IFERROR(INDEX(CashIntraTable[Amount],MATCH($A$3&amp;M$5&amp;$A51,CashIntraTable[RefRng],0)),0)</f>
        <v>3088000</v>
      </c>
      <c r="N16" s="62">
        <f>IFERROR(INDEX(CashIntraTable[Amount],MATCH($A$3&amp;N$5&amp;$A51,CashIntraTable[RefRng],0)),0)</f>
        <v>0</v>
      </c>
      <c r="O16" s="62">
        <f>IFERROR(INDEX(CashIntraTable[Amount],MATCH($A$3&amp;O$5&amp;$A51,CashIntraTable[RefRng],0)),0)</f>
        <v>0</v>
      </c>
      <c r="P16" s="62">
        <f>IFERROR(INDEX(CashIntraTable[Amount],MATCH($A$3&amp;P$5&amp;$A51,CashIntraTable[RefRng],0)),0)</f>
        <v>0</v>
      </c>
    </row>
    <row r="17" spans="1:16" s="22" customFormat="1" x14ac:dyDescent="0.2">
      <c r="A17" s="32" t="s">
        <v>351</v>
      </c>
      <c r="B17" s="33">
        <v>0</v>
      </c>
      <c r="C17" s="33">
        <v>0</v>
      </c>
      <c r="D17" s="62">
        <v>0</v>
      </c>
      <c r="E17" s="62">
        <v>0</v>
      </c>
      <c r="F17" s="62">
        <v>0</v>
      </c>
      <c r="G17" s="62">
        <v>0</v>
      </c>
      <c r="H17" s="62">
        <v>0</v>
      </c>
      <c r="I17" s="62">
        <v>0</v>
      </c>
      <c r="J17" s="62">
        <v>0</v>
      </c>
      <c r="K17" s="62">
        <v>0</v>
      </c>
      <c r="L17" s="62">
        <v>0</v>
      </c>
      <c r="M17" s="63">
        <f>IFERROR(INDEX(CashIntraTable[Amount],MATCH($A$3&amp;M$5&amp;$A52,CashIntraTable[RefRng],0)),0)</f>
        <v>0</v>
      </c>
      <c r="N17" s="62">
        <f>IFERROR(INDEX(CashIntraTable[Amount],MATCH($A$3&amp;N$5&amp;$A52,CashIntraTable[RefRng],0)),0)</f>
        <v>0</v>
      </c>
      <c r="O17" s="62">
        <f>IFERROR(INDEX(CashIntraTable[Amount],MATCH($A$3&amp;O$5&amp;$A52,CashIntraTable[RefRng],0)),0)</f>
        <v>0</v>
      </c>
      <c r="P17" s="62">
        <f>IFERROR(INDEX(CashIntraTable[Amount],MATCH($A$3&amp;P$5&amp;$A52,CashIntraTable[RefRng],0)),0)</f>
        <v>0</v>
      </c>
    </row>
    <row r="18" spans="1:16" s="22" customFormat="1" x14ac:dyDescent="0.2">
      <c r="A18" s="32" t="s">
        <v>350</v>
      </c>
      <c r="B18" s="33">
        <v>0</v>
      </c>
      <c r="C18" s="33">
        <v>10000</v>
      </c>
      <c r="D18" s="62">
        <v>0</v>
      </c>
      <c r="E18" s="62">
        <v>0</v>
      </c>
      <c r="F18" s="62">
        <v>20000</v>
      </c>
      <c r="G18" s="62">
        <v>2262342</v>
      </c>
      <c r="H18" s="62">
        <v>463017.71</v>
      </c>
      <c r="I18" s="62">
        <v>992.26</v>
      </c>
      <c r="J18" s="62">
        <v>0</v>
      </c>
      <c r="K18" s="62">
        <v>2526814.25</v>
      </c>
      <c r="L18" s="62">
        <v>526306.03</v>
      </c>
      <c r="M18" s="63">
        <f>IFERROR(INDEX(CashIntraTable[Amount],MATCH($A$3&amp;M$5&amp;$A53,CashIntraTable[RefRng],0)),0)</f>
        <v>3932.13</v>
      </c>
      <c r="N18" s="62">
        <f>IFERROR(INDEX(CashIntraTable[Amount],MATCH($A$3&amp;N$5&amp;$A53,CashIntraTable[RefRng],0)),0)</f>
        <v>1901.37</v>
      </c>
      <c r="O18" s="62">
        <f>IFERROR(INDEX(CashIntraTable[Amount],MATCH($A$3&amp;O$5&amp;$A53,CashIntraTable[RefRng],0)),0)</f>
        <v>0</v>
      </c>
      <c r="P18" s="62">
        <f>IFERROR(INDEX(CashIntraTable[Amount],MATCH($A$3&amp;P$5&amp;$A53,CashIntraTable[RefRng],0)),0)</f>
        <v>0</v>
      </c>
    </row>
    <row r="19" spans="1:16" s="22" customFormat="1" x14ac:dyDescent="0.2">
      <c r="A19" s="32" t="s">
        <v>352</v>
      </c>
      <c r="B19" s="33">
        <v>0</v>
      </c>
      <c r="C19" s="33">
        <v>0</v>
      </c>
      <c r="D19" s="62">
        <v>0</v>
      </c>
      <c r="E19" s="62">
        <v>0</v>
      </c>
      <c r="F19" s="62">
        <v>0</v>
      </c>
      <c r="G19" s="62">
        <v>0</v>
      </c>
      <c r="H19" s="62">
        <v>0</v>
      </c>
      <c r="I19" s="62">
        <v>0</v>
      </c>
      <c r="J19" s="62">
        <v>0</v>
      </c>
      <c r="K19" s="62">
        <v>0</v>
      </c>
      <c r="L19" s="62">
        <v>0</v>
      </c>
      <c r="M19" s="63">
        <v>0</v>
      </c>
      <c r="N19" s="62">
        <v>0</v>
      </c>
      <c r="O19" s="62">
        <v>0</v>
      </c>
      <c r="P19" s="62">
        <v>0</v>
      </c>
    </row>
    <row r="20" spans="1:16" s="22" customFormat="1" x14ac:dyDescent="0.2">
      <c r="A20" s="26" t="s">
        <v>353</v>
      </c>
      <c r="B20" s="33">
        <v>0</v>
      </c>
      <c r="C20" s="33">
        <v>0</v>
      </c>
      <c r="D20" s="33">
        <v>0</v>
      </c>
      <c r="E20" s="33">
        <v>0</v>
      </c>
      <c r="F20" s="33">
        <v>24925265.25</v>
      </c>
      <c r="G20" s="33">
        <v>0</v>
      </c>
      <c r="H20" s="33">
        <v>65000000</v>
      </c>
      <c r="I20" s="33">
        <v>40000000</v>
      </c>
      <c r="J20" s="33">
        <v>0</v>
      </c>
      <c r="K20" s="33">
        <v>0</v>
      </c>
      <c r="L20" s="33">
        <v>105000000</v>
      </c>
      <c r="M20" s="33">
        <f>IFERROR(INDEX(CashProjTable[DebtSell_BahtNet],MATCH($A$3&amp;M$5,CashProjTable[RefRng],0))+SUMIFS(IntraTrans[Net Settlement],IntraTrans[Portfolio],$A$3,IntraTrans[B/S],"S",IntraTrans[Settle Date],M$5,IntraTrans[Payment],"BAHTNET"),0)</f>
        <v>0</v>
      </c>
      <c r="N20" s="33">
        <f>IFERROR(INDEX(CashProjTable[DebtSell_BahtNet],MATCH($A$3&amp;N$5,CashProjTable[RefRng],0))+SUMIFS(IntraTrans[Net Settlement],IntraTrans[Portfolio],$A$3,IntraTrans[B/S],"S",IntraTrans[Settle Date],N$5,IntraTrans[Payment],"BAHTNET"),0)</f>
        <v>0</v>
      </c>
      <c r="O20" s="33">
        <f>IFERROR(INDEX(CashProjTable[DebtSell_BahtNet],MATCH($A$3&amp;O$5,CashProjTable[RefRng],0))+SUMIFS(IntraTrans[Net Settlement],IntraTrans[Portfolio],$A$3,IntraTrans[B/S],"S",IntraTrans[Settle Date],O$5,IntraTrans[Payment],"BAHTNET"),0)</f>
        <v>0</v>
      </c>
      <c r="P20" s="33">
        <f>IFERROR(INDEX(CashProjTable[DebtSell_BahtNet],MATCH($A$3&amp;P$5,CashProjTable[RefRng],0))+SUMIFS(IntraTrans[Net Settlement],IntraTrans[Portfolio],$A$3,IntraTrans[B/S],"S",IntraTrans[Settle Date],P$5,IntraTrans[Payment],"BAHTNET"),0)</f>
        <v>0</v>
      </c>
    </row>
    <row r="21" spans="1:16" s="22" customFormat="1" x14ac:dyDescent="0.2">
      <c r="A21" s="26" t="s">
        <v>354</v>
      </c>
      <c r="B21" s="33">
        <v>0</v>
      </c>
      <c r="C21" s="33">
        <v>0</v>
      </c>
      <c r="D21" s="33">
        <v>0</v>
      </c>
      <c r="E21" s="33">
        <v>0</v>
      </c>
      <c r="F21" s="33">
        <v>0</v>
      </c>
      <c r="G21" s="33">
        <v>0</v>
      </c>
      <c r="H21" s="33">
        <v>0</v>
      </c>
      <c r="I21" s="33">
        <v>0</v>
      </c>
      <c r="J21" s="33">
        <v>0</v>
      </c>
      <c r="K21" s="33">
        <v>0</v>
      </c>
      <c r="L21" s="33">
        <v>0</v>
      </c>
      <c r="M21" s="33">
        <f>IFERROR((INDEX(CashProjTable[DebtSell],MATCH($A$3&amp;M$5,CashProjTable[RefRng],0))-INDEX(CashProjTable[DebtSell_BahtNet],MATCH($A$3&amp;M$5,CashProjTable[RefRng],0)))+SUMIFS(IntraTrans[Net Settlement],IntraTrans[Portfolio],$A$3,IntraTrans[B/S],"S",IntraTrans[Settle Date],M$5,IntraTrans[Payment],"CHEQUE"),0)</f>
        <v>0</v>
      </c>
      <c r="N21" s="33">
        <f>IFERROR((INDEX(CashProjTable[DebtSell],MATCH($A$3&amp;N$5,CashProjTable[RefRng],0))-INDEX(CashProjTable[DebtSell_BahtNet],MATCH($A$3&amp;N$5,CashProjTable[RefRng],0)))+SUMIFS(IntraTrans[Net Settlement],IntraTrans[Portfolio],$A$3,IntraTrans[B/S],"S",IntraTrans[Settle Date],N$5,IntraTrans[Payment],"CHEQUE"),0)</f>
        <v>0</v>
      </c>
      <c r="O21" s="33">
        <f>IFERROR((INDEX(CashProjTable[DebtSell],MATCH($A$3&amp;O$5,CashProjTable[RefRng],0))-INDEX(CashProjTable[DebtSell_BahtNet],MATCH($A$3&amp;O$5,CashProjTable[RefRng],0)))+SUMIFS(IntraTrans[Net Settlement],IntraTrans[Portfolio],$A$3,IntraTrans[B/S],"S",IntraTrans[Settle Date],O$5,IntraTrans[Payment],"CHEQUE"),0)</f>
        <v>0</v>
      </c>
      <c r="P21" s="33">
        <f>IFERROR((INDEX(CashProjTable[DebtSell],MATCH($A$3&amp;P$5,CashProjTable[RefRng],0))-INDEX(CashProjTable[DebtSell_BahtNet],MATCH($A$3&amp;P$5,CashProjTable[RefRng],0)))+SUMIFS(IntraTrans[Net Settlement],IntraTrans[Portfolio],$A$3,IntraTrans[B/S],"S",IntraTrans[Settle Date],P$5,IntraTrans[Payment],"CHEQUE"),0)</f>
        <v>0</v>
      </c>
    </row>
    <row r="22" spans="1:16" s="22" customFormat="1" x14ac:dyDescent="0.2">
      <c r="A22" s="26" t="s">
        <v>355</v>
      </c>
      <c r="B22" s="33">
        <v>0</v>
      </c>
      <c r="C22" s="33">
        <v>2000000</v>
      </c>
      <c r="D22" s="33">
        <v>0</v>
      </c>
      <c r="E22" s="33">
        <v>4000000</v>
      </c>
      <c r="F22" s="33">
        <v>0</v>
      </c>
      <c r="G22" s="33">
        <v>0</v>
      </c>
      <c r="H22" s="33">
        <v>0</v>
      </c>
      <c r="I22" s="33">
        <v>0</v>
      </c>
      <c r="J22" s="33">
        <v>2000000</v>
      </c>
      <c r="K22" s="33">
        <v>0</v>
      </c>
      <c r="L22" s="33">
        <v>5000000</v>
      </c>
      <c r="M22" s="33">
        <f>IF(M$10&lt;0,-M$10,0)+INDEX(CashProjTable[CashEqSell_BahtNet],MATCH($A$3&amp;M$5,CashProjTable[RefRng],0))</f>
        <v>0</v>
      </c>
      <c r="N22" s="33">
        <f>IF(N$10&lt;0,-N$10,0)+INDEX(CashProjTable[CashEqSell_BahtNet],MATCH($A$3&amp;N$5,CashProjTable[RefRng],0))</f>
        <v>0</v>
      </c>
      <c r="O22" s="33">
        <f>IF(O$10&lt;0,-O$10,0)+INDEX(CashProjTable[CashEqSell_BahtNet],MATCH($A$3&amp;O$5,CashProjTable[RefRng],0))</f>
        <v>0</v>
      </c>
      <c r="P22" s="33">
        <f>IF(P$10&lt;0,-P$10,0)+INDEX(CashProjTable[CashEqSell_BahtNet],MATCH($A$3&amp;P$5,CashProjTable[RefRng],0))</f>
        <v>0</v>
      </c>
    </row>
    <row r="23" spans="1:16" s="22" customFormat="1" x14ac:dyDescent="0.2">
      <c r="A23" s="26" t="s">
        <v>356</v>
      </c>
      <c r="B23" s="33">
        <v>0</v>
      </c>
      <c r="C23" s="33">
        <v>0</v>
      </c>
      <c r="D23" s="33">
        <v>0</v>
      </c>
      <c r="E23" s="33">
        <v>0</v>
      </c>
      <c r="F23" s="33">
        <v>0</v>
      </c>
      <c r="G23" s="33">
        <v>0</v>
      </c>
      <c r="H23" s="33">
        <v>0</v>
      </c>
      <c r="I23" s="33">
        <v>0</v>
      </c>
      <c r="J23" s="33">
        <v>0</v>
      </c>
      <c r="K23" s="33">
        <v>0</v>
      </c>
      <c r="L23" s="33">
        <v>0</v>
      </c>
      <c r="M23" s="33">
        <v>0</v>
      </c>
      <c r="N23" s="33">
        <v>0</v>
      </c>
      <c r="O23" s="33">
        <v>0</v>
      </c>
      <c r="P23" s="33">
        <v>0</v>
      </c>
    </row>
    <row r="24" spans="1:16" s="22" customFormat="1" x14ac:dyDescent="0.2">
      <c r="A24" s="26" t="s">
        <v>357</v>
      </c>
      <c r="B24" s="33">
        <v>0</v>
      </c>
      <c r="C24" s="33">
        <v>0</v>
      </c>
      <c r="D24" s="33">
        <v>0</v>
      </c>
      <c r="E24" s="33">
        <v>0</v>
      </c>
      <c r="F24" s="33">
        <v>3104.33</v>
      </c>
      <c r="G24" s="33">
        <v>0</v>
      </c>
      <c r="H24" s="33">
        <v>0</v>
      </c>
      <c r="I24" s="33">
        <v>601643.84</v>
      </c>
      <c r="J24" s="33">
        <v>0</v>
      </c>
      <c r="K24" s="33">
        <v>0</v>
      </c>
      <c r="L24" s="33">
        <v>442208.22</v>
      </c>
      <c r="M24" s="33">
        <f>IFERROR(INDEX(CashProjTable[DebtInterest],MATCH($A$3&amp;M$5,CashProjTable[RefRng],0)),0)</f>
        <v>0</v>
      </c>
      <c r="N24" s="33">
        <f>IFERROR(INDEX(CashProjTable[DebtInterest],MATCH($A$3&amp;N$5,CashProjTable[RefRng],0)),0)</f>
        <v>0</v>
      </c>
      <c r="O24" s="33">
        <f>IFERROR(INDEX(CashProjTable[DebtInterest],MATCH($A$3&amp;O$5,CashProjTable[RefRng],0)),0)</f>
        <v>0</v>
      </c>
      <c r="P24" s="33">
        <f>IFERROR(INDEX(CashProjTable[DebtInterest],MATCH($A$3&amp;P$5,CashProjTable[RefRng],0)),0)</f>
        <v>0</v>
      </c>
    </row>
    <row r="25" spans="1:16" s="22" customFormat="1" x14ac:dyDescent="0.2">
      <c r="A25" s="26" t="s">
        <v>358</v>
      </c>
      <c r="B25" s="33">
        <v>0</v>
      </c>
      <c r="C25" s="33">
        <v>0</v>
      </c>
      <c r="D25" s="33">
        <v>0</v>
      </c>
      <c r="E25" s="33">
        <v>0</v>
      </c>
      <c r="F25" s="33">
        <v>0</v>
      </c>
      <c r="G25" s="33">
        <v>0</v>
      </c>
      <c r="H25" s="33">
        <v>0</v>
      </c>
      <c r="I25" s="33">
        <v>0</v>
      </c>
      <c r="J25" s="33">
        <v>0</v>
      </c>
      <c r="K25" s="33">
        <v>0</v>
      </c>
      <c r="L25" s="33">
        <v>0</v>
      </c>
      <c r="M25" s="33">
        <f>IFERROR(INDEX(CashProjTable[CashEqInterest],MATCH($A$3&amp;M$5,CashProjTable[RefRng],0)),0)</f>
        <v>0</v>
      </c>
      <c r="N25" s="33">
        <f>IFERROR(INDEX(CashProjTable[CashEqInterest],MATCH($A$3&amp;N$5,CashProjTable[RefRng],0)),0)</f>
        <v>0</v>
      </c>
      <c r="O25" s="33">
        <f>IFERROR(INDEX(CashProjTable[CashEqInterest],MATCH($A$3&amp;O$5,CashProjTable[RefRng],0)),0)</f>
        <v>0</v>
      </c>
      <c r="P25" s="33">
        <f>IFERROR(INDEX(CashProjTable[CashEqInterest],MATCH($A$3&amp;P$5,CashProjTable[RefRng],0)),0)</f>
        <v>0</v>
      </c>
    </row>
    <row r="26" spans="1:16" s="36" customFormat="1" x14ac:dyDescent="0.2">
      <c r="A26" s="34" t="s">
        <v>359</v>
      </c>
      <c r="B26" s="35">
        <v>0</v>
      </c>
      <c r="C26" s="35"/>
      <c r="D26" s="35"/>
      <c r="E26" s="35"/>
      <c r="F26" s="35"/>
      <c r="G26" s="35"/>
      <c r="H26" s="35"/>
      <c r="I26" s="35"/>
      <c r="J26" s="35"/>
      <c r="K26" s="35"/>
      <c r="L26" s="35"/>
      <c r="M26" s="35"/>
      <c r="N26" s="35"/>
      <c r="O26" s="35"/>
      <c r="P26" s="35"/>
    </row>
    <row r="27" spans="1:16" s="38" customFormat="1" ht="13.5" thickBot="1" x14ac:dyDescent="0.25">
      <c r="A27" s="28" t="s">
        <v>360</v>
      </c>
      <c r="B27" s="37">
        <v>6221000</v>
      </c>
      <c r="C27" s="37">
        <v>2633500</v>
      </c>
      <c r="D27" s="37">
        <v>1108000</v>
      </c>
      <c r="E27" s="37">
        <v>4013063.11</v>
      </c>
      <c r="F27" s="37">
        <v>28118369.579999998</v>
      </c>
      <c r="G27" s="37">
        <v>2424642</v>
      </c>
      <c r="H27" s="37">
        <v>65676040.710000001</v>
      </c>
      <c r="I27" s="37">
        <v>40621958.100000001</v>
      </c>
      <c r="J27" s="37">
        <v>12260607</v>
      </c>
      <c r="K27" s="37">
        <v>2956357.25</v>
      </c>
      <c r="L27" s="37">
        <v>113475514.25</v>
      </c>
      <c r="M27" s="37">
        <f t="shared" ref="L27:O27" si="2">SUM(M16:M26)</f>
        <v>3091932.13</v>
      </c>
      <c r="N27" s="37">
        <f t="shared" ref="N27:P27" si="3">SUM(N16:N26)</f>
        <v>1901.37</v>
      </c>
      <c r="O27" s="37">
        <f t="shared" si="3"/>
        <v>0</v>
      </c>
      <c r="P27" s="37">
        <f t="shared" si="3"/>
        <v>0</v>
      </c>
    </row>
    <row r="28" spans="1:16" s="22" customFormat="1" x14ac:dyDescent="0.2"/>
    <row r="29" spans="1:16" s="25" customFormat="1" x14ac:dyDescent="0.2">
      <c r="A29" s="24" t="s">
        <v>361</v>
      </c>
    </row>
    <row r="30" spans="1:16" s="22" customFormat="1" x14ac:dyDescent="0.2">
      <c r="A30" s="32" t="s">
        <v>362</v>
      </c>
      <c r="B30" s="33">
        <v>1259840.42</v>
      </c>
      <c r="C30" s="33">
        <v>2114012.1600000001</v>
      </c>
      <c r="D30" s="62">
        <v>14004.47</v>
      </c>
      <c r="E30" s="62">
        <v>1196988.1299999999</v>
      </c>
      <c r="F30" s="62">
        <v>16031.89</v>
      </c>
      <c r="G30" s="62">
        <v>401725.2</v>
      </c>
      <c r="H30" s="62">
        <v>5494376.1799999997</v>
      </c>
      <c r="I30" s="62">
        <v>1164598.7</v>
      </c>
      <c r="J30" s="62">
        <v>2233023.2000000002</v>
      </c>
      <c r="K30" s="62">
        <v>24798.99</v>
      </c>
      <c r="L30" s="62">
        <v>1477124.81</v>
      </c>
      <c r="M30" s="63">
        <f>IFERROR(ABS(INDEX(CashIntraTable[Amount],MATCH($A$3&amp;M$5&amp;$A54,CashIntraTable[RefRng],0))),0)</f>
        <v>803002.45</v>
      </c>
      <c r="N30" s="62">
        <f>IFERROR(ABS(INDEX(CashIntraTable[Amount],MATCH($A$3&amp;N$5&amp;$A54,CashIntraTable[RefRng],0))),0)</f>
        <v>0</v>
      </c>
      <c r="O30" s="62">
        <f>IFERROR(ABS(INDEX(CashIntraTable[Amount],MATCH($A$3&amp;O$5&amp;$A54,CashIntraTable[RefRng],0))),0)</f>
        <v>0</v>
      </c>
      <c r="P30" s="62">
        <f>IFERROR(ABS(INDEX(CashIntraTable[Amount],MATCH($A$3&amp;P$5&amp;$A54,CashIntraTable[RefRng],0))),0)</f>
        <v>0</v>
      </c>
    </row>
    <row r="31" spans="1:16" s="22" customFormat="1" x14ac:dyDescent="0.2">
      <c r="A31" s="32" t="s">
        <v>363</v>
      </c>
      <c r="B31" s="33">
        <v>10000</v>
      </c>
      <c r="C31" s="33">
        <v>2000.09</v>
      </c>
      <c r="D31" s="62">
        <v>1000999.97</v>
      </c>
      <c r="E31" s="62">
        <v>4398230.83</v>
      </c>
      <c r="F31" s="62">
        <v>22640807.940000001</v>
      </c>
      <c r="G31" s="62">
        <v>2000999.98</v>
      </c>
      <c r="H31" s="62">
        <v>0</v>
      </c>
      <c r="I31" s="62">
        <v>6200.72</v>
      </c>
      <c r="J31" s="62">
        <v>301000.18</v>
      </c>
      <c r="K31" s="62">
        <v>1000</v>
      </c>
      <c r="L31" s="62">
        <v>506000.53</v>
      </c>
      <c r="M31" s="63">
        <f>IFERROR(ABS(INDEX(CashIntraTable[Amount],MATCH($A$3&amp;M$5&amp;$A55,CashIntraTable[RefRng],0))),0)</f>
        <v>840000</v>
      </c>
      <c r="N31" s="62">
        <f>IFERROR(ABS(INDEX(CashIntraTable[Amount],MATCH($A$3&amp;N$5&amp;$A55,CashIntraTable[RefRng],0))),0)</f>
        <v>0</v>
      </c>
      <c r="O31" s="62">
        <f>IFERROR(ABS(INDEX(CashIntraTable[Amount],MATCH($A$3&amp;O$5&amp;$A55,CashIntraTable[RefRng],0))),0)</f>
        <v>0</v>
      </c>
      <c r="P31" s="62">
        <f>IFERROR(ABS(INDEX(CashIntraTable[Amount],MATCH($A$3&amp;P$5&amp;$A55,CashIntraTable[RefRng],0))),0)</f>
        <v>0</v>
      </c>
    </row>
    <row r="32" spans="1:16" s="22" customFormat="1" x14ac:dyDescent="0.2">
      <c r="A32" s="26" t="s">
        <v>364</v>
      </c>
      <c r="B32" s="33">
        <v>0</v>
      </c>
      <c r="C32" s="33">
        <v>0</v>
      </c>
      <c r="D32" s="33">
        <v>0</v>
      </c>
      <c r="E32" s="33">
        <v>0</v>
      </c>
      <c r="F32" s="33">
        <v>0</v>
      </c>
      <c r="G32" s="33">
        <v>0</v>
      </c>
      <c r="H32" s="33">
        <v>0</v>
      </c>
      <c r="I32" s="33">
        <v>59945901</v>
      </c>
      <c r="J32" s="33">
        <v>9994553.6999999993</v>
      </c>
      <c r="K32" s="33">
        <v>0</v>
      </c>
      <c r="L32" s="33">
        <v>115863308.42</v>
      </c>
      <c r="M32" s="33">
        <f>IFERROR(INDEX(CashProjTable[DebtBuy_BahtNet],MATCH($A$3&amp;M$5,CashProjTable[RefRng],0))+SUMIFS(IntraTrans[Net Settlement],IntraTrans[Portfolio],$A$3,IntraTrans[B/S],"B",IntraTrans[Settle Date],M$5,IntraTrans[Payment],"BAHTNET"),0)</f>
        <v>0</v>
      </c>
      <c r="N32" s="33">
        <f>IFERROR(INDEX(CashProjTable[DebtBuy_BahtNet],MATCH($A$3&amp;N$5,CashProjTable[RefRng],0))+SUMIFS(IntraTrans[Net Settlement],IntraTrans[Portfolio],$A$3,IntraTrans[B/S],"B",IntraTrans[Settle Date],N$5,IntraTrans[Payment],"BAHTNET"),0)</f>
        <v>0</v>
      </c>
      <c r="O32" s="33">
        <f>IFERROR(INDEX(CashProjTable[DebtBuy_BahtNet],MATCH($A$3&amp;O$5,CashProjTable[RefRng],0))+SUMIFS(IntraTrans[Net Settlement],IntraTrans[Portfolio],$A$3,IntraTrans[B/S],"B",IntraTrans[Settle Date],O$5,IntraTrans[Payment],"BAHTNET"),0)</f>
        <v>0</v>
      </c>
      <c r="P32" s="33">
        <f>IFERROR(INDEX(CashProjTable[DebtBuy_BahtNet],MATCH($A$3&amp;P$5,CashProjTable[RefRng],0))+SUMIFS(IntraTrans[Net Settlement],IntraTrans[Portfolio],$A$3,IntraTrans[B/S],"B",IntraTrans[Settle Date],P$5,IntraTrans[Payment],"BAHTNET"),0)</f>
        <v>0</v>
      </c>
    </row>
    <row r="33" spans="1:33" s="22" customFormat="1" x14ac:dyDescent="0.2">
      <c r="A33" s="26" t="s">
        <v>365</v>
      </c>
      <c r="B33" s="33">
        <v>0</v>
      </c>
      <c r="C33" s="33">
        <v>0</v>
      </c>
      <c r="D33" s="33">
        <v>0</v>
      </c>
      <c r="E33" s="33">
        <v>0</v>
      </c>
      <c r="F33" s="33">
        <v>0</v>
      </c>
      <c r="G33" s="33">
        <v>0</v>
      </c>
      <c r="H33" s="33">
        <v>0</v>
      </c>
      <c r="I33" s="33">
        <v>0</v>
      </c>
      <c r="J33" s="33">
        <v>0</v>
      </c>
      <c r="K33" s="33">
        <v>0</v>
      </c>
      <c r="L33" s="33">
        <v>0</v>
      </c>
      <c r="M33" s="33">
        <f>IFERROR((INDEX(CashProjTable[DebtBuy],MATCH($A$3&amp;M$5,CashProjTable[RefRng],0))-INDEX(CashProjTable[DebtBuy_BahtNet],MATCH($A$3&amp;M$5,CashProjTable[RefRng],0)))+SUMIFS(IntraTrans[Net Settlement],IntraTrans[Portfolio],$A$3,IntraTrans[B/S],"B",IntraTrans[Settle Date],M$5,IntraTrans[Payment],"CHEQUE"),0)</f>
        <v>0</v>
      </c>
      <c r="N33" s="33">
        <f>IFERROR((INDEX(CashProjTable[DebtBuy],MATCH($A$3&amp;N$5,CashProjTable[RefRng],0))-INDEX(CashProjTable[DebtBuy_BahtNet],MATCH($A$3&amp;N$5,CashProjTable[RefRng],0)))+SUMIFS(IntraTrans[Net Settlement],IntraTrans[Portfolio],$A$3,IntraTrans[B/S],"B",IntraTrans[Settle Date],N$5,IntraTrans[Payment],"CHEQUE"),0)</f>
        <v>0</v>
      </c>
      <c r="O33" s="33">
        <f>IFERROR((INDEX(CashProjTable[DebtBuy],MATCH($A$3&amp;O$5,CashProjTable[RefRng],0))-INDEX(CashProjTable[DebtBuy_BahtNet],MATCH($A$3&amp;O$5,CashProjTable[RefRng],0)))+SUMIFS(IntraTrans[Net Settlement],IntraTrans[Portfolio],$A$3,IntraTrans[B/S],"B",IntraTrans[Settle Date],O$5,IntraTrans[Payment],"CHEQUE"),0)</f>
        <v>0</v>
      </c>
      <c r="P33" s="33">
        <f>IFERROR((INDEX(CashProjTable[DebtBuy],MATCH($A$3&amp;P$5,CashProjTable[RefRng],0))-INDEX(CashProjTable[DebtBuy_BahtNet],MATCH($A$3&amp;P$5,CashProjTable[RefRng],0)))+SUMIFS(IntraTrans[Net Settlement],IntraTrans[Portfolio],$A$3,IntraTrans[B/S],"B",IntraTrans[Settle Date],P$5,IntraTrans[Payment],"CHEQUE"),0)</f>
        <v>0</v>
      </c>
    </row>
    <row r="34" spans="1:33" s="22" customFormat="1" x14ac:dyDescent="0.2">
      <c r="A34" s="26" t="s">
        <v>355</v>
      </c>
      <c r="B34" s="33">
        <v>5000000</v>
      </c>
      <c r="C34" s="33">
        <v>0</v>
      </c>
      <c r="D34" s="33">
        <v>0</v>
      </c>
      <c r="E34" s="33">
        <v>0</v>
      </c>
      <c r="F34" s="33">
        <v>3000000</v>
      </c>
      <c r="G34" s="33">
        <v>0</v>
      </c>
      <c r="H34" s="33">
        <v>0</v>
      </c>
      <c r="I34" s="33">
        <v>10000000</v>
      </c>
      <c r="J34" s="33">
        <v>0</v>
      </c>
      <c r="K34" s="33">
        <v>0</v>
      </c>
      <c r="L34" s="33">
        <v>0</v>
      </c>
      <c r="M34" s="33">
        <f>IF(M$10&gt;0,M$10,0)+INDEX(CashProjTable[CashEqBuy_BahtNet],MATCH($A$3&amp;M$5,CashProjTable[RefRng],0))</f>
        <v>0</v>
      </c>
      <c r="N34" s="33">
        <f>IF(N$10&gt;0,N$10,0)+INDEX(CashProjTable[CashEqBuy_BahtNet],MATCH($A$3&amp;N$5,CashProjTable[RefRng],0))</f>
        <v>0</v>
      </c>
      <c r="O34" s="33">
        <f>IF(O$10&gt;0,O$10,0)+INDEX(CashProjTable[CashEqBuy_BahtNet],MATCH($A$3&amp;O$5,CashProjTable[RefRng],0))</f>
        <v>0</v>
      </c>
      <c r="P34" s="33">
        <f>IF(P$10&gt;0,P$10,0)+INDEX(CashProjTable[CashEqBuy_BahtNet],MATCH($A$3&amp;P$5,CashProjTable[RefRng],0))</f>
        <v>0</v>
      </c>
    </row>
    <row r="35" spans="1:33" s="22" customFormat="1" x14ac:dyDescent="0.2">
      <c r="A35" s="26" t="s">
        <v>356</v>
      </c>
      <c r="B35" s="33">
        <v>0</v>
      </c>
      <c r="C35" s="33">
        <v>0</v>
      </c>
      <c r="D35" s="33">
        <v>0</v>
      </c>
      <c r="E35" s="33">
        <v>0</v>
      </c>
      <c r="F35" s="33">
        <v>0</v>
      </c>
      <c r="G35" s="33">
        <v>0</v>
      </c>
      <c r="H35" s="33">
        <v>0</v>
      </c>
      <c r="I35" s="33">
        <v>0</v>
      </c>
      <c r="J35" s="33">
        <v>0</v>
      </c>
      <c r="K35" s="33">
        <v>0</v>
      </c>
      <c r="L35" s="33">
        <v>0</v>
      </c>
      <c r="M35" s="33">
        <v>0</v>
      </c>
      <c r="N35" s="33">
        <v>0</v>
      </c>
      <c r="O35" s="33">
        <v>0</v>
      </c>
      <c r="P35" s="33">
        <v>0</v>
      </c>
    </row>
    <row r="36" spans="1:33" s="22" customFormat="1" x14ac:dyDescent="0.2">
      <c r="A36" s="26" t="s">
        <v>366</v>
      </c>
      <c r="B36" s="33">
        <v>0</v>
      </c>
      <c r="C36" s="33">
        <v>0</v>
      </c>
      <c r="D36" s="33">
        <v>0</v>
      </c>
      <c r="E36" s="33">
        <v>0</v>
      </c>
      <c r="F36" s="33">
        <v>0</v>
      </c>
      <c r="G36" s="33">
        <v>0</v>
      </c>
      <c r="H36" s="33">
        <v>0</v>
      </c>
      <c r="I36" s="33">
        <v>0</v>
      </c>
      <c r="J36" s="33">
        <v>0</v>
      </c>
      <c r="K36" s="33">
        <v>0</v>
      </c>
      <c r="L36" s="33">
        <v>0</v>
      </c>
      <c r="M36" s="33">
        <f>IFERROR(INDEX(CashProjTable[Expense],MATCH($A$3&amp;M$5,CashProjTable[RefRng],0)),0)</f>
        <v>0</v>
      </c>
      <c r="N36" s="33">
        <f>IFERROR(INDEX(CashProjTable[Expense],MATCH($A$3&amp;N$5,CashProjTable[RefRng],0)),0)</f>
        <v>0</v>
      </c>
      <c r="O36" s="33">
        <f>IFERROR(INDEX(CashProjTable[Expense],MATCH($A$3&amp;O$5,CashProjTable[RefRng],0)),0)</f>
        <v>0</v>
      </c>
      <c r="P36" s="33">
        <f>IFERROR(INDEX(CashProjTable[Expense],MATCH($A$3&amp;P$5,CashProjTable[RefRng],0)),0)</f>
        <v>0</v>
      </c>
    </row>
    <row r="37" spans="1:33" s="36" customFormat="1" x14ac:dyDescent="0.2">
      <c r="A37" s="34" t="s">
        <v>359</v>
      </c>
      <c r="B37" s="35"/>
      <c r="C37" s="35"/>
      <c r="D37" s="35"/>
      <c r="E37" s="35"/>
      <c r="F37" s="35"/>
      <c r="G37" s="35"/>
      <c r="H37" s="35">
        <v>30000000</v>
      </c>
      <c r="I37" s="35"/>
      <c r="J37" s="35"/>
      <c r="K37" s="35"/>
      <c r="L37" s="35"/>
      <c r="M37" s="35"/>
      <c r="N37" s="35"/>
      <c r="O37" s="35"/>
      <c r="P37" s="35"/>
    </row>
    <row r="38" spans="1:33" s="38" customFormat="1" ht="13.5" thickBot="1" x14ac:dyDescent="0.25">
      <c r="A38" s="28" t="s">
        <v>367</v>
      </c>
      <c r="B38" s="37">
        <v>6269840.4199999999</v>
      </c>
      <c r="C38" s="37">
        <v>2116012.25</v>
      </c>
      <c r="D38" s="37">
        <v>1015004.44</v>
      </c>
      <c r="E38" s="37">
        <v>5595218.96</v>
      </c>
      <c r="F38" s="37">
        <v>25656839.830000002</v>
      </c>
      <c r="G38" s="37">
        <v>2402725.1800000002</v>
      </c>
      <c r="H38" s="37">
        <v>35494376.18</v>
      </c>
      <c r="I38" s="37">
        <v>71116700.420000002</v>
      </c>
      <c r="J38" s="37">
        <v>12528577.08</v>
      </c>
      <c r="K38" s="37">
        <v>25798.99</v>
      </c>
      <c r="L38" s="37">
        <v>117846433.76000001</v>
      </c>
      <c r="M38" s="37">
        <f t="shared" ref="L38:O38" si="4">SUM(M30:M37)</f>
        <v>1643002.45</v>
      </c>
      <c r="N38" s="37">
        <f t="shared" ref="N38:P38" si="5">SUM(N30:N37)</f>
        <v>0</v>
      </c>
      <c r="O38" s="37">
        <f t="shared" si="5"/>
        <v>0</v>
      </c>
      <c r="P38" s="37">
        <f t="shared" si="5"/>
        <v>0</v>
      </c>
    </row>
    <row r="39" spans="1:33" s="22" customFormat="1" x14ac:dyDescent="0.2"/>
    <row r="40" spans="1:33" s="25" customFormat="1" x14ac:dyDescent="0.2">
      <c r="A40" s="24" t="s">
        <v>839</v>
      </c>
    </row>
    <row r="41" spans="1:33" s="22" customFormat="1" x14ac:dyDescent="0.2">
      <c r="A41" s="26" t="s">
        <v>369</v>
      </c>
      <c r="B41" s="33">
        <v>2233365.1400000006</v>
      </c>
      <c r="C41" s="33">
        <v>2750827.58</v>
      </c>
      <c r="D41" s="33">
        <v>2843825.97</v>
      </c>
      <c r="E41" s="33">
        <v>1261670.2299999995</v>
      </c>
      <c r="F41" s="33">
        <v>3723005.2399999946</v>
      </c>
      <c r="G41" s="33">
        <v>3741817.73</v>
      </c>
      <c r="H41" s="33">
        <v>33923249.300000004</v>
      </c>
      <c r="I41" s="33">
        <v>3427583.8800000101</v>
      </c>
      <c r="J41" s="33">
        <v>3159615.01</v>
      </c>
      <c r="K41" s="33">
        <v>6089918.1299999999</v>
      </c>
      <c r="L41" s="33">
        <f t="shared" ref="K41:P41" ca="1" si="6">L$6+L$27-L$38</f>
        <v>1717663.0599999875</v>
      </c>
      <c r="M41" s="33">
        <f t="shared" ca="1" si="6"/>
        <v>3166592.7399999872</v>
      </c>
      <c r="N41" s="33">
        <f t="shared" ca="1" si="6"/>
        <v>3168494.1099999873</v>
      </c>
      <c r="O41" s="33">
        <f t="shared" ca="1" si="6"/>
        <v>3168494.1099999873</v>
      </c>
      <c r="P41" s="33">
        <f t="shared" ca="1" si="6"/>
        <v>3168494.1099999873</v>
      </c>
    </row>
    <row r="42" spans="1:33" s="22" customFormat="1" x14ac:dyDescent="0.2">
      <c r="A42" s="26" t="s">
        <v>853</v>
      </c>
      <c r="B42" s="33">
        <v>2233339.83</v>
      </c>
      <c r="C42" s="33">
        <v>2233339.83</v>
      </c>
      <c r="D42" s="33">
        <v>2843826.08</v>
      </c>
      <c r="E42" s="33">
        <v>0</v>
      </c>
      <c r="F42" s="33">
        <v>3719900.91</v>
      </c>
      <c r="G42" s="33">
        <f>IFERROR(INDEX(CashProjTable[CashBal],MATCH($A$3&amp;G$5,CashProjTable[RefRng],0)),0)</f>
        <v>0</v>
      </c>
      <c r="H42" s="33">
        <v>33922326.200000003</v>
      </c>
      <c r="I42" s="33">
        <v>3427585.09</v>
      </c>
      <c r="J42" s="33">
        <v>3159359.87</v>
      </c>
      <c r="K42" s="33">
        <f>IFERROR(INDEX(CashProjTable[CashBal],MATCH($A$3&amp;K$5,CashProjTable[RefRng],0)),0)</f>
        <v>6088582.5700000003</v>
      </c>
      <c r="L42" s="33">
        <f>IFERROR(INDEX(CashProjTable[CashBal],MATCH($A$3&amp;L$5,CashProjTable[RefRng],0)),0)</f>
        <v>-4332517.63</v>
      </c>
      <c r="M42" s="33">
        <f>IFERROR(INDEX(CashProjTable[CashBal],MATCH($A$3&amp;M$5,CashProjTable[RefRng],0)),0)</f>
        <v>-4332517.63</v>
      </c>
      <c r="N42" s="33">
        <f>IFERROR(INDEX(CashProjTable[CashBal],MATCH($A$3&amp;N$5,CashProjTable[RefRng],0)),0)</f>
        <v>-4332517.63</v>
      </c>
      <c r="O42" s="33">
        <f>IFERROR(INDEX(CashProjTable[CashBal],MATCH($A$3&amp;O$5,CashProjTable[RefRng],0)),0)</f>
        <v>-4332517.63</v>
      </c>
      <c r="P42" s="33">
        <f>IFERROR(INDEX(CashProjTable[CashBal],MATCH($A$3&amp;P$5,CashProjTable[RefRng],0)),0)</f>
        <v>-4332517.63</v>
      </c>
    </row>
    <row r="43" spans="1:33" s="41" customFormat="1" x14ac:dyDescent="0.2">
      <c r="A43" s="39" t="s">
        <v>370</v>
      </c>
      <c r="B43" s="40">
        <v>-25.310000000521541</v>
      </c>
      <c r="C43" s="40">
        <v>-517487.75</v>
      </c>
      <c r="D43" s="40">
        <v>0.10999999986961484</v>
      </c>
      <c r="E43" s="40">
        <v>1582155.8500000006</v>
      </c>
      <c r="F43" s="40">
        <v>22466839.830000006</v>
      </c>
      <c r="G43" s="40">
        <v>-21916.820000000298</v>
      </c>
      <c r="H43" s="40">
        <v>34818335.469999991</v>
      </c>
      <c r="I43" s="40">
        <v>70903718.359999999</v>
      </c>
      <c r="J43" s="40">
        <v>232288.58000000007</v>
      </c>
      <c r="K43" s="40">
        <v>-2930558.26</v>
      </c>
      <c r="L43" s="40">
        <v>79924262.689999998</v>
      </c>
      <c r="M43" s="40">
        <f t="shared" ref="M43:O43" ca="1" si="7">M42-M41</f>
        <v>-7499110.3699999871</v>
      </c>
      <c r="N43" s="40">
        <f t="shared" ref="N43:P43" ca="1" si="8">N42-N41</f>
        <v>-7501011.7399999872</v>
      </c>
      <c r="O43" s="40">
        <f t="shared" ca="1" si="8"/>
        <v>-7501011.7399999872</v>
      </c>
      <c r="P43" s="40">
        <f t="shared" ca="1" si="8"/>
        <v>-7501011.7399999872</v>
      </c>
    </row>
    <row r="44" spans="1:33" s="22" customFormat="1" x14ac:dyDescent="0.2">
      <c r="A44" s="26" t="s">
        <v>854</v>
      </c>
      <c r="B44" s="44">
        <v>1518723209.0299997</v>
      </c>
      <c r="C44" s="33">
        <v>1517083633.02</v>
      </c>
      <c r="D44" s="33">
        <v>1517143249.76</v>
      </c>
      <c r="E44" s="33">
        <v>1511651367.4399998</v>
      </c>
      <c r="F44" s="33">
        <v>1492276101.1400001</v>
      </c>
      <c r="G44" s="33">
        <v>1492636853.5</v>
      </c>
      <c r="H44" s="33">
        <v>1487803759.3599999</v>
      </c>
      <c r="I44" s="33">
        <v>1486628754.2699997</v>
      </c>
      <c r="J44" s="33">
        <v>1494462358.7499998</v>
      </c>
      <c r="K44" s="33">
        <v>1497656452.01</v>
      </c>
      <c r="L44" s="33">
        <v>1498824058.0999999</v>
      </c>
      <c r="M44" s="33">
        <f t="shared" ref="M44" ca="1" si="9">IF(M$5&gt;TODAY(),L44,L45)+SUM(M16:M19)-SUM(M30:M31)</f>
        <v>1500272987.78</v>
      </c>
      <c r="N44" s="33">
        <f t="shared" ref="N44" ca="1" si="10">IF(N$5&gt;TODAY(),M44,M45)+SUM(N16:N19)-SUM(N30:N31)</f>
        <v>1500274889.1499999</v>
      </c>
      <c r="O44" s="33">
        <f t="shared" ref="O44" ca="1" si="11">IF(O$5&gt;TODAY(),N44,N45)+SUM(O16:O19)-SUM(O30:O31)</f>
        <v>1500274889.1499999</v>
      </c>
      <c r="P44" s="33">
        <f t="shared" ref="P44" ca="1" si="12">IF(P$5&gt;TODAY(),O44,O45)+SUM(P16:P19)-SUM(P30:P31)</f>
        <v>1500274889.1499999</v>
      </c>
    </row>
    <row r="45" spans="1:33" s="22" customFormat="1" x14ac:dyDescent="0.2">
      <c r="A45" s="26" t="s">
        <v>855</v>
      </c>
      <c r="B45" s="33">
        <v>1518566145.27</v>
      </c>
      <c r="C45" s="33">
        <v>1517050254.2</v>
      </c>
      <c r="D45" s="33">
        <v>1517233523.29</v>
      </c>
      <c r="E45" s="33">
        <v>1511742940.97</v>
      </c>
      <c r="F45" s="33">
        <v>1492614936.6800001</v>
      </c>
      <c r="G45" s="33">
        <f>[1]!SCBAM_GetGroup1Dtl($A$3,"NET ASSET VALUE",G$5,"MarketVal")+[1]!SCBAM_GetGroup1Dtl($A$3,"NET ASSET VALUE",G$5,"ai")</f>
        <v>1492622094.8299999</v>
      </c>
      <c r="H45" s="33">
        <v>1487779239.4299998</v>
      </c>
      <c r="I45" s="33">
        <v>1486735775.1299999</v>
      </c>
      <c r="J45" s="33">
        <v>1494725893.75</v>
      </c>
      <c r="K45" s="33">
        <f>[1]!SCBAM_GetGroup1Dtl($A$3,"NET ASSET VALUE",K$5,"MarketVal")+[1]!SCBAM_GetGroup1Dtl($A$3,"NET ASSET VALUE",K$5,"ai")</f>
        <v>1497773877.4099998</v>
      </c>
      <c r="L45" s="33">
        <f>[1]!SCBAM_GetGroup1Dtl($A$3,"NET ASSET VALUE",L$5,"MarketVal")+[1]!SCBAM_GetGroup1Dtl($A$3,"NET ASSET VALUE",L$5,"ai")</f>
        <v>0</v>
      </c>
      <c r="M45" s="33">
        <f>[1]!SCBAM_GetGroup1Dtl($A$3,"NET ASSET VALUE",M$5,"MarketVal")+[1]!SCBAM_GetGroup1Dtl($A$3,"NET ASSET VALUE",M$5,"ai")</f>
        <v>0</v>
      </c>
      <c r="N45" s="33">
        <f>[1]!SCBAM_GetGroup1Dtl($A$3,"NET ASSET VALUE",N$5,"MarketVal")+[1]!SCBAM_GetGroup1Dtl($A$3,"NET ASSET VALUE",N$5,"ai")</f>
        <v>0</v>
      </c>
      <c r="O45" s="33">
        <f>[1]!SCBAM_GetGroup1Dtl($A$3,"NET ASSET VALUE",O$5,"MarketVal")+[1]!SCBAM_GetGroup1Dtl($A$3,"NET ASSET VALUE",O$5,"ai")</f>
        <v>0</v>
      </c>
      <c r="P45" s="33">
        <f>[1]!SCBAM_GetGroup1Dtl($A$3,"NET ASSET VALUE",P$5,"MarketVal")+[1]!SCBAM_GetGroup1Dtl($A$3,"NET ASSET VALUE",P$5,"ai")</f>
        <v>0</v>
      </c>
    </row>
    <row r="46" spans="1:33" s="21" customFormat="1" x14ac:dyDescent="0.2">
      <c r="A46" s="19" t="s">
        <v>840</v>
      </c>
      <c r="B46" s="20">
        <v>-1482512.25</v>
      </c>
      <c r="C46" s="20">
        <v>92995.550000000047</v>
      </c>
      <c r="D46" s="20">
        <v>-5582155.8499999996</v>
      </c>
      <c r="E46" s="20">
        <v>0</v>
      </c>
      <c r="F46" s="20">
        <v>21916.819999999832</v>
      </c>
      <c r="G46" s="20">
        <v>969.79</v>
      </c>
      <c r="H46" s="20">
        <v>-1150485.1599999999</v>
      </c>
      <c r="I46" s="20">
        <v>7726583.6199999992</v>
      </c>
      <c r="J46" s="20">
        <v>2930558.26</v>
      </c>
      <c r="K46" s="20">
        <v>1050180.6900000002</v>
      </c>
      <c r="L46" s="20">
        <f t="shared" ref="L46:M46" si="13">SUM(M16:M19)-SUM(M30:M31)</f>
        <v>1448929.68</v>
      </c>
      <c r="M46" s="20">
        <f t="shared" si="13"/>
        <v>1901.37</v>
      </c>
      <c r="N46" s="20">
        <f t="shared" ref="N46" si="14">SUM(O16:O19)-SUM(O30:O31)</f>
        <v>0</v>
      </c>
      <c r="O46" s="20">
        <f t="shared" ref="O46" si="15">SUM(P16:P19)-SUM(P30:P31)</f>
        <v>0</v>
      </c>
      <c r="P46" s="20">
        <f t="shared" ref="P46" si="16">SUM(Q16:Q19)-SUM(Q30:Q31)</f>
        <v>0</v>
      </c>
    </row>
    <row r="47" spans="1:33" s="47" customFormat="1" x14ac:dyDescent="0.2">
      <c r="A47" s="45" t="s">
        <v>371</v>
      </c>
      <c r="B47" s="48">
        <v>1.4707065259925902E-3</v>
      </c>
      <c r="C47" s="48">
        <v>1.8132738664287816E-3</v>
      </c>
      <c r="D47" s="48">
        <v>1.8743495489299434E-3</v>
      </c>
      <c r="E47" s="48">
        <v>8.3463042945983873E-4</v>
      </c>
      <c r="F47" s="48">
        <v>2.4942837891472644E-3</v>
      </c>
      <c r="G47" s="48">
        <v>1.7560709310196595E-2</v>
      </c>
      <c r="H47" s="48">
        <v>2.2786315215780371E-2</v>
      </c>
      <c r="I47" s="48">
        <v>2.5856832204806567E-2</v>
      </c>
      <c r="J47" s="48">
        <v>9.5992919299748153E-3</v>
      </c>
      <c r="K47" s="48">
        <v>-2.4280670945059433E-3</v>
      </c>
      <c r="L47" s="48">
        <v>-8.0460078918718277E-4</v>
      </c>
      <c r="M47" s="48">
        <f t="shared" ref="M47:O47" ca="1" si="17">M41/IF(M5&lt;TODAY(),M45,M44)</f>
        <v>2.110677700520151E-3</v>
      </c>
      <c r="N47" s="48">
        <f t="shared" ref="N47:P47" ca="1" si="18">N41/IF(N5&lt;TODAY(),N45,N44)</f>
        <v>2.1119423733040941E-3</v>
      </c>
      <c r="O47" s="48">
        <f t="shared" ca="1" si="18"/>
        <v>2.1119423733040941E-3</v>
      </c>
      <c r="P47" s="48">
        <f t="shared" ca="1" si="18"/>
        <v>2.1119423733040941E-3</v>
      </c>
      <c r="Q47" s="46"/>
      <c r="R47" s="46"/>
      <c r="S47" s="46"/>
      <c r="T47" s="46"/>
      <c r="U47" s="46"/>
      <c r="V47" s="46"/>
      <c r="W47" s="46"/>
      <c r="X47" s="46"/>
      <c r="Y47" s="46"/>
      <c r="Z47" s="46"/>
      <c r="AA47" s="46"/>
      <c r="AB47" s="46"/>
      <c r="AC47" s="46"/>
      <c r="AD47" s="46"/>
      <c r="AE47" s="46"/>
      <c r="AF47" s="46"/>
      <c r="AG47" s="46"/>
    </row>
    <row r="48" spans="1:33" s="42" customFormat="1" x14ac:dyDescent="0.2">
      <c r="A48" s="42" t="s">
        <v>372</v>
      </c>
      <c r="B48" s="43">
        <v>-3987660.17</v>
      </c>
      <c r="C48" s="43">
        <v>2233339.83</v>
      </c>
      <c r="D48" s="43">
        <v>1735826.08</v>
      </c>
      <c r="E48" s="43">
        <v>2843826.08</v>
      </c>
      <c r="F48" s="43">
        <v>26189845.07</v>
      </c>
      <c r="G48" s="43">
        <v>26189845.07</v>
      </c>
      <c r="H48" s="43">
        <v>68719900.909999996</v>
      </c>
      <c r="I48" s="43">
        <v>109343228.61</v>
      </c>
      <c r="J48" s="43">
        <v>14578069.039999999</v>
      </c>
      <c r="K48" s="43">
        <v>-6566968.6100000003</v>
      </c>
      <c r="L48" s="43">
        <v>78718307.670000002</v>
      </c>
      <c r="M48" s="43">
        <f>IFERROR(INDEX(CashProjTable[CashForUse],MATCH($A$3&amp;M$5,CashProjTable[RefRng],0)),0)</f>
        <v>-4332517.63</v>
      </c>
      <c r="N48" s="43">
        <f>IFERROR(INDEX(CashProjTable[CashForUse],MATCH($A$3&amp;N$5,CashProjTable[RefRng],0)),0)</f>
        <v>-4332517.63</v>
      </c>
      <c r="O48" s="43">
        <f>IFERROR(INDEX(CashProjTable[CashForUse],MATCH($A$3&amp;O$5,CashProjTable[RefRng],0)),0)</f>
        <v>-4332517.63</v>
      </c>
      <c r="P48" s="43">
        <f>IFERROR(INDEX(CashProjTable[CashForUse],MATCH($A$3&amp;P$5,CashProjTable[RefRng],0)),0)</f>
        <v>-4332517.63</v>
      </c>
    </row>
    <row r="49" spans="1:16" s="42" customFormat="1" x14ac:dyDescent="0.2">
      <c r="A49" s="42" t="s">
        <v>373</v>
      </c>
      <c r="B49" s="43">
        <v>-4008497.17</v>
      </c>
      <c r="C49" s="43">
        <v>-3987660.17</v>
      </c>
      <c r="D49" s="43">
        <v>1112326.08</v>
      </c>
      <c r="E49" s="43">
        <v>1735826.08</v>
      </c>
      <c r="F49" s="43">
        <v>26173677.629999999</v>
      </c>
      <c r="G49" s="43">
        <v>26189845.07</v>
      </c>
      <c r="H49" s="43">
        <v>68719900.909999996</v>
      </c>
      <c r="I49" s="43">
        <v>108741584.77</v>
      </c>
      <c r="J49" s="43">
        <v>14578069.039999999</v>
      </c>
      <c r="K49" s="43">
        <v>-6566968.6100000003</v>
      </c>
      <c r="L49" s="43">
        <v>78276099.450000003</v>
      </c>
      <c r="M49" s="43">
        <f>IFERROR(INDEX(CashProjTable[CashForBahtNet],MATCH($A$3&amp;M$5,CashProjTable[RefRng],0)),0)</f>
        <v>-4332517.63</v>
      </c>
      <c r="N49" s="43">
        <f>IFERROR(INDEX(CashProjTable[CashForBahtNet],MATCH($A$3&amp;N$5,CashProjTable[RefRng],0)),0)</f>
        <v>-4332517.63</v>
      </c>
      <c r="O49" s="43">
        <f>IFERROR(INDEX(CashProjTable[CashForBahtNet],MATCH($A$3&amp;O$5,CashProjTable[RefRng],0)),0)</f>
        <v>-4332517.63</v>
      </c>
      <c r="P49" s="43">
        <f>IFERROR(INDEX(CashProjTable[CashForBahtNet],MATCH($A$3&amp;P$5,CashProjTable[RefRng],0)),0)</f>
        <v>-4332517.63</v>
      </c>
    </row>
    <row r="51" spans="1:16" x14ac:dyDescent="0.2">
      <c r="A51" s="11" t="s">
        <v>329</v>
      </c>
    </row>
    <row r="52" spans="1:16" x14ac:dyDescent="0.2">
      <c r="A52" s="11" t="s">
        <v>333</v>
      </c>
    </row>
    <row r="53" spans="1:16" x14ac:dyDescent="0.2">
      <c r="A53" s="11" t="s">
        <v>330</v>
      </c>
    </row>
    <row r="54" spans="1:16" x14ac:dyDescent="0.2">
      <c r="A54" s="11" t="s">
        <v>331</v>
      </c>
    </row>
    <row r="55" spans="1:16" x14ac:dyDescent="0.2">
      <c r="A55" s="11" t="s">
        <v>332</v>
      </c>
    </row>
  </sheetData>
  <conditionalFormatting sqref="D5">
    <cfRule type="cellIs" dxfId="104" priority="51" operator="equal">
      <formula>TODAY()</formula>
    </cfRule>
  </conditionalFormatting>
  <conditionalFormatting sqref="D10">
    <cfRule type="cellIs" dxfId="103" priority="50" operator="greaterThan">
      <formula>"&lt;0"</formula>
    </cfRule>
  </conditionalFormatting>
  <conditionalFormatting sqref="D11">
    <cfRule type="cellIs" dxfId="102" priority="49" operator="greaterThan">
      <formula>"&lt;0"</formula>
    </cfRule>
  </conditionalFormatting>
  <conditionalFormatting sqref="A5:C5 Q5:XFD5">
    <cfRule type="cellIs" dxfId="101" priority="62" operator="equal">
      <formula>TODAY()</formula>
    </cfRule>
  </conditionalFormatting>
  <conditionalFormatting sqref="B9:D9">
    <cfRule type="cellIs" dxfId="100" priority="61" operator="greaterThan">
      <formula>"&lt;0"</formula>
    </cfRule>
  </conditionalFormatting>
  <conditionalFormatting sqref="B10">
    <cfRule type="cellIs" dxfId="99" priority="60" operator="greaterThan">
      <formula>"&lt;0"</formula>
    </cfRule>
  </conditionalFormatting>
  <conditionalFormatting sqref="B11">
    <cfRule type="cellIs" dxfId="98" priority="59" operator="greaterThan">
      <formula>"&lt;0"</formula>
    </cfRule>
  </conditionalFormatting>
  <conditionalFormatting sqref="C10">
    <cfRule type="cellIs" dxfId="97" priority="58" operator="greaterThan">
      <formula>"&lt;0"</formula>
    </cfRule>
  </conditionalFormatting>
  <conditionalFormatting sqref="C11">
    <cfRule type="cellIs" dxfId="96" priority="57" operator="greaterThan">
      <formula>"&lt;0"</formula>
    </cfRule>
  </conditionalFormatting>
  <conditionalFormatting sqref="B7">
    <cfRule type="cellIs" dxfId="95" priority="56" operator="greaterThan">
      <formula>"&lt;0"</formula>
    </cfRule>
  </conditionalFormatting>
  <conditionalFormatting sqref="F5">
    <cfRule type="cellIs" dxfId="94" priority="40" operator="equal">
      <formula>TODAY()</formula>
    </cfRule>
  </conditionalFormatting>
  <conditionalFormatting sqref="F9">
    <cfRule type="cellIs" dxfId="93" priority="39" operator="greaterThan">
      <formula>"&lt;0"</formula>
    </cfRule>
  </conditionalFormatting>
  <conditionalFormatting sqref="F10">
    <cfRule type="cellIs" dxfId="92" priority="38" operator="greaterThan">
      <formula>"&lt;0"</formula>
    </cfRule>
  </conditionalFormatting>
  <conditionalFormatting sqref="F11">
    <cfRule type="cellIs" dxfId="91" priority="37" operator="greaterThan">
      <formula>"&lt;0"</formula>
    </cfRule>
  </conditionalFormatting>
  <conditionalFormatting sqref="E10">
    <cfRule type="cellIs" dxfId="90" priority="34" operator="greaterThan">
      <formula>"&lt;0"</formula>
    </cfRule>
  </conditionalFormatting>
  <conditionalFormatting sqref="E11">
    <cfRule type="cellIs" dxfId="89" priority="33" operator="greaterThan">
      <formula>"&lt;0"</formula>
    </cfRule>
  </conditionalFormatting>
  <conditionalFormatting sqref="E9">
    <cfRule type="cellIs" dxfId="88" priority="36" operator="greaterThan">
      <formula>"&lt;0"</formula>
    </cfRule>
  </conditionalFormatting>
  <conditionalFormatting sqref="E5">
    <cfRule type="cellIs" dxfId="87" priority="35" operator="equal">
      <formula>TODAY()</formula>
    </cfRule>
  </conditionalFormatting>
  <conditionalFormatting sqref="G10">
    <cfRule type="cellIs" dxfId="86" priority="30" operator="greaterThan">
      <formula>"&lt;0"</formula>
    </cfRule>
  </conditionalFormatting>
  <conditionalFormatting sqref="G11">
    <cfRule type="cellIs" dxfId="85" priority="29" operator="greaterThan">
      <formula>"&lt;0"</formula>
    </cfRule>
  </conditionalFormatting>
  <conditionalFormatting sqref="G9">
    <cfRule type="cellIs" dxfId="84" priority="32" operator="greaterThan">
      <formula>"&lt;0"</formula>
    </cfRule>
  </conditionalFormatting>
  <conditionalFormatting sqref="G5">
    <cfRule type="cellIs" dxfId="83" priority="31" operator="equal">
      <formula>TODAY()</formula>
    </cfRule>
  </conditionalFormatting>
  <conditionalFormatting sqref="H10">
    <cfRule type="cellIs" dxfId="82" priority="26" operator="greaterThan">
      <formula>"&lt;0"</formula>
    </cfRule>
  </conditionalFormatting>
  <conditionalFormatting sqref="H11">
    <cfRule type="cellIs" dxfId="81" priority="25" operator="greaterThan">
      <formula>"&lt;0"</formula>
    </cfRule>
  </conditionalFormatting>
  <conditionalFormatting sqref="H9">
    <cfRule type="cellIs" dxfId="80" priority="28" operator="greaterThan">
      <formula>"&lt;0"</formula>
    </cfRule>
  </conditionalFormatting>
  <conditionalFormatting sqref="H5">
    <cfRule type="cellIs" dxfId="79" priority="27" operator="equal">
      <formula>TODAY()</formula>
    </cfRule>
  </conditionalFormatting>
  <conditionalFormatting sqref="I10">
    <cfRule type="cellIs" dxfId="78" priority="22" operator="greaterThan">
      <formula>"&lt;0"</formula>
    </cfRule>
  </conditionalFormatting>
  <conditionalFormatting sqref="I11">
    <cfRule type="cellIs" dxfId="77" priority="21" operator="greaterThan">
      <formula>"&lt;0"</formula>
    </cfRule>
  </conditionalFormatting>
  <conditionalFormatting sqref="I9">
    <cfRule type="cellIs" dxfId="76" priority="24" operator="greaterThan">
      <formula>"&lt;0"</formula>
    </cfRule>
  </conditionalFormatting>
  <conditionalFormatting sqref="I5">
    <cfRule type="cellIs" dxfId="75" priority="23" operator="equal">
      <formula>TODAY()</formula>
    </cfRule>
  </conditionalFormatting>
  <conditionalFormatting sqref="J10">
    <cfRule type="cellIs" dxfId="74" priority="18" operator="greaterThan">
      <formula>"&lt;0"</formula>
    </cfRule>
  </conditionalFormatting>
  <conditionalFormatting sqref="J11">
    <cfRule type="cellIs" dxfId="73" priority="17" operator="greaterThan">
      <formula>"&lt;0"</formula>
    </cfRule>
  </conditionalFormatting>
  <conditionalFormatting sqref="J9">
    <cfRule type="cellIs" dxfId="72" priority="20" operator="greaterThan">
      <formula>"&lt;0"</formula>
    </cfRule>
  </conditionalFormatting>
  <conditionalFormatting sqref="J5">
    <cfRule type="cellIs" dxfId="71" priority="19" operator="equal">
      <formula>TODAY()</formula>
    </cfRule>
  </conditionalFormatting>
  <conditionalFormatting sqref="K10">
    <cfRule type="cellIs" dxfId="70" priority="14" operator="greaterThan">
      <formula>"&lt;0"</formula>
    </cfRule>
  </conditionalFormatting>
  <conditionalFormatting sqref="K11">
    <cfRule type="cellIs" dxfId="69" priority="13" operator="greaterThan">
      <formula>"&lt;0"</formula>
    </cfRule>
  </conditionalFormatting>
  <conditionalFormatting sqref="K9">
    <cfRule type="cellIs" dxfId="68" priority="16" operator="greaterThan">
      <formula>"&lt;0"</formula>
    </cfRule>
  </conditionalFormatting>
  <conditionalFormatting sqref="K5">
    <cfRule type="cellIs" dxfId="67" priority="15" operator="equal">
      <formula>TODAY()</formula>
    </cfRule>
  </conditionalFormatting>
  <conditionalFormatting sqref="L10">
    <cfRule type="cellIs" dxfId="66" priority="10" operator="greaterThan">
      <formula>"&lt;0"</formula>
    </cfRule>
  </conditionalFormatting>
  <conditionalFormatting sqref="L11">
    <cfRule type="cellIs" dxfId="65" priority="9" operator="greaterThan">
      <formula>"&lt;0"</formula>
    </cfRule>
  </conditionalFormatting>
  <conditionalFormatting sqref="L9">
    <cfRule type="cellIs" dxfId="64" priority="12" operator="greaterThan">
      <formula>"&lt;0"</formula>
    </cfRule>
  </conditionalFormatting>
  <conditionalFormatting sqref="L5">
    <cfRule type="cellIs" dxfId="63" priority="11" operator="equal">
      <formula>TODAY()</formula>
    </cfRule>
  </conditionalFormatting>
  <conditionalFormatting sqref="M10">
    <cfRule type="cellIs" dxfId="62" priority="6" operator="greaterThan">
      <formula>"&lt;0"</formula>
    </cfRule>
  </conditionalFormatting>
  <conditionalFormatting sqref="M11">
    <cfRule type="cellIs" dxfId="61" priority="5" operator="greaterThan">
      <formula>"&lt;0"</formula>
    </cfRule>
  </conditionalFormatting>
  <conditionalFormatting sqref="M9">
    <cfRule type="cellIs" dxfId="60" priority="8" operator="greaterThan">
      <formula>"&lt;0"</formula>
    </cfRule>
  </conditionalFormatting>
  <conditionalFormatting sqref="M5">
    <cfRule type="cellIs" dxfId="59" priority="7" operator="equal">
      <formula>TODAY()</formula>
    </cfRule>
  </conditionalFormatting>
  <conditionalFormatting sqref="N10:P10">
    <cfRule type="cellIs" dxfId="58" priority="2" operator="greaterThan">
      <formula>"&lt;0"</formula>
    </cfRule>
  </conditionalFormatting>
  <conditionalFormatting sqref="N11:P11">
    <cfRule type="cellIs" dxfId="57" priority="1" operator="greaterThan">
      <formula>"&lt;0"</formula>
    </cfRule>
  </conditionalFormatting>
  <conditionalFormatting sqref="N9:P9">
    <cfRule type="cellIs" dxfId="56" priority="4" operator="greaterThan">
      <formula>"&lt;0"</formula>
    </cfRule>
  </conditionalFormatting>
  <conditionalFormatting sqref="N5:P5">
    <cfRule type="cellIs" dxfId="55" priority="3" operator="equal">
      <formula>TODAY()</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B8CC4-2D17-4A5A-A049-413B3AF8984E}">
  <sheetPr codeName="Sheet1"/>
  <dimension ref="A1:DI192"/>
  <sheetViews>
    <sheetView workbookViewId="0">
      <selection activeCell="G16" sqref="G16"/>
    </sheetView>
  </sheetViews>
  <sheetFormatPr defaultRowHeight="14.25" x14ac:dyDescent="0.2"/>
  <cols>
    <col min="1" max="3" width="13.875" bestFit="1" customWidth="1"/>
    <col min="4" max="4" width="65.5" bestFit="1" customWidth="1"/>
    <col min="5" max="5" width="54.5" bestFit="1" customWidth="1"/>
    <col min="6" max="6" width="10.125" bestFit="1" customWidth="1"/>
    <col min="7" max="7" width="14.5" bestFit="1" customWidth="1"/>
    <col min="8" max="8" width="13.875" bestFit="1" customWidth="1"/>
    <col min="9" max="9" width="23.875" bestFit="1" customWidth="1"/>
    <col min="10" max="10" width="13.625" bestFit="1" customWidth="1"/>
    <col min="11" max="11" width="14" bestFit="1" customWidth="1"/>
    <col min="12" max="12" width="7.125" bestFit="1" customWidth="1"/>
    <col min="13" max="13" width="12.875" bestFit="1" customWidth="1"/>
    <col min="14" max="14" width="10.375" bestFit="1" customWidth="1"/>
    <col min="15" max="15" width="12.125" bestFit="1" customWidth="1"/>
    <col min="16" max="16" width="13.25" bestFit="1" customWidth="1"/>
    <col min="17" max="17" width="11.375" bestFit="1" customWidth="1"/>
    <col min="18" max="18" width="11.5" bestFit="1" customWidth="1"/>
    <col min="19" max="19" width="15.625" bestFit="1" customWidth="1"/>
    <col min="20" max="20" width="9.875" bestFit="1" customWidth="1"/>
    <col min="21" max="21" width="11.625" bestFit="1" customWidth="1"/>
    <col min="22" max="22" width="11.125" bestFit="1" customWidth="1"/>
    <col min="23" max="23" width="9.5" bestFit="1" customWidth="1"/>
    <col min="24" max="24" width="10.875" bestFit="1" customWidth="1"/>
    <col min="25" max="25" width="11.875" bestFit="1" customWidth="1"/>
    <col min="26" max="26" width="10.875" bestFit="1" customWidth="1"/>
    <col min="27" max="27" width="8.375" bestFit="1" customWidth="1"/>
    <col min="28" max="28" width="13.875" bestFit="1" customWidth="1"/>
    <col min="29" max="29" width="18.5" bestFit="1" customWidth="1"/>
    <col min="30" max="30" width="18" bestFit="1" customWidth="1"/>
    <col min="31" max="31" width="10.875" bestFit="1" customWidth="1"/>
    <col min="32" max="32" width="8.25" bestFit="1" customWidth="1"/>
    <col min="33" max="33" width="19.625" bestFit="1" customWidth="1"/>
    <col min="34" max="34" width="19.75" bestFit="1" customWidth="1"/>
    <col min="35" max="35" width="18.125" bestFit="1" customWidth="1"/>
    <col min="36" max="36" width="18.25" bestFit="1" customWidth="1"/>
    <col min="37" max="37" width="20.5" bestFit="1" customWidth="1"/>
    <col min="38" max="38" width="20.625" bestFit="1" customWidth="1"/>
    <col min="39" max="39" width="18.75" bestFit="1" customWidth="1"/>
    <col min="40" max="40" width="20.375" bestFit="1" customWidth="1"/>
    <col min="41" max="41" width="18" bestFit="1" customWidth="1"/>
    <col min="42" max="42" width="19.625" bestFit="1" customWidth="1"/>
    <col min="43" max="43" width="12.25" bestFit="1" customWidth="1"/>
    <col min="44" max="44" width="16.5" bestFit="1" customWidth="1"/>
    <col min="45" max="45" width="20.125" bestFit="1" customWidth="1"/>
    <col min="46" max="46" width="21.875" bestFit="1" customWidth="1"/>
    <col min="47" max="47" width="19.375" bestFit="1" customWidth="1"/>
    <col min="48" max="48" width="21" bestFit="1" customWidth="1"/>
    <col min="49" max="49" width="12.75" bestFit="1" customWidth="1"/>
    <col min="50" max="50" width="13" bestFit="1" customWidth="1"/>
    <col min="51" max="51" width="12.375" bestFit="1" customWidth="1"/>
    <col min="52" max="52" width="12.25" bestFit="1" customWidth="1"/>
    <col min="53" max="53" width="17.875" bestFit="1" customWidth="1"/>
    <col min="54" max="54" width="13.75" bestFit="1" customWidth="1"/>
    <col min="55" max="55" width="10.125" bestFit="1" customWidth="1"/>
    <col min="56" max="56" width="24.875" bestFit="1" customWidth="1"/>
    <col min="57" max="57" width="22" bestFit="1" customWidth="1"/>
    <col min="58" max="58" width="24.5" bestFit="1" customWidth="1"/>
    <col min="59" max="59" width="19.875" bestFit="1" customWidth="1"/>
    <col min="60" max="60" width="25.125" bestFit="1" customWidth="1"/>
    <col min="61" max="62" width="16.625" bestFit="1" customWidth="1"/>
    <col min="63" max="64" width="13.25" bestFit="1" customWidth="1"/>
    <col min="65" max="66" width="43.5" bestFit="1" customWidth="1"/>
    <col min="67" max="67" width="14.75" bestFit="1" customWidth="1"/>
    <col min="68" max="68" width="19.5" bestFit="1" customWidth="1"/>
    <col min="69" max="69" width="20.625" bestFit="1" customWidth="1"/>
    <col min="70" max="70" width="21.5" bestFit="1" customWidth="1"/>
    <col min="71" max="71" width="18.5" bestFit="1" customWidth="1"/>
    <col min="72" max="72" width="21" bestFit="1" customWidth="1"/>
    <col min="73" max="73" width="16.375" bestFit="1" customWidth="1"/>
    <col min="74" max="75" width="21.75" bestFit="1" customWidth="1"/>
    <col min="76" max="77" width="17.125" bestFit="1" customWidth="1"/>
    <col min="78" max="78" width="22.25" bestFit="1" customWidth="1"/>
    <col min="79" max="79" width="21" bestFit="1" customWidth="1"/>
    <col min="80" max="80" width="18.75" bestFit="1" customWidth="1"/>
    <col min="81" max="81" width="23.5" bestFit="1" customWidth="1"/>
    <col min="82" max="82" width="24.625" bestFit="1" customWidth="1"/>
    <col min="83" max="83" width="25.375" bestFit="1" customWidth="1"/>
    <col min="84" max="84" width="22.5" bestFit="1" customWidth="1"/>
    <col min="85" max="85" width="25" bestFit="1" customWidth="1"/>
    <col min="86" max="86" width="20.375" bestFit="1" customWidth="1"/>
    <col min="87" max="88" width="25.75" bestFit="1" customWidth="1"/>
    <col min="89" max="89" width="27.375" bestFit="1" customWidth="1"/>
    <col min="90" max="90" width="20.75" bestFit="1" customWidth="1"/>
    <col min="91" max="91" width="15" bestFit="1" customWidth="1"/>
    <col min="92" max="92" width="16.875" bestFit="1" customWidth="1"/>
    <col min="93" max="93" width="15.875" bestFit="1" customWidth="1"/>
    <col min="94" max="94" width="12.75" bestFit="1" customWidth="1"/>
    <col min="95" max="95" width="19.5" bestFit="1" customWidth="1"/>
    <col min="96" max="96" width="24.5" bestFit="1" customWidth="1"/>
    <col min="97" max="97" width="21.75" bestFit="1" customWidth="1"/>
    <col min="98" max="98" width="16.875" bestFit="1" customWidth="1"/>
    <col min="99" max="99" width="13.375" bestFit="1" customWidth="1"/>
    <col min="100" max="100" width="18.25" bestFit="1" customWidth="1"/>
    <col min="101" max="101" width="19.5" bestFit="1" customWidth="1"/>
    <col min="102" max="102" width="24.5" bestFit="1" customWidth="1"/>
    <col min="103" max="103" width="7.875" bestFit="1" customWidth="1"/>
    <col min="104" max="104" width="7.75" bestFit="1" customWidth="1"/>
    <col min="105" max="105" width="14.5" bestFit="1" customWidth="1"/>
    <col min="106" max="106" width="9.75" bestFit="1" customWidth="1"/>
    <col min="107" max="107" width="14" bestFit="1" customWidth="1"/>
    <col min="108" max="108" width="9.25" bestFit="1" customWidth="1"/>
    <col min="109" max="109" width="11.75" bestFit="1" customWidth="1"/>
    <col min="110" max="110" width="16.75" bestFit="1" customWidth="1"/>
    <col min="111" max="111" width="20.375" bestFit="1" customWidth="1"/>
    <col min="112" max="112" width="18.5" bestFit="1" customWidth="1"/>
    <col min="113" max="113" width="18.25" bestFit="1" customWidth="1"/>
  </cols>
  <sheetData>
    <row r="1" spans="1:113" x14ac:dyDescent="0.2">
      <c r="A1" s="1" t="s">
        <v>878</v>
      </c>
      <c r="B1" s="1" t="s">
        <v>879</v>
      </c>
      <c r="C1" s="1" t="s">
        <v>880</v>
      </c>
      <c r="D1" s="1" t="s">
        <v>881</v>
      </c>
      <c r="E1" s="1" t="s">
        <v>882</v>
      </c>
      <c r="F1" s="1" t="s">
        <v>883</v>
      </c>
      <c r="G1" s="1" t="s">
        <v>884</v>
      </c>
      <c r="H1" s="1" t="s">
        <v>885</v>
      </c>
      <c r="I1" s="1" t="s">
        <v>886</v>
      </c>
      <c r="J1" s="1" t="s">
        <v>887</v>
      </c>
      <c r="K1" s="1" t="s">
        <v>888</v>
      </c>
      <c r="L1" s="1" t="s">
        <v>889</v>
      </c>
      <c r="M1" s="1" t="s">
        <v>890</v>
      </c>
      <c r="N1" s="1" t="s">
        <v>304</v>
      </c>
      <c r="O1" s="1" t="s">
        <v>1260</v>
      </c>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row>
    <row r="2" spans="1:113" x14ac:dyDescent="0.2">
      <c r="A2" s="2" t="s">
        <v>895</v>
      </c>
      <c r="B2" t="s">
        <v>895</v>
      </c>
      <c r="C2" t="s">
        <v>895</v>
      </c>
      <c r="D2" t="s">
        <v>896</v>
      </c>
      <c r="E2" t="s">
        <v>897</v>
      </c>
      <c r="F2" t="s">
        <v>24</v>
      </c>
      <c r="G2" s="76">
        <v>43263</v>
      </c>
      <c r="H2" t="s">
        <v>898</v>
      </c>
      <c r="J2" s="2">
        <v>43629</v>
      </c>
      <c r="K2" t="s">
        <v>721</v>
      </c>
      <c r="L2" t="s">
        <v>47</v>
      </c>
      <c r="M2" t="s">
        <v>892</v>
      </c>
      <c r="N2" s="2" t="s">
        <v>137</v>
      </c>
      <c r="O2" t="s">
        <v>899</v>
      </c>
      <c r="CN2" s="2"/>
    </row>
    <row r="3" spans="1:113" x14ac:dyDescent="0.2">
      <c r="A3" s="2" t="s">
        <v>900</v>
      </c>
      <c r="B3" t="s">
        <v>900</v>
      </c>
      <c r="C3" t="s">
        <v>900</v>
      </c>
      <c r="D3" t="s">
        <v>901</v>
      </c>
      <c r="E3" t="s">
        <v>902</v>
      </c>
      <c r="F3" t="s">
        <v>24</v>
      </c>
      <c r="G3" s="76">
        <v>43277</v>
      </c>
      <c r="H3" t="s">
        <v>898</v>
      </c>
      <c r="J3" s="2">
        <v>43648</v>
      </c>
      <c r="K3" t="s">
        <v>721</v>
      </c>
      <c r="L3" t="s">
        <v>47</v>
      </c>
      <c r="M3" t="s">
        <v>892</v>
      </c>
      <c r="N3" s="2" t="s">
        <v>137</v>
      </c>
      <c r="O3" t="s">
        <v>903</v>
      </c>
      <c r="CN3" s="2"/>
    </row>
    <row r="4" spans="1:113" x14ac:dyDescent="0.2">
      <c r="A4" s="2" t="s">
        <v>904</v>
      </c>
      <c r="B4" t="s">
        <v>904</v>
      </c>
      <c r="C4" t="s">
        <v>904</v>
      </c>
      <c r="D4" t="s">
        <v>905</v>
      </c>
      <c r="E4" t="s">
        <v>906</v>
      </c>
      <c r="F4" t="s">
        <v>24</v>
      </c>
      <c r="G4" s="76">
        <v>43214</v>
      </c>
      <c r="H4" t="s">
        <v>893</v>
      </c>
      <c r="J4" s="2">
        <v>43398</v>
      </c>
      <c r="K4" t="s">
        <v>721</v>
      </c>
      <c r="L4" t="s">
        <v>47</v>
      </c>
      <c r="M4" t="s">
        <v>892</v>
      </c>
      <c r="N4" s="2" t="s">
        <v>137</v>
      </c>
      <c r="O4" t="s">
        <v>907</v>
      </c>
      <c r="CN4" s="2"/>
    </row>
    <row r="5" spans="1:113" x14ac:dyDescent="0.2">
      <c r="A5" s="2" t="s">
        <v>908</v>
      </c>
      <c r="B5" t="s">
        <v>908</v>
      </c>
      <c r="C5" t="s">
        <v>908</v>
      </c>
      <c r="D5" t="s">
        <v>909</v>
      </c>
      <c r="E5" t="s">
        <v>910</v>
      </c>
      <c r="F5" t="s">
        <v>24</v>
      </c>
      <c r="G5" s="76">
        <v>43256</v>
      </c>
      <c r="H5" t="s">
        <v>893</v>
      </c>
      <c r="J5" s="2">
        <v>43440</v>
      </c>
      <c r="K5" t="s">
        <v>721</v>
      </c>
      <c r="L5" t="s">
        <v>47</v>
      </c>
      <c r="M5" t="s">
        <v>892</v>
      </c>
      <c r="N5" s="2" t="s">
        <v>137</v>
      </c>
      <c r="O5" t="s">
        <v>911</v>
      </c>
      <c r="CN5" s="2"/>
    </row>
    <row r="6" spans="1:113" x14ac:dyDescent="0.2">
      <c r="A6" s="2" t="s">
        <v>912</v>
      </c>
      <c r="B6" t="s">
        <v>912</v>
      </c>
      <c r="C6" t="s">
        <v>912</v>
      </c>
      <c r="D6" t="s">
        <v>913</v>
      </c>
      <c r="E6" t="s">
        <v>914</v>
      </c>
      <c r="F6" t="s">
        <v>24</v>
      </c>
      <c r="G6" s="76">
        <v>43270</v>
      </c>
      <c r="H6" t="s">
        <v>893</v>
      </c>
      <c r="J6" s="2">
        <v>43454</v>
      </c>
      <c r="K6" t="s">
        <v>721</v>
      </c>
      <c r="L6" t="s">
        <v>47</v>
      </c>
      <c r="M6" t="s">
        <v>892</v>
      </c>
      <c r="N6" s="2" t="s">
        <v>137</v>
      </c>
      <c r="O6" t="s">
        <v>915</v>
      </c>
      <c r="CN6" s="2"/>
    </row>
    <row r="7" spans="1:113" x14ac:dyDescent="0.2">
      <c r="A7" s="2" t="s">
        <v>916</v>
      </c>
      <c r="B7" t="s">
        <v>916</v>
      </c>
      <c r="C7" t="s">
        <v>916</v>
      </c>
      <c r="D7" t="s">
        <v>917</v>
      </c>
      <c r="E7" t="s">
        <v>918</v>
      </c>
      <c r="F7" t="s">
        <v>24</v>
      </c>
      <c r="G7" s="76">
        <v>43291</v>
      </c>
      <c r="H7" t="s">
        <v>893</v>
      </c>
      <c r="J7" s="2">
        <v>43475</v>
      </c>
      <c r="K7" t="s">
        <v>721</v>
      </c>
      <c r="L7" t="s">
        <v>47</v>
      </c>
      <c r="M7" t="s">
        <v>892</v>
      </c>
      <c r="N7" s="2" t="s">
        <v>137</v>
      </c>
      <c r="O7" t="s">
        <v>919</v>
      </c>
      <c r="CN7" s="2"/>
    </row>
    <row r="8" spans="1:113" x14ac:dyDescent="0.2">
      <c r="A8" s="2" t="s">
        <v>920</v>
      </c>
      <c r="B8" t="s">
        <v>920</v>
      </c>
      <c r="C8" t="s">
        <v>920</v>
      </c>
      <c r="D8" t="s">
        <v>921</v>
      </c>
      <c r="E8" t="s">
        <v>922</v>
      </c>
      <c r="F8" t="s">
        <v>24</v>
      </c>
      <c r="G8" s="76">
        <v>43319</v>
      </c>
      <c r="H8" t="s">
        <v>893</v>
      </c>
      <c r="J8" s="2">
        <v>43510</v>
      </c>
      <c r="K8" t="s">
        <v>721</v>
      </c>
      <c r="L8" t="s">
        <v>47</v>
      </c>
      <c r="M8" t="s">
        <v>892</v>
      </c>
      <c r="N8" s="2" t="s">
        <v>137</v>
      </c>
      <c r="O8" t="s">
        <v>923</v>
      </c>
      <c r="CN8" s="2"/>
    </row>
    <row r="9" spans="1:113" x14ac:dyDescent="0.2">
      <c r="A9" s="2" t="s">
        <v>924</v>
      </c>
      <c r="B9" t="s">
        <v>924</v>
      </c>
      <c r="C9" t="s">
        <v>924</v>
      </c>
      <c r="D9" t="s">
        <v>925</v>
      </c>
      <c r="E9" t="s">
        <v>926</v>
      </c>
      <c r="F9" t="s">
        <v>24</v>
      </c>
      <c r="G9" s="76">
        <v>43340</v>
      </c>
      <c r="H9" t="s">
        <v>893</v>
      </c>
      <c r="J9" s="2">
        <v>43531</v>
      </c>
      <c r="K9" t="s">
        <v>721</v>
      </c>
      <c r="L9" t="s">
        <v>47</v>
      </c>
      <c r="M9" t="s">
        <v>892</v>
      </c>
      <c r="N9" s="2" t="s">
        <v>137</v>
      </c>
      <c r="O9" t="s">
        <v>927</v>
      </c>
      <c r="CN9" s="2"/>
    </row>
    <row r="10" spans="1:113" x14ac:dyDescent="0.2">
      <c r="A10" s="2" t="s">
        <v>928</v>
      </c>
      <c r="B10" t="s">
        <v>928</v>
      </c>
      <c r="C10" t="s">
        <v>928</v>
      </c>
      <c r="D10" t="s">
        <v>929</v>
      </c>
      <c r="E10" t="s">
        <v>930</v>
      </c>
      <c r="F10" t="s">
        <v>24</v>
      </c>
      <c r="G10" s="76">
        <v>43361</v>
      </c>
      <c r="H10" t="s">
        <v>893</v>
      </c>
      <c r="J10" s="2">
        <v>43545</v>
      </c>
      <c r="K10" t="s">
        <v>721</v>
      </c>
      <c r="L10" t="s">
        <v>47</v>
      </c>
      <c r="M10" t="s">
        <v>892</v>
      </c>
      <c r="N10" s="2" t="s">
        <v>137</v>
      </c>
      <c r="O10" t="s">
        <v>931</v>
      </c>
      <c r="CN10" s="2"/>
    </row>
    <row r="11" spans="1:113" x14ac:dyDescent="0.2">
      <c r="A11" s="2" t="s">
        <v>1210</v>
      </c>
      <c r="B11" t="s">
        <v>1210</v>
      </c>
      <c r="C11" t="s">
        <v>1210</v>
      </c>
      <c r="D11" t="s">
        <v>1239</v>
      </c>
      <c r="E11" t="s">
        <v>1240</v>
      </c>
      <c r="F11" t="s">
        <v>24</v>
      </c>
      <c r="G11" s="76">
        <v>43390</v>
      </c>
      <c r="H11" t="s">
        <v>893</v>
      </c>
      <c r="J11" s="2">
        <v>43573</v>
      </c>
      <c r="K11" t="s">
        <v>721</v>
      </c>
      <c r="L11" t="s">
        <v>47</v>
      </c>
      <c r="M11" t="s">
        <v>892</v>
      </c>
      <c r="N11" s="2" t="s">
        <v>137</v>
      </c>
      <c r="O11" t="s">
        <v>1241</v>
      </c>
      <c r="CN11" s="2"/>
    </row>
    <row r="12" spans="1:113" x14ac:dyDescent="0.2">
      <c r="A12" s="2" t="s">
        <v>390</v>
      </c>
      <c r="B12" t="s">
        <v>390</v>
      </c>
      <c r="C12" t="s">
        <v>390</v>
      </c>
      <c r="D12" t="s">
        <v>933</v>
      </c>
      <c r="E12" t="s">
        <v>934</v>
      </c>
      <c r="F12" t="s">
        <v>24</v>
      </c>
      <c r="G12" s="76">
        <v>39960</v>
      </c>
      <c r="H12" t="s">
        <v>891</v>
      </c>
      <c r="J12" s="2"/>
      <c r="K12" t="s">
        <v>721</v>
      </c>
      <c r="L12" t="s">
        <v>47</v>
      </c>
      <c r="M12" t="s">
        <v>892</v>
      </c>
      <c r="N12" s="2" t="s">
        <v>137</v>
      </c>
      <c r="O12" t="s">
        <v>935</v>
      </c>
      <c r="CN12" s="2"/>
    </row>
    <row r="13" spans="1:113" x14ac:dyDescent="0.2">
      <c r="A13" s="2" t="s">
        <v>936</v>
      </c>
      <c r="B13" t="s">
        <v>936</v>
      </c>
      <c r="C13" t="s">
        <v>936</v>
      </c>
      <c r="D13" t="s">
        <v>937</v>
      </c>
      <c r="E13" t="s">
        <v>938</v>
      </c>
      <c r="F13" t="s">
        <v>24</v>
      </c>
      <c r="G13" s="76">
        <v>43040</v>
      </c>
      <c r="H13" t="s">
        <v>898</v>
      </c>
      <c r="J13" s="2">
        <v>43410</v>
      </c>
      <c r="K13" t="s">
        <v>721</v>
      </c>
      <c r="L13" t="s">
        <v>47</v>
      </c>
      <c r="M13" t="s">
        <v>892</v>
      </c>
      <c r="N13" s="2" t="s">
        <v>137</v>
      </c>
      <c r="O13" t="s">
        <v>939</v>
      </c>
      <c r="CN13" s="2"/>
    </row>
    <row r="14" spans="1:113" x14ac:dyDescent="0.2">
      <c r="A14" s="2" t="s">
        <v>940</v>
      </c>
      <c r="B14" t="s">
        <v>940</v>
      </c>
      <c r="C14" t="s">
        <v>940</v>
      </c>
      <c r="D14" t="s">
        <v>941</v>
      </c>
      <c r="E14" t="s">
        <v>942</v>
      </c>
      <c r="F14" t="s">
        <v>24</v>
      </c>
      <c r="G14" s="76">
        <v>43200</v>
      </c>
      <c r="H14" t="s">
        <v>898</v>
      </c>
      <c r="J14" s="2">
        <v>43572</v>
      </c>
      <c r="K14" t="s">
        <v>721</v>
      </c>
      <c r="L14" t="s">
        <v>47</v>
      </c>
      <c r="M14" t="s">
        <v>892</v>
      </c>
      <c r="N14" s="2" t="s">
        <v>137</v>
      </c>
      <c r="O14" t="s">
        <v>943</v>
      </c>
      <c r="CN14" s="2"/>
    </row>
    <row r="15" spans="1:113" x14ac:dyDescent="0.2">
      <c r="A15" s="2" t="s">
        <v>944</v>
      </c>
      <c r="B15" t="s">
        <v>944</v>
      </c>
      <c r="C15" t="s">
        <v>944</v>
      </c>
      <c r="D15" t="s">
        <v>945</v>
      </c>
      <c r="E15" t="s">
        <v>946</v>
      </c>
      <c r="F15" t="s">
        <v>24</v>
      </c>
      <c r="G15" s="76">
        <v>43222</v>
      </c>
      <c r="H15" t="s">
        <v>898</v>
      </c>
      <c r="J15" s="2">
        <v>43587</v>
      </c>
      <c r="K15" t="s">
        <v>721</v>
      </c>
      <c r="L15" t="s">
        <v>47</v>
      </c>
      <c r="M15" t="s">
        <v>892</v>
      </c>
      <c r="N15" s="2" t="s">
        <v>137</v>
      </c>
      <c r="O15" t="s">
        <v>947</v>
      </c>
      <c r="CN15" s="2"/>
    </row>
    <row r="16" spans="1:113" x14ac:dyDescent="0.2">
      <c r="A16" s="2" t="s">
        <v>948</v>
      </c>
      <c r="B16" t="s">
        <v>948</v>
      </c>
      <c r="C16" t="s">
        <v>948</v>
      </c>
      <c r="D16" t="s">
        <v>949</v>
      </c>
      <c r="E16" t="s">
        <v>950</v>
      </c>
      <c r="F16" t="s">
        <v>24</v>
      </c>
      <c r="G16" s="76">
        <v>43228</v>
      </c>
      <c r="H16" t="s">
        <v>898</v>
      </c>
      <c r="J16" s="2">
        <v>43600</v>
      </c>
      <c r="K16" t="s">
        <v>721</v>
      </c>
      <c r="L16" t="s">
        <v>47</v>
      </c>
      <c r="M16" t="s">
        <v>892</v>
      </c>
      <c r="N16" s="2" t="s">
        <v>137</v>
      </c>
      <c r="O16" t="s">
        <v>951</v>
      </c>
      <c r="CN16" s="2"/>
    </row>
    <row r="17" spans="1:92" x14ac:dyDescent="0.2">
      <c r="A17" s="2" t="s">
        <v>952</v>
      </c>
      <c r="B17" t="s">
        <v>952</v>
      </c>
      <c r="C17" t="s">
        <v>952</v>
      </c>
      <c r="D17" t="s">
        <v>953</v>
      </c>
      <c r="E17" t="s">
        <v>954</v>
      </c>
      <c r="F17" t="s">
        <v>24</v>
      </c>
      <c r="G17" s="76">
        <v>43235</v>
      </c>
      <c r="H17" t="s">
        <v>898</v>
      </c>
      <c r="J17" s="2">
        <v>43600</v>
      </c>
      <c r="K17" t="s">
        <v>721</v>
      </c>
      <c r="L17" t="s">
        <v>47</v>
      </c>
      <c r="M17" t="s">
        <v>892</v>
      </c>
      <c r="N17" s="2" t="s">
        <v>137</v>
      </c>
      <c r="O17" t="s">
        <v>955</v>
      </c>
      <c r="CN17" s="2"/>
    </row>
    <row r="18" spans="1:92" x14ac:dyDescent="0.2">
      <c r="A18" s="2" t="s">
        <v>956</v>
      </c>
      <c r="B18" t="s">
        <v>956</v>
      </c>
      <c r="C18" t="s">
        <v>956</v>
      </c>
      <c r="D18" t="s">
        <v>957</v>
      </c>
      <c r="E18" t="s">
        <v>958</v>
      </c>
      <c r="F18" t="s">
        <v>24</v>
      </c>
      <c r="G18" s="76">
        <v>43242</v>
      </c>
      <c r="H18" t="s">
        <v>898</v>
      </c>
      <c r="J18" s="76">
        <v>43614</v>
      </c>
      <c r="K18" t="s">
        <v>721</v>
      </c>
      <c r="L18" t="s">
        <v>47</v>
      </c>
      <c r="M18" t="s">
        <v>892</v>
      </c>
      <c r="N18" s="2" t="s">
        <v>137</v>
      </c>
      <c r="O18" t="s">
        <v>959</v>
      </c>
      <c r="CN18" s="2"/>
    </row>
    <row r="19" spans="1:92" x14ac:dyDescent="0.2">
      <c r="A19" s="2" t="s">
        <v>960</v>
      </c>
      <c r="B19" t="s">
        <v>960</v>
      </c>
      <c r="C19" t="s">
        <v>960</v>
      </c>
      <c r="D19" t="s">
        <v>961</v>
      </c>
      <c r="E19" t="s">
        <v>962</v>
      </c>
      <c r="F19" t="s">
        <v>24</v>
      </c>
      <c r="G19" s="76">
        <v>43250</v>
      </c>
      <c r="H19" t="s">
        <v>898</v>
      </c>
      <c r="J19" s="76">
        <v>43614</v>
      </c>
      <c r="K19" t="s">
        <v>721</v>
      </c>
      <c r="L19" t="s">
        <v>47</v>
      </c>
      <c r="M19" t="s">
        <v>892</v>
      </c>
      <c r="N19" s="2" t="s">
        <v>137</v>
      </c>
      <c r="O19" t="s">
        <v>963</v>
      </c>
      <c r="CN19" s="2"/>
    </row>
    <row r="20" spans="1:92" x14ac:dyDescent="0.2">
      <c r="A20" s="2" t="s">
        <v>964</v>
      </c>
      <c r="B20" t="s">
        <v>964</v>
      </c>
      <c r="C20" t="s">
        <v>964</v>
      </c>
      <c r="D20" t="s">
        <v>965</v>
      </c>
      <c r="E20" t="s">
        <v>966</v>
      </c>
      <c r="F20" t="s">
        <v>24</v>
      </c>
      <c r="G20" s="76">
        <v>43256</v>
      </c>
      <c r="H20" t="s">
        <v>898</v>
      </c>
      <c r="J20" s="76">
        <v>43628</v>
      </c>
      <c r="K20" t="s">
        <v>721</v>
      </c>
      <c r="L20" t="s">
        <v>47</v>
      </c>
      <c r="M20" t="s">
        <v>892</v>
      </c>
      <c r="N20" s="2" t="s">
        <v>137</v>
      </c>
      <c r="O20" t="s">
        <v>967</v>
      </c>
      <c r="CN20" s="2"/>
    </row>
    <row r="21" spans="1:92" x14ac:dyDescent="0.2">
      <c r="A21" s="2" t="s">
        <v>968</v>
      </c>
      <c r="B21" t="s">
        <v>968</v>
      </c>
      <c r="C21" t="s">
        <v>968</v>
      </c>
      <c r="D21" t="s">
        <v>969</v>
      </c>
      <c r="E21" t="s">
        <v>970</v>
      </c>
      <c r="F21" t="s">
        <v>24</v>
      </c>
      <c r="G21" s="76">
        <v>43263</v>
      </c>
      <c r="H21" t="s">
        <v>898</v>
      </c>
      <c r="J21" s="76">
        <v>43629</v>
      </c>
      <c r="K21" t="s">
        <v>721</v>
      </c>
      <c r="L21" t="s">
        <v>47</v>
      </c>
      <c r="M21" t="s">
        <v>892</v>
      </c>
      <c r="N21" s="2" t="s">
        <v>137</v>
      </c>
      <c r="O21" t="s">
        <v>971</v>
      </c>
      <c r="CN21" s="2"/>
    </row>
    <row r="22" spans="1:92" x14ac:dyDescent="0.2">
      <c r="A22" s="2" t="s">
        <v>972</v>
      </c>
      <c r="B22" t="s">
        <v>972</v>
      </c>
      <c r="C22" t="s">
        <v>972</v>
      </c>
      <c r="D22" t="s">
        <v>973</v>
      </c>
      <c r="E22" t="s">
        <v>974</v>
      </c>
      <c r="F22" t="s">
        <v>24</v>
      </c>
      <c r="G22" s="76">
        <v>43270</v>
      </c>
      <c r="H22" t="s">
        <v>898</v>
      </c>
      <c r="J22" s="76">
        <v>43636</v>
      </c>
      <c r="K22" t="s">
        <v>721</v>
      </c>
      <c r="L22" t="s">
        <v>47</v>
      </c>
      <c r="M22" t="s">
        <v>892</v>
      </c>
      <c r="N22" s="2" t="s">
        <v>137</v>
      </c>
      <c r="O22" t="s">
        <v>975</v>
      </c>
      <c r="CN22" s="2"/>
    </row>
    <row r="23" spans="1:92" x14ac:dyDescent="0.2">
      <c r="A23" s="2" t="s">
        <v>976</v>
      </c>
      <c r="B23" t="s">
        <v>976</v>
      </c>
      <c r="C23" t="s">
        <v>976</v>
      </c>
      <c r="D23" t="s">
        <v>977</v>
      </c>
      <c r="E23" t="s">
        <v>978</v>
      </c>
      <c r="F23" t="s">
        <v>24</v>
      </c>
      <c r="G23" s="76">
        <v>43277</v>
      </c>
      <c r="H23" t="s">
        <v>898</v>
      </c>
      <c r="J23" s="76">
        <v>43648</v>
      </c>
      <c r="K23" t="s">
        <v>721</v>
      </c>
      <c r="L23" t="s">
        <v>47</v>
      </c>
      <c r="M23" t="s">
        <v>892</v>
      </c>
      <c r="N23" s="2" t="s">
        <v>137</v>
      </c>
      <c r="O23" t="s">
        <v>979</v>
      </c>
      <c r="CN23" s="2"/>
    </row>
    <row r="24" spans="1:92" x14ac:dyDescent="0.2">
      <c r="A24" s="2" t="s">
        <v>980</v>
      </c>
      <c r="B24" t="s">
        <v>980</v>
      </c>
      <c r="C24" t="s">
        <v>980</v>
      </c>
      <c r="D24" t="s">
        <v>981</v>
      </c>
      <c r="E24" t="s">
        <v>982</v>
      </c>
      <c r="F24" t="s">
        <v>24</v>
      </c>
      <c r="G24" s="76">
        <v>43284</v>
      </c>
      <c r="H24" t="s">
        <v>898</v>
      </c>
      <c r="J24" s="76">
        <v>43655</v>
      </c>
      <c r="K24" t="s">
        <v>721</v>
      </c>
      <c r="L24" t="s">
        <v>47</v>
      </c>
      <c r="M24" t="s">
        <v>892</v>
      </c>
      <c r="N24" s="2" t="s">
        <v>137</v>
      </c>
      <c r="O24" t="s">
        <v>983</v>
      </c>
      <c r="CN24" s="2"/>
    </row>
    <row r="25" spans="1:92" x14ac:dyDescent="0.2">
      <c r="A25" s="2" t="s">
        <v>984</v>
      </c>
      <c r="B25" t="s">
        <v>984</v>
      </c>
      <c r="C25" t="s">
        <v>984</v>
      </c>
      <c r="D25" t="s">
        <v>985</v>
      </c>
      <c r="E25" t="s">
        <v>986</v>
      </c>
      <c r="F25" t="s">
        <v>24</v>
      </c>
      <c r="G25" s="76">
        <v>43291</v>
      </c>
      <c r="H25" t="s">
        <v>898</v>
      </c>
      <c r="J25" s="76">
        <v>43657</v>
      </c>
      <c r="K25" t="s">
        <v>721</v>
      </c>
      <c r="L25" t="s">
        <v>47</v>
      </c>
      <c r="M25" t="s">
        <v>892</v>
      </c>
      <c r="N25" s="2" t="s">
        <v>137</v>
      </c>
      <c r="O25" t="s">
        <v>987</v>
      </c>
      <c r="CN25" s="2"/>
    </row>
    <row r="26" spans="1:92" x14ac:dyDescent="0.2">
      <c r="A26" s="2" t="s">
        <v>988</v>
      </c>
      <c r="B26" t="s">
        <v>988</v>
      </c>
      <c r="C26" t="s">
        <v>988</v>
      </c>
      <c r="D26" t="s">
        <v>989</v>
      </c>
      <c r="E26" t="s">
        <v>990</v>
      </c>
      <c r="F26" t="s">
        <v>24</v>
      </c>
      <c r="G26" s="76">
        <v>43298</v>
      </c>
      <c r="H26" t="s">
        <v>898</v>
      </c>
      <c r="J26" s="76">
        <v>43664</v>
      </c>
      <c r="K26" t="s">
        <v>721</v>
      </c>
      <c r="L26" t="s">
        <v>47</v>
      </c>
      <c r="M26" t="s">
        <v>892</v>
      </c>
      <c r="N26" s="2" t="s">
        <v>137</v>
      </c>
      <c r="O26" t="s">
        <v>991</v>
      </c>
      <c r="CN26" s="2"/>
    </row>
    <row r="27" spans="1:92" x14ac:dyDescent="0.2">
      <c r="A27" s="2" t="s">
        <v>992</v>
      </c>
      <c r="B27" t="s">
        <v>992</v>
      </c>
      <c r="C27" t="s">
        <v>992</v>
      </c>
      <c r="D27" t="s">
        <v>993</v>
      </c>
      <c r="E27" t="s">
        <v>994</v>
      </c>
      <c r="F27" t="s">
        <v>24</v>
      </c>
      <c r="G27" s="76">
        <v>43305</v>
      </c>
      <c r="H27" t="s">
        <v>898</v>
      </c>
      <c r="J27" s="76">
        <v>43671</v>
      </c>
      <c r="K27" t="s">
        <v>721</v>
      </c>
      <c r="L27" t="s">
        <v>47</v>
      </c>
      <c r="M27" t="s">
        <v>892</v>
      </c>
      <c r="N27" s="2" t="s">
        <v>137</v>
      </c>
      <c r="O27" t="s">
        <v>995</v>
      </c>
      <c r="CN27" s="2"/>
    </row>
    <row r="28" spans="1:92" x14ac:dyDescent="0.2">
      <c r="A28" s="2" t="s">
        <v>996</v>
      </c>
      <c r="B28" t="s">
        <v>996</v>
      </c>
      <c r="C28" t="s">
        <v>996</v>
      </c>
      <c r="D28" t="s">
        <v>997</v>
      </c>
      <c r="E28" t="s">
        <v>998</v>
      </c>
      <c r="F28" t="s">
        <v>24</v>
      </c>
      <c r="G28" s="76">
        <v>43313</v>
      </c>
      <c r="H28" t="s">
        <v>898</v>
      </c>
      <c r="J28" s="76">
        <v>43678</v>
      </c>
      <c r="K28" t="s">
        <v>721</v>
      </c>
      <c r="L28" t="s">
        <v>47</v>
      </c>
      <c r="M28" t="s">
        <v>892</v>
      </c>
      <c r="N28" s="2" t="s">
        <v>137</v>
      </c>
      <c r="O28" t="s">
        <v>999</v>
      </c>
      <c r="CN28" s="2"/>
    </row>
    <row r="29" spans="1:92" x14ac:dyDescent="0.2">
      <c r="A29" s="2" t="s">
        <v>1000</v>
      </c>
      <c r="B29" t="s">
        <v>1000</v>
      </c>
      <c r="C29" t="s">
        <v>1000</v>
      </c>
      <c r="D29" t="s">
        <v>1001</v>
      </c>
      <c r="E29" t="s">
        <v>1002</v>
      </c>
      <c r="F29" t="s">
        <v>24</v>
      </c>
      <c r="G29" s="76">
        <v>43319</v>
      </c>
      <c r="H29" t="s">
        <v>898</v>
      </c>
      <c r="J29" s="76">
        <v>43685</v>
      </c>
      <c r="K29" t="s">
        <v>721</v>
      </c>
      <c r="L29" t="s">
        <v>47</v>
      </c>
      <c r="M29" t="s">
        <v>892</v>
      </c>
      <c r="N29" s="2" t="s">
        <v>137</v>
      </c>
      <c r="O29" t="s">
        <v>1003</v>
      </c>
      <c r="CN29" s="2"/>
    </row>
    <row r="30" spans="1:92" x14ac:dyDescent="0.2">
      <c r="A30" s="2" t="s">
        <v>1004</v>
      </c>
      <c r="B30" t="s">
        <v>1004</v>
      </c>
      <c r="C30" t="s">
        <v>1004</v>
      </c>
      <c r="D30" t="s">
        <v>1005</v>
      </c>
      <c r="E30" t="s">
        <v>1006</v>
      </c>
      <c r="F30" t="s">
        <v>24</v>
      </c>
      <c r="G30" s="76">
        <v>43326</v>
      </c>
      <c r="H30" t="s">
        <v>898</v>
      </c>
      <c r="J30" s="76">
        <v>43692</v>
      </c>
      <c r="K30" t="s">
        <v>721</v>
      </c>
      <c r="L30" t="s">
        <v>47</v>
      </c>
      <c r="M30" t="s">
        <v>892</v>
      </c>
      <c r="N30" s="2" t="s">
        <v>137</v>
      </c>
      <c r="O30" t="s">
        <v>1007</v>
      </c>
      <c r="CN30" s="2"/>
    </row>
    <row r="31" spans="1:92" x14ac:dyDescent="0.2">
      <c r="A31" s="2" t="s">
        <v>1008</v>
      </c>
      <c r="B31" t="s">
        <v>1008</v>
      </c>
      <c r="C31" t="s">
        <v>1008</v>
      </c>
      <c r="D31" t="s">
        <v>1009</v>
      </c>
      <c r="E31" t="s">
        <v>1010</v>
      </c>
      <c r="F31" t="s">
        <v>24</v>
      </c>
      <c r="G31" s="76">
        <v>43333</v>
      </c>
      <c r="H31" t="s">
        <v>898</v>
      </c>
      <c r="J31" s="76">
        <v>43699</v>
      </c>
      <c r="K31" t="s">
        <v>721</v>
      </c>
      <c r="L31" t="s">
        <v>47</v>
      </c>
      <c r="M31" t="s">
        <v>892</v>
      </c>
      <c r="N31" s="2" t="s">
        <v>137</v>
      </c>
      <c r="O31" t="s">
        <v>1011</v>
      </c>
      <c r="CN31" s="2"/>
    </row>
    <row r="32" spans="1:92" x14ac:dyDescent="0.2">
      <c r="A32" s="2" t="s">
        <v>1012</v>
      </c>
      <c r="B32" t="s">
        <v>1012</v>
      </c>
      <c r="C32" t="s">
        <v>1012</v>
      </c>
      <c r="D32" t="s">
        <v>1013</v>
      </c>
      <c r="E32" t="s">
        <v>1014</v>
      </c>
      <c r="F32" t="s">
        <v>24</v>
      </c>
      <c r="G32" s="76">
        <v>43340</v>
      </c>
      <c r="H32" t="s">
        <v>898</v>
      </c>
      <c r="J32" s="76">
        <v>43705</v>
      </c>
      <c r="K32" t="s">
        <v>721</v>
      </c>
      <c r="L32" t="s">
        <v>47</v>
      </c>
      <c r="M32" t="s">
        <v>892</v>
      </c>
      <c r="N32" s="2" t="s">
        <v>137</v>
      </c>
      <c r="O32" t="s">
        <v>1015</v>
      </c>
      <c r="CN32" s="2"/>
    </row>
    <row r="33" spans="1:92" x14ac:dyDescent="0.2">
      <c r="A33" s="2" t="s">
        <v>1016</v>
      </c>
      <c r="B33" t="s">
        <v>1016</v>
      </c>
      <c r="C33" t="s">
        <v>1016</v>
      </c>
      <c r="D33" t="s">
        <v>1017</v>
      </c>
      <c r="E33" t="s">
        <v>1018</v>
      </c>
      <c r="F33" t="s">
        <v>24</v>
      </c>
      <c r="G33" s="76">
        <v>43347</v>
      </c>
      <c r="H33" t="s">
        <v>898</v>
      </c>
      <c r="J33" s="76">
        <v>43713</v>
      </c>
      <c r="K33" t="s">
        <v>721</v>
      </c>
      <c r="L33" t="s">
        <v>47</v>
      </c>
      <c r="M33" t="s">
        <v>892</v>
      </c>
      <c r="N33" s="2" t="s">
        <v>137</v>
      </c>
      <c r="O33" t="s">
        <v>1019</v>
      </c>
      <c r="CN33" s="2"/>
    </row>
    <row r="34" spans="1:92" x14ac:dyDescent="0.2">
      <c r="A34" s="2" t="s">
        <v>1020</v>
      </c>
      <c r="B34" t="s">
        <v>1020</v>
      </c>
      <c r="C34" t="s">
        <v>1020</v>
      </c>
      <c r="D34" t="s">
        <v>1021</v>
      </c>
      <c r="E34" t="s">
        <v>1022</v>
      </c>
      <c r="F34" t="s">
        <v>24</v>
      </c>
      <c r="G34" s="76">
        <v>43354</v>
      </c>
      <c r="H34" t="s">
        <v>898</v>
      </c>
      <c r="J34" s="76">
        <v>43726</v>
      </c>
      <c r="K34" t="s">
        <v>721</v>
      </c>
      <c r="L34" t="s">
        <v>47</v>
      </c>
      <c r="M34" t="s">
        <v>892</v>
      </c>
      <c r="N34" s="2" t="s">
        <v>137</v>
      </c>
      <c r="O34" t="s">
        <v>1023</v>
      </c>
      <c r="CN34" s="2"/>
    </row>
    <row r="35" spans="1:92" x14ac:dyDescent="0.2">
      <c r="A35" s="2" t="s">
        <v>1024</v>
      </c>
      <c r="B35" t="s">
        <v>1024</v>
      </c>
      <c r="C35" t="s">
        <v>1024</v>
      </c>
      <c r="D35" t="s">
        <v>1025</v>
      </c>
      <c r="E35" t="s">
        <v>1026</v>
      </c>
      <c r="F35" t="s">
        <v>24</v>
      </c>
      <c r="G35" s="76">
        <v>43361</v>
      </c>
      <c r="H35" t="s">
        <v>898</v>
      </c>
      <c r="J35" s="76">
        <v>43727</v>
      </c>
      <c r="K35" t="s">
        <v>721</v>
      </c>
      <c r="L35" t="s">
        <v>47</v>
      </c>
      <c r="M35" t="s">
        <v>892</v>
      </c>
      <c r="N35" s="2" t="s">
        <v>137</v>
      </c>
      <c r="O35" t="s">
        <v>1027</v>
      </c>
      <c r="CN35" s="2"/>
    </row>
    <row r="36" spans="1:92" x14ac:dyDescent="0.2">
      <c r="A36" s="2" t="s">
        <v>1028</v>
      </c>
      <c r="B36" t="s">
        <v>1028</v>
      </c>
      <c r="C36" t="s">
        <v>1028</v>
      </c>
      <c r="D36" t="s">
        <v>1029</v>
      </c>
      <c r="E36" t="s">
        <v>1030</v>
      </c>
      <c r="F36" t="s">
        <v>24</v>
      </c>
      <c r="G36" s="76">
        <v>43368</v>
      </c>
      <c r="H36" t="s">
        <v>898</v>
      </c>
      <c r="J36" s="76">
        <v>43741</v>
      </c>
      <c r="K36" t="s">
        <v>721</v>
      </c>
      <c r="L36" t="s">
        <v>47</v>
      </c>
      <c r="M36" t="s">
        <v>892</v>
      </c>
      <c r="N36" s="2" t="s">
        <v>137</v>
      </c>
      <c r="O36" t="s">
        <v>1031</v>
      </c>
      <c r="CN36" s="2"/>
    </row>
    <row r="37" spans="1:92" x14ac:dyDescent="0.2">
      <c r="A37" s="2" t="s">
        <v>1032</v>
      </c>
      <c r="B37" t="s">
        <v>1032</v>
      </c>
      <c r="C37" t="s">
        <v>1032</v>
      </c>
      <c r="D37" t="s">
        <v>1033</v>
      </c>
      <c r="E37" t="s">
        <v>1034</v>
      </c>
      <c r="F37" t="s">
        <v>24</v>
      </c>
      <c r="G37" s="76">
        <v>43375</v>
      </c>
      <c r="H37" t="s">
        <v>898</v>
      </c>
      <c r="J37" s="76">
        <v>43748</v>
      </c>
      <c r="K37" t="s">
        <v>721</v>
      </c>
      <c r="L37" t="s">
        <v>47</v>
      </c>
      <c r="M37" t="s">
        <v>892</v>
      </c>
      <c r="N37" s="2" t="s">
        <v>137</v>
      </c>
      <c r="O37" t="s">
        <v>1035</v>
      </c>
      <c r="CN37" s="2"/>
    </row>
    <row r="38" spans="1:92" x14ac:dyDescent="0.2">
      <c r="A38" s="2" t="s">
        <v>1036</v>
      </c>
      <c r="B38" t="s">
        <v>1036</v>
      </c>
      <c r="C38" t="s">
        <v>1036</v>
      </c>
      <c r="D38" t="s">
        <v>1037</v>
      </c>
      <c r="E38" t="s">
        <v>1038</v>
      </c>
      <c r="F38" t="s">
        <v>24</v>
      </c>
      <c r="G38" s="76">
        <v>43382</v>
      </c>
      <c r="H38" t="s">
        <v>898</v>
      </c>
      <c r="J38" s="76">
        <v>43755</v>
      </c>
      <c r="K38" t="s">
        <v>721</v>
      </c>
      <c r="L38" t="s">
        <v>47</v>
      </c>
      <c r="M38" t="s">
        <v>892</v>
      </c>
      <c r="N38" s="2" t="s">
        <v>137</v>
      </c>
      <c r="O38" t="s">
        <v>1039</v>
      </c>
      <c r="CN38" s="2"/>
    </row>
    <row r="39" spans="1:92" x14ac:dyDescent="0.2">
      <c r="A39" s="2" t="s">
        <v>404</v>
      </c>
      <c r="B39" t="s">
        <v>404</v>
      </c>
      <c r="C39" t="s">
        <v>404</v>
      </c>
      <c r="D39" t="s">
        <v>1242</v>
      </c>
      <c r="E39" t="s">
        <v>1243</v>
      </c>
      <c r="F39" t="s">
        <v>24</v>
      </c>
      <c r="G39" s="76">
        <v>43390</v>
      </c>
      <c r="H39" t="s">
        <v>898</v>
      </c>
      <c r="J39" s="76">
        <v>43762</v>
      </c>
      <c r="K39" t="s">
        <v>721</v>
      </c>
      <c r="L39" t="s">
        <v>47</v>
      </c>
      <c r="M39" t="s">
        <v>892</v>
      </c>
      <c r="N39" s="2" t="s">
        <v>137</v>
      </c>
      <c r="O39" t="s">
        <v>1244</v>
      </c>
      <c r="CN39" s="2"/>
    </row>
    <row r="40" spans="1:92" x14ac:dyDescent="0.2">
      <c r="A40" s="2" t="s">
        <v>1233</v>
      </c>
      <c r="B40" t="s">
        <v>1233</v>
      </c>
      <c r="C40" t="s">
        <v>1233</v>
      </c>
      <c r="D40" t="s">
        <v>1290</v>
      </c>
      <c r="E40" t="s">
        <v>1291</v>
      </c>
      <c r="F40" t="s">
        <v>24</v>
      </c>
      <c r="G40" s="76">
        <v>43397</v>
      </c>
      <c r="H40" t="s">
        <v>898</v>
      </c>
      <c r="J40" s="76">
        <v>43769</v>
      </c>
      <c r="K40" t="s">
        <v>721</v>
      </c>
      <c r="L40" t="s">
        <v>47</v>
      </c>
      <c r="M40" t="s">
        <v>892</v>
      </c>
      <c r="N40" s="2" t="s">
        <v>137</v>
      </c>
      <c r="O40" t="s">
        <v>1292</v>
      </c>
      <c r="CN40" s="2"/>
    </row>
    <row r="41" spans="1:92" x14ac:dyDescent="0.2">
      <c r="A41" s="2" t="s">
        <v>405</v>
      </c>
      <c r="B41" t="s">
        <v>405</v>
      </c>
      <c r="C41" t="s">
        <v>405</v>
      </c>
      <c r="D41" t="s">
        <v>1245</v>
      </c>
      <c r="E41" t="s">
        <v>1246</v>
      </c>
      <c r="F41" t="s">
        <v>24</v>
      </c>
      <c r="G41" s="76">
        <v>43390</v>
      </c>
      <c r="H41" t="s">
        <v>898</v>
      </c>
      <c r="J41" s="76">
        <v>43487</v>
      </c>
      <c r="K41" t="s">
        <v>721</v>
      </c>
      <c r="L41" t="s">
        <v>47</v>
      </c>
      <c r="M41" t="s">
        <v>892</v>
      </c>
      <c r="N41" s="2" t="s">
        <v>137</v>
      </c>
      <c r="O41" t="s">
        <v>1247</v>
      </c>
      <c r="CN41" s="2"/>
    </row>
    <row r="42" spans="1:92" x14ac:dyDescent="0.2">
      <c r="A42" s="2" t="s">
        <v>1040</v>
      </c>
      <c r="B42" t="s">
        <v>1040</v>
      </c>
      <c r="C42" t="s">
        <v>1040</v>
      </c>
      <c r="D42" t="s">
        <v>1041</v>
      </c>
      <c r="E42" t="s">
        <v>1042</v>
      </c>
      <c r="F42" t="s">
        <v>24</v>
      </c>
      <c r="G42" s="76">
        <v>43215</v>
      </c>
      <c r="H42" t="s">
        <v>898</v>
      </c>
      <c r="J42" s="76">
        <v>43405</v>
      </c>
      <c r="K42" t="s">
        <v>721</v>
      </c>
      <c r="L42" t="s">
        <v>47</v>
      </c>
      <c r="M42" t="s">
        <v>892</v>
      </c>
      <c r="N42" s="2" t="s">
        <v>137</v>
      </c>
      <c r="O42" t="s">
        <v>1043</v>
      </c>
      <c r="CN42" s="2"/>
    </row>
    <row r="43" spans="1:92" x14ac:dyDescent="0.2">
      <c r="A43" s="2" t="s">
        <v>1044</v>
      </c>
      <c r="B43" t="s">
        <v>1044</v>
      </c>
      <c r="C43" t="s">
        <v>1044</v>
      </c>
      <c r="D43" t="s">
        <v>1045</v>
      </c>
      <c r="E43" t="s">
        <v>1046</v>
      </c>
      <c r="F43" t="s">
        <v>24</v>
      </c>
      <c r="G43" s="76">
        <v>43242</v>
      </c>
      <c r="H43" t="s">
        <v>898</v>
      </c>
      <c r="J43" s="76">
        <v>43432</v>
      </c>
      <c r="K43" t="s">
        <v>721</v>
      </c>
      <c r="L43" t="s">
        <v>47</v>
      </c>
      <c r="M43" t="s">
        <v>892</v>
      </c>
      <c r="N43" s="2" t="s">
        <v>137</v>
      </c>
      <c r="O43" t="s">
        <v>1047</v>
      </c>
      <c r="CN43" s="2"/>
    </row>
    <row r="44" spans="1:92" x14ac:dyDescent="0.2">
      <c r="A44" s="2" t="s">
        <v>1048</v>
      </c>
      <c r="B44" t="s">
        <v>1048</v>
      </c>
      <c r="C44" t="s">
        <v>1048</v>
      </c>
      <c r="D44" t="s">
        <v>1049</v>
      </c>
      <c r="E44" t="s">
        <v>1050</v>
      </c>
      <c r="F44" t="s">
        <v>24</v>
      </c>
      <c r="G44" s="76">
        <v>43256</v>
      </c>
      <c r="H44" t="s">
        <v>898</v>
      </c>
      <c r="J44" s="76">
        <v>43440</v>
      </c>
      <c r="K44" t="s">
        <v>721</v>
      </c>
      <c r="L44" t="s">
        <v>47</v>
      </c>
      <c r="M44" t="s">
        <v>892</v>
      </c>
      <c r="N44" s="2" t="s">
        <v>137</v>
      </c>
      <c r="O44" t="s">
        <v>1051</v>
      </c>
      <c r="CN44" s="2"/>
    </row>
    <row r="45" spans="1:92" x14ac:dyDescent="0.2">
      <c r="A45" s="2" t="s">
        <v>1052</v>
      </c>
      <c r="B45" t="s">
        <v>1052</v>
      </c>
      <c r="C45" t="s">
        <v>1052</v>
      </c>
      <c r="D45" t="s">
        <v>1053</v>
      </c>
      <c r="E45" t="s">
        <v>1054</v>
      </c>
      <c r="F45" t="s">
        <v>24</v>
      </c>
      <c r="G45" s="76">
        <v>43270</v>
      </c>
      <c r="H45" t="s">
        <v>898</v>
      </c>
      <c r="J45" s="76">
        <v>43454</v>
      </c>
      <c r="K45" t="s">
        <v>721</v>
      </c>
      <c r="L45" t="s">
        <v>47</v>
      </c>
      <c r="M45" t="s">
        <v>892</v>
      </c>
      <c r="N45" s="2" t="s">
        <v>137</v>
      </c>
      <c r="O45" t="s">
        <v>1055</v>
      </c>
      <c r="CN45" s="2"/>
    </row>
    <row r="46" spans="1:92" x14ac:dyDescent="0.2">
      <c r="A46" s="2" t="s">
        <v>1056</v>
      </c>
      <c r="B46" t="s">
        <v>1056</v>
      </c>
      <c r="C46" t="s">
        <v>1056</v>
      </c>
      <c r="D46" t="s">
        <v>1057</v>
      </c>
      <c r="E46" t="s">
        <v>1058</v>
      </c>
      <c r="F46" t="s">
        <v>24</v>
      </c>
      <c r="G46" s="76">
        <v>43284</v>
      </c>
      <c r="H46" t="s">
        <v>898</v>
      </c>
      <c r="J46" s="76">
        <v>43468</v>
      </c>
      <c r="K46" t="s">
        <v>721</v>
      </c>
      <c r="L46" t="s">
        <v>47</v>
      </c>
      <c r="M46" t="s">
        <v>892</v>
      </c>
      <c r="N46" s="2" t="s">
        <v>137</v>
      </c>
      <c r="O46" t="s">
        <v>1059</v>
      </c>
      <c r="CN46" s="2"/>
    </row>
    <row r="47" spans="1:92" x14ac:dyDescent="0.2">
      <c r="A47" s="2" t="s">
        <v>1060</v>
      </c>
      <c r="B47" t="s">
        <v>1060</v>
      </c>
      <c r="C47" t="s">
        <v>1060</v>
      </c>
      <c r="D47" t="s">
        <v>1061</v>
      </c>
      <c r="E47" t="s">
        <v>1062</v>
      </c>
      <c r="F47" t="s">
        <v>24</v>
      </c>
      <c r="G47" s="76">
        <v>43313</v>
      </c>
      <c r="H47" t="s">
        <v>898</v>
      </c>
      <c r="J47" s="76">
        <v>43510</v>
      </c>
      <c r="K47" t="s">
        <v>721</v>
      </c>
      <c r="L47" t="s">
        <v>47</v>
      </c>
      <c r="M47" t="s">
        <v>892</v>
      </c>
      <c r="N47" s="2" t="s">
        <v>137</v>
      </c>
      <c r="O47" t="s">
        <v>1063</v>
      </c>
      <c r="CN47" s="2"/>
    </row>
    <row r="48" spans="1:92" x14ac:dyDescent="0.2">
      <c r="A48" s="2" t="s">
        <v>1064</v>
      </c>
      <c r="B48" t="s">
        <v>1064</v>
      </c>
      <c r="C48" t="s">
        <v>1064</v>
      </c>
      <c r="D48" t="s">
        <v>1065</v>
      </c>
      <c r="E48" t="s">
        <v>1066</v>
      </c>
      <c r="F48" t="s">
        <v>24</v>
      </c>
      <c r="G48" s="76">
        <v>43319</v>
      </c>
      <c r="H48" t="s">
        <v>898</v>
      </c>
      <c r="J48" s="76">
        <v>43510</v>
      </c>
      <c r="K48" t="s">
        <v>721</v>
      </c>
      <c r="L48" t="s">
        <v>47</v>
      </c>
      <c r="M48" t="s">
        <v>892</v>
      </c>
      <c r="N48" s="2" t="s">
        <v>137</v>
      </c>
      <c r="O48" t="s">
        <v>1067</v>
      </c>
      <c r="CN48" s="2"/>
    </row>
    <row r="49" spans="1:92" x14ac:dyDescent="0.2">
      <c r="A49" s="2" t="s">
        <v>1068</v>
      </c>
      <c r="B49" t="s">
        <v>1068</v>
      </c>
      <c r="C49" t="s">
        <v>1068</v>
      </c>
      <c r="D49" t="s">
        <v>1069</v>
      </c>
      <c r="E49" t="s">
        <v>1070</v>
      </c>
      <c r="F49" t="s">
        <v>24</v>
      </c>
      <c r="G49" s="76">
        <v>43326</v>
      </c>
      <c r="H49" t="s">
        <v>898</v>
      </c>
      <c r="J49" s="76">
        <v>43516</v>
      </c>
      <c r="K49" t="s">
        <v>721</v>
      </c>
      <c r="L49" t="s">
        <v>47</v>
      </c>
      <c r="M49" t="s">
        <v>892</v>
      </c>
      <c r="N49" s="2" t="s">
        <v>137</v>
      </c>
      <c r="O49" t="s">
        <v>1071</v>
      </c>
      <c r="CN49" s="2"/>
    </row>
    <row r="50" spans="1:92" x14ac:dyDescent="0.2">
      <c r="A50" s="2" t="s">
        <v>1072</v>
      </c>
      <c r="B50" t="s">
        <v>1072</v>
      </c>
      <c r="C50" t="s">
        <v>1072</v>
      </c>
      <c r="D50" t="s">
        <v>1073</v>
      </c>
      <c r="E50" t="s">
        <v>1074</v>
      </c>
      <c r="F50" t="s">
        <v>24</v>
      </c>
      <c r="G50" s="76">
        <v>43333</v>
      </c>
      <c r="H50" t="s">
        <v>898</v>
      </c>
      <c r="J50" s="76">
        <v>43524</v>
      </c>
      <c r="K50" t="s">
        <v>721</v>
      </c>
      <c r="L50" t="s">
        <v>47</v>
      </c>
      <c r="M50" t="s">
        <v>892</v>
      </c>
      <c r="N50" s="2" t="s">
        <v>137</v>
      </c>
      <c r="O50" t="s">
        <v>1075</v>
      </c>
      <c r="CN50" s="2"/>
    </row>
    <row r="51" spans="1:92" x14ac:dyDescent="0.2">
      <c r="A51" s="2" t="s">
        <v>1076</v>
      </c>
      <c r="B51" t="s">
        <v>1076</v>
      </c>
      <c r="C51" t="s">
        <v>1076</v>
      </c>
      <c r="D51" t="s">
        <v>1077</v>
      </c>
      <c r="E51" t="s">
        <v>1078</v>
      </c>
      <c r="F51" t="s">
        <v>24</v>
      </c>
      <c r="G51" s="76">
        <v>43340</v>
      </c>
      <c r="H51" t="s">
        <v>898</v>
      </c>
      <c r="J51" s="76">
        <v>43524</v>
      </c>
      <c r="K51" t="s">
        <v>721</v>
      </c>
      <c r="L51" t="s">
        <v>47</v>
      </c>
      <c r="M51" t="s">
        <v>892</v>
      </c>
      <c r="N51" s="2" t="s">
        <v>137</v>
      </c>
      <c r="O51" t="s">
        <v>1079</v>
      </c>
      <c r="CN51" s="2"/>
    </row>
    <row r="52" spans="1:92" x14ac:dyDescent="0.2">
      <c r="A52" s="2" t="s">
        <v>1080</v>
      </c>
      <c r="B52" t="s">
        <v>1080</v>
      </c>
      <c r="C52" t="s">
        <v>1080</v>
      </c>
      <c r="D52" t="s">
        <v>1081</v>
      </c>
      <c r="E52" t="s">
        <v>1082</v>
      </c>
      <c r="F52" t="s">
        <v>24</v>
      </c>
      <c r="G52" s="76">
        <v>43347</v>
      </c>
      <c r="H52" t="s">
        <v>898</v>
      </c>
      <c r="J52" s="76">
        <v>43531</v>
      </c>
      <c r="K52" t="s">
        <v>721</v>
      </c>
      <c r="L52" t="s">
        <v>47</v>
      </c>
      <c r="M52" t="s">
        <v>892</v>
      </c>
      <c r="N52" s="2" t="s">
        <v>137</v>
      </c>
      <c r="O52" t="s">
        <v>1083</v>
      </c>
      <c r="CN52" s="2"/>
    </row>
    <row r="53" spans="1:92" x14ac:dyDescent="0.2">
      <c r="A53" s="2" t="s">
        <v>1084</v>
      </c>
      <c r="B53" t="s">
        <v>1084</v>
      </c>
      <c r="C53" t="s">
        <v>1084</v>
      </c>
      <c r="D53" t="s">
        <v>1085</v>
      </c>
      <c r="E53" t="s">
        <v>1086</v>
      </c>
      <c r="F53" t="s">
        <v>24</v>
      </c>
      <c r="G53" s="76">
        <v>43354</v>
      </c>
      <c r="H53" t="s">
        <v>898</v>
      </c>
      <c r="J53" s="76">
        <v>43537</v>
      </c>
      <c r="K53" t="s">
        <v>721</v>
      </c>
      <c r="L53" t="s">
        <v>47</v>
      </c>
      <c r="M53" t="s">
        <v>892</v>
      </c>
      <c r="N53" s="2" t="s">
        <v>137</v>
      </c>
      <c r="O53" t="s">
        <v>1087</v>
      </c>
      <c r="CN53" s="2"/>
    </row>
    <row r="54" spans="1:92" x14ac:dyDescent="0.2">
      <c r="A54" s="2" t="s">
        <v>1088</v>
      </c>
      <c r="B54" t="s">
        <v>1088</v>
      </c>
      <c r="C54" t="s">
        <v>1088</v>
      </c>
      <c r="D54" t="s">
        <v>1089</v>
      </c>
      <c r="E54" t="s">
        <v>1090</v>
      </c>
      <c r="F54" t="s">
        <v>24</v>
      </c>
      <c r="G54" s="76">
        <v>43361</v>
      </c>
      <c r="H54" t="s">
        <v>898</v>
      </c>
      <c r="J54" s="76">
        <v>43545</v>
      </c>
      <c r="K54" t="s">
        <v>721</v>
      </c>
      <c r="L54" t="s">
        <v>47</v>
      </c>
      <c r="M54" t="s">
        <v>892</v>
      </c>
      <c r="N54" s="2" t="s">
        <v>137</v>
      </c>
      <c r="O54" t="s">
        <v>1091</v>
      </c>
      <c r="CN54" s="2"/>
    </row>
    <row r="55" spans="1:92" x14ac:dyDescent="0.2">
      <c r="A55" s="2" t="s">
        <v>1092</v>
      </c>
      <c r="B55" t="s">
        <v>1092</v>
      </c>
      <c r="C55" t="s">
        <v>1092</v>
      </c>
      <c r="D55" t="s">
        <v>1093</v>
      </c>
      <c r="E55" t="s">
        <v>1094</v>
      </c>
      <c r="F55" t="s">
        <v>24</v>
      </c>
      <c r="G55" s="76">
        <v>43368</v>
      </c>
      <c r="H55" t="s">
        <v>898</v>
      </c>
      <c r="J55" s="76">
        <v>43552</v>
      </c>
      <c r="K55" t="s">
        <v>721</v>
      </c>
      <c r="L55" t="s">
        <v>47</v>
      </c>
      <c r="M55" t="s">
        <v>892</v>
      </c>
      <c r="N55" s="2" t="s">
        <v>137</v>
      </c>
      <c r="O55" t="s">
        <v>1095</v>
      </c>
      <c r="CN55" s="2"/>
    </row>
    <row r="56" spans="1:92" x14ac:dyDescent="0.2">
      <c r="A56" s="2" t="s">
        <v>1096</v>
      </c>
      <c r="B56" t="s">
        <v>1096</v>
      </c>
      <c r="C56" t="s">
        <v>1096</v>
      </c>
      <c r="D56" t="s">
        <v>1097</v>
      </c>
      <c r="E56" t="s">
        <v>1098</v>
      </c>
      <c r="F56" t="s">
        <v>24</v>
      </c>
      <c r="G56" s="76">
        <v>43375</v>
      </c>
      <c r="H56" t="s">
        <v>898</v>
      </c>
      <c r="J56" s="76">
        <v>43559</v>
      </c>
      <c r="K56" t="s">
        <v>721</v>
      </c>
      <c r="L56" t="s">
        <v>47</v>
      </c>
      <c r="M56" t="s">
        <v>892</v>
      </c>
      <c r="N56" s="2" t="s">
        <v>137</v>
      </c>
      <c r="O56" t="s">
        <v>1099</v>
      </c>
      <c r="CN56" s="2"/>
    </row>
    <row r="57" spans="1:92" x14ac:dyDescent="0.2">
      <c r="A57" s="2" t="s">
        <v>1100</v>
      </c>
      <c r="B57" t="s">
        <v>1100</v>
      </c>
      <c r="C57" t="s">
        <v>1100</v>
      </c>
      <c r="D57" t="s">
        <v>1101</v>
      </c>
      <c r="E57" t="s">
        <v>1102</v>
      </c>
      <c r="F57" t="s">
        <v>24</v>
      </c>
      <c r="G57" s="76">
        <v>43382</v>
      </c>
      <c r="H57" t="s">
        <v>898</v>
      </c>
      <c r="J57" s="76">
        <v>43566</v>
      </c>
      <c r="K57" t="s">
        <v>721</v>
      </c>
      <c r="L57" t="s">
        <v>47</v>
      </c>
      <c r="M57" t="s">
        <v>892</v>
      </c>
      <c r="N57" s="2" t="s">
        <v>137</v>
      </c>
      <c r="O57" t="s">
        <v>1103</v>
      </c>
      <c r="CN57" s="2"/>
    </row>
    <row r="58" spans="1:92" x14ac:dyDescent="0.2">
      <c r="A58" s="2" t="s">
        <v>406</v>
      </c>
      <c r="B58" t="s">
        <v>406</v>
      </c>
      <c r="C58" t="s">
        <v>406</v>
      </c>
      <c r="D58" t="s">
        <v>1248</v>
      </c>
      <c r="E58" t="s">
        <v>1249</v>
      </c>
      <c r="F58" t="s">
        <v>24</v>
      </c>
      <c r="G58" s="76">
        <v>43390</v>
      </c>
      <c r="H58" t="s">
        <v>898</v>
      </c>
      <c r="J58" s="76">
        <v>43580</v>
      </c>
      <c r="K58" t="s">
        <v>721</v>
      </c>
      <c r="L58" t="s">
        <v>47</v>
      </c>
      <c r="M58" t="s">
        <v>892</v>
      </c>
      <c r="N58" s="2" t="s">
        <v>137</v>
      </c>
      <c r="O58" t="s">
        <v>1250</v>
      </c>
      <c r="CN58" s="2"/>
    </row>
    <row r="59" spans="1:92" x14ac:dyDescent="0.2">
      <c r="A59" s="2" t="s">
        <v>1234</v>
      </c>
      <c r="B59" t="s">
        <v>1234</v>
      </c>
      <c r="C59" t="s">
        <v>1234</v>
      </c>
      <c r="D59" t="s">
        <v>1293</v>
      </c>
      <c r="E59" t="s">
        <v>1294</v>
      </c>
      <c r="F59" t="s">
        <v>24</v>
      </c>
      <c r="G59" s="76">
        <v>43397</v>
      </c>
      <c r="H59" t="s">
        <v>898</v>
      </c>
      <c r="J59" s="76">
        <v>43579</v>
      </c>
      <c r="K59" t="s">
        <v>721</v>
      </c>
      <c r="L59" t="s">
        <v>47</v>
      </c>
      <c r="M59" t="s">
        <v>892</v>
      </c>
      <c r="N59" s="2" t="s">
        <v>137</v>
      </c>
      <c r="O59" t="s">
        <v>1295</v>
      </c>
      <c r="CN59" s="2"/>
    </row>
    <row r="60" spans="1:92" x14ac:dyDescent="0.2">
      <c r="A60" s="2" t="s">
        <v>1104</v>
      </c>
      <c r="B60" t="s">
        <v>1104</v>
      </c>
      <c r="C60" t="s">
        <v>1104</v>
      </c>
      <c r="D60" t="s">
        <v>1105</v>
      </c>
      <c r="E60" t="s">
        <v>1106</v>
      </c>
      <c r="F60" t="s">
        <v>24</v>
      </c>
      <c r="G60" s="76">
        <v>42885</v>
      </c>
      <c r="H60" t="s">
        <v>898</v>
      </c>
      <c r="J60" s="76">
        <v>43983</v>
      </c>
      <c r="K60" t="s">
        <v>721</v>
      </c>
      <c r="L60" t="s">
        <v>47</v>
      </c>
      <c r="M60" t="s">
        <v>892</v>
      </c>
      <c r="N60" s="2" t="s">
        <v>137</v>
      </c>
      <c r="O60" t="s">
        <v>1107</v>
      </c>
      <c r="CN60" s="2"/>
    </row>
    <row r="61" spans="1:92" x14ac:dyDescent="0.2">
      <c r="A61" s="2" t="s">
        <v>1108</v>
      </c>
      <c r="B61" t="s">
        <v>1108</v>
      </c>
      <c r="C61" t="s">
        <v>1108</v>
      </c>
      <c r="D61" t="s">
        <v>1109</v>
      </c>
      <c r="E61" t="s">
        <v>1110</v>
      </c>
      <c r="F61" t="s">
        <v>24</v>
      </c>
      <c r="G61" s="76">
        <v>43222</v>
      </c>
      <c r="H61" t="s">
        <v>898</v>
      </c>
      <c r="J61" s="76">
        <v>43405</v>
      </c>
      <c r="K61" t="s">
        <v>721</v>
      </c>
      <c r="L61" t="s">
        <v>47</v>
      </c>
      <c r="M61" t="s">
        <v>892</v>
      </c>
      <c r="N61" s="2" t="s">
        <v>137</v>
      </c>
      <c r="O61" t="s">
        <v>1111</v>
      </c>
      <c r="CN61" s="2"/>
    </row>
    <row r="62" spans="1:92" x14ac:dyDescent="0.2">
      <c r="A62" s="2" t="s">
        <v>1112</v>
      </c>
      <c r="B62" t="s">
        <v>1112</v>
      </c>
      <c r="C62" t="s">
        <v>1112</v>
      </c>
      <c r="D62" t="s">
        <v>1113</v>
      </c>
      <c r="E62" t="s">
        <v>1114</v>
      </c>
      <c r="F62" t="s">
        <v>24</v>
      </c>
      <c r="G62" s="76">
        <v>43235</v>
      </c>
      <c r="H62" t="s">
        <v>898</v>
      </c>
      <c r="J62" s="76">
        <v>43425</v>
      </c>
      <c r="K62" t="s">
        <v>721</v>
      </c>
      <c r="L62" t="s">
        <v>47</v>
      </c>
      <c r="M62" t="s">
        <v>892</v>
      </c>
      <c r="N62" s="2" t="s">
        <v>137</v>
      </c>
      <c r="O62" t="s">
        <v>1115</v>
      </c>
      <c r="CN62" s="2"/>
    </row>
    <row r="63" spans="1:92" x14ac:dyDescent="0.2">
      <c r="A63" s="2" t="s">
        <v>1116</v>
      </c>
      <c r="B63" t="s">
        <v>1116</v>
      </c>
      <c r="C63" t="s">
        <v>1116</v>
      </c>
      <c r="D63" t="s">
        <v>1117</v>
      </c>
      <c r="E63" t="s">
        <v>1118</v>
      </c>
      <c r="F63" t="s">
        <v>24</v>
      </c>
      <c r="G63" s="76">
        <v>43250</v>
      </c>
      <c r="H63" t="s">
        <v>898</v>
      </c>
      <c r="J63" s="76">
        <v>43433</v>
      </c>
      <c r="K63" t="s">
        <v>721</v>
      </c>
      <c r="L63" t="s">
        <v>47</v>
      </c>
      <c r="M63" t="s">
        <v>892</v>
      </c>
      <c r="N63" s="2" t="s">
        <v>137</v>
      </c>
      <c r="O63" t="s">
        <v>1119</v>
      </c>
      <c r="CN63" s="2"/>
    </row>
    <row r="64" spans="1:92" x14ac:dyDescent="0.2">
      <c r="A64" s="2" t="s">
        <v>1120</v>
      </c>
      <c r="B64" t="s">
        <v>1120</v>
      </c>
      <c r="C64" t="s">
        <v>1120</v>
      </c>
      <c r="D64" t="s">
        <v>1121</v>
      </c>
      <c r="E64" t="s">
        <v>1122</v>
      </c>
      <c r="F64" t="s">
        <v>24</v>
      </c>
      <c r="G64" s="76">
        <v>43263</v>
      </c>
      <c r="H64" t="s">
        <v>898</v>
      </c>
      <c r="J64" s="76">
        <v>43447</v>
      </c>
      <c r="K64" t="s">
        <v>721</v>
      </c>
      <c r="L64" t="s">
        <v>47</v>
      </c>
      <c r="M64" t="s">
        <v>892</v>
      </c>
      <c r="N64" s="2" t="s">
        <v>137</v>
      </c>
      <c r="O64" t="s">
        <v>1123</v>
      </c>
      <c r="CN64" s="2"/>
    </row>
    <row r="65" spans="1:92" x14ac:dyDescent="0.2">
      <c r="A65" s="2" t="s">
        <v>1124</v>
      </c>
      <c r="B65" t="s">
        <v>1124</v>
      </c>
      <c r="C65" t="s">
        <v>1124</v>
      </c>
      <c r="D65" t="s">
        <v>1125</v>
      </c>
      <c r="E65" t="s">
        <v>1126</v>
      </c>
      <c r="F65" t="s">
        <v>24</v>
      </c>
      <c r="G65" s="76">
        <v>43277</v>
      </c>
      <c r="H65" t="s">
        <v>898</v>
      </c>
      <c r="J65" s="76">
        <v>43468</v>
      </c>
      <c r="K65" t="s">
        <v>721</v>
      </c>
      <c r="L65" t="s">
        <v>47</v>
      </c>
      <c r="M65" t="s">
        <v>892</v>
      </c>
      <c r="N65" s="2" t="s">
        <v>137</v>
      </c>
      <c r="O65" t="s">
        <v>1127</v>
      </c>
      <c r="CN65" s="2"/>
    </row>
    <row r="66" spans="1:92" x14ac:dyDescent="0.2">
      <c r="A66" s="2" t="s">
        <v>1128</v>
      </c>
      <c r="B66" t="s">
        <v>1128</v>
      </c>
      <c r="C66" t="s">
        <v>1128</v>
      </c>
      <c r="D66" t="s">
        <v>1129</v>
      </c>
      <c r="E66" t="s">
        <v>1130</v>
      </c>
      <c r="F66" t="s">
        <v>24</v>
      </c>
      <c r="G66" s="76">
        <v>43291</v>
      </c>
      <c r="H66" t="s">
        <v>898</v>
      </c>
      <c r="J66" s="76">
        <v>43475</v>
      </c>
      <c r="K66" t="s">
        <v>721</v>
      </c>
      <c r="L66" t="s">
        <v>47</v>
      </c>
      <c r="M66" t="s">
        <v>892</v>
      </c>
      <c r="N66" s="2" t="s">
        <v>137</v>
      </c>
      <c r="O66" t="s">
        <v>1131</v>
      </c>
      <c r="CN66" s="2"/>
    </row>
    <row r="67" spans="1:92" x14ac:dyDescent="0.2">
      <c r="A67" s="2" t="s">
        <v>1132</v>
      </c>
      <c r="B67" t="s">
        <v>1132</v>
      </c>
      <c r="C67" t="s">
        <v>1132</v>
      </c>
      <c r="D67" t="s">
        <v>1133</v>
      </c>
      <c r="E67" t="s">
        <v>1134</v>
      </c>
      <c r="F67" t="s">
        <v>24</v>
      </c>
      <c r="G67" s="76">
        <v>43298</v>
      </c>
      <c r="H67" t="s">
        <v>898</v>
      </c>
      <c r="J67" s="76">
        <v>43482</v>
      </c>
      <c r="K67" t="s">
        <v>721</v>
      </c>
      <c r="L67" t="s">
        <v>47</v>
      </c>
      <c r="M67" t="s">
        <v>892</v>
      </c>
      <c r="N67" s="2" t="s">
        <v>137</v>
      </c>
      <c r="O67" t="s">
        <v>1135</v>
      </c>
      <c r="CN67" s="2"/>
    </row>
    <row r="68" spans="1:92" x14ac:dyDescent="0.2">
      <c r="A68" s="2" t="s">
        <v>1136</v>
      </c>
      <c r="B68" t="s">
        <v>1136</v>
      </c>
      <c r="C68" t="s">
        <v>1136</v>
      </c>
      <c r="D68" t="s">
        <v>1137</v>
      </c>
      <c r="E68" t="s">
        <v>1138</v>
      </c>
      <c r="F68" t="s">
        <v>24</v>
      </c>
      <c r="G68" s="76">
        <v>43305</v>
      </c>
      <c r="H68" t="s">
        <v>898</v>
      </c>
      <c r="J68" s="76">
        <v>43496</v>
      </c>
      <c r="K68" t="s">
        <v>721</v>
      </c>
      <c r="L68" t="s">
        <v>47</v>
      </c>
      <c r="M68" t="s">
        <v>892</v>
      </c>
      <c r="N68" s="2" t="s">
        <v>137</v>
      </c>
      <c r="O68" t="s">
        <v>1139</v>
      </c>
      <c r="CN68" s="2"/>
    </row>
    <row r="69" spans="1:92" x14ac:dyDescent="0.2">
      <c r="A69" s="2" t="s">
        <v>334</v>
      </c>
      <c r="B69" t="s">
        <v>334</v>
      </c>
      <c r="C69" t="s">
        <v>334</v>
      </c>
      <c r="D69" t="s">
        <v>798</v>
      </c>
      <c r="E69" t="s">
        <v>799</v>
      </c>
      <c r="F69" t="s">
        <v>24</v>
      </c>
      <c r="G69" s="76">
        <v>43250</v>
      </c>
      <c r="H69" t="s">
        <v>1140</v>
      </c>
      <c r="J69" s="76"/>
      <c r="K69" t="s">
        <v>721</v>
      </c>
      <c r="L69" t="s">
        <v>47</v>
      </c>
      <c r="M69" t="s">
        <v>892</v>
      </c>
      <c r="N69" s="2" t="s">
        <v>137</v>
      </c>
      <c r="O69" t="s">
        <v>1141</v>
      </c>
      <c r="CN69" s="2"/>
    </row>
    <row r="70" spans="1:92" x14ac:dyDescent="0.2">
      <c r="A70" s="2" t="s">
        <v>1142</v>
      </c>
      <c r="B70" t="s">
        <v>1142</v>
      </c>
      <c r="C70" t="s">
        <v>1142</v>
      </c>
      <c r="D70" t="s">
        <v>1143</v>
      </c>
      <c r="E70" t="s">
        <v>1144</v>
      </c>
      <c r="F70" t="s">
        <v>24</v>
      </c>
      <c r="G70" s="76">
        <v>43250</v>
      </c>
      <c r="H70" t="s">
        <v>1140</v>
      </c>
      <c r="J70" s="76"/>
      <c r="K70" t="s">
        <v>721</v>
      </c>
      <c r="L70" t="s">
        <v>47</v>
      </c>
      <c r="M70" t="s">
        <v>892</v>
      </c>
      <c r="N70" s="2" t="s">
        <v>137</v>
      </c>
      <c r="O70" t="s">
        <v>1141</v>
      </c>
      <c r="CN70" s="2"/>
    </row>
    <row r="71" spans="1:92" x14ac:dyDescent="0.2">
      <c r="A71" s="2" t="s">
        <v>1145</v>
      </c>
      <c r="B71" t="s">
        <v>1145</v>
      </c>
      <c r="C71" t="s">
        <v>1145</v>
      </c>
      <c r="D71" t="s">
        <v>1146</v>
      </c>
      <c r="E71" t="s">
        <v>1147</v>
      </c>
      <c r="F71" t="s">
        <v>24</v>
      </c>
      <c r="G71" s="76">
        <v>40472</v>
      </c>
      <c r="H71" t="s">
        <v>1148</v>
      </c>
      <c r="J71" s="76"/>
      <c r="K71" t="s">
        <v>721</v>
      </c>
      <c r="L71" t="s">
        <v>47</v>
      </c>
      <c r="M71" t="s">
        <v>892</v>
      </c>
      <c r="N71" s="2" t="s">
        <v>137</v>
      </c>
      <c r="O71" t="s">
        <v>1149</v>
      </c>
      <c r="CN71" s="2"/>
    </row>
    <row r="72" spans="1:92" x14ac:dyDescent="0.2">
      <c r="A72" s="2" t="s">
        <v>335</v>
      </c>
      <c r="B72" t="s">
        <v>335</v>
      </c>
      <c r="C72" t="s">
        <v>335</v>
      </c>
      <c r="D72" t="s">
        <v>1150</v>
      </c>
      <c r="E72" t="s">
        <v>1151</v>
      </c>
      <c r="F72" t="s">
        <v>24</v>
      </c>
      <c r="G72" s="76">
        <v>40472</v>
      </c>
      <c r="H72" t="s">
        <v>1148</v>
      </c>
      <c r="J72" s="76"/>
      <c r="K72" t="s">
        <v>721</v>
      </c>
      <c r="L72" t="s">
        <v>47</v>
      </c>
      <c r="M72" t="s">
        <v>892</v>
      </c>
      <c r="N72" s="2" t="s">
        <v>137</v>
      </c>
      <c r="O72" t="s">
        <v>1149</v>
      </c>
      <c r="CN72" s="2"/>
    </row>
    <row r="73" spans="1:92" x14ac:dyDescent="0.2">
      <c r="A73" s="2" t="s">
        <v>1152</v>
      </c>
      <c r="B73" t="s">
        <v>1152</v>
      </c>
      <c r="C73" t="s">
        <v>1152</v>
      </c>
      <c r="D73" t="s">
        <v>1153</v>
      </c>
      <c r="E73" t="s">
        <v>1154</v>
      </c>
      <c r="F73" t="s">
        <v>24</v>
      </c>
      <c r="G73" s="76">
        <v>42948</v>
      </c>
      <c r="H73" t="s">
        <v>1148</v>
      </c>
      <c r="J73" s="76"/>
      <c r="K73" t="s">
        <v>721</v>
      </c>
      <c r="L73" t="s">
        <v>47</v>
      </c>
      <c r="M73" t="s">
        <v>892</v>
      </c>
      <c r="N73" s="2" t="s">
        <v>137</v>
      </c>
      <c r="O73" t="s">
        <v>1149</v>
      </c>
      <c r="CN73" s="2"/>
    </row>
    <row r="74" spans="1:92" x14ac:dyDescent="0.2">
      <c r="A74" s="2" t="s">
        <v>409</v>
      </c>
      <c r="B74" t="s">
        <v>409</v>
      </c>
      <c r="C74" t="s">
        <v>409</v>
      </c>
      <c r="D74" t="s">
        <v>1155</v>
      </c>
      <c r="E74" t="s">
        <v>1156</v>
      </c>
      <c r="F74" t="s">
        <v>24</v>
      </c>
      <c r="G74" s="76">
        <v>42332</v>
      </c>
      <c r="H74" t="s">
        <v>898</v>
      </c>
      <c r="J74" s="76"/>
      <c r="K74" t="s">
        <v>721</v>
      </c>
      <c r="L74" t="s">
        <v>47</v>
      </c>
      <c r="M74" t="s">
        <v>892</v>
      </c>
      <c r="N74" s="2" t="s">
        <v>137</v>
      </c>
      <c r="O74" t="s">
        <v>1157</v>
      </c>
      <c r="CN74" s="2"/>
    </row>
    <row r="75" spans="1:92" x14ac:dyDescent="0.2">
      <c r="A75" s="2" t="s">
        <v>337</v>
      </c>
      <c r="B75" t="s">
        <v>337</v>
      </c>
      <c r="C75" t="s">
        <v>337</v>
      </c>
      <c r="D75" t="s">
        <v>1158</v>
      </c>
      <c r="E75" t="s">
        <v>1159</v>
      </c>
      <c r="F75" t="s">
        <v>24</v>
      </c>
      <c r="G75" s="76">
        <v>35517</v>
      </c>
      <c r="H75" t="s">
        <v>932</v>
      </c>
      <c r="J75" s="76"/>
      <c r="K75" t="s">
        <v>721</v>
      </c>
      <c r="L75" t="s">
        <v>47</v>
      </c>
      <c r="M75" t="s">
        <v>892</v>
      </c>
      <c r="N75" s="2" t="s">
        <v>21</v>
      </c>
      <c r="O75" t="s">
        <v>1160</v>
      </c>
      <c r="CN75" s="2"/>
    </row>
    <row r="76" spans="1:92" x14ac:dyDescent="0.2">
      <c r="A76" s="2" t="s">
        <v>338</v>
      </c>
      <c r="B76" t="s">
        <v>338</v>
      </c>
      <c r="C76" t="s">
        <v>338</v>
      </c>
      <c r="D76" t="s">
        <v>1161</v>
      </c>
      <c r="E76" t="s">
        <v>1162</v>
      </c>
      <c r="F76" t="s">
        <v>24</v>
      </c>
      <c r="G76" s="76">
        <v>37301</v>
      </c>
      <c r="H76" t="s">
        <v>891</v>
      </c>
      <c r="J76" s="76"/>
      <c r="K76" t="s">
        <v>721</v>
      </c>
      <c r="L76" t="s">
        <v>47</v>
      </c>
      <c r="M76" t="s">
        <v>892</v>
      </c>
      <c r="N76" s="2" t="s">
        <v>21</v>
      </c>
      <c r="O76" t="s">
        <v>1163</v>
      </c>
      <c r="CN76" s="2"/>
    </row>
    <row r="77" spans="1:92" x14ac:dyDescent="0.2">
      <c r="A77" s="2" t="s">
        <v>339</v>
      </c>
      <c r="B77" t="s">
        <v>339</v>
      </c>
      <c r="C77" t="s">
        <v>339</v>
      </c>
      <c r="D77" t="s">
        <v>1164</v>
      </c>
      <c r="E77" t="s">
        <v>1165</v>
      </c>
      <c r="F77" t="s">
        <v>24</v>
      </c>
      <c r="G77" s="76">
        <v>37301</v>
      </c>
      <c r="H77" t="s">
        <v>891</v>
      </c>
      <c r="J77" s="76"/>
      <c r="K77" t="s">
        <v>721</v>
      </c>
      <c r="L77" t="s">
        <v>47</v>
      </c>
      <c r="M77" t="s">
        <v>892</v>
      </c>
      <c r="N77" s="2" t="s">
        <v>21</v>
      </c>
      <c r="O77" t="s">
        <v>1166</v>
      </c>
      <c r="CN77" s="2"/>
    </row>
    <row r="78" spans="1:92" x14ac:dyDescent="0.2">
      <c r="A78" s="2" t="s">
        <v>17</v>
      </c>
      <c r="B78" t="s">
        <v>17</v>
      </c>
      <c r="C78" t="s">
        <v>17</v>
      </c>
      <c r="D78" t="s">
        <v>1167</v>
      </c>
      <c r="E78" t="s">
        <v>1168</v>
      </c>
      <c r="F78" t="s">
        <v>24</v>
      </c>
      <c r="G78" s="76">
        <v>35488</v>
      </c>
      <c r="H78" t="s">
        <v>932</v>
      </c>
      <c r="J78" s="76"/>
      <c r="K78" t="s">
        <v>721</v>
      </c>
      <c r="L78" t="s">
        <v>47</v>
      </c>
      <c r="M78" t="s">
        <v>892</v>
      </c>
      <c r="N78" s="2" t="s">
        <v>21</v>
      </c>
      <c r="O78" t="s">
        <v>1169</v>
      </c>
      <c r="CN78" s="2"/>
    </row>
    <row r="79" spans="1:92" x14ac:dyDescent="0.2">
      <c r="A79" s="2" t="s">
        <v>130</v>
      </c>
      <c r="B79" t="s">
        <v>130</v>
      </c>
      <c r="C79" t="s">
        <v>130</v>
      </c>
      <c r="D79" t="s">
        <v>1170</v>
      </c>
      <c r="E79" t="s">
        <v>1171</v>
      </c>
      <c r="F79" t="s">
        <v>24</v>
      </c>
      <c r="G79" s="76">
        <v>41598</v>
      </c>
      <c r="H79" t="s">
        <v>894</v>
      </c>
      <c r="J79" s="76"/>
      <c r="K79" t="s">
        <v>721</v>
      </c>
      <c r="L79" t="s">
        <v>47</v>
      </c>
      <c r="M79" t="s">
        <v>892</v>
      </c>
      <c r="N79" s="2" t="s">
        <v>21</v>
      </c>
      <c r="O79" t="s">
        <v>1172</v>
      </c>
      <c r="CN79" s="2"/>
    </row>
    <row r="80" spans="1:92" x14ac:dyDescent="0.2">
      <c r="A80" s="2" t="s">
        <v>1173</v>
      </c>
      <c r="B80" t="s">
        <v>1173</v>
      </c>
      <c r="C80" t="s">
        <v>1173</v>
      </c>
      <c r="D80" t="s">
        <v>1174</v>
      </c>
      <c r="E80" t="s">
        <v>1175</v>
      </c>
      <c r="F80" t="s">
        <v>24</v>
      </c>
      <c r="G80" s="76">
        <v>41598</v>
      </c>
      <c r="H80" t="s">
        <v>894</v>
      </c>
      <c r="J80" s="76"/>
      <c r="K80" t="s">
        <v>721</v>
      </c>
      <c r="L80" t="s">
        <v>47</v>
      </c>
      <c r="M80" t="s">
        <v>892</v>
      </c>
      <c r="N80" s="2" t="s">
        <v>21</v>
      </c>
      <c r="O80" t="s">
        <v>1172</v>
      </c>
      <c r="CN80" s="2"/>
    </row>
    <row r="81" spans="1:92" x14ac:dyDescent="0.2">
      <c r="A81" s="2" t="s">
        <v>1176</v>
      </c>
      <c r="B81" t="s">
        <v>1176</v>
      </c>
      <c r="C81" t="s">
        <v>1176</v>
      </c>
      <c r="D81" t="s">
        <v>1177</v>
      </c>
      <c r="E81" t="s">
        <v>1178</v>
      </c>
      <c r="F81" t="s">
        <v>24</v>
      </c>
      <c r="G81" s="76">
        <v>41598</v>
      </c>
      <c r="H81" t="s">
        <v>894</v>
      </c>
      <c r="J81" s="76"/>
      <c r="K81" t="s">
        <v>721</v>
      </c>
      <c r="L81" t="s">
        <v>47</v>
      </c>
      <c r="M81" t="s">
        <v>892</v>
      </c>
      <c r="N81" s="2" t="s">
        <v>21</v>
      </c>
      <c r="O81" t="s">
        <v>1172</v>
      </c>
      <c r="CN81" s="2"/>
    </row>
    <row r="82" spans="1:92" x14ac:dyDescent="0.2">
      <c r="A82" s="2" t="s">
        <v>1179</v>
      </c>
      <c r="B82" t="s">
        <v>1179</v>
      </c>
      <c r="C82" t="s">
        <v>1179</v>
      </c>
      <c r="D82" t="s">
        <v>1180</v>
      </c>
      <c r="E82" t="s">
        <v>1181</v>
      </c>
      <c r="F82" t="s">
        <v>24</v>
      </c>
      <c r="G82" s="76">
        <v>41598</v>
      </c>
      <c r="H82" t="s">
        <v>894</v>
      </c>
      <c r="J82" s="76"/>
      <c r="K82" t="s">
        <v>721</v>
      </c>
      <c r="L82" t="s">
        <v>47</v>
      </c>
      <c r="M82" t="s">
        <v>892</v>
      </c>
      <c r="N82" s="2" t="s">
        <v>21</v>
      </c>
      <c r="O82" t="s">
        <v>1172</v>
      </c>
      <c r="CN82" s="2"/>
    </row>
    <row r="83" spans="1:92" x14ac:dyDescent="0.2">
      <c r="A83" s="2" t="s">
        <v>1182</v>
      </c>
      <c r="B83" t="s">
        <v>1182</v>
      </c>
      <c r="C83" t="s">
        <v>1182</v>
      </c>
      <c r="D83" t="s">
        <v>1183</v>
      </c>
      <c r="E83" t="s">
        <v>1184</v>
      </c>
      <c r="F83" t="s">
        <v>24</v>
      </c>
      <c r="G83" s="76">
        <v>43132</v>
      </c>
      <c r="H83" t="s">
        <v>1140</v>
      </c>
      <c r="J83" s="76"/>
      <c r="K83" t="s">
        <v>721</v>
      </c>
      <c r="L83" t="s">
        <v>47</v>
      </c>
      <c r="M83" t="s">
        <v>892</v>
      </c>
      <c r="N83" s="2" t="s">
        <v>21</v>
      </c>
      <c r="O83" t="s">
        <v>1172</v>
      </c>
      <c r="CN83" s="2"/>
    </row>
    <row r="84" spans="1:92" x14ac:dyDescent="0.2">
      <c r="A84" s="2" t="s">
        <v>131</v>
      </c>
      <c r="B84" t="s">
        <v>131</v>
      </c>
      <c r="C84" t="s">
        <v>131</v>
      </c>
      <c r="D84" t="s">
        <v>1185</v>
      </c>
      <c r="E84" t="s">
        <v>1186</v>
      </c>
      <c r="F84" t="s">
        <v>24</v>
      </c>
      <c r="G84" s="76">
        <v>40015</v>
      </c>
      <c r="H84" t="s">
        <v>932</v>
      </c>
      <c r="J84" s="76"/>
      <c r="K84" t="s">
        <v>721</v>
      </c>
      <c r="L84" t="s">
        <v>47</v>
      </c>
      <c r="M84" t="s">
        <v>892</v>
      </c>
      <c r="N84" s="2" t="s">
        <v>137</v>
      </c>
      <c r="O84" t="s">
        <v>1187</v>
      </c>
      <c r="CN84" s="2"/>
    </row>
    <row r="85" spans="1:92" x14ac:dyDescent="0.2">
      <c r="A85" s="2" t="s">
        <v>132</v>
      </c>
      <c r="B85" t="s">
        <v>132</v>
      </c>
      <c r="C85" t="s">
        <v>132</v>
      </c>
      <c r="D85" t="s">
        <v>1188</v>
      </c>
      <c r="E85" t="s">
        <v>1189</v>
      </c>
      <c r="F85" t="s">
        <v>24</v>
      </c>
      <c r="G85" s="76">
        <v>41157</v>
      </c>
      <c r="H85" t="s">
        <v>1190</v>
      </c>
      <c r="J85" s="76"/>
      <c r="K85" t="s">
        <v>721</v>
      </c>
      <c r="L85" t="s">
        <v>47</v>
      </c>
      <c r="M85" t="s">
        <v>892</v>
      </c>
      <c r="N85" s="2" t="s">
        <v>137</v>
      </c>
      <c r="O85" t="s">
        <v>1191</v>
      </c>
      <c r="CN85" s="2"/>
    </row>
    <row r="86" spans="1:92" x14ac:dyDescent="0.2">
      <c r="A86" s="2" t="s">
        <v>1192</v>
      </c>
      <c r="B86" t="s">
        <v>1192</v>
      </c>
      <c r="C86" t="s">
        <v>1192</v>
      </c>
      <c r="D86" t="s">
        <v>1193</v>
      </c>
      <c r="E86" t="s">
        <v>1194</v>
      </c>
      <c r="F86" t="s">
        <v>24</v>
      </c>
      <c r="G86" s="76">
        <v>41157</v>
      </c>
      <c r="H86" t="s">
        <v>1190</v>
      </c>
      <c r="J86" s="76"/>
      <c r="K86" t="s">
        <v>721</v>
      </c>
      <c r="L86" t="s">
        <v>47</v>
      </c>
      <c r="M86" t="s">
        <v>892</v>
      </c>
      <c r="N86" s="2" t="s">
        <v>137</v>
      </c>
      <c r="O86" t="s">
        <v>1191</v>
      </c>
      <c r="CN86" s="2"/>
    </row>
    <row r="87" spans="1:92" x14ac:dyDescent="0.2">
      <c r="A87" s="2" t="s">
        <v>1195</v>
      </c>
      <c r="B87" t="s">
        <v>1195</v>
      </c>
      <c r="C87" t="s">
        <v>1195</v>
      </c>
      <c r="D87" t="s">
        <v>1196</v>
      </c>
      <c r="E87" t="s">
        <v>1197</v>
      </c>
      <c r="F87" t="s">
        <v>24</v>
      </c>
      <c r="G87" s="76">
        <v>41157</v>
      </c>
      <c r="H87" t="s">
        <v>1190</v>
      </c>
      <c r="J87" s="76"/>
      <c r="K87" t="s">
        <v>721</v>
      </c>
      <c r="L87" t="s">
        <v>47</v>
      </c>
      <c r="M87" t="s">
        <v>892</v>
      </c>
      <c r="N87" s="2" t="s">
        <v>137</v>
      </c>
      <c r="O87" t="s">
        <v>1191</v>
      </c>
      <c r="CN87" s="2"/>
    </row>
    <row r="88" spans="1:92" x14ac:dyDescent="0.2">
      <c r="A88" s="2" t="s">
        <v>1198</v>
      </c>
      <c r="B88" t="s">
        <v>1198</v>
      </c>
      <c r="C88" t="s">
        <v>1198</v>
      </c>
      <c r="D88" t="s">
        <v>1199</v>
      </c>
      <c r="E88" t="s">
        <v>1200</v>
      </c>
      <c r="F88" t="s">
        <v>24</v>
      </c>
      <c r="G88" s="117">
        <v>41157</v>
      </c>
      <c r="H88" t="s">
        <v>1190</v>
      </c>
      <c r="J88" s="117"/>
      <c r="K88" t="s">
        <v>721</v>
      </c>
      <c r="L88" t="s">
        <v>47</v>
      </c>
      <c r="M88" t="s">
        <v>892</v>
      </c>
      <c r="N88" s="2" t="s">
        <v>137</v>
      </c>
      <c r="O88" t="s">
        <v>1191</v>
      </c>
      <c r="CN88" s="2"/>
    </row>
    <row r="89" spans="1:92" x14ac:dyDescent="0.2">
      <c r="A89" s="2" t="s">
        <v>1201</v>
      </c>
      <c r="B89" t="s">
        <v>1201</v>
      </c>
      <c r="C89" t="s">
        <v>1201</v>
      </c>
      <c r="D89" t="s">
        <v>1202</v>
      </c>
      <c r="E89" t="s">
        <v>1203</v>
      </c>
      <c r="F89" t="s">
        <v>24</v>
      </c>
      <c r="G89" s="131">
        <v>42948</v>
      </c>
      <c r="H89" t="s">
        <v>1140</v>
      </c>
      <c r="J89" s="131"/>
      <c r="K89" t="s">
        <v>721</v>
      </c>
      <c r="L89" t="s">
        <v>47</v>
      </c>
      <c r="M89" t="s">
        <v>892</v>
      </c>
      <c r="N89" s="2" t="s">
        <v>137</v>
      </c>
      <c r="O89" t="s">
        <v>1191</v>
      </c>
      <c r="CN89" s="2"/>
    </row>
    <row r="90" spans="1:92" x14ac:dyDescent="0.2">
      <c r="A90" s="2"/>
      <c r="N90" s="2"/>
      <c r="CN90" s="2"/>
    </row>
    <row r="91" spans="1:92" x14ac:dyDescent="0.2">
      <c r="A91" s="2"/>
      <c r="N91" s="2"/>
      <c r="CN91" s="2"/>
    </row>
    <row r="92" spans="1:92" x14ac:dyDescent="0.2">
      <c r="A92" s="2"/>
      <c r="N92" s="2"/>
      <c r="CN92" s="2"/>
    </row>
    <row r="93" spans="1:92" x14ac:dyDescent="0.2">
      <c r="A93" s="2"/>
      <c r="N93" s="2"/>
      <c r="CN93" s="2"/>
    </row>
    <row r="94" spans="1:92" x14ac:dyDescent="0.2">
      <c r="A94" s="2"/>
      <c r="N94" s="2"/>
      <c r="CN94" s="2"/>
    </row>
    <row r="95" spans="1:92" x14ac:dyDescent="0.2">
      <c r="A95" s="2"/>
      <c r="N95" s="2"/>
      <c r="CN95" s="2"/>
    </row>
    <row r="96" spans="1:92" x14ac:dyDescent="0.2">
      <c r="A96" s="2"/>
      <c r="N96" s="2"/>
      <c r="CN96" s="2"/>
    </row>
    <row r="97" spans="1:92" x14ac:dyDescent="0.2">
      <c r="A97" s="2"/>
      <c r="N97" s="2"/>
      <c r="CN97" s="2"/>
    </row>
    <row r="98" spans="1:92" x14ac:dyDescent="0.2">
      <c r="A98" s="2"/>
      <c r="N98" s="2"/>
      <c r="CN98" s="2"/>
    </row>
    <row r="99" spans="1:92" x14ac:dyDescent="0.2">
      <c r="A99" s="2"/>
      <c r="N99" s="2"/>
      <c r="CN99" s="2"/>
    </row>
    <row r="100" spans="1:92" x14ac:dyDescent="0.2">
      <c r="A100" s="2"/>
      <c r="N100" s="2"/>
      <c r="CN100" s="2"/>
    </row>
    <row r="101" spans="1:92" x14ac:dyDescent="0.2">
      <c r="A101" s="2"/>
      <c r="N101" s="2"/>
      <c r="CN101" s="2"/>
    </row>
    <row r="102" spans="1:92" x14ac:dyDescent="0.2">
      <c r="A102" s="2"/>
      <c r="N102" s="2"/>
      <c r="CN102" s="2"/>
    </row>
    <row r="103" spans="1:92" x14ac:dyDescent="0.2">
      <c r="A103" s="2"/>
      <c r="N103" s="2"/>
      <c r="CN103" s="2"/>
    </row>
    <row r="104" spans="1:92" x14ac:dyDescent="0.2">
      <c r="A104" s="2"/>
      <c r="N104" s="2"/>
      <c r="CN104" s="2"/>
    </row>
    <row r="105" spans="1:92" x14ac:dyDescent="0.2">
      <c r="A105" s="2"/>
      <c r="N105" s="2"/>
      <c r="CN105" s="2"/>
    </row>
    <row r="106" spans="1:92" x14ac:dyDescent="0.2">
      <c r="A106" s="2"/>
      <c r="N106" s="2"/>
      <c r="CN106" s="2"/>
    </row>
    <row r="107" spans="1:92" x14ac:dyDescent="0.2">
      <c r="A107" s="2"/>
      <c r="N107" s="2"/>
      <c r="CN107" s="2"/>
    </row>
    <row r="108" spans="1:92" x14ac:dyDescent="0.2">
      <c r="A108" s="2"/>
      <c r="N108" s="2"/>
      <c r="CN108" s="2"/>
    </row>
    <row r="109" spans="1:92" x14ac:dyDescent="0.2">
      <c r="A109" s="2"/>
      <c r="N109" s="2"/>
      <c r="CN109" s="2"/>
    </row>
    <row r="110" spans="1:92" x14ac:dyDescent="0.2">
      <c r="A110" s="2"/>
      <c r="N110" s="2"/>
      <c r="CN110" s="2"/>
    </row>
    <row r="111" spans="1:92" x14ac:dyDescent="0.2">
      <c r="A111" s="2"/>
      <c r="N111" s="2"/>
      <c r="CN111" s="2"/>
    </row>
    <row r="112" spans="1:92" x14ac:dyDescent="0.2">
      <c r="A112" s="2"/>
      <c r="N112" s="2"/>
      <c r="CN112" s="2"/>
    </row>
    <row r="113" spans="1:92" x14ac:dyDescent="0.2">
      <c r="A113" s="2"/>
      <c r="N113" s="2"/>
      <c r="CN113" s="2"/>
    </row>
    <row r="114" spans="1:92" x14ac:dyDescent="0.2">
      <c r="A114" s="2"/>
      <c r="N114" s="2"/>
      <c r="CN114" s="2"/>
    </row>
    <row r="115" spans="1:92" x14ac:dyDescent="0.2">
      <c r="A115" s="2"/>
      <c r="N115" s="2"/>
      <c r="CN115" s="2"/>
    </row>
    <row r="116" spans="1:92" x14ac:dyDescent="0.2">
      <c r="A116" s="2"/>
      <c r="N116" s="2"/>
      <c r="CN116" s="2"/>
    </row>
    <row r="117" spans="1:92" x14ac:dyDescent="0.2">
      <c r="A117" s="2"/>
      <c r="N117" s="2"/>
      <c r="CN117" s="2"/>
    </row>
    <row r="118" spans="1:92" x14ac:dyDescent="0.2">
      <c r="A118" s="2"/>
      <c r="N118" s="2"/>
      <c r="CN118" s="2"/>
    </row>
    <row r="119" spans="1:92" x14ac:dyDescent="0.2">
      <c r="A119" s="2"/>
      <c r="N119" s="2"/>
      <c r="CN119" s="2"/>
    </row>
    <row r="120" spans="1:92" x14ac:dyDescent="0.2">
      <c r="A120" s="2"/>
      <c r="N120" s="2"/>
      <c r="CN120" s="2"/>
    </row>
    <row r="121" spans="1:92" x14ac:dyDescent="0.2">
      <c r="A121" s="2"/>
      <c r="N121" s="2"/>
      <c r="CN121" s="2"/>
    </row>
    <row r="122" spans="1:92" x14ac:dyDescent="0.2">
      <c r="A122" s="2"/>
      <c r="N122" s="2"/>
      <c r="CN122" s="2"/>
    </row>
    <row r="123" spans="1:92" x14ac:dyDescent="0.2">
      <c r="A123" s="2"/>
      <c r="N123" s="2"/>
      <c r="CN123" s="2"/>
    </row>
    <row r="124" spans="1:92" x14ac:dyDescent="0.2">
      <c r="A124" s="2"/>
      <c r="N124" s="2"/>
      <c r="CN124" s="2"/>
    </row>
    <row r="125" spans="1:92" x14ac:dyDescent="0.2">
      <c r="A125" s="2"/>
      <c r="N125" s="2"/>
      <c r="CN125" s="2"/>
    </row>
    <row r="126" spans="1:92" x14ac:dyDescent="0.2">
      <c r="A126" s="2"/>
      <c r="N126" s="2"/>
      <c r="CN126" s="2"/>
    </row>
    <row r="127" spans="1:92" x14ac:dyDescent="0.2">
      <c r="A127" s="2"/>
      <c r="N127" s="2"/>
      <c r="CN127" s="2"/>
    </row>
    <row r="128" spans="1:92" x14ac:dyDescent="0.2">
      <c r="A128" s="2"/>
      <c r="N128" s="2"/>
      <c r="CN128" s="2"/>
    </row>
    <row r="129" spans="1:92" x14ac:dyDescent="0.2">
      <c r="A129" s="2"/>
      <c r="N129" s="2"/>
      <c r="CN129" s="2"/>
    </row>
    <row r="130" spans="1:92" x14ac:dyDescent="0.2">
      <c r="A130" s="2"/>
      <c r="N130" s="2"/>
      <c r="CN130" s="2"/>
    </row>
    <row r="131" spans="1:92" x14ac:dyDescent="0.2">
      <c r="A131" s="2"/>
      <c r="N131" s="2"/>
      <c r="CN131" s="2"/>
    </row>
    <row r="132" spans="1:92" x14ac:dyDescent="0.2">
      <c r="A132" s="2"/>
      <c r="N132" s="2"/>
      <c r="CN132" s="2"/>
    </row>
    <row r="133" spans="1:92" x14ac:dyDescent="0.2">
      <c r="A133" s="2"/>
      <c r="N133" s="2"/>
      <c r="CN133" s="2"/>
    </row>
    <row r="134" spans="1:92" x14ac:dyDescent="0.2">
      <c r="A134" s="2"/>
      <c r="N134" s="2"/>
      <c r="CN134" s="2"/>
    </row>
    <row r="135" spans="1:92" x14ac:dyDescent="0.2">
      <c r="A135" s="2"/>
      <c r="N135" s="2"/>
      <c r="CN135" s="2"/>
    </row>
    <row r="136" spans="1:92" x14ac:dyDescent="0.2">
      <c r="A136" s="2"/>
      <c r="N136" s="2"/>
      <c r="CN136" s="2"/>
    </row>
    <row r="137" spans="1:92" x14ac:dyDescent="0.2">
      <c r="A137" s="2"/>
      <c r="N137" s="2"/>
      <c r="CN137" s="2"/>
    </row>
    <row r="138" spans="1:92" x14ac:dyDescent="0.2">
      <c r="A138" s="2"/>
      <c r="N138" s="2"/>
      <c r="CN138" s="2"/>
    </row>
    <row r="139" spans="1:92" x14ac:dyDescent="0.2">
      <c r="A139" s="2"/>
      <c r="N139" s="2"/>
      <c r="CN139" s="2"/>
    </row>
    <row r="140" spans="1:92" x14ac:dyDescent="0.2">
      <c r="A140" s="2"/>
      <c r="N140" s="2"/>
      <c r="CN140" s="2"/>
    </row>
    <row r="141" spans="1:92" x14ac:dyDescent="0.2">
      <c r="A141" s="2"/>
      <c r="N141" s="2"/>
      <c r="CN141" s="2"/>
    </row>
    <row r="142" spans="1:92" x14ac:dyDescent="0.2">
      <c r="A142" s="2"/>
      <c r="N142" s="2"/>
      <c r="CN142" s="2"/>
    </row>
    <row r="143" spans="1:92" x14ac:dyDescent="0.2">
      <c r="A143" s="2"/>
      <c r="N143" s="2"/>
      <c r="CN143" s="2"/>
    </row>
    <row r="144" spans="1:92" x14ac:dyDescent="0.2">
      <c r="A144" s="2"/>
      <c r="N144" s="2"/>
      <c r="CN144" s="2"/>
    </row>
    <row r="145" spans="1:92" x14ac:dyDescent="0.2">
      <c r="A145" s="2"/>
      <c r="N145" s="2"/>
      <c r="CN145" s="2"/>
    </row>
    <row r="146" spans="1:92" x14ac:dyDescent="0.2">
      <c r="A146" s="2"/>
      <c r="N146" s="2"/>
      <c r="CN146" s="2"/>
    </row>
    <row r="147" spans="1:92" x14ac:dyDescent="0.2">
      <c r="A147" s="2"/>
      <c r="N147" s="2"/>
      <c r="CN147" s="2"/>
    </row>
    <row r="148" spans="1:92" x14ac:dyDescent="0.2">
      <c r="A148" s="2"/>
      <c r="N148" s="2"/>
      <c r="CN148" s="2"/>
    </row>
    <row r="149" spans="1:92" x14ac:dyDescent="0.2">
      <c r="A149" s="2"/>
      <c r="N149" s="2"/>
      <c r="CN149" s="2"/>
    </row>
    <row r="150" spans="1:92" x14ac:dyDescent="0.2">
      <c r="A150" s="2"/>
      <c r="N150" s="2"/>
      <c r="CN150" s="2"/>
    </row>
    <row r="151" spans="1:92" x14ac:dyDescent="0.2">
      <c r="A151" s="2"/>
      <c r="N151" s="2"/>
      <c r="CN151" s="2"/>
    </row>
    <row r="152" spans="1:92" x14ac:dyDescent="0.2">
      <c r="A152" s="2"/>
      <c r="N152" s="2"/>
      <c r="CN152" s="2"/>
    </row>
    <row r="153" spans="1:92" x14ac:dyDescent="0.2">
      <c r="A153" s="2"/>
      <c r="N153" s="2"/>
      <c r="CN153" s="2"/>
    </row>
    <row r="154" spans="1:92" x14ac:dyDescent="0.2">
      <c r="A154" s="2"/>
      <c r="N154" s="2"/>
      <c r="CN154" s="2"/>
    </row>
    <row r="155" spans="1:92" x14ac:dyDescent="0.2">
      <c r="A155" s="2"/>
      <c r="N155" s="2"/>
      <c r="CN155" s="2"/>
    </row>
    <row r="156" spans="1:92" x14ac:dyDescent="0.2">
      <c r="A156" s="2"/>
      <c r="N156" s="2"/>
      <c r="CN156" s="2"/>
    </row>
    <row r="157" spans="1:92" x14ac:dyDescent="0.2">
      <c r="A157" s="2"/>
      <c r="N157" s="2"/>
      <c r="CN157" s="2"/>
    </row>
    <row r="158" spans="1:92" x14ac:dyDescent="0.2">
      <c r="A158" s="2"/>
      <c r="N158" s="2"/>
      <c r="CN158" s="2"/>
    </row>
    <row r="159" spans="1:92" x14ac:dyDescent="0.2">
      <c r="A159" s="2"/>
      <c r="N159" s="2"/>
      <c r="CN159" s="2"/>
    </row>
    <row r="160" spans="1:92" x14ac:dyDescent="0.2">
      <c r="A160" s="2"/>
      <c r="N160" s="2"/>
      <c r="CN160" s="2"/>
    </row>
    <row r="161" spans="1:92" x14ac:dyDescent="0.2">
      <c r="A161" s="2"/>
      <c r="N161" s="2"/>
      <c r="CN161" s="2"/>
    </row>
    <row r="162" spans="1:92" x14ac:dyDescent="0.2">
      <c r="A162" s="2"/>
      <c r="N162" s="2"/>
      <c r="CN162" s="2"/>
    </row>
    <row r="163" spans="1:92" x14ac:dyDescent="0.2">
      <c r="A163" s="2"/>
      <c r="N163" s="2"/>
      <c r="CN163" s="2"/>
    </row>
    <row r="164" spans="1:92" x14ac:dyDescent="0.2">
      <c r="A164" s="2"/>
      <c r="N164" s="2"/>
      <c r="CN164" s="2"/>
    </row>
    <row r="165" spans="1:92" x14ac:dyDescent="0.2">
      <c r="A165" s="2"/>
      <c r="N165" s="2"/>
      <c r="CN165" s="2"/>
    </row>
    <row r="166" spans="1:92" x14ac:dyDescent="0.2">
      <c r="A166" s="2"/>
      <c r="N166" s="2"/>
      <c r="CN166" s="2"/>
    </row>
    <row r="167" spans="1:92" x14ac:dyDescent="0.2">
      <c r="A167" s="2"/>
      <c r="N167" s="2"/>
      <c r="CN167" s="2"/>
    </row>
    <row r="168" spans="1:92" x14ac:dyDescent="0.2">
      <c r="A168" s="2"/>
      <c r="N168" s="2"/>
      <c r="CN168" s="2"/>
    </row>
    <row r="169" spans="1:92" x14ac:dyDescent="0.2">
      <c r="A169" s="2"/>
      <c r="N169" s="2"/>
      <c r="CN169" s="2"/>
    </row>
    <row r="170" spans="1:92" x14ac:dyDescent="0.2">
      <c r="A170" s="2"/>
      <c r="N170" s="2"/>
      <c r="CN170" s="2"/>
    </row>
    <row r="171" spans="1:92" x14ac:dyDescent="0.2">
      <c r="A171" s="2"/>
      <c r="N171" s="2"/>
      <c r="CN171" s="2"/>
    </row>
    <row r="172" spans="1:92" x14ac:dyDescent="0.2">
      <c r="A172" s="2"/>
      <c r="N172" s="2"/>
      <c r="CN172" s="2"/>
    </row>
    <row r="173" spans="1:92" x14ac:dyDescent="0.2">
      <c r="A173" s="2"/>
      <c r="N173" s="2"/>
      <c r="CN173" s="2"/>
    </row>
    <row r="174" spans="1:92" x14ac:dyDescent="0.2">
      <c r="A174" s="2"/>
      <c r="N174" s="2"/>
      <c r="CN174" s="2"/>
    </row>
    <row r="175" spans="1:92" x14ac:dyDescent="0.2">
      <c r="A175" s="2"/>
      <c r="N175" s="2"/>
      <c r="CN175" s="2"/>
    </row>
    <row r="176" spans="1:92" x14ac:dyDescent="0.2">
      <c r="A176" s="2"/>
      <c r="N176" s="2"/>
      <c r="CN176" s="2"/>
    </row>
    <row r="177" spans="1:92" x14ac:dyDescent="0.2">
      <c r="A177" s="2"/>
      <c r="N177" s="2"/>
      <c r="CN177" s="2"/>
    </row>
    <row r="178" spans="1:92" x14ac:dyDescent="0.2">
      <c r="A178" s="2"/>
      <c r="N178" s="2"/>
      <c r="CN178" s="2"/>
    </row>
    <row r="179" spans="1:92" x14ac:dyDescent="0.2">
      <c r="A179" s="2"/>
      <c r="N179" s="2"/>
      <c r="CN179" s="2"/>
    </row>
    <row r="180" spans="1:92" x14ac:dyDescent="0.2">
      <c r="A180" s="2"/>
      <c r="N180" s="2"/>
      <c r="CN180" s="2"/>
    </row>
    <row r="181" spans="1:92" x14ac:dyDescent="0.2">
      <c r="A181" s="2"/>
      <c r="N181" s="2"/>
      <c r="CN181" s="2"/>
    </row>
    <row r="182" spans="1:92" x14ac:dyDescent="0.2">
      <c r="A182" s="2"/>
      <c r="N182" s="2"/>
      <c r="CN182" s="2"/>
    </row>
    <row r="183" spans="1:92" x14ac:dyDescent="0.2">
      <c r="A183" s="2"/>
      <c r="N183" s="2"/>
      <c r="CN183" s="2"/>
    </row>
    <row r="184" spans="1:92" x14ac:dyDescent="0.2">
      <c r="A184" s="2"/>
      <c r="N184" s="2"/>
      <c r="CN184" s="2"/>
    </row>
    <row r="185" spans="1:92" x14ac:dyDescent="0.2">
      <c r="A185" s="2"/>
      <c r="N185" s="2"/>
      <c r="CN185" s="2"/>
    </row>
    <row r="186" spans="1:92" x14ac:dyDescent="0.2">
      <c r="A186" s="2"/>
      <c r="N186" s="2"/>
      <c r="CN186" s="2"/>
    </row>
    <row r="187" spans="1:92" x14ac:dyDescent="0.2">
      <c r="A187" s="2"/>
      <c r="N187" s="2"/>
      <c r="CN187" s="2"/>
    </row>
    <row r="188" spans="1:92" x14ac:dyDescent="0.2">
      <c r="A188" s="91"/>
      <c r="N188" s="91"/>
      <c r="CN188" s="91"/>
    </row>
    <row r="189" spans="1:92" x14ac:dyDescent="0.2">
      <c r="A189" s="91"/>
      <c r="N189" s="91"/>
      <c r="CN189" s="91"/>
    </row>
    <row r="190" spans="1:92" x14ac:dyDescent="0.2">
      <c r="A190" s="91"/>
      <c r="N190" s="91"/>
      <c r="CN190" s="91"/>
    </row>
    <row r="191" spans="1:92" x14ac:dyDescent="0.2">
      <c r="A191" s="91"/>
      <c r="N191" s="91"/>
      <c r="CN191" s="91"/>
    </row>
    <row r="192" spans="1:92" x14ac:dyDescent="0.2">
      <c r="A192" s="125"/>
      <c r="N192" s="125"/>
      <c r="CN192" s="125"/>
    </row>
  </sheetData>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530A71-72EC-46FF-921F-43CA83376E7C}">
  <sheetPr codeName="Sheet17"/>
  <dimension ref="A1:V695"/>
  <sheetViews>
    <sheetView zoomScale="85" zoomScaleNormal="85" workbookViewId="0">
      <selection activeCell="A2" sqref="A2:DI193"/>
    </sheetView>
  </sheetViews>
  <sheetFormatPr defaultRowHeight="14.25" x14ac:dyDescent="0.2"/>
  <cols>
    <col min="1" max="3" width="13.875" bestFit="1" customWidth="1"/>
    <col min="4" max="4" width="55.625" customWidth="1"/>
    <col min="5" max="5" width="54.375" bestFit="1" customWidth="1"/>
    <col min="6" max="6" width="12.125" bestFit="1" customWidth="1"/>
    <col min="7" max="7" width="16.375" bestFit="1" customWidth="1"/>
    <col min="8" max="8" width="15.875" bestFit="1" customWidth="1"/>
    <col min="9" max="9" width="25.875" bestFit="1" customWidth="1"/>
    <col min="10" max="10" width="15.625" bestFit="1" customWidth="1"/>
    <col min="11" max="11" width="16" bestFit="1" customWidth="1"/>
    <col min="12" max="12" width="9.375" bestFit="1" customWidth="1"/>
    <col min="13" max="13" width="14.875" bestFit="1" customWidth="1"/>
    <col min="14" max="14" width="12.375" bestFit="1" customWidth="1"/>
    <col min="15" max="15" width="12.375" customWidth="1"/>
    <col min="16" max="16" width="12.125" bestFit="1" customWidth="1"/>
    <col min="17" max="17" width="11.625" customWidth="1"/>
    <col min="18" max="19" width="15.375" customWidth="1"/>
    <col min="20" max="20" width="14" bestFit="1" customWidth="1"/>
    <col min="21" max="21" width="17.125" bestFit="1" customWidth="1"/>
    <col min="22" max="22" width="13.625" bestFit="1" customWidth="1"/>
  </cols>
  <sheetData>
    <row r="1" spans="1:22" x14ac:dyDescent="0.2">
      <c r="A1" s="1" t="s">
        <v>878</v>
      </c>
      <c r="B1" s="1" t="s">
        <v>879</v>
      </c>
      <c r="C1" s="1" t="s">
        <v>880</v>
      </c>
      <c r="D1" s="1" t="s">
        <v>881</v>
      </c>
      <c r="E1" s="1" t="s">
        <v>882</v>
      </c>
      <c r="F1" s="1" t="s">
        <v>883</v>
      </c>
      <c r="G1" s="1" t="s">
        <v>884</v>
      </c>
      <c r="H1" s="1" t="s">
        <v>885</v>
      </c>
      <c r="I1" s="1" t="s">
        <v>886</v>
      </c>
      <c r="J1" s="1" t="s">
        <v>887</v>
      </c>
      <c r="K1" s="1" t="s">
        <v>888</v>
      </c>
      <c r="L1" s="1" t="s">
        <v>889</v>
      </c>
      <c r="M1" s="1" t="s">
        <v>890</v>
      </c>
      <c r="N1" s="1" t="s">
        <v>304</v>
      </c>
      <c r="O1" s="1" t="s">
        <v>1205</v>
      </c>
      <c r="P1" s="1" t="s">
        <v>1204</v>
      </c>
      <c r="R1" s="80" t="s">
        <v>1206</v>
      </c>
      <c r="S1" s="81">
        <f ca="1">[1]!SCBAM_PreviousBusinessDay(Main!D3)</f>
        <v>43397</v>
      </c>
      <c r="T1" s="1"/>
      <c r="U1" s="1"/>
      <c r="V1" s="1"/>
    </row>
    <row r="2" spans="1:22" x14ac:dyDescent="0.2">
      <c r="A2" t="s">
        <v>895</v>
      </c>
      <c r="B2" t="s">
        <v>895</v>
      </c>
      <c r="C2" t="s">
        <v>895</v>
      </c>
      <c r="D2" t="s">
        <v>896</v>
      </c>
      <c r="E2" t="s">
        <v>897</v>
      </c>
      <c r="F2" t="s">
        <v>24</v>
      </c>
      <c r="G2" s="131">
        <v>43263</v>
      </c>
      <c r="H2" t="s">
        <v>898</v>
      </c>
      <c r="J2" s="131">
        <v>43629</v>
      </c>
      <c r="K2" t="s">
        <v>721</v>
      </c>
      <c r="L2" t="s">
        <v>47</v>
      </c>
      <c r="M2" t="s">
        <v>892</v>
      </c>
      <c r="N2" t="s">
        <v>137</v>
      </c>
      <c r="O2" s="6" t="s">
        <v>899</v>
      </c>
      <c r="P2">
        <f ca="1">SCBAM_GetGroup1Dtl(TermFund[[#This Row],[PortCode]],"NET ASSET VALUE",$S$1,"Marketval") + SCBAM_GetGroup1Dtl(TermFund[[#This Row],[PortCode]],"NET ASSET VALUE", $S$1, "AI")</f>
        <v>4232145489.8099999</v>
      </c>
      <c r="R2" s="79"/>
      <c r="V2" s="76"/>
    </row>
    <row r="3" spans="1:22" x14ac:dyDescent="0.2">
      <c r="A3" t="s">
        <v>900</v>
      </c>
      <c r="B3" t="s">
        <v>900</v>
      </c>
      <c r="C3" t="s">
        <v>900</v>
      </c>
      <c r="D3" t="s">
        <v>901</v>
      </c>
      <c r="E3" t="s">
        <v>902</v>
      </c>
      <c r="F3" t="s">
        <v>24</v>
      </c>
      <c r="G3" s="131">
        <v>43277</v>
      </c>
      <c r="H3" t="s">
        <v>898</v>
      </c>
      <c r="J3" s="131">
        <v>43648</v>
      </c>
      <c r="K3" t="s">
        <v>721</v>
      </c>
      <c r="L3" t="s">
        <v>47</v>
      </c>
      <c r="M3" t="s">
        <v>892</v>
      </c>
      <c r="N3" t="s">
        <v>137</v>
      </c>
      <c r="O3" s="6" t="s">
        <v>903</v>
      </c>
      <c r="P3">
        <f ca="1">SCBAM_GetGroup1Dtl(TermFund[[#This Row],[PortCode]],"NET ASSET VALUE",$S$1,"Marketval") + SCBAM_GetGroup1Dtl(TermFund[[#This Row],[PortCode]],"NET ASSET VALUE", $S$1, "AI")</f>
        <v>529551617.76999998</v>
      </c>
      <c r="V3" s="76"/>
    </row>
    <row r="4" spans="1:22" x14ac:dyDescent="0.2">
      <c r="A4" t="s">
        <v>904</v>
      </c>
      <c r="B4" t="s">
        <v>904</v>
      </c>
      <c r="C4" t="s">
        <v>904</v>
      </c>
      <c r="D4" t="s">
        <v>905</v>
      </c>
      <c r="E4" t="s">
        <v>906</v>
      </c>
      <c r="F4" t="s">
        <v>24</v>
      </c>
      <c r="G4" s="131">
        <v>43214</v>
      </c>
      <c r="H4" t="s">
        <v>893</v>
      </c>
      <c r="J4" s="131">
        <v>43398</v>
      </c>
      <c r="K4" t="s">
        <v>721</v>
      </c>
      <c r="L4" t="s">
        <v>47</v>
      </c>
      <c r="M4" t="s">
        <v>892</v>
      </c>
      <c r="N4" t="s">
        <v>137</v>
      </c>
      <c r="O4" s="6" t="s">
        <v>907</v>
      </c>
      <c r="P4">
        <f ca="1">SCBAM_GetGroup1Dtl(TermFund[[#This Row],[PortCode]],"NET ASSET VALUE",$S$1,"Marketval") + SCBAM_GetGroup1Dtl(TermFund[[#This Row],[PortCode]],"NET ASSET VALUE", $S$1, "AI")</f>
        <v>535627367.07999998</v>
      </c>
      <c r="V4" s="76"/>
    </row>
    <row r="5" spans="1:22" x14ac:dyDescent="0.2">
      <c r="A5" t="s">
        <v>908</v>
      </c>
      <c r="B5" t="s">
        <v>908</v>
      </c>
      <c r="C5" t="s">
        <v>908</v>
      </c>
      <c r="D5" t="s">
        <v>909</v>
      </c>
      <c r="E5" t="s">
        <v>910</v>
      </c>
      <c r="F5" t="s">
        <v>24</v>
      </c>
      <c r="G5" s="131">
        <v>43256</v>
      </c>
      <c r="H5" t="s">
        <v>893</v>
      </c>
      <c r="J5" s="131">
        <v>43440</v>
      </c>
      <c r="K5" t="s">
        <v>721</v>
      </c>
      <c r="L5" t="s">
        <v>47</v>
      </c>
      <c r="M5" t="s">
        <v>892</v>
      </c>
      <c r="N5" t="s">
        <v>137</v>
      </c>
      <c r="O5" s="6" t="s">
        <v>911</v>
      </c>
      <c r="P5">
        <f ca="1">SCBAM_GetGroup1Dtl(TermFund[[#This Row],[PortCode]],"NET ASSET VALUE",$S$1,"Marketval") + SCBAM_GetGroup1Dtl(TermFund[[#This Row],[PortCode]],"NET ASSET VALUE", $S$1, "AI")</f>
        <v>715119478.12</v>
      </c>
      <c r="V5" s="76"/>
    </row>
    <row r="6" spans="1:22" x14ac:dyDescent="0.2">
      <c r="A6" t="s">
        <v>912</v>
      </c>
      <c r="B6" t="s">
        <v>912</v>
      </c>
      <c r="C6" t="s">
        <v>912</v>
      </c>
      <c r="D6" t="s">
        <v>913</v>
      </c>
      <c r="E6" t="s">
        <v>914</v>
      </c>
      <c r="F6" t="s">
        <v>24</v>
      </c>
      <c r="G6" s="131">
        <v>43270</v>
      </c>
      <c r="H6" t="s">
        <v>893</v>
      </c>
      <c r="J6" s="131">
        <v>43454</v>
      </c>
      <c r="K6" t="s">
        <v>721</v>
      </c>
      <c r="L6" t="s">
        <v>47</v>
      </c>
      <c r="M6" t="s">
        <v>892</v>
      </c>
      <c r="N6" t="s">
        <v>137</v>
      </c>
      <c r="O6" s="6" t="s">
        <v>915</v>
      </c>
      <c r="P6">
        <f ca="1">SCBAM_GetGroup1Dtl(TermFund[[#This Row],[PortCode]],"NET ASSET VALUE",$S$1,"Marketval") + SCBAM_GetGroup1Dtl(TermFund[[#This Row],[PortCode]],"NET ASSET VALUE", $S$1, "AI")</f>
        <v>513870232.72000003</v>
      </c>
      <c r="V6" s="76"/>
    </row>
    <row r="7" spans="1:22" x14ac:dyDescent="0.2">
      <c r="A7" t="s">
        <v>916</v>
      </c>
      <c r="B7" t="s">
        <v>916</v>
      </c>
      <c r="C7" t="s">
        <v>916</v>
      </c>
      <c r="D7" t="s">
        <v>917</v>
      </c>
      <c r="E7" t="s">
        <v>918</v>
      </c>
      <c r="F7" t="s">
        <v>24</v>
      </c>
      <c r="G7" s="131">
        <v>43291</v>
      </c>
      <c r="H7" t="s">
        <v>893</v>
      </c>
      <c r="J7" s="131">
        <v>43475</v>
      </c>
      <c r="K7" t="s">
        <v>721</v>
      </c>
      <c r="L7" t="s">
        <v>47</v>
      </c>
      <c r="M7" t="s">
        <v>892</v>
      </c>
      <c r="N7" t="s">
        <v>137</v>
      </c>
      <c r="O7" s="6" t="s">
        <v>919</v>
      </c>
      <c r="P7">
        <f ca="1">SCBAM_GetGroup1Dtl(TermFund[[#This Row],[PortCode]],"NET ASSET VALUE",$S$1,"Marketval") + SCBAM_GetGroup1Dtl(TermFund[[#This Row],[PortCode]],"NET ASSET VALUE", $S$1, "AI")</f>
        <v>550604953.90999997</v>
      </c>
      <c r="V7" s="76"/>
    </row>
    <row r="8" spans="1:22" x14ac:dyDescent="0.2">
      <c r="A8" t="s">
        <v>920</v>
      </c>
      <c r="B8" t="s">
        <v>920</v>
      </c>
      <c r="C8" t="s">
        <v>920</v>
      </c>
      <c r="D8" t="s">
        <v>921</v>
      </c>
      <c r="E8" t="s">
        <v>922</v>
      </c>
      <c r="F8" t="s">
        <v>24</v>
      </c>
      <c r="G8" s="131">
        <v>43319</v>
      </c>
      <c r="H8" t="s">
        <v>893</v>
      </c>
      <c r="J8" s="131">
        <v>43510</v>
      </c>
      <c r="K8" t="s">
        <v>721</v>
      </c>
      <c r="L8" t="s">
        <v>47</v>
      </c>
      <c r="M8" t="s">
        <v>892</v>
      </c>
      <c r="N8" t="s">
        <v>137</v>
      </c>
      <c r="O8" s="6" t="s">
        <v>923</v>
      </c>
      <c r="P8">
        <f ca="1">SCBAM_GetGroup1Dtl(TermFund[[#This Row],[PortCode]],"NET ASSET VALUE",$S$1,"Marketval") + SCBAM_GetGroup1Dtl(TermFund[[#This Row],[PortCode]],"NET ASSET VALUE", $S$1, "AI")</f>
        <v>509584361.52000004</v>
      </c>
      <c r="V8" s="76"/>
    </row>
    <row r="9" spans="1:22" x14ac:dyDescent="0.2">
      <c r="A9" t="s">
        <v>924</v>
      </c>
      <c r="B9" t="s">
        <v>924</v>
      </c>
      <c r="C9" t="s">
        <v>924</v>
      </c>
      <c r="D9" t="s">
        <v>925</v>
      </c>
      <c r="E9" t="s">
        <v>926</v>
      </c>
      <c r="F9" t="s">
        <v>24</v>
      </c>
      <c r="G9" s="131">
        <v>43340</v>
      </c>
      <c r="H9" t="s">
        <v>893</v>
      </c>
      <c r="J9" s="131">
        <v>43531</v>
      </c>
      <c r="K9" t="s">
        <v>721</v>
      </c>
      <c r="L9" t="s">
        <v>47</v>
      </c>
      <c r="M9" t="s">
        <v>892</v>
      </c>
      <c r="N9" t="s">
        <v>137</v>
      </c>
      <c r="O9" s="6" t="s">
        <v>927</v>
      </c>
      <c r="P9">
        <f ca="1">SCBAM_GetGroup1Dtl(TermFund[[#This Row],[PortCode]],"NET ASSET VALUE",$S$1,"Marketval") + SCBAM_GetGroup1Dtl(TermFund[[#This Row],[PortCode]],"NET ASSET VALUE", $S$1, "AI")</f>
        <v>520059921.75999999</v>
      </c>
      <c r="V9" s="76"/>
    </row>
    <row r="10" spans="1:22" x14ac:dyDescent="0.2">
      <c r="A10" t="s">
        <v>928</v>
      </c>
      <c r="B10" t="s">
        <v>928</v>
      </c>
      <c r="C10" t="s">
        <v>928</v>
      </c>
      <c r="D10" t="s">
        <v>929</v>
      </c>
      <c r="E10" t="s">
        <v>930</v>
      </c>
      <c r="F10" t="s">
        <v>24</v>
      </c>
      <c r="G10" s="131">
        <v>43361</v>
      </c>
      <c r="H10" t="s">
        <v>893</v>
      </c>
      <c r="J10" s="131">
        <v>43545</v>
      </c>
      <c r="K10" t="s">
        <v>721</v>
      </c>
      <c r="L10" t="s">
        <v>47</v>
      </c>
      <c r="M10" t="s">
        <v>892</v>
      </c>
      <c r="N10" t="s">
        <v>137</v>
      </c>
      <c r="O10" s="6" t="s">
        <v>931</v>
      </c>
      <c r="P10">
        <f ca="1">SCBAM_GetGroup1Dtl(TermFund[[#This Row],[PortCode]],"NET ASSET VALUE",$S$1,"Marketval") + SCBAM_GetGroup1Dtl(TermFund[[#This Row],[PortCode]],"NET ASSET VALUE", $S$1, "AI")</f>
        <v>497161308.49000001</v>
      </c>
      <c r="V10" s="76"/>
    </row>
    <row r="11" spans="1:22" x14ac:dyDescent="0.2">
      <c r="A11" t="s">
        <v>1210</v>
      </c>
      <c r="B11" t="s">
        <v>1210</v>
      </c>
      <c r="C11" t="s">
        <v>1210</v>
      </c>
      <c r="D11" t="s">
        <v>1239</v>
      </c>
      <c r="E11" t="s">
        <v>1240</v>
      </c>
      <c r="F11" t="s">
        <v>24</v>
      </c>
      <c r="G11" s="131">
        <v>43390</v>
      </c>
      <c r="H11" t="s">
        <v>893</v>
      </c>
      <c r="J11" s="131">
        <v>43573</v>
      </c>
      <c r="K11" t="s">
        <v>721</v>
      </c>
      <c r="L11" t="s">
        <v>47</v>
      </c>
      <c r="M11" t="s">
        <v>892</v>
      </c>
      <c r="N11" t="s">
        <v>137</v>
      </c>
      <c r="O11" s="6" t="s">
        <v>1241</v>
      </c>
      <c r="P11">
        <f ca="1">SCBAM_GetGroup1Dtl(TermFund[[#This Row],[PortCode]],"NET ASSET VALUE",$S$1,"Marketval") + SCBAM_GetGroup1Dtl(TermFund[[#This Row],[PortCode]],"NET ASSET VALUE", $S$1, "AI")</f>
        <v>478990357.16999996</v>
      </c>
      <c r="V11" s="76"/>
    </row>
    <row r="12" spans="1:22" x14ac:dyDescent="0.2">
      <c r="A12" t="s">
        <v>390</v>
      </c>
      <c r="B12" t="s">
        <v>390</v>
      </c>
      <c r="C12" t="s">
        <v>390</v>
      </c>
      <c r="D12" t="s">
        <v>933</v>
      </c>
      <c r="E12" t="s">
        <v>934</v>
      </c>
      <c r="F12" t="s">
        <v>24</v>
      </c>
      <c r="G12" s="131">
        <v>39960</v>
      </c>
      <c r="H12" t="s">
        <v>891</v>
      </c>
      <c r="J12" s="131"/>
      <c r="K12" t="s">
        <v>721</v>
      </c>
      <c r="L12" t="s">
        <v>47</v>
      </c>
      <c r="M12" t="s">
        <v>892</v>
      </c>
      <c r="N12" t="s">
        <v>137</v>
      </c>
      <c r="O12" s="6" t="s">
        <v>935</v>
      </c>
      <c r="P12">
        <f ca="1">SCBAM_GetGroup1Dtl(TermFund[[#This Row],[PortCode]],"NET ASSET VALUE",$S$1,"Marketval") + SCBAM_GetGroup1Dtl(TermFund[[#This Row],[PortCode]],"NET ASSET VALUE", $S$1, "AI")</f>
        <v>64008332.059999995</v>
      </c>
      <c r="V12" s="76"/>
    </row>
    <row r="13" spans="1:22" x14ac:dyDescent="0.2">
      <c r="A13" t="s">
        <v>936</v>
      </c>
      <c r="B13" t="s">
        <v>936</v>
      </c>
      <c r="C13" t="s">
        <v>936</v>
      </c>
      <c r="D13" t="s">
        <v>937</v>
      </c>
      <c r="E13" t="s">
        <v>938</v>
      </c>
      <c r="F13" t="s">
        <v>24</v>
      </c>
      <c r="G13" s="131">
        <v>43040</v>
      </c>
      <c r="H13" t="s">
        <v>898</v>
      </c>
      <c r="J13" s="131">
        <v>43410</v>
      </c>
      <c r="K13" t="s">
        <v>721</v>
      </c>
      <c r="L13" t="s">
        <v>47</v>
      </c>
      <c r="M13" t="s">
        <v>892</v>
      </c>
      <c r="N13" t="s">
        <v>137</v>
      </c>
      <c r="O13" s="6" t="s">
        <v>939</v>
      </c>
      <c r="P13">
        <f ca="1">SCBAM_GetGroup1Dtl(TermFund[[#This Row],[PortCode]],"NET ASSET VALUE",$S$1,"Marketval") + SCBAM_GetGroup1Dtl(TermFund[[#This Row],[PortCode]],"NET ASSET VALUE", $S$1, "AI")</f>
        <v>536546042.35000002</v>
      </c>
      <c r="V13" s="76"/>
    </row>
    <row r="14" spans="1:22" x14ac:dyDescent="0.2">
      <c r="A14" t="s">
        <v>940</v>
      </c>
      <c r="B14" t="s">
        <v>940</v>
      </c>
      <c r="C14" t="s">
        <v>940</v>
      </c>
      <c r="D14" t="s">
        <v>941</v>
      </c>
      <c r="E14" t="s">
        <v>942</v>
      </c>
      <c r="F14" t="s">
        <v>24</v>
      </c>
      <c r="G14" s="131">
        <v>43200</v>
      </c>
      <c r="H14" t="s">
        <v>898</v>
      </c>
      <c r="J14" s="131">
        <v>43572</v>
      </c>
      <c r="K14" t="s">
        <v>721</v>
      </c>
      <c r="L14" t="s">
        <v>47</v>
      </c>
      <c r="M14" t="s">
        <v>892</v>
      </c>
      <c r="N14" t="s">
        <v>137</v>
      </c>
      <c r="O14" s="6" t="s">
        <v>943</v>
      </c>
      <c r="P14">
        <f ca="1">SCBAM_GetGroup1Dtl(TermFund[[#This Row],[PortCode]],"NET ASSET VALUE",$S$1,"Marketval") + SCBAM_GetGroup1Dtl(TermFund[[#This Row],[PortCode]],"NET ASSET VALUE", $S$1, "AI")</f>
        <v>1202636345.73</v>
      </c>
      <c r="V14" s="76"/>
    </row>
    <row r="15" spans="1:22" x14ac:dyDescent="0.2">
      <c r="A15" t="s">
        <v>944</v>
      </c>
      <c r="B15" t="s">
        <v>944</v>
      </c>
      <c r="C15" t="s">
        <v>944</v>
      </c>
      <c r="D15" t="s">
        <v>945</v>
      </c>
      <c r="E15" t="s">
        <v>946</v>
      </c>
      <c r="F15" t="s">
        <v>24</v>
      </c>
      <c r="G15" s="131">
        <v>43222</v>
      </c>
      <c r="H15" t="s">
        <v>898</v>
      </c>
      <c r="J15" s="131">
        <v>43587</v>
      </c>
      <c r="K15" t="s">
        <v>721</v>
      </c>
      <c r="L15" t="s">
        <v>47</v>
      </c>
      <c r="M15" t="s">
        <v>892</v>
      </c>
      <c r="N15" t="s">
        <v>137</v>
      </c>
      <c r="O15" s="6" t="s">
        <v>947</v>
      </c>
      <c r="P15">
        <f ca="1">SCBAM_GetGroup1Dtl(TermFund[[#This Row],[PortCode]],"NET ASSET VALUE",$S$1,"Marketval") + SCBAM_GetGroup1Dtl(TermFund[[#This Row],[PortCode]],"NET ASSET VALUE", $S$1, "AI")</f>
        <v>2749222381.7199998</v>
      </c>
      <c r="V15" s="76"/>
    </row>
    <row r="16" spans="1:22" x14ac:dyDescent="0.2">
      <c r="A16" t="s">
        <v>948</v>
      </c>
      <c r="B16" t="s">
        <v>948</v>
      </c>
      <c r="C16" t="s">
        <v>948</v>
      </c>
      <c r="D16" t="s">
        <v>949</v>
      </c>
      <c r="E16" t="s">
        <v>950</v>
      </c>
      <c r="F16" t="s">
        <v>24</v>
      </c>
      <c r="G16" s="131">
        <v>43228</v>
      </c>
      <c r="H16" t="s">
        <v>898</v>
      </c>
      <c r="J16" s="131">
        <v>43600</v>
      </c>
      <c r="K16" t="s">
        <v>721</v>
      </c>
      <c r="L16" t="s">
        <v>47</v>
      </c>
      <c r="M16" t="s">
        <v>892</v>
      </c>
      <c r="N16" t="s">
        <v>137</v>
      </c>
      <c r="O16" s="6" t="s">
        <v>951</v>
      </c>
      <c r="P16">
        <f ca="1">SCBAM_GetGroup1Dtl(TermFund[[#This Row],[PortCode]],"NET ASSET VALUE",$S$1,"Marketval") + SCBAM_GetGroup1Dtl(TermFund[[#This Row],[PortCode]],"NET ASSET VALUE", $S$1, "AI")</f>
        <v>2767363425.9499998</v>
      </c>
      <c r="V16" s="76"/>
    </row>
    <row r="17" spans="1:22" x14ac:dyDescent="0.2">
      <c r="A17" t="s">
        <v>952</v>
      </c>
      <c r="B17" t="s">
        <v>952</v>
      </c>
      <c r="C17" t="s">
        <v>952</v>
      </c>
      <c r="D17" t="s">
        <v>953</v>
      </c>
      <c r="E17" t="s">
        <v>954</v>
      </c>
      <c r="F17" t="s">
        <v>24</v>
      </c>
      <c r="G17" s="131">
        <v>43235</v>
      </c>
      <c r="H17" t="s">
        <v>898</v>
      </c>
      <c r="J17" s="131">
        <v>43600</v>
      </c>
      <c r="K17" t="s">
        <v>721</v>
      </c>
      <c r="L17" t="s">
        <v>47</v>
      </c>
      <c r="M17" t="s">
        <v>892</v>
      </c>
      <c r="N17" t="s">
        <v>137</v>
      </c>
      <c r="O17" s="6" t="s">
        <v>955</v>
      </c>
      <c r="P17">
        <f ca="1">SCBAM_GetGroup1Dtl(TermFund[[#This Row],[PortCode]],"NET ASSET VALUE",$S$1,"Marketval") + SCBAM_GetGroup1Dtl(TermFund[[#This Row],[PortCode]],"NET ASSET VALUE", $S$1, "AI")</f>
        <v>3255796967.4400001</v>
      </c>
      <c r="V17" s="76"/>
    </row>
    <row r="18" spans="1:22" x14ac:dyDescent="0.2">
      <c r="A18" t="s">
        <v>956</v>
      </c>
      <c r="B18" t="s">
        <v>956</v>
      </c>
      <c r="C18" t="s">
        <v>956</v>
      </c>
      <c r="D18" t="s">
        <v>957</v>
      </c>
      <c r="E18" t="s">
        <v>958</v>
      </c>
      <c r="F18" t="s">
        <v>24</v>
      </c>
      <c r="G18" s="131">
        <v>43242</v>
      </c>
      <c r="H18" t="s">
        <v>898</v>
      </c>
      <c r="J18" s="131">
        <v>43614</v>
      </c>
      <c r="K18" t="s">
        <v>721</v>
      </c>
      <c r="L18" t="s">
        <v>47</v>
      </c>
      <c r="M18" t="s">
        <v>892</v>
      </c>
      <c r="N18" t="s">
        <v>137</v>
      </c>
      <c r="O18" s="6" t="s">
        <v>959</v>
      </c>
      <c r="P18">
        <f ca="1">SCBAM_GetGroup1Dtl(TermFund[[#This Row],[PortCode]],"NET ASSET VALUE",$S$1,"Marketval") + SCBAM_GetGroup1Dtl(TermFund[[#This Row],[PortCode]],"NET ASSET VALUE", $S$1, "AI")</f>
        <v>2559894891.8299999</v>
      </c>
      <c r="V18" s="76"/>
    </row>
    <row r="19" spans="1:22" x14ac:dyDescent="0.2">
      <c r="A19" t="s">
        <v>960</v>
      </c>
      <c r="B19" t="s">
        <v>960</v>
      </c>
      <c r="C19" t="s">
        <v>960</v>
      </c>
      <c r="D19" t="s">
        <v>961</v>
      </c>
      <c r="E19" t="s">
        <v>962</v>
      </c>
      <c r="F19" t="s">
        <v>24</v>
      </c>
      <c r="G19" s="131">
        <v>43250</v>
      </c>
      <c r="H19" t="s">
        <v>898</v>
      </c>
      <c r="J19" s="131">
        <v>43614</v>
      </c>
      <c r="K19" t="s">
        <v>721</v>
      </c>
      <c r="L19" t="s">
        <v>47</v>
      </c>
      <c r="M19" t="s">
        <v>892</v>
      </c>
      <c r="N19" t="s">
        <v>137</v>
      </c>
      <c r="O19" s="6" t="s">
        <v>963</v>
      </c>
      <c r="P19">
        <f ca="1">SCBAM_GetGroup1Dtl(TermFund[[#This Row],[PortCode]],"NET ASSET VALUE",$S$1,"Marketval") + SCBAM_GetGroup1Dtl(TermFund[[#This Row],[PortCode]],"NET ASSET VALUE", $S$1, "AI")</f>
        <v>4670797136.5500002</v>
      </c>
      <c r="V19" s="76"/>
    </row>
    <row r="20" spans="1:22" x14ac:dyDescent="0.2">
      <c r="A20" t="s">
        <v>964</v>
      </c>
      <c r="B20" t="s">
        <v>964</v>
      </c>
      <c r="C20" t="s">
        <v>964</v>
      </c>
      <c r="D20" t="s">
        <v>965</v>
      </c>
      <c r="E20" t="s">
        <v>966</v>
      </c>
      <c r="F20" t="s">
        <v>24</v>
      </c>
      <c r="G20" s="131">
        <v>43256</v>
      </c>
      <c r="H20" t="s">
        <v>898</v>
      </c>
      <c r="J20" s="131">
        <v>43628</v>
      </c>
      <c r="K20" t="s">
        <v>721</v>
      </c>
      <c r="L20" t="s">
        <v>47</v>
      </c>
      <c r="M20" t="s">
        <v>892</v>
      </c>
      <c r="N20" t="s">
        <v>137</v>
      </c>
      <c r="O20" s="6" t="s">
        <v>967</v>
      </c>
      <c r="P20">
        <f ca="1">SCBAM_GetGroup1Dtl(TermFund[[#This Row],[PortCode]],"NET ASSET VALUE",$S$1,"Marketval") + SCBAM_GetGroup1Dtl(TermFund[[#This Row],[PortCode]],"NET ASSET VALUE", $S$1, "AI")</f>
        <v>3666487033.02</v>
      </c>
      <c r="V20" s="76"/>
    </row>
    <row r="21" spans="1:22" x14ac:dyDescent="0.2">
      <c r="A21" t="s">
        <v>968</v>
      </c>
      <c r="B21" t="s">
        <v>968</v>
      </c>
      <c r="C21" t="s">
        <v>968</v>
      </c>
      <c r="D21" t="s">
        <v>969</v>
      </c>
      <c r="E21" t="s">
        <v>970</v>
      </c>
      <c r="F21" t="s">
        <v>24</v>
      </c>
      <c r="G21" s="131">
        <v>43263</v>
      </c>
      <c r="H21" t="s">
        <v>898</v>
      </c>
      <c r="J21" s="131">
        <v>43629</v>
      </c>
      <c r="K21" t="s">
        <v>721</v>
      </c>
      <c r="L21" t="s">
        <v>47</v>
      </c>
      <c r="M21" t="s">
        <v>892</v>
      </c>
      <c r="N21" t="s">
        <v>137</v>
      </c>
      <c r="O21" s="6" t="s">
        <v>971</v>
      </c>
      <c r="P21">
        <f ca="1">SCBAM_GetGroup1Dtl(TermFund[[#This Row],[PortCode]],"NET ASSET VALUE",$S$1,"Marketval") + SCBAM_GetGroup1Dtl(TermFund[[#This Row],[PortCode]],"NET ASSET VALUE", $S$1, "AI")</f>
        <v>2006955992.46</v>
      </c>
      <c r="V21" s="76"/>
    </row>
    <row r="22" spans="1:22" x14ac:dyDescent="0.2">
      <c r="A22" t="s">
        <v>972</v>
      </c>
      <c r="B22" t="s">
        <v>972</v>
      </c>
      <c r="C22" t="s">
        <v>972</v>
      </c>
      <c r="D22" t="s">
        <v>973</v>
      </c>
      <c r="E22" t="s">
        <v>974</v>
      </c>
      <c r="F22" t="s">
        <v>24</v>
      </c>
      <c r="G22" s="131">
        <v>43270</v>
      </c>
      <c r="H22" t="s">
        <v>898</v>
      </c>
      <c r="J22" s="131">
        <v>43636</v>
      </c>
      <c r="K22" t="s">
        <v>721</v>
      </c>
      <c r="L22" t="s">
        <v>47</v>
      </c>
      <c r="M22" t="s">
        <v>892</v>
      </c>
      <c r="N22" t="s">
        <v>137</v>
      </c>
      <c r="O22" s="6" t="s">
        <v>975</v>
      </c>
      <c r="P22">
        <f ca="1">SCBAM_GetGroup1Dtl(TermFund[[#This Row],[PortCode]],"NET ASSET VALUE",$S$1,"Marketval") + SCBAM_GetGroup1Dtl(TermFund[[#This Row],[PortCode]],"NET ASSET VALUE", $S$1, "AI")</f>
        <v>3292591159.9099998</v>
      </c>
      <c r="V22" s="76"/>
    </row>
    <row r="23" spans="1:22" x14ac:dyDescent="0.2">
      <c r="A23" t="s">
        <v>976</v>
      </c>
      <c r="B23" t="s">
        <v>976</v>
      </c>
      <c r="C23" t="s">
        <v>976</v>
      </c>
      <c r="D23" t="s">
        <v>977</v>
      </c>
      <c r="E23" t="s">
        <v>978</v>
      </c>
      <c r="F23" t="s">
        <v>24</v>
      </c>
      <c r="G23" s="131">
        <v>43277</v>
      </c>
      <c r="H23" t="s">
        <v>898</v>
      </c>
      <c r="J23" s="131">
        <v>43648</v>
      </c>
      <c r="K23" t="s">
        <v>721</v>
      </c>
      <c r="L23" t="s">
        <v>47</v>
      </c>
      <c r="M23" t="s">
        <v>892</v>
      </c>
      <c r="N23" t="s">
        <v>137</v>
      </c>
      <c r="O23" s="6" t="s">
        <v>979</v>
      </c>
      <c r="P23">
        <f ca="1">SCBAM_GetGroup1Dtl(TermFund[[#This Row],[PortCode]],"NET ASSET VALUE",$S$1,"Marketval") + SCBAM_GetGroup1Dtl(TermFund[[#This Row],[PortCode]],"NET ASSET VALUE", $S$1, "AI")</f>
        <v>447087863.05999994</v>
      </c>
      <c r="V23" s="76"/>
    </row>
    <row r="24" spans="1:22" x14ac:dyDescent="0.2">
      <c r="A24" t="s">
        <v>980</v>
      </c>
      <c r="B24" t="s">
        <v>980</v>
      </c>
      <c r="C24" t="s">
        <v>980</v>
      </c>
      <c r="D24" t="s">
        <v>981</v>
      </c>
      <c r="E24" t="s">
        <v>982</v>
      </c>
      <c r="F24" t="s">
        <v>24</v>
      </c>
      <c r="G24" s="131">
        <v>43284</v>
      </c>
      <c r="H24" t="s">
        <v>898</v>
      </c>
      <c r="J24" s="131">
        <v>43655</v>
      </c>
      <c r="K24" t="s">
        <v>721</v>
      </c>
      <c r="L24" t="s">
        <v>47</v>
      </c>
      <c r="M24" t="s">
        <v>892</v>
      </c>
      <c r="N24" t="s">
        <v>137</v>
      </c>
      <c r="O24" s="6" t="s">
        <v>983</v>
      </c>
      <c r="P24">
        <f ca="1">SCBAM_GetGroup1Dtl(TermFund[[#This Row],[PortCode]],"NET ASSET VALUE",$S$1,"Marketval") + SCBAM_GetGroup1Dtl(TermFund[[#This Row],[PortCode]],"NET ASSET VALUE", $S$1, "AI")</f>
        <v>594955634.47000003</v>
      </c>
      <c r="V24" s="76"/>
    </row>
    <row r="25" spans="1:22" x14ac:dyDescent="0.2">
      <c r="A25" t="s">
        <v>984</v>
      </c>
      <c r="B25" t="s">
        <v>984</v>
      </c>
      <c r="C25" t="s">
        <v>984</v>
      </c>
      <c r="D25" t="s">
        <v>985</v>
      </c>
      <c r="E25" t="s">
        <v>986</v>
      </c>
      <c r="F25" t="s">
        <v>24</v>
      </c>
      <c r="G25" s="131">
        <v>43291</v>
      </c>
      <c r="H25" t="s">
        <v>898</v>
      </c>
      <c r="J25" s="131">
        <v>43657</v>
      </c>
      <c r="K25" t="s">
        <v>721</v>
      </c>
      <c r="L25" t="s">
        <v>47</v>
      </c>
      <c r="M25" t="s">
        <v>892</v>
      </c>
      <c r="N25" t="s">
        <v>137</v>
      </c>
      <c r="O25" s="6" t="s">
        <v>987</v>
      </c>
      <c r="P25">
        <f ca="1">SCBAM_GetGroup1Dtl(TermFund[[#This Row],[PortCode]],"NET ASSET VALUE",$S$1,"Marketval") + SCBAM_GetGroup1Dtl(TermFund[[#This Row],[PortCode]],"NET ASSET VALUE", $S$1, "AI")</f>
        <v>1717526483.28</v>
      </c>
      <c r="V25" s="76"/>
    </row>
    <row r="26" spans="1:22" x14ac:dyDescent="0.2">
      <c r="A26" t="s">
        <v>988</v>
      </c>
      <c r="B26" t="s">
        <v>988</v>
      </c>
      <c r="C26" t="s">
        <v>988</v>
      </c>
      <c r="D26" t="s">
        <v>989</v>
      </c>
      <c r="E26" t="s">
        <v>990</v>
      </c>
      <c r="F26" t="s">
        <v>24</v>
      </c>
      <c r="G26" s="131">
        <v>43298</v>
      </c>
      <c r="H26" t="s">
        <v>898</v>
      </c>
      <c r="J26" s="131">
        <v>43664</v>
      </c>
      <c r="K26" t="s">
        <v>721</v>
      </c>
      <c r="L26" t="s">
        <v>47</v>
      </c>
      <c r="M26" t="s">
        <v>892</v>
      </c>
      <c r="N26" t="s">
        <v>137</v>
      </c>
      <c r="O26" s="6" t="s">
        <v>991</v>
      </c>
      <c r="P26">
        <f ca="1">SCBAM_GetGroup1Dtl(TermFund[[#This Row],[PortCode]],"NET ASSET VALUE",$S$1,"Marketval") + SCBAM_GetGroup1Dtl(TermFund[[#This Row],[PortCode]],"NET ASSET VALUE", $S$1, "AI")</f>
        <v>1231855778.6000001</v>
      </c>
      <c r="V26" s="76"/>
    </row>
    <row r="27" spans="1:22" x14ac:dyDescent="0.2">
      <c r="A27" t="s">
        <v>992</v>
      </c>
      <c r="B27" t="s">
        <v>992</v>
      </c>
      <c r="C27" t="s">
        <v>992</v>
      </c>
      <c r="D27" t="s">
        <v>993</v>
      </c>
      <c r="E27" t="s">
        <v>994</v>
      </c>
      <c r="F27" t="s">
        <v>24</v>
      </c>
      <c r="G27" s="131">
        <v>43305</v>
      </c>
      <c r="H27" t="s">
        <v>898</v>
      </c>
      <c r="J27" s="131">
        <v>43671</v>
      </c>
      <c r="K27" t="s">
        <v>721</v>
      </c>
      <c r="L27" t="s">
        <v>47</v>
      </c>
      <c r="M27" t="s">
        <v>892</v>
      </c>
      <c r="N27" t="s">
        <v>137</v>
      </c>
      <c r="O27" s="6" t="s">
        <v>995</v>
      </c>
      <c r="P27">
        <f ca="1">SCBAM_GetGroup1Dtl(TermFund[[#This Row],[PortCode]],"NET ASSET VALUE",$S$1,"Marketval") + SCBAM_GetGroup1Dtl(TermFund[[#This Row],[PortCode]],"NET ASSET VALUE", $S$1, "AI")</f>
        <v>3874973963.2399998</v>
      </c>
      <c r="V27" s="76"/>
    </row>
    <row r="28" spans="1:22" x14ac:dyDescent="0.2">
      <c r="A28" t="s">
        <v>996</v>
      </c>
      <c r="B28" t="s">
        <v>996</v>
      </c>
      <c r="C28" t="s">
        <v>996</v>
      </c>
      <c r="D28" t="s">
        <v>997</v>
      </c>
      <c r="E28" t="s">
        <v>998</v>
      </c>
      <c r="F28" t="s">
        <v>24</v>
      </c>
      <c r="G28" s="131">
        <v>43313</v>
      </c>
      <c r="H28" t="s">
        <v>898</v>
      </c>
      <c r="J28" s="131">
        <v>43678</v>
      </c>
      <c r="K28" t="s">
        <v>721</v>
      </c>
      <c r="L28" t="s">
        <v>47</v>
      </c>
      <c r="M28" t="s">
        <v>892</v>
      </c>
      <c r="N28" t="s">
        <v>137</v>
      </c>
      <c r="O28" s="6" t="s">
        <v>999</v>
      </c>
      <c r="P28">
        <f ca="1">SCBAM_GetGroup1Dtl(TermFund[[#This Row],[PortCode]],"NET ASSET VALUE",$S$1,"Marketval") + SCBAM_GetGroup1Dtl(TermFund[[#This Row],[PortCode]],"NET ASSET VALUE", $S$1, "AI")</f>
        <v>12241445460.230001</v>
      </c>
      <c r="V28" s="76"/>
    </row>
    <row r="29" spans="1:22" x14ac:dyDescent="0.2">
      <c r="A29" t="s">
        <v>1000</v>
      </c>
      <c r="B29" t="s">
        <v>1000</v>
      </c>
      <c r="C29" t="s">
        <v>1000</v>
      </c>
      <c r="D29" t="s">
        <v>1001</v>
      </c>
      <c r="E29" t="s">
        <v>1002</v>
      </c>
      <c r="F29" t="s">
        <v>24</v>
      </c>
      <c r="G29" s="131">
        <v>43319</v>
      </c>
      <c r="H29" t="s">
        <v>898</v>
      </c>
      <c r="J29" s="131">
        <v>43685</v>
      </c>
      <c r="K29" t="s">
        <v>721</v>
      </c>
      <c r="L29" t="s">
        <v>47</v>
      </c>
      <c r="M29" t="s">
        <v>892</v>
      </c>
      <c r="N29" t="s">
        <v>137</v>
      </c>
      <c r="O29" s="6" t="s">
        <v>1003</v>
      </c>
      <c r="P29">
        <f ca="1">SCBAM_GetGroup1Dtl(TermFund[[#This Row],[PortCode]],"NET ASSET VALUE",$S$1,"Marketval") + SCBAM_GetGroup1Dtl(TermFund[[#This Row],[PortCode]],"NET ASSET VALUE", $S$1, "AI")</f>
        <v>2916710691.1599998</v>
      </c>
      <c r="V29" s="76"/>
    </row>
    <row r="30" spans="1:22" x14ac:dyDescent="0.2">
      <c r="A30" t="s">
        <v>1004</v>
      </c>
      <c r="B30" t="s">
        <v>1004</v>
      </c>
      <c r="C30" t="s">
        <v>1004</v>
      </c>
      <c r="D30" t="s">
        <v>1005</v>
      </c>
      <c r="E30" t="s">
        <v>1006</v>
      </c>
      <c r="F30" t="s">
        <v>24</v>
      </c>
      <c r="G30" s="131">
        <v>43326</v>
      </c>
      <c r="H30" t="s">
        <v>898</v>
      </c>
      <c r="J30" s="131">
        <v>43692</v>
      </c>
      <c r="K30" t="s">
        <v>721</v>
      </c>
      <c r="L30" t="s">
        <v>47</v>
      </c>
      <c r="M30" t="s">
        <v>892</v>
      </c>
      <c r="N30" t="s">
        <v>137</v>
      </c>
      <c r="O30" s="6" t="s">
        <v>1007</v>
      </c>
      <c r="P30">
        <f ca="1">SCBAM_GetGroup1Dtl(TermFund[[#This Row],[PortCode]],"NET ASSET VALUE",$S$1,"Marketval") + SCBAM_GetGroup1Dtl(TermFund[[#This Row],[PortCode]],"NET ASSET VALUE", $S$1, "AI")</f>
        <v>4176018192.3099999</v>
      </c>
      <c r="V30" s="76"/>
    </row>
    <row r="31" spans="1:22" x14ac:dyDescent="0.2">
      <c r="A31" t="s">
        <v>1008</v>
      </c>
      <c r="B31" t="s">
        <v>1008</v>
      </c>
      <c r="C31" t="s">
        <v>1008</v>
      </c>
      <c r="D31" t="s">
        <v>1009</v>
      </c>
      <c r="E31" t="s">
        <v>1010</v>
      </c>
      <c r="F31" t="s">
        <v>24</v>
      </c>
      <c r="G31" s="131">
        <v>43333</v>
      </c>
      <c r="H31" t="s">
        <v>898</v>
      </c>
      <c r="J31" s="131">
        <v>43699</v>
      </c>
      <c r="K31" t="s">
        <v>721</v>
      </c>
      <c r="L31" t="s">
        <v>47</v>
      </c>
      <c r="M31" t="s">
        <v>892</v>
      </c>
      <c r="N31" t="s">
        <v>137</v>
      </c>
      <c r="O31" s="6" t="s">
        <v>1011</v>
      </c>
      <c r="P31">
        <f ca="1">SCBAM_GetGroup1Dtl(TermFund[[#This Row],[PortCode]],"NET ASSET VALUE",$S$1,"Marketval") + SCBAM_GetGroup1Dtl(TermFund[[#This Row],[PortCode]],"NET ASSET VALUE", $S$1, "AI")</f>
        <v>2584321929.27</v>
      </c>
      <c r="V31" s="76"/>
    </row>
    <row r="32" spans="1:22" x14ac:dyDescent="0.2">
      <c r="A32" t="s">
        <v>1012</v>
      </c>
      <c r="B32" t="s">
        <v>1012</v>
      </c>
      <c r="C32" t="s">
        <v>1012</v>
      </c>
      <c r="D32" t="s">
        <v>1013</v>
      </c>
      <c r="E32" t="s">
        <v>1014</v>
      </c>
      <c r="F32" t="s">
        <v>24</v>
      </c>
      <c r="G32" s="131">
        <v>43340</v>
      </c>
      <c r="H32" t="s">
        <v>898</v>
      </c>
      <c r="J32" s="131">
        <v>43705</v>
      </c>
      <c r="K32" t="s">
        <v>721</v>
      </c>
      <c r="L32" t="s">
        <v>47</v>
      </c>
      <c r="M32" t="s">
        <v>892</v>
      </c>
      <c r="N32" t="s">
        <v>137</v>
      </c>
      <c r="O32" s="6" t="s">
        <v>1015</v>
      </c>
      <c r="P32">
        <f ca="1">SCBAM_GetGroup1Dtl(TermFund[[#This Row],[PortCode]],"NET ASSET VALUE",$S$1,"Marketval") + SCBAM_GetGroup1Dtl(TermFund[[#This Row],[PortCode]],"NET ASSET VALUE", $S$1, "AI")</f>
        <v>1248476702.5999999</v>
      </c>
      <c r="V32" s="76"/>
    </row>
    <row r="33" spans="1:22" x14ac:dyDescent="0.2">
      <c r="A33" t="s">
        <v>1016</v>
      </c>
      <c r="B33" t="s">
        <v>1016</v>
      </c>
      <c r="C33" t="s">
        <v>1016</v>
      </c>
      <c r="D33" t="s">
        <v>1017</v>
      </c>
      <c r="E33" t="s">
        <v>1018</v>
      </c>
      <c r="F33" t="s">
        <v>24</v>
      </c>
      <c r="G33" s="131">
        <v>43347</v>
      </c>
      <c r="H33" t="s">
        <v>898</v>
      </c>
      <c r="J33" s="131">
        <v>43713</v>
      </c>
      <c r="K33" t="s">
        <v>721</v>
      </c>
      <c r="L33" t="s">
        <v>47</v>
      </c>
      <c r="M33" t="s">
        <v>892</v>
      </c>
      <c r="N33" t="s">
        <v>137</v>
      </c>
      <c r="O33" s="6" t="s">
        <v>1019</v>
      </c>
      <c r="P33">
        <f ca="1">SCBAM_GetGroup1Dtl(TermFund[[#This Row],[PortCode]],"NET ASSET VALUE",$S$1,"Marketval") + SCBAM_GetGroup1Dtl(TermFund[[#This Row],[PortCode]],"NET ASSET VALUE", $S$1, "AI")</f>
        <v>2001007312.2099998</v>
      </c>
      <c r="V33" s="76"/>
    </row>
    <row r="34" spans="1:22" x14ac:dyDescent="0.2">
      <c r="A34" t="s">
        <v>1020</v>
      </c>
      <c r="B34" t="s">
        <v>1020</v>
      </c>
      <c r="C34" t="s">
        <v>1020</v>
      </c>
      <c r="D34" t="s">
        <v>1021</v>
      </c>
      <c r="E34" t="s">
        <v>1022</v>
      </c>
      <c r="F34" t="s">
        <v>24</v>
      </c>
      <c r="G34" s="131">
        <v>43354</v>
      </c>
      <c r="H34" t="s">
        <v>898</v>
      </c>
      <c r="J34" s="131">
        <v>43726</v>
      </c>
      <c r="K34" t="s">
        <v>721</v>
      </c>
      <c r="L34" t="s">
        <v>47</v>
      </c>
      <c r="M34" t="s">
        <v>892</v>
      </c>
      <c r="N34" t="s">
        <v>137</v>
      </c>
      <c r="O34" s="6" t="s">
        <v>1023</v>
      </c>
      <c r="P34">
        <f ca="1">SCBAM_GetGroup1Dtl(TermFund[[#This Row],[PortCode]],"NET ASSET VALUE",$S$1,"Marketval") + SCBAM_GetGroup1Dtl(TermFund[[#This Row],[PortCode]],"NET ASSET VALUE", $S$1, "AI")</f>
        <v>3141755588.5999999</v>
      </c>
      <c r="V34" s="76"/>
    </row>
    <row r="35" spans="1:22" x14ac:dyDescent="0.2">
      <c r="A35" t="s">
        <v>1024</v>
      </c>
      <c r="B35" t="s">
        <v>1024</v>
      </c>
      <c r="C35" t="s">
        <v>1024</v>
      </c>
      <c r="D35" t="s">
        <v>1025</v>
      </c>
      <c r="E35" t="s">
        <v>1026</v>
      </c>
      <c r="F35" t="s">
        <v>24</v>
      </c>
      <c r="G35" s="131">
        <v>43361</v>
      </c>
      <c r="H35" t="s">
        <v>898</v>
      </c>
      <c r="J35" s="131">
        <v>43727</v>
      </c>
      <c r="K35" t="s">
        <v>721</v>
      </c>
      <c r="L35" t="s">
        <v>47</v>
      </c>
      <c r="M35" t="s">
        <v>892</v>
      </c>
      <c r="N35" t="s">
        <v>137</v>
      </c>
      <c r="O35" s="6" t="s">
        <v>1027</v>
      </c>
      <c r="P35">
        <f ca="1">SCBAM_GetGroup1Dtl(TermFund[[#This Row],[PortCode]],"NET ASSET VALUE",$S$1,"Marketval") + SCBAM_GetGroup1Dtl(TermFund[[#This Row],[PortCode]],"NET ASSET VALUE", $S$1, "AI")</f>
        <v>3473225104.3299999</v>
      </c>
      <c r="V35" s="76"/>
    </row>
    <row r="36" spans="1:22" x14ac:dyDescent="0.2">
      <c r="A36" t="s">
        <v>1028</v>
      </c>
      <c r="B36" t="s">
        <v>1028</v>
      </c>
      <c r="C36" t="s">
        <v>1028</v>
      </c>
      <c r="D36" t="s">
        <v>1029</v>
      </c>
      <c r="E36" t="s">
        <v>1030</v>
      </c>
      <c r="F36" t="s">
        <v>24</v>
      </c>
      <c r="G36" s="131">
        <v>43368</v>
      </c>
      <c r="H36" t="s">
        <v>898</v>
      </c>
      <c r="J36" s="131">
        <v>43741</v>
      </c>
      <c r="K36" t="s">
        <v>721</v>
      </c>
      <c r="L36" t="s">
        <v>47</v>
      </c>
      <c r="M36" t="s">
        <v>892</v>
      </c>
      <c r="N36" t="s">
        <v>137</v>
      </c>
      <c r="O36" s="6" t="s">
        <v>1031</v>
      </c>
      <c r="P36">
        <f ca="1">SCBAM_GetGroup1Dtl(TermFund[[#This Row],[PortCode]],"NET ASSET VALUE",$S$1,"Marketval") + SCBAM_GetGroup1Dtl(TermFund[[#This Row],[PortCode]],"NET ASSET VALUE", $S$1, "AI")</f>
        <v>1704786431.1900001</v>
      </c>
      <c r="V36" s="76"/>
    </row>
    <row r="37" spans="1:22" x14ac:dyDescent="0.2">
      <c r="A37" t="s">
        <v>1032</v>
      </c>
      <c r="B37" t="s">
        <v>1032</v>
      </c>
      <c r="C37" t="s">
        <v>1032</v>
      </c>
      <c r="D37" t="s">
        <v>1033</v>
      </c>
      <c r="E37" t="s">
        <v>1034</v>
      </c>
      <c r="F37" t="s">
        <v>24</v>
      </c>
      <c r="G37" s="131">
        <v>43375</v>
      </c>
      <c r="H37" t="s">
        <v>898</v>
      </c>
      <c r="J37" s="131">
        <v>43748</v>
      </c>
      <c r="K37" t="s">
        <v>721</v>
      </c>
      <c r="L37" t="s">
        <v>47</v>
      </c>
      <c r="M37" t="s">
        <v>892</v>
      </c>
      <c r="N37" t="s">
        <v>137</v>
      </c>
      <c r="O37" s="6" t="s">
        <v>1035</v>
      </c>
      <c r="P37">
        <f ca="1">SCBAM_GetGroup1Dtl(TermFund[[#This Row],[PortCode]],"NET ASSET VALUE",$S$1,"Marketval") + SCBAM_GetGroup1Dtl(TermFund[[#This Row],[PortCode]],"NET ASSET VALUE", $S$1, "AI")</f>
        <v>4124651076.3599997</v>
      </c>
      <c r="V37" s="76"/>
    </row>
    <row r="38" spans="1:22" x14ac:dyDescent="0.2">
      <c r="A38" t="s">
        <v>1036</v>
      </c>
      <c r="B38" t="s">
        <v>1036</v>
      </c>
      <c r="C38" t="s">
        <v>1036</v>
      </c>
      <c r="D38" t="s">
        <v>1037</v>
      </c>
      <c r="E38" t="s">
        <v>1038</v>
      </c>
      <c r="F38" t="s">
        <v>24</v>
      </c>
      <c r="G38" s="131">
        <v>43382</v>
      </c>
      <c r="H38" t="s">
        <v>898</v>
      </c>
      <c r="J38" s="131">
        <v>43755</v>
      </c>
      <c r="K38" t="s">
        <v>721</v>
      </c>
      <c r="L38" t="s">
        <v>47</v>
      </c>
      <c r="M38" t="s">
        <v>892</v>
      </c>
      <c r="N38" t="s">
        <v>137</v>
      </c>
      <c r="O38" s="6" t="s">
        <v>1039</v>
      </c>
      <c r="P38">
        <f ca="1">SCBAM_GetGroup1Dtl(TermFund[[#This Row],[PortCode]],"NET ASSET VALUE",$S$1,"Marketval") + SCBAM_GetGroup1Dtl(TermFund[[#This Row],[PortCode]],"NET ASSET VALUE", $S$1, "AI")</f>
        <v>4227522900.0300002</v>
      </c>
      <c r="V38" s="76"/>
    </row>
    <row r="39" spans="1:22" x14ac:dyDescent="0.2">
      <c r="A39" t="s">
        <v>404</v>
      </c>
      <c r="B39" t="s">
        <v>404</v>
      </c>
      <c r="C39" t="s">
        <v>404</v>
      </c>
      <c r="D39" t="s">
        <v>1242</v>
      </c>
      <c r="E39" t="s">
        <v>1243</v>
      </c>
      <c r="F39" t="s">
        <v>24</v>
      </c>
      <c r="G39" s="131">
        <v>43390</v>
      </c>
      <c r="H39" t="s">
        <v>898</v>
      </c>
      <c r="J39" s="131">
        <v>43762</v>
      </c>
      <c r="K39" t="s">
        <v>721</v>
      </c>
      <c r="L39" t="s">
        <v>47</v>
      </c>
      <c r="M39" t="s">
        <v>892</v>
      </c>
      <c r="N39" t="s">
        <v>137</v>
      </c>
      <c r="O39" s="6" t="s">
        <v>1244</v>
      </c>
      <c r="P39">
        <f ca="1">SCBAM_GetGroup1Dtl(TermFund[[#This Row],[PortCode]],"NET ASSET VALUE",$S$1,"Marketval") + SCBAM_GetGroup1Dtl(TermFund[[#This Row],[PortCode]],"NET ASSET VALUE", $S$1, "AI")</f>
        <v>1004984381.64</v>
      </c>
      <c r="V39" s="76"/>
    </row>
    <row r="40" spans="1:22" x14ac:dyDescent="0.2">
      <c r="A40" t="s">
        <v>1233</v>
      </c>
      <c r="B40" t="s">
        <v>1233</v>
      </c>
      <c r="C40" t="s">
        <v>1233</v>
      </c>
      <c r="D40" t="s">
        <v>1290</v>
      </c>
      <c r="E40" t="s">
        <v>1291</v>
      </c>
      <c r="F40" t="s">
        <v>24</v>
      </c>
      <c r="G40" s="131">
        <v>43397</v>
      </c>
      <c r="H40" t="s">
        <v>898</v>
      </c>
      <c r="J40" s="131">
        <v>43769</v>
      </c>
      <c r="K40" t="s">
        <v>721</v>
      </c>
      <c r="L40" t="s">
        <v>47</v>
      </c>
      <c r="M40" t="s">
        <v>892</v>
      </c>
      <c r="N40" t="s">
        <v>137</v>
      </c>
      <c r="O40" s="6" t="s">
        <v>1292</v>
      </c>
      <c r="P40">
        <f ca="1">SCBAM_GetGroup1Dtl(TermFund[[#This Row],[PortCode]],"NET ASSET VALUE",$S$1,"Marketval") + SCBAM_GetGroup1Dtl(TermFund[[#This Row],[PortCode]],"NET ASSET VALUE", $S$1, "AI")</f>
        <v>1077043423.8799999</v>
      </c>
      <c r="V40" s="76"/>
    </row>
    <row r="41" spans="1:22" x14ac:dyDescent="0.2">
      <c r="A41" t="s">
        <v>405</v>
      </c>
      <c r="B41" t="s">
        <v>405</v>
      </c>
      <c r="C41" t="s">
        <v>405</v>
      </c>
      <c r="D41" t="s">
        <v>1245</v>
      </c>
      <c r="E41" t="s">
        <v>1246</v>
      </c>
      <c r="F41" t="s">
        <v>24</v>
      </c>
      <c r="G41" s="131">
        <v>43390</v>
      </c>
      <c r="H41" t="s">
        <v>898</v>
      </c>
      <c r="J41" s="131">
        <v>43487</v>
      </c>
      <c r="K41" t="s">
        <v>721</v>
      </c>
      <c r="L41" t="s">
        <v>47</v>
      </c>
      <c r="M41" t="s">
        <v>892</v>
      </c>
      <c r="N41" t="s">
        <v>137</v>
      </c>
      <c r="O41" s="6" t="s">
        <v>1247</v>
      </c>
      <c r="P41">
        <f ca="1">SCBAM_GetGroup1Dtl(TermFund[[#This Row],[PortCode]],"NET ASSET VALUE",$S$1,"Marketval") + SCBAM_GetGroup1Dtl(TermFund[[#This Row],[PortCode]],"NET ASSET VALUE", $S$1, "AI")</f>
        <v>1879543754.1999998</v>
      </c>
      <c r="V41" s="76"/>
    </row>
    <row r="42" spans="1:22" x14ac:dyDescent="0.2">
      <c r="A42" t="s">
        <v>1040</v>
      </c>
      <c r="B42" t="s">
        <v>1040</v>
      </c>
      <c r="C42" t="s">
        <v>1040</v>
      </c>
      <c r="D42" t="s">
        <v>1041</v>
      </c>
      <c r="E42" t="s">
        <v>1042</v>
      </c>
      <c r="F42" t="s">
        <v>24</v>
      </c>
      <c r="G42" s="131">
        <v>43215</v>
      </c>
      <c r="H42" t="s">
        <v>898</v>
      </c>
      <c r="J42" s="131">
        <v>43405</v>
      </c>
      <c r="K42" t="s">
        <v>721</v>
      </c>
      <c r="L42" t="s">
        <v>47</v>
      </c>
      <c r="M42" t="s">
        <v>892</v>
      </c>
      <c r="N42" t="s">
        <v>137</v>
      </c>
      <c r="O42" s="6" t="s">
        <v>1043</v>
      </c>
      <c r="P42">
        <f ca="1">SCBAM_GetGroup1Dtl(TermFund[[#This Row],[PortCode]],"NET ASSET VALUE",$S$1,"Marketval") + SCBAM_GetGroup1Dtl(TermFund[[#This Row],[PortCode]],"NET ASSET VALUE", $S$1, "AI")</f>
        <v>2045351926.21</v>
      </c>
      <c r="V42" s="76"/>
    </row>
    <row r="43" spans="1:22" x14ac:dyDescent="0.2">
      <c r="A43" t="s">
        <v>1044</v>
      </c>
      <c r="B43" t="s">
        <v>1044</v>
      </c>
      <c r="C43" t="s">
        <v>1044</v>
      </c>
      <c r="D43" t="s">
        <v>1045</v>
      </c>
      <c r="E43" t="s">
        <v>1046</v>
      </c>
      <c r="F43" t="s">
        <v>24</v>
      </c>
      <c r="G43" s="131">
        <v>43242</v>
      </c>
      <c r="H43" t="s">
        <v>898</v>
      </c>
      <c r="J43" s="131">
        <v>43432</v>
      </c>
      <c r="K43" t="s">
        <v>721</v>
      </c>
      <c r="L43" t="s">
        <v>47</v>
      </c>
      <c r="M43" t="s">
        <v>892</v>
      </c>
      <c r="N43" t="s">
        <v>137</v>
      </c>
      <c r="O43" s="6" t="s">
        <v>1047</v>
      </c>
      <c r="P43">
        <f ca="1">SCBAM_GetGroup1Dtl(TermFund[[#This Row],[PortCode]],"NET ASSET VALUE",$S$1,"Marketval") + SCBAM_GetGroup1Dtl(TermFund[[#This Row],[PortCode]],"NET ASSET VALUE", $S$1, "AI")</f>
        <v>2822148607.1199999</v>
      </c>
      <c r="V43" s="76"/>
    </row>
    <row r="44" spans="1:22" x14ac:dyDescent="0.2">
      <c r="A44" t="s">
        <v>1048</v>
      </c>
      <c r="B44" t="s">
        <v>1048</v>
      </c>
      <c r="C44" t="s">
        <v>1048</v>
      </c>
      <c r="D44" t="s">
        <v>1049</v>
      </c>
      <c r="E44" t="s">
        <v>1050</v>
      </c>
      <c r="F44" t="s">
        <v>24</v>
      </c>
      <c r="G44" s="131">
        <v>43256</v>
      </c>
      <c r="H44" t="s">
        <v>898</v>
      </c>
      <c r="J44" s="131">
        <v>43440</v>
      </c>
      <c r="K44" t="s">
        <v>721</v>
      </c>
      <c r="L44" t="s">
        <v>47</v>
      </c>
      <c r="M44" t="s">
        <v>892</v>
      </c>
      <c r="N44" t="s">
        <v>137</v>
      </c>
      <c r="O44" s="6" t="s">
        <v>1051</v>
      </c>
      <c r="P44">
        <f ca="1">SCBAM_GetGroup1Dtl(TermFund[[#This Row],[PortCode]],"NET ASSET VALUE",$S$1,"Marketval") + SCBAM_GetGroup1Dtl(TermFund[[#This Row],[PortCode]],"NET ASSET VALUE", $S$1, "AI")</f>
        <v>3035556719.8400002</v>
      </c>
      <c r="V44" s="76"/>
    </row>
    <row r="45" spans="1:22" x14ac:dyDescent="0.2">
      <c r="A45" t="s">
        <v>1052</v>
      </c>
      <c r="B45" t="s">
        <v>1052</v>
      </c>
      <c r="C45" t="s">
        <v>1052</v>
      </c>
      <c r="D45" t="s">
        <v>1053</v>
      </c>
      <c r="E45" t="s">
        <v>1054</v>
      </c>
      <c r="F45" t="s">
        <v>24</v>
      </c>
      <c r="G45" s="131">
        <v>43270</v>
      </c>
      <c r="H45" t="s">
        <v>898</v>
      </c>
      <c r="J45" s="131">
        <v>43454</v>
      </c>
      <c r="K45" t="s">
        <v>721</v>
      </c>
      <c r="L45" t="s">
        <v>47</v>
      </c>
      <c r="M45" t="s">
        <v>892</v>
      </c>
      <c r="N45" t="s">
        <v>137</v>
      </c>
      <c r="O45" s="6" t="s">
        <v>1055</v>
      </c>
      <c r="P45">
        <f ca="1">SCBAM_GetGroup1Dtl(TermFund[[#This Row],[PortCode]],"NET ASSET VALUE",$S$1,"Marketval") + SCBAM_GetGroup1Dtl(TermFund[[#This Row],[PortCode]],"NET ASSET VALUE", $S$1, "AI")</f>
        <v>1173462660.8199999</v>
      </c>
      <c r="V45" s="76"/>
    </row>
    <row r="46" spans="1:22" x14ac:dyDescent="0.2">
      <c r="A46" t="s">
        <v>1056</v>
      </c>
      <c r="B46" t="s">
        <v>1056</v>
      </c>
      <c r="C46" t="s">
        <v>1056</v>
      </c>
      <c r="D46" t="s">
        <v>1057</v>
      </c>
      <c r="E46" t="s">
        <v>1058</v>
      </c>
      <c r="F46" t="s">
        <v>24</v>
      </c>
      <c r="G46" s="131">
        <v>43284</v>
      </c>
      <c r="H46" t="s">
        <v>898</v>
      </c>
      <c r="J46" s="131">
        <v>43468</v>
      </c>
      <c r="K46" t="s">
        <v>721</v>
      </c>
      <c r="L46" t="s">
        <v>47</v>
      </c>
      <c r="M46" t="s">
        <v>892</v>
      </c>
      <c r="N46" t="s">
        <v>137</v>
      </c>
      <c r="O46" s="6" t="s">
        <v>1059</v>
      </c>
      <c r="P46">
        <f ca="1">SCBAM_GetGroup1Dtl(TermFund[[#This Row],[PortCode]],"NET ASSET VALUE",$S$1,"Marketval") + SCBAM_GetGroup1Dtl(TermFund[[#This Row],[PortCode]],"NET ASSET VALUE", $S$1, "AI")</f>
        <v>1910932279.5</v>
      </c>
      <c r="V46" s="76"/>
    </row>
    <row r="47" spans="1:22" x14ac:dyDescent="0.2">
      <c r="A47" t="s">
        <v>1060</v>
      </c>
      <c r="B47" t="s">
        <v>1060</v>
      </c>
      <c r="C47" t="s">
        <v>1060</v>
      </c>
      <c r="D47" t="s">
        <v>1061</v>
      </c>
      <c r="E47" t="s">
        <v>1062</v>
      </c>
      <c r="F47" t="s">
        <v>24</v>
      </c>
      <c r="G47" s="131">
        <v>43313</v>
      </c>
      <c r="H47" t="s">
        <v>898</v>
      </c>
      <c r="J47" s="131">
        <v>43510</v>
      </c>
      <c r="K47" t="s">
        <v>721</v>
      </c>
      <c r="L47" t="s">
        <v>47</v>
      </c>
      <c r="M47" t="s">
        <v>892</v>
      </c>
      <c r="N47" t="s">
        <v>137</v>
      </c>
      <c r="O47" s="6" t="s">
        <v>1063</v>
      </c>
      <c r="P47">
        <f ca="1">SCBAM_GetGroup1Dtl(TermFund[[#This Row],[PortCode]],"NET ASSET VALUE",$S$1,"Marketval") + SCBAM_GetGroup1Dtl(TermFund[[#This Row],[PortCode]],"NET ASSET VALUE", $S$1, "AI")</f>
        <v>8397582689.6199999</v>
      </c>
      <c r="V47" s="76"/>
    </row>
    <row r="48" spans="1:22" x14ac:dyDescent="0.2">
      <c r="A48" t="s">
        <v>1064</v>
      </c>
      <c r="B48" t="s">
        <v>1064</v>
      </c>
      <c r="C48" t="s">
        <v>1064</v>
      </c>
      <c r="D48" t="s">
        <v>1065</v>
      </c>
      <c r="E48" t="s">
        <v>1066</v>
      </c>
      <c r="F48" t="s">
        <v>24</v>
      </c>
      <c r="G48" s="131">
        <v>43319</v>
      </c>
      <c r="H48" t="s">
        <v>898</v>
      </c>
      <c r="J48" s="131">
        <v>43510</v>
      </c>
      <c r="K48" t="s">
        <v>721</v>
      </c>
      <c r="L48" t="s">
        <v>47</v>
      </c>
      <c r="M48" t="s">
        <v>892</v>
      </c>
      <c r="N48" t="s">
        <v>137</v>
      </c>
      <c r="O48" s="6" t="s">
        <v>1067</v>
      </c>
      <c r="P48">
        <f ca="1">SCBAM_GetGroup1Dtl(TermFund[[#This Row],[PortCode]],"NET ASSET VALUE",$S$1,"Marketval") + SCBAM_GetGroup1Dtl(TermFund[[#This Row],[PortCode]],"NET ASSET VALUE", $S$1, "AI")</f>
        <v>2805969462.6700001</v>
      </c>
      <c r="V48" s="76"/>
    </row>
    <row r="49" spans="1:22" x14ac:dyDescent="0.2">
      <c r="A49" t="s">
        <v>1068</v>
      </c>
      <c r="B49" t="s">
        <v>1068</v>
      </c>
      <c r="C49" t="s">
        <v>1068</v>
      </c>
      <c r="D49" t="s">
        <v>1069</v>
      </c>
      <c r="E49" t="s">
        <v>1070</v>
      </c>
      <c r="F49" t="s">
        <v>24</v>
      </c>
      <c r="G49" s="131">
        <v>43326</v>
      </c>
      <c r="H49" t="s">
        <v>898</v>
      </c>
      <c r="J49" s="131">
        <v>43516</v>
      </c>
      <c r="K49" t="s">
        <v>721</v>
      </c>
      <c r="L49" t="s">
        <v>47</v>
      </c>
      <c r="M49" t="s">
        <v>892</v>
      </c>
      <c r="N49" t="s">
        <v>137</v>
      </c>
      <c r="O49" s="6" t="s">
        <v>1071</v>
      </c>
      <c r="P49">
        <f ca="1">SCBAM_GetGroup1Dtl(TermFund[[#This Row],[PortCode]],"NET ASSET VALUE",$S$1,"Marketval") + SCBAM_GetGroup1Dtl(TermFund[[#This Row],[PortCode]],"NET ASSET VALUE", $S$1, "AI")</f>
        <v>504508762.73000002</v>
      </c>
      <c r="V49" s="76"/>
    </row>
    <row r="50" spans="1:22" x14ac:dyDescent="0.2">
      <c r="A50" t="s">
        <v>1072</v>
      </c>
      <c r="B50" t="s">
        <v>1072</v>
      </c>
      <c r="C50" t="s">
        <v>1072</v>
      </c>
      <c r="D50" t="s">
        <v>1073</v>
      </c>
      <c r="E50" t="s">
        <v>1074</v>
      </c>
      <c r="F50" t="s">
        <v>24</v>
      </c>
      <c r="G50" s="131">
        <v>43333</v>
      </c>
      <c r="H50" t="s">
        <v>898</v>
      </c>
      <c r="J50" s="131">
        <v>43524</v>
      </c>
      <c r="K50" t="s">
        <v>721</v>
      </c>
      <c r="L50" t="s">
        <v>47</v>
      </c>
      <c r="M50" t="s">
        <v>892</v>
      </c>
      <c r="N50" t="s">
        <v>137</v>
      </c>
      <c r="O50" s="6" t="s">
        <v>1075</v>
      </c>
      <c r="P50">
        <f ca="1">SCBAM_GetGroup1Dtl(TermFund[[#This Row],[PortCode]],"NET ASSET VALUE",$S$1,"Marketval") + SCBAM_GetGroup1Dtl(TermFund[[#This Row],[PortCode]],"NET ASSET VALUE", $S$1, "AI")</f>
        <v>2019673289.5900002</v>
      </c>
      <c r="V50" s="76"/>
    </row>
    <row r="51" spans="1:22" x14ac:dyDescent="0.2">
      <c r="A51" t="s">
        <v>1076</v>
      </c>
      <c r="B51" t="s">
        <v>1076</v>
      </c>
      <c r="C51" t="s">
        <v>1076</v>
      </c>
      <c r="D51" t="s">
        <v>1077</v>
      </c>
      <c r="E51" t="s">
        <v>1078</v>
      </c>
      <c r="F51" t="s">
        <v>24</v>
      </c>
      <c r="G51" s="131">
        <v>43340</v>
      </c>
      <c r="H51" t="s">
        <v>898</v>
      </c>
      <c r="J51" s="131">
        <v>43524</v>
      </c>
      <c r="K51" t="s">
        <v>721</v>
      </c>
      <c r="L51" t="s">
        <v>47</v>
      </c>
      <c r="M51" t="s">
        <v>892</v>
      </c>
      <c r="N51" t="s">
        <v>137</v>
      </c>
      <c r="O51" s="6" t="s">
        <v>1079</v>
      </c>
      <c r="P51">
        <f ca="1">SCBAM_GetGroup1Dtl(TermFund[[#This Row],[PortCode]],"NET ASSET VALUE",$S$1,"Marketval") + SCBAM_GetGroup1Dtl(TermFund[[#This Row],[PortCode]],"NET ASSET VALUE", $S$1, "AI")</f>
        <v>1134920211.29</v>
      </c>
      <c r="V51" s="76"/>
    </row>
    <row r="52" spans="1:22" x14ac:dyDescent="0.2">
      <c r="A52" t="s">
        <v>1080</v>
      </c>
      <c r="B52" t="s">
        <v>1080</v>
      </c>
      <c r="C52" t="s">
        <v>1080</v>
      </c>
      <c r="D52" t="s">
        <v>1081</v>
      </c>
      <c r="E52" t="s">
        <v>1082</v>
      </c>
      <c r="F52" t="s">
        <v>24</v>
      </c>
      <c r="G52" s="131">
        <v>43347</v>
      </c>
      <c r="H52" t="s">
        <v>898</v>
      </c>
      <c r="J52" s="131">
        <v>43531</v>
      </c>
      <c r="K52" t="s">
        <v>721</v>
      </c>
      <c r="L52" t="s">
        <v>47</v>
      </c>
      <c r="M52" t="s">
        <v>892</v>
      </c>
      <c r="N52" t="s">
        <v>137</v>
      </c>
      <c r="O52" s="6" t="s">
        <v>1083</v>
      </c>
      <c r="P52">
        <f ca="1">SCBAM_GetGroup1Dtl(TermFund[[#This Row],[PortCode]],"NET ASSET VALUE",$S$1,"Marketval") + SCBAM_GetGroup1Dtl(TermFund[[#This Row],[PortCode]],"NET ASSET VALUE", $S$1, "AI")</f>
        <v>1723642216.72</v>
      </c>
      <c r="V52" s="76"/>
    </row>
    <row r="53" spans="1:22" x14ac:dyDescent="0.2">
      <c r="A53" t="s">
        <v>1084</v>
      </c>
      <c r="B53" t="s">
        <v>1084</v>
      </c>
      <c r="C53" t="s">
        <v>1084</v>
      </c>
      <c r="D53" t="s">
        <v>1085</v>
      </c>
      <c r="E53" t="s">
        <v>1086</v>
      </c>
      <c r="F53" t="s">
        <v>24</v>
      </c>
      <c r="G53" s="131">
        <v>43354</v>
      </c>
      <c r="H53" t="s">
        <v>898</v>
      </c>
      <c r="J53" s="131">
        <v>43537</v>
      </c>
      <c r="K53" t="s">
        <v>721</v>
      </c>
      <c r="L53" t="s">
        <v>47</v>
      </c>
      <c r="M53" t="s">
        <v>892</v>
      </c>
      <c r="N53" t="s">
        <v>137</v>
      </c>
      <c r="O53" s="6" t="s">
        <v>1087</v>
      </c>
      <c r="P53">
        <f ca="1">SCBAM_GetGroup1Dtl(TermFund[[#This Row],[PortCode]],"NET ASSET VALUE",$S$1,"Marketval") + SCBAM_GetGroup1Dtl(TermFund[[#This Row],[PortCode]],"NET ASSET VALUE", $S$1, "AI")</f>
        <v>3583378021.3800001</v>
      </c>
      <c r="V53" s="76"/>
    </row>
    <row r="54" spans="1:22" x14ac:dyDescent="0.2">
      <c r="A54" t="s">
        <v>1088</v>
      </c>
      <c r="B54" t="s">
        <v>1088</v>
      </c>
      <c r="C54" t="s">
        <v>1088</v>
      </c>
      <c r="D54" t="s">
        <v>1089</v>
      </c>
      <c r="E54" t="s">
        <v>1090</v>
      </c>
      <c r="F54" t="s">
        <v>24</v>
      </c>
      <c r="G54" s="131">
        <v>43361</v>
      </c>
      <c r="H54" t="s">
        <v>898</v>
      </c>
      <c r="J54" s="131">
        <v>43545</v>
      </c>
      <c r="K54" t="s">
        <v>721</v>
      </c>
      <c r="L54" t="s">
        <v>47</v>
      </c>
      <c r="M54" t="s">
        <v>892</v>
      </c>
      <c r="N54" t="s">
        <v>137</v>
      </c>
      <c r="O54" s="6" t="s">
        <v>1091</v>
      </c>
      <c r="P54">
        <f ca="1">SCBAM_GetGroup1Dtl(TermFund[[#This Row],[PortCode]],"NET ASSET VALUE",$S$1,"Marketval") + SCBAM_GetGroup1Dtl(TermFund[[#This Row],[PortCode]],"NET ASSET VALUE", $S$1, "AI")</f>
        <v>2809892017.3400002</v>
      </c>
      <c r="V54" s="76"/>
    </row>
    <row r="55" spans="1:22" x14ac:dyDescent="0.2">
      <c r="A55" t="s">
        <v>1092</v>
      </c>
      <c r="B55" t="s">
        <v>1092</v>
      </c>
      <c r="C55" t="s">
        <v>1092</v>
      </c>
      <c r="D55" t="s">
        <v>1093</v>
      </c>
      <c r="E55" t="s">
        <v>1094</v>
      </c>
      <c r="F55" t="s">
        <v>24</v>
      </c>
      <c r="G55" s="131">
        <v>43368</v>
      </c>
      <c r="H55" t="s">
        <v>898</v>
      </c>
      <c r="J55" s="131">
        <v>43552</v>
      </c>
      <c r="K55" t="s">
        <v>721</v>
      </c>
      <c r="L55" t="s">
        <v>47</v>
      </c>
      <c r="M55" t="s">
        <v>892</v>
      </c>
      <c r="N55" t="s">
        <v>137</v>
      </c>
      <c r="O55" s="6" t="s">
        <v>1095</v>
      </c>
      <c r="P55">
        <f ca="1">SCBAM_GetGroup1Dtl(TermFund[[#This Row],[PortCode]],"NET ASSET VALUE",$S$1,"Marketval") + SCBAM_GetGroup1Dtl(TermFund[[#This Row],[PortCode]],"NET ASSET VALUE", $S$1, "AI")</f>
        <v>3084003467.6500001</v>
      </c>
      <c r="V55" s="76"/>
    </row>
    <row r="56" spans="1:22" x14ac:dyDescent="0.2">
      <c r="A56" t="s">
        <v>1096</v>
      </c>
      <c r="B56" t="s">
        <v>1096</v>
      </c>
      <c r="C56" t="s">
        <v>1096</v>
      </c>
      <c r="D56" t="s">
        <v>1097</v>
      </c>
      <c r="E56" t="s">
        <v>1098</v>
      </c>
      <c r="F56" t="s">
        <v>24</v>
      </c>
      <c r="G56" s="131">
        <v>43375</v>
      </c>
      <c r="H56" t="s">
        <v>898</v>
      </c>
      <c r="J56" s="131">
        <v>43559</v>
      </c>
      <c r="K56" t="s">
        <v>721</v>
      </c>
      <c r="L56" t="s">
        <v>47</v>
      </c>
      <c r="M56" t="s">
        <v>892</v>
      </c>
      <c r="N56" t="s">
        <v>137</v>
      </c>
      <c r="O56" s="6" t="s">
        <v>1099</v>
      </c>
      <c r="P56">
        <f ca="1">SCBAM_GetGroup1Dtl(TermFund[[#This Row],[PortCode]],"NET ASSET VALUE",$S$1,"Marketval") + SCBAM_GetGroup1Dtl(TermFund[[#This Row],[PortCode]],"NET ASSET VALUE", $S$1, "AI")</f>
        <v>3488538023.3099999</v>
      </c>
      <c r="V56" s="76"/>
    </row>
    <row r="57" spans="1:22" x14ac:dyDescent="0.2">
      <c r="A57" t="s">
        <v>1100</v>
      </c>
      <c r="B57" t="s">
        <v>1100</v>
      </c>
      <c r="C57" t="s">
        <v>1100</v>
      </c>
      <c r="D57" t="s">
        <v>1101</v>
      </c>
      <c r="E57" t="s">
        <v>1102</v>
      </c>
      <c r="F57" t="s">
        <v>24</v>
      </c>
      <c r="G57" s="131">
        <v>43382</v>
      </c>
      <c r="H57" t="s">
        <v>898</v>
      </c>
      <c r="J57" s="131">
        <v>43566</v>
      </c>
      <c r="K57" t="s">
        <v>721</v>
      </c>
      <c r="L57" t="s">
        <v>47</v>
      </c>
      <c r="M57" t="s">
        <v>892</v>
      </c>
      <c r="N57" t="s">
        <v>137</v>
      </c>
      <c r="O57" s="6" t="s">
        <v>1103</v>
      </c>
      <c r="P57">
        <f ca="1">SCBAM_GetGroup1Dtl(TermFund[[#This Row],[PortCode]],"NET ASSET VALUE",$S$1,"Marketval") + SCBAM_GetGroup1Dtl(TermFund[[#This Row],[PortCode]],"NET ASSET VALUE", $S$1, "AI")</f>
        <v>2393707158.6900001</v>
      </c>
      <c r="V57" s="76"/>
    </row>
    <row r="58" spans="1:22" x14ac:dyDescent="0.2">
      <c r="A58" t="s">
        <v>406</v>
      </c>
      <c r="B58" t="s">
        <v>406</v>
      </c>
      <c r="C58" t="s">
        <v>406</v>
      </c>
      <c r="D58" t="s">
        <v>1248</v>
      </c>
      <c r="E58" t="s">
        <v>1249</v>
      </c>
      <c r="F58" t="s">
        <v>24</v>
      </c>
      <c r="G58" s="131">
        <v>43390</v>
      </c>
      <c r="H58" t="s">
        <v>898</v>
      </c>
      <c r="J58" s="131">
        <v>43580</v>
      </c>
      <c r="K58" t="s">
        <v>721</v>
      </c>
      <c r="L58" t="s">
        <v>47</v>
      </c>
      <c r="M58" t="s">
        <v>892</v>
      </c>
      <c r="N58" t="s">
        <v>137</v>
      </c>
      <c r="O58" s="6" t="s">
        <v>1250</v>
      </c>
      <c r="P58">
        <f ca="1">SCBAM_GetGroup1Dtl(TermFund[[#This Row],[PortCode]],"NET ASSET VALUE",$S$1,"Marketval") + SCBAM_GetGroup1Dtl(TermFund[[#This Row],[PortCode]],"NET ASSET VALUE", $S$1, "AI")</f>
        <v>1022486248.91</v>
      </c>
      <c r="V58" s="76"/>
    </row>
    <row r="59" spans="1:22" x14ac:dyDescent="0.2">
      <c r="A59" t="s">
        <v>1234</v>
      </c>
      <c r="B59" t="s">
        <v>1234</v>
      </c>
      <c r="C59" t="s">
        <v>1234</v>
      </c>
      <c r="D59" t="s">
        <v>1293</v>
      </c>
      <c r="E59" t="s">
        <v>1294</v>
      </c>
      <c r="F59" t="s">
        <v>24</v>
      </c>
      <c r="G59" s="131">
        <v>43397</v>
      </c>
      <c r="H59" t="s">
        <v>898</v>
      </c>
      <c r="J59" s="131">
        <v>43579</v>
      </c>
      <c r="K59" t="s">
        <v>721</v>
      </c>
      <c r="L59" t="s">
        <v>47</v>
      </c>
      <c r="M59" t="s">
        <v>892</v>
      </c>
      <c r="N59" t="s">
        <v>137</v>
      </c>
      <c r="O59" s="6" t="s">
        <v>1295</v>
      </c>
      <c r="P59">
        <f ca="1">SCBAM_GetGroup1Dtl(TermFund[[#This Row],[PortCode]],"NET ASSET VALUE",$S$1,"Marketval") + SCBAM_GetGroup1Dtl(TermFund[[#This Row],[PortCode]],"NET ASSET VALUE", $S$1, "AI")</f>
        <v>2320169306.96</v>
      </c>
      <c r="V59" s="76"/>
    </row>
    <row r="60" spans="1:22" x14ac:dyDescent="0.2">
      <c r="A60" t="s">
        <v>1104</v>
      </c>
      <c r="B60" t="s">
        <v>1104</v>
      </c>
      <c r="C60" t="s">
        <v>1104</v>
      </c>
      <c r="D60" t="s">
        <v>1105</v>
      </c>
      <c r="E60" t="s">
        <v>1106</v>
      </c>
      <c r="F60" t="s">
        <v>24</v>
      </c>
      <c r="G60" s="131">
        <v>42885</v>
      </c>
      <c r="H60" t="s">
        <v>898</v>
      </c>
      <c r="J60" s="131">
        <v>43983</v>
      </c>
      <c r="K60" t="s">
        <v>721</v>
      </c>
      <c r="L60" t="s">
        <v>47</v>
      </c>
      <c r="M60" t="s">
        <v>892</v>
      </c>
      <c r="N60" t="s">
        <v>137</v>
      </c>
      <c r="O60" s="6" t="s">
        <v>1107</v>
      </c>
      <c r="P60">
        <f ca="1">SCBAM_GetGroup1Dtl(TermFund[[#This Row],[PortCode]],"NET ASSET VALUE",$S$1,"Marketval") + SCBAM_GetGroup1Dtl(TermFund[[#This Row],[PortCode]],"NET ASSET VALUE", $S$1, "AI")</f>
        <v>5121428958.3199997</v>
      </c>
      <c r="V60" s="76"/>
    </row>
    <row r="61" spans="1:22" x14ac:dyDescent="0.2">
      <c r="A61" t="s">
        <v>1108</v>
      </c>
      <c r="B61" t="s">
        <v>1108</v>
      </c>
      <c r="C61" t="s">
        <v>1108</v>
      </c>
      <c r="D61" t="s">
        <v>1109</v>
      </c>
      <c r="E61" t="s">
        <v>1110</v>
      </c>
      <c r="F61" t="s">
        <v>24</v>
      </c>
      <c r="G61" s="131">
        <v>43222</v>
      </c>
      <c r="H61" t="s">
        <v>898</v>
      </c>
      <c r="J61" s="131">
        <v>43405</v>
      </c>
      <c r="K61" t="s">
        <v>721</v>
      </c>
      <c r="L61" t="s">
        <v>47</v>
      </c>
      <c r="M61" t="s">
        <v>892</v>
      </c>
      <c r="N61" t="s">
        <v>137</v>
      </c>
      <c r="O61" s="6" t="s">
        <v>1111</v>
      </c>
      <c r="P61">
        <f ca="1">SCBAM_GetGroup1Dtl(TermFund[[#This Row],[PortCode]],"NET ASSET VALUE",$S$1,"Marketval") + SCBAM_GetGroup1Dtl(TermFund[[#This Row],[PortCode]],"NET ASSET VALUE", $S$1, "AI")</f>
        <v>2723867855.4399996</v>
      </c>
      <c r="V61" s="76"/>
    </row>
    <row r="62" spans="1:22" x14ac:dyDescent="0.2">
      <c r="A62" t="s">
        <v>1112</v>
      </c>
      <c r="B62" t="s">
        <v>1112</v>
      </c>
      <c r="C62" t="s">
        <v>1112</v>
      </c>
      <c r="D62" t="s">
        <v>1113</v>
      </c>
      <c r="E62" t="s">
        <v>1114</v>
      </c>
      <c r="F62" t="s">
        <v>24</v>
      </c>
      <c r="G62" s="131">
        <v>43235</v>
      </c>
      <c r="H62" t="s">
        <v>898</v>
      </c>
      <c r="J62" s="131">
        <v>43425</v>
      </c>
      <c r="K62" t="s">
        <v>721</v>
      </c>
      <c r="L62" t="s">
        <v>47</v>
      </c>
      <c r="M62" t="s">
        <v>892</v>
      </c>
      <c r="N62" t="s">
        <v>137</v>
      </c>
      <c r="O62" s="6" t="s">
        <v>1115</v>
      </c>
      <c r="P62">
        <f ca="1">SCBAM_GetGroup1Dtl(TermFund[[#This Row],[PortCode]],"NET ASSET VALUE",$S$1,"Marketval") + SCBAM_GetGroup1Dtl(TermFund[[#This Row],[PortCode]],"NET ASSET VALUE", $S$1, "AI")</f>
        <v>2636443761.9900002</v>
      </c>
      <c r="V62" s="76"/>
    </row>
    <row r="63" spans="1:22" x14ac:dyDescent="0.2">
      <c r="A63" t="s">
        <v>1116</v>
      </c>
      <c r="B63" t="s">
        <v>1116</v>
      </c>
      <c r="C63" t="s">
        <v>1116</v>
      </c>
      <c r="D63" t="s">
        <v>1117</v>
      </c>
      <c r="E63" t="s">
        <v>1118</v>
      </c>
      <c r="F63" t="s">
        <v>24</v>
      </c>
      <c r="G63" s="131">
        <v>43250</v>
      </c>
      <c r="H63" t="s">
        <v>898</v>
      </c>
      <c r="J63" s="131">
        <v>43433</v>
      </c>
      <c r="K63" t="s">
        <v>721</v>
      </c>
      <c r="L63" t="s">
        <v>47</v>
      </c>
      <c r="M63" t="s">
        <v>892</v>
      </c>
      <c r="N63" t="s">
        <v>137</v>
      </c>
      <c r="O63" s="6" t="s">
        <v>1119</v>
      </c>
      <c r="P63">
        <f ca="1">SCBAM_GetGroup1Dtl(TermFund[[#This Row],[PortCode]],"NET ASSET VALUE",$S$1,"Marketval") + SCBAM_GetGroup1Dtl(TermFund[[#This Row],[PortCode]],"NET ASSET VALUE", $S$1, "AI")</f>
        <v>3593778251.6999998</v>
      </c>
      <c r="V63" s="76"/>
    </row>
    <row r="64" spans="1:22" x14ac:dyDescent="0.2">
      <c r="A64" t="s">
        <v>1120</v>
      </c>
      <c r="B64" t="s">
        <v>1120</v>
      </c>
      <c r="C64" t="s">
        <v>1120</v>
      </c>
      <c r="D64" t="s">
        <v>1121</v>
      </c>
      <c r="E64" t="s">
        <v>1122</v>
      </c>
      <c r="F64" t="s">
        <v>24</v>
      </c>
      <c r="G64" s="131">
        <v>43263</v>
      </c>
      <c r="H64" t="s">
        <v>898</v>
      </c>
      <c r="J64" s="131">
        <v>43447</v>
      </c>
      <c r="K64" t="s">
        <v>721</v>
      </c>
      <c r="L64" t="s">
        <v>47</v>
      </c>
      <c r="M64" t="s">
        <v>892</v>
      </c>
      <c r="N64" t="s">
        <v>137</v>
      </c>
      <c r="O64" s="6" t="s">
        <v>1123</v>
      </c>
      <c r="P64">
        <f ca="1">SCBAM_GetGroup1Dtl(TermFund[[#This Row],[PortCode]],"NET ASSET VALUE",$S$1,"Marketval") + SCBAM_GetGroup1Dtl(TermFund[[#This Row],[PortCode]],"NET ASSET VALUE", $S$1, "AI")</f>
        <v>2748977752.6799998</v>
      </c>
      <c r="V64" s="76"/>
    </row>
    <row r="65" spans="1:22" x14ac:dyDescent="0.2">
      <c r="A65" t="s">
        <v>1124</v>
      </c>
      <c r="B65" t="s">
        <v>1124</v>
      </c>
      <c r="C65" t="s">
        <v>1124</v>
      </c>
      <c r="D65" t="s">
        <v>1125</v>
      </c>
      <c r="E65" t="s">
        <v>1126</v>
      </c>
      <c r="F65" t="s">
        <v>24</v>
      </c>
      <c r="G65" s="131">
        <v>43277</v>
      </c>
      <c r="H65" t="s">
        <v>898</v>
      </c>
      <c r="J65" s="131">
        <v>43468</v>
      </c>
      <c r="K65" t="s">
        <v>721</v>
      </c>
      <c r="L65" t="s">
        <v>47</v>
      </c>
      <c r="M65" t="s">
        <v>892</v>
      </c>
      <c r="N65" t="s">
        <v>137</v>
      </c>
      <c r="O65" s="6" t="s">
        <v>1127</v>
      </c>
      <c r="P65">
        <f ca="1">SCBAM_GetGroup1Dtl(TermFund[[#This Row],[PortCode]],"NET ASSET VALUE",$S$1,"Marketval") + SCBAM_GetGroup1Dtl(TermFund[[#This Row],[PortCode]],"NET ASSET VALUE", $S$1, "AI")</f>
        <v>2084019155.01</v>
      </c>
      <c r="V65" s="76"/>
    </row>
    <row r="66" spans="1:22" x14ac:dyDescent="0.2">
      <c r="A66" t="s">
        <v>1128</v>
      </c>
      <c r="B66" t="s">
        <v>1128</v>
      </c>
      <c r="C66" t="s">
        <v>1128</v>
      </c>
      <c r="D66" t="s">
        <v>1129</v>
      </c>
      <c r="E66" t="s">
        <v>1130</v>
      </c>
      <c r="F66" t="s">
        <v>24</v>
      </c>
      <c r="G66" s="131">
        <v>43291</v>
      </c>
      <c r="H66" t="s">
        <v>898</v>
      </c>
      <c r="J66" s="131">
        <v>43475</v>
      </c>
      <c r="K66" t="s">
        <v>721</v>
      </c>
      <c r="L66" t="s">
        <v>47</v>
      </c>
      <c r="M66" t="s">
        <v>892</v>
      </c>
      <c r="N66" t="s">
        <v>137</v>
      </c>
      <c r="O66" s="6" t="s">
        <v>1131</v>
      </c>
      <c r="P66">
        <f ca="1">SCBAM_GetGroup1Dtl(TermFund[[#This Row],[PortCode]],"NET ASSET VALUE",$S$1,"Marketval") + SCBAM_GetGroup1Dtl(TermFund[[#This Row],[PortCode]],"NET ASSET VALUE", $S$1, "AI")</f>
        <v>1210749914.46</v>
      </c>
      <c r="V66" s="76"/>
    </row>
    <row r="67" spans="1:22" x14ac:dyDescent="0.2">
      <c r="A67" t="s">
        <v>1132</v>
      </c>
      <c r="B67" t="s">
        <v>1132</v>
      </c>
      <c r="C67" t="s">
        <v>1132</v>
      </c>
      <c r="D67" t="s">
        <v>1133</v>
      </c>
      <c r="E67" t="s">
        <v>1134</v>
      </c>
      <c r="F67" t="s">
        <v>24</v>
      </c>
      <c r="G67" s="131">
        <v>43298</v>
      </c>
      <c r="H67" t="s">
        <v>898</v>
      </c>
      <c r="J67" s="131">
        <v>43482</v>
      </c>
      <c r="K67" t="s">
        <v>721</v>
      </c>
      <c r="L67" t="s">
        <v>47</v>
      </c>
      <c r="M67" t="s">
        <v>892</v>
      </c>
      <c r="N67" t="s">
        <v>137</v>
      </c>
      <c r="O67" s="6" t="s">
        <v>1135</v>
      </c>
      <c r="P67">
        <f ca="1">SCBAM_GetGroup1Dtl(TermFund[[#This Row],[PortCode]],"NET ASSET VALUE",$S$1,"Marketval") + SCBAM_GetGroup1Dtl(TermFund[[#This Row],[PortCode]],"NET ASSET VALUE", $S$1, "AI")</f>
        <v>1723200706.3899999</v>
      </c>
      <c r="V67" s="76"/>
    </row>
    <row r="68" spans="1:22" x14ac:dyDescent="0.2">
      <c r="A68" t="s">
        <v>1136</v>
      </c>
      <c r="B68" t="s">
        <v>1136</v>
      </c>
      <c r="C68" t="s">
        <v>1136</v>
      </c>
      <c r="D68" t="s">
        <v>1137</v>
      </c>
      <c r="E68" t="s">
        <v>1138</v>
      </c>
      <c r="F68" t="s">
        <v>24</v>
      </c>
      <c r="G68" s="131">
        <v>43305</v>
      </c>
      <c r="H68" t="s">
        <v>898</v>
      </c>
      <c r="J68" s="131">
        <v>43496</v>
      </c>
      <c r="K68" t="s">
        <v>721</v>
      </c>
      <c r="L68" t="s">
        <v>47</v>
      </c>
      <c r="M68" t="s">
        <v>892</v>
      </c>
      <c r="N68" t="s">
        <v>137</v>
      </c>
      <c r="O68" s="6" t="s">
        <v>1139</v>
      </c>
      <c r="P68">
        <f ca="1">SCBAM_GetGroup1Dtl(TermFund[[#This Row],[PortCode]],"NET ASSET VALUE",$S$1,"Marketval") + SCBAM_GetGroup1Dtl(TermFund[[#This Row],[PortCode]],"NET ASSET VALUE", $S$1, "AI")</f>
        <v>2490073232.0300002</v>
      </c>
      <c r="V68" s="76"/>
    </row>
    <row r="69" spans="1:22" x14ac:dyDescent="0.2">
      <c r="A69" t="s">
        <v>334</v>
      </c>
      <c r="B69" t="s">
        <v>334</v>
      </c>
      <c r="C69" t="s">
        <v>334</v>
      </c>
      <c r="D69" t="s">
        <v>798</v>
      </c>
      <c r="E69" t="s">
        <v>799</v>
      </c>
      <c r="F69" t="s">
        <v>24</v>
      </c>
      <c r="G69" s="131">
        <v>43250</v>
      </c>
      <c r="H69" t="s">
        <v>1140</v>
      </c>
      <c r="J69" s="131"/>
      <c r="K69" t="s">
        <v>721</v>
      </c>
      <c r="L69" t="s">
        <v>47</v>
      </c>
      <c r="M69" t="s">
        <v>892</v>
      </c>
      <c r="N69" t="s">
        <v>137</v>
      </c>
      <c r="O69" s="6" t="s">
        <v>1141</v>
      </c>
      <c r="P69">
        <f ca="1">SCBAM_GetGroup1Dtl(TermFund[[#This Row],[PortCode]],"NET ASSET VALUE",$S$1,"Marketval") + SCBAM_GetGroup1Dtl(TermFund[[#This Row],[PortCode]],"NET ASSET VALUE", $S$1, "AI")</f>
        <v>1497773877.4099998</v>
      </c>
      <c r="V69" s="76"/>
    </row>
    <row r="70" spans="1:22" x14ac:dyDescent="0.2">
      <c r="A70" t="s">
        <v>1142</v>
      </c>
      <c r="B70" t="s">
        <v>1142</v>
      </c>
      <c r="C70" t="s">
        <v>1142</v>
      </c>
      <c r="D70" t="s">
        <v>1143</v>
      </c>
      <c r="E70" t="s">
        <v>1144</v>
      </c>
      <c r="F70" t="s">
        <v>24</v>
      </c>
      <c r="G70" s="131">
        <v>43250</v>
      </c>
      <c r="H70" t="s">
        <v>1140</v>
      </c>
      <c r="J70" s="131"/>
      <c r="K70" t="s">
        <v>721</v>
      </c>
      <c r="L70" t="s">
        <v>47</v>
      </c>
      <c r="M70" t="s">
        <v>892</v>
      </c>
      <c r="N70" t="s">
        <v>137</v>
      </c>
      <c r="O70" s="6" t="s">
        <v>1141</v>
      </c>
      <c r="P70">
        <f ca="1">SCBAM_GetGroup1Dtl(TermFund[[#This Row],[PortCode]],"NET ASSET VALUE",$S$1,"Marketval") + SCBAM_GetGroup1Dtl(TermFund[[#This Row],[PortCode]],"NET ASSET VALUE", $S$1, "AI")</f>
        <v>1497773877.4100001</v>
      </c>
      <c r="V70" s="76"/>
    </row>
    <row r="71" spans="1:22" x14ac:dyDescent="0.2">
      <c r="A71" t="s">
        <v>1145</v>
      </c>
      <c r="B71" t="s">
        <v>1145</v>
      </c>
      <c r="C71" t="s">
        <v>1145</v>
      </c>
      <c r="D71" t="s">
        <v>1146</v>
      </c>
      <c r="E71" t="s">
        <v>1147</v>
      </c>
      <c r="F71" t="s">
        <v>24</v>
      </c>
      <c r="G71" s="131">
        <v>40472</v>
      </c>
      <c r="H71" t="s">
        <v>1148</v>
      </c>
      <c r="J71" s="131"/>
      <c r="K71" t="s">
        <v>721</v>
      </c>
      <c r="L71" t="s">
        <v>47</v>
      </c>
      <c r="M71" t="s">
        <v>892</v>
      </c>
      <c r="N71" t="s">
        <v>137</v>
      </c>
      <c r="O71" s="6" t="s">
        <v>1149</v>
      </c>
      <c r="P71">
        <f ca="1">SCBAM_GetGroup1Dtl(TermFund[[#This Row],[PortCode]],"NET ASSET VALUE",$S$1,"Marketval") + SCBAM_GetGroup1Dtl(TermFund[[#This Row],[PortCode]],"NET ASSET VALUE", $S$1, "AI")</f>
        <v>55310719806.720001</v>
      </c>
      <c r="V71" s="76"/>
    </row>
    <row r="72" spans="1:22" x14ac:dyDescent="0.2">
      <c r="A72" t="s">
        <v>335</v>
      </c>
      <c r="B72" t="s">
        <v>335</v>
      </c>
      <c r="C72" t="s">
        <v>335</v>
      </c>
      <c r="D72" t="s">
        <v>1150</v>
      </c>
      <c r="E72" t="s">
        <v>1151</v>
      </c>
      <c r="F72" t="s">
        <v>24</v>
      </c>
      <c r="G72" s="131">
        <v>40472</v>
      </c>
      <c r="H72" t="s">
        <v>1148</v>
      </c>
      <c r="J72" s="131"/>
      <c r="K72" t="s">
        <v>721</v>
      </c>
      <c r="L72" t="s">
        <v>47</v>
      </c>
      <c r="M72" t="s">
        <v>892</v>
      </c>
      <c r="N72" t="s">
        <v>137</v>
      </c>
      <c r="O72" s="6" t="s">
        <v>1149</v>
      </c>
      <c r="P72">
        <f ca="1">SCBAM_GetGroup1Dtl(TermFund[[#This Row],[PortCode]],"NET ASSET VALUE",$S$1,"Marketval") + SCBAM_GetGroup1Dtl(TermFund[[#This Row],[PortCode]],"NET ASSET VALUE", $S$1, "AI")</f>
        <v>55414906542.75</v>
      </c>
      <c r="V72" s="76"/>
    </row>
    <row r="73" spans="1:22" x14ac:dyDescent="0.2">
      <c r="A73" t="s">
        <v>1152</v>
      </c>
      <c r="B73" t="s">
        <v>1152</v>
      </c>
      <c r="C73" t="s">
        <v>1152</v>
      </c>
      <c r="D73" t="s">
        <v>1153</v>
      </c>
      <c r="E73" t="s">
        <v>1154</v>
      </c>
      <c r="F73" t="s">
        <v>24</v>
      </c>
      <c r="G73" s="131">
        <v>42948</v>
      </c>
      <c r="H73" t="s">
        <v>1148</v>
      </c>
      <c r="J73" s="131"/>
      <c r="K73" t="s">
        <v>721</v>
      </c>
      <c r="L73" t="s">
        <v>47</v>
      </c>
      <c r="M73" t="s">
        <v>892</v>
      </c>
      <c r="N73" t="s">
        <v>137</v>
      </c>
      <c r="O73" s="6" t="s">
        <v>1149</v>
      </c>
      <c r="P73">
        <f ca="1">SCBAM_GetGroup1Dtl(TermFund[[#This Row],[PortCode]],"NET ASSET VALUE",$S$1,"Marketval") + SCBAM_GetGroup1Dtl(TermFund[[#This Row],[PortCode]],"NET ASSET VALUE", $S$1, "AI")</f>
        <v>104186736.03</v>
      </c>
      <c r="V73" s="76"/>
    </row>
    <row r="74" spans="1:22" x14ac:dyDescent="0.2">
      <c r="A74" t="s">
        <v>409</v>
      </c>
      <c r="B74" t="s">
        <v>409</v>
      </c>
      <c r="C74" t="s">
        <v>409</v>
      </c>
      <c r="D74" t="s">
        <v>1155</v>
      </c>
      <c r="E74" t="s">
        <v>1156</v>
      </c>
      <c r="F74" t="s">
        <v>24</v>
      </c>
      <c r="G74" s="131">
        <v>42332</v>
      </c>
      <c r="H74" t="s">
        <v>898</v>
      </c>
      <c r="J74" s="131"/>
      <c r="K74" t="s">
        <v>721</v>
      </c>
      <c r="L74" t="s">
        <v>47</v>
      </c>
      <c r="M74" t="s">
        <v>892</v>
      </c>
      <c r="N74" t="s">
        <v>137</v>
      </c>
      <c r="O74" s="6" t="s">
        <v>1157</v>
      </c>
      <c r="P74">
        <f ca="1">SCBAM_GetGroup1Dtl(TermFund[[#This Row],[PortCode]],"NET ASSET VALUE",$S$1,"Marketval") + SCBAM_GetGroup1Dtl(TermFund[[#This Row],[PortCode]],"NET ASSET VALUE", $S$1, "AI")</f>
        <v>674162054.51999998</v>
      </c>
      <c r="V74" s="76"/>
    </row>
    <row r="75" spans="1:22" x14ac:dyDescent="0.2">
      <c r="A75" t="s">
        <v>337</v>
      </c>
      <c r="B75" t="s">
        <v>337</v>
      </c>
      <c r="C75" t="s">
        <v>337</v>
      </c>
      <c r="D75" t="s">
        <v>1158</v>
      </c>
      <c r="E75" t="s">
        <v>1159</v>
      </c>
      <c r="F75" t="s">
        <v>24</v>
      </c>
      <c r="G75" s="131">
        <v>35517</v>
      </c>
      <c r="H75" t="s">
        <v>932</v>
      </c>
      <c r="J75" s="131"/>
      <c r="K75" t="s">
        <v>721</v>
      </c>
      <c r="L75" t="s">
        <v>47</v>
      </c>
      <c r="M75" t="s">
        <v>892</v>
      </c>
      <c r="N75" t="s">
        <v>21</v>
      </c>
      <c r="O75" s="6" t="s">
        <v>1160</v>
      </c>
      <c r="P75">
        <f ca="1">SCBAM_GetGroup1Dtl(TermFund[[#This Row],[PortCode]],"NET ASSET VALUE",$S$1,"Marketval") + SCBAM_GetGroup1Dtl(TermFund[[#This Row],[PortCode]],"NET ASSET VALUE", $S$1, "AI")</f>
        <v>589894219.96999991</v>
      </c>
      <c r="V75" s="76"/>
    </row>
    <row r="76" spans="1:22" x14ac:dyDescent="0.2">
      <c r="A76" t="s">
        <v>338</v>
      </c>
      <c r="B76" t="s">
        <v>338</v>
      </c>
      <c r="C76" t="s">
        <v>338</v>
      </c>
      <c r="D76" t="s">
        <v>1161</v>
      </c>
      <c r="E76" t="s">
        <v>1162</v>
      </c>
      <c r="F76" t="s">
        <v>24</v>
      </c>
      <c r="G76" s="131">
        <v>37301</v>
      </c>
      <c r="H76" t="s">
        <v>891</v>
      </c>
      <c r="J76" s="131"/>
      <c r="K76" t="s">
        <v>721</v>
      </c>
      <c r="L76" t="s">
        <v>47</v>
      </c>
      <c r="M76" t="s">
        <v>892</v>
      </c>
      <c r="N76" t="s">
        <v>21</v>
      </c>
      <c r="O76" s="6" t="s">
        <v>1163</v>
      </c>
      <c r="P76">
        <f ca="1">SCBAM_GetGroup1Dtl(TermFund[[#This Row],[PortCode]],"NET ASSET VALUE",$S$1,"Marketval") + SCBAM_GetGroup1Dtl(TermFund[[#This Row],[PortCode]],"NET ASSET VALUE", $S$1, "AI")</f>
        <v>9744477519.4500008</v>
      </c>
      <c r="V76" s="76"/>
    </row>
    <row r="77" spans="1:22" x14ac:dyDescent="0.2">
      <c r="A77" t="s">
        <v>339</v>
      </c>
      <c r="B77" t="s">
        <v>339</v>
      </c>
      <c r="C77" t="s">
        <v>339</v>
      </c>
      <c r="D77" t="s">
        <v>1164</v>
      </c>
      <c r="E77" t="s">
        <v>1165</v>
      </c>
      <c r="F77" t="s">
        <v>24</v>
      </c>
      <c r="G77" s="131">
        <v>37301</v>
      </c>
      <c r="H77" t="s">
        <v>891</v>
      </c>
      <c r="J77" s="131"/>
      <c r="K77" t="s">
        <v>721</v>
      </c>
      <c r="L77" t="s">
        <v>47</v>
      </c>
      <c r="M77" t="s">
        <v>892</v>
      </c>
      <c r="N77" t="s">
        <v>21</v>
      </c>
      <c r="O77" s="6" t="s">
        <v>1166</v>
      </c>
      <c r="P77">
        <f ca="1">SCBAM_GetGroup1Dtl(TermFund[[#This Row],[PortCode]],"NET ASSET VALUE",$S$1,"Marketval") + SCBAM_GetGroup1Dtl(TermFund[[#This Row],[PortCode]],"NET ASSET VALUE", $S$1, "AI")</f>
        <v>6161006261.4499998</v>
      </c>
      <c r="V77" s="76"/>
    </row>
    <row r="78" spans="1:22" x14ac:dyDescent="0.2">
      <c r="A78" t="s">
        <v>17</v>
      </c>
      <c r="B78" t="s">
        <v>17</v>
      </c>
      <c r="C78" t="s">
        <v>17</v>
      </c>
      <c r="D78" t="s">
        <v>1167</v>
      </c>
      <c r="E78" t="s">
        <v>1168</v>
      </c>
      <c r="F78" t="s">
        <v>24</v>
      </c>
      <c r="G78" s="131">
        <v>35488</v>
      </c>
      <c r="H78" t="s">
        <v>932</v>
      </c>
      <c r="J78" s="131"/>
      <c r="K78" t="s">
        <v>721</v>
      </c>
      <c r="L78" t="s">
        <v>47</v>
      </c>
      <c r="M78" t="s">
        <v>892</v>
      </c>
      <c r="N78" t="s">
        <v>21</v>
      </c>
      <c r="O78" s="6" t="s">
        <v>1169</v>
      </c>
      <c r="P78">
        <f ca="1">SCBAM_GetGroup1Dtl(TermFund[[#This Row],[PortCode]],"NET ASSET VALUE",$S$1,"Marketval") + SCBAM_GetGroup1Dtl(TermFund[[#This Row],[PortCode]],"NET ASSET VALUE", $S$1, "AI")</f>
        <v>72124829967.699997</v>
      </c>
      <c r="V78" s="76"/>
    </row>
    <row r="79" spans="1:22" x14ac:dyDescent="0.2">
      <c r="A79" t="s">
        <v>130</v>
      </c>
      <c r="B79" t="s">
        <v>130</v>
      </c>
      <c r="C79" t="s">
        <v>130</v>
      </c>
      <c r="D79" t="s">
        <v>1170</v>
      </c>
      <c r="E79" t="s">
        <v>1171</v>
      </c>
      <c r="F79" t="s">
        <v>24</v>
      </c>
      <c r="G79" s="131">
        <v>41598</v>
      </c>
      <c r="H79" t="s">
        <v>894</v>
      </c>
      <c r="J79" s="131"/>
      <c r="K79" t="s">
        <v>721</v>
      </c>
      <c r="L79" t="s">
        <v>47</v>
      </c>
      <c r="M79" t="s">
        <v>892</v>
      </c>
      <c r="N79" t="s">
        <v>21</v>
      </c>
      <c r="O79" s="6" t="s">
        <v>1172</v>
      </c>
      <c r="P79">
        <f ca="1">SCBAM_GetGroup1Dtl(TermFund[[#This Row],[PortCode]],"NET ASSET VALUE",$S$1,"Marketval") + SCBAM_GetGroup1Dtl(TermFund[[#This Row],[PortCode]],"NET ASSET VALUE", $S$1, "AI")</f>
        <v>209246055473.82999</v>
      </c>
      <c r="V79" s="76"/>
    </row>
    <row r="80" spans="1:22" x14ac:dyDescent="0.2">
      <c r="A80" t="s">
        <v>1173</v>
      </c>
      <c r="B80" t="s">
        <v>1173</v>
      </c>
      <c r="C80" t="s">
        <v>1173</v>
      </c>
      <c r="D80" t="s">
        <v>1174</v>
      </c>
      <c r="E80" t="s">
        <v>1175</v>
      </c>
      <c r="F80" t="s">
        <v>24</v>
      </c>
      <c r="G80" s="131">
        <v>41598</v>
      </c>
      <c r="H80" t="s">
        <v>894</v>
      </c>
      <c r="J80" s="131"/>
      <c r="K80" t="s">
        <v>721</v>
      </c>
      <c r="L80" t="s">
        <v>47</v>
      </c>
      <c r="M80" t="s">
        <v>892</v>
      </c>
      <c r="N80" t="s">
        <v>21</v>
      </c>
      <c r="O80" s="6" t="s">
        <v>1172</v>
      </c>
      <c r="P80">
        <f ca="1">SCBAM_GetGroup1Dtl(TermFund[[#This Row],[PortCode]],"NET ASSET VALUE",$S$1,"Marketval") + SCBAM_GetGroup1Dtl(TermFund[[#This Row],[PortCode]],"NET ASSET VALUE", $S$1, "AI")</f>
        <v>150200104661.63</v>
      </c>
      <c r="V80" s="76"/>
    </row>
    <row r="81" spans="1:22" x14ac:dyDescent="0.2">
      <c r="A81" t="s">
        <v>1176</v>
      </c>
      <c r="B81" t="s">
        <v>1176</v>
      </c>
      <c r="C81" t="s">
        <v>1176</v>
      </c>
      <c r="D81" t="s">
        <v>1177</v>
      </c>
      <c r="E81" t="s">
        <v>1178</v>
      </c>
      <c r="F81" t="s">
        <v>24</v>
      </c>
      <c r="G81" s="131">
        <v>41598</v>
      </c>
      <c r="H81" t="s">
        <v>894</v>
      </c>
      <c r="J81" s="131"/>
      <c r="K81" t="s">
        <v>721</v>
      </c>
      <c r="L81" t="s">
        <v>47</v>
      </c>
      <c r="M81" t="s">
        <v>892</v>
      </c>
      <c r="N81" t="s">
        <v>21</v>
      </c>
      <c r="O81" s="6" t="s">
        <v>1172</v>
      </c>
      <c r="P81">
        <f ca="1">SCBAM_GetGroup1Dtl(TermFund[[#This Row],[PortCode]],"NET ASSET VALUE",$S$1,"Marketval") + SCBAM_GetGroup1Dtl(TermFund[[#This Row],[PortCode]],"NET ASSET VALUE", $S$1, "AI")</f>
        <v>40949593784.199997</v>
      </c>
      <c r="V81" s="76"/>
    </row>
    <row r="82" spans="1:22" x14ac:dyDescent="0.2">
      <c r="A82" t="s">
        <v>1179</v>
      </c>
      <c r="B82" t="s">
        <v>1179</v>
      </c>
      <c r="C82" t="s">
        <v>1179</v>
      </c>
      <c r="D82" t="s">
        <v>1180</v>
      </c>
      <c r="E82" t="s">
        <v>1181</v>
      </c>
      <c r="F82" t="s">
        <v>24</v>
      </c>
      <c r="G82" s="131">
        <v>41598</v>
      </c>
      <c r="H82" t="s">
        <v>894</v>
      </c>
      <c r="J82" s="131"/>
      <c r="K82" t="s">
        <v>721</v>
      </c>
      <c r="L82" t="s">
        <v>47</v>
      </c>
      <c r="M82" t="s">
        <v>892</v>
      </c>
      <c r="N82" t="s">
        <v>21</v>
      </c>
      <c r="O82" s="6" t="s">
        <v>1172</v>
      </c>
      <c r="P82">
        <f ca="1">SCBAM_GetGroup1Dtl(TermFund[[#This Row],[PortCode]],"NET ASSET VALUE",$S$1,"Marketval") + SCBAM_GetGroup1Dtl(TermFund[[#This Row],[PortCode]],"NET ASSET VALUE", $S$1, "AI")</f>
        <v>14952683577.07</v>
      </c>
      <c r="V82" s="76"/>
    </row>
    <row r="83" spans="1:22" x14ac:dyDescent="0.2">
      <c r="A83" t="s">
        <v>1182</v>
      </c>
      <c r="B83" t="s">
        <v>1182</v>
      </c>
      <c r="C83" t="s">
        <v>1182</v>
      </c>
      <c r="D83" t="s">
        <v>1183</v>
      </c>
      <c r="E83" t="s">
        <v>1184</v>
      </c>
      <c r="F83" t="s">
        <v>24</v>
      </c>
      <c r="G83" s="131">
        <v>43132</v>
      </c>
      <c r="H83" t="s">
        <v>1140</v>
      </c>
      <c r="J83" s="131"/>
      <c r="K83" t="s">
        <v>721</v>
      </c>
      <c r="L83" t="s">
        <v>47</v>
      </c>
      <c r="M83" t="s">
        <v>892</v>
      </c>
      <c r="N83" t="s">
        <v>21</v>
      </c>
      <c r="O83" s="6" t="s">
        <v>1172</v>
      </c>
      <c r="P83">
        <f ca="1">SCBAM_GetGroup1Dtl(TermFund[[#This Row],[PortCode]],"NET ASSET VALUE",$S$1,"Marketval") + SCBAM_GetGroup1Dtl(TermFund[[#This Row],[PortCode]],"NET ASSET VALUE", $S$1, "AI")</f>
        <v>3143673450.9299998</v>
      </c>
      <c r="V83" s="76"/>
    </row>
    <row r="84" spans="1:22" x14ac:dyDescent="0.2">
      <c r="A84" t="s">
        <v>131</v>
      </c>
      <c r="B84" t="s">
        <v>131</v>
      </c>
      <c r="C84" t="s">
        <v>131</v>
      </c>
      <c r="D84" t="s">
        <v>1185</v>
      </c>
      <c r="E84" t="s">
        <v>1186</v>
      </c>
      <c r="F84" t="s">
        <v>24</v>
      </c>
      <c r="G84" s="131">
        <v>40015</v>
      </c>
      <c r="H84" t="s">
        <v>932</v>
      </c>
      <c r="J84" s="131"/>
      <c r="K84" t="s">
        <v>721</v>
      </c>
      <c r="L84" t="s">
        <v>47</v>
      </c>
      <c r="M84" t="s">
        <v>892</v>
      </c>
      <c r="N84" t="s">
        <v>137</v>
      </c>
      <c r="O84" s="6" t="s">
        <v>1187</v>
      </c>
      <c r="P84">
        <f ca="1">SCBAM_GetGroup1Dtl(TermFund[[#This Row],[PortCode]],"NET ASSET VALUE",$S$1,"Marketval") + SCBAM_GetGroup1Dtl(TermFund[[#This Row],[PortCode]],"NET ASSET VALUE", $S$1, "AI")</f>
        <v>3562501996.0999999</v>
      </c>
      <c r="V84" s="76"/>
    </row>
    <row r="85" spans="1:22" x14ac:dyDescent="0.2">
      <c r="A85" t="s">
        <v>132</v>
      </c>
      <c r="B85" t="s">
        <v>132</v>
      </c>
      <c r="C85" t="s">
        <v>132</v>
      </c>
      <c r="D85" t="s">
        <v>1188</v>
      </c>
      <c r="E85" t="s">
        <v>1189</v>
      </c>
      <c r="F85" t="s">
        <v>24</v>
      </c>
      <c r="G85" s="131">
        <v>41157</v>
      </c>
      <c r="H85" t="s">
        <v>1190</v>
      </c>
      <c r="J85" s="131"/>
      <c r="K85" t="s">
        <v>721</v>
      </c>
      <c r="L85" t="s">
        <v>47</v>
      </c>
      <c r="M85" t="s">
        <v>892</v>
      </c>
      <c r="N85" t="s">
        <v>137</v>
      </c>
      <c r="O85" s="6" t="s">
        <v>1191</v>
      </c>
      <c r="P85">
        <f ca="1">SCBAM_GetGroup1Dtl(TermFund[[#This Row],[PortCode]],"NET ASSET VALUE",$S$1,"Marketval") + SCBAM_GetGroup1Dtl(TermFund[[#This Row],[PortCode]],"NET ASSET VALUE", $S$1, "AI")</f>
        <v>11804436943.77</v>
      </c>
      <c r="V85" s="76"/>
    </row>
    <row r="86" spans="1:22" x14ac:dyDescent="0.2">
      <c r="A86" t="s">
        <v>1192</v>
      </c>
      <c r="B86" t="s">
        <v>1192</v>
      </c>
      <c r="C86" t="s">
        <v>1192</v>
      </c>
      <c r="D86" t="s">
        <v>1193</v>
      </c>
      <c r="E86" t="s">
        <v>1194</v>
      </c>
      <c r="F86" t="s">
        <v>24</v>
      </c>
      <c r="G86" s="131">
        <v>41157</v>
      </c>
      <c r="H86" t="s">
        <v>1190</v>
      </c>
      <c r="J86" s="131"/>
      <c r="K86" t="s">
        <v>721</v>
      </c>
      <c r="L86" t="s">
        <v>47</v>
      </c>
      <c r="M86" t="s">
        <v>892</v>
      </c>
      <c r="N86" t="s">
        <v>137</v>
      </c>
      <c r="O86" s="6" t="s">
        <v>1191</v>
      </c>
      <c r="P86">
        <f ca="1">SCBAM_GetGroup1Dtl(TermFund[[#This Row],[PortCode]],"NET ASSET VALUE",$S$1,"Marketval") + SCBAM_GetGroup1Dtl(TermFund[[#This Row],[PortCode]],"NET ASSET VALUE", $S$1, "AI")</f>
        <v>5082908928.8299999</v>
      </c>
      <c r="V86" s="76"/>
    </row>
    <row r="87" spans="1:22" x14ac:dyDescent="0.2">
      <c r="A87" t="s">
        <v>1195</v>
      </c>
      <c r="B87" t="s">
        <v>1195</v>
      </c>
      <c r="C87" t="s">
        <v>1195</v>
      </c>
      <c r="D87" t="s">
        <v>1196</v>
      </c>
      <c r="E87" t="s">
        <v>1197</v>
      </c>
      <c r="F87" t="s">
        <v>24</v>
      </c>
      <c r="G87" s="131">
        <v>41157</v>
      </c>
      <c r="H87" t="s">
        <v>1190</v>
      </c>
      <c r="J87" s="131"/>
      <c r="K87" t="s">
        <v>721</v>
      </c>
      <c r="L87" t="s">
        <v>47</v>
      </c>
      <c r="M87" t="s">
        <v>892</v>
      </c>
      <c r="N87" t="s">
        <v>137</v>
      </c>
      <c r="O87" s="6" t="s">
        <v>1191</v>
      </c>
      <c r="P87">
        <f ca="1">SCBAM_GetGroup1Dtl(TermFund[[#This Row],[PortCode]],"NET ASSET VALUE",$S$1,"Marketval") + SCBAM_GetGroup1Dtl(TermFund[[#This Row],[PortCode]],"NET ASSET VALUE", $S$1, "AI")</f>
        <v>387378055.44</v>
      </c>
      <c r="V87" s="76"/>
    </row>
    <row r="88" spans="1:22" x14ac:dyDescent="0.2">
      <c r="A88" t="s">
        <v>1198</v>
      </c>
      <c r="B88" t="s">
        <v>1198</v>
      </c>
      <c r="C88" t="s">
        <v>1198</v>
      </c>
      <c r="D88" t="s">
        <v>1199</v>
      </c>
      <c r="E88" t="s">
        <v>1200</v>
      </c>
      <c r="F88" t="s">
        <v>24</v>
      </c>
      <c r="G88" s="131">
        <v>41157</v>
      </c>
      <c r="H88" t="s">
        <v>1190</v>
      </c>
      <c r="J88" s="131"/>
      <c r="K88" t="s">
        <v>721</v>
      </c>
      <c r="L88" t="s">
        <v>47</v>
      </c>
      <c r="M88" t="s">
        <v>892</v>
      </c>
      <c r="N88" t="s">
        <v>137</v>
      </c>
      <c r="O88" s="6" t="s">
        <v>1191</v>
      </c>
      <c r="P88">
        <f ca="1">SCBAM_GetGroup1Dtl(TermFund[[#This Row],[PortCode]],"NET ASSET VALUE",$S$1,"Marketval") + SCBAM_GetGroup1Dtl(TermFund[[#This Row],[PortCode]],"NET ASSET VALUE", $S$1, "AI")</f>
        <v>6027630912.2799997</v>
      </c>
      <c r="V88" s="76"/>
    </row>
    <row r="89" spans="1:22" x14ac:dyDescent="0.2">
      <c r="A89" t="s">
        <v>1201</v>
      </c>
      <c r="B89" t="s">
        <v>1201</v>
      </c>
      <c r="C89" t="s">
        <v>1201</v>
      </c>
      <c r="D89" t="s">
        <v>1202</v>
      </c>
      <c r="E89" t="s">
        <v>1203</v>
      </c>
      <c r="F89" t="s">
        <v>24</v>
      </c>
      <c r="G89" s="131">
        <v>42948</v>
      </c>
      <c r="H89" t="s">
        <v>1140</v>
      </c>
      <c r="J89" s="131"/>
      <c r="K89" t="s">
        <v>721</v>
      </c>
      <c r="L89" t="s">
        <v>47</v>
      </c>
      <c r="M89" t="s">
        <v>892</v>
      </c>
      <c r="N89" t="s">
        <v>137</v>
      </c>
      <c r="O89" s="6" t="s">
        <v>1191</v>
      </c>
      <c r="P89">
        <f ca="1">SCBAM_GetGroup1Dtl(TermFund[[#This Row],[PortCode]],"NET ASSET VALUE",$S$1,"Marketval") + SCBAM_GetGroup1Dtl(TermFund[[#This Row],[PortCode]],"NET ASSET VALUE", $S$1, "AI")</f>
        <v>306519047.22000003</v>
      </c>
      <c r="V89" s="76"/>
    </row>
    <row r="90" spans="1:22" x14ac:dyDescent="0.2">
      <c r="G90" s="131"/>
      <c r="J90" s="131"/>
      <c r="O90" s="6"/>
      <c r="P90" t="e">
        <f ca="1">SCBAM_GetGroup1Dtl(TermFund[[#This Row],[PortCode]],"NET ASSET VALUE",$S$1,"Marketval") + SCBAM_GetGroup1Dtl(TermFund[[#This Row],[PortCode]],"NET ASSET VALUE", $S$1, "AI")</f>
        <v>#VALUE!</v>
      </c>
      <c r="V90" s="76"/>
    </row>
    <row r="91" spans="1:22" x14ac:dyDescent="0.2">
      <c r="G91" s="131"/>
      <c r="J91" s="131"/>
      <c r="O91" s="6"/>
      <c r="P91" t="e">
        <f ca="1">SCBAM_GetGroup1Dtl(TermFund[[#This Row],[PortCode]],"NET ASSET VALUE",$S$1,"Marketval") + SCBAM_GetGroup1Dtl(TermFund[[#This Row],[PortCode]],"NET ASSET VALUE", $S$1, "AI")</f>
        <v>#VALUE!</v>
      </c>
      <c r="V91" s="76"/>
    </row>
    <row r="92" spans="1:22" x14ac:dyDescent="0.2">
      <c r="G92" s="131"/>
      <c r="J92" s="131"/>
      <c r="O92" s="6"/>
      <c r="P92" t="e">
        <f ca="1">SCBAM_GetGroup1Dtl(TermFund[[#This Row],[PortCode]],"NET ASSET VALUE",$S$1,"Marketval") + SCBAM_GetGroup1Dtl(TermFund[[#This Row],[PortCode]],"NET ASSET VALUE", $S$1, "AI")</f>
        <v>#VALUE!</v>
      </c>
      <c r="V92" s="76"/>
    </row>
    <row r="93" spans="1:22" x14ac:dyDescent="0.2">
      <c r="G93" s="131"/>
      <c r="J93" s="131"/>
      <c r="O93" s="6"/>
      <c r="P93" t="e">
        <f ca="1">SCBAM_GetGroup1Dtl(TermFund[[#This Row],[PortCode]],"NET ASSET VALUE",$S$1,"Marketval") + SCBAM_GetGroup1Dtl(TermFund[[#This Row],[PortCode]],"NET ASSET VALUE", $S$1, "AI")</f>
        <v>#VALUE!</v>
      </c>
      <c r="V93" s="76"/>
    </row>
    <row r="94" spans="1:22" x14ac:dyDescent="0.2">
      <c r="G94" s="131"/>
      <c r="J94" s="131"/>
      <c r="O94" s="6"/>
      <c r="P94" t="e">
        <f ca="1">SCBAM_GetGroup1Dtl(TermFund[[#This Row],[PortCode]],"NET ASSET VALUE",$S$1,"Marketval") + SCBAM_GetGroup1Dtl(TermFund[[#This Row],[PortCode]],"NET ASSET VALUE", $S$1, "AI")</f>
        <v>#VALUE!</v>
      </c>
      <c r="V94" s="76"/>
    </row>
    <row r="95" spans="1:22" x14ac:dyDescent="0.2">
      <c r="G95" s="131"/>
      <c r="J95" s="131"/>
      <c r="O95" s="6"/>
      <c r="P95" t="e">
        <f ca="1">SCBAM_GetGroup1Dtl(TermFund[[#This Row],[PortCode]],"NET ASSET VALUE",$S$1,"Marketval") + SCBAM_GetGroup1Dtl(TermFund[[#This Row],[PortCode]],"NET ASSET VALUE", $S$1, "AI")</f>
        <v>#VALUE!</v>
      </c>
      <c r="V95" s="76"/>
    </row>
    <row r="96" spans="1:22" x14ac:dyDescent="0.2">
      <c r="G96" s="131"/>
      <c r="J96" s="131"/>
      <c r="O96" s="6"/>
      <c r="P96" t="e">
        <f ca="1">SCBAM_GetGroup1Dtl(TermFund[[#This Row],[PortCode]],"NET ASSET VALUE",$S$1,"Marketval") + SCBAM_GetGroup1Dtl(TermFund[[#This Row],[PortCode]],"NET ASSET VALUE", $S$1, "AI")</f>
        <v>#VALUE!</v>
      </c>
      <c r="V96" s="76"/>
    </row>
    <row r="97" spans="7:22" x14ac:dyDescent="0.2">
      <c r="G97" s="131"/>
      <c r="J97" s="131"/>
      <c r="O97" s="6"/>
      <c r="P97" t="e">
        <f ca="1">SCBAM_GetGroup1Dtl(TermFund[[#This Row],[PortCode]],"NET ASSET VALUE",$S$1,"Marketval") + SCBAM_GetGroup1Dtl(TermFund[[#This Row],[PortCode]],"NET ASSET VALUE", $S$1, "AI")</f>
        <v>#VALUE!</v>
      </c>
      <c r="V97" s="76"/>
    </row>
    <row r="98" spans="7:22" x14ac:dyDescent="0.2">
      <c r="G98" s="131"/>
      <c r="J98" s="131"/>
      <c r="O98" s="6"/>
      <c r="P98" t="e">
        <f ca="1">SCBAM_GetGroup1Dtl(TermFund[[#This Row],[PortCode]],"NET ASSET VALUE",$S$1,"Marketval") + SCBAM_GetGroup1Dtl(TermFund[[#This Row],[PortCode]],"NET ASSET VALUE", $S$1, "AI")</f>
        <v>#VALUE!</v>
      </c>
      <c r="V98" s="76"/>
    </row>
    <row r="99" spans="7:22" x14ac:dyDescent="0.2">
      <c r="G99" s="131"/>
      <c r="J99" s="131"/>
      <c r="O99" s="6"/>
      <c r="P99" t="e">
        <f ca="1">SCBAM_GetGroup1Dtl(TermFund[[#This Row],[PortCode]],"NET ASSET VALUE",$S$1,"Marketval") + SCBAM_GetGroup1Dtl(TermFund[[#This Row],[PortCode]],"NET ASSET VALUE", $S$1, "AI")</f>
        <v>#VALUE!</v>
      </c>
      <c r="V99" s="76"/>
    </row>
    <row r="100" spans="7:22" x14ac:dyDescent="0.2">
      <c r="G100" s="131"/>
      <c r="J100" s="131"/>
      <c r="O100" s="6"/>
      <c r="P100" t="e">
        <f ca="1">SCBAM_GetGroup1Dtl(TermFund[[#This Row],[PortCode]],"NET ASSET VALUE",$S$1,"Marketval") + SCBAM_GetGroup1Dtl(TermFund[[#This Row],[PortCode]],"NET ASSET VALUE", $S$1, "AI")</f>
        <v>#VALUE!</v>
      </c>
      <c r="V100" s="76"/>
    </row>
    <row r="101" spans="7:22" x14ac:dyDescent="0.2">
      <c r="G101" s="131"/>
      <c r="J101" s="131"/>
      <c r="O101" s="6"/>
      <c r="P101" t="e">
        <f ca="1">SCBAM_GetGroup1Dtl(TermFund[[#This Row],[PortCode]],"NET ASSET VALUE",$S$1,"Marketval") + SCBAM_GetGroup1Dtl(TermFund[[#This Row],[PortCode]],"NET ASSET VALUE", $S$1, "AI")</f>
        <v>#VALUE!</v>
      </c>
      <c r="V101" s="76"/>
    </row>
    <row r="102" spans="7:22" x14ac:dyDescent="0.2">
      <c r="G102" s="131"/>
      <c r="J102" s="131"/>
      <c r="O102" s="6"/>
      <c r="P102" t="e">
        <f ca="1">SCBAM_GetGroup1Dtl(TermFund[[#This Row],[PortCode]],"NET ASSET VALUE",$S$1,"Marketval") + SCBAM_GetGroup1Dtl(TermFund[[#This Row],[PortCode]],"NET ASSET VALUE", $S$1, "AI")</f>
        <v>#VALUE!</v>
      </c>
      <c r="V102" s="76"/>
    </row>
    <row r="103" spans="7:22" x14ac:dyDescent="0.2">
      <c r="G103" s="131"/>
      <c r="J103" s="131"/>
      <c r="O103" s="6"/>
      <c r="P103" t="e">
        <f ca="1">SCBAM_GetGroup1Dtl(TermFund[[#This Row],[PortCode]],"NET ASSET VALUE",$S$1,"Marketval") + SCBAM_GetGroup1Dtl(TermFund[[#This Row],[PortCode]],"NET ASSET VALUE", $S$1, "AI")</f>
        <v>#VALUE!</v>
      </c>
      <c r="V103" s="76"/>
    </row>
    <row r="104" spans="7:22" x14ac:dyDescent="0.2">
      <c r="G104" s="131"/>
      <c r="J104" s="131"/>
      <c r="O104" s="6"/>
      <c r="P104" t="e">
        <f ca="1">SCBAM_GetGroup1Dtl(TermFund[[#This Row],[PortCode]],"NET ASSET VALUE",$S$1,"Marketval") + SCBAM_GetGroup1Dtl(TermFund[[#This Row],[PortCode]],"NET ASSET VALUE", $S$1, "AI")</f>
        <v>#VALUE!</v>
      </c>
      <c r="V104" s="76"/>
    </row>
    <row r="105" spans="7:22" x14ac:dyDescent="0.2">
      <c r="G105" s="131"/>
      <c r="J105" s="131"/>
      <c r="O105" s="6"/>
      <c r="P105" t="e">
        <f ca="1">SCBAM_GetGroup1Dtl(TermFund[[#This Row],[PortCode]],"NET ASSET VALUE",$S$1,"Marketval") + SCBAM_GetGroup1Dtl(TermFund[[#This Row],[PortCode]],"NET ASSET VALUE", $S$1, "AI")</f>
        <v>#VALUE!</v>
      </c>
      <c r="V105" s="76"/>
    </row>
    <row r="106" spans="7:22" x14ac:dyDescent="0.2">
      <c r="G106" s="131"/>
      <c r="J106" s="131"/>
      <c r="O106" s="6"/>
      <c r="P106" t="e">
        <f ca="1">SCBAM_GetGroup1Dtl(TermFund[[#This Row],[PortCode]],"NET ASSET VALUE",$S$1,"Marketval") + SCBAM_GetGroup1Dtl(TermFund[[#This Row],[PortCode]],"NET ASSET VALUE", $S$1, "AI")</f>
        <v>#VALUE!</v>
      </c>
      <c r="V106" s="76"/>
    </row>
    <row r="107" spans="7:22" x14ac:dyDescent="0.2">
      <c r="G107" s="131"/>
      <c r="J107" s="131"/>
      <c r="O107" s="6"/>
      <c r="P107" t="e">
        <f ca="1">SCBAM_GetGroup1Dtl(TermFund[[#This Row],[PortCode]],"NET ASSET VALUE",$S$1,"Marketval") + SCBAM_GetGroup1Dtl(TermFund[[#This Row],[PortCode]],"NET ASSET VALUE", $S$1, "AI")</f>
        <v>#VALUE!</v>
      </c>
      <c r="V107" s="76"/>
    </row>
    <row r="108" spans="7:22" x14ac:dyDescent="0.2">
      <c r="G108" s="131"/>
      <c r="J108" s="131"/>
      <c r="O108" s="6"/>
      <c r="P108" t="e">
        <f ca="1">SCBAM_GetGroup1Dtl(TermFund[[#This Row],[PortCode]],"NET ASSET VALUE",$S$1,"Marketval") + SCBAM_GetGroup1Dtl(TermFund[[#This Row],[PortCode]],"NET ASSET VALUE", $S$1, "AI")</f>
        <v>#VALUE!</v>
      </c>
      <c r="V108" s="76"/>
    </row>
    <row r="109" spans="7:22" x14ac:dyDescent="0.2">
      <c r="G109" s="131"/>
      <c r="J109" s="131"/>
      <c r="O109" s="6"/>
      <c r="P109" t="e">
        <f ca="1">SCBAM_GetGroup1Dtl(TermFund[[#This Row],[PortCode]],"NET ASSET VALUE",$S$1,"Marketval") + SCBAM_GetGroup1Dtl(TermFund[[#This Row],[PortCode]],"NET ASSET VALUE", $S$1, "AI")</f>
        <v>#VALUE!</v>
      </c>
      <c r="V109" s="76"/>
    </row>
    <row r="110" spans="7:22" x14ac:dyDescent="0.2">
      <c r="G110" s="131"/>
      <c r="J110" s="131"/>
      <c r="O110" s="6"/>
      <c r="P110" t="e">
        <f ca="1">SCBAM_GetGroup1Dtl(TermFund[[#This Row],[PortCode]],"NET ASSET VALUE",$S$1,"Marketval") + SCBAM_GetGroup1Dtl(TermFund[[#This Row],[PortCode]],"NET ASSET VALUE", $S$1, "AI")</f>
        <v>#VALUE!</v>
      </c>
      <c r="V110" s="76"/>
    </row>
    <row r="111" spans="7:22" x14ac:dyDescent="0.2">
      <c r="G111" s="131"/>
      <c r="J111" s="131"/>
      <c r="O111" s="6"/>
      <c r="P111" t="e">
        <f ca="1">SCBAM_GetGroup1Dtl(TermFund[[#This Row],[PortCode]],"NET ASSET VALUE",$S$1,"Marketval") + SCBAM_GetGroup1Dtl(TermFund[[#This Row],[PortCode]],"NET ASSET VALUE", $S$1, "AI")</f>
        <v>#VALUE!</v>
      </c>
      <c r="V111" s="76"/>
    </row>
    <row r="112" spans="7:22" x14ac:dyDescent="0.2">
      <c r="G112" s="131"/>
      <c r="J112" s="131"/>
      <c r="O112" s="6"/>
      <c r="P112" t="e">
        <f ca="1">SCBAM_GetGroup1Dtl(TermFund[[#This Row],[PortCode]],"NET ASSET VALUE",$S$1,"Marketval") + SCBAM_GetGroup1Dtl(TermFund[[#This Row],[PortCode]],"NET ASSET VALUE", $S$1, "AI")</f>
        <v>#VALUE!</v>
      </c>
      <c r="V112" s="76"/>
    </row>
    <row r="113" spans="7:22" x14ac:dyDescent="0.2">
      <c r="G113" s="131"/>
      <c r="J113" s="131"/>
      <c r="O113" s="6"/>
      <c r="P113" t="e">
        <f ca="1">SCBAM_GetGroup1Dtl(TermFund[[#This Row],[PortCode]],"NET ASSET VALUE",$S$1,"Marketval") + SCBAM_GetGroup1Dtl(TermFund[[#This Row],[PortCode]],"NET ASSET VALUE", $S$1, "AI")</f>
        <v>#VALUE!</v>
      </c>
      <c r="V113" s="76"/>
    </row>
    <row r="114" spans="7:22" x14ac:dyDescent="0.2">
      <c r="G114" s="131"/>
      <c r="J114" s="131"/>
      <c r="O114" s="6"/>
      <c r="P114" t="e">
        <f ca="1">SCBAM_GetGroup1Dtl(TermFund[[#This Row],[PortCode]],"NET ASSET VALUE",$S$1,"Marketval") + SCBAM_GetGroup1Dtl(TermFund[[#This Row],[PortCode]],"NET ASSET VALUE", $S$1, "AI")</f>
        <v>#VALUE!</v>
      </c>
      <c r="V114" s="76"/>
    </row>
    <row r="115" spans="7:22" x14ac:dyDescent="0.2">
      <c r="G115" s="131"/>
      <c r="J115" s="131"/>
      <c r="O115" s="6"/>
      <c r="P115" t="e">
        <f ca="1">SCBAM_GetGroup1Dtl(TermFund[[#This Row],[PortCode]],"NET ASSET VALUE",$S$1,"Marketval") + SCBAM_GetGroup1Dtl(TermFund[[#This Row],[PortCode]],"NET ASSET VALUE", $S$1, "AI")</f>
        <v>#VALUE!</v>
      </c>
      <c r="V115" s="76"/>
    </row>
    <row r="116" spans="7:22" x14ac:dyDescent="0.2">
      <c r="G116" s="131"/>
      <c r="J116" s="131"/>
      <c r="O116" s="6"/>
      <c r="P116" t="e">
        <f ca="1">SCBAM_GetGroup1Dtl(TermFund[[#This Row],[PortCode]],"NET ASSET VALUE",$S$1,"Marketval") + SCBAM_GetGroup1Dtl(TermFund[[#This Row],[PortCode]],"NET ASSET VALUE", $S$1, "AI")</f>
        <v>#VALUE!</v>
      </c>
      <c r="V116" s="76"/>
    </row>
    <row r="117" spans="7:22" x14ac:dyDescent="0.2">
      <c r="G117" s="131"/>
      <c r="J117" s="131"/>
      <c r="O117" s="6"/>
      <c r="P117" t="e">
        <f ca="1">SCBAM_GetGroup1Dtl(TermFund[[#This Row],[PortCode]],"NET ASSET VALUE",$S$1,"Marketval") + SCBAM_GetGroup1Dtl(TermFund[[#This Row],[PortCode]],"NET ASSET VALUE", $S$1, "AI")</f>
        <v>#VALUE!</v>
      </c>
      <c r="V117" s="76"/>
    </row>
    <row r="118" spans="7:22" x14ac:dyDescent="0.2">
      <c r="G118" s="131"/>
      <c r="J118" s="131"/>
      <c r="O118" s="6"/>
      <c r="P118" t="e">
        <f ca="1">SCBAM_GetGroup1Dtl(TermFund[[#This Row],[PortCode]],"NET ASSET VALUE",$S$1,"Marketval") + SCBAM_GetGroup1Dtl(TermFund[[#This Row],[PortCode]],"NET ASSET VALUE", $S$1, "AI")</f>
        <v>#VALUE!</v>
      </c>
      <c r="V118" s="76"/>
    </row>
    <row r="119" spans="7:22" x14ac:dyDescent="0.2">
      <c r="G119" s="131"/>
      <c r="J119" s="131"/>
      <c r="O119" s="6"/>
      <c r="P119" t="e">
        <f ca="1">SCBAM_GetGroup1Dtl(TermFund[[#This Row],[PortCode]],"NET ASSET VALUE",$S$1,"Marketval") + SCBAM_GetGroup1Dtl(TermFund[[#This Row],[PortCode]],"NET ASSET VALUE", $S$1, "AI")</f>
        <v>#VALUE!</v>
      </c>
      <c r="V119" s="76"/>
    </row>
    <row r="120" spans="7:22" x14ac:dyDescent="0.2">
      <c r="G120" s="131"/>
      <c r="J120" s="131"/>
      <c r="O120" s="6"/>
      <c r="P120" t="e">
        <f ca="1">SCBAM_GetGroup1Dtl(TermFund[[#This Row],[PortCode]],"NET ASSET VALUE",$S$1,"Marketval") + SCBAM_GetGroup1Dtl(TermFund[[#This Row],[PortCode]],"NET ASSET VALUE", $S$1, "AI")</f>
        <v>#VALUE!</v>
      </c>
      <c r="V120" s="76"/>
    </row>
    <row r="121" spans="7:22" x14ac:dyDescent="0.2">
      <c r="G121" s="131"/>
      <c r="J121" s="131"/>
      <c r="O121" s="6"/>
      <c r="P121" t="e">
        <f ca="1">SCBAM_GetGroup1Dtl(TermFund[[#This Row],[PortCode]],"NET ASSET VALUE",$S$1,"Marketval") + SCBAM_GetGroup1Dtl(TermFund[[#This Row],[PortCode]],"NET ASSET VALUE", $S$1, "AI")</f>
        <v>#VALUE!</v>
      </c>
      <c r="V121" s="76"/>
    </row>
    <row r="122" spans="7:22" x14ac:dyDescent="0.2">
      <c r="G122" s="131"/>
      <c r="J122" s="131"/>
      <c r="O122" s="6"/>
      <c r="P122" t="e">
        <f ca="1">SCBAM_GetGroup1Dtl(TermFund[[#This Row],[PortCode]],"NET ASSET VALUE",$S$1,"Marketval") + SCBAM_GetGroup1Dtl(TermFund[[#This Row],[PortCode]],"NET ASSET VALUE", $S$1, "AI")</f>
        <v>#VALUE!</v>
      </c>
      <c r="V122" s="76"/>
    </row>
    <row r="123" spans="7:22" x14ac:dyDescent="0.2">
      <c r="G123" s="131"/>
      <c r="J123" s="131"/>
      <c r="O123" s="6"/>
      <c r="P123" t="e">
        <f ca="1">SCBAM_GetGroup1Dtl(TermFund[[#This Row],[PortCode]],"NET ASSET VALUE",$S$1,"Marketval") + SCBAM_GetGroup1Dtl(TermFund[[#This Row],[PortCode]],"NET ASSET VALUE", $S$1, "AI")</f>
        <v>#VALUE!</v>
      </c>
      <c r="V123" s="76"/>
    </row>
    <row r="124" spans="7:22" x14ac:dyDescent="0.2">
      <c r="G124" s="131"/>
      <c r="J124" s="131"/>
      <c r="O124" s="6"/>
      <c r="P124" t="e">
        <f ca="1">SCBAM_GetGroup1Dtl(TermFund[[#This Row],[PortCode]],"NET ASSET VALUE",$S$1,"Marketval") + SCBAM_GetGroup1Dtl(TermFund[[#This Row],[PortCode]],"NET ASSET VALUE", $S$1, "AI")</f>
        <v>#VALUE!</v>
      </c>
      <c r="V124" s="76"/>
    </row>
    <row r="125" spans="7:22" x14ac:dyDescent="0.2">
      <c r="G125" s="131"/>
      <c r="J125" s="131"/>
      <c r="O125" s="6"/>
      <c r="P125" t="e">
        <f ca="1">SCBAM_GetGroup1Dtl(TermFund[[#This Row],[PortCode]],"NET ASSET VALUE",$S$1,"Marketval") + SCBAM_GetGroup1Dtl(TermFund[[#This Row],[PortCode]],"NET ASSET VALUE", $S$1, "AI")</f>
        <v>#VALUE!</v>
      </c>
      <c r="V125" s="76"/>
    </row>
    <row r="126" spans="7:22" x14ac:dyDescent="0.2">
      <c r="G126" s="131"/>
      <c r="J126" s="131"/>
      <c r="O126" s="6"/>
      <c r="P126" t="e">
        <f ca="1">SCBAM_GetGroup1Dtl(TermFund[[#This Row],[PortCode]],"NET ASSET VALUE",$S$1,"Marketval") + SCBAM_GetGroup1Dtl(TermFund[[#This Row],[PortCode]],"NET ASSET VALUE", $S$1, "AI")</f>
        <v>#VALUE!</v>
      </c>
      <c r="V126" s="76"/>
    </row>
    <row r="127" spans="7:22" x14ac:dyDescent="0.2">
      <c r="G127" s="131"/>
      <c r="J127" s="131"/>
      <c r="O127" s="6"/>
      <c r="P127" t="e">
        <f ca="1">SCBAM_GetGroup1Dtl(TermFund[[#This Row],[PortCode]],"NET ASSET VALUE",$S$1,"Marketval") + SCBAM_GetGroup1Dtl(TermFund[[#This Row],[PortCode]],"NET ASSET VALUE", $S$1, "AI")</f>
        <v>#VALUE!</v>
      </c>
      <c r="V127" s="76"/>
    </row>
    <row r="128" spans="7:22" x14ac:dyDescent="0.2">
      <c r="G128" s="131"/>
      <c r="J128" s="131"/>
      <c r="O128" s="6"/>
      <c r="P128" t="e">
        <f ca="1">SCBAM_GetGroup1Dtl(TermFund[[#This Row],[PortCode]],"NET ASSET VALUE",$S$1,"Marketval") + SCBAM_GetGroup1Dtl(TermFund[[#This Row],[PortCode]],"NET ASSET VALUE", $S$1, "AI")</f>
        <v>#VALUE!</v>
      </c>
      <c r="V128" s="76"/>
    </row>
    <row r="129" spans="7:22" x14ac:dyDescent="0.2">
      <c r="G129" s="131"/>
      <c r="J129" s="131"/>
      <c r="O129" s="6"/>
      <c r="P129" t="e">
        <f ca="1">SCBAM_GetGroup1Dtl(TermFund[[#This Row],[PortCode]],"NET ASSET VALUE",$S$1,"Marketval") + SCBAM_GetGroup1Dtl(TermFund[[#This Row],[PortCode]],"NET ASSET VALUE", $S$1, "AI")</f>
        <v>#VALUE!</v>
      </c>
      <c r="V129" s="76"/>
    </row>
    <row r="130" spans="7:22" x14ac:dyDescent="0.2">
      <c r="G130" s="131"/>
      <c r="J130" s="131"/>
      <c r="O130" s="6"/>
      <c r="P130" t="e">
        <f ca="1">SCBAM_GetGroup1Dtl(TermFund[[#This Row],[PortCode]],"NET ASSET VALUE",$S$1,"Marketval") + SCBAM_GetGroup1Dtl(TermFund[[#This Row],[PortCode]],"NET ASSET VALUE", $S$1, "AI")</f>
        <v>#VALUE!</v>
      </c>
      <c r="V130" s="76"/>
    </row>
    <row r="131" spans="7:22" x14ac:dyDescent="0.2">
      <c r="G131" s="131"/>
      <c r="J131" s="131"/>
      <c r="O131" s="6"/>
      <c r="P131" t="e">
        <f ca="1">SCBAM_GetGroup1Dtl(TermFund[[#This Row],[PortCode]],"NET ASSET VALUE",$S$1,"Marketval") + SCBAM_GetGroup1Dtl(TermFund[[#This Row],[PortCode]],"NET ASSET VALUE", $S$1, "AI")</f>
        <v>#VALUE!</v>
      </c>
      <c r="V131" s="76"/>
    </row>
    <row r="132" spans="7:22" x14ac:dyDescent="0.2">
      <c r="G132" s="131"/>
      <c r="J132" s="131"/>
      <c r="O132" s="6"/>
      <c r="P132" t="e">
        <f ca="1">SCBAM_GetGroup1Dtl(TermFund[[#This Row],[PortCode]],"NET ASSET VALUE",$S$1,"Marketval") + SCBAM_GetGroup1Dtl(TermFund[[#This Row],[PortCode]],"NET ASSET VALUE", $S$1, "AI")</f>
        <v>#VALUE!</v>
      </c>
      <c r="V132" s="76"/>
    </row>
    <row r="133" spans="7:22" x14ac:dyDescent="0.2">
      <c r="G133" s="131"/>
      <c r="J133" s="131"/>
      <c r="O133" s="6"/>
      <c r="P133" t="e">
        <f ca="1">SCBAM_GetGroup1Dtl(TermFund[[#This Row],[PortCode]],"NET ASSET VALUE",$S$1,"Marketval") + SCBAM_GetGroup1Dtl(TermFund[[#This Row],[PortCode]],"NET ASSET VALUE", $S$1, "AI")</f>
        <v>#VALUE!</v>
      </c>
      <c r="V133" s="76"/>
    </row>
    <row r="134" spans="7:22" x14ac:dyDescent="0.2">
      <c r="G134" s="131"/>
      <c r="J134" s="131"/>
      <c r="O134" s="6"/>
      <c r="P134" t="e">
        <f ca="1">SCBAM_GetGroup1Dtl(TermFund[[#This Row],[PortCode]],"NET ASSET VALUE",$S$1,"Marketval") + SCBAM_GetGroup1Dtl(TermFund[[#This Row],[PortCode]],"NET ASSET VALUE", $S$1, "AI")</f>
        <v>#VALUE!</v>
      </c>
      <c r="V134" s="76"/>
    </row>
    <row r="135" spans="7:22" x14ac:dyDescent="0.2">
      <c r="G135" s="131"/>
      <c r="J135" s="131"/>
      <c r="O135" s="6"/>
      <c r="P135" t="e">
        <f ca="1">SCBAM_GetGroup1Dtl(TermFund[[#This Row],[PortCode]],"NET ASSET VALUE",$S$1,"Marketval") + SCBAM_GetGroup1Dtl(TermFund[[#This Row],[PortCode]],"NET ASSET VALUE", $S$1, "AI")</f>
        <v>#VALUE!</v>
      </c>
      <c r="V135" s="76"/>
    </row>
    <row r="136" spans="7:22" x14ac:dyDescent="0.2">
      <c r="G136" s="131"/>
      <c r="J136" s="131"/>
      <c r="O136" s="6"/>
      <c r="P136" t="e">
        <f ca="1">SCBAM_GetGroup1Dtl(TermFund[[#This Row],[PortCode]],"NET ASSET VALUE",$S$1,"Marketval") + SCBAM_GetGroup1Dtl(TermFund[[#This Row],[PortCode]],"NET ASSET VALUE", $S$1, "AI")</f>
        <v>#VALUE!</v>
      </c>
      <c r="V136" s="76"/>
    </row>
    <row r="137" spans="7:22" x14ac:dyDescent="0.2">
      <c r="G137" s="131"/>
      <c r="J137" s="131"/>
      <c r="O137" s="6"/>
      <c r="P137" t="e">
        <f ca="1">SCBAM_GetGroup1Dtl(TermFund[[#This Row],[PortCode]],"NET ASSET VALUE",$S$1,"Marketval") + SCBAM_GetGroup1Dtl(TermFund[[#This Row],[PortCode]],"NET ASSET VALUE", $S$1, "AI")</f>
        <v>#VALUE!</v>
      </c>
      <c r="V137" s="76"/>
    </row>
    <row r="138" spans="7:22" x14ac:dyDescent="0.2">
      <c r="G138" s="131"/>
      <c r="J138" s="131"/>
      <c r="O138" s="6"/>
      <c r="P138" t="e">
        <f ca="1">SCBAM_GetGroup1Dtl(TermFund[[#This Row],[PortCode]],"NET ASSET VALUE",$S$1,"Marketval") + SCBAM_GetGroup1Dtl(TermFund[[#This Row],[PortCode]],"NET ASSET VALUE", $S$1, "AI")</f>
        <v>#VALUE!</v>
      </c>
      <c r="V138" s="76"/>
    </row>
    <row r="139" spans="7:22" x14ac:dyDescent="0.2">
      <c r="G139" s="131"/>
      <c r="J139" s="131"/>
      <c r="O139" s="6"/>
      <c r="P139" t="e">
        <f ca="1">SCBAM_GetGroup1Dtl(TermFund[[#This Row],[PortCode]],"NET ASSET VALUE",$S$1,"Marketval") + SCBAM_GetGroup1Dtl(TermFund[[#This Row],[PortCode]],"NET ASSET VALUE", $S$1, "AI")</f>
        <v>#VALUE!</v>
      </c>
      <c r="V139" s="76"/>
    </row>
    <row r="140" spans="7:22" x14ac:dyDescent="0.2">
      <c r="G140" s="131"/>
      <c r="J140" s="131"/>
      <c r="O140" s="6"/>
      <c r="P140" t="e">
        <f ca="1">SCBAM_GetGroup1Dtl(TermFund[[#This Row],[PortCode]],"NET ASSET VALUE",$S$1,"Marketval") + SCBAM_GetGroup1Dtl(TermFund[[#This Row],[PortCode]],"NET ASSET VALUE", $S$1, "AI")</f>
        <v>#VALUE!</v>
      </c>
      <c r="V140" s="76"/>
    </row>
    <row r="141" spans="7:22" x14ac:dyDescent="0.2">
      <c r="G141" s="131"/>
      <c r="J141" s="131"/>
      <c r="O141" s="6"/>
      <c r="P141" t="e">
        <f ca="1">SCBAM_GetGroup1Dtl(TermFund[[#This Row],[PortCode]],"NET ASSET VALUE",$S$1,"Marketval") + SCBAM_GetGroup1Dtl(TermFund[[#This Row],[PortCode]],"NET ASSET VALUE", $S$1, "AI")</f>
        <v>#VALUE!</v>
      </c>
      <c r="V141" s="76"/>
    </row>
    <row r="142" spans="7:22" x14ac:dyDescent="0.2">
      <c r="G142" s="131"/>
      <c r="J142" s="131"/>
      <c r="O142" s="6"/>
      <c r="P142" t="e">
        <f ca="1">SCBAM_GetGroup1Dtl(TermFund[[#This Row],[PortCode]],"NET ASSET VALUE",$S$1,"Marketval") + SCBAM_GetGroup1Dtl(TermFund[[#This Row],[PortCode]],"NET ASSET VALUE", $S$1, "AI")</f>
        <v>#VALUE!</v>
      </c>
      <c r="V142" s="76"/>
    </row>
    <row r="143" spans="7:22" x14ac:dyDescent="0.2">
      <c r="G143" s="131"/>
      <c r="J143" s="131"/>
      <c r="O143" s="6"/>
      <c r="P143" t="e">
        <f ca="1">SCBAM_GetGroup1Dtl(TermFund[[#This Row],[PortCode]],"NET ASSET VALUE",$S$1,"Marketval") + SCBAM_GetGroup1Dtl(TermFund[[#This Row],[PortCode]],"NET ASSET VALUE", $S$1, "AI")</f>
        <v>#VALUE!</v>
      </c>
      <c r="V143" s="76"/>
    </row>
    <row r="144" spans="7:22" x14ac:dyDescent="0.2">
      <c r="G144" s="131"/>
      <c r="J144" s="131"/>
      <c r="O144" s="6"/>
      <c r="P144" t="e">
        <f ca="1">SCBAM_GetGroup1Dtl(TermFund[[#This Row],[PortCode]],"NET ASSET VALUE",$S$1,"Marketval") + SCBAM_GetGroup1Dtl(TermFund[[#This Row],[PortCode]],"NET ASSET VALUE", $S$1, "AI")</f>
        <v>#VALUE!</v>
      </c>
      <c r="V144" s="76"/>
    </row>
    <row r="145" spans="7:22" x14ac:dyDescent="0.2">
      <c r="G145" s="131"/>
      <c r="J145" s="131"/>
      <c r="O145" s="6"/>
      <c r="P145" t="e">
        <f ca="1">SCBAM_GetGroup1Dtl(TermFund[[#This Row],[PortCode]],"NET ASSET VALUE",$S$1,"Marketval") + SCBAM_GetGroup1Dtl(TermFund[[#This Row],[PortCode]],"NET ASSET VALUE", $S$1, "AI")</f>
        <v>#VALUE!</v>
      </c>
      <c r="V145" s="76"/>
    </row>
    <row r="146" spans="7:22" x14ac:dyDescent="0.2">
      <c r="G146" s="131"/>
      <c r="J146" s="131"/>
      <c r="O146" s="6"/>
      <c r="P146" t="e">
        <f ca="1">SCBAM_GetGroup1Dtl(TermFund[[#This Row],[PortCode]],"NET ASSET VALUE",$S$1,"Marketval") + SCBAM_GetGroup1Dtl(TermFund[[#This Row],[PortCode]],"NET ASSET VALUE", $S$1, "AI")</f>
        <v>#VALUE!</v>
      </c>
      <c r="V146" s="76"/>
    </row>
    <row r="147" spans="7:22" x14ac:dyDescent="0.2">
      <c r="G147" s="131"/>
      <c r="J147" s="131"/>
      <c r="O147" s="6"/>
      <c r="P147" t="e">
        <f ca="1">SCBAM_GetGroup1Dtl(TermFund[[#This Row],[PortCode]],"NET ASSET VALUE",$S$1,"Marketval") + SCBAM_GetGroup1Dtl(TermFund[[#This Row],[PortCode]],"NET ASSET VALUE", $S$1, "AI")</f>
        <v>#VALUE!</v>
      </c>
      <c r="V147" s="76"/>
    </row>
    <row r="148" spans="7:22" x14ac:dyDescent="0.2">
      <c r="G148" s="131"/>
      <c r="J148" s="131"/>
      <c r="O148" s="6"/>
      <c r="P148" t="e">
        <f ca="1">SCBAM_GetGroup1Dtl(TermFund[[#This Row],[PortCode]],"NET ASSET VALUE",$S$1,"Marketval") + SCBAM_GetGroup1Dtl(TermFund[[#This Row],[PortCode]],"NET ASSET VALUE", $S$1, "AI")</f>
        <v>#VALUE!</v>
      </c>
      <c r="V148" s="76"/>
    </row>
    <row r="149" spans="7:22" x14ac:dyDescent="0.2">
      <c r="G149" s="131"/>
      <c r="J149" s="131"/>
      <c r="O149" s="6"/>
      <c r="P149" t="e">
        <f ca="1">SCBAM_GetGroup1Dtl(TermFund[[#This Row],[PortCode]],"NET ASSET VALUE",$S$1,"Marketval") + SCBAM_GetGroup1Dtl(TermFund[[#This Row],[PortCode]],"NET ASSET VALUE", $S$1, "AI")</f>
        <v>#VALUE!</v>
      </c>
      <c r="V149" s="76"/>
    </row>
    <row r="150" spans="7:22" x14ac:dyDescent="0.2">
      <c r="G150" s="131"/>
      <c r="J150" s="131"/>
      <c r="O150" s="6"/>
      <c r="P150" t="e">
        <f ca="1">SCBAM_GetGroup1Dtl(TermFund[[#This Row],[PortCode]],"NET ASSET VALUE",$S$1,"Marketval") + SCBAM_GetGroup1Dtl(TermFund[[#This Row],[PortCode]],"NET ASSET VALUE", $S$1, "AI")</f>
        <v>#VALUE!</v>
      </c>
      <c r="V150" s="76"/>
    </row>
    <row r="151" spans="7:22" x14ac:dyDescent="0.2">
      <c r="G151" s="131"/>
      <c r="J151" s="131"/>
      <c r="O151" s="6"/>
      <c r="P151" t="e">
        <f ca="1">SCBAM_GetGroup1Dtl(TermFund[[#This Row],[PortCode]],"NET ASSET VALUE",$S$1,"Marketval") + SCBAM_GetGroup1Dtl(TermFund[[#This Row],[PortCode]],"NET ASSET VALUE", $S$1, "AI")</f>
        <v>#VALUE!</v>
      </c>
      <c r="V151" s="76"/>
    </row>
    <row r="152" spans="7:22" x14ac:dyDescent="0.2">
      <c r="G152" s="131"/>
      <c r="J152" s="131"/>
      <c r="O152" s="6"/>
      <c r="P152" t="e">
        <f ca="1">SCBAM_GetGroup1Dtl(TermFund[[#This Row],[PortCode]],"NET ASSET VALUE",$S$1,"Marketval") + SCBAM_GetGroup1Dtl(TermFund[[#This Row],[PortCode]],"NET ASSET VALUE", $S$1, "AI")</f>
        <v>#VALUE!</v>
      </c>
      <c r="V152" s="76"/>
    </row>
    <row r="153" spans="7:22" x14ac:dyDescent="0.2">
      <c r="G153" s="131"/>
      <c r="J153" s="131"/>
      <c r="O153" s="6"/>
      <c r="P153" t="e">
        <f ca="1">SCBAM_GetGroup1Dtl(TermFund[[#This Row],[PortCode]],"NET ASSET VALUE",$S$1,"Marketval") + SCBAM_GetGroup1Dtl(TermFund[[#This Row],[PortCode]],"NET ASSET VALUE", $S$1, "AI")</f>
        <v>#VALUE!</v>
      </c>
      <c r="V153" s="76"/>
    </row>
    <row r="154" spans="7:22" x14ac:dyDescent="0.2">
      <c r="G154" s="131"/>
      <c r="J154" s="131"/>
      <c r="O154" s="6"/>
      <c r="P154" t="e">
        <f ca="1">SCBAM_GetGroup1Dtl(TermFund[[#This Row],[PortCode]],"NET ASSET VALUE",$S$1,"Marketval") + SCBAM_GetGroup1Dtl(TermFund[[#This Row],[PortCode]],"NET ASSET VALUE", $S$1, "AI")</f>
        <v>#VALUE!</v>
      </c>
      <c r="V154" s="76"/>
    </row>
    <row r="155" spans="7:22" x14ac:dyDescent="0.2">
      <c r="G155" s="131"/>
      <c r="J155" s="131"/>
      <c r="O155" s="6"/>
      <c r="P155" t="e">
        <f ca="1">SCBAM_GetGroup1Dtl(TermFund[[#This Row],[PortCode]],"NET ASSET VALUE",$S$1,"Marketval") + SCBAM_GetGroup1Dtl(TermFund[[#This Row],[PortCode]],"NET ASSET VALUE", $S$1, "AI")</f>
        <v>#VALUE!</v>
      </c>
      <c r="V155" s="76"/>
    </row>
    <row r="156" spans="7:22" x14ac:dyDescent="0.2">
      <c r="G156" s="131"/>
      <c r="J156" s="131"/>
      <c r="O156" s="6"/>
      <c r="P156" t="e">
        <f ca="1">SCBAM_GetGroup1Dtl(TermFund[[#This Row],[PortCode]],"NET ASSET VALUE",$S$1,"Marketval") + SCBAM_GetGroup1Dtl(TermFund[[#This Row],[PortCode]],"NET ASSET VALUE", $S$1, "AI")</f>
        <v>#VALUE!</v>
      </c>
      <c r="V156" s="76"/>
    </row>
    <row r="157" spans="7:22" x14ac:dyDescent="0.2">
      <c r="G157" s="131"/>
      <c r="J157" s="131"/>
      <c r="O157" s="6"/>
      <c r="P157" t="e">
        <f ca="1">SCBAM_GetGroup1Dtl(TermFund[[#This Row],[PortCode]],"NET ASSET VALUE",$S$1,"Marketval") + SCBAM_GetGroup1Dtl(TermFund[[#This Row],[PortCode]],"NET ASSET VALUE", $S$1, "AI")</f>
        <v>#VALUE!</v>
      </c>
      <c r="V157" s="76"/>
    </row>
    <row r="158" spans="7:22" x14ac:dyDescent="0.2">
      <c r="G158" s="131"/>
      <c r="J158" s="131"/>
      <c r="O158" s="6"/>
      <c r="P158" t="e">
        <f ca="1">SCBAM_GetGroup1Dtl(TermFund[[#This Row],[PortCode]],"NET ASSET VALUE",$S$1,"Marketval") + SCBAM_GetGroup1Dtl(TermFund[[#This Row],[PortCode]],"NET ASSET VALUE", $S$1, "AI")</f>
        <v>#VALUE!</v>
      </c>
      <c r="V158" s="76"/>
    </row>
    <row r="159" spans="7:22" x14ac:dyDescent="0.2">
      <c r="G159" s="131"/>
      <c r="J159" s="131"/>
      <c r="O159" s="6"/>
      <c r="P159" t="e">
        <f ca="1">SCBAM_GetGroup1Dtl(TermFund[[#This Row],[PortCode]],"NET ASSET VALUE",$S$1,"Marketval") + SCBAM_GetGroup1Dtl(TermFund[[#This Row],[PortCode]],"NET ASSET VALUE", $S$1, "AI")</f>
        <v>#VALUE!</v>
      </c>
      <c r="V159" s="76"/>
    </row>
    <row r="160" spans="7:22" x14ac:dyDescent="0.2">
      <c r="G160" s="131"/>
      <c r="J160" s="131"/>
      <c r="O160" s="6"/>
      <c r="P160" t="e">
        <f ca="1">SCBAM_GetGroup1Dtl(TermFund[[#This Row],[PortCode]],"NET ASSET VALUE",$S$1,"Marketval") + SCBAM_GetGroup1Dtl(TermFund[[#This Row],[PortCode]],"NET ASSET VALUE", $S$1, "AI")</f>
        <v>#VALUE!</v>
      </c>
      <c r="V160" s="76"/>
    </row>
    <row r="161" spans="7:22" x14ac:dyDescent="0.2">
      <c r="G161" s="131"/>
      <c r="J161" s="131"/>
      <c r="O161" s="6"/>
      <c r="P161" t="e">
        <f ca="1">SCBAM_GetGroup1Dtl(TermFund[[#This Row],[PortCode]],"NET ASSET VALUE",$S$1,"Marketval") + SCBAM_GetGroup1Dtl(TermFund[[#This Row],[PortCode]],"NET ASSET VALUE", $S$1, "AI")</f>
        <v>#VALUE!</v>
      </c>
      <c r="V161" s="76"/>
    </row>
    <row r="162" spans="7:22" x14ac:dyDescent="0.2">
      <c r="G162" s="131"/>
      <c r="J162" s="131"/>
      <c r="O162" s="6"/>
      <c r="P162" t="e">
        <f ca="1">SCBAM_GetGroup1Dtl(TermFund[[#This Row],[PortCode]],"NET ASSET VALUE",$S$1,"Marketval") + SCBAM_GetGroup1Dtl(TermFund[[#This Row],[PortCode]],"NET ASSET VALUE", $S$1, "AI")</f>
        <v>#VALUE!</v>
      </c>
      <c r="V162" s="76"/>
    </row>
    <row r="163" spans="7:22" x14ac:dyDescent="0.2">
      <c r="G163" s="131"/>
      <c r="J163" s="131"/>
      <c r="O163" s="6"/>
      <c r="P163" t="e">
        <f ca="1">SCBAM_GetGroup1Dtl(TermFund[[#This Row],[PortCode]],"NET ASSET VALUE",$S$1,"Marketval") + SCBAM_GetGroup1Dtl(TermFund[[#This Row],[PortCode]],"NET ASSET VALUE", $S$1, "AI")</f>
        <v>#VALUE!</v>
      </c>
      <c r="V163" s="76"/>
    </row>
    <row r="164" spans="7:22" x14ac:dyDescent="0.2">
      <c r="G164" s="131"/>
      <c r="J164" s="131"/>
      <c r="O164" s="6"/>
      <c r="P164" t="e">
        <f ca="1">SCBAM_GetGroup1Dtl(TermFund[[#This Row],[PortCode]],"NET ASSET VALUE",$S$1,"Marketval") + SCBAM_GetGroup1Dtl(TermFund[[#This Row],[PortCode]],"NET ASSET VALUE", $S$1, "AI")</f>
        <v>#VALUE!</v>
      </c>
      <c r="V164" s="76"/>
    </row>
    <row r="165" spans="7:22" x14ac:dyDescent="0.2">
      <c r="G165" s="131"/>
      <c r="J165" s="131"/>
      <c r="O165" s="6"/>
      <c r="P165" t="e">
        <f ca="1">SCBAM_GetGroup1Dtl(TermFund[[#This Row],[PortCode]],"NET ASSET VALUE",$S$1,"Marketval") + SCBAM_GetGroup1Dtl(TermFund[[#This Row],[PortCode]],"NET ASSET VALUE", $S$1, "AI")</f>
        <v>#VALUE!</v>
      </c>
      <c r="V165" s="76"/>
    </row>
    <row r="166" spans="7:22" x14ac:dyDescent="0.2">
      <c r="G166" s="131"/>
      <c r="J166" s="131"/>
      <c r="O166" s="6"/>
      <c r="P166" t="e">
        <f ca="1">SCBAM_GetGroup1Dtl(TermFund[[#This Row],[PortCode]],"NET ASSET VALUE",$S$1,"Marketval") + SCBAM_GetGroup1Dtl(TermFund[[#This Row],[PortCode]],"NET ASSET VALUE", $S$1, "AI")</f>
        <v>#VALUE!</v>
      </c>
      <c r="V166" s="76"/>
    </row>
    <row r="167" spans="7:22" x14ac:dyDescent="0.2">
      <c r="G167" s="131"/>
      <c r="J167" s="131"/>
      <c r="O167" s="6"/>
      <c r="P167" t="e">
        <f ca="1">SCBAM_GetGroup1Dtl(TermFund[[#This Row],[PortCode]],"NET ASSET VALUE",$S$1,"Marketval") + SCBAM_GetGroup1Dtl(TermFund[[#This Row],[PortCode]],"NET ASSET VALUE", $S$1, "AI")</f>
        <v>#VALUE!</v>
      </c>
      <c r="V167" s="76"/>
    </row>
    <row r="168" spans="7:22" x14ac:dyDescent="0.2">
      <c r="G168" s="131"/>
      <c r="J168" s="131"/>
      <c r="O168" s="6"/>
      <c r="P168" t="e">
        <f ca="1">SCBAM_GetGroup1Dtl(TermFund[[#This Row],[PortCode]],"NET ASSET VALUE",$S$1,"Marketval") + SCBAM_GetGroup1Dtl(TermFund[[#This Row],[PortCode]],"NET ASSET VALUE", $S$1, "AI")</f>
        <v>#VALUE!</v>
      </c>
      <c r="V168" s="76"/>
    </row>
    <row r="169" spans="7:22" x14ac:dyDescent="0.2">
      <c r="G169" s="131"/>
      <c r="J169" s="131"/>
      <c r="O169" s="6"/>
      <c r="P169" t="e">
        <f ca="1">SCBAM_GetGroup1Dtl(TermFund[[#This Row],[PortCode]],"NET ASSET VALUE",$S$1,"Marketval") + SCBAM_GetGroup1Dtl(TermFund[[#This Row],[PortCode]],"NET ASSET VALUE", $S$1, "AI")</f>
        <v>#VALUE!</v>
      </c>
      <c r="V169" s="76"/>
    </row>
    <row r="170" spans="7:22" x14ac:dyDescent="0.2">
      <c r="G170" s="131"/>
      <c r="J170" s="131"/>
      <c r="O170" s="6"/>
      <c r="P170" t="e">
        <f ca="1">SCBAM_GetGroup1Dtl(TermFund[[#This Row],[PortCode]],"NET ASSET VALUE",$S$1,"Marketval") + SCBAM_GetGroup1Dtl(TermFund[[#This Row],[PortCode]],"NET ASSET VALUE", $S$1, "AI")</f>
        <v>#VALUE!</v>
      </c>
      <c r="V170" s="76"/>
    </row>
    <row r="171" spans="7:22" x14ac:dyDescent="0.2">
      <c r="G171" s="131"/>
      <c r="J171" s="131"/>
      <c r="O171" s="6"/>
      <c r="P171" t="e">
        <f ca="1">SCBAM_GetGroup1Dtl(TermFund[[#This Row],[PortCode]],"NET ASSET VALUE",$S$1,"Marketval") + SCBAM_GetGroup1Dtl(TermFund[[#This Row],[PortCode]],"NET ASSET VALUE", $S$1, "AI")</f>
        <v>#VALUE!</v>
      </c>
      <c r="V171" s="76"/>
    </row>
    <row r="172" spans="7:22" x14ac:dyDescent="0.2">
      <c r="G172" s="131"/>
      <c r="J172" s="131"/>
      <c r="O172" s="6"/>
      <c r="P172" t="e">
        <f ca="1">SCBAM_GetGroup1Dtl(TermFund[[#This Row],[PortCode]],"NET ASSET VALUE",$S$1,"Marketval") + SCBAM_GetGroup1Dtl(TermFund[[#This Row],[PortCode]],"NET ASSET VALUE", $S$1, "AI")</f>
        <v>#VALUE!</v>
      </c>
      <c r="V172" s="76"/>
    </row>
    <row r="173" spans="7:22" x14ac:dyDescent="0.2">
      <c r="G173" s="131"/>
      <c r="J173" s="131"/>
      <c r="O173" s="6"/>
      <c r="P173" t="e">
        <f ca="1">SCBAM_GetGroup1Dtl(TermFund[[#This Row],[PortCode]],"NET ASSET VALUE",$S$1,"Marketval") + SCBAM_GetGroup1Dtl(TermFund[[#This Row],[PortCode]],"NET ASSET VALUE", $S$1, "AI")</f>
        <v>#VALUE!</v>
      </c>
      <c r="V173" s="76"/>
    </row>
    <row r="174" spans="7:22" x14ac:dyDescent="0.2">
      <c r="G174" s="131"/>
      <c r="J174" s="131"/>
      <c r="O174" s="6"/>
      <c r="P174" t="e">
        <f ca="1">SCBAM_GetGroup1Dtl(TermFund[[#This Row],[PortCode]],"NET ASSET VALUE",$S$1,"Marketval") + SCBAM_GetGroup1Dtl(TermFund[[#This Row],[PortCode]],"NET ASSET VALUE", $S$1, "AI")</f>
        <v>#VALUE!</v>
      </c>
      <c r="V174" s="76"/>
    </row>
    <row r="175" spans="7:22" x14ac:dyDescent="0.2">
      <c r="G175" s="131"/>
      <c r="J175" s="131"/>
      <c r="O175" s="6"/>
      <c r="P175" t="e">
        <f ca="1">SCBAM_GetGroup1Dtl(TermFund[[#This Row],[PortCode]],"NET ASSET VALUE",$S$1,"Marketval") + SCBAM_GetGroup1Dtl(TermFund[[#This Row],[PortCode]],"NET ASSET VALUE", $S$1, "AI")</f>
        <v>#VALUE!</v>
      </c>
      <c r="V175" s="76"/>
    </row>
    <row r="176" spans="7:22" x14ac:dyDescent="0.2">
      <c r="G176" s="131"/>
      <c r="J176" s="131"/>
      <c r="O176" s="6"/>
      <c r="P176" t="e">
        <f ca="1">SCBAM_GetGroup1Dtl(TermFund[[#This Row],[PortCode]],"NET ASSET VALUE",$S$1,"Marketval") + SCBAM_GetGroup1Dtl(TermFund[[#This Row],[PortCode]],"NET ASSET VALUE", $S$1, "AI")</f>
        <v>#VALUE!</v>
      </c>
      <c r="V176" s="76"/>
    </row>
    <row r="177" spans="7:22" x14ac:dyDescent="0.2">
      <c r="G177" s="131"/>
      <c r="J177" s="131"/>
      <c r="O177" s="6"/>
      <c r="P177" t="e">
        <f ca="1">SCBAM_GetGroup1Dtl(TermFund[[#This Row],[PortCode]],"NET ASSET VALUE",$S$1,"Marketval") + SCBAM_GetGroup1Dtl(TermFund[[#This Row],[PortCode]],"NET ASSET VALUE", $S$1, "AI")</f>
        <v>#VALUE!</v>
      </c>
      <c r="V177" s="76"/>
    </row>
    <row r="178" spans="7:22" x14ac:dyDescent="0.2">
      <c r="G178" s="131"/>
      <c r="J178" s="131"/>
      <c r="O178" s="6"/>
      <c r="P178" t="e">
        <f ca="1">SCBAM_GetGroup1Dtl(TermFund[[#This Row],[PortCode]],"NET ASSET VALUE",$S$1,"Marketval") + SCBAM_GetGroup1Dtl(TermFund[[#This Row],[PortCode]],"NET ASSET VALUE", $S$1, "AI")</f>
        <v>#VALUE!</v>
      </c>
      <c r="V178" s="76"/>
    </row>
    <row r="179" spans="7:22" x14ac:dyDescent="0.2">
      <c r="G179" s="131"/>
      <c r="J179" s="131"/>
      <c r="O179" s="6"/>
      <c r="P179" t="e">
        <f ca="1">SCBAM_GetGroup1Dtl(TermFund[[#This Row],[PortCode]],"NET ASSET VALUE",$S$1,"Marketval") + SCBAM_GetGroup1Dtl(TermFund[[#This Row],[PortCode]],"NET ASSET VALUE", $S$1, "AI")</f>
        <v>#VALUE!</v>
      </c>
      <c r="V179" s="76"/>
    </row>
    <row r="180" spans="7:22" x14ac:dyDescent="0.2">
      <c r="G180" s="131"/>
      <c r="J180" s="131"/>
      <c r="O180" s="6"/>
      <c r="P180" t="e">
        <f ca="1">SCBAM_GetGroup1Dtl(TermFund[[#This Row],[PortCode]],"NET ASSET VALUE",$S$1,"Marketval") + SCBAM_GetGroup1Dtl(TermFund[[#This Row],[PortCode]],"NET ASSET VALUE", $S$1, "AI")</f>
        <v>#VALUE!</v>
      </c>
      <c r="V180" s="76"/>
    </row>
    <row r="181" spans="7:22" x14ac:dyDescent="0.2">
      <c r="G181" s="131"/>
      <c r="J181" s="131"/>
      <c r="O181" s="6"/>
      <c r="P181" t="e">
        <f ca="1">SCBAM_GetGroup1Dtl(TermFund[[#This Row],[PortCode]],"NET ASSET VALUE",$S$1,"Marketval") + SCBAM_GetGroup1Dtl(TermFund[[#This Row],[PortCode]],"NET ASSET VALUE", $S$1, "AI")</f>
        <v>#VALUE!</v>
      </c>
      <c r="V181" s="76"/>
    </row>
    <row r="182" spans="7:22" x14ac:dyDescent="0.2">
      <c r="G182" s="131"/>
      <c r="J182" s="131"/>
      <c r="O182" s="6"/>
      <c r="P182" t="e">
        <f ca="1">SCBAM_GetGroup1Dtl(TermFund[[#This Row],[PortCode]],"NET ASSET VALUE",$S$1,"Marketval") + SCBAM_GetGroup1Dtl(TermFund[[#This Row],[PortCode]],"NET ASSET VALUE", $S$1, "AI")</f>
        <v>#VALUE!</v>
      </c>
      <c r="V182" s="76"/>
    </row>
    <row r="183" spans="7:22" x14ac:dyDescent="0.2">
      <c r="G183" s="131"/>
      <c r="J183" s="131"/>
      <c r="O183" s="6"/>
      <c r="P183" t="e">
        <f ca="1">SCBAM_GetGroup1Dtl(TermFund[[#This Row],[PortCode]],"NET ASSET VALUE",$S$1,"Marketval") + SCBAM_GetGroup1Dtl(TermFund[[#This Row],[PortCode]],"NET ASSET VALUE", $S$1, "AI")</f>
        <v>#VALUE!</v>
      </c>
      <c r="V183" s="76"/>
    </row>
    <row r="184" spans="7:22" x14ac:dyDescent="0.2">
      <c r="G184" s="131"/>
      <c r="J184" s="131"/>
      <c r="O184" s="6"/>
      <c r="P184" t="e">
        <f ca="1">SCBAM_GetGroup1Dtl(TermFund[[#This Row],[PortCode]],"NET ASSET VALUE",$S$1,"Marketval") + SCBAM_GetGroup1Dtl(TermFund[[#This Row],[PortCode]],"NET ASSET VALUE", $S$1, "AI")</f>
        <v>#VALUE!</v>
      </c>
      <c r="V184" s="76"/>
    </row>
    <row r="185" spans="7:22" x14ac:dyDescent="0.2">
      <c r="G185" s="131"/>
      <c r="J185" s="131"/>
      <c r="O185" s="6"/>
      <c r="P185" t="e">
        <f ca="1">SCBAM_GetGroup1Dtl(TermFund[[#This Row],[PortCode]],"NET ASSET VALUE",$S$1,"Marketval") + SCBAM_GetGroup1Dtl(TermFund[[#This Row],[PortCode]],"NET ASSET VALUE", $S$1, "AI")</f>
        <v>#VALUE!</v>
      </c>
      <c r="V185" s="76"/>
    </row>
    <row r="186" spans="7:22" x14ac:dyDescent="0.2">
      <c r="G186" s="131"/>
      <c r="J186" s="131"/>
      <c r="O186" s="6"/>
      <c r="P186" t="e">
        <f ca="1">SCBAM_GetGroup1Dtl(TermFund[[#This Row],[PortCode]],"NET ASSET VALUE",$S$1,"Marketval") + SCBAM_GetGroup1Dtl(TermFund[[#This Row],[PortCode]],"NET ASSET VALUE", $S$1, "AI")</f>
        <v>#VALUE!</v>
      </c>
      <c r="V186" s="76"/>
    </row>
    <row r="187" spans="7:22" x14ac:dyDescent="0.2">
      <c r="G187" s="131"/>
      <c r="J187" s="131"/>
      <c r="O187" s="6"/>
      <c r="P187" t="e">
        <f ca="1">SCBAM_GetGroup1Dtl(TermFund[[#This Row],[PortCode]],"NET ASSET VALUE",$S$1,"Marketval") + SCBAM_GetGroup1Dtl(TermFund[[#This Row],[PortCode]],"NET ASSET VALUE", $S$1, "AI")</f>
        <v>#VALUE!</v>
      </c>
      <c r="V187" s="76"/>
    </row>
    <row r="188" spans="7:22" x14ac:dyDescent="0.2">
      <c r="G188" s="131"/>
      <c r="J188" s="131"/>
      <c r="O188" s="6"/>
      <c r="P188" t="e">
        <f ca="1">SCBAM_GetGroup1Dtl(TermFund[[#This Row],[PortCode]],"NET ASSET VALUE",$S$1,"Marketval") + SCBAM_GetGroup1Dtl(TermFund[[#This Row],[PortCode]],"NET ASSET VALUE", $S$1, "AI")</f>
        <v>#VALUE!</v>
      </c>
      <c r="V188" s="76"/>
    </row>
    <row r="189" spans="7:22" x14ac:dyDescent="0.2">
      <c r="G189" s="131"/>
      <c r="J189" s="131"/>
      <c r="O189" s="6"/>
      <c r="P189" t="e">
        <f ca="1">SCBAM_GetGroup1Dtl(TermFund[[#This Row],[PortCode]],"NET ASSET VALUE",$S$1,"Marketval") + SCBAM_GetGroup1Dtl(TermFund[[#This Row],[PortCode]],"NET ASSET VALUE", $S$1, "AI")</f>
        <v>#VALUE!</v>
      </c>
      <c r="V189" s="76"/>
    </row>
    <row r="190" spans="7:22" x14ac:dyDescent="0.2">
      <c r="G190" s="131"/>
      <c r="J190" s="131"/>
      <c r="O190" s="6"/>
      <c r="P190" t="e">
        <f ca="1">SCBAM_GetGroup1Dtl(TermFund[[#This Row],[PortCode]],"NET ASSET VALUE",$S$1,"Marketval") + SCBAM_GetGroup1Dtl(TermFund[[#This Row],[PortCode]],"NET ASSET VALUE", $S$1, "AI")</f>
        <v>#VALUE!</v>
      </c>
      <c r="V190" s="76"/>
    </row>
    <row r="191" spans="7:22" x14ac:dyDescent="0.2">
      <c r="G191" s="131"/>
      <c r="J191" s="131"/>
      <c r="O191" s="6"/>
      <c r="P191" t="e">
        <f ca="1">SCBAM_GetGroup1Dtl(TermFund[[#This Row],[PortCode]],"NET ASSET VALUE",$S$1,"Marketval") + SCBAM_GetGroup1Dtl(TermFund[[#This Row],[PortCode]],"NET ASSET VALUE", $S$1, "AI")</f>
        <v>#VALUE!</v>
      </c>
      <c r="V191" s="76"/>
    </row>
    <row r="192" spans="7:22" x14ac:dyDescent="0.2">
      <c r="G192" s="131"/>
      <c r="J192" s="131"/>
      <c r="O192" s="6"/>
      <c r="P192" t="e">
        <f ca="1">SCBAM_GetGroup1Dtl(TermFund[[#This Row],[PortCode]],"NET ASSET VALUE",$S$1,"Marketval") + SCBAM_GetGroup1Dtl(TermFund[[#This Row],[PortCode]],"NET ASSET VALUE", $S$1, "AI")</f>
        <v>#VALUE!</v>
      </c>
      <c r="V192" s="76"/>
    </row>
    <row r="193" spans="7:22" x14ac:dyDescent="0.2">
      <c r="G193" s="131"/>
      <c r="J193" s="131"/>
      <c r="O193" s="6"/>
      <c r="P193" t="e">
        <f ca="1">SCBAM_GetGroup1Dtl(TermFund[[#This Row],[PortCode]],"NET ASSET VALUE",$S$1,"Marketval") + SCBAM_GetGroup1Dtl(TermFund[[#This Row],[PortCode]],"NET ASSET VALUE", $S$1, "AI")</f>
        <v>#VALUE!</v>
      </c>
      <c r="V193" s="76"/>
    </row>
    <row r="194" spans="7:22" x14ac:dyDescent="0.2">
      <c r="G194" s="76"/>
      <c r="J194" s="76"/>
      <c r="V194" s="76"/>
    </row>
    <row r="195" spans="7:22" x14ac:dyDescent="0.2">
      <c r="G195" s="76"/>
      <c r="J195" s="76"/>
      <c r="V195" s="76"/>
    </row>
    <row r="196" spans="7:22" x14ac:dyDescent="0.2">
      <c r="G196" s="76"/>
      <c r="J196" s="76"/>
      <c r="V196" s="76"/>
    </row>
    <row r="197" spans="7:22" x14ac:dyDescent="0.2">
      <c r="G197" s="76"/>
      <c r="J197" s="76"/>
      <c r="V197" s="76"/>
    </row>
    <row r="198" spans="7:22" x14ac:dyDescent="0.2">
      <c r="G198" s="76"/>
      <c r="J198" s="76"/>
      <c r="V198" s="76"/>
    </row>
    <row r="199" spans="7:22" x14ac:dyDescent="0.2">
      <c r="G199" s="76"/>
      <c r="J199" s="76"/>
      <c r="V199" s="76"/>
    </row>
    <row r="200" spans="7:22" x14ac:dyDescent="0.2">
      <c r="G200" s="76"/>
      <c r="J200" s="76"/>
      <c r="V200" s="76"/>
    </row>
    <row r="201" spans="7:22" x14ac:dyDescent="0.2">
      <c r="G201" s="76"/>
      <c r="J201" s="76"/>
      <c r="V201" s="76"/>
    </row>
    <row r="202" spans="7:22" x14ac:dyDescent="0.2">
      <c r="G202" s="76"/>
      <c r="J202" s="76"/>
      <c r="V202" s="76"/>
    </row>
    <row r="203" spans="7:22" x14ac:dyDescent="0.2">
      <c r="G203" s="76"/>
      <c r="J203" s="76"/>
      <c r="V203" s="76"/>
    </row>
    <row r="204" spans="7:22" x14ac:dyDescent="0.2">
      <c r="G204" s="76"/>
      <c r="J204" s="76"/>
      <c r="V204" s="76"/>
    </row>
    <row r="205" spans="7:22" x14ac:dyDescent="0.2">
      <c r="G205" s="76"/>
      <c r="J205" s="76"/>
      <c r="V205" s="76"/>
    </row>
    <row r="206" spans="7:22" x14ac:dyDescent="0.2">
      <c r="G206" s="76"/>
      <c r="J206" s="76"/>
      <c r="V206" s="76"/>
    </row>
    <row r="207" spans="7:22" x14ac:dyDescent="0.2">
      <c r="G207" s="76"/>
      <c r="J207" s="76"/>
      <c r="V207" s="76"/>
    </row>
    <row r="208" spans="7:22" x14ac:dyDescent="0.2">
      <c r="G208" s="76"/>
      <c r="J208" s="76"/>
      <c r="V208" s="76"/>
    </row>
    <row r="209" spans="7:22" x14ac:dyDescent="0.2">
      <c r="G209" s="76"/>
      <c r="J209" s="76"/>
      <c r="V209" s="76"/>
    </row>
    <row r="210" spans="7:22" x14ac:dyDescent="0.2">
      <c r="G210" s="76"/>
      <c r="J210" s="76"/>
      <c r="V210" s="76"/>
    </row>
    <row r="211" spans="7:22" x14ac:dyDescent="0.2">
      <c r="G211" s="76"/>
      <c r="J211" s="76"/>
      <c r="V211" s="76"/>
    </row>
    <row r="212" spans="7:22" x14ac:dyDescent="0.2">
      <c r="G212" s="76"/>
      <c r="J212" s="76"/>
      <c r="V212" s="76"/>
    </row>
    <row r="213" spans="7:22" x14ac:dyDescent="0.2">
      <c r="G213" s="76"/>
      <c r="J213" s="76"/>
      <c r="V213" s="76"/>
    </row>
    <row r="214" spans="7:22" x14ac:dyDescent="0.2">
      <c r="G214" s="76"/>
      <c r="J214" s="76"/>
      <c r="V214" s="76"/>
    </row>
    <row r="215" spans="7:22" x14ac:dyDescent="0.2">
      <c r="G215" s="76"/>
      <c r="J215" s="76"/>
      <c r="V215" s="76"/>
    </row>
    <row r="216" spans="7:22" x14ac:dyDescent="0.2">
      <c r="G216" s="76"/>
      <c r="J216" s="76"/>
      <c r="V216" s="76"/>
    </row>
    <row r="217" spans="7:22" x14ac:dyDescent="0.2">
      <c r="G217" s="76"/>
      <c r="J217" s="76"/>
      <c r="V217" s="76"/>
    </row>
    <row r="218" spans="7:22" x14ac:dyDescent="0.2">
      <c r="G218" s="76"/>
      <c r="J218" s="76"/>
      <c r="V218" s="76"/>
    </row>
    <row r="219" spans="7:22" x14ac:dyDescent="0.2">
      <c r="G219" s="76"/>
      <c r="J219" s="76"/>
      <c r="V219" s="76"/>
    </row>
    <row r="220" spans="7:22" x14ac:dyDescent="0.2">
      <c r="G220" s="76"/>
      <c r="J220" s="76"/>
      <c r="V220" s="76"/>
    </row>
    <row r="221" spans="7:22" x14ac:dyDescent="0.2">
      <c r="G221" s="76"/>
      <c r="J221" s="76"/>
      <c r="V221" s="76"/>
    </row>
    <row r="222" spans="7:22" x14ac:dyDescent="0.2">
      <c r="G222" s="76"/>
      <c r="J222" s="76"/>
      <c r="V222" s="76"/>
    </row>
    <row r="223" spans="7:22" x14ac:dyDescent="0.2">
      <c r="G223" s="76"/>
      <c r="J223" s="76"/>
      <c r="V223" s="76"/>
    </row>
    <row r="224" spans="7:22" x14ac:dyDescent="0.2">
      <c r="G224" s="76"/>
      <c r="J224" s="76"/>
      <c r="V224" s="76"/>
    </row>
    <row r="225" spans="7:22" x14ac:dyDescent="0.2">
      <c r="G225" s="76"/>
      <c r="J225" s="76"/>
      <c r="V225" s="76"/>
    </row>
    <row r="226" spans="7:22" x14ac:dyDescent="0.2">
      <c r="G226" s="76"/>
      <c r="J226" s="76"/>
      <c r="V226" s="76"/>
    </row>
    <row r="227" spans="7:22" x14ac:dyDescent="0.2">
      <c r="G227" s="76"/>
      <c r="J227" s="76"/>
      <c r="V227" s="76"/>
    </row>
    <row r="228" spans="7:22" x14ac:dyDescent="0.2">
      <c r="G228" s="76"/>
      <c r="J228" s="76"/>
      <c r="V228" s="76"/>
    </row>
    <row r="229" spans="7:22" x14ac:dyDescent="0.2">
      <c r="G229" s="76"/>
      <c r="J229" s="76"/>
      <c r="V229" s="76"/>
    </row>
    <row r="230" spans="7:22" x14ac:dyDescent="0.2">
      <c r="G230" s="76"/>
      <c r="J230" s="76"/>
      <c r="V230" s="76"/>
    </row>
    <row r="231" spans="7:22" x14ac:dyDescent="0.2">
      <c r="G231" s="76"/>
      <c r="J231" s="76"/>
      <c r="V231" s="76"/>
    </row>
    <row r="232" spans="7:22" x14ac:dyDescent="0.2">
      <c r="G232" s="76"/>
      <c r="J232" s="76"/>
      <c r="V232" s="76"/>
    </row>
    <row r="233" spans="7:22" x14ac:dyDescent="0.2">
      <c r="G233" s="76"/>
      <c r="J233" s="76"/>
      <c r="V233" s="76"/>
    </row>
    <row r="234" spans="7:22" x14ac:dyDescent="0.2">
      <c r="G234" s="76"/>
      <c r="J234" s="76"/>
      <c r="V234" s="76"/>
    </row>
    <row r="235" spans="7:22" x14ac:dyDescent="0.2">
      <c r="G235" s="76"/>
      <c r="J235" s="76"/>
      <c r="V235" s="76"/>
    </row>
    <row r="236" spans="7:22" x14ac:dyDescent="0.2">
      <c r="G236" s="76"/>
      <c r="J236" s="76"/>
      <c r="V236" s="76"/>
    </row>
    <row r="237" spans="7:22" x14ac:dyDescent="0.2">
      <c r="G237" s="76"/>
      <c r="J237" s="76"/>
      <c r="V237" s="76"/>
    </row>
    <row r="238" spans="7:22" x14ac:dyDescent="0.2">
      <c r="G238" s="76"/>
      <c r="J238" s="76"/>
      <c r="V238" s="76"/>
    </row>
    <row r="239" spans="7:22" x14ac:dyDescent="0.2">
      <c r="G239" s="76"/>
      <c r="J239" s="76"/>
      <c r="V239" s="76"/>
    </row>
    <row r="240" spans="7:22" x14ac:dyDescent="0.2">
      <c r="G240" s="76"/>
      <c r="J240" s="76"/>
      <c r="V240" s="76"/>
    </row>
    <row r="241" spans="7:22" x14ac:dyDescent="0.2">
      <c r="G241" s="76"/>
      <c r="J241" s="76"/>
      <c r="V241" s="76"/>
    </row>
    <row r="242" spans="7:22" x14ac:dyDescent="0.2">
      <c r="G242" s="76"/>
      <c r="J242" s="76"/>
      <c r="V242" s="76"/>
    </row>
    <row r="243" spans="7:22" x14ac:dyDescent="0.2">
      <c r="G243" s="76"/>
      <c r="J243" s="76"/>
    </row>
    <row r="244" spans="7:22" x14ac:dyDescent="0.2">
      <c r="G244" s="76"/>
      <c r="J244" s="76"/>
    </row>
    <row r="245" spans="7:22" x14ac:dyDescent="0.2">
      <c r="G245" s="76"/>
      <c r="J245" s="76"/>
    </row>
    <row r="246" spans="7:22" x14ac:dyDescent="0.2">
      <c r="G246" s="76"/>
      <c r="J246" s="76"/>
    </row>
    <row r="247" spans="7:22" x14ac:dyDescent="0.2">
      <c r="G247" s="76"/>
      <c r="J247" s="76"/>
    </row>
    <row r="248" spans="7:22" x14ac:dyDescent="0.2">
      <c r="G248" s="76"/>
      <c r="J248" s="76"/>
    </row>
    <row r="249" spans="7:22" x14ac:dyDescent="0.2">
      <c r="G249" s="76"/>
      <c r="J249" s="76"/>
    </row>
    <row r="250" spans="7:22" x14ac:dyDescent="0.2">
      <c r="G250" s="76"/>
      <c r="J250" s="76"/>
    </row>
    <row r="251" spans="7:22" x14ac:dyDescent="0.2">
      <c r="G251" s="76"/>
      <c r="J251" s="76"/>
    </row>
    <row r="252" spans="7:22" x14ac:dyDescent="0.2">
      <c r="G252" s="76"/>
      <c r="J252" s="76"/>
    </row>
    <row r="253" spans="7:22" x14ac:dyDescent="0.2">
      <c r="G253" s="76"/>
      <c r="J253" s="76"/>
    </row>
    <row r="254" spans="7:22" x14ac:dyDescent="0.2">
      <c r="G254" s="76"/>
      <c r="J254" s="76"/>
    </row>
    <row r="255" spans="7:22" x14ac:dyDescent="0.2">
      <c r="G255" s="76"/>
      <c r="J255" s="76"/>
    </row>
    <row r="256" spans="7:22" x14ac:dyDescent="0.2">
      <c r="G256" s="76"/>
      <c r="J256" s="76"/>
    </row>
    <row r="257" spans="7:10" x14ac:dyDescent="0.2">
      <c r="G257" s="76"/>
      <c r="J257" s="76"/>
    </row>
    <row r="258" spans="7:10" x14ac:dyDescent="0.2">
      <c r="G258" s="76"/>
      <c r="J258" s="76"/>
    </row>
    <row r="259" spans="7:10" x14ac:dyDescent="0.2">
      <c r="G259" s="76"/>
      <c r="J259" s="76"/>
    </row>
    <row r="260" spans="7:10" x14ac:dyDescent="0.2">
      <c r="G260" s="76"/>
      <c r="J260" s="76"/>
    </row>
    <row r="261" spans="7:10" x14ac:dyDescent="0.2">
      <c r="G261" s="76"/>
      <c r="J261" s="76"/>
    </row>
    <row r="262" spans="7:10" x14ac:dyDescent="0.2">
      <c r="G262" s="76"/>
      <c r="J262" s="76"/>
    </row>
    <row r="263" spans="7:10" x14ac:dyDescent="0.2">
      <c r="G263" s="76"/>
      <c r="J263" s="76"/>
    </row>
    <row r="264" spans="7:10" x14ac:dyDescent="0.2">
      <c r="G264" s="76"/>
      <c r="J264" s="76"/>
    </row>
    <row r="265" spans="7:10" x14ac:dyDescent="0.2">
      <c r="G265" s="76"/>
      <c r="J265" s="76"/>
    </row>
    <row r="266" spans="7:10" x14ac:dyDescent="0.2">
      <c r="G266" s="76"/>
      <c r="J266" s="76"/>
    </row>
    <row r="267" spans="7:10" x14ac:dyDescent="0.2">
      <c r="G267" s="76"/>
      <c r="J267" s="76"/>
    </row>
    <row r="268" spans="7:10" x14ac:dyDescent="0.2">
      <c r="G268" s="76"/>
      <c r="J268" s="76"/>
    </row>
    <row r="269" spans="7:10" x14ac:dyDescent="0.2">
      <c r="G269" s="76"/>
      <c r="J269" s="76"/>
    </row>
    <row r="270" spans="7:10" x14ac:dyDescent="0.2">
      <c r="G270" s="76"/>
      <c r="J270" s="76"/>
    </row>
    <row r="271" spans="7:10" x14ac:dyDescent="0.2">
      <c r="G271" s="76"/>
      <c r="J271" s="76"/>
    </row>
    <row r="272" spans="7:10" x14ac:dyDescent="0.2">
      <c r="G272" s="76"/>
      <c r="J272" s="76"/>
    </row>
    <row r="273" spans="7:10" x14ac:dyDescent="0.2">
      <c r="G273" s="76"/>
      <c r="J273" s="76"/>
    </row>
    <row r="274" spans="7:10" x14ac:dyDescent="0.2">
      <c r="G274" s="76"/>
      <c r="J274" s="76"/>
    </row>
    <row r="275" spans="7:10" x14ac:dyDescent="0.2">
      <c r="G275" s="76"/>
      <c r="J275" s="76"/>
    </row>
    <row r="276" spans="7:10" x14ac:dyDescent="0.2">
      <c r="G276" s="76"/>
      <c r="J276" s="76"/>
    </row>
    <row r="277" spans="7:10" x14ac:dyDescent="0.2">
      <c r="G277" s="76"/>
      <c r="J277" s="76"/>
    </row>
    <row r="278" spans="7:10" x14ac:dyDescent="0.2">
      <c r="G278" s="76"/>
      <c r="J278" s="76"/>
    </row>
    <row r="279" spans="7:10" x14ac:dyDescent="0.2">
      <c r="G279" s="76"/>
      <c r="J279" s="76"/>
    </row>
    <row r="280" spans="7:10" x14ac:dyDescent="0.2">
      <c r="G280" s="76"/>
      <c r="J280" s="76"/>
    </row>
    <row r="281" spans="7:10" x14ac:dyDescent="0.2">
      <c r="G281" s="76"/>
      <c r="J281" s="76"/>
    </row>
    <row r="282" spans="7:10" x14ac:dyDescent="0.2">
      <c r="G282" s="76"/>
      <c r="J282" s="76"/>
    </row>
    <row r="283" spans="7:10" x14ac:dyDescent="0.2">
      <c r="G283" s="76"/>
      <c r="J283" s="76"/>
    </row>
    <row r="284" spans="7:10" x14ac:dyDescent="0.2">
      <c r="G284" s="76"/>
      <c r="J284" s="76"/>
    </row>
    <row r="285" spans="7:10" x14ac:dyDescent="0.2">
      <c r="G285" s="76"/>
      <c r="J285" s="76"/>
    </row>
    <row r="286" spans="7:10" x14ac:dyDescent="0.2">
      <c r="G286" s="76"/>
      <c r="J286" s="76"/>
    </row>
    <row r="287" spans="7:10" x14ac:dyDescent="0.2">
      <c r="G287" s="76"/>
      <c r="J287" s="76"/>
    </row>
    <row r="288" spans="7:10" x14ac:dyDescent="0.2">
      <c r="G288" s="76"/>
      <c r="J288" s="76"/>
    </row>
    <row r="289" spans="7:10" x14ac:dyDescent="0.2">
      <c r="G289" s="76"/>
      <c r="J289" s="76"/>
    </row>
    <row r="290" spans="7:10" x14ac:dyDescent="0.2">
      <c r="G290" s="76"/>
      <c r="J290" s="76"/>
    </row>
    <row r="291" spans="7:10" x14ac:dyDescent="0.2">
      <c r="G291" s="76"/>
      <c r="J291" s="76"/>
    </row>
    <row r="292" spans="7:10" x14ac:dyDescent="0.2">
      <c r="G292" s="76"/>
      <c r="J292" s="76"/>
    </row>
    <row r="293" spans="7:10" x14ac:dyDescent="0.2">
      <c r="G293" s="76"/>
      <c r="J293" s="76"/>
    </row>
    <row r="294" spans="7:10" x14ac:dyDescent="0.2">
      <c r="G294" s="76"/>
      <c r="J294" s="76"/>
    </row>
    <row r="295" spans="7:10" x14ac:dyDescent="0.2">
      <c r="G295" s="76"/>
      <c r="J295" s="76"/>
    </row>
    <row r="296" spans="7:10" x14ac:dyDescent="0.2">
      <c r="G296" s="76"/>
      <c r="J296" s="76"/>
    </row>
    <row r="297" spans="7:10" x14ac:dyDescent="0.2">
      <c r="G297" s="76"/>
      <c r="J297" s="76"/>
    </row>
    <row r="298" spans="7:10" x14ac:dyDescent="0.2">
      <c r="G298" s="76"/>
      <c r="J298" s="76"/>
    </row>
    <row r="299" spans="7:10" x14ac:dyDescent="0.2">
      <c r="G299" s="76"/>
      <c r="J299" s="76"/>
    </row>
    <row r="300" spans="7:10" x14ac:dyDescent="0.2">
      <c r="G300" s="76"/>
      <c r="J300" s="76"/>
    </row>
    <row r="301" spans="7:10" x14ac:dyDescent="0.2">
      <c r="G301" s="76"/>
      <c r="J301" s="76"/>
    </row>
    <row r="302" spans="7:10" x14ac:dyDescent="0.2">
      <c r="G302" s="76"/>
      <c r="J302" s="76"/>
    </row>
    <row r="303" spans="7:10" x14ac:dyDescent="0.2">
      <c r="G303" s="76"/>
      <c r="J303" s="76"/>
    </row>
    <row r="304" spans="7:10" x14ac:dyDescent="0.2">
      <c r="G304" s="76"/>
      <c r="J304" s="76"/>
    </row>
    <row r="305" spans="7:10" x14ac:dyDescent="0.2">
      <c r="G305" s="76"/>
      <c r="J305" s="76"/>
    </row>
    <row r="306" spans="7:10" x14ac:dyDescent="0.2">
      <c r="G306" s="76"/>
      <c r="J306" s="76"/>
    </row>
    <row r="307" spans="7:10" x14ac:dyDescent="0.2">
      <c r="G307" s="76"/>
      <c r="J307" s="76"/>
    </row>
    <row r="308" spans="7:10" x14ac:dyDescent="0.2">
      <c r="G308" s="76"/>
      <c r="J308" s="76"/>
    </row>
    <row r="309" spans="7:10" x14ac:dyDescent="0.2">
      <c r="G309" s="76"/>
      <c r="J309" s="76"/>
    </row>
    <row r="310" spans="7:10" x14ac:dyDescent="0.2">
      <c r="G310" s="76"/>
      <c r="J310" s="76"/>
    </row>
    <row r="311" spans="7:10" x14ac:dyDescent="0.2">
      <c r="G311" s="76"/>
      <c r="J311" s="76"/>
    </row>
    <row r="312" spans="7:10" x14ac:dyDescent="0.2">
      <c r="G312" s="76"/>
      <c r="J312" s="76"/>
    </row>
    <row r="313" spans="7:10" x14ac:dyDescent="0.2">
      <c r="G313" s="76"/>
      <c r="J313" s="76"/>
    </row>
    <row r="314" spans="7:10" x14ac:dyDescent="0.2">
      <c r="G314" s="76"/>
      <c r="J314" s="76"/>
    </row>
    <row r="315" spans="7:10" x14ac:dyDescent="0.2">
      <c r="G315" s="76"/>
      <c r="J315" s="76"/>
    </row>
    <row r="316" spans="7:10" x14ac:dyDescent="0.2">
      <c r="G316" s="76"/>
      <c r="J316" s="76"/>
    </row>
    <row r="317" spans="7:10" x14ac:dyDescent="0.2">
      <c r="G317" s="76"/>
      <c r="J317" s="76"/>
    </row>
    <row r="318" spans="7:10" x14ac:dyDescent="0.2">
      <c r="G318" s="76"/>
      <c r="J318" s="76"/>
    </row>
    <row r="319" spans="7:10" x14ac:dyDescent="0.2">
      <c r="G319" s="76"/>
      <c r="J319" s="76"/>
    </row>
    <row r="320" spans="7:10" x14ac:dyDescent="0.2">
      <c r="G320" s="76"/>
      <c r="J320" s="76"/>
    </row>
    <row r="321" spans="7:10" x14ac:dyDescent="0.2">
      <c r="G321" s="76"/>
      <c r="J321" s="76"/>
    </row>
    <row r="322" spans="7:10" x14ac:dyDescent="0.2">
      <c r="G322" s="76"/>
      <c r="J322" s="76"/>
    </row>
    <row r="323" spans="7:10" x14ac:dyDescent="0.2">
      <c r="G323" s="76"/>
      <c r="J323" s="76"/>
    </row>
    <row r="324" spans="7:10" x14ac:dyDescent="0.2">
      <c r="G324" s="76"/>
      <c r="J324" s="76"/>
    </row>
    <row r="325" spans="7:10" x14ac:dyDescent="0.2">
      <c r="G325" s="76"/>
      <c r="J325" s="76"/>
    </row>
    <row r="326" spans="7:10" x14ac:dyDescent="0.2">
      <c r="G326" s="76"/>
      <c r="J326" s="76"/>
    </row>
    <row r="327" spans="7:10" x14ac:dyDescent="0.2">
      <c r="G327" s="76"/>
      <c r="J327" s="76"/>
    </row>
    <row r="328" spans="7:10" x14ac:dyDescent="0.2">
      <c r="G328" s="76"/>
      <c r="J328" s="76"/>
    </row>
    <row r="329" spans="7:10" x14ac:dyDescent="0.2">
      <c r="G329" s="76"/>
      <c r="J329" s="76"/>
    </row>
    <row r="330" spans="7:10" x14ac:dyDescent="0.2">
      <c r="G330" s="76"/>
      <c r="J330" s="76"/>
    </row>
    <row r="331" spans="7:10" x14ac:dyDescent="0.2">
      <c r="G331" s="76"/>
      <c r="J331" s="76"/>
    </row>
    <row r="332" spans="7:10" x14ac:dyDescent="0.2">
      <c r="G332" s="76"/>
      <c r="J332" s="76"/>
    </row>
    <row r="333" spans="7:10" x14ac:dyDescent="0.2">
      <c r="G333" s="76"/>
      <c r="J333" s="76"/>
    </row>
    <row r="334" spans="7:10" x14ac:dyDescent="0.2">
      <c r="G334" s="76"/>
      <c r="J334" s="76"/>
    </row>
    <row r="335" spans="7:10" x14ac:dyDescent="0.2">
      <c r="G335" s="76"/>
      <c r="J335" s="76"/>
    </row>
    <row r="336" spans="7:10" x14ac:dyDescent="0.2">
      <c r="G336" s="76"/>
      <c r="J336" s="76"/>
    </row>
    <row r="337" spans="7:10" x14ac:dyDescent="0.2">
      <c r="G337" s="76"/>
      <c r="J337" s="76"/>
    </row>
    <row r="338" spans="7:10" x14ac:dyDescent="0.2">
      <c r="G338" s="76"/>
      <c r="J338" s="76"/>
    </row>
    <row r="339" spans="7:10" x14ac:dyDescent="0.2">
      <c r="G339" s="76"/>
      <c r="J339" s="76"/>
    </row>
    <row r="340" spans="7:10" x14ac:dyDescent="0.2">
      <c r="G340" s="76"/>
      <c r="J340" s="76"/>
    </row>
    <row r="341" spans="7:10" x14ac:dyDescent="0.2">
      <c r="G341" s="76"/>
      <c r="J341" s="76"/>
    </row>
    <row r="342" spans="7:10" x14ac:dyDescent="0.2">
      <c r="G342" s="76"/>
      <c r="J342" s="76"/>
    </row>
    <row r="343" spans="7:10" x14ac:dyDescent="0.2">
      <c r="G343" s="76"/>
      <c r="J343" s="76"/>
    </row>
    <row r="344" spans="7:10" x14ac:dyDescent="0.2">
      <c r="G344" s="76"/>
      <c r="J344" s="76"/>
    </row>
    <row r="345" spans="7:10" x14ac:dyDescent="0.2">
      <c r="G345" s="76"/>
      <c r="J345" s="76"/>
    </row>
    <row r="346" spans="7:10" x14ac:dyDescent="0.2">
      <c r="G346" s="76"/>
      <c r="J346" s="76"/>
    </row>
    <row r="347" spans="7:10" x14ac:dyDescent="0.2">
      <c r="G347" s="76"/>
      <c r="J347" s="76"/>
    </row>
    <row r="348" spans="7:10" x14ac:dyDescent="0.2">
      <c r="G348" s="76"/>
      <c r="J348" s="76"/>
    </row>
    <row r="349" spans="7:10" x14ac:dyDescent="0.2">
      <c r="G349" s="76"/>
      <c r="J349" s="76"/>
    </row>
    <row r="350" spans="7:10" x14ac:dyDescent="0.2">
      <c r="G350" s="76"/>
      <c r="J350" s="76"/>
    </row>
    <row r="351" spans="7:10" x14ac:dyDescent="0.2">
      <c r="G351" s="76"/>
      <c r="J351" s="76"/>
    </row>
    <row r="352" spans="7:10" x14ac:dyDescent="0.2">
      <c r="G352" s="76"/>
      <c r="J352" s="76"/>
    </row>
    <row r="353" spans="7:10" x14ac:dyDescent="0.2">
      <c r="G353" s="76"/>
      <c r="J353" s="76"/>
    </row>
    <row r="354" spans="7:10" x14ac:dyDescent="0.2">
      <c r="G354" s="76"/>
      <c r="J354" s="76"/>
    </row>
    <row r="355" spans="7:10" x14ac:dyDescent="0.2">
      <c r="G355" s="76"/>
      <c r="J355" s="76"/>
    </row>
    <row r="356" spans="7:10" x14ac:dyDescent="0.2">
      <c r="G356" s="76"/>
      <c r="J356" s="76"/>
    </row>
    <row r="357" spans="7:10" x14ac:dyDescent="0.2">
      <c r="G357" s="76"/>
      <c r="J357" s="76"/>
    </row>
    <row r="358" spans="7:10" x14ac:dyDescent="0.2">
      <c r="G358" s="76"/>
      <c r="J358" s="76"/>
    </row>
    <row r="359" spans="7:10" x14ac:dyDescent="0.2">
      <c r="G359" s="76"/>
      <c r="J359" s="76"/>
    </row>
    <row r="360" spans="7:10" x14ac:dyDescent="0.2">
      <c r="G360" s="76"/>
      <c r="J360" s="76"/>
    </row>
    <row r="361" spans="7:10" x14ac:dyDescent="0.2">
      <c r="G361" s="76"/>
      <c r="J361" s="76"/>
    </row>
    <row r="362" spans="7:10" x14ac:dyDescent="0.2">
      <c r="G362" s="76"/>
      <c r="J362" s="76"/>
    </row>
    <row r="363" spans="7:10" x14ac:dyDescent="0.2">
      <c r="G363" s="76"/>
      <c r="J363" s="76"/>
    </row>
    <row r="364" spans="7:10" x14ac:dyDescent="0.2">
      <c r="G364" s="76"/>
      <c r="J364" s="76"/>
    </row>
    <row r="365" spans="7:10" x14ac:dyDescent="0.2">
      <c r="G365" s="76"/>
      <c r="J365" s="76"/>
    </row>
    <row r="366" spans="7:10" x14ac:dyDescent="0.2">
      <c r="G366" s="76"/>
      <c r="J366" s="76"/>
    </row>
    <row r="367" spans="7:10" x14ac:dyDescent="0.2">
      <c r="G367" s="76"/>
      <c r="J367" s="76"/>
    </row>
    <row r="368" spans="7:10" x14ac:dyDescent="0.2">
      <c r="G368" s="76"/>
      <c r="J368" s="76"/>
    </row>
    <row r="369" spans="7:10" x14ac:dyDescent="0.2">
      <c r="G369" s="76"/>
      <c r="J369" s="76"/>
    </row>
    <row r="370" spans="7:10" x14ac:dyDescent="0.2">
      <c r="G370" s="76"/>
      <c r="J370" s="76"/>
    </row>
    <row r="371" spans="7:10" x14ac:dyDescent="0.2">
      <c r="G371" s="76"/>
      <c r="J371" s="76"/>
    </row>
    <row r="372" spans="7:10" x14ac:dyDescent="0.2">
      <c r="G372" s="76"/>
      <c r="J372" s="76"/>
    </row>
    <row r="373" spans="7:10" x14ac:dyDescent="0.2">
      <c r="G373" s="76"/>
      <c r="J373" s="76"/>
    </row>
    <row r="374" spans="7:10" x14ac:dyDescent="0.2">
      <c r="G374" s="76"/>
      <c r="J374" s="76"/>
    </row>
    <row r="375" spans="7:10" x14ac:dyDescent="0.2">
      <c r="G375" s="76"/>
      <c r="J375" s="76"/>
    </row>
    <row r="376" spans="7:10" x14ac:dyDescent="0.2">
      <c r="G376" s="76"/>
      <c r="J376" s="76"/>
    </row>
    <row r="377" spans="7:10" x14ac:dyDescent="0.2">
      <c r="G377" s="76"/>
      <c r="J377" s="76"/>
    </row>
    <row r="378" spans="7:10" x14ac:dyDescent="0.2">
      <c r="G378" s="76"/>
      <c r="J378" s="76"/>
    </row>
    <row r="379" spans="7:10" x14ac:dyDescent="0.2">
      <c r="G379" s="76"/>
      <c r="J379" s="76"/>
    </row>
    <row r="380" spans="7:10" x14ac:dyDescent="0.2">
      <c r="G380" s="76"/>
      <c r="J380" s="76"/>
    </row>
    <row r="381" spans="7:10" x14ac:dyDescent="0.2">
      <c r="G381" s="76"/>
      <c r="J381" s="76"/>
    </row>
    <row r="382" spans="7:10" x14ac:dyDescent="0.2">
      <c r="G382" s="76"/>
      <c r="J382" s="76"/>
    </row>
    <row r="383" spans="7:10" x14ac:dyDescent="0.2">
      <c r="G383" s="76"/>
      <c r="J383" s="76"/>
    </row>
    <row r="384" spans="7:10" x14ac:dyDescent="0.2">
      <c r="G384" s="76"/>
      <c r="J384" s="76"/>
    </row>
    <row r="385" spans="7:10" x14ac:dyDescent="0.2">
      <c r="G385" s="76"/>
      <c r="J385" s="76"/>
    </row>
    <row r="386" spans="7:10" x14ac:dyDescent="0.2">
      <c r="G386" s="76"/>
      <c r="J386" s="76"/>
    </row>
    <row r="387" spans="7:10" x14ac:dyDescent="0.2">
      <c r="G387" s="76"/>
      <c r="J387" s="76"/>
    </row>
    <row r="388" spans="7:10" x14ac:dyDescent="0.2">
      <c r="G388" s="76"/>
      <c r="J388" s="76"/>
    </row>
    <row r="389" spans="7:10" x14ac:dyDescent="0.2">
      <c r="G389" s="76"/>
      <c r="J389" s="76"/>
    </row>
    <row r="390" spans="7:10" x14ac:dyDescent="0.2">
      <c r="G390" s="76"/>
      <c r="J390" s="76"/>
    </row>
    <row r="391" spans="7:10" x14ac:dyDescent="0.2">
      <c r="G391" s="76"/>
      <c r="J391" s="76"/>
    </row>
    <row r="392" spans="7:10" x14ac:dyDescent="0.2">
      <c r="G392" s="76"/>
      <c r="J392" s="76"/>
    </row>
    <row r="393" spans="7:10" x14ac:dyDescent="0.2">
      <c r="G393" s="76"/>
      <c r="J393" s="76"/>
    </row>
    <row r="394" spans="7:10" x14ac:dyDescent="0.2">
      <c r="G394" s="76"/>
      <c r="J394" s="76"/>
    </row>
    <row r="395" spans="7:10" x14ac:dyDescent="0.2">
      <c r="G395" s="76"/>
      <c r="J395" s="76"/>
    </row>
    <row r="396" spans="7:10" x14ac:dyDescent="0.2">
      <c r="G396" s="76"/>
      <c r="J396" s="76"/>
    </row>
    <row r="397" spans="7:10" x14ac:dyDescent="0.2">
      <c r="G397" s="76"/>
      <c r="J397" s="76"/>
    </row>
    <row r="398" spans="7:10" x14ac:dyDescent="0.2">
      <c r="G398" s="76"/>
      <c r="J398" s="76"/>
    </row>
    <row r="399" spans="7:10" x14ac:dyDescent="0.2">
      <c r="G399" s="76"/>
      <c r="J399" s="76"/>
    </row>
    <row r="400" spans="7:10" x14ac:dyDescent="0.2">
      <c r="G400" s="76"/>
      <c r="J400" s="76"/>
    </row>
    <row r="401" spans="7:10" x14ac:dyDescent="0.2">
      <c r="G401" s="76"/>
      <c r="J401" s="76"/>
    </row>
    <row r="402" spans="7:10" x14ac:dyDescent="0.2">
      <c r="G402" s="76"/>
      <c r="J402" s="76"/>
    </row>
    <row r="403" spans="7:10" x14ac:dyDescent="0.2">
      <c r="G403" s="76"/>
      <c r="J403" s="76"/>
    </row>
    <row r="404" spans="7:10" x14ac:dyDescent="0.2">
      <c r="G404" s="76"/>
      <c r="J404" s="76"/>
    </row>
    <row r="405" spans="7:10" x14ac:dyDescent="0.2">
      <c r="G405" s="76"/>
      <c r="J405" s="76"/>
    </row>
    <row r="406" spans="7:10" x14ac:dyDescent="0.2">
      <c r="G406" s="76"/>
      <c r="J406" s="76"/>
    </row>
    <row r="407" spans="7:10" x14ac:dyDescent="0.2">
      <c r="G407" s="76"/>
      <c r="J407" s="76"/>
    </row>
    <row r="408" spans="7:10" x14ac:dyDescent="0.2">
      <c r="G408" s="76"/>
      <c r="J408" s="76"/>
    </row>
    <row r="409" spans="7:10" x14ac:dyDescent="0.2">
      <c r="G409" s="76"/>
      <c r="J409" s="76"/>
    </row>
    <row r="410" spans="7:10" x14ac:dyDescent="0.2">
      <c r="G410" s="76"/>
      <c r="J410" s="76"/>
    </row>
    <row r="411" spans="7:10" x14ac:dyDescent="0.2">
      <c r="G411" s="76"/>
      <c r="J411" s="76"/>
    </row>
    <row r="412" spans="7:10" x14ac:dyDescent="0.2">
      <c r="G412" s="76"/>
      <c r="J412" s="76"/>
    </row>
    <row r="413" spans="7:10" x14ac:dyDescent="0.2">
      <c r="G413" s="76"/>
      <c r="J413" s="76"/>
    </row>
    <row r="414" spans="7:10" x14ac:dyDescent="0.2">
      <c r="G414" s="76"/>
      <c r="J414" s="76"/>
    </row>
    <row r="415" spans="7:10" x14ac:dyDescent="0.2">
      <c r="G415" s="76"/>
      <c r="J415" s="76"/>
    </row>
    <row r="416" spans="7:10" x14ac:dyDescent="0.2">
      <c r="G416" s="76"/>
      <c r="J416" s="76"/>
    </row>
    <row r="417" spans="7:10" x14ac:dyDescent="0.2">
      <c r="G417" s="76"/>
      <c r="J417" s="76"/>
    </row>
    <row r="418" spans="7:10" x14ac:dyDescent="0.2">
      <c r="G418" s="76"/>
      <c r="J418" s="76"/>
    </row>
    <row r="419" spans="7:10" x14ac:dyDescent="0.2">
      <c r="G419" s="76"/>
      <c r="J419" s="76"/>
    </row>
    <row r="420" spans="7:10" x14ac:dyDescent="0.2">
      <c r="G420" s="76"/>
      <c r="J420" s="76"/>
    </row>
    <row r="421" spans="7:10" x14ac:dyDescent="0.2">
      <c r="G421" s="76"/>
      <c r="J421" s="76"/>
    </row>
    <row r="422" spans="7:10" x14ac:dyDescent="0.2">
      <c r="G422" s="76"/>
      <c r="J422" s="76"/>
    </row>
    <row r="423" spans="7:10" x14ac:dyDescent="0.2">
      <c r="G423" s="76"/>
      <c r="J423" s="76"/>
    </row>
    <row r="424" spans="7:10" x14ac:dyDescent="0.2">
      <c r="G424" s="76"/>
      <c r="J424" s="76"/>
    </row>
    <row r="425" spans="7:10" x14ac:dyDescent="0.2">
      <c r="G425" s="76"/>
      <c r="J425" s="76"/>
    </row>
    <row r="426" spans="7:10" x14ac:dyDescent="0.2">
      <c r="G426" s="76"/>
      <c r="J426" s="76"/>
    </row>
    <row r="427" spans="7:10" x14ac:dyDescent="0.2">
      <c r="G427" s="76"/>
      <c r="J427" s="76"/>
    </row>
    <row r="428" spans="7:10" x14ac:dyDescent="0.2">
      <c r="G428" s="76"/>
      <c r="J428" s="76"/>
    </row>
    <row r="429" spans="7:10" x14ac:dyDescent="0.2">
      <c r="G429" s="76"/>
      <c r="J429" s="76"/>
    </row>
    <row r="430" spans="7:10" x14ac:dyDescent="0.2">
      <c r="G430" s="76"/>
      <c r="J430" s="76"/>
    </row>
    <row r="431" spans="7:10" x14ac:dyDescent="0.2">
      <c r="G431" s="76"/>
      <c r="J431" s="76"/>
    </row>
    <row r="432" spans="7:10" x14ac:dyDescent="0.2">
      <c r="G432" s="76"/>
      <c r="J432" s="76"/>
    </row>
    <row r="433" spans="7:10" x14ac:dyDescent="0.2">
      <c r="G433" s="76"/>
      <c r="J433" s="76"/>
    </row>
    <row r="434" spans="7:10" x14ac:dyDescent="0.2">
      <c r="G434" s="76"/>
      <c r="J434" s="76"/>
    </row>
    <row r="435" spans="7:10" x14ac:dyDescent="0.2">
      <c r="G435" s="76"/>
      <c r="J435" s="76"/>
    </row>
    <row r="436" spans="7:10" x14ac:dyDescent="0.2">
      <c r="G436" s="76"/>
      <c r="J436" s="76"/>
    </row>
    <row r="437" spans="7:10" x14ac:dyDescent="0.2">
      <c r="G437" s="76"/>
      <c r="J437" s="76"/>
    </row>
    <row r="438" spans="7:10" x14ac:dyDescent="0.2">
      <c r="G438" s="76"/>
      <c r="J438" s="76"/>
    </row>
    <row r="439" spans="7:10" x14ac:dyDescent="0.2">
      <c r="G439" s="76"/>
      <c r="J439" s="76"/>
    </row>
    <row r="440" spans="7:10" x14ac:dyDescent="0.2">
      <c r="G440" s="76"/>
      <c r="J440" s="76"/>
    </row>
    <row r="441" spans="7:10" x14ac:dyDescent="0.2">
      <c r="G441" s="76"/>
      <c r="J441" s="76"/>
    </row>
    <row r="442" spans="7:10" x14ac:dyDescent="0.2">
      <c r="G442" s="76"/>
      <c r="J442" s="76"/>
    </row>
    <row r="443" spans="7:10" x14ac:dyDescent="0.2">
      <c r="G443" s="76"/>
      <c r="J443" s="76"/>
    </row>
    <row r="444" spans="7:10" x14ac:dyDescent="0.2">
      <c r="G444" s="76"/>
      <c r="J444" s="76"/>
    </row>
    <row r="445" spans="7:10" x14ac:dyDescent="0.2">
      <c r="G445" s="76"/>
      <c r="J445" s="76"/>
    </row>
    <row r="446" spans="7:10" x14ac:dyDescent="0.2">
      <c r="G446" s="76"/>
      <c r="J446" s="76"/>
    </row>
    <row r="447" spans="7:10" x14ac:dyDescent="0.2">
      <c r="G447" s="76"/>
      <c r="J447" s="76"/>
    </row>
    <row r="448" spans="7:10" x14ac:dyDescent="0.2">
      <c r="G448" s="76"/>
      <c r="J448" s="76"/>
    </row>
    <row r="449" spans="7:10" x14ac:dyDescent="0.2">
      <c r="G449" s="76"/>
      <c r="J449" s="76"/>
    </row>
    <row r="450" spans="7:10" x14ac:dyDescent="0.2">
      <c r="G450" s="76"/>
      <c r="J450" s="76"/>
    </row>
    <row r="451" spans="7:10" x14ac:dyDescent="0.2">
      <c r="G451" s="76"/>
      <c r="J451" s="76"/>
    </row>
    <row r="452" spans="7:10" x14ac:dyDescent="0.2">
      <c r="G452" s="76"/>
      <c r="J452" s="76"/>
    </row>
    <row r="453" spans="7:10" x14ac:dyDescent="0.2">
      <c r="G453" s="76"/>
      <c r="J453" s="76"/>
    </row>
    <row r="454" spans="7:10" x14ac:dyDescent="0.2">
      <c r="G454" s="76"/>
      <c r="J454" s="76"/>
    </row>
    <row r="455" spans="7:10" x14ac:dyDescent="0.2">
      <c r="G455" s="76"/>
      <c r="J455" s="76"/>
    </row>
    <row r="456" spans="7:10" x14ac:dyDescent="0.2">
      <c r="G456" s="76"/>
      <c r="J456" s="76"/>
    </row>
    <row r="457" spans="7:10" x14ac:dyDescent="0.2">
      <c r="G457" s="76"/>
      <c r="J457" s="76"/>
    </row>
    <row r="458" spans="7:10" x14ac:dyDescent="0.2">
      <c r="G458" s="76"/>
      <c r="J458" s="76"/>
    </row>
    <row r="459" spans="7:10" x14ac:dyDescent="0.2">
      <c r="G459" s="76"/>
      <c r="J459" s="76"/>
    </row>
    <row r="460" spans="7:10" x14ac:dyDescent="0.2">
      <c r="G460" s="76"/>
      <c r="J460" s="76"/>
    </row>
    <row r="461" spans="7:10" x14ac:dyDescent="0.2">
      <c r="G461" s="76"/>
      <c r="J461" s="76"/>
    </row>
    <row r="462" spans="7:10" x14ac:dyDescent="0.2">
      <c r="G462" s="76"/>
      <c r="J462" s="76"/>
    </row>
    <row r="463" spans="7:10" x14ac:dyDescent="0.2">
      <c r="G463" s="76"/>
      <c r="J463" s="76"/>
    </row>
    <row r="464" spans="7:10" x14ac:dyDescent="0.2">
      <c r="G464" s="76"/>
      <c r="J464" s="76"/>
    </row>
    <row r="465" spans="7:10" x14ac:dyDescent="0.2">
      <c r="G465" s="76"/>
      <c r="J465" s="76"/>
    </row>
    <row r="466" spans="7:10" x14ac:dyDescent="0.2">
      <c r="G466" s="76"/>
      <c r="J466" s="76"/>
    </row>
    <row r="467" spans="7:10" x14ac:dyDescent="0.2">
      <c r="G467" s="76"/>
      <c r="J467" s="76"/>
    </row>
    <row r="468" spans="7:10" x14ac:dyDescent="0.2">
      <c r="G468" s="76"/>
      <c r="J468" s="76"/>
    </row>
    <row r="469" spans="7:10" x14ac:dyDescent="0.2">
      <c r="G469" s="76"/>
      <c r="J469" s="76"/>
    </row>
    <row r="470" spans="7:10" x14ac:dyDescent="0.2">
      <c r="G470" s="76"/>
      <c r="J470" s="76"/>
    </row>
    <row r="471" spans="7:10" x14ac:dyDescent="0.2">
      <c r="G471" s="76"/>
      <c r="J471" s="76"/>
    </row>
    <row r="472" spans="7:10" x14ac:dyDescent="0.2">
      <c r="G472" s="76"/>
      <c r="J472" s="76"/>
    </row>
    <row r="473" spans="7:10" x14ac:dyDescent="0.2">
      <c r="G473" s="76"/>
      <c r="J473" s="76"/>
    </row>
    <row r="474" spans="7:10" x14ac:dyDescent="0.2">
      <c r="G474" s="76"/>
      <c r="J474" s="76"/>
    </row>
    <row r="475" spans="7:10" x14ac:dyDescent="0.2">
      <c r="G475" s="76"/>
      <c r="J475" s="76"/>
    </row>
    <row r="476" spans="7:10" x14ac:dyDescent="0.2">
      <c r="G476" s="76"/>
      <c r="J476" s="76"/>
    </row>
    <row r="477" spans="7:10" x14ac:dyDescent="0.2">
      <c r="G477" s="76"/>
      <c r="J477" s="76"/>
    </row>
    <row r="478" spans="7:10" x14ac:dyDescent="0.2">
      <c r="G478" s="76"/>
      <c r="J478" s="76"/>
    </row>
    <row r="479" spans="7:10" x14ac:dyDescent="0.2">
      <c r="G479" s="76"/>
      <c r="J479" s="76"/>
    </row>
    <row r="480" spans="7:10" x14ac:dyDescent="0.2">
      <c r="G480" s="76"/>
      <c r="J480" s="76"/>
    </row>
    <row r="481" spans="7:10" x14ac:dyDescent="0.2">
      <c r="G481" s="76"/>
      <c r="J481" s="76"/>
    </row>
    <row r="482" spans="7:10" x14ac:dyDescent="0.2">
      <c r="G482" s="76"/>
      <c r="J482" s="76"/>
    </row>
    <row r="483" spans="7:10" x14ac:dyDescent="0.2">
      <c r="G483" s="76"/>
      <c r="J483" s="76"/>
    </row>
    <row r="484" spans="7:10" x14ac:dyDescent="0.2">
      <c r="G484" s="76"/>
      <c r="J484" s="76"/>
    </row>
    <row r="485" spans="7:10" x14ac:dyDescent="0.2">
      <c r="G485" s="76"/>
      <c r="J485" s="76"/>
    </row>
    <row r="486" spans="7:10" x14ac:dyDescent="0.2">
      <c r="G486" s="76"/>
      <c r="J486" s="76"/>
    </row>
    <row r="487" spans="7:10" x14ac:dyDescent="0.2">
      <c r="G487" s="76"/>
      <c r="J487" s="76"/>
    </row>
    <row r="488" spans="7:10" x14ac:dyDescent="0.2">
      <c r="G488" s="76"/>
      <c r="J488" s="76"/>
    </row>
    <row r="489" spans="7:10" x14ac:dyDescent="0.2">
      <c r="G489" s="76"/>
      <c r="J489" s="76"/>
    </row>
    <row r="490" spans="7:10" x14ac:dyDescent="0.2">
      <c r="G490" s="76"/>
      <c r="J490" s="76"/>
    </row>
    <row r="491" spans="7:10" x14ac:dyDescent="0.2">
      <c r="G491" s="76"/>
      <c r="J491" s="76"/>
    </row>
    <row r="492" spans="7:10" x14ac:dyDescent="0.2">
      <c r="G492" s="76"/>
      <c r="J492" s="76"/>
    </row>
    <row r="493" spans="7:10" x14ac:dyDescent="0.2">
      <c r="G493" s="76"/>
      <c r="J493" s="76"/>
    </row>
    <row r="494" spans="7:10" x14ac:dyDescent="0.2">
      <c r="G494" s="76"/>
      <c r="J494" s="76"/>
    </row>
    <row r="495" spans="7:10" x14ac:dyDescent="0.2">
      <c r="G495" s="76"/>
      <c r="J495" s="76"/>
    </row>
    <row r="496" spans="7:10" x14ac:dyDescent="0.2">
      <c r="G496" s="76"/>
      <c r="J496" s="76"/>
    </row>
    <row r="497" spans="7:10" x14ac:dyDescent="0.2">
      <c r="G497" s="76"/>
      <c r="J497" s="76"/>
    </row>
    <row r="498" spans="7:10" x14ac:dyDescent="0.2">
      <c r="G498" s="76"/>
      <c r="J498" s="76"/>
    </row>
    <row r="499" spans="7:10" x14ac:dyDescent="0.2">
      <c r="G499" s="76"/>
      <c r="J499" s="76"/>
    </row>
    <row r="500" spans="7:10" x14ac:dyDescent="0.2">
      <c r="G500" s="76"/>
      <c r="J500" s="76"/>
    </row>
    <row r="501" spans="7:10" x14ac:dyDescent="0.2">
      <c r="G501" s="76"/>
      <c r="J501" s="76"/>
    </row>
    <row r="502" spans="7:10" x14ac:dyDescent="0.2">
      <c r="G502" s="76"/>
      <c r="J502" s="76"/>
    </row>
    <row r="503" spans="7:10" x14ac:dyDescent="0.2">
      <c r="G503" s="76"/>
      <c r="J503" s="76"/>
    </row>
    <row r="504" spans="7:10" x14ac:dyDescent="0.2">
      <c r="G504" s="76"/>
      <c r="J504" s="76"/>
    </row>
    <row r="505" spans="7:10" x14ac:dyDescent="0.2">
      <c r="G505" s="76"/>
      <c r="J505" s="76"/>
    </row>
    <row r="506" spans="7:10" x14ac:dyDescent="0.2">
      <c r="G506" s="76"/>
      <c r="J506" s="76"/>
    </row>
    <row r="507" spans="7:10" x14ac:dyDescent="0.2">
      <c r="G507" s="76"/>
      <c r="J507" s="76"/>
    </row>
    <row r="508" spans="7:10" x14ac:dyDescent="0.2">
      <c r="G508" s="76"/>
      <c r="J508" s="76"/>
    </row>
    <row r="509" spans="7:10" x14ac:dyDescent="0.2">
      <c r="G509" s="76"/>
      <c r="J509" s="76"/>
    </row>
    <row r="510" spans="7:10" x14ac:dyDescent="0.2">
      <c r="G510" s="76"/>
      <c r="J510" s="76"/>
    </row>
    <row r="511" spans="7:10" x14ac:dyDescent="0.2">
      <c r="G511" s="76"/>
      <c r="J511" s="76"/>
    </row>
    <row r="512" spans="7:10" x14ac:dyDescent="0.2">
      <c r="G512" s="76"/>
      <c r="J512" s="76"/>
    </row>
    <row r="513" spans="7:10" x14ac:dyDescent="0.2">
      <c r="G513" s="76"/>
      <c r="J513" s="76"/>
    </row>
    <row r="514" spans="7:10" x14ac:dyDescent="0.2">
      <c r="G514" s="76"/>
      <c r="J514" s="76"/>
    </row>
    <row r="515" spans="7:10" x14ac:dyDescent="0.2">
      <c r="G515" s="76"/>
      <c r="J515" s="76"/>
    </row>
    <row r="516" spans="7:10" x14ac:dyDescent="0.2">
      <c r="G516" s="76"/>
      <c r="J516" s="76"/>
    </row>
    <row r="517" spans="7:10" x14ac:dyDescent="0.2">
      <c r="G517" s="76"/>
      <c r="J517" s="76"/>
    </row>
    <row r="518" spans="7:10" x14ac:dyDescent="0.2">
      <c r="G518" s="76"/>
      <c r="J518" s="76"/>
    </row>
    <row r="519" spans="7:10" x14ac:dyDescent="0.2">
      <c r="G519" s="76"/>
      <c r="J519" s="76"/>
    </row>
    <row r="520" spans="7:10" x14ac:dyDescent="0.2">
      <c r="G520" s="76"/>
      <c r="J520" s="76"/>
    </row>
    <row r="521" spans="7:10" x14ac:dyDescent="0.2">
      <c r="G521" s="76"/>
      <c r="J521" s="76"/>
    </row>
    <row r="522" spans="7:10" x14ac:dyDescent="0.2">
      <c r="G522" s="76"/>
      <c r="J522" s="76"/>
    </row>
    <row r="523" spans="7:10" x14ac:dyDescent="0.2">
      <c r="G523" s="76"/>
      <c r="J523" s="76"/>
    </row>
    <row r="524" spans="7:10" x14ac:dyDescent="0.2">
      <c r="G524" s="76"/>
      <c r="J524" s="76"/>
    </row>
    <row r="525" spans="7:10" x14ac:dyDescent="0.2">
      <c r="G525" s="76"/>
      <c r="J525" s="76"/>
    </row>
    <row r="526" spans="7:10" x14ac:dyDescent="0.2">
      <c r="G526" s="76"/>
      <c r="J526" s="76"/>
    </row>
    <row r="527" spans="7:10" x14ac:dyDescent="0.2">
      <c r="G527" s="76"/>
      <c r="J527" s="76"/>
    </row>
    <row r="528" spans="7:10" x14ac:dyDescent="0.2">
      <c r="G528" s="76"/>
      <c r="J528" s="76"/>
    </row>
    <row r="529" spans="7:10" x14ac:dyDescent="0.2">
      <c r="G529" s="76"/>
      <c r="J529" s="76"/>
    </row>
    <row r="530" spans="7:10" x14ac:dyDescent="0.2">
      <c r="G530" s="76"/>
      <c r="J530" s="76"/>
    </row>
    <row r="531" spans="7:10" x14ac:dyDescent="0.2">
      <c r="G531" s="76"/>
      <c r="J531" s="76"/>
    </row>
    <row r="532" spans="7:10" x14ac:dyDescent="0.2">
      <c r="G532" s="76"/>
      <c r="J532" s="76"/>
    </row>
    <row r="533" spans="7:10" x14ac:dyDescent="0.2">
      <c r="G533" s="76"/>
      <c r="J533" s="76"/>
    </row>
    <row r="534" spans="7:10" x14ac:dyDescent="0.2">
      <c r="G534" s="76"/>
      <c r="J534" s="76"/>
    </row>
    <row r="535" spans="7:10" x14ac:dyDescent="0.2">
      <c r="G535" s="76"/>
      <c r="J535" s="76"/>
    </row>
    <row r="536" spans="7:10" x14ac:dyDescent="0.2">
      <c r="G536" s="76"/>
      <c r="J536" s="76"/>
    </row>
    <row r="537" spans="7:10" x14ac:dyDescent="0.2">
      <c r="G537" s="76"/>
      <c r="J537" s="76"/>
    </row>
    <row r="538" spans="7:10" x14ac:dyDescent="0.2">
      <c r="G538" s="76"/>
      <c r="J538" s="76"/>
    </row>
    <row r="539" spans="7:10" x14ac:dyDescent="0.2">
      <c r="G539" s="76"/>
      <c r="J539" s="76"/>
    </row>
    <row r="540" spans="7:10" x14ac:dyDescent="0.2">
      <c r="G540" s="76"/>
      <c r="J540" s="76"/>
    </row>
    <row r="541" spans="7:10" x14ac:dyDescent="0.2">
      <c r="G541" s="76"/>
      <c r="J541" s="76"/>
    </row>
    <row r="542" spans="7:10" x14ac:dyDescent="0.2">
      <c r="G542" s="76"/>
      <c r="J542" s="76"/>
    </row>
    <row r="543" spans="7:10" x14ac:dyDescent="0.2">
      <c r="G543" s="76"/>
      <c r="J543" s="76"/>
    </row>
    <row r="544" spans="7:10" x14ac:dyDescent="0.2">
      <c r="G544" s="76"/>
      <c r="J544" s="76"/>
    </row>
    <row r="545" spans="7:10" x14ac:dyDescent="0.2">
      <c r="G545" s="76"/>
      <c r="J545" s="76"/>
    </row>
    <row r="546" spans="7:10" x14ac:dyDescent="0.2">
      <c r="G546" s="76"/>
      <c r="J546" s="76"/>
    </row>
    <row r="547" spans="7:10" x14ac:dyDescent="0.2">
      <c r="G547" s="76"/>
      <c r="J547" s="76"/>
    </row>
    <row r="548" spans="7:10" x14ac:dyDescent="0.2">
      <c r="G548" s="76"/>
      <c r="J548" s="76"/>
    </row>
    <row r="549" spans="7:10" x14ac:dyDescent="0.2">
      <c r="G549" s="76"/>
      <c r="J549" s="76"/>
    </row>
    <row r="550" spans="7:10" x14ac:dyDescent="0.2">
      <c r="G550" s="76"/>
      <c r="J550" s="76"/>
    </row>
    <row r="551" spans="7:10" x14ac:dyDescent="0.2">
      <c r="G551" s="76"/>
      <c r="J551" s="76"/>
    </row>
    <row r="552" spans="7:10" x14ac:dyDescent="0.2">
      <c r="G552" s="76"/>
      <c r="J552" s="76"/>
    </row>
    <row r="553" spans="7:10" x14ac:dyDescent="0.2">
      <c r="G553" s="76"/>
      <c r="J553" s="76"/>
    </row>
    <row r="554" spans="7:10" x14ac:dyDescent="0.2">
      <c r="G554" s="76"/>
      <c r="J554" s="76"/>
    </row>
    <row r="555" spans="7:10" x14ac:dyDescent="0.2">
      <c r="G555" s="76"/>
      <c r="J555" s="76"/>
    </row>
    <row r="556" spans="7:10" x14ac:dyDescent="0.2">
      <c r="G556" s="76"/>
      <c r="J556" s="76"/>
    </row>
    <row r="557" spans="7:10" x14ac:dyDescent="0.2">
      <c r="G557" s="76"/>
      <c r="J557" s="76"/>
    </row>
    <row r="558" spans="7:10" x14ac:dyDescent="0.2">
      <c r="G558" s="76"/>
      <c r="J558" s="76"/>
    </row>
    <row r="559" spans="7:10" x14ac:dyDescent="0.2">
      <c r="G559" s="76"/>
      <c r="J559" s="76"/>
    </row>
    <row r="560" spans="7:10" x14ac:dyDescent="0.2">
      <c r="G560" s="76"/>
      <c r="J560" s="76"/>
    </row>
    <row r="561" spans="7:10" x14ac:dyDescent="0.2">
      <c r="G561" s="76"/>
      <c r="J561" s="76"/>
    </row>
    <row r="562" spans="7:10" x14ac:dyDescent="0.2">
      <c r="G562" s="76"/>
      <c r="J562" s="76"/>
    </row>
    <row r="563" spans="7:10" x14ac:dyDescent="0.2">
      <c r="G563" s="76"/>
      <c r="J563" s="76"/>
    </row>
    <row r="564" spans="7:10" x14ac:dyDescent="0.2">
      <c r="G564" s="76"/>
      <c r="J564" s="76"/>
    </row>
    <row r="565" spans="7:10" x14ac:dyDescent="0.2">
      <c r="G565" s="76"/>
      <c r="J565" s="76"/>
    </row>
    <row r="566" spans="7:10" x14ac:dyDescent="0.2">
      <c r="G566" s="76"/>
      <c r="J566" s="76"/>
    </row>
    <row r="567" spans="7:10" x14ac:dyDescent="0.2">
      <c r="G567" s="76"/>
      <c r="J567" s="76"/>
    </row>
    <row r="568" spans="7:10" x14ac:dyDescent="0.2">
      <c r="G568" s="76"/>
      <c r="J568" s="76"/>
    </row>
    <row r="569" spans="7:10" x14ac:dyDescent="0.2">
      <c r="G569" s="76"/>
      <c r="J569" s="76"/>
    </row>
    <row r="570" spans="7:10" x14ac:dyDescent="0.2">
      <c r="G570" s="76"/>
      <c r="J570" s="76"/>
    </row>
    <row r="571" spans="7:10" x14ac:dyDescent="0.2">
      <c r="G571" s="76"/>
      <c r="J571" s="76"/>
    </row>
    <row r="572" spans="7:10" x14ac:dyDescent="0.2">
      <c r="G572" s="76"/>
      <c r="J572" s="76"/>
    </row>
    <row r="573" spans="7:10" x14ac:dyDescent="0.2">
      <c r="G573" s="76"/>
      <c r="J573" s="76"/>
    </row>
    <row r="574" spans="7:10" x14ac:dyDescent="0.2">
      <c r="G574" s="76"/>
      <c r="J574" s="76"/>
    </row>
    <row r="575" spans="7:10" x14ac:dyDescent="0.2">
      <c r="G575" s="76"/>
      <c r="J575" s="76"/>
    </row>
    <row r="576" spans="7:10" x14ac:dyDescent="0.2">
      <c r="G576" s="76"/>
      <c r="J576" s="76"/>
    </row>
    <row r="577" spans="7:10" x14ac:dyDescent="0.2">
      <c r="G577" s="76"/>
      <c r="J577" s="76"/>
    </row>
    <row r="578" spans="7:10" x14ac:dyDescent="0.2">
      <c r="G578" s="76"/>
      <c r="J578" s="76"/>
    </row>
    <row r="579" spans="7:10" x14ac:dyDescent="0.2">
      <c r="G579" s="76"/>
      <c r="J579" s="76"/>
    </row>
    <row r="580" spans="7:10" x14ac:dyDescent="0.2">
      <c r="G580" s="76"/>
      <c r="J580" s="76"/>
    </row>
    <row r="581" spans="7:10" x14ac:dyDescent="0.2">
      <c r="G581" s="76"/>
      <c r="J581" s="76"/>
    </row>
    <row r="582" spans="7:10" x14ac:dyDescent="0.2">
      <c r="G582" s="76"/>
      <c r="J582" s="76"/>
    </row>
    <row r="583" spans="7:10" x14ac:dyDescent="0.2">
      <c r="G583" s="76"/>
      <c r="J583" s="76"/>
    </row>
    <row r="584" spans="7:10" x14ac:dyDescent="0.2">
      <c r="G584" s="76"/>
      <c r="J584" s="76"/>
    </row>
    <row r="585" spans="7:10" x14ac:dyDescent="0.2">
      <c r="G585" s="76"/>
      <c r="J585" s="76"/>
    </row>
    <row r="586" spans="7:10" x14ac:dyDescent="0.2">
      <c r="G586" s="76"/>
      <c r="J586" s="76"/>
    </row>
    <row r="587" spans="7:10" x14ac:dyDescent="0.2">
      <c r="G587" s="76"/>
      <c r="J587" s="76"/>
    </row>
    <row r="588" spans="7:10" x14ac:dyDescent="0.2">
      <c r="G588" s="76"/>
      <c r="J588" s="76"/>
    </row>
    <row r="589" spans="7:10" x14ac:dyDescent="0.2">
      <c r="G589" s="76"/>
      <c r="J589" s="76"/>
    </row>
    <row r="590" spans="7:10" x14ac:dyDescent="0.2">
      <c r="G590" s="76"/>
      <c r="J590" s="76"/>
    </row>
    <row r="591" spans="7:10" x14ac:dyDescent="0.2">
      <c r="G591" s="76"/>
      <c r="J591" s="76"/>
    </row>
    <row r="592" spans="7:10" x14ac:dyDescent="0.2">
      <c r="G592" s="76"/>
      <c r="J592" s="76"/>
    </row>
    <row r="593" spans="7:10" x14ac:dyDescent="0.2">
      <c r="G593" s="76"/>
      <c r="J593" s="76"/>
    </row>
    <row r="594" spans="7:10" x14ac:dyDescent="0.2">
      <c r="G594" s="76"/>
      <c r="J594" s="76"/>
    </row>
    <row r="595" spans="7:10" x14ac:dyDescent="0.2">
      <c r="G595" s="76"/>
      <c r="J595" s="76"/>
    </row>
    <row r="596" spans="7:10" x14ac:dyDescent="0.2">
      <c r="G596" s="76"/>
      <c r="J596" s="76"/>
    </row>
    <row r="597" spans="7:10" x14ac:dyDescent="0.2">
      <c r="G597" s="76"/>
      <c r="J597" s="76"/>
    </row>
    <row r="598" spans="7:10" x14ac:dyDescent="0.2">
      <c r="G598" s="76"/>
      <c r="J598" s="76"/>
    </row>
    <row r="599" spans="7:10" x14ac:dyDescent="0.2">
      <c r="G599" s="76"/>
      <c r="J599" s="76"/>
    </row>
    <row r="600" spans="7:10" x14ac:dyDescent="0.2">
      <c r="G600" s="76"/>
      <c r="J600" s="76"/>
    </row>
    <row r="601" spans="7:10" x14ac:dyDescent="0.2">
      <c r="G601" s="76"/>
      <c r="J601" s="76"/>
    </row>
    <row r="602" spans="7:10" x14ac:dyDescent="0.2">
      <c r="G602" s="76"/>
      <c r="J602" s="76"/>
    </row>
    <row r="603" spans="7:10" x14ac:dyDescent="0.2">
      <c r="G603" s="76"/>
      <c r="J603" s="76"/>
    </row>
    <row r="604" spans="7:10" x14ac:dyDescent="0.2">
      <c r="G604" s="76"/>
      <c r="J604" s="76"/>
    </row>
    <row r="605" spans="7:10" x14ac:dyDescent="0.2">
      <c r="G605" s="76"/>
      <c r="J605" s="76"/>
    </row>
    <row r="606" spans="7:10" x14ac:dyDescent="0.2">
      <c r="G606" s="76"/>
      <c r="J606" s="76"/>
    </row>
    <row r="607" spans="7:10" x14ac:dyDescent="0.2">
      <c r="G607" s="76"/>
      <c r="J607" s="76"/>
    </row>
    <row r="608" spans="7:10" x14ac:dyDescent="0.2">
      <c r="G608" s="76"/>
      <c r="J608" s="76"/>
    </row>
    <row r="609" spans="7:10" x14ac:dyDescent="0.2">
      <c r="G609" s="76"/>
      <c r="J609" s="76"/>
    </row>
    <row r="610" spans="7:10" x14ac:dyDescent="0.2">
      <c r="G610" s="76"/>
      <c r="J610" s="76"/>
    </row>
    <row r="611" spans="7:10" x14ac:dyDescent="0.2">
      <c r="G611" s="76"/>
      <c r="J611" s="76"/>
    </row>
    <row r="612" spans="7:10" x14ac:dyDescent="0.2">
      <c r="G612" s="76"/>
      <c r="J612" s="76"/>
    </row>
    <row r="613" spans="7:10" x14ac:dyDescent="0.2">
      <c r="G613" s="76"/>
      <c r="J613" s="76"/>
    </row>
    <row r="614" spans="7:10" x14ac:dyDescent="0.2">
      <c r="G614" s="76"/>
      <c r="J614" s="76"/>
    </row>
    <row r="615" spans="7:10" x14ac:dyDescent="0.2">
      <c r="G615" s="76"/>
      <c r="J615" s="76"/>
    </row>
    <row r="616" spans="7:10" x14ac:dyDescent="0.2">
      <c r="G616" s="76"/>
      <c r="J616" s="76"/>
    </row>
    <row r="617" spans="7:10" x14ac:dyDescent="0.2">
      <c r="G617" s="76"/>
      <c r="J617" s="76"/>
    </row>
    <row r="618" spans="7:10" x14ac:dyDescent="0.2">
      <c r="G618" s="76"/>
      <c r="J618" s="76"/>
    </row>
    <row r="619" spans="7:10" x14ac:dyDescent="0.2">
      <c r="G619" s="76"/>
      <c r="J619" s="76"/>
    </row>
    <row r="620" spans="7:10" x14ac:dyDescent="0.2">
      <c r="G620" s="76"/>
      <c r="J620" s="76"/>
    </row>
    <row r="621" spans="7:10" x14ac:dyDescent="0.2">
      <c r="G621" s="76"/>
      <c r="J621" s="76"/>
    </row>
    <row r="622" spans="7:10" x14ac:dyDescent="0.2">
      <c r="G622" s="76"/>
      <c r="J622" s="76"/>
    </row>
    <row r="623" spans="7:10" x14ac:dyDescent="0.2">
      <c r="G623" s="76"/>
      <c r="J623" s="76"/>
    </row>
    <row r="624" spans="7:10" x14ac:dyDescent="0.2">
      <c r="G624" s="76"/>
      <c r="J624" s="76"/>
    </row>
    <row r="625" spans="7:10" x14ac:dyDescent="0.2">
      <c r="G625" s="76"/>
      <c r="J625" s="76"/>
    </row>
    <row r="626" spans="7:10" x14ac:dyDescent="0.2">
      <c r="G626" s="76"/>
      <c r="J626" s="76"/>
    </row>
    <row r="627" spans="7:10" x14ac:dyDescent="0.2">
      <c r="G627" s="76"/>
      <c r="J627" s="76"/>
    </row>
    <row r="628" spans="7:10" x14ac:dyDescent="0.2">
      <c r="G628" s="76"/>
      <c r="J628" s="76"/>
    </row>
    <row r="629" spans="7:10" x14ac:dyDescent="0.2">
      <c r="G629" s="76"/>
      <c r="J629" s="76"/>
    </row>
    <row r="630" spans="7:10" x14ac:dyDescent="0.2">
      <c r="G630" s="76"/>
      <c r="J630" s="76"/>
    </row>
    <row r="631" spans="7:10" x14ac:dyDescent="0.2">
      <c r="G631" s="76"/>
      <c r="J631" s="76"/>
    </row>
    <row r="632" spans="7:10" x14ac:dyDescent="0.2">
      <c r="G632" s="76"/>
      <c r="J632" s="76"/>
    </row>
    <row r="633" spans="7:10" x14ac:dyDescent="0.2">
      <c r="G633" s="76"/>
      <c r="J633" s="76"/>
    </row>
    <row r="634" spans="7:10" x14ac:dyDescent="0.2">
      <c r="G634" s="76"/>
      <c r="J634" s="76"/>
    </row>
    <row r="635" spans="7:10" x14ac:dyDescent="0.2">
      <c r="G635" s="76"/>
      <c r="J635" s="76"/>
    </row>
    <row r="636" spans="7:10" x14ac:dyDescent="0.2">
      <c r="G636" s="76"/>
      <c r="J636" s="76"/>
    </row>
    <row r="637" spans="7:10" x14ac:dyDescent="0.2">
      <c r="G637" s="76"/>
      <c r="J637" s="76"/>
    </row>
    <row r="638" spans="7:10" x14ac:dyDescent="0.2">
      <c r="G638" s="76"/>
      <c r="J638" s="76"/>
    </row>
    <row r="639" spans="7:10" x14ac:dyDescent="0.2">
      <c r="G639" s="76"/>
      <c r="J639" s="76"/>
    </row>
    <row r="640" spans="7:10" x14ac:dyDescent="0.2">
      <c r="G640" s="76"/>
      <c r="J640" s="76"/>
    </row>
    <row r="641" spans="7:10" x14ac:dyDescent="0.2">
      <c r="G641" s="76"/>
      <c r="J641" s="76"/>
    </row>
    <row r="642" spans="7:10" x14ac:dyDescent="0.2">
      <c r="G642" s="76"/>
      <c r="J642" s="76"/>
    </row>
    <row r="643" spans="7:10" x14ac:dyDescent="0.2">
      <c r="G643" s="76"/>
      <c r="J643" s="76"/>
    </row>
    <row r="644" spans="7:10" x14ac:dyDescent="0.2">
      <c r="G644" s="76"/>
      <c r="J644" s="76"/>
    </row>
    <row r="645" spans="7:10" x14ac:dyDescent="0.2">
      <c r="G645" s="76"/>
      <c r="J645" s="76"/>
    </row>
    <row r="646" spans="7:10" x14ac:dyDescent="0.2">
      <c r="G646" s="76"/>
      <c r="J646" s="76"/>
    </row>
    <row r="647" spans="7:10" x14ac:dyDescent="0.2">
      <c r="G647" s="76"/>
      <c r="J647" s="76"/>
    </row>
    <row r="648" spans="7:10" x14ac:dyDescent="0.2">
      <c r="G648" s="76"/>
      <c r="J648" s="76"/>
    </row>
    <row r="649" spans="7:10" x14ac:dyDescent="0.2">
      <c r="G649" s="76"/>
      <c r="J649" s="76"/>
    </row>
    <row r="650" spans="7:10" x14ac:dyDescent="0.2">
      <c r="G650" s="76"/>
      <c r="J650" s="76"/>
    </row>
    <row r="651" spans="7:10" x14ac:dyDescent="0.2">
      <c r="G651" s="76"/>
      <c r="J651" s="76"/>
    </row>
    <row r="652" spans="7:10" x14ac:dyDescent="0.2">
      <c r="G652" s="76"/>
      <c r="J652" s="76"/>
    </row>
    <row r="653" spans="7:10" x14ac:dyDescent="0.2">
      <c r="G653" s="76"/>
      <c r="J653" s="76"/>
    </row>
    <row r="654" spans="7:10" x14ac:dyDescent="0.2">
      <c r="G654" s="76"/>
      <c r="J654" s="76"/>
    </row>
    <row r="655" spans="7:10" x14ac:dyDescent="0.2">
      <c r="G655" s="76"/>
      <c r="J655" s="76"/>
    </row>
    <row r="656" spans="7:10" x14ac:dyDescent="0.2">
      <c r="G656" s="76"/>
      <c r="J656" s="76"/>
    </row>
    <row r="657" spans="7:10" x14ac:dyDescent="0.2">
      <c r="G657" s="76"/>
      <c r="J657" s="76"/>
    </row>
    <row r="658" spans="7:10" x14ac:dyDescent="0.2">
      <c r="G658" s="76"/>
      <c r="J658" s="76"/>
    </row>
    <row r="659" spans="7:10" x14ac:dyDescent="0.2">
      <c r="G659" s="76"/>
      <c r="J659" s="76"/>
    </row>
    <row r="660" spans="7:10" x14ac:dyDescent="0.2">
      <c r="G660" s="76"/>
      <c r="J660" s="76"/>
    </row>
    <row r="661" spans="7:10" x14ac:dyDescent="0.2">
      <c r="G661" s="76"/>
      <c r="J661" s="76"/>
    </row>
    <row r="662" spans="7:10" x14ac:dyDescent="0.2">
      <c r="G662" s="76"/>
      <c r="J662" s="76"/>
    </row>
    <row r="663" spans="7:10" x14ac:dyDescent="0.2">
      <c r="G663" s="76"/>
      <c r="J663" s="76"/>
    </row>
    <row r="664" spans="7:10" x14ac:dyDescent="0.2">
      <c r="G664" s="76"/>
      <c r="J664" s="76"/>
    </row>
    <row r="665" spans="7:10" x14ac:dyDescent="0.2">
      <c r="G665" s="76"/>
      <c r="J665" s="76"/>
    </row>
    <row r="666" spans="7:10" x14ac:dyDescent="0.2">
      <c r="G666" s="76"/>
      <c r="J666" s="76"/>
    </row>
    <row r="667" spans="7:10" x14ac:dyDescent="0.2">
      <c r="G667" s="76"/>
      <c r="J667" s="76"/>
    </row>
    <row r="668" spans="7:10" x14ac:dyDescent="0.2">
      <c r="G668" s="76"/>
      <c r="J668" s="76"/>
    </row>
    <row r="669" spans="7:10" x14ac:dyDescent="0.2">
      <c r="G669" s="76"/>
      <c r="J669" s="76"/>
    </row>
    <row r="670" spans="7:10" x14ac:dyDescent="0.2">
      <c r="G670" s="76"/>
      <c r="J670" s="76"/>
    </row>
    <row r="671" spans="7:10" x14ac:dyDescent="0.2">
      <c r="G671" s="76"/>
      <c r="J671" s="76"/>
    </row>
    <row r="672" spans="7:10" x14ac:dyDescent="0.2">
      <c r="G672" s="76"/>
      <c r="J672" s="76"/>
    </row>
    <row r="673" spans="7:10" x14ac:dyDescent="0.2">
      <c r="G673" s="76"/>
      <c r="J673" s="76"/>
    </row>
    <row r="674" spans="7:10" x14ac:dyDescent="0.2">
      <c r="G674" s="76"/>
      <c r="J674" s="76"/>
    </row>
    <row r="675" spans="7:10" x14ac:dyDescent="0.2">
      <c r="G675" s="76"/>
      <c r="J675" s="76"/>
    </row>
    <row r="676" spans="7:10" x14ac:dyDescent="0.2">
      <c r="G676" s="76"/>
      <c r="J676" s="76"/>
    </row>
    <row r="677" spans="7:10" x14ac:dyDescent="0.2">
      <c r="G677" s="76"/>
      <c r="J677" s="76"/>
    </row>
    <row r="678" spans="7:10" x14ac:dyDescent="0.2">
      <c r="G678" s="76"/>
      <c r="J678" s="76"/>
    </row>
    <row r="679" spans="7:10" x14ac:dyDescent="0.2">
      <c r="G679" s="76"/>
      <c r="J679" s="76"/>
    </row>
    <row r="680" spans="7:10" x14ac:dyDescent="0.2">
      <c r="G680" s="76"/>
      <c r="J680" s="76"/>
    </row>
    <row r="681" spans="7:10" x14ac:dyDescent="0.2">
      <c r="G681" s="76"/>
      <c r="J681" s="76"/>
    </row>
    <row r="682" spans="7:10" x14ac:dyDescent="0.2">
      <c r="G682" s="76"/>
      <c r="J682" s="76"/>
    </row>
    <row r="683" spans="7:10" x14ac:dyDescent="0.2">
      <c r="G683" s="76"/>
      <c r="J683" s="76"/>
    </row>
    <row r="684" spans="7:10" x14ac:dyDescent="0.2">
      <c r="G684" s="76"/>
      <c r="J684" s="76"/>
    </row>
    <row r="685" spans="7:10" x14ac:dyDescent="0.2">
      <c r="G685" s="76"/>
      <c r="J685" s="76"/>
    </row>
    <row r="686" spans="7:10" x14ac:dyDescent="0.2">
      <c r="G686" s="76"/>
      <c r="J686" s="76"/>
    </row>
    <row r="687" spans="7:10" x14ac:dyDescent="0.2">
      <c r="G687" s="76"/>
      <c r="J687" s="76"/>
    </row>
    <row r="688" spans="7:10" x14ac:dyDescent="0.2">
      <c r="G688" s="76"/>
      <c r="J688" s="76"/>
    </row>
    <row r="689" spans="7:10" x14ac:dyDescent="0.2">
      <c r="G689" s="76"/>
      <c r="J689" s="76"/>
    </row>
    <row r="690" spans="7:10" x14ac:dyDescent="0.2">
      <c r="G690" s="76"/>
      <c r="J690" s="76"/>
    </row>
    <row r="691" spans="7:10" x14ac:dyDescent="0.2">
      <c r="G691" s="76"/>
      <c r="J691" s="76"/>
    </row>
    <row r="692" spans="7:10" x14ac:dyDescent="0.2">
      <c r="G692" s="76"/>
      <c r="J692" s="76"/>
    </row>
    <row r="693" spans="7:10" x14ac:dyDescent="0.2">
      <c r="G693" s="76"/>
      <c r="J693" s="76"/>
    </row>
    <row r="694" spans="7:10" x14ac:dyDescent="0.2">
      <c r="G694" s="76"/>
      <c r="J694" s="76"/>
    </row>
    <row r="695" spans="7:10" x14ac:dyDescent="0.2">
      <c r="G695" s="76"/>
      <c r="J695" s="76"/>
    </row>
  </sheetData>
  <pageMargins left="0.7" right="0.7" top="0.75" bottom="0.75" header="0.3" footer="0.3"/>
  <pageSetup paperSize="9" orientation="portrait"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A1FFF-7143-4210-8513-B4332E8CF333}">
  <sheetPr codeName="Sheet6"/>
  <dimension ref="A1:Q870"/>
  <sheetViews>
    <sheetView zoomScale="85" zoomScaleNormal="85" workbookViewId="0">
      <selection activeCell="G23" sqref="G23"/>
    </sheetView>
  </sheetViews>
  <sheetFormatPr defaultRowHeight="14.25" x14ac:dyDescent="0.2"/>
  <cols>
    <col min="1" max="1" width="12" customWidth="1"/>
    <col min="3" max="3" width="12.125" style="2" customWidth="1"/>
    <col min="5" max="5" width="14.375" customWidth="1"/>
    <col min="6" max="6" width="19.875" customWidth="1"/>
    <col min="9" max="9" width="34.875" customWidth="1"/>
    <col min="10" max="10" width="16" customWidth="1"/>
    <col min="11" max="11" width="14.125" customWidth="1"/>
    <col min="12" max="12" width="17.375" customWidth="1"/>
    <col min="13" max="13" width="24.375" customWidth="1"/>
    <col min="14" max="14" width="18.125" customWidth="1"/>
    <col min="15" max="15" width="24.625" customWidth="1"/>
    <col min="16" max="16" width="24.75" customWidth="1"/>
  </cols>
  <sheetData>
    <row r="1" spans="1:9" x14ac:dyDescent="0.2">
      <c r="A1" t="s">
        <v>303</v>
      </c>
      <c r="B1" t="s">
        <v>381</v>
      </c>
      <c r="C1" s="2" t="s">
        <v>374</v>
      </c>
      <c r="D1" t="s">
        <v>375</v>
      </c>
      <c r="E1" t="s">
        <v>376</v>
      </c>
      <c r="F1" t="s">
        <v>377</v>
      </c>
      <c r="G1" t="s">
        <v>378</v>
      </c>
      <c r="H1" t="s">
        <v>379</v>
      </c>
      <c r="I1" t="s">
        <v>380</v>
      </c>
    </row>
    <row r="2" spans="1:9" x14ac:dyDescent="0.2">
      <c r="A2" t="s">
        <v>1268</v>
      </c>
      <c r="B2" t="s">
        <v>23</v>
      </c>
      <c r="C2" s="147">
        <v>43398</v>
      </c>
      <c r="D2" t="s">
        <v>382</v>
      </c>
      <c r="E2">
        <v>6534.58</v>
      </c>
      <c r="F2" t="s">
        <v>329</v>
      </c>
      <c r="G2" t="s">
        <v>383</v>
      </c>
      <c r="H2">
        <v>181025160005</v>
      </c>
      <c r="I2" t="str">
        <f>CashIntraTable[Portfolio]&amp;VALUE(CashIntraTable[Cash Date])&amp;CashIntraTable[Detail]</f>
        <v>๏ปฟSCB2566433981.1. Subscription</v>
      </c>
    </row>
    <row r="3" spans="1:9" x14ac:dyDescent="0.2">
      <c r="A3" t="s">
        <v>384</v>
      </c>
      <c r="B3" t="s">
        <v>23</v>
      </c>
      <c r="C3" s="147">
        <v>43399</v>
      </c>
      <c r="D3" t="s">
        <v>382</v>
      </c>
      <c r="E3">
        <v>3000</v>
      </c>
      <c r="F3" t="s">
        <v>329</v>
      </c>
      <c r="G3" t="s">
        <v>383</v>
      </c>
      <c r="H3">
        <v>181025160005</v>
      </c>
      <c r="I3" t="str">
        <f>CashIntraTable[Portfolio]&amp;VALUE(CashIntraTable[Cash Date])&amp;CashIntraTable[Detail]</f>
        <v>SCB2566433991.1. Subscription</v>
      </c>
    </row>
    <row r="4" spans="1:9" x14ac:dyDescent="0.2">
      <c r="A4" t="s">
        <v>384</v>
      </c>
      <c r="B4" t="s">
        <v>23</v>
      </c>
      <c r="C4" s="147">
        <v>43399</v>
      </c>
      <c r="D4" t="s">
        <v>382</v>
      </c>
      <c r="E4">
        <v>3000</v>
      </c>
      <c r="F4" t="s">
        <v>330</v>
      </c>
      <c r="G4" t="s">
        <v>383</v>
      </c>
      <c r="H4">
        <v>181025160005</v>
      </c>
      <c r="I4" t="str">
        <f>CashIntraTable[Portfolio]&amp;VALUE(CashIntraTable[Cash Date])&amp;CashIntraTable[Detail]</f>
        <v>SCB2566433991.2. Switch-in</v>
      </c>
    </row>
    <row r="5" spans="1:9" x14ac:dyDescent="0.2">
      <c r="A5" t="s">
        <v>384</v>
      </c>
      <c r="B5" t="s">
        <v>23</v>
      </c>
      <c r="C5" s="147">
        <v>43398</v>
      </c>
      <c r="D5" t="s">
        <v>382</v>
      </c>
      <c r="E5">
        <v>-3042.09</v>
      </c>
      <c r="F5" t="s">
        <v>331</v>
      </c>
      <c r="G5" t="s">
        <v>383</v>
      </c>
      <c r="H5">
        <v>181025160005</v>
      </c>
      <c r="I5" t="str">
        <f>CashIntraTable[Portfolio]&amp;VALUE(CashIntraTable[Cash Date])&amp;CashIntraTable[Detail]</f>
        <v>SCB2566433982.1. Redemption</v>
      </c>
    </row>
    <row r="6" spans="1:9" x14ac:dyDescent="0.2">
      <c r="A6" t="s">
        <v>384</v>
      </c>
      <c r="B6" t="s">
        <v>23</v>
      </c>
      <c r="C6" s="147">
        <v>43402</v>
      </c>
      <c r="D6" t="s">
        <v>382</v>
      </c>
      <c r="E6">
        <v>-3983.02</v>
      </c>
      <c r="F6" t="s">
        <v>331</v>
      </c>
      <c r="G6" t="s">
        <v>383</v>
      </c>
      <c r="H6">
        <v>181025160005</v>
      </c>
      <c r="I6" t="str">
        <f>CashIntraTable[Portfolio]&amp;VALUE(CashIntraTable[Cash Date])&amp;CashIntraTable[Detail]</f>
        <v>SCB2566434022.1. Redemption</v>
      </c>
    </row>
    <row r="7" spans="1:9" x14ac:dyDescent="0.2">
      <c r="A7" t="s">
        <v>385</v>
      </c>
      <c r="B7" t="s">
        <v>23</v>
      </c>
      <c r="C7" s="147">
        <v>43398</v>
      </c>
      <c r="D7" t="s">
        <v>382</v>
      </c>
      <c r="E7">
        <v>8545.2199999999993</v>
      </c>
      <c r="F7" t="s">
        <v>329</v>
      </c>
      <c r="G7" t="s">
        <v>383</v>
      </c>
      <c r="H7">
        <v>181025160005</v>
      </c>
      <c r="I7" t="str">
        <f>CashIntraTable[Portfolio]&amp;VALUE(CashIntraTable[Cash Date])&amp;CashIntraTable[Detail]</f>
        <v>SCB2576433981.1. Subscription</v>
      </c>
    </row>
    <row r="8" spans="1:9" x14ac:dyDescent="0.2">
      <c r="A8" t="s">
        <v>385</v>
      </c>
      <c r="B8" t="s">
        <v>23</v>
      </c>
      <c r="C8" s="147">
        <v>43399</v>
      </c>
      <c r="D8" t="s">
        <v>382</v>
      </c>
      <c r="E8">
        <v>4500</v>
      </c>
      <c r="F8" t="s">
        <v>329</v>
      </c>
      <c r="G8" t="s">
        <v>383</v>
      </c>
      <c r="H8">
        <v>181025160005</v>
      </c>
      <c r="I8" t="str">
        <f>CashIntraTable[Portfolio]&amp;VALUE(CashIntraTable[Cash Date])&amp;CashIntraTable[Detail]</f>
        <v>SCB2576433991.1. Subscription</v>
      </c>
    </row>
    <row r="9" spans="1:9" x14ac:dyDescent="0.2">
      <c r="A9" t="s">
        <v>385</v>
      </c>
      <c r="B9" t="s">
        <v>23</v>
      </c>
      <c r="C9" s="147">
        <v>43399</v>
      </c>
      <c r="D9" t="s">
        <v>382</v>
      </c>
      <c r="E9">
        <v>28000</v>
      </c>
      <c r="F9" t="s">
        <v>330</v>
      </c>
      <c r="G9" t="s">
        <v>383</v>
      </c>
      <c r="H9">
        <v>181025160005</v>
      </c>
      <c r="I9" t="str">
        <f>CashIntraTable[Portfolio]&amp;VALUE(CashIntraTable[Cash Date])&amp;CashIntraTable[Detail]</f>
        <v>SCB2576433991.2. Switch-in</v>
      </c>
    </row>
    <row r="10" spans="1:9" x14ac:dyDescent="0.2">
      <c r="A10" t="s">
        <v>385</v>
      </c>
      <c r="B10" t="s">
        <v>23</v>
      </c>
      <c r="C10" s="147">
        <v>43403</v>
      </c>
      <c r="D10" t="s">
        <v>382</v>
      </c>
      <c r="E10">
        <v>-1001.03</v>
      </c>
      <c r="F10" t="s">
        <v>331</v>
      </c>
      <c r="G10" t="s">
        <v>383</v>
      </c>
      <c r="H10">
        <v>181025160005</v>
      </c>
      <c r="I10" t="str">
        <f>CashIntraTable[Portfolio]&amp;VALUE(CashIntraTable[Cash Date])&amp;CashIntraTable[Detail]</f>
        <v>SCB2576434032.1. Redemption</v>
      </c>
    </row>
    <row r="11" spans="1:9" x14ac:dyDescent="0.2">
      <c r="A11" t="s">
        <v>386</v>
      </c>
      <c r="B11" t="s">
        <v>23</v>
      </c>
      <c r="C11" s="147">
        <v>43399</v>
      </c>
      <c r="D11" t="s">
        <v>382</v>
      </c>
      <c r="E11">
        <v>15000</v>
      </c>
      <c r="F11" t="s">
        <v>329</v>
      </c>
      <c r="G11" t="s">
        <v>383</v>
      </c>
      <c r="H11">
        <v>181025160005</v>
      </c>
      <c r="I11" t="str">
        <f>CashIntraTable[Portfolio]&amp;VALUE(CashIntraTable[Cash Date])&amp;CashIntraTable[Detail]</f>
        <v>SCB2586433991.1. Subscription</v>
      </c>
    </row>
    <row r="12" spans="1:9" x14ac:dyDescent="0.2">
      <c r="A12" t="s">
        <v>386</v>
      </c>
      <c r="B12" t="s">
        <v>23</v>
      </c>
      <c r="C12" s="147">
        <v>43399</v>
      </c>
      <c r="D12" t="s">
        <v>382</v>
      </c>
      <c r="E12">
        <v>1003000</v>
      </c>
      <c r="F12" t="s">
        <v>330</v>
      </c>
      <c r="G12" t="s">
        <v>383</v>
      </c>
      <c r="H12">
        <v>181025160005</v>
      </c>
      <c r="I12" t="str">
        <f>CashIntraTable[Portfolio]&amp;VALUE(CashIntraTable[Cash Date])&amp;CashIntraTable[Detail]</f>
        <v>SCB2586433991.2. Switch-in</v>
      </c>
    </row>
    <row r="13" spans="1:9" x14ac:dyDescent="0.2">
      <c r="A13" t="s">
        <v>386</v>
      </c>
      <c r="B13" t="s">
        <v>23</v>
      </c>
      <c r="C13" s="147">
        <v>43403</v>
      </c>
      <c r="D13" t="s">
        <v>382</v>
      </c>
      <c r="E13">
        <v>-20000</v>
      </c>
      <c r="F13" t="s">
        <v>331</v>
      </c>
      <c r="G13" t="s">
        <v>383</v>
      </c>
      <c r="H13">
        <v>181025160005</v>
      </c>
      <c r="I13" t="str">
        <f>CashIntraTable[Portfolio]&amp;VALUE(CashIntraTable[Cash Date])&amp;CashIntraTable[Detail]</f>
        <v>SCB2586434032.1. Redemption</v>
      </c>
    </row>
    <row r="14" spans="1:9" x14ac:dyDescent="0.2">
      <c r="A14" t="s">
        <v>386</v>
      </c>
      <c r="B14" t="s">
        <v>23</v>
      </c>
      <c r="C14" s="147">
        <v>43403</v>
      </c>
      <c r="D14" t="s">
        <v>382</v>
      </c>
      <c r="E14">
        <v>-2556.0100000000002</v>
      </c>
      <c r="F14" t="s">
        <v>332</v>
      </c>
      <c r="G14" t="s">
        <v>383</v>
      </c>
      <c r="H14">
        <v>181025160005</v>
      </c>
      <c r="I14" t="str">
        <f>CashIntraTable[Portfolio]&amp;VALUE(CashIntraTable[Cash Date])&amp;CashIntraTable[Detail]</f>
        <v>SCB2586434032.2. Switch-out</v>
      </c>
    </row>
    <row r="15" spans="1:9" x14ac:dyDescent="0.2">
      <c r="A15" t="s">
        <v>387</v>
      </c>
      <c r="B15" t="s">
        <v>23</v>
      </c>
      <c r="C15" s="147">
        <v>43398</v>
      </c>
      <c r="D15" t="s">
        <v>382</v>
      </c>
      <c r="E15">
        <v>150000</v>
      </c>
      <c r="F15" t="s">
        <v>329</v>
      </c>
      <c r="G15" t="s">
        <v>383</v>
      </c>
      <c r="H15">
        <v>181025160005</v>
      </c>
      <c r="I15" t="str">
        <f>CashIntraTable[Portfolio]&amp;VALUE(CashIntraTable[Cash Date])&amp;CashIntraTable[Detail]</f>
        <v>SCBAEM433981.1. Subscription</v>
      </c>
    </row>
    <row r="16" spans="1:9" x14ac:dyDescent="0.2">
      <c r="A16" t="s">
        <v>387</v>
      </c>
      <c r="B16" t="s">
        <v>23</v>
      </c>
      <c r="C16" s="147">
        <v>43399</v>
      </c>
      <c r="D16" t="s">
        <v>382</v>
      </c>
      <c r="E16">
        <v>26000</v>
      </c>
      <c r="F16" t="s">
        <v>329</v>
      </c>
      <c r="G16" t="s">
        <v>383</v>
      </c>
      <c r="H16">
        <v>181025160005</v>
      </c>
      <c r="I16" t="str">
        <f>CashIntraTable[Portfolio]&amp;VALUE(CashIntraTable[Cash Date])&amp;CashIntraTable[Detail]</f>
        <v>SCBAEM433991.1. Subscription</v>
      </c>
    </row>
    <row r="17" spans="1:9" x14ac:dyDescent="0.2">
      <c r="A17" t="s">
        <v>387</v>
      </c>
      <c r="B17" t="s">
        <v>23</v>
      </c>
      <c r="C17" s="147">
        <v>43398</v>
      </c>
      <c r="D17" t="s">
        <v>382</v>
      </c>
      <c r="E17">
        <v>100000</v>
      </c>
      <c r="F17" t="s">
        <v>330</v>
      </c>
      <c r="G17" t="s">
        <v>383</v>
      </c>
      <c r="H17">
        <v>181025160005</v>
      </c>
      <c r="I17" t="str">
        <f>CashIntraTable[Portfolio]&amp;VALUE(CashIntraTable[Cash Date])&amp;CashIntraTable[Detail]</f>
        <v>SCBAEM433981.2. Switch-in</v>
      </c>
    </row>
    <row r="18" spans="1:9" x14ac:dyDescent="0.2">
      <c r="A18" t="s">
        <v>387</v>
      </c>
      <c r="B18" t="s">
        <v>23</v>
      </c>
      <c r="C18" s="147">
        <v>43398</v>
      </c>
      <c r="D18" t="s">
        <v>382</v>
      </c>
      <c r="E18">
        <v>-736505.06</v>
      </c>
      <c r="F18" t="s">
        <v>331</v>
      </c>
      <c r="G18" t="s">
        <v>383</v>
      </c>
      <c r="H18">
        <v>181025160005</v>
      </c>
      <c r="I18" t="str">
        <f>CashIntraTable[Portfolio]&amp;VALUE(CashIntraTable[Cash Date])&amp;CashIntraTable[Detail]</f>
        <v>SCBAEM433982.1. Redemption</v>
      </c>
    </row>
    <row r="19" spans="1:9" x14ac:dyDescent="0.2">
      <c r="A19" t="s">
        <v>387</v>
      </c>
      <c r="B19" t="s">
        <v>23</v>
      </c>
      <c r="C19" s="147">
        <v>43402</v>
      </c>
      <c r="D19" t="s">
        <v>382</v>
      </c>
      <c r="E19">
        <v>-6604715.7999999998</v>
      </c>
      <c r="F19" t="s">
        <v>331</v>
      </c>
      <c r="G19" t="s">
        <v>383</v>
      </c>
      <c r="H19">
        <v>181025160005</v>
      </c>
      <c r="I19" t="str">
        <f>CashIntraTable[Portfolio]&amp;VALUE(CashIntraTable[Cash Date])&amp;CashIntraTable[Detail]</f>
        <v>SCBAEM434022.1. Redemption</v>
      </c>
    </row>
    <row r="20" spans="1:9" x14ac:dyDescent="0.2">
      <c r="A20" t="s">
        <v>387</v>
      </c>
      <c r="B20" t="s">
        <v>23</v>
      </c>
      <c r="C20" s="147">
        <v>43404</v>
      </c>
      <c r="D20" t="s">
        <v>382</v>
      </c>
      <c r="E20">
        <v>-1340857.45</v>
      </c>
      <c r="F20" t="s">
        <v>331</v>
      </c>
      <c r="G20" t="s">
        <v>383</v>
      </c>
      <c r="H20">
        <v>181025160005</v>
      </c>
      <c r="I20" t="str">
        <f>CashIntraTable[Portfolio]&amp;VALUE(CashIntraTable[Cash Date])&amp;CashIntraTable[Detail]</f>
        <v>SCBAEM434042.1. Redemption</v>
      </c>
    </row>
    <row r="21" spans="1:9" x14ac:dyDescent="0.2">
      <c r="A21" t="s">
        <v>387</v>
      </c>
      <c r="B21" t="s">
        <v>23</v>
      </c>
      <c r="C21" s="147">
        <v>43398</v>
      </c>
      <c r="D21" t="s">
        <v>382</v>
      </c>
      <c r="E21">
        <v>-2482763.52</v>
      </c>
      <c r="F21" t="s">
        <v>332</v>
      </c>
      <c r="G21" t="s">
        <v>383</v>
      </c>
      <c r="H21">
        <v>181025160005</v>
      </c>
      <c r="I21" t="str">
        <f>CashIntraTable[Portfolio]&amp;VALUE(CashIntraTable[Cash Date])&amp;CashIntraTable[Detail]</f>
        <v>SCBAEM433982.2. Switch-out</v>
      </c>
    </row>
    <row r="22" spans="1:9" x14ac:dyDescent="0.2">
      <c r="A22" t="s">
        <v>387</v>
      </c>
      <c r="B22" t="s">
        <v>23</v>
      </c>
      <c r="C22" s="147">
        <v>43399</v>
      </c>
      <c r="D22" t="s">
        <v>382</v>
      </c>
      <c r="E22">
        <v>-50000</v>
      </c>
      <c r="F22" t="s">
        <v>332</v>
      </c>
      <c r="G22" t="s">
        <v>383</v>
      </c>
      <c r="H22">
        <v>181025160005</v>
      </c>
      <c r="I22" t="str">
        <f>CashIntraTable[Portfolio]&amp;VALUE(CashIntraTable[Cash Date])&amp;CashIntraTable[Detail]</f>
        <v>SCBAEM433992.2. Switch-out</v>
      </c>
    </row>
    <row r="23" spans="1:9" x14ac:dyDescent="0.2">
      <c r="A23" t="s">
        <v>387</v>
      </c>
      <c r="B23" t="s">
        <v>23</v>
      </c>
      <c r="C23" s="147">
        <v>43402</v>
      </c>
      <c r="D23" t="s">
        <v>382</v>
      </c>
      <c r="E23">
        <v>-552296.06000000006</v>
      </c>
      <c r="F23" t="s">
        <v>332</v>
      </c>
      <c r="G23" t="s">
        <v>383</v>
      </c>
      <c r="H23">
        <v>181025160005</v>
      </c>
      <c r="I23" t="str">
        <f>CashIntraTable[Portfolio]&amp;VALUE(CashIntraTable[Cash Date])&amp;CashIntraTable[Detail]</f>
        <v>SCBAEM434022.2. Switch-out</v>
      </c>
    </row>
    <row r="24" spans="1:9" x14ac:dyDescent="0.2">
      <c r="A24" t="s">
        <v>387</v>
      </c>
      <c r="B24" t="s">
        <v>23</v>
      </c>
      <c r="C24" s="147">
        <v>43403</v>
      </c>
      <c r="D24" t="s">
        <v>382</v>
      </c>
      <c r="E24">
        <v>-6397168.2000000002</v>
      </c>
      <c r="F24" t="s">
        <v>332</v>
      </c>
      <c r="G24" t="s">
        <v>383</v>
      </c>
      <c r="H24">
        <v>181025160005</v>
      </c>
      <c r="I24" t="str">
        <f>CashIntraTable[Portfolio]&amp;VALUE(CashIntraTable[Cash Date])&amp;CashIntraTable[Detail]</f>
        <v>SCBAEM434032.2. Switch-out</v>
      </c>
    </row>
    <row r="25" spans="1:9" x14ac:dyDescent="0.2">
      <c r="A25" t="s">
        <v>387</v>
      </c>
      <c r="B25" t="s">
        <v>23</v>
      </c>
      <c r="C25" s="147">
        <v>43404</v>
      </c>
      <c r="D25" t="s">
        <v>382</v>
      </c>
      <c r="E25">
        <v>-2930395.35</v>
      </c>
      <c r="F25" t="s">
        <v>332</v>
      </c>
      <c r="G25" t="s">
        <v>383</v>
      </c>
      <c r="H25">
        <v>181025160005</v>
      </c>
      <c r="I25" t="str">
        <f>CashIntraTable[Portfolio]&amp;VALUE(CashIntraTable[Cash Date])&amp;CashIntraTable[Detail]</f>
        <v>SCBAEM434042.2. Switch-out</v>
      </c>
    </row>
    <row r="26" spans="1:9" x14ac:dyDescent="0.2">
      <c r="A26" t="s">
        <v>388</v>
      </c>
      <c r="B26" t="s">
        <v>23</v>
      </c>
      <c r="C26" s="147">
        <v>43398</v>
      </c>
      <c r="D26" t="s">
        <v>382</v>
      </c>
      <c r="E26">
        <v>5202000</v>
      </c>
      <c r="F26" t="s">
        <v>329</v>
      </c>
      <c r="G26" t="s">
        <v>383</v>
      </c>
      <c r="H26">
        <v>181025160005</v>
      </c>
      <c r="I26" t="str">
        <f>CashIntraTable[Portfolio]&amp;VALUE(CashIntraTable[Cash Date])&amp;CashIntraTable[Detail]</f>
        <v>SCBAEMH433981.1. Subscription</v>
      </c>
    </row>
    <row r="27" spans="1:9" x14ac:dyDescent="0.2">
      <c r="A27" t="s">
        <v>388</v>
      </c>
      <c r="B27" t="s">
        <v>23</v>
      </c>
      <c r="C27" s="147">
        <v>43399</v>
      </c>
      <c r="D27" t="s">
        <v>382</v>
      </c>
      <c r="E27">
        <v>452000</v>
      </c>
      <c r="F27" t="s">
        <v>329</v>
      </c>
      <c r="G27" t="s">
        <v>383</v>
      </c>
      <c r="H27">
        <v>181025160005</v>
      </c>
      <c r="I27" t="str">
        <f>CashIntraTable[Portfolio]&amp;VALUE(CashIntraTable[Cash Date])&amp;CashIntraTable[Detail]</f>
        <v>SCBAEMH433991.1. Subscription</v>
      </c>
    </row>
    <row r="28" spans="1:9" x14ac:dyDescent="0.2">
      <c r="A28" t="s">
        <v>388</v>
      </c>
      <c r="B28" t="s">
        <v>23</v>
      </c>
      <c r="C28" s="147">
        <v>43398</v>
      </c>
      <c r="D28" t="s">
        <v>382</v>
      </c>
      <c r="E28">
        <v>-5656506.0999999996</v>
      </c>
      <c r="F28" t="s">
        <v>331</v>
      </c>
      <c r="G28" t="s">
        <v>383</v>
      </c>
      <c r="H28">
        <v>181025160005</v>
      </c>
      <c r="I28" t="str">
        <f>CashIntraTable[Portfolio]&amp;VALUE(CashIntraTable[Cash Date])&amp;CashIntraTable[Detail]</f>
        <v>SCBAEMH433982.1. Redemption</v>
      </c>
    </row>
    <row r="29" spans="1:9" x14ac:dyDescent="0.2">
      <c r="A29" t="s">
        <v>388</v>
      </c>
      <c r="B29" t="s">
        <v>23</v>
      </c>
      <c r="C29" s="147">
        <v>43399</v>
      </c>
      <c r="D29" t="s">
        <v>382</v>
      </c>
      <c r="E29">
        <v>-3170513.42</v>
      </c>
      <c r="F29" t="s">
        <v>331</v>
      </c>
      <c r="G29" t="s">
        <v>383</v>
      </c>
      <c r="H29">
        <v>181025160005</v>
      </c>
      <c r="I29" t="str">
        <f>CashIntraTable[Portfolio]&amp;VALUE(CashIntraTable[Cash Date])&amp;CashIntraTable[Detail]</f>
        <v>SCBAEMH433992.1. Redemption</v>
      </c>
    </row>
    <row r="30" spans="1:9" x14ac:dyDescent="0.2">
      <c r="A30" t="s">
        <v>388</v>
      </c>
      <c r="B30" t="s">
        <v>23</v>
      </c>
      <c r="C30" s="147">
        <v>43402</v>
      </c>
      <c r="D30" t="s">
        <v>382</v>
      </c>
      <c r="E30">
        <v>-178563.63</v>
      </c>
      <c r="F30" t="s">
        <v>331</v>
      </c>
      <c r="G30" t="s">
        <v>383</v>
      </c>
      <c r="H30">
        <v>181025160005</v>
      </c>
      <c r="I30" t="str">
        <f>CashIntraTable[Portfolio]&amp;VALUE(CashIntraTable[Cash Date])&amp;CashIntraTable[Detail]</f>
        <v>SCBAEMH434022.1. Redemption</v>
      </c>
    </row>
    <row r="31" spans="1:9" x14ac:dyDescent="0.2">
      <c r="A31" t="s">
        <v>388</v>
      </c>
      <c r="B31" t="s">
        <v>23</v>
      </c>
      <c r="C31" s="147">
        <v>43403</v>
      </c>
      <c r="D31" t="s">
        <v>382</v>
      </c>
      <c r="E31">
        <v>-7795510.4400000004</v>
      </c>
      <c r="F31" t="s">
        <v>331</v>
      </c>
      <c r="G31" t="s">
        <v>383</v>
      </c>
      <c r="H31">
        <v>181025160005</v>
      </c>
      <c r="I31" t="str">
        <f>CashIntraTable[Portfolio]&amp;VALUE(CashIntraTable[Cash Date])&amp;CashIntraTable[Detail]</f>
        <v>SCBAEMH434032.1. Redemption</v>
      </c>
    </row>
    <row r="32" spans="1:9" x14ac:dyDescent="0.2">
      <c r="A32" t="s">
        <v>388</v>
      </c>
      <c r="B32" t="s">
        <v>23</v>
      </c>
      <c r="C32" s="147">
        <v>43404</v>
      </c>
      <c r="D32" t="s">
        <v>382</v>
      </c>
      <c r="E32">
        <v>-1777757.48</v>
      </c>
      <c r="F32" t="s">
        <v>331</v>
      </c>
      <c r="G32" t="s">
        <v>383</v>
      </c>
      <c r="H32">
        <v>181025160005</v>
      </c>
      <c r="I32" t="str">
        <f>CashIntraTable[Portfolio]&amp;VALUE(CashIntraTable[Cash Date])&amp;CashIntraTable[Detail]</f>
        <v>SCBAEMH434042.1. Redemption</v>
      </c>
    </row>
    <row r="33" spans="1:9" x14ac:dyDescent="0.2">
      <c r="A33" t="s">
        <v>388</v>
      </c>
      <c r="B33" t="s">
        <v>23</v>
      </c>
      <c r="C33" s="147">
        <v>43406</v>
      </c>
      <c r="D33" t="s">
        <v>382</v>
      </c>
      <c r="E33">
        <v>-13361.41</v>
      </c>
      <c r="F33" t="s">
        <v>331</v>
      </c>
      <c r="G33" t="s">
        <v>383</v>
      </c>
      <c r="H33">
        <v>181025160005</v>
      </c>
      <c r="I33" t="str">
        <f>CashIntraTable[Portfolio]&amp;VALUE(CashIntraTable[Cash Date])&amp;CashIntraTable[Detail]</f>
        <v>SCBAEMH434062.1. Redemption</v>
      </c>
    </row>
    <row r="34" spans="1:9" x14ac:dyDescent="0.2">
      <c r="A34" t="s">
        <v>388</v>
      </c>
      <c r="B34" t="s">
        <v>23</v>
      </c>
      <c r="C34" s="147">
        <v>43399</v>
      </c>
      <c r="D34" t="s">
        <v>382</v>
      </c>
      <c r="E34">
        <v>-700865.22</v>
      </c>
      <c r="F34" t="s">
        <v>332</v>
      </c>
      <c r="G34" t="s">
        <v>383</v>
      </c>
      <c r="H34">
        <v>181025160005</v>
      </c>
      <c r="I34" t="str">
        <f>CashIntraTable[Portfolio]&amp;VALUE(CashIntraTable[Cash Date])&amp;CashIntraTable[Detail]</f>
        <v>SCBAEMH433992.2. Switch-out</v>
      </c>
    </row>
    <row r="35" spans="1:9" x14ac:dyDescent="0.2">
      <c r="A35" t="s">
        <v>388</v>
      </c>
      <c r="B35" t="s">
        <v>23</v>
      </c>
      <c r="C35" s="147">
        <v>43402</v>
      </c>
      <c r="D35" t="s">
        <v>382</v>
      </c>
      <c r="E35">
        <v>-16276.84</v>
      </c>
      <c r="F35" t="s">
        <v>332</v>
      </c>
      <c r="G35" t="s">
        <v>383</v>
      </c>
      <c r="H35">
        <v>181025160005</v>
      </c>
      <c r="I35" t="str">
        <f>CashIntraTable[Portfolio]&amp;VALUE(CashIntraTable[Cash Date])&amp;CashIntraTable[Detail]</f>
        <v>SCBAEMH434022.2. Switch-out</v>
      </c>
    </row>
    <row r="36" spans="1:9" x14ac:dyDescent="0.2">
      <c r="A36" t="s">
        <v>388</v>
      </c>
      <c r="B36" t="s">
        <v>23</v>
      </c>
      <c r="C36" s="147">
        <v>43403</v>
      </c>
      <c r="D36" t="s">
        <v>382</v>
      </c>
      <c r="E36">
        <v>-2144042.65</v>
      </c>
      <c r="F36" t="s">
        <v>332</v>
      </c>
      <c r="G36" t="s">
        <v>383</v>
      </c>
      <c r="H36">
        <v>181025160005</v>
      </c>
      <c r="I36" t="str">
        <f>CashIntraTable[Portfolio]&amp;VALUE(CashIntraTable[Cash Date])&amp;CashIntraTable[Detail]</f>
        <v>SCBAEMH434032.2. Switch-out</v>
      </c>
    </row>
    <row r="37" spans="1:9" x14ac:dyDescent="0.2">
      <c r="A37" t="s">
        <v>388</v>
      </c>
      <c r="B37" t="s">
        <v>23</v>
      </c>
      <c r="C37" s="147">
        <v>43404</v>
      </c>
      <c r="D37" t="s">
        <v>382</v>
      </c>
      <c r="E37">
        <v>-2394355.75</v>
      </c>
      <c r="F37" t="s">
        <v>332</v>
      </c>
      <c r="G37" t="s">
        <v>383</v>
      </c>
      <c r="H37">
        <v>181025160005</v>
      </c>
      <c r="I37" t="str">
        <f>CashIntraTable[Portfolio]&amp;VALUE(CashIntraTable[Cash Date])&amp;CashIntraTable[Detail]</f>
        <v>SCBAEMH434042.2. Switch-out</v>
      </c>
    </row>
    <row r="38" spans="1:9" x14ac:dyDescent="0.2">
      <c r="A38" t="s">
        <v>904</v>
      </c>
      <c r="B38" t="s">
        <v>23</v>
      </c>
      <c r="C38" s="147">
        <v>43399</v>
      </c>
      <c r="D38" t="s">
        <v>382</v>
      </c>
      <c r="E38">
        <v>-535622644.63</v>
      </c>
      <c r="F38" t="s">
        <v>331</v>
      </c>
      <c r="G38" t="s">
        <v>383</v>
      </c>
      <c r="H38">
        <v>181025160005</v>
      </c>
      <c r="I38" t="str">
        <f>CashIntraTable[Portfolio]&amp;VALUE(CashIntraTable[Cash Date])&amp;CashIntraTable[Detail]</f>
        <v>SCBAI6M53433992.1. Redemption</v>
      </c>
    </row>
    <row r="39" spans="1:9" x14ac:dyDescent="0.2">
      <c r="A39" t="s">
        <v>389</v>
      </c>
      <c r="B39" t="s">
        <v>23</v>
      </c>
      <c r="C39" s="147">
        <v>43399</v>
      </c>
      <c r="D39" t="s">
        <v>382</v>
      </c>
      <c r="E39">
        <v>50000</v>
      </c>
      <c r="F39" t="s">
        <v>329</v>
      </c>
      <c r="G39" t="s">
        <v>383</v>
      </c>
      <c r="H39">
        <v>181025160005</v>
      </c>
      <c r="I39" t="str">
        <f>CashIntraTable[Portfolio]&amp;VALUE(CashIntraTable[Cash Date])&amp;CashIntraTable[Detail]</f>
        <v>SCBAPLUSFUND433991.1. Subscription</v>
      </c>
    </row>
    <row r="40" spans="1:9" x14ac:dyDescent="0.2">
      <c r="A40" t="s">
        <v>389</v>
      </c>
      <c r="B40" t="s">
        <v>23</v>
      </c>
      <c r="C40" s="147">
        <v>43398</v>
      </c>
      <c r="D40" t="s">
        <v>382</v>
      </c>
      <c r="E40">
        <v>-792.2</v>
      </c>
      <c r="F40" t="s">
        <v>331</v>
      </c>
      <c r="G40" t="s">
        <v>383</v>
      </c>
      <c r="H40">
        <v>181025160005</v>
      </c>
      <c r="I40" t="str">
        <f>CashIntraTable[Portfolio]&amp;VALUE(CashIntraTable[Cash Date])&amp;CashIntraTable[Detail]</f>
        <v>SCBAPLUSFUND433982.1. Redemption</v>
      </c>
    </row>
    <row r="41" spans="1:9" x14ac:dyDescent="0.2">
      <c r="A41" t="s">
        <v>389</v>
      </c>
      <c r="B41" t="s">
        <v>23</v>
      </c>
      <c r="C41" s="147">
        <v>43399</v>
      </c>
      <c r="D41" t="s">
        <v>382</v>
      </c>
      <c r="E41">
        <v>-17746258.32</v>
      </c>
      <c r="F41" t="s">
        <v>331</v>
      </c>
      <c r="G41" t="s">
        <v>383</v>
      </c>
      <c r="H41">
        <v>181025160005</v>
      </c>
      <c r="I41" t="str">
        <f>CashIntraTable[Portfolio]&amp;VALUE(CashIntraTable[Cash Date])&amp;CashIntraTable[Detail]</f>
        <v>SCBAPLUSFUND433992.1. Redemption</v>
      </c>
    </row>
    <row r="42" spans="1:9" x14ac:dyDescent="0.2">
      <c r="A42" t="s">
        <v>389</v>
      </c>
      <c r="B42" t="s">
        <v>23</v>
      </c>
      <c r="C42" s="147">
        <v>43402</v>
      </c>
      <c r="D42" t="s">
        <v>382</v>
      </c>
      <c r="E42">
        <v>-1180823.02</v>
      </c>
      <c r="F42" t="s">
        <v>331</v>
      </c>
      <c r="G42" t="s">
        <v>383</v>
      </c>
      <c r="H42">
        <v>181025160005</v>
      </c>
      <c r="I42" t="str">
        <f>CashIntraTable[Portfolio]&amp;VALUE(CashIntraTable[Cash Date])&amp;CashIntraTable[Detail]</f>
        <v>SCBAPLUSFUND434022.1. Redemption</v>
      </c>
    </row>
    <row r="43" spans="1:9" x14ac:dyDescent="0.2">
      <c r="A43" t="s">
        <v>389</v>
      </c>
      <c r="B43" t="s">
        <v>23</v>
      </c>
      <c r="C43" s="147">
        <v>43403</v>
      </c>
      <c r="D43" t="s">
        <v>382</v>
      </c>
      <c r="E43">
        <v>-1927098.84</v>
      </c>
      <c r="F43" t="s">
        <v>331</v>
      </c>
      <c r="G43" t="s">
        <v>383</v>
      </c>
      <c r="H43">
        <v>181025160005</v>
      </c>
      <c r="I43" t="str">
        <f>CashIntraTable[Portfolio]&amp;VALUE(CashIntraTable[Cash Date])&amp;CashIntraTable[Detail]</f>
        <v>SCBAPLUSFUND434032.1. Redemption</v>
      </c>
    </row>
    <row r="44" spans="1:9" x14ac:dyDescent="0.2">
      <c r="A44" t="s">
        <v>389</v>
      </c>
      <c r="B44" t="s">
        <v>23</v>
      </c>
      <c r="C44" s="147">
        <v>43399</v>
      </c>
      <c r="D44" t="s">
        <v>382</v>
      </c>
      <c r="E44">
        <v>-7858193.2000000002</v>
      </c>
      <c r="F44" t="s">
        <v>332</v>
      </c>
      <c r="G44" t="s">
        <v>383</v>
      </c>
      <c r="H44">
        <v>181025160005</v>
      </c>
      <c r="I44" t="str">
        <f>CashIntraTable[Portfolio]&amp;VALUE(CashIntraTable[Cash Date])&amp;CashIntraTable[Detail]</f>
        <v>SCBAPLUSFUND433992.2. Switch-out</v>
      </c>
    </row>
    <row r="45" spans="1:9" x14ac:dyDescent="0.2">
      <c r="A45" t="s">
        <v>389</v>
      </c>
      <c r="B45" t="s">
        <v>23</v>
      </c>
      <c r="C45" s="147">
        <v>43403</v>
      </c>
      <c r="D45" t="s">
        <v>382</v>
      </c>
      <c r="E45">
        <v>-4466729.4400000004</v>
      </c>
      <c r="F45" t="s">
        <v>332</v>
      </c>
      <c r="G45" t="s">
        <v>383</v>
      </c>
      <c r="H45">
        <v>181025160005</v>
      </c>
      <c r="I45" t="str">
        <f>CashIntraTable[Portfolio]&amp;VALUE(CashIntraTable[Cash Date])&amp;CashIntraTable[Detail]</f>
        <v>SCBAPLUSFUND434032.2. Switch-out</v>
      </c>
    </row>
    <row r="46" spans="1:9" x14ac:dyDescent="0.2">
      <c r="A46" t="s">
        <v>390</v>
      </c>
      <c r="B46" t="s">
        <v>23</v>
      </c>
      <c r="C46" s="147">
        <v>43398</v>
      </c>
      <c r="D46" t="s">
        <v>382</v>
      </c>
      <c r="E46">
        <v>2010.62</v>
      </c>
      <c r="F46" t="s">
        <v>329</v>
      </c>
      <c r="G46" t="s">
        <v>383</v>
      </c>
      <c r="H46">
        <v>181025160005</v>
      </c>
      <c r="I46" t="str">
        <f>CashIntraTable[Portfolio]&amp;VALUE(CashIntraTable[Cash Date])&amp;CashIntraTable[Detail]</f>
        <v>SCBAUD433981.1. Subscription</v>
      </c>
    </row>
    <row r="47" spans="1:9" x14ac:dyDescent="0.2">
      <c r="A47" t="s">
        <v>390</v>
      </c>
      <c r="B47" t="s">
        <v>23</v>
      </c>
      <c r="C47" s="147">
        <v>43399</v>
      </c>
      <c r="D47" t="s">
        <v>382</v>
      </c>
      <c r="E47">
        <v>2000</v>
      </c>
      <c r="F47" t="s">
        <v>329</v>
      </c>
      <c r="G47" t="s">
        <v>383</v>
      </c>
      <c r="H47">
        <v>181025160005</v>
      </c>
      <c r="I47" t="str">
        <f>CashIntraTable[Portfolio]&amp;VALUE(CashIntraTable[Cash Date])&amp;CashIntraTable[Detail]</f>
        <v>SCBAUD433991.1. Subscription</v>
      </c>
    </row>
    <row r="48" spans="1:9" x14ac:dyDescent="0.2">
      <c r="A48" t="s">
        <v>390</v>
      </c>
      <c r="B48" t="s">
        <v>23</v>
      </c>
      <c r="C48" s="147">
        <v>43402</v>
      </c>
      <c r="D48" t="s">
        <v>382</v>
      </c>
      <c r="E48">
        <v>-242522.32</v>
      </c>
      <c r="F48" t="s">
        <v>332</v>
      </c>
      <c r="G48" t="s">
        <v>383</v>
      </c>
      <c r="H48">
        <v>181025160005</v>
      </c>
      <c r="I48" t="str">
        <f>CashIntraTable[Portfolio]&amp;VALUE(CashIntraTable[Cash Date])&amp;CashIntraTable[Detail]</f>
        <v>SCBAUD434022.2. Switch-out</v>
      </c>
    </row>
    <row r="49" spans="1:9" x14ac:dyDescent="0.2">
      <c r="A49" t="s">
        <v>391</v>
      </c>
      <c r="B49" t="s">
        <v>23</v>
      </c>
      <c r="C49" s="147">
        <v>43398</v>
      </c>
      <c r="D49" t="s">
        <v>382</v>
      </c>
      <c r="E49">
        <v>232892.45</v>
      </c>
      <c r="F49" t="s">
        <v>329</v>
      </c>
      <c r="G49" t="s">
        <v>383</v>
      </c>
      <c r="H49">
        <v>181025160005</v>
      </c>
      <c r="I49" t="str">
        <f>CashIntraTable[Portfolio]&amp;VALUE(CashIntraTable[Cash Date])&amp;CashIntraTable[Detail]</f>
        <v>SCBBANKINGFUND433981.1. Subscription</v>
      </c>
    </row>
    <row r="50" spans="1:9" x14ac:dyDescent="0.2">
      <c r="A50" t="s">
        <v>391</v>
      </c>
      <c r="B50" t="s">
        <v>23</v>
      </c>
      <c r="C50" s="147">
        <v>43399</v>
      </c>
      <c r="D50" t="s">
        <v>382</v>
      </c>
      <c r="E50">
        <v>973500.33</v>
      </c>
      <c r="F50" t="s">
        <v>329</v>
      </c>
      <c r="G50" t="s">
        <v>383</v>
      </c>
      <c r="H50">
        <v>181025160005</v>
      </c>
      <c r="I50" t="str">
        <f>CashIntraTable[Portfolio]&amp;VALUE(CashIntraTable[Cash Date])&amp;CashIntraTable[Detail]</f>
        <v>SCBBANKINGFUND433991.1. Subscription</v>
      </c>
    </row>
    <row r="51" spans="1:9" x14ac:dyDescent="0.2">
      <c r="A51" t="s">
        <v>391</v>
      </c>
      <c r="B51" t="s">
        <v>23</v>
      </c>
      <c r="C51" s="147">
        <v>43398</v>
      </c>
      <c r="D51" t="s">
        <v>382</v>
      </c>
      <c r="E51">
        <v>765145.83</v>
      </c>
      <c r="F51" t="s">
        <v>330</v>
      </c>
      <c r="G51" t="s">
        <v>383</v>
      </c>
      <c r="H51">
        <v>181025160005</v>
      </c>
      <c r="I51" t="str">
        <f>CashIntraTable[Portfolio]&amp;VALUE(CashIntraTable[Cash Date])&amp;CashIntraTable[Detail]</f>
        <v>SCBBANKINGFUND433981.2. Switch-in</v>
      </c>
    </row>
    <row r="52" spans="1:9" x14ac:dyDescent="0.2">
      <c r="A52" t="s">
        <v>391</v>
      </c>
      <c r="B52" t="s">
        <v>23</v>
      </c>
      <c r="C52" s="147">
        <v>43399</v>
      </c>
      <c r="D52" t="s">
        <v>382</v>
      </c>
      <c r="E52">
        <v>527000</v>
      </c>
      <c r="F52" t="s">
        <v>330</v>
      </c>
      <c r="G52" t="s">
        <v>383</v>
      </c>
      <c r="H52">
        <v>181025160005</v>
      </c>
      <c r="I52" t="str">
        <f>CashIntraTable[Portfolio]&amp;VALUE(CashIntraTable[Cash Date])&amp;CashIntraTable[Detail]</f>
        <v>SCBBANKINGFUND433991.2. Switch-in</v>
      </c>
    </row>
    <row r="53" spans="1:9" x14ac:dyDescent="0.2">
      <c r="A53" t="s">
        <v>391</v>
      </c>
      <c r="B53" t="s">
        <v>23</v>
      </c>
      <c r="C53" s="147">
        <v>43402</v>
      </c>
      <c r="D53" t="s">
        <v>382</v>
      </c>
      <c r="E53">
        <v>186.27</v>
      </c>
      <c r="F53" t="s">
        <v>330</v>
      </c>
      <c r="G53" t="s">
        <v>383</v>
      </c>
      <c r="H53">
        <v>181025160005</v>
      </c>
      <c r="I53" t="str">
        <f>CashIntraTable[Portfolio]&amp;VALUE(CashIntraTable[Cash Date])&amp;CashIntraTable[Detail]</f>
        <v>SCBBANKINGFUND434021.2. Switch-in</v>
      </c>
    </row>
    <row r="54" spans="1:9" x14ac:dyDescent="0.2">
      <c r="A54" t="s">
        <v>391</v>
      </c>
      <c r="B54" t="s">
        <v>23</v>
      </c>
      <c r="C54" s="147">
        <v>43405</v>
      </c>
      <c r="D54" t="s">
        <v>382</v>
      </c>
      <c r="E54">
        <v>66124.47</v>
      </c>
      <c r="F54" t="s">
        <v>330</v>
      </c>
      <c r="G54" t="s">
        <v>383</v>
      </c>
      <c r="H54">
        <v>181025160005</v>
      </c>
      <c r="I54" t="str">
        <f>CashIntraTable[Portfolio]&amp;VALUE(CashIntraTable[Cash Date])&amp;CashIntraTable[Detail]</f>
        <v>SCBBANKINGFUND434051.2. Switch-in</v>
      </c>
    </row>
    <row r="55" spans="1:9" x14ac:dyDescent="0.2">
      <c r="A55" t="s">
        <v>391</v>
      </c>
      <c r="B55" t="s">
        <v>23</v>
      </c>
      <c r="C55" s="147">
        <v>43398</v>
      </c>
      <c r="D55" t="s">
        <v>382</v>
      </c>
      <c r="E55">
        <v>-2816503.26</v>
      </c>
      <c r="F55" t="s">
        <v>331</v>
      </c>
      <c r="G55" t="s">
        <v>383</v>
      </c>
      <c r="H55">
        <v>181025160005</v>
      </c>
      <c r="I55" t="str">
        <f>CashIntraTable[Portfolio]&amp;VALUE(CashIntraTable[Cash Date])&amp;CashIntraTable[Detail]</f>
        <v>SCBBANKINGFUND433982.1. Redemption</v>
      </c>
    </row>
    <row r="56" spans="1:9" x14ac:dyDescent="0.2">
      <c r="A56" t="s">
        <v>391</v>
      </c>
      <c r="B56" t="s">
        <v>23</v>
      </c>
      <c r="C56" s="147">
        <v>43399</v>
      </c>
      <c r="D56" t="s">
        <v>382</v>
      </c>
      <c r="E56">
        <v>-39980.949999999997</v>
      </c>
      <c r="F56" t="s">
        <v>331</v>
      </c>
      <c r="G56" t="s">
        <v>383</v>
      </c>
      <c r="H56">
        <v>181025160005</v>
      </c>
      <c r="I56" t="str">
        <f>CashIntraTable[Portfolio]&amp;VALUE(CashIntraTable[Cash Date])&amp;CashIntraTable[Detail]</f>
        <v>SCBBANKINGFUND433992.1. Redemption</v>
      </c>
    </row>
    <row r="57" spans="1:9" x14ac:dyDescent="0.2">
      <c r="A57" t="s">
        <v>391</v>
      </c>
      <c r="B57" t="s">
        <v>23</v>
      </c>
      <c r="C57" s="147">
        <v>43402</v>
      </c>
      <c r="D57" t="s">
        <v>382</v>
      </c>
      <c r="E57">
        <v>-8304831.8099999996</v>
      </c>
      <c r="F57" t="s">
        <v>331</v>
      </c>
      <c r="G57" t="s">
        <v>383</v>
      </c>
      <c r="H57">
        <v>181025160005</v>
      </c>
      <c r="I57" t="str">
        <f>CashIntraTable[Portfolio]&amp;VALUE(CashIntraTable[Cash Date])&amp;CashIntraTable[Detail]</f>
        <v>SCBBANKINGFUND434022.1. Redemption</v>
      </c>
    </row>
    <row r="58" spans="1:9" x14ac:dyDescent="0.2">
      <c r="A58" t="s">
        <v>391</v>
      </c>
      <c r="B58" t="s">
        <v>23</v>
      </c>
      <c r="C58" s="147">
        <v>43403</v>
      </c>
      <c r="D58" t="s">
        <v>382</v>
      </c>
      <c r="E58">
        <v>-31476.57</v>
      </c>
      <c r="F58" t="s">
        <v>331</v>
      </c>
      <c r="G58" t="s">
        <v>383</v>
      </c>
      <c r="H58">
        <v>181025160005</v>
      </c>
      <c r="I58" t="str">
        <f>CashIntraTable[Portfolio]&amp;VALUE(CashIntraTable[Cash Date])&amp;CashIntraTable[Detail]</f>
        <v>SCBBANKINGFUND434032.1. Redemption</v>
      </c>
    </row>
    <row r="59" spans="1:9" x14ac:dyDescent="0.2">
      <c r="A59" t="s">
        <v>391</v>
      </c>
      <c r="B59" t="s">
        <v>23</v>
      </c>
      <c r="C59" s="147">
        <v>43398</v>
      </c>
      <c r="D59" t="s">
        <v>382</v>
      </c>
      <c r="E59">
        <v>-1000</v>
      </c>
      <c r="F59" t="s">
        <v>332</v>
      </c>
      <c r="G59" t="s">
        <v>383</v>
      </c>
      <c r="H59">
        <v>181025160005</v>
      </c>
      <c r="I59" t="str">
        <f>CashIntraTable[Portfolio]&amp;VALUE(CashIntraTable[Cash Date])&amp;CashIntraTable[Detail]</f>
        <v>SCBBANKINGFUND433982.2. Switch-out</v>
      </c>
    </row>
    <row r="60" spans="1:9" x14ac:dyDescent="0.2">
      <c r="A60" t="s">
        <v>391</v>
      </c>
      <c r="B60" t="s">
        <v>23</v>
      </c>
      <c r="C60" s="147">
        <v>43399</v>
      </c>
      <c r="D60" t="s">
        <v>382</v>
      </c>
      <c r="E60">
        <v>-4427.82</v>
      </c>
      <c r="F60" t="s">
        <v>332</v>
      </c>
      <c r="G60" t="s">
        <v>383</v>
      </c>
      <c r="H60">
        <v>181025160005</v>
      </c>
      <c r="I60" t="str">
        <f>CashIntraTable[Portfolio]&amp;VALUE(CashIntraTable[Cash Date])&amp;CashIntraTable[Detail]</f>
        <v>SCBBANKINGFUND433992.2. Switch-out</v>
      </c>
    </row>
    <row r="61" spans="1:9" x14ac:dyDescent="0.2">
      <c r="A61" t="s">
        <v>391</v>
      </c>
      <c r="B61" t="s">
        <v>23</v>
      </c>
      <c r="C61" s="147">
        <v>43402</v>
      </c>
      <c r="D61" t="s">
        <v>382</v>
      </c>
      <c r="E61">
        <v>-4030783.46</v>
      </c>
      <c r="F61" t="s">
        <v>332</v>
      </c>
      <c r="G61" t="s">
        <v>383</v>
      </c>
      <c r="H61">
        <v>181025160005</v>
      </c>
      <c r="I61" t="str">
        <f>CashIntraTable[Portfolio]&amp;VALUE(CashIntraTable[Cash Date])&amp;CashIntraTable[Detail]</f>
        <v>SCBBANKINGFUND434022.2. Switch-out</v>
      </c>
    </row>
    <row r="62" spans="1:9" x14ac:dyDescent="0.2">
      <c r="A62" t="s">
        <v>392</v>
      </c>
      <c r="B62" t="s">
        <v>23</v>
      </c>
      <c r="C62" s="147">
        <v>43398</v>
      </c>
      <c r="D62" t="s">
        <v>382</v>
      </c>
      <c r="E62">
        <v>63000</v>
      </c>
      <c r="F62" t="s">
        <v>329</v>
      </c>
      <c r="G62" t="s">
        <v>383</v>
      </c>
      <c r="H62">
        <v>181025160005</v>
      </c>
      <c r="I62" t="str">
        <f>CashIntraTable[Portfolio]&amp;VALUE(CashIntraTable[Cash Date])&amp;CashIntraTable[Detail]</f>
        <v>SCBBLN433981.1. Subscription</v>
      </c>
    </row>
    <row r="63" spans="1:9" x14ac:dyDescent="0.2">
      <c r="A63" t="s">
        <v>392</v>
      </c>
      <c r="B63" t="s">
        <v>23</v>
      </c>
      <c r="C63" s="147">
        <v>43399</v>
      </c>
      <c r="D63" t="s">
        <v>382</v>
      </c>
      <c r="E63">
        <v>62000</v>
      </c>
      <c r="F63" t="s">
        <v>329</v>
      </c>
      <c r="G63" t="s">
        <v>383</v>
      </c>
      <c r="H63">
        <v>181025160005</v>
      </c>
      <c r="I63" t="str">
        <f>CashIntraTable[Portfolio]&amp;VALUE(CashIntraTable[Cash Date])&amp;CashIntraTable[Detail]</f>
        <v>SCBBLN433991.1. Subscription</v>
      </c>
    </row>
    <row r="64" spans="1:9" x14ac:dyDescent="0.2">
      <c r="A64" t="s">
        <v>392</v>
      </c>
      <c r="B64" t="s">
        <v>23</v>
      </c>
      <c r="C64" s="147">
        <v>43398</v>
      </c>
      <c r="D64" t="s">
        <v>382</v>
      </c>
      <c r="E64">
        <v>10000</v>
      </c>
      <c r="F64" t="s">
        <v>330</v>
      </c>
      <c r="G64" t="s">
        <v>383</v>
      </c>
      <c r="H64">
        <v>181025160005</v>
      </c>
      <c r="I64" t="str">
        <f>CashIntraTable[Portfolio]&amp;VALUE(CashIntraTable[Cash Date])&amp;CashIntraTable[Detail]</f>
        <v>SCBBLN433981.2. Switch-in</v>
      </c>
    </row>
    <row r="65" spans="1:9" x14ac:dyDescent="0.2">
      <c r="A65" t="s">
        <v>392</v>
      </c>
      <c r="B65" t="s">
        <v>23</v>
      </c>
      <c r="C65" s="147">
        <v>43399</v>
      </c>
      <c r="D65" t="s">
        <v>382</v>
      </c>
      <c r="E65">
        <v>20000</v>
      </c>
      <c r="F65" t="s">
        <v>330</v>
      </c>
      <c r="G65" t="s">
        <v>383</v>
      </c>
      <c r="H65">
        <v>181025160005</v>
      </c>
      <c r="I65" t="str">
        <f>CashIntraTable[Portfolio]&amp;VALUE(CashIntraTable[Cash Date])&amp;CashIntraTable[Detail]</f>
        <v>SCBBLN433991.2. Switch-in</v>
      </c>
    </row>
    <row r="66" spans="1:9" x14ac:dyDescent="0.2">
      <c r="A66" t="s">
        <v>392</v>
      </c>
      <c r="B66" t="s">
        <v>23</v>
      </c>
      <c r="C66" s="147">
        <v>43402</v>
      </c>
      <c r="D66" t="s">
        <v>382</v>
      </c>
      <c r="E66">
        <v>-132260.70000000001</v>
      </c>
      <c r="F66" t="s">
        <v>331</v>
      </c>
      <c r="G66" t="s">
        <v>383</v>
      </c>
      <c r="H66">
        <v>181025160005</v>
      </c>
      <c r="I66" t="str">
        <f>CashIntraTable[Portfolio]&amp;VALUE(CashIntraTable[Cash Date])&amp;CashIntraTable[Detail]</f>
        <v>SCBBLN434022.1. Redemption</v>
      </c>
    </row>
    <row r="67" spans="1:9" x14ac:dyDescent="0.2">
      <c r="A67" t="s">
        <v>393</v>
      </c>
      <c r="B67" t="s">
        <v>23</v>
      </c>
      <c r="C67" s="147">
        <v>43398</v>
      </c>
      <c r="D67" t="s">
        <v>382</v>
      </c>
      <c r="E67">
        <v>222099.71</v>
      </c>
      <c r="F67" t="s">
        <v>329</v>
      </c>
      <c r="G67" t="s">
        <v>383</v>
      </c>
      <c r="H67">
        <v>181025160005</v>
      </c>
      <c r="I67" t="str">
        <f>CashIntraTable[Portfolio]&amp;VALUE(CashIntraTable[Cash Date])&amp;CashIntraTable[Detail]</f>
        <v>SCBCE433981.1. Subscription</v>
      </c>
    </row>
    <row r="68" spans="1:9" x14ac:dyDescent="0.2">
      <c r="A68" t="s">
        <v>393</v>
      </c>
      <c r="B68" t="s">
        <v>23</v>
      </c>
      <c r="C68" s="147">
        <v>43399</v>
      </c>
      <c r="D68" t="s">
        <v>382</v>
      </c>
      <c r="E68">
        <v>155500</v>
      </c>
      <c r="F68" t="s">
        <v>329</v>
      </c>
      <c r="G68" t="s">
        <v>383</v>
      </c>
      <c r="H68">
        <v>181025160005</v>
      </c>
      <c r="I68" t="str">
        <f>CashIntraTable[Portfolio]&amp;VALUE(CashIntraTable[Cash Date])&amp;CashIntraTable[Detail]</f>
        <v>SCBCE433991.1. Subscription</v>
      </c>
    </row>
    <row r="69" spans="1:9" x14ac:dyDescent="0.2">
      <c r="A69" t="s">
        <v>393</v>
      </c>
      <c r="B69" t="s">
        <v>23</v>
      </c>
      <c r="C69" s="147">
        <v>43399</v>
      </c>
      <c r="D69" t="s">
        <v>382</v>
      </c>
      <c r="E69">
        <v>40000</v>
      </c>
      <c r="F69" t="s">
        <v>330</v>
      </c>
      <c r="G69" t="s">
        <v>383</v>
      </c>
      <c r="H69">
        <v>181025160005</v>
      </c>
      <c r="I69" t="str">
        <f>CashIntraTable[Portfolio]&amp;VALUE(CashIntraTable[Cash Date])&amp;CashIntraTable[Detail]</f>
        <v>SCBCE433991.2. Switch-in</v>
      </c>
    </row>
    <row r="70" spans="1:9" x14ac:dyDescent="0.2">
      <c r="A70" t="s">
        <v>393</v>
      </c>
      <c r="B70" t="s">
        <v>23</v>
      </c>
      <c r="C70" s="147">
        <v>43402</v>
      </c>
      <c r="D70" t="s">
        <v>382</v>
      </c>
      <c r="E70">
        <v>112660.1</v>
      </c>
      <c r="F70" t="s">
        <v>330</v>
      </c>
      <c r="G70" t="s">
        <v>383</v>
      </c>
      <c r="H70">
        <v>181025160005</v>
      </c>
      <c r="I70" t="str">
        <f>CashIntraTable[Portfolio]&amp;VALUE(CashIntraTable[Cash Date])&amp;CashIntraTable[Detail]</f>
        <v>SCBCE434021.2. Switch-in</v>
      </c>
    </row>
    <row r="71" spans="1:9" x14ac:dyDescent="0.2">
      <c r="A71" t="s">
        <v>393</v>
      </c>
      <c r="B71" t="s">
        <v>23</v>
      </c>
      <c r="C71" s="147">
        <v>43398</v>
      </c>
      <c r="D71" t="s">
        <v>382</v>
      </c>
      <c r="E71">
        <v>-146117.48000000001</v>
      </c>
      <c r="F71" t="s">
        <v>331</v>
      </c>
      <c r="G71" t="s">
        <v>383</v>
      </c>
      <c r="H71">
        <v>181025160005</v>
      </c>
      <c r="I71" t="str">
        <f>CashIntraTable[Portfolio]&amp;VALUE(CashIntraTable[Cash Date])&amp;CashIntraTable[Detail]</f>
        <v>SCBCE433982.1. Redemption</v>
      </c>
    </row>
    <row r="72" spans="1:9" x14ac:dyDescent="0.2">
      <c r="A72" t="s">
        <v>393</v>
      </c>
      <c r="B72" t="s">
        <v>23</v>
      </c>
      <c r="C72" s="147">
        <v>43399</v>
      </c>
      <c r="D72" t="s">
        <v>382</v>
      </c>
      <c r="E72">
        <v>-5329.99</v>
      </c>
      <c r="F72" t="s">
        <v>331</v>
      </c>
      <c r="G72" t="s">
        <v>383</v>
      </c>
      <c r="H72">
        <v>181025160005</v>
      </c>
      <c r="I72" t="str">
        <f>CashIntraTable[Portfolio]&amp;VALUE(CashIntraTable[Cash Date])&amp;CashIntraTable[Detail]</f>
        <v>SCBCE433992.1. Redemption</v>
      </c>
    </row>
    <row r="73" spans="1:9" x14ac:dyDescent="0.2">
      <c r="A73" t="s">
        <v>393</v>
      </c>
      <c r="B73" t="s">
        <v>23</v>
      </c>
      <c r="C73" s="147">
        <v>43402</v>
      </c>
      <c r="D73" t="s">
        <v>382</v>
      </c>
      <c r="E73">
        <v>-15077.17</v>
      </c>
      <c r="F73" t="s">
        <v>331</v>
      </c>
      <c r="G73" t="s">
        <v>383</v>
      </c>
      <c r="H73">
        <v>181025160005</v>
      </c>
      <c r="I73" t="str">
        <f>CashIntraTable[Portfolio]&amp;VALUE(CashIntraTable[Cash Date])&amp;CashIntraTable[Detail]</f>
        <v>SCBCE434022.1. Redemption</v>
      </c>
    </row>
    <row r="74" spans="1:9" x14ac:dyDescent="0.2">
      <c r="A74" t="s">
        <v>393</v>
      </c>
      <c r="B74" t="s">
        <v>23</v>
      </c>
      <c r="C74" s="147">
        <v>43398</v>
      </c>
      <c r="D74" t="s">
        <v>382</v>
      </c>
      <c r="E74">
        <v>-1029.9000000000001</v>
      </c>
      <c r="F74" t="s">
        <v>332</v>
      </c>
      <c r="G74" t="s">
        <v>383</v>
      </c>
      <c r="H74">
        <v>181025160005</v>
      </c>
      <c r="I74" t="str">
        <f>CashIntraTable[Portfolio]&amp;VALUE(CashIntraTable[Cash Date])&amp;CashIntraTable[Detail]</f>
        <v>SCBCE433982.2. Switch-out</v>
      </c>
    </row>
    <row r="75" spans="1:9" x14ac:dyDescent="0.2">
      <c r="A75" t="s">
        <v>393</v>
      </c>
      <c r="B75" t="s">
        <v>23</v>
      </c>
      <c r="C75" s="147">
        <v>43399</v>
      </c>
      <c r="D75" t="s">
        <v>382</v>
      </c>
      <c r="E75">
        <v>-102909.24</v>
      </c>
      <c r="F75" t="s">
        <v>332</v>
      </c>
      <c r="G75" t="s">
        <v>383</v>
      </c>
      <c r="H75">
        <v>181025160005</v>
      </c>
      <c r="I75" t="str">
        <f>CashIntraTable[Portfolio]&amp;VALUE(CashIntraTable[Cash Date])&amp;CashIntraTable[Detail]</f>
        <v>SCBCE433992.2. Switch-out</v>
      </c>
    </row>
    <row r="76" spans="1:9" x14ac:dyDescent="0.2">
      <c r="A76" t="s">
        <v>393</v>
      </c>
      <c r="B76" t="s">
        <v>23</v>
      </c>
      <c r="C76" s="147">
        <v>43402</v>
      </c>
      <c r="D76" t="s">
        <v>382</v>
      </c>
      <c r="E76">
        <v>-13353.62</v>
      </c>
      <c r="F76" t="s">
        <v>332</v>
      </c>
      <c r="G76" t="s">
        <v>383</v>
      </c>
      <c r="H76">
        <v>181025160005</v>
      </c>
      <c r="I76" t="str">
        <f>CashIntraTable[Portfolio]&amp;VALUE(CashIntraTable[Cash Date])&amp;CashIntraTable[Detail]</f>
        <v>SCBCE434022.2. Switch-out</v>
      </c>
    </row>
    <row r="77" spans="1:9" x14ac:dyDescent="0.2">
      <c r="A77" t="s">
        <v>394</v>
      </c>
      <c r="B77" t="s">
        <v>23</v>
      </c>
      <c r="C77" s="147">
        <v>43398</v>
      </c>
      <c r="D77" t="s">
        <v>382</v>
      </c>
      <c r="E77">
        <v>128635.97</v>
      </c>
      <c r="F77" t="s">
        <v>329</v>
      </c>
      <c r="G77" t="s">
        <v>383</v>
      </c>
      <c r="H77">
        <v>181025160005</v>
      </c>
      <c r="I77" t="str">
        <f>CashIntraTable[Portfolio]&amp;VALUE(CashIntraTable[Cash Date])&amp;CashIntraTable[Detail]</f>
        <v>SCBCEH433981.1. Subscription</v>
      </c>
    </row>
    <row r="78" spans="1:9" x14ac:dyDescent="0.2">
      <c r="A78" t="s">
        <v>394</v>
      </c>
      <c r="B78" t="s">
        <v>23</v>
      </c>
      <c r="C78" s="147">
        <v>43399</v>
      </c>
      <c r="D78" t="s">
        <v>382</v>
      </c>
      <c r="E78">
        <v>1785000</v>
      </c>
      <c r="F78" t="s">
        <v>329</v>
      </c>
      <c r="G78" t="s">
        <v>383</v>
      </c>
      <c r="H78">
        <v>181025160005</v>
      </c>
      <c r="I78" t="str">
        <f>CashIntraTable[Portfolio]&amp;VALUE(CashIntraTable[Cash Date])&amp;CashIntraTable[Detail]</f>
        <v>SCBCEH433991.1. Subscription</v>
      </c>
    </row>
    <row r="79" spans="1:9" x14ac:dyDescent="0.2">
      <c r="A79" t="s">
        <v>394</v>
      </c>
      <c r="B79" t="s">
        <v>23</v>
      </c>
      <c r="C79" s="147">
        <v>43398</v>
      </c>
      <c r="D79" t="s">
        <v>382</v>
      </c>
      <c r="E79">
        <v>120000</v>
      </c>
      <c r="F79" t="s">
        <v>330</v>
      </c>
      <c r="G79" t="s">
        <v>383</v>
      </c>
      <c r="H79">
        <v>181025160005</v>
      </c>
      <c r="I79" t="str">
        <f>CashIntraTable[Portfolio]&amp;VALUE(CashIntraTable[Cash Date])&amp;CashIntraTable[Detail]</f>
        <v>SCBCEH433981.2. Switch-in</v>
      </c>
    </row>
    <row r="80" spans="1:9" x14ac:dyDescent="0.2">
      <c r="A80" t="s">
        <v>394</v>
      </c>
      <c r="B80" t="s">
        <v>23</v>
      </c>
      <c r="C80" s="147">
        <v>43399</v>
      </c>
      <c r="D80" t="s">
        <v>382</v>
      </c>
      <c r="E80">
        <v>1325000</v>
      </c>
      <c r="F80" t="s">
        <v>330</v>
      </c>
      <c r="G80" t="s">
        <v>383</v>
      </c>
      <c r="H80">
        <v>181025160005</v>
      </c>
      <c r="I80" t="str">
        <f>CashIntraTable[Portfolio]&amp;VALUE(CashIntraTable[Cash Date])&amp;CashIntraTable[Detail]</f>
        <v>SCBCEH433991.2. Switch-in</v>
      </c>
    </row>
    <row r="81" spans="1:9" x14ac:dyDescent="0.2">
      <c r="A81" t="s">
        <v>394</v>
      </c>
      <c r="B81" t="s">
        <v>23</v>
      </c>
      <c r="C81" s="147">
        <v>43398</v>
      </c>
      <c r="D81" t="s">
        <v>382</v>
      </c>
      <c r="E81">
        <v>-649488.89</v>
      </c>
      <c r="F81" t="s">
        <v>331</v>
      </c>
      <c r="G81" t="s">
        <v>383</v>
      </c>
      <c r="H81">
        <v>181025160005</v>
      </c>
      <c r="I81" t="str">
        <f>CashIntraTable[Portfolio]&amp;VALUE(CashIntraTable[Cash Date])&amp;CashIntraTable[Detail]</f>
        <v>SCBCEH433982.1. Redemption</v>
      </c>
    </row>
    <row r="82" spans="1:9" x14ac:dyDescent="0.2">
      <c r="A82" t="s">
        <v>394</v>
      </c>
      <c r="B82" t="s">
        <v>23</v>
      </c>
      <c r="C82" s="147">
        <v>43399</v>
      </c>
      <c r="D82" t="s">
        <v>382</v>
      </c>
      <c r="E82">
        <v>-830671.29</v>
      </c>
      <c r="F82" t="s">
        <v>331</v>
      </c>
      <c r="G82" t="s">
        <v>383</v>
      </c>
      <c r="H82">
        <v>181025160005</v>
      </c>
      <c r="I82" t="str">
        <f>CashIntraTable[Portfolio]&amp;VALUE(CashIntraTable[Cash Date])&amp;CashIntraTable[Detail]</f>
        <v>SCBCEH433992.1. Redemption</v>
      </c>
    </row>
    <row r="83" spans="1:9" x14ac:dyDescent="0.2">
      <c r="A83" t="s">
        <v>394</v>
      </c>
      <c r="B83" t="s">
        <v>23</v>
      </c>
      <c r="C83" s="147">
        <v>43402</v>
      </c>
      <c r="D83" t="s">
        <v>382</v>
      </c>
      <c r="E83">
        <v>-60372.85</v>
      </c>
      <c r="F83" t="s">
        <v>331</v>
      </c>
      <c r="G83" t="s">
        <v>383</v>
      </c>
      <c r="H83">
        <v>181025160005</v>
      </c>
      <c r="I83" t="str">
        <f>CashIntraTable[Portfolio]&amp;VALUE(CashIntraTable[Cash Date])&amp;CashIntraTable[Detail]</f>
        <v>SCBCEH434022.1. Redemption</v>
      </c>
    </row>
    <row r="84" spans="1:9" x14ac:dyDescent="0.2">
      <c r="A84" t="s">
        <v>394</v>
      </c>
      <c r="B84" t="s">
        <v>23</v>
      </c>
      <c r="C84" s="147">
        <v>43398</v>
      </c>
      <c r="D84" t="s">
        <v>382</v>
      </c>
      <c r="E84">
        <v>-2439066.44</v>
      </c>
      <c r="F84" t="s">
        <v>332</v>
      </c>
      <c r="G84" t="s">
        <v>383</v>
      </c>
      <c r="H84">
        <v>181025160005</v>
      </c>
      <c r="I84" t="str">
        <f>CashIntraTable[Portfolio]&amp;VALUE(CashIntraTable[Cash Date])&amp;CashIntraTable[Detail]</f>
        <v>SCBCEH433982.2. Switch-out</v>
      </c>
    </row>
    <row r="85" spans="1:9" x14ac:dyDescent="0.2">
      <c r="A85" t="s">
        <v>394</v>
      </c>
      <c r="B85" t="s">
        <v>23</v>
      </c>
      <c r="C85" s="147">
        <v>43399</v>
      </c>
      <c r="D85" t="s">
        <v>382</v>
      </c>
      <c r="E85">
        <v>-19178.669999999998</v>
      </c>
      <c r="F85" t="s">
        <v>332</v>
      </c>
      <c r="G85" t="s">
        <v>383</v>
      </c>
      <c r="H85">
        <v>181025160005</v>
      </c>
      <c r="I85" t="str">
        <f>CashIntraTable[Portfolio]&amp;VALUE(CashIntraTable[Cash Date])&amp;CashIntraTable[Detail]</f>
        <v>SCBCEH433992.2. Switch-out</v>
      </c>
    </row>
    <row r="86" spans="1:9" x14ac:dyDescent="0.2">
      <c r="A86" t="s">
        <v>394</v>
      </c>
      <c r="B86" t="s">
        <v>23</v>
      </c>
      <c r="C86" s="147">
        <v>43402</v>
      </c>
      <c r="D86" t="s">
        <v>382</v>
      </c>
      <c r="E86">
        <v>-2001938.79</v>
      </c>
      <c r="F86" t="s">
        <v>332</v>
      </c>
      <c r="G86" t="s">
        <v>383</v>
      </c>
      <c r="H86">
        <v>181025160005</v>
      </c>
      <c r="I86" t="str">
        <f>CashIntraTable[Portfolio]&amp;VALUE(CashIntraTable[Cash Date])&amp;CashIntraTable[Detail]</f>
        <v>SCBCEH434022.2. Switch-out</v>
      </c>
    </row>
    <row r="87" spans="1:9" x14ac:dyDescent="0.2">
      <c r="A87" t="s">
        <v>395</v>
      </c>
      <c r="B87" t="s">
        <v>23</v>
      </c>
      <c r="C87" s="147">
        <v>43398</v>
      </c>
      <c r="D87" t="s">
        <v>382</v>
      </c>
      <c r="E87">
        <v>1022095.8</v>
      </c>
      <c r="F87" t="s">
        <v>329</v>
      </c>
      <c r="G87" t="s">
        <v>383</v>
      </c>
      <c r="H87">
        <v>181025160005</v>
      </c>
      <c r="I87" t="str">
        <f>CashIntraTable[Portfolio]&amp;VALUE(CashIntraTable[Cash Date])&amp;CashIntraTable[Detail]</f>
        <v>SCBCHA433981.1. Subscription</v>
      </c>
    </row>
    <row r="88" spans="1:9" x14ac:dyDescent="0.2">
      <c r="A88" t="s">
        <v>395</v>
      </c>
      <c r="B88" t="s">
        <v>23</v>
      </c>
      <c r="C88" s="147">
        <v>43399</v>
      </c>
      <c r="D88" t="s">
        <v>382</v>
      </c>
      <c r="E88">
        <v>947600</v>
      </c>
      <c r="F88" t="s">
        <v>329</v>
      </c>
      <c r="G88" t="s">
        <v>383</v>
      </c>
      <c r="H88">
        <v>181025160005</v>
      </c>
      <c r="I88" t="str">
        <f>CashIntraTable[Portfolio]&amp;VALUE(CashIntraTable[Cash Date])&amp;CashIntraTable[Detail]</f>
        <v>SCBCHA433991.1. Subscription</v>
      </c>
    </row>
    <row r="89" spans="1:9" x14ac:dyDescent="0.2">
      <c r="A89" t="s">
        <v>395</v>
      </c>
      <c r="B89" t="s">
        <v>23</v>
      </c>
      <c r="C89" s="147">
        <v>43398</v>
      </c>
      <c r="D89" t="s">
        <v>382</v>
      </c>
      <c r="E89">
        <v>126500.14</v>
      </c>
      <c r="F89" t="s">
        <v>330</v>
      </c>
      <c r="G89" t="s">
        <v>383</v>
      </c>
      <c r="H89">
        <v>181025160005</v>
      </c>
      <c r="I89" t="str">
        <f>CashIntraTable[Portfolio]&amp;VALUE(CashIntraTable[Cash Date])&amp;CashIntraTable[Detail]</f>
        <v>SCBCHA433981.2. Switch-in</v>
      </c>
    </row>
    <row r="90" spans="1:9" x14ac:dyDescent="0.2">
      <c r="A90" t="s">
        <v>395</v>
      </c>
      <c r="B90" t="s">
        <v>23</v>
      </c>
      <c r="C90" s="147">
        <v>43399</v>
      </c>
      <c r="D90" t="s">
        <v>382</v>
      </c>
      <c r="E90">
        <v>1126915.21</v>
      </c>
      <c r="F90" t="s">
        <v>330</v>
      </c>
      <c r="G90" t="s">
        <v>383</v>
      </c>
      <c r="H90">
        <v>181025160005</v>
      </c>
      <c r="I90" t="str">
        <f>CashIntraTable[Portfolio]&amp;VALUE(CashIntraTable[Cash Date])&amp;CashIntraTable[Detail]</f>
        <v>SCBCHA433991.2. Switch-in</v>
      </c>
    </row>
    <row r="91" spans="1:9" x14ac:dyDescent="0.2">
      <c r="A91" t="s">
        <v>395</v>
      </c>
      <c r="B91" t="s">
        <v>23</v>
      </c>
      <c r="C91" s="147">
        <v>43402</v>
      </c>
      <c r="D91" t="s">
        <v>382</v>
      </c>
      <c r="E91">
        <v>1154078.03</v>
      </c>
      <c r="F91" t="s">
        <v>330</v>
      </c>
      <c r="G91" t="s">
        <v>383</v>
      </c>
      <c r="H91">
        <v>181025160005</v>
      </c>
      <c r="I91" t="str">
        <f>CashIntraTable[Portfolio]&amp;VALUE(CashIntraTable[Cash Date])&amp;CashIntraTable[Detail]</f>
        <v>SCBCHA434021.2. Switch-in</v>
      </c>
    </row>
    <row r="92" spans="1:9" x14ac:dyDescent="0.2">
      <c r="A92" t="s">
        <v>395</v>
      </c>
      <c r="B92" t="s">
        <v>23</v>
      </c>
      <c r="C92" s="147">
        <v>43398</v>
      </c>
      <c r="D92" t="s">
        <v>382</v>
      </c>
      <c r="E92">
        <v>-5324699.9000000004</v>
      </c>
      <c r="F92" t="s">
        <v>331</v>
      </c>
      <c r="G92" t="s">
        <v>383</v>
      </c>
      <c r="H92">
        <v>181025160005</v>
      </c>
      <c r="I92" t="str">
        <f>CashIntraTable[Portfolio]&amp;VALUE(CashIntraTable[Cash Date])&amp;CashIntraTable[Detail]</f>
        <v>SCBCHA433982.1. Redemption</v>
      </c>
    </row>
    <row r="93" spans="1:9" x14ac:dyDescent="0.2">
      <c r="A93" t="s">
        <v>395</v>
      </c>
      <c r="B93" t="s">
        <v>23</v>
      </c>
      <c r="C93" s="147">
        <v>43399</v>
      </c>
      <c r="D93" t="s">
        <v>382</v>
      </c>
      <c r="E93">
        <v>-960353.38</v>
      </c>
      <c r="F93" t="s">
        <v>331</v>
      </c>
      <c r="G93" t="s">
        <v>383</v>
      </c>
      <c r="H93">
        <v>181025160005</v>
      </c>
      <c r="I93" t="str">
        <f>CashIntraTable[Portfolio]&amp;VALUE(CashIntraTable[Cash Date])&amp;CashIntraTable[Detail]</f>
        <v>SCBCHA433992.1. Redemption</v>
      </c>
    </row>
    <row r="94" spans="1:9" x14ac:dyDescent="0.2">
      <c r="A94" t="s">
        <v>395</v>
      </c>
      <c r="B94" t="s">
        <v>23</v>
      </c>
      <c r="C94" s="147">
        <v>43402</v>
      </c>
      <c r="D94" t="s">
        <v>382</v>
      </c>
      <c r="E94">
        <v>-78200.12</v>
      </c>
      <c r="F94" t="s">
        <v>331</v>
      </c>
      <c r="G94" t="s">
        <v>383</v>
      </c>
      <c r="H94">
        <v>181025160005</v>
      </c>
      <c r="I94" t="str">
        <f>CashIntraTable[Portfolio]&amp;VALUE(CashIntraTable[Cash Date])&amp;CashIntraTable[Detail]</f>
        <v>SCBCHA434022.1. Redemption</v>
      </c>
    </row>
    <row r="95" spans="1:9" x14ac:dyDescent="0.2">
      <c r="A95" t="s">
        <v>395</v>
      </c>
      <c r="B95" t="s">
        <v>23</v>
      </c>
      <c r="C95" s="147">
        <v>43398</v>
      </c>
      <c r="D95" t="s">
        <v>382</v>
      </c>
      <c r="E95">
        <v>-1086721.3600000001</v>
      </c>
      <c r="F95" t="s">
        <v>332</v>
      </c>
      <c r="G95" t="s">
        <v>383</v>
      </c>
      <c r="H95">
        <v>181025160005</v>
      </c>
      <c r="I95" t="str">
        <f>CashIntraTable[Portfolio]&amp;VALUE(CashIntraTable[Cash Date])&amp;CashIntraTable[Detail]</f>
        <v>SCBCHA433982.2. Switch-out</v>
      </c>
    </row>
    <row r="96" spans="1:9" x14ac:dyDescent="0.2">
      <c r="A96" t="s">
        <v>395</v>
      </c>
      <c r="B96" t="s">
        <v>23</v>
      </c>
      <c r="C96" s="147">
        <v>43399</v>
      </c>
      <c r="D96" t="s">
        <v>382</v>
      </c>
      <c r="E96">
        <v>-457084.06</v>
      </c>
      <c r="F96" t="s">
        <v>332</v>
      </c>
      <c r="G96" t="s">
        <v>383</v>
      </c>
      <c r="H96">
        <v>181025160005</v>
      </c>
      <c r="I96" t="str">
        <f>CashIntraTable[Portfolio]&amp;VALUE(CashIntraTable[Cash Date])&amp;CashIntraTable[Detail]</f>
        <v>SCBCHA433992.2. Switch-out</v>
      </c>
    </row>
    <row r="97" spans="1:9" x14ac:dyDescent="0.2">
      <c r="A97" t="s">
        <v>395</v>
      </c>
      <c r="B97" t="s">
        <v>23</v>
      </c>
      <c r="C97" s="147">
        <v>43402</v>
      </c>
      <c r="D97" t="s">
        <v>382</v>
      </c>
      <c r="E97">
        <v>-2533849.56</v>
      </c>
      <c r="F97" t="s">
        <v>332</v>
      </c>
      <c r="G97" t="s">
        <v>383</v>
      </c>
      <c r="H97">
        <v>181025160005</v>
      </c>
      <c r="I97" t="str">
        <f>CashIntraTable[Portfolio]&amp;VALUE(CashIntraTable[Cash Date])&amp;CashIntraTable[Detail]</f>
        <v>SCBCHA434022.2. Switch-out</v>
      </c>
    </row>
    <row r="98" spans="1:9" x14ac:dyDescent="0.2">
      <c r="A98" t="s">
        <v>396</v>
      </c>
      <c r="B98" t="s">
        <v>23</v>
      </c>
      <c r="C98" s="147">
        <v>43398</v>
      </c>
      <c r="D98" t="s">
        <v>382</v>
      </c>
      <c r="E98">
        <v>137000</v>
      </c>
      <c r="F98" t="s">
        <v>329</v>
      </c>
      <c r="G98" t="s">
        <v>383</v>
      </c>
      <c r="H98">
        <v>181025160005</v>
      </c>
      <c r="I98" t="str">
        <f>CashIntraTable[Portfolio]&amp;VALUE(CashIntraTable[Cash Date])&amp;CashIntraTable[Detail]</f>
        <v>SCBCHEQ433981.1. Subscription</v>
      </c>
    </row>
    <row r="99" spans="1:9" x14ac:dyDescent="0.2">
      <c r="A99" t="s">
        <v>396</v>
      </c>
      <c r="B99" t="s">
        <v>23</v>
      </c>
      <c r="C99" s="147">
        <v>43399</v>
      </c>
      <c r="D99" t="s">
        <v>382</v>
      </c>
      <c r="E99">
        <v>120200</v>
      </c>
      <c r="F99" t="s">
        <v>329</v>
      </c>
      <c r="G99" t="s">
        <v>383</v>
      </c>
      <c r="H99">
        <v>181025160005</v>
      </c>
      <c r="I99" t="str">
        <f>CashIntraTable[Portfolio]&amp;VALUE(CashIntraTable[Cash Date])&amp;CashIntraTable[Detail]</f>
        <v>SCBCHEQ433991.1. Subscription</v>
      </c>
    </row>
    <row r="100" spans="1:9" x14ac:dyDescent="0.2">
      <c r="A100" t="s">
        <v>396</v>
      </c>
      <c r="B100" t="s">
        <v>23</v>
      </c>
      <c r="C100" s="147">
        <v>43398</v>
      </c>
      <c r="D100" t="s">
        <v>382</v>
      </c>
      <c r="E100">
        <v>110000</v>
      </c>
      <c r="F100" t="s">
        <v>330</v>
      </c>
      <c r="G100" t="s">
        <v>383</v>
      </c>
      <c r="H100">
        <v>181025160005</v>
      </c>
      <c r="I100" t="str">
        <f>CashIntraTable[Portfolio]&amp;VALUE(CashIntraTable[Cash Date])&amp;CashIntraTable[Detail]</f>
        <v>SCBCHEQ433981.2. Switch-in</v>
      </c>
    </row>
    <row r="101" spans="1:9" x14ac:dyDescent="0.2">
      <c r="A101" t="s">
        <v>396</v>
      </c>
      <c r="B101" t="s">
        <v>23</v>
      </c>
      <c r="C101" s="147">
        <v>43399</v>
      </c>
      <c r="D101" t="s">
        <v>382</v>
      </c>
      <c r="E101">
        <v>100000</v>
      </c>
      <c r="F101" t="s">
        <v>330</v>
      </c>
      <c r="G101" t="s">
        <v>383</v>
      </c>
      <c r="H101">
        <v>181025160005</v>
      </c>
      <c r="I101" t="str">
        <f>CashIntraTable[Portfolio]&amp;VALUE(CashIntraTable[Cash Date])&amp;CashIntraTable[Detail]</f>
        <v>SCBCHEQ433991.2. Switch-in</v>
      </c>
    </row>
    <row r="102" spans="1:9" x14ac:dyDescent="0.2">
      <c r="A102" t="s">
        <v>396</v>
      </c>
      <c r="B102" t="s">
        <v>23</v>
      </c>
      <c r="C102" s="147">
        <v>43403</v>
      </c>
      <c r="D102" t="s">
        <v>382</v>
      </c>
      <c r="E102">
        <v>2556.0100000000002</v>
      </c>
      <c r="F102" t="s">
        <v>330</v>
      </c>
      <c r="G102" t="s">
        <v>383</v>
      </c>
      <c r="H102">
        <v>181025160005</v>
      </c>
      <c r="I102" t="str">
        <f>CashIntraTable[Portfolio]&amp;VALUE(CashIntraTable[Cash Date])&amp;CashIntraTable[Detail]</f>
        <v>SCBCHEQ434031.2. Switch-in</v>
      </c>
    </row>
    <row r="103" spans="1:9" x14ac:dyDescent="0.2">
      <c r="A103" t="s">
        <v>396</v>
      </c>
      <c r="B103" t="s">
        <v>23</v>
      </c>
      <c r="C103" s="147">
        <v>43398</v>
      </c>
      <c r="D103" t="s">
        <v>382</v>
      </c>
      <c r="E103">
        <v>-797965.22</v>
      </c>
      <c r="F103" t="s">
        <v>331</v>
      </c>
      <c r="G103" t="s">
        <v>383</v>
      </c>
      <c r="H103">
        <v>181025160005</v>
      </c>
      <c r="I103" t="str">
        <f>CashIntraTable[Portfolio]&amp;VALUE(CashIntraTable[Cash Date])&amp;CashIntraTable[Detail]</f>
        <v>SCBCHEQ433982.1. Redemption</v>
      </c>
    </row>
    <row r="104" spans="1:9" x14ac:dyDescent="0.2">
      <c r="A104" t="s">
        <v>396</v>
      </c>
      <c r="B104" t="s">
        <v>23</v>
      </c>
      <c r="C104" s="147">
        <v>43399</v>
      </c>
      <c r="D104" t="s">
        <v>382</v>
      </c>
      <c r="E104">
        <v>-1829.34</v>
      </c>
      <c r="F104" t="s">
        <v>331</v>
      </c>
      <c r="G104" t="s">
        <v>383</v>
      </c>
      <c r="H104">
        <v>181025160005</v>
      </c>
      <c r="I104" t="str">
        <f>CashIntraTable[Portfolio]&amp;VALUE(CashIntraTable[Cash Date])&amp;CashIntraTable[Detail]</f>
        <v>SCBCHEQ433992.1. Redemption</v>
      </c>
    </row>
    <row r="105" spans="1:9" x14ac:dyDescent="0.2">
      <c r="A105" t="s">
        <v>396</v>
      </c>
      <c r="B105" t="s">
        <v>23</v>
      </c>
      <c r="C105" s="147">
        <v>43402</v>
      </c>
      <c r="D105" t="s">
        <v>382</v>
      </c>
      <c r="E105">
        <v>-784280.31</v>
      </c>
      <c r="F105" t="s">
        <v>331</v>
      </c>
      <c r="G105" t="s">
        <v>383</v>
      </c>
      <c r="H105">
        <v>181025160005</v>
      </c>
      <c r="I105" t="str">
        <f>CashIntraTable[Portfolio]&amp;VALUE(CashIntraTable[Cash Date])&amp;CashIntraTable[Detail]</f>
        <v>SCBCHEQ434022.1. Redemption</v>
      </c>
    </row>
    <row r="106" spans="1:9" x14ac:dyDescent="0.2">
      <c r="A106" t="s">
        <v>396</v>
      </c>
      <c r="B106" t="s">
        <v>23</v>
      </c>
      <c r="C106" s="147">
        <v>43403</v>
      </c>
      <c r="D106" t="s">
        <v>382</v>
      </c>
      <c r="E106">
        <v>-199858.1</v>
      </c>
      <c r="F106" t="s">
        <v>331</v>
      </c>
      <c r="G106" t="s">
        <v>383</v>
      </c>
      <c r="H106">
        <v>181025160005</v>
      </c>
      <c r="I106" t="str">
        <f>CashIntraTable[Portfolio]&amp;VALUE(CashIntraTable[Cash Date])&amp;CashIntraTable[Detail]</f>
        <v>SCBCHEQ434032.1. Redemption</v>
      </c>
    </row>
    <row r="107" spans="1:9" x14ac:dyDescent="0.2">
      <c r="A107" t="s">
        <v>396</v>
      </c>
      <c r="B107" t="s">
        <v>23</v>
      </c>
      <c r="C107" s="147">
        <v>43399</v>
      </c>
      <c r="D107" t="s">
        <v>382</v>
      </c>
      <c r="E107">
        <v>-2000</v>
      </c>
      <c r="F107" t="s">
        <v>332</v>
      </c>
      <c r="G107" t="s">
        <v>383</v>
      </c>
      <c r="H107">
        <v>181025160005</v>
      </c>
      <c r="I107" t="str">
        <f>CashIntraTable[Portfolio]&amp;VALUE(CashIntraTable[Cash Date])&amp;CashIntraTable[Detail]</f>
        <v>SCBCHEQ433992.2. Switch-out</v>
      </c>
    </row>
    <row r="108" spans="1:9" x14ac:dyDescent="0.2">
      <c r="A108" t="s">
        <v>396</v>
      </c>
      <c r="B108" t="s">
        <v>23</v>
      </c>
      <c r="C108" s="147">
        <v>43402</v>
      </c>
      <c r="D108" t="s">
        <v>382</v>
      </c>
      <c r="E108">
        <v>-4357562.5999999996</v>
      </c>
      <c r="F108" t="s">
        <v>332</v>
      </c>
      <c r="G108" t="s">
        <v>383</v>
      </c>
      <c r="H108">
        <v>181025160005</v>
      </c>
      <c r="I108" t="str">
        <f>CashIntraTable[Portfolio]&amp;VALUE(CashIntraTable[Cash Date])&amp;CashIntraTable[Detail]</f>
        <v>SCBCHEQ434022.2. Switch-out</v>
      </c>
    </row>
    <row r="109" spans="1:9" x14ac:dyDescent="0.2">
      <c r="A109" t="s">
        <v>396</v>
      </c>
      <c r="B109" t="s">
        <v>23</v>
      </c>
      <c r="C109" s="147">
        <v>43403</v>
      </c>
      <c r="D109" t="s">
        <v>382</v>
      </c>
      <c r="E109">
        <v>-6826638.6100000003</v>
      </c>
      <c r="F109" t="s">
        <v>332</v>
      </c>
      <c r="G109" t="s">
        <v>383</v>
      </c>
      <c r="H109">
        <v>181025160005</v>
      </c>
      <c r="I109" t="str">
        <f>CashIntraTable[Portfolio]&amp;VALUE(CashIntraTable[Cash Date])&amp;CashIntraTable[Detail]</f>
        <v>SCBCHEQ434032.2. Switch-out</v>
      </c>
    </row>
    <row r="110" spans="1:9" x14ac:dyDescent="0.2">
      <c r="A110" t="s">
        <v>838</v>
      </c>
      <c r="B110" t="s">
        <v>23</v>
      </c>
      <c r="C110" s="147">
        <v>43398</v>
      </c>
      <c r="D110" t="s">
        <v>382</v>
      </c>
      <c r="E110">
        <v>31307.06</v>
      </c>
      <c r="F110" t="s">
        <v>329</v>
      </c>
      <c r="G110" t="s">
        <v>383</v>
      </c>
      <c r="H110">
        <v>181025160005</v>
      </c>
      <c r="I110" t="str">
        <f>CashIntraTable[Portfolio]&amp;VALUE(CashIntraTable[Cash Date])&amp;CashIntraTable[Detail]</f>
        <v>SCBDAFUND433981.1. Subscription</v>
      </c>
    </row>
    <row r="111" spans="1:9" x14ac:dyDescent="0.2">
      <c r="A111" t="s">
        <v>838</v>
      </c>
      <c r="B111" t="s">
        <v>23</v>
      </c>
      <c r="C111" s="147">
        <v>43402</v>
      </c>
      <c r="D111" t="s">
        <v>382</v>
      </c>
      <c r="E111">
        <v>-27317.1</v>
      </c>
      <c r="F111" t="s">
        <v>331</v>
      </c>
      <c r="G111" t="s">
        <v>383</v>
      </c>
      <c r="H111">
        <v>181025160005</v>
      </c>
      <c r="I111" t="str">
        <f>CashIntraTable[Portfolio]&amp;VALUE(CashIntraTable[Cash Date])&amp;CashIntraTable[Detail]</f>
        <v>SCBDAFUND434022.1. Redemption</v>
      </c>
    </row>
    <row r="112" spans="1:9" x14ac:dyDescent="0.2">
      <c r="A112" t="s">
        <v>838</v>
      </c>
      <c r="B112" t="s">
        <v>23</v>
      </c>
      <c r="C112" s="147">
        <v>43402</v>
      </c>
      <c r="D112" t="s">
        <v>382</v>
      </c>
      <c r="E112">
        <v>-4691.04</v>
      </c>
      <c r="F112" t="s">
        <v>332</v>
      </c>
      <c r="G112" t="s">
        <v>383</v>
      </c>
      <c r="H112">
        <v>181025160005</v>
      </c>
      <c r="I112" t="str">
        <f>CashIntraTable[Portfolio]&amp;VALUE(CashIntraTable[Cash Date])&amp;CashIntraTable[Detail]</f>
        <v>SCBDAFUND434022.2. Switch-out</v>
      </c>
    </row>
    <row r="113" spans="1:9" x14ac:dyDescent="0.2">
      <c r="A113" t="s">
        <v>397</v>
      </c>
      <c r="B113" t="s">
        <v>23</v>
      </c>
      <c r="C113" s="147">
        <v>43398</v>
      </c>
      <c r="D113" t="s">
        <v>382</v>
      </c>
      <c r="E113">
        <v>1188604</v>
      </c>
      <c r="F113" t="s">
        <v>329</v>
      </c>
      <c r="G113" t="s">
        <v>383</v>
      </c>
      <c r="H113">
        <v>181025160005</v>
      </c>
      <c r="I113" t="str">
        <f>CashIntraTable[Portfolio]&amp;VALUE(CashIntraTable[Cash Date])&amp;CashIntraTable[Detail]</f>
        <v>SCBDIGI433981.1. Subscription</v>
      </c>
    </row>
    <row r="114" spans="1:9" x14ac:dyDescent="0.2">
      <c r="A114" t="s">
        <v>397</v>
      </c>
      <c r="B114" t="s">
        <v>23</v>
      </c>
      <c r="C114" s="147">
        <v>43399</v>
      </c>
      <c r="D114" t="s">
        <v>382</v>
      </c>
      <c r="E114">
        <v>410268</v>
      </c>
      <c r="F114" t="s">
        <v>329</v>
      </c>
      <c r="G114" t="s">
        <v>383</v>
      </c>
      <c r="H114">
        <v>181025160005</v>
      </c>
      <c r="I114" t="str">
        <f>CashIntraTable[Portfolio]&amp;VALUE(CashIntraTable[Cash Date])&amp;CashIntraTable[Detail]</f>
        <v>SCBDIGI433991.1. Subscription</v>
      </c>
    </row>
    <row r="115" spans="1:9" x14ac:dyDescent="0.2">
      <c r="A115" t="s">
        <v>397</v>
      </c>
      <c r="B115" t="s">
        <v>23</v>
      </c>
      <c r="C115" s="147">
        <v>43398</v>
      </c>
      <c r="D115" t="s">
        <v>382</v>
      </c>
      <c r="E115">
        <v>10458999.18</v>
      </c>
      <c r="F115" t="s">
        <v>330</v>
      </c>
      <c r="G115" t="s">
        <v>383</v>
      </c>
      <c r="H115">
        <v>181025160005</v>
      </c>
      <c r="I115" t="str">
        <f>CashIntraTable[Portfolio]&amp;VALUE(CashIntraTable[Cash Date])&amp;CashIntraTable[Detail]</f>
        <v>SCBDIGI433981.2. Switch-in</v>
      </c>
    </row>
    <row r="116" spans="1:9" x14ac:dyDescent="0.2">
      <c r="A116" t="s">
        <v>397</v>
      </c>
      <c r="B116" t="s">
        <v>23</v>
      </c>
      <c r="C116" s="147">
        <v>43399</v>
      </c>
      <c r="D116" t="s">
        <v>382</v>
      </c>
      <c r="E116">
        <v>176000</v>
      </c>
      <c r="F116" t="s">
        <v>330</v>
      </c>
      <c r="G116" t="s">
        <v>383</v>
      </c>
      <c r="H116">
        <v>181025160005</v>
      </c>
      <c r="I116" t="str">
        <f>CashIntraTable[Portfolio]&amp;VALUE(CashIntraTable[Cash Date])&amp;CashIntraTable[Detail]</f>
        <v>SCBDIGI433991.2. Switch-in</v>
      </c>
    </row>
    <row r="117" spans="1:9" x14ac:dyDescent="0.2">
      <c r="A117" t="s">
        <v>397</v>
      </c>
      <c r="B117" t="s">
        <v>23</v>
      </c>
      <c r="C117" s="147">
        <v>43402</v>
      </c>
      <c r="D117" t="s">
        <v>382</v>
      </c>
      <c r="E117">
        <v>6303.04</v>
      </c>
      <c r="F117" t="s">
        <v>330</v>
      </c>
      <c r="G117" t="s">
        <v>383</v>
      </c>
      <c r="H117">
        <v>181025160005</v>
      </c>
      <c r="I117" t="str">
        <f>CashIntraTable[Portfolio]&amp;VALUE(CashIntraTable[Cash Date])&amp;CashIntraTable[Detail]</f>
        <v>SCBDIGI434021.2. Switch-in</v>
      </c>
    </row>
    <row r="118" spans="1:9" x14ac:dyDescent="0.2">
      <c r="A118" t="s">
        <v>397</v>
      </c>
      <c r="B118" t="s">
        <v>23</v>
      </c>
      <c r="C118" s="147">
        <v>43398</v>
      </c>
      <c r="D118" t="s">
        <v>382</v>
      </c>
      <c r="E118">
        <v>-4673176.57</v>
      </c>
      <c r="F118" t="s">
        <v>331</v>
      </c>
      <c r="G118" t="s">
        <v>383</v>
      </c>
      <c r="H118">
        <v>181025160005</v>
      </c>
      <c r="I118" t="str">
        <f>CashIntraTable[Portfolio]&amp;VALUE(CashIntraTable[Cash Date])&amp;CashIntraTable[Detail]</f>
        <v>SCBDIGI433982.1. Redemption</v>
      </c>
    </row>
    <row r="119" spans="1:9" x14ac:dyDescent="0.2">
      <c r="A119" t="s">
        <v>397</v>
      </c>
      <c r="B119" t="s">
        <v>23</v>
      </c>
      <c r="C119" s="147">
        <v>43399</v>
      </c>
      <c r="D119" t="s">
        <v>382</v>
      </c>
      <c r="E119">
        <v>-63910.91</v>
      </c>
      <c r="F119" t="s">
        <v>331</v>
      </c>
      <c r="G119" t="s">
        <v>383</v>
      </c>
      <c r="H119">
        <v>181025160005</v>
      </c>
      <c r="I119" t="str">
        <f>CashIntraTable[Portfolio]&amp;VALUE(CashIntraTable[Cash Date])&amp;CashIntraTable[Detail]</f>
        <v>SCBDIGI433992.1. Redemption</v>
      </c>
    </row>
    <row r="120" spans="1:9" x14ac:dyDescent="0.2">
      <c r="A120" t="s">
        <v>397</v>
      </c>
      <c r="B120" t="s">
        <v>23</v>
      </c>
      <c r="C120" s="147">
        <v>43402</v>
      </c>
      <c r="D120" t="s">
        <v>382</v>
      </c>
      <c r="E120">
        <v>-345637.53</v>
      </c>
      <c r="F120" t="s">
        <v>331</v>
      </c>
      <c r="G120" t="s">
        <v>383</v>
      </c>
      <c r="H120">
        <v>181025160005</v>
      </c>
      <c r="I120" t="str">
        <f>CashIntraTable[Portfolio]&amp;VALUE(CashIntraTable[Cash Date])&amp;CashIntraTable[Detail]</f>
        <v>SCBDIGI434022.1. Redemption</v>
      </c>
    </row>
    <row r="121" spans="1:9" x14ac:dyDescent="0.2">
      <c r="A121" t="s">
        <v>397</v>
      </c>
      <c r="B121" t="s">
        <v>23</v>
      </c>
      <c r="C121" s="147">
        <v>43403</v>
      </c>
      <c r="D121" t="s">
        <v>382</v>
      </c>
      <c r="E121">
        <v>-957985.68</v>
      </c>
      <c r="F121" t="s">
        <v>331</v>
      </c>
      <c r="G121" t="s">
        <v>383</v>
      </c>
      <c r="H121">
        <v>181025160005</v>
      </c>
      <c r="I121" t="str">
        <f>CashIntraTable[Portfolio]&amp;VALUE(CashIntraTable[Cash Date])&amp;CashIntraTable[Detail]</f>
        <v>SCBDIGI434032.1. Redemption</v>
      </c>
    </row>
    <row r="122" spans="1:9" x14ac:dyDescent="0.2">
      <c r="A122" t="s">
        <v>397</v>
      </c>
      <c r="B122" t="s">
        <v>23</v>
      </c>
      <c r="C122" s="147">
        <v>43404</v>
      </c>
      <c r="D122" t="s">
        <v>382</v>
      </c>
      <c r="E122">
        <v>-1605596.71</v>
      </c>
      <c r="F122" t="s">
        <v>331</v>
      </c>
      <c r="G122" t="s">
        <v>383</v>
      </c>
      <c r="H122">
        <v>181025160005</v>
      </c>
      <c r="I122" t="str">
        <f>CashIntraTable[Portfolio]&amp;VALUE(CashIntraTable[Cash Date])&amp;CashIntraTable[Detail]</f>
        <v>SCBDIGI434042.1. Redemption</v>
      </c>
    </row>
    <row r="123" spans="1:9" x14ac:dyDescent="0.2">
      <c r="A123" t="s">
        <v>397</v>
      </c>
      <c r="B123" t="s">
        <v>23</v>
      </c>
      <c r="C123" s="147">
        <v>43398</v>
      </c>
      <c r="D123" t="s">
        <v>382</v>
      </c>
      <c r="E123">
        <v>-2000</v>
      </c>
      <c r="F123" t="s">
        <v>332</v>
      </c>
      <c r="G123" t="s">
        <v>383</v>
      </c>
      <c r="H123">
        <v>181025160005</v>
      </c>
      <c r="I123" t="str">
        <f>CashIntraTable[Portfolio]&amp;VALUE(CashIntraTable[Cash Date])&amp;CashIntraTable[Detail]</f>
        <v>SCBDIGI433982.2. Switch-out</v>
      </c>
    </row>
    <row r="124" spans="1:9" x14ac:dyDescent="0.2">
      <c r="A124" t="s">
        <v>397</v>
      </c>
      <c r="B124" t="s">
        <v>23</v>
      </c>
      <c r="C124" s="147">
        <v>43399</v>
      </c>
      <c r="D124" t="s">
        <v>382</v>
      </c>
      <c r="E124">
        <v>-636055.05000000005</v>
      </c>
      <c r="F124" t="s">
        <v>332</v>
      </c>
      <c r="G124" t="s">
        <v>383</v>
      </c>
      <c r="H124">
        <v>181025160005</v>
      </c>
      <c r="I124" t="str">
        <f>CashIntraTable[Portfolio]&amp;VALUE(CashIntraTable[Cash Date])&amp;CashIntraTable[Detail]</f>
        <v>SCBDIGI433992.2. Switch-out</v>
      </c>
    </row>
    <row r="125" spans="1:9" x14ac:dyDescent="0.2">
      <c r="A125" t="s">
        <v>397</v>
      </c>
      <c r="B125" t="s">
        <v>23</v>
      </c>
      <c r="C125" s="147">
        <v>43403</v>
      </c>
      <c r="D125" t="s">
        <v>382</v>
      </c>
      <c r="E125">
        <v>-2746939.53</v>
      </c>
      <c r="F125" t="s">
        <v>332</v>
      </c>
      <c r="G125" t="s">
        <v>383</v>
      </c>
      <c r="H125">
        <v>181025160005</v>
      </c>
      <c r="I125" t="str">
        <f>CashIntraTable[Portfolio]&amp;VALUE(CashIntraTable[Cash Date])&amp;CashIntraTable[Detail]</f>
        <v>SCBDIGI434032.2. Switch-out</v>
      </c>
    </row>
    <row r="126" spans="1:9" x14ac:dyDescent="0.2">
      <c r="A126" t="s">
        <v>397</v>
      </c>
      <c r="B126" t="s">
        <v>23</v>
      </c>
      <c r="C126" s="147">
        <v>43404</v>
      </c>
      <c r="D126" t="s">
        <v>382</v>
      </c>
      <c r="E126">
        <v>-1844907.15</v>
      </c>
      <c r="F126" t="s">
        <v>332</v>
      </c>
      <c r="G126" t="s">
        <v>383</v>
      </c>
      <c r="H126">
        <v>181025160005</v>
      </c>
      <c r="I126" t="str">
        <f>CashIntraTable[Portfolio]&amp;VALUE(CashIntraTable[Cash Date])&amp;CashIntraTable[Detail]</f>
        <v>SCBDIGI434042.2. Switch-out</v>
      </c>
    </row>
    <row r="127" spans="1:9" x14ac:dyDescent="0.2">
      <c r="A127" t="s">
        <v>398</v>
      </c>
      <c r="B127" t="s">
        <v>23</v>
      </c>
      <c r="C127" s="147">
        <v>43398</v>
      </c>
      <c r="D127" t="s">
        <v>382</v>
      </c>
      <c r="E127">
        <v>18733416.43</v>
      </c>
      <c r="F127" t="s">
        <v>329</v>
      </c>
      <c r="G127" t="s">
        <v>383</v>
      </c>
      <c r="H127">
        <v>181025160005</v>
      </c>
      <c r="I127" t="str">
        <f>CashIntraTable[Portfolio]&amp;VALUE(CashIntraTable[Cash Date])&amp;CashIntraTable[Detail]</f>
        <v>SCBDVFUND433981.1. Subscription</v>
      </c>
    </row>
    <row r="128" spans="1:9" x14ac:dyDescent="0.2">
      <c r="A128" t="s">
        <v>398</v>
      </c>
      <c r="B128" t="s">
        <v>23</v>
      </c>
      <c r="C128" s="147">
        <v>43399</v>
      </c>
      <c r="D128" t="s">
        <v>382</v>
      </c>
      <c r="E128">
        <v>29118760.43</v>
      </c>
      <c r="F128" t="s">
        <v>329</v>
      </c>
      <c r="G128" t="s">
        <v>383</v>
      </c>
      <c r="H128">
        <v>181025160005</v>
      </c>
      <c r="I128" t="str">
        <f>CashIntraTable[Portfolio]&amp;VALUE(CashIntraTable[Cash Date])&amp;CashIntraTable[Detail]</f>
        <v>SCBDVFUND433991.1. Subscription</v>
      </c>
    </row>
    <row r="129" spans="1:9" x14ac:dyDescent="0.2">
      <c r="A129" t="s">
        <v>398</v>
      </c>
      <c r="B129" t="s">
        <v>23</v>
      </c>
      <c r="C129" s="147">
        <v>43398</v>
      </c>
      <c r="D129" t="s">
        <v>382</v>
      </c>
      <c r="E129">
        <v>17899665.219999999</v>
      </c>
      <c r="F129" t="s">
        <v>330</v>
      </c>
      <c r="G129" t="s">
        <v>383</v>
      </c>
      <c r="H129">
        <v>181025160005</v>
      </c>
      <c r="I129" t="str">
        <f>CashIntraTable[Portfolio]&amp;VALUE(CashIntraTable[Cash Date])&amp;CashIntraTable[Detail]</f>
        <v>SCBDVFUND433981.2. Switch-in</v>
      </c>
    </row>
    <row r="130" spans="1:9" x14ac:dyDescent="0.2">
      <c r="A130" t="s">
        <v>398</v>
      </c>
      <c r="B130" t="s">
        <v>23</v>
      </c>
      <c r="C130" s="147">
        <v>43399</v>
      </c>
      <c r="D130" t="s">
        <v>382</v>
      </c>
      <c r="E130">
        <v>7539433.3700000001</v>
      </c>
      <c r="F130" t="s">
        <v>330</v>
      </c>
      <c r="G130" t="s">
        <v>383</v>
      </c>
      <c r="H130">
        <v>181025160005</v>
      </c>
      <c r="I130" t="str">
        <f>CashIntraTable[Portfolio]&amp;VALUE(CashIntraTable[Cash Date])&amp;CashIntraTable[Detail]</f>
        <v>SCBDVFUND433991.2. Switch-in</v>
      </c>
    </row>
    <row r="131" spans="1:9" x14ac:dyDescent="0.2">
      <c r="A131" t="s">
        <v>398</v>
      </c>
      <c r="B131" t="s">
        <v>23</v>
      </c>
      <c r="C131" s="147">
        <v>43402</v>
      </c>
      <c r="D131" t="s">
        <v>382</v>
      </c>
      <c r="E131">
        <v>81293.22</v>
      </c>
      <c r="F131" t="s">
        <v>330</v>
      </c>
      <c r="G131" t="s">
        <v>383</v>
      </c>
      <c r="H131">
        <v>181025160005</v>
      </c>
      <c r="I131" t="str">
        <f>CashIntraTable[Portfolio]&amp;VALUE(CashIntraTable[Cash Date])&amp;CashIntraTable[Detail]</f>
        <v>SCBDVFUND434021.2. Switch-in</v>
      </c>
    </row>
    <row r="132" spans="1:9" x14ac:dyDescent="0.2">
      <c r="A132" t="s">
        <v>398</v>
      </c>
      <c r="B132" t="s">
        <v>23</v>
      </c>
      <c r="C132" s="147">
        <v>43403</v>
      </c>
      <c r="D132" t="s">
        <v>382</v>
      </c>
      <c r="E132">
        <v>292287.64</v>
      </c>
      <c r="F132" t="s">
        <v>330</v>
      </c>
      <c r="G132" t="s">
        <v>383</v>
      </c>
      <c r="H132">
        <v>181025160005</v>
      </c>
      <c r="I132" t="str">
        <f>CashIntraTable[Portfolio]&amp;VALUE(CashIntraTable[Cash Date])&amp;CashIntraTable[Detail]</f>
        <v>SCBDVFUND434031.2. Switch-in</v>
      </c>
    </row>
    <row r="133" spans="1:9" x14ac:dyDescent="0.2">
      <c r="A133" t="s">
        <v>398</v>
      </c>
      <c r="B133" t="s">
        <v>23</v>
      </c>
      <c r="C133" s="147">
        <v>43398</v>
      </c>
      <c r="D133" t="s">
        <v>382</v>
      </c>
      <c r="E133">
        <v>-959621.1</v>
      </c>
      <c r="F133" t="s">
        <v>331</v>
      </c>
      <c r="G133" t="s">
        <v>383</v>
      </c>
      <c r="H133">
        <v>181025160005</v>
      </c>
      <c r="I133" t="str">
        <f>CashIntraTable[Portfolio]&amp;VALUE(CashIntraTable[Cash Date])&amp;CashIntraTable[Detail]</f>
        <v>SCBDVFUND433982.1. Redemption</v>
      </c>
    </row>
    <row r="134" spans="1:9" x14ac:dyDescent="0.2">
      <c r="A134" t="s">
        <v>398</v>
      </c>
      <c r="B134" t="s">
        <v>23</v>
      </c>
      <c r="C134" s="147">
        <v>43399</v>
      </c>
      <c r="D134" t="s">
        <v>382</v>
      </c>
      <c r="E134">
        <v>-3267136.64</v>
      </c>
      <c r="F134" t="s">
        <v>331</v>
      </c>
      <c r="G134" t="s">
        <v>383</v>
      </c>
      <c r="H134">
        <v>181025160005</v>
      </c>
      <c r="I134" t="str">
        <f>CashIntraTable[Portfolio]&amp;VALUE(CashIntraTable[Cash Date])&amp;CashIntraTable[Detail]</f>
        <v>SCBDVFUND433992.1. Redemption</v>
      </c>
    </row>
    <row r="135" spans="1:9" x14ac:dyDescent="0.2">
      <c r="A135" t="s">
        <v>398</v>
      </c>
      <c r="B135" t="s">
        <v>23</v>
      </c>
      <c r="C135" s="147">
        <v>43402</v>
      </c>
      <c r="D135" t="s">
        <v>382</v>
      </c>
      <c r="E135">
        <v>-437766.08</v>
      </c>
      <c r="F135" t="s">
        <v>331</v>
      </c>
      <c r="G135" t="s">
        <v>383</v>
      </c>
      <c r="H135">
        <v>181025160005</v>
      </c>
      <c r="I135" t="str">
        <f>CashIntraTable[Portfolio]&amp;VALUE(CashIntraTable[Cash Date])&amp;CashIntraTable[Detail]</f>
        <v>SCBDVFUND434022.1. Redemption</v>
      </c>
    </row>
    <row r="136" spans="1:9" x14ac:dyDescent="0.2">
      <c r="A136" t="s">
        <v>398</v>
      </c>
      <c r="B136" t="s">
        <v>23</v>
      </c>
      <c r="C136" s="147">
        <v>43398</v>
      </c>
      <c r="D136" t="s">
        <v>382</v>
      </c>
      <c r="E136">
        <v>-10836.82</v>
      </c>
      <c r="F136" t="s">
        <v>332</v>
      </c>
      <c r="G136" t="s">
        <v>383</v>
      </c>
      <c r="H136">
        <v>181025160005</v>
      </c>
      <c r="I136" t="str">
        <f>CashIntraTable[Portfolio]&amp;VALUE(CashIntraTable[Cash Date])&amp;CashIntraTable[Detail]</f>
        <v>SCBDVFUND433982.2. Switch-out</v>
      </c>
    </row>
    <row r="137" spans="1:9" x14ac:dyDescent="0.2">
      <c r="A137" t="s">
        <v>398</v>
      </c>
      <c r="B137" t="s">
        <v>23</v>
      </c>
      <c r="C137" s="147">
        <v>43399</v>
      </c>
      <c r="D137" t="s">
        <v>382</v>
      </c>
      <c r="E137">
        <v>-556976.5</v>
      </c>
      <c r="F137" t="s">
        <v>332</v>
      </c>
      <c r="G137" t="s">
        <v>383</v>
      </c>
      <c r="H137">
        <v>181025160005</v>
      </c>
      <c r="I137" t="str">
        <f>CashIntraTable[Portfolio]&amp;VALUE(CashIntraTable[Cash Date])&amp;CashIntraTable[Detail]</f>
        <v>SCBDVFUND433992.2. Switch-out</v>
      </c>
    </row>
    <row r="138" spans="1:9" x14ac:dyDescent="0.2">
      <c r="A138" t="s">
        <v>398</v>
      </c>
      <c r="B138" t="s">
        <v>23</v>
      </c>
      <c r="C138" s="147">
        <v>43402</v>
      </c>
      <c r="D138" t="s">
        <v>382</v>
      </c>
      <c r="E138">
        <v>-1430324.08</v>
      </c>
      <c r="F138" t="s">
        <v>332</v>
      </c>
      <c r="G138" t="s">
        <v>383</v>
      </c>
      <c r="H138">
        <v>181025160005</v>
      </c>
      <c r="I138" t="str">
        <f>CashIntraTable[Portfolio]&amp;VALUE(CashIntraTable[Cash Date])&amp;CashIntraTable[Detail]</f>
        <v>SCBDVFUND434022.2. Switch-out</v>
      </c>
    </row>
    <row r="139" spans="1:9" x14ac:dyDescent="0.2">
      <c r="A139" t="s">
        <v>399</v>
      </c>
      <c r="B139" t="s">
        <v>23</v>
      </c>
      <c r="C139" s="147">
        <v>43398</v>
      </c>
      <c r="D139" t="s">
        <v>382</v>
      </c>
      <c r="E139">
        <v>-2472.83</v>
      </c>
      <c r="F139" t="s">
        <v>331</v>
      </c>
      <c r="G139" t="s">
        <v>383</v>
      </c>
      <c r="H139">
        <v>181025160005</v>
      </c>
      <c r="I139" t="str">
        <f>CashIntraTable[Portfolio]&amp;VALUE(CashIntraTable[Cash Date])&amp;CashIntraTable[Detail]</f>
        <v>SCBEMBOND433982.1. Redemption</v>
      </c>
    </row>
    <row r="140" spans="1:9" x14ac:dyDescent="0.2">
      <c r="A140" t="s">
        <v>399</v>
      </c>
      <c r="B140" t="s">
        <v>23</v>
      </c>
      <c r="C140" s="147">
        <v>43402</v>
      </c>
      <c r="D140" t="s">
        <v>382</v>
      </c>
      <c r="E140">
        <v>-19872.650000000001</v>
      </c>
      <c r="F140" t="s">
        <v>332</v>
      </c>
      <c r="G140" t="s">
        <v>383</v>
      </c>
      <c r="H140">
        <v>181025160005</v>
      </c>
      <c r="I140" t="str">
        <f>CashIntraTable[Portfolio]&amp;VALUE(CashIntraTable[Cash Date])&amp;CashIntraTable[Detail]</f>
        <v>SCBEMBOND434022.2. Switch-out</v>
      </c>
    </row>
    <row r="141" spans="1:9" x14ac:dyDescent="0.2">
      <c r="A141" t="s">
        <v>400</v>
      </c>
      <c r="B141" t="s">
        <v>23</v>
      </c>
      <c r="C141" s="147">
        <v>43399</v>
      </c>
      <c r="D141" t="s">
        <v>382</v>
      </c>
      <c r="E141">
        <v>68185</v>
      </c>
      <c r="F141" t="s">
        <v>329</v>
      </c>
      <c r="G141" t="s">
        <v>383</v>
      </c>
      <c r="H141">
        <v>181025160005</v>
      </c>
      <c r="I141" t="str">
        <f>CashIntraTable[Portfolio]&amp;VALUE(CashIntraTable[Cash Date])&amp;CashIntraTable[Detail]</f>
        <v>SCBEMEQFUND433991.1. Subscription</v>
      </c>
    </row>
    <row r="142" spans="1:9" x14ac:dyDescent="0.2">
      <c r="A142" t="s">
        <v>400</v>
      </c>
      <c r="B142" t="s">
        <v>23</v>
      </c>
      <c r="C142" s="147">
        <v>43398</v>
      </c>
      <c r="D142" t="s">
        <v>382</v>
      </c>
      <c r="E142">
        <v>9925.2199999999993</v>
      </c>
      <c r="F142" t="s">
        <v>330</v>
      </c>
      <c r="G142" t="s">
        <v>383</v>
      </c>
      <c r="H142">
        <v>181025160005</v>
      </c>
      <c r="I142" t="str">
        <f>CashIntraTable[Portfolio]&amp;VALUE(CashIntraTable[Cash Date])&amp;CashIntraTable[Detail]</f>
        <v>SCBEMEQFUND433981.2. Switch-in</v>
      </c>
    </row>
    <row r="143" spans="1:9" x14ac:dyDescent="0.2">
      <c r="A143" t="s">
        <v>400</v>
      </c>
      <c r="B143" t="s">
        <v>23</v>
      </c>
      <c r="C143" s="147">
        <v>43402</v>
      </c>
      <c r="D143" t="s">
        <v>382</v>
      </c>
      <c r="E143">
        <v>919.77</v>
      </c>
      <c r="F143" t="s">
        <v>330</v>
      </c>
      <c r="G143" t="s">
        <v>383</v>
      </c>
      <c r="H143">
        <v>181025160005</v>
      </c>
      <c r="I143" t="str">
        <f>CashIntraTable[Portfolio]&amp;VALUE(CashIntraTable[Cash Date])&amp;CashIntraTable[Detail]</f>
        <v>SCBEMEQFUND434021.2. Switch-in</v>
      </c>
    </row>
    <row r="144" spans="1:9" x14ac:dyDescent="0.2">
      <c r="A144" t="s">
        <v>400</v>
      </c>
      <c r="B144" t="s">
        <v>23</v>
      </c>
      <c r="C144" s="147">
        <v>43398</v>
      </c>
      <c r="D144" t="s">
        <v>382</v>
      </c>
      <c r="E144">
        <v>-23538.41</v>
      </c>
      <c r="F144" t="s">
        <v>331</v>
      </c>
      <c r="G144" t="s">
        <v>383</v>
      </c>
      <c r="H144">
        <v>181025160005</v>
      </c>
      <c r="I144" t="str">
        <f>CashIntraTable[Portfolio]&amp;VALUE(CashIntraTable[Cash Date])&amp;CashIntraTable[Detail]</f>
        <v>SCBEMEQFUND433982.1. Redemption</v>
      </c>
    </row>
    <row r="145" spans="1:9" x14ac:dyDescent="0.2">
      <c r="A145" t="s">
        <v>400</v>
      </c>
      <c r="B145" t="s">
        <v>23</v>
      </c>
      <c r="C145" s="147">
        <v>43399</v>
      </c>
      <c r="D145" t="s">
        <v>382</v>
      </c>
      <c r="E145">
        <v>-1602358.52</v>
      </c>
      <c r="F145" t="s">
        <v>331</v>
      </c>
      <c r="G145" t="s">
        <v>383</v>
      </c>
      <c r="H145">
        <v>181025160005</v>
      </c>
      <c r="I145" t="str">
        <f>CashIntraTable[Portfolio]&amp;VALUE(CashIntraTable[Cash Date])&amp;CashIntraTable[Detail]</f>
        <v>SCBEMEQFUND433992.1. Redemption</v>
      </c>
    </row>
    <row r="146" spans="1:9" x14ac:dyDescent="0.2">
      <c r="A146" t="s">
        <v>400</v>
      </c>
      <c r="B146" t="s">
        <v>23</v>
      </c>
      <c r="C146" s="147">
        <v>43402</v>
      </c>
      <c r="D146" t="s">
        <v>382</v>
      </c>
      <c r="E146">
        <v>-2602381.0499999998</v>
      </c>
      <c r="F146" t="s">
        <v>331</v>
      </c>
      <c r="G146" t="s">
        <v>383</v>
      </c>
      <c r="H146">
        <v>181025160005</v>
      </c>
      <c r="I146" t="str">
        <f>CashIntraTable[Portfolio]&amp;VALUE(CashIntraTable[Cash Date])&amp;CashIntraTable[Detail]</f>
        <v>SCBEMEQFUND434022.1. Redemption</v>
      </c>
    </row>
    <row r="147" spans="1:9" x14ac:dyDescent="0.2">
      <c r="A147" t="s">
        <v>400</v>
      </c>
      <c r="B147" t="s">
        <v>23</v>
      </c>
      <c r="C147" s="147">
        <v>43403</v>
      </c>
      <c r="D147" t="s">
        <v>382</v>
      </c>
      <c r="E147">
        <v>-410393.13</v>
      </c>
      <c r="F147" t="s">
        <v>331</v>
      </c>
      <c r="G147" t="s">
        <v>383</v>
      </c>
      <c r="H147">
        <v>181025160005</v>
      </c>
      <c r="I147" t="str">
        <f>CashIntraTable[Portfolio]&amp;VALUE(CashIntraTable[Cash Date])&amp;CashIntraTable[Detail]</f>
        <v>SCBEMEQFUND434032.1. Redemption</v>
      </c>
    </row>
    <row r="148" spans="1:9" x14ac:dyDescent="0.2">
      <c r="A148" t="s">
        <v>400</v>
      </c>
      <c r="B148" t="s">
        <v>23</v>
      </c>
      <c r="C148" s="147">
        <v>43404</v>
      </c>
      <c r="D148" t="s">
        <v>382</v>
      </c>
      <c r="E148">
        <v>-4355.32</v>
      </c>
      <c r="F148" t="s">
        <v>331</v>
      </c>
      <c r="G148" t="s">
        <v>383</v>
      </c>
      <c r="H148">
        <v>181025160005</v>
      </c>
      <c r="I148" t="str">
        <f>CashIntraTable[Portfolio]&amp;VALUE(CashIntraTable[Cash Date])&amp;CashIntraTable[Detail]</f>
        <v>SCBEMEQFUND434042.1. Redemption</v>
      </c>
    </row>
    <row r="149" spans="1:9" x14ac:dyDescent="0.2">
      <c r="A149" t="s">
        <v>400</v>
      </c>
      <c r="B149" t="s">
        <v>23</v>
      </c>
      <c r="C149" s="147">
        <v>43398</v>
      </c>
      <c r="D149" t="s">
        <v>382</v>
      </c>
      <c r="E149">
        <v>-1958.86</v>
      </c>
      <c r="F149" t="s">
        <v>332</v>
      </c>
      <c r="G149" t="s">
        <v>383</v>
      </c>
      <c r="H149">
        <v>181025160005</v>
      </c>
      <c r="I149" t="str">
        <f>CashIntraTable[Portfolio]&amp;VALUE(CashIntraTable[Cash Date])&amp;CashIntraTable[Detail]</f>
        <v>SCBEMEQFUND433982.2. Switch-out</v>
      </c>
    </row>
    <row r="150" spans="1:9" x14ac:dyDescent="0.2">
      <c r="A150" t="s">
        <v>400</v>
      </c>
      <c r="B150" t="s">
        <v>23</v>
      </c>
      <c r="C150" s="147">
        <v>43399</v>
      </c>
      <c r="D150" t="s">
        <v>382</v>
      </c>
      <c r="E150">
        <v>-163597.84</v>
      </c>
      <c r="F150" t="s">
        <v>332</v>
      </c>
      <c r="G150" t="s">
        <v>383</v>
      </c>
      <c r="H150">
        <v>181025160005</v>
      </c>
      <c r="I150" t="str">
        <f>CashIntraTable[Portfolio]&amp;VALUE(CashIntraTable[Cash Date])&amp;CashIntraTable[Detail]</f>
        <v>SCBEMEQFUND433992.2. Switch-out</v>
      </c>
    </row>
    <row r="151" spans="1:9" x14ac:dyDescent="0.2">
      <c r="A151" t="s">
        <v>400</v>
      </c>
      <c r="B151" t="s">
        <v>23</v>
      </c>
      <c r="C151" s="147">
        <v>43402</v>
      </c>
      <c r="D151" t="s">
        <v>382</v>
      </c>
      <c r="E151">
        <v>-89403.96</v>
      </c>
      <c r="F151" t="s">
        <v>332</v>
      </c>
      <c r="G151" t="s">
        <v>383</v>
      </c>
      <c r="H151">
        <v>181025160005</v>
      </c>
      <c r="I151" t="str">
        <f>CashIntraTable[Portfolio]&amp;VALUE(CashIntraTable[Cash Date])&amp;CashIntraTable[Detail]</f>
        <v>SCBEMEQFUND434022.2. Switch-out</v>
      </c>
    </row>
    <row r="152" spans="1:9" x14ac:dyDescent="0.2">
      <c r="A152" t="s">
        <v>400</v>
      </c>
      <c r="B152" t="s">
        <v>23</v>
      </c>
      <c r="C152" s="147">
        <v>43403</v>
      </c>
      <c r="D152" t="s">
        <v>382</v>
      </c>
      <c r="E152">
        <v>-40593.360000000001</v>
      </c>
      <c r="F152" t="s">
        <v>332</v>
      </c>
      <c r="G152" t="s">
        <v>383</v>
      </c>
      <c r="H152">
        <v>181025160005</v>
      </c>
      <c r="I152" t="str">
        <f>CashIntraTable[Portfolio]&amp;VALUE(CashIntraTable[Cash Date])&amp;CashIntraTable[Detail]</f>
        <v>SCBEMEQFUND434032.2. Switch-out</v>
      </c>
    </row>
    <row r="153" spans="1:9" x14ac:dyDescent="0.2">
      <c r="A153" t="s">
        <v>400</v>
      </c>
      <c r="B153" t="s">
        <v>23</v>
      </c>
      <c r="C153" s="147">
        <v>43404</v>
      </c>
      <c r="D153" t="s">
        <v>382</v>
      </c>
      <c r="E153">
        <v>-10618.68</v>
      </c>
      <c r="F153" t="s">
        <v>332</v>
      </c>
      <c r="G153" t="s">
        <v>383</v>
      </c>
      <c r="H153">
        <v>181025160005</v>
      </c>
      <c r="I153" t="str">
        <f>CashIntraTable[Portfolio]&amp;VALUE(CashIntraTable[Cash Date])&amp;CashIntraTable[Detail]</f>
        <v>SCBEMEQFUND434042.2. Switch-out</v>
      </c>
    </row>
    <row r="154" spans="1:9" x14ac:dyDescent="0.2">
      <c r="A154" t="s">
        <v>401</v>
      </c>
      <c r="B154" t="s">
        <v>23</v>
      </c>
      <c r="C154" s="147">
        <v>43398</v>
      </c>
      <c r="D154" t="s">
        <v>382</v>
      </c>
      <c r="E154">
        <v>3016583.33</v>
      </c>
      <c r="F154" t="s">
        <v>329</v>
      </c>
      <c r="G154" t="s">
        <v>383</v>
      </c>
      <c r="H154">
        <v>181025160005</v>
      </c>
      <c r="I154" t="str">
        <f>CashIntraTable[Portfolio]&amp;VALUE(CashIntraTable[Cash Date])&amp;CashIntraTable[Detail]</f>
        <v>SCBENERGYFUND433981.1. Subscription</v>
      </c>
    </row>
    <row r="155" spans="1:9" x14ac:dyDescent="0.2">
      <c r="A155" t="s">
        <v>401</v>
      </c>
      <c r="B155" t="s">
        <v>23</v>
      </c>
      <c r="C155" s="147">
        <v>43399</v>
      </c>
      <c r="D155" t="s">
        <v>382</v>
      </c>
      <c r="E155">
        <v>3208691.85</v>
      </c>
      <c r="F155" t="s">
        <v>329</v>
      </c>
      <c r="G155" t="s">
        <v>383</v>
      </c>
      <c r="H155">
        <v>181025160005</v>
      </c>
      <c r="I155" t="str">
        <f>CashIntraTable[Portfolio]&amp;VALUE(CashIntraTable[Cash Date])&amp;CashIntraTable[Detail]</f>
        <v>SCBENERGYFUND433991.1. Subscription</v>
      </c>
    </row>
    <row r="156" spans="1:9" x14ac:dyDescent="0.2">
      <c r="A156" t="s">
        <v>401</v>
      </c>
      <c r="B156" t="s">
        <v>23</v>
      </c>
      <c r="C156" s="147">
        <v>43398</v>
      </c>
      <c r="D156" t="s">
        <v>382</v>
      </c>
      <c r="E156">
        <v>7052916.3700000001</v>
      </c>
      <c r="F156" t="s">
        <v>330</v>
      </c>
      <c r="G156" t="s">
        <v>383</v>
      </c>
      <c r="H156">
        <v>181025160005</v>
      </c>
      <c r="I156" t="str">
        <f>CashIntraTable[Portfolio]&amp;VALUE(CashIntraTable[Cash Date])&amp;CashIntraTable[Detail]</f>
        <v>SCBENERGYFUND433981.2. Switch-in</v>
      </c>
    </row>
    <row r="157" spans="1:9" x14ac:dyDescent="0.2">
      <c r="A157" t="s">
        <v>401</v>
      </c>
      <c r="B157" t="s">
        <v>23</v>
      </c>
      <c r="C157" s="147">
        <v>43399</v>
      </c>
      <c r="D157" t="s">
        <v>382</v>
      </c>
      <c r="E157">
        <v>1141951.17</v>
      </c>
      <c r="F157" t="s">
        <v>330</v>
      </c>
      <c r="G157" t="s">
        <v>383</v>
      </c>
      <c r="H157">
        <v>181025160005</v>
      </c>
      <c r="I157" t="str">
        <f>CashIntraTable[Portfolio]&amp;VALUE(CashIntraTable[Cash Date])&amp;CashIntraTable[Detail]</f>
        <v>SCBENERGYFUND433991.2. Switch-in</v>
      </c>
    </row>
    <row r="158" spans="1:9" x14ac:dyDescent="0.2">
      <c r="A158" t="s">
        <v>401</v>
      </c>
      <c r="B158" t="s">
        <v>23</v>
      </c>
      <c r="C158" s="147">
        <v>43402</v>
      </c>
      <c r="D158" t="s">
        <v>382</v>
      </c>
      <c r="E158">
        <v>986.57</v>
      </c>
      <c r="F158" t="s">
        <v>330</v>
      </c>
      <c r="G158" t="s">
        <v>383</v>
      </c>
      <c r="H158">
        <v>181025160005</v>
      </c>
      <c r="I158" t="str">
        <f>CashIntraTable[Portfolio]&amp;VALUE(CashIntraTable[Cash Date])&amp;CashIntraTable[Detail]</f>
        <v>SCBENERGYFUND434021.2. Switch-in</v>
      </c>
    </row>
    <row r="159" spans="1:9" x14ac:dyDescent="0.2">
      <c r="A159" t="s">
        <v>401</v>
      </c>
      <c r="B159" t="s">
        <v>23</v>
      </c>
      <c r="C159" s="147">
        <v>43403</v>
      </c>
      <c r="D159" t="s">
        <v>382</v>
      </c>
      <c r="E159">
        <v>70893.11</v>
      </c>
      <c r="F159" t="s">
        <v>330</v>
      </c>
      <c r="G159" t="s">
        <v>383</v>
      </c>
      <c r="H159">
        <v>181025160005</v>
      </c>
      <c r="I159" t="str">
        <f>CashIntraTable[Portfolio]&amp;VALUE(CashIntraTable[Cash Date])&amp;CashIntraTable[Detail]</f>
        <v>SCBENERGYFUND434031.2. Switch-in</v>
      </c>
    </row>
    <row r="160" spans="1:9" x14ac:dyDescent="0.2">
      <c r="A160" t="s">
        <v>401</v>
      </c>
      <c r="B160" t="s">
        <v>23</v>
      </c>
      <c r="C160" s="147">
        <v>43398</v>
      </c>
      <c r="D160" t="s">
        <v>382</v>
      </c>
      <c r="E160">
        <v>-329418.40000000002</v>
      </c>
      <c r="F160" t="s">
        <v>331</v>
      </c>
      <c r="G160" t="s">
        <v>383</v>
      </c>
      <c r="H160">
        <v>181025160005</v>
      </c>
      <c r="I160" t="str">
        <f>CashIntraTable[Portfolio]&amp;VALUE(CashIntraTable[Cash Date])&amp;CashIntraTable[Detail]</f>
        <v>SCBENERGYFUND433982.1. Redemption</v>
      </c>
    </row>
    <row r="161" spans="1:9" x14ac:dyDescent="0.2">
      <c r="A161" t="s">
        <v>401</v>
      </c>
      <c r="B161" t="s">
        <v>23</v>
      </c>
      <c r="C161" s="147">
        <v>43399</v>
      </c>
      <c r="D161" t="s">
        <v>382</v>
      </c>
      <c r="E161">
        <v>-487990.96</v>
      </c>
      <c r="F161" t="s">
        <v>331</v>
      </c>
      <c r="G161" t="s">
        <v>383</v>
      </c>
      <c r="H161">
        <v>181025160005</v>
      </c>
      <c r="I161" t="str">
        <f>CashIntraTable[Portfolio]&amp;VALUE(CashIntraTable[Cash Date])&amp;CashIntraTable[Detail]</f>
        <v>SCBENERGYFUND433992.1. Redemption</v>
      </c>
    </row>
    <row r="162" spans="1:9" x14ac:dyDescent="0.2">
      <c r="A162" t="s">
        <v>401</v>
      </c>
      <c r="B162" t="s">
        <v>23</v>
      </c>
      <c r="C162" s="147">
        <v>43402</v>
      </c>
      <c r="D162" t="s">
        <v>382</v>
      </c>
      <c r="E162">
        <v>-222774.03</v>
      </c>
      <c r="F162" t="s">
        <v>331</v>
      </c>
      <c r="G162" t="s">
        <v>383</v>
      </c>
      <c r="H162">
        <v>181025160005</v>
      </c>
      <c r="I162" t="str">
        <f>CashIntraTable[Portfolio]&amp;VALUE(CashIntraTable[Cash Date])&amp;CashIntraTable[Detail]</f>
        <v>SCBENERGYFUND434022.1. Redemption</v>
      </c>
    </row>
    <row r="163" spans="1:9" x14ac:dyDescent="0.2">
      <c r="A163" t="s">
        <v>401</v>
      </c>
      <c r="B163" t="s">
        <v>23</v>
      </c>
      <c r="C163" s="147">
        <v>43398</v>
      </c>
      <c r="D163" t="s">
        <v>382</v>
      </c>
      <c r="E163">
        <v>-455497.55</v>
      </c>
      <c r="F163" t="s">
        <v>332</v>
      </c>
      <c r="G163" t="s">
        <v>383</v>
      </c>
      <c r="H163">
        <v>181025160005</v>
      </c>
      <c r="I163" t="str">
        <f>CashIntraTable[Portfolio]&amp;VALUE(CashIntraTable[Cash Date])&amp;CashIntraTable[Detail]</f>
        <v>SCBENERGYFUND433982.2. Switch-out</v>
      </c>
    </row>
    <row r="164" spans="1:9" x14ac:dyDescent="0.2">
      <c r="A164" t="s">
        <v>401</v>
      </c>
      <c r="B164" t="s">
        <v>23</v>
      </c>
      <c r="C164" s="147">
        <v>43399</v>
      </c>
      <c r="D164" t="s">
        <v>382</v>
      </c>
      <c r="E164">
        <v>-1824339.42</v>
      </c>
      <c r="F164" t="s">
        <v>332</v>
      </c>
      <c r="G164" t="s">
        <v>383</v>
      </c>
      <c r="H164">
        <v>181025160005</v>
      </c>
      <c r="I164" t="str">
        <f>CashIntraTable[Portfolio]&amp;VALUE(CashIntraTable[Cash Date])&amp;CashIntraTable[Detail]</f>
        <v>SCBENERGYFUND433992.2. Switch-out</v>
      </c>
    </row>
    <row r="165" spans="1:9" x14ac:dyDescent="0.2">
      <c r="A165" t="s">
        <v>401</v>
      </c>
      <c r="B165" t="s">
        <v>23</v>
      </c>
      <c r="C165" s="147">
        <v>43402</v>
      </c>
      <c r="D165" t="s">
        <v>382</v>
      </c>
      <c r="E165">
        <v>-24769.69</v>
      </c>
      <c r="F165" t="s">
        <v>332</v>
      </c>
      <c r="G165" t="s">
        <v>383</v>
      </c>
      <c r="H165">
        <v>181025160005</v>
      </c>
      <c r="I165" t="str">
        <f>CashIntraTable[Portfolio]&amp;VALUE(CashIntraTable[Cash Date])&amp;CashIntraTable[Detail]</f>
        <v>SCBENERGYFUND434022.2. Switch-out</v>
      </c>
    </row>
    <row r="166" spans="1:9" x14ac:dyDescent="0.2">
      <c r="A166" t="s">
        <v>402</v>
      </c>
      <c r="B166" t="s">
        <v>23</v>
      </c>
      <c r="C166" s="147">
        <v>43398</v>
      </c>
      <c r="D166" t="s">
        <v>382</v>
      </c>
      <c r="E166">
        <v>569000</v>
      </c>
      <c r="F166" t="s">
        <v>329</v>
      </c>
      <c r="G166" t="s">
        <v>383</v>
      </c>
      <c r="H166">
        <v>181025160005</v>
      </c>
      <c r="I166" t="str">
        <f>CashIntraTable[Portfolio]&amp;VALUE(CashIntraTable[Cash Date])&amp;CashIntraTable[Detail]</f>
        <v>SCBEUEQ433981.1. Subscription</v>
      </c>
    </row>
    <row r="167" spans="1:9" x14ac:dyDescent="0.2">
      <c r="A167" t="s">
        <v>402</v>
      </c>
      <c r="B167" t="s">
        <v>23</v>
      </c>
      <c r="C167" s="147">
        <v>43399</v>
      </c>
      <c r="D167" t="s">
        <v>382</v>
      </c>
      <c r="E167">
        <v>76804</v>
      </c>
      <c r="F167" t="s">
        <v>329</v>
      </c>
      <c r="G167" t="s">
        <v>383</v>
      </c>
      <c r="H167">
        <v>181025160005</v>
      </c>
      <c r="I167" t="str">
        <f>CashIntraTable[Portfolio]&amp;VALUE(CashIntraTable[Cash Date])&amp;CashIntraTable[Detail]</f>
        <v>SCBEUEQ433991.1. Subscription</v>
      </c>
    </row>
    <row r="168" spans="1:9" x14ac:dyDescent="0.2">
      <c r="A168" t="s">
        <v>402</v>
      </c>
      <c r="B168" t="s">
        <v>23</v>
      </c>
      <c r="C168" s="147">
        <v>43398</v>
      </c>
      <c r="D168" t="s">
        <v>382</v>
      </c>
      <c r="E168">
        <v>180000</v>
      </c>
      <c r="F168" t="s">
        <v>330</v>
      </c>
      <c r="G168" t="s">
        <v>383</v>
      </c>
      <c r="H168">
        <v>181025160005</v>
      </c>
      <c r="I168" t="str">
        <f>CashIntraTable[Portfolio]&amp;VALUE(CashIntraTable[Cash Date])&amp;CashIntraTable[Detail]</f>
        <v>SCBEUEQ433981.2. Switch-in</v>
      </c>
    </row>
    <row r="169" spans="1:9" x14ac:dyDescent="0.2">
      <c r="A169" t="s">
        <v>402</v>
      </c>
      <c r="B169" t="s">
        <v>23</v>
      </c>
      <c r="C169" s="147">
        <v>43399</v>
      </c>
      <c r="D169" t="s">
        <v>382</v>
      </c>
      <c r="E169">
        <v>41302.26</v>
      </c>
      <c r="F169" t="s">
        <v>330</v>
      </c>
      <c r="G169" t="s">
        <v>383</v>
      </c>
      <c r="H169">
        <v>181025160005</v>
      </c>
      <c r="I169" t="str">
        <f>CashIntraTable[Portfolio]&amp;VALUE(CashIntraTable[Cash Date])&amp;CashIntraTable[Detail]</f>
        <v>SCBEUEQ433991.2. Switch-in</v>
      </c>
    </row>
    <row r="170" spans="1:9" x14ac:dyDescent="0.2">
      <c r="A170" t="s">
        <v>402</v>
      </c>
      <c r="B170" t="s">
        <v>23</v>
      </c>
      <c r="C170" s="147">
        <v>43403</v>
      </c>
      <c r="D170" t="s">
        <v>382</v>
      </c>
      <c r="E170">
        <v>4675.37</v>
      </c>
      <c r="F170" t="s">
        <v>330</v>
      </c>
      <c r="G170" t="s">
        <v>383</v>
      </c>
      <c r="H170">
        <v>181025160005</v>
      </c>
      <c r="I170" t="str">
        <f>CashIntraTable[Portfolio]&amp;VALUE(CashIntraTable[Cash Date])&amp;CashIntraTable[Detail]</f>
        <v>SCBEUEQ434031.2. Switch-in</v>
      </c>
    </row>
    <row r="171" spans="1:9" x14ac:dyDescent="0.2">
      <c r="A171" t="s">
        <v>402</v>
      </c>
      <c r="B171" t="s">
        <v>23</v>
      </c>
      <c r="C171" s="147">
        <v>43399</v>
      </c>
      <c r="D171" t="s">
        <v>382</v>
      </c>
      <c r="E171">
        <v>-698204.33</v>
      </c>
      <c r="F171" t="s">
        <v>331</v>
      </c>
      <c r="G171" t="s">
        <v>383</v>
      </c>
      <c r="H171">
        <v>181025160005</v>
      </c>
      <c r="I171" t="str">
        <f>CashIntraTable[Portfolio]&amp;VALUE(CashIntraTable[Cash Date])&amp;CashIntraTable[Detail]</f>
        <v>SCBEUEQ433992.1. Redemption</v>
      </c>
    </row>
    <row r="172" spans="1:9" x14ac:dyDescent="0.2">
      <c r="A172" t="s">
        <v>402</v>
      </c>
      <c r="B172" t="s">
        <v>23</v>
      </c>
      <c r="C172" s="147">
        <v>43402</v>
      </c>
      <c r="D172" t="s">
        <v>382</v>
      </c>
      <c r="E172">
        <v>-2000</v>
      </c>
      <c r="F172" t="s">
        <v>331</v>
      </c>
      <c r="G172" t="s">
        <v>383</v>
      </c>
      <c r="H172">
        <v>181025160005</v>
      </c>
      <c r="I172" t="str">
        <f>CashIntraTable[Portfolio]&amp;VALUE(CashIntraTable[Cash Date])&amp;CashIntraTable[Detail]</f>
        <v>SCBEUEQ434022.1. Redemption</v>
      </c>
    </row>
    <row r="173" spans="1:9" x14ac:dyDescent="0.2">
      <c r="A173" t="s">
        <v>402</v>
      </c>
      <c r="B173" t="s">
        <v>23</v>
      </c>
      <c r="C173" s="147">
        <v>43398</v>
      </c>
      <c r="D173" t="s">
        <v>382</v>
      </c>
      <c r="E173">
        <v>-96563.39</v>
      </c>
      <c r="F173" t="s">
        <v>332</v>
      </c>
      <c r="G173" t="s">
        <v>383</v>
      </c>
      <c r="H173">
        <v>181025160005</v>
      </c>
      <c r="I173" t="str">
        <f>CashIntraTable[Portfolio]&amp;VALUE(CashIntraTable[Cash Date])&amp;CashIntraTable[Detail]</f>
        <v>SCBEUEQ433982.2. Switch-out</v>
      </c>
    </row>
    <row r="174" spans="1:9" x14ac:dyDescent="0.2">
      <c r="A174" t="s">
        <v>402</v>
      </c>
      <c r="B174" t="s">
        <v>23</v>
      </c>
      <c r="C174" s="147">
        <v>43402</v>
      </c>
      <c r="D174" t="s">
        <v>382</v>
      </c>
      <c r="E174">
        <v>-9311.67</v>
      </c>
      <c r="F174" t="s">
        <v>332</v>
      </c>
      <c r="G174" t="s">
        <v>383</v>
      </c>
      <c r="H174">
        <v>181025160005</v>
      </c>
      <c r="I174" t="str">
        <f>CashIntraTable[Portfolio]&amp;VALUE(CashIntraTable[Cash Date])&amp;CashIntraTable[Detail]</f>
        <v>SCBEUEQ434022.2. Switch-out</v>
      </c>
    </row>
    <row r="175" spans="1:9" x14ac:dyDescent="0.2">
      <c r="A175" t="s">
        <v>403</v>
      </c>
      <c r="B175" t="s">
        <v>23</v>
      </c>
      <c r="C175" s="147">
        <v>43398</v>
      </c>
      <c r="D175" t="s">
        <v>382</v>
      </c>
      <c r="E175">
        <v>37000</v>
      </c>
      <c r="F175" t="s">
        <v>329</v>
      </c>
      <c r="G175" t="s">
        <v>383</v>
      </c>
      <c r="H175">
        <v>181025160005</v>
      </c>
      <c r="I175" t="str">
        <f>CashIntraTable[Portfolio]&amp;VALUE(CashIntraTable[Cash Date])&amp;CashIntraTable[Detail]</f>
        <v>SCBEUSM433981.1. Subscription</v>
      </c>
    </row>
    <row r="176" spans="1:9" x14ac:dyDescent="0.2">
      <c r="A176" t="s">
        <v>403</v>
      </c>
      <c r="B176" t="s">
        <v>23</v>
      </c>
      <c r="C176" s="147">
        <v>43399</v>
      </c>
      <c r="D176" t="s">
        <v>382</v>
      </c>
      <c r="E176">
        <v>103500</v>
      </c>
      <c r="F176" t="s">
        <v>329</v>
      </c>
      <c r="G176" t="s">
        <v>383</v>
      </c>
      <c r="H176">
        <v>181025160005</v>
      </c>
      <c r="I176" t="str">
        <f>CashIntraTable[Portfolio]&amp;VALUE(CashIntraTable[Cash Date])&amp;CashIntraTable[Detail]</f>
        <v>SCBEUSM433991.1. Subscription</v>
      </c>
    </row>
    <row r="177" spans="1:9" x14ac:dyDescent="0.2">
      <c r="A177" t="s">
        <v>403</v>
      </c>
      <c r="B177" t="s">
        <v>23</v>
      </c>
      <c r="C177" s="147">
        <v>43398</v>
      </c>
      <c r="D177" t="s">
        <v>382</v>
      </c>
      <c r="E177">
        <v>2000</v>
      </c>
      <c r="F177" t="s">
        <v>330</v>
      </c>
      <c r="G177" t="s">
        <v>383</v>
      </c>
      <c r="H177">
        <v>181025160005</v>
      </c>
      <c r="I177" t="str">
        <f>CashIntraTable[Portfolio]&amp;VALUE(CashIntraTable[Cash Date])&amp;CashIntraTable[Detail]</f>
        <v>SCBEUSM433981.2. Switch-in</v>
      </c>
    </row>
    <row r="178" spans="1:9" x14ac:dyDescent="0.2">
      <c r="A178" t="s">
        <v>403</v>
      </c>
      <c r="B178" t="s">
        <v>23</v>
      </c>
      <c r="C178" s="147">
        <v>43398</v>
      </c>
      <c r="D178" t="s">
        <v>382</v>
      </c>
      <c r="E178">
        <v>-63533.17</v>
      </c>
      <c r="F178" t="s">
        <v>331</v>
      </c>
      <c r="G178" t="s">
        <v>383</v>
      </c>
      <c r="H178">
        <v>181025160005</v>
      </c>
      <c r="I178" t="str">
        <f>CashIntraTable[Portfolio]&amp;VALUE(CashIntraTable[Cash Date])&amp;CashIntraTable[Detail]</f>
        <v>SCBEUSM433982.1. Redemption</v>
      </c>
    </row>
    <row r="179" spans="1:9" x14ac:dyDescent="0.2">
      <c r="A179" t="s">
        <v>403</v>
      </c>
      <c r="B179" t="s">
        <v>23</v>
      </c>
      <c r="C179" s="147">
        <v>43399</v>
      </c>
      <c r="D179" t="s">
        <v>382</v>
      </c>
      <c r="E179">
        <v>-5383231.6100000003</v>
      </c>
      <c r="F179" t="s">
        <v>331</v>
      </c>
      <c r="G179" t="s">
        <v>383</v>
      </c>
      <c r="H179">
        <v>181025160005</v>
      </c>
      <c r="I179" t="str">
        <f>CashIntraTable[Portfolio]&amp;VALUE(CashIntraTable[Cash Date])&amp;CashIntraTable[Detail]</f>
        <v>SCBEUSM433992.1. Redemption</v>
      </c>
    </row>
    <row r="180" spans="1:9" x14ac:dyDescent="0.2">
      <c r="A180" t="s">
        <v>403</v>
      </c>
      <c r="B180" t="s">
        <v>23</v>
      </c>
      <c r="C180" s="147">
        <v>43402</v>
      </c>
      <c r="D180" t="s">
        <v>382</v>
      </c>
      <c r="E180">
        <v>-90899.21</v>
      </c>
      <c r="F180" t="s">
        <v>331</v>
      </c>
      <c r="G180" t="s">
        <v>383</v>
      </c>
      <c r="H180">
        <v>181025160005</v>
      </c>
      <c r="I180" t="str">
        <f>CashIntraTable[Portfolio]&amp;VALUE(CashIntraTable[Cash Date])&amp;CashIntraTable[Detail]</f>
        <v>SCBEUSM434022.1. Redemption</v>
      </c>
    </row>
    <row r="181" spans="1:9" x14ac:dyDescent="0.2">
      <c r="A181" t="s">
        <v>403</v>
      </c>
      <c r="B181" t="s">
        <v>23</v>
      </c>
      <c r="C181" s="147">
        <v>43403</v>
      </c>
      <c r="D181" t="s">
        <v>382</v>
      </c>
      <c r="E181">
        <v>-1107877.72</v>
      </c>
      <c r="F181" t="s">
        <v>331</v>
      </c>
      <c r="G181" t="s">
        <v>383</v>
      </c>
      <c r="H181">
        <v>181025160005</v>
      </c>
      <c r="I181" t="str">
        <f>CashIntraTable[Portfolio]&amp;VALUE(CashIntraTable[Cash Date])&amp;CashIntraTable[Detail]</f>
        <v>SCBEUSM434032.1. Redemption</v>
      </c>
    </row>
    <row r="182" spans="1:9" x14ac:dyDescent="0.2">
      <c r="A182" t="s">
        <v>403</v>
      </c>
      <c r="B182" t="s">
        <v>23</v>
      </c>
      <c r="C182" s="147">
        <v>43399</v>
      </c>
      <c r="D182" t="s">
        <v>382</v>
      </c>
      <c r="E182">
        <v>-32406000</v>
      </c>
      <c r="F182" t="s">
        <v>332</v>
      </c>
      <c r="G182" t="s">
        <v>383</v>
      </c>
      <c r="H182">
        <v>181025160005</v>
      </c>
      <c r="I182" t="str">
        <f>CashIntraTable[Portfolio]&amp;VALUE(CashIntraTable[Cash Date])&amp;CashIntraTable[Detail]</f>
        <v>SCBEUSM433992.2. Switch-out</v>
      </c>
    </row>
    <row r="183" spans="1:9" x14ac:dyDescent="0.2">
      <c r="A183" t="s">
        <v>1269</v>
      </c>
      <c r="B183" t="s">
        <v>23</v>
      </c>
      <c r="C183" s="147">
        <v>43403</v>
      </c>
      <c r="D183" t="s">
        <v>382</v>
      </c>
      <c r="E183">
        <v>114006000.66</v>
      </c>
      <c r="F183" t="s">
        <v>329</v>
      </c>
      <c r="G183" t="s">
        <v>383</v>
      </c>
      <c r="H183">
        <v>181025160005</v>
      </c>
      <c r="I183" t="str">
        <f>CashIntraTable[Portfolio]&amp;VALUE(CashIntraTable[Cash Date])&amp;CashIntraTable[Detail]</f>
        <v>SCBFF1YK4434031.1. Subscription</v>
      </c>
    </row>
    <row r="184" spans="1:9" x14ac:dyDescent="0.2">
      <c r="A184" t="s">
        <v>1269</v>
      </c>
      <c r="B184" t="s">
        <v>23</v>
      </c>
      <c r="C184" s="147">
        <v>43398</v>
      </c>
      <c r="D184" t="s">
        <v>382</v>
      </c>
      <c r="E184">
        <v>49524775.18</v>
      </c>
      <c r="F184" t="s">
        <v>330</v>
      </c>
      <c r="G184" t="s">
        <v>383</v>
      </c>
      <c r="H184">
        <v>181025160005</v>
      </c>
      <c r="I184" t="str">
        <f>CashIntraTable[Portfolio]&amp;VALUE(CashIntraTable[Cash Date])&amp;CashIntraTable[Detail]</f>
        <v>SCBFF1YK4433981.2. Switch-in</v>
      </c>
    </row>
    <row r="185" spans="1:9" x14ac:dyDescent="0.2">
      <c r="A185" t="s">
        <v>1269</v>
      </c>
      <c r="B185" t="s">
        <v>23</v>
      </c>
      <c r="C185" s="147">
        <v>43399</v>
      </c>
      <c r="D185" t="s">
        <v>382</v>
      </c>
      <c r="E185">
        <v>58218327.450000003</v>
      </c>
      <c r="F185" t="s">
        <v>330</v>
      </c>
      <c r="G185" t="s">
        <v>383</v>
      </c>
      <c r="H185">
        <v>181025160005</v>
      </c>
      <c r="I185" t="str">
        <f>CashIntraTable[Portfolio]&amp;VALUE(CashIntraTable[Cash Date])&amp;CashIntraTable[Detail]</f>
        <v>SCBFF1YK4433991.2. Switch-in</v>
      </c>
    </row>
    <row r="186" spans="1:9" x14ac:dyDescent="0.2">
      <c r="A186" t="s">
        <v>1270</v>
      </c>
      <c r="B186" t="s">
        <v>23</v>
      </c>
      <c r="C186" s="147">
        <v>43403</v>
      </c>
      <c r="D186" t="s">
        <v>382</v>
      </c>
      <c r="E186">
        <v>186765977.53</v>
      </c>
      <c r="F186" t="s">
        <v>329</v>
      </c>
      <c r="G186" t="s">
        <v>383</v>
      </c>
      <c r="H186">
        <v>181025160005</v>
      </c>
      <c r="I186" t="str">
        <f>CashIntraTable[Portfolio]&amp;VALUE(CashIntraTable[Cash Date])&amp;CashIntraTable[Detail]</f>
        <v>SCBFF6MK3434031.1. Subscription</v>
      </c>
    </row>
    <row r="187" spans="1:9" x14ac:dyDescent="0.2">
      <c r="A187" t="s">
        <v>1270</v>
      </c>
      <c r="B187" t="s">
        <v>23</v>
      </c>
      <c r="C187" s="147">
        <v>43403</v>
      </c>
      <c r="D187" t="s">
        <v>382</v>
      </c>
      <c r="E187">
        <v>50150000</v>
      </c>
      <c r="F187" t="s">
        <v>333</v>
      </c>
      <c r="G187" t="s">
        <v>383</v>
      </c>
      <c r="H187">
        <v>181025160005</v>
      </c>
      <c r="I187" t="str">
        <f>CashIntraTable[Portfolio]&amp;VALUE(CashIntraTable[Cash Date])&amp;CashIntraTable[Detail]</f>
        <v>SCBFF6MK3434031.1. Subscription (Chq)</v>
      </c>
    </row>
    <row r="188" spans="1:9" x14ac:dyDescent="0.2">
      <c r="A188" t="s">
        <v>1270</v>
      </c>
      <c r="B188" t="s">
        <v>23</v>
      </c>
      <c r="C188" s="147">
        <v>43398</v>
      </c>
      <c r="D188" t="s">
        <v>382</v>
      </c>
      <c r="E188">
        <v>104073722.7</v>
      </c>
      <c r="F188" t="s">
        <v>330</v>
      </c>
      <c r="G188" t="s">
        <v>383</v>
      </c>
      <c r="H188">
        <v>181025160005</v>
      </c>
      <c r="I188" t="str">
        <f>CashIntraTable[Portfolio]&amp;VALUE(CashIntraTable[Cash Date])&amp;CashIntraTable[Detail]</f>
        <v>SCBFF6MK3433981.2. Switch-in</v>
      </c>
    </row>
    <row r="189" spans="1:9" x14ac:dyDescent="0.2">
      <c r="A189" t="s">
        <v>1270</v>
      </c>
      <c r="B189" t="s">
        <v>23</v>
      </c>
      <c r="C189" s="147">
        <v>43399</v>
      </c>
      <c r="D189" t="s">
        <v>382</v>
      </c>
      <c r="E189">
        <v>70472470.810000002</v>
      </c>
      <c r="F189" t="s">
        <v>330</v>
      </c>
      <c r="G189" t="s">
        <v>383</v>
      </c>
      <c r="H189">
        <v>181025160005</v>
      </c>
      <c r="I189" t="str">
        <f>CashIntraTable[Portfolio]&amp;VALUE(CashIntraTable[Cash Date])&amp;CashIntraTable[Detail]</f>
        <v>SCBFF6MK3433991.2. Switch-in</v>
      </c>
    </row>
    <row r="190" spans="1:9" x14ac:dyDescent="0.2">
      <c r="A190" t="s">
        <v>407</v>
      </c>
      <c r="B190" t="s">
        <v>23</v>
      </c>
      <c r="C190" s="147">
        <v>43399</v>
      </c>
      <c r="D190" t="s">
        <v>382</v>
      </c>
      <c r="E190">
        <v>963.61</v>
      </c>
      <c r="F190" t="s">
        <v>330</v>
      </c>
      <c r="G190" t="s">
        <v>383</v>
      </c>
      <c r="H190">
        <v>181025160005</v>
      </c>
      <c r="I190" t="str">
        <f>CashIntraTable[Portfolio]&amp;VALUE(CashIntraTable[Cash Date])&amp;CashIntraTable[Detail]</f>
        <v>SCBFIN433991.2. Switch-in</v>
      </c>
    </row>
    <row r="191" spans="1:9" x14ac:dyDescent="0.2">
      <c r="A191" t="s">
        <v>407</v>
      </c>
      <c r="B191" t="s">
        <v>23</v>
      </c>
      <c r="C191" s="147">
        <v>43399</v>
      </c>
      <c r="D191" t="s">
        <v>382</v>
      </c>
      <c r="E191">
        <v>-4907086.49</v>
      </c>
      <c r="F191" t="s">
        <v>331</v>
      </c>
      <c r="G191" t="s">
        <v>383</v>
      </c>
      <c r="H191">
        <v>181025160005</v>
      </c>
      <c r="I191" t="str">
        <f>CashIntraTable[Portfolio]&amp;VALUE(CashIntraTable[Cash Date])&amp;CashIntraTable[Detail]</f>
        <v>SCBFIN433992.1. Redemption</v>
      </c>
    </row>
    <row r="192" spans="1:9" x14ac:dyDescent="0.2">
      <c r="A192" t="s">
        <v>407</v>
      </c>
      <c r="B192" t="s">
        <v>23</v>
      </c>
      <c r="C192" s="147">
        <v>43402</v>
      </c>
      <c r="D192" t="s">
        <v>382</v>
      </c>
      <c r="E192">
        <v>-4906102.3499999996</v>
      </c>
      <c r="F192" t="s">
        <v>331</v>
      </c>
      <c r="G192" t="s">
        <v>383</v>
      </c>
      <c r="H192">
        <v>181025160005</v>
      </c>
      <c r="I192" t="str">
        <f>CashIntraTable[Portfolio]&amp;VALUE(CashIntraTable[Cash Date])&amp;CashIntraTable[Detail]</f>
        <v>SCBFIN434022.1. Redemption</v>
      </c>
    </row>
    <row r="193" spans="1:9" x14ac:dyDescent="0.2">
      <c r="A193" t="s">
        <v>407</v>
      </c>
      <c r="B193" t="s">
        <v>23</v>
      </c>
      <c r="C193" s="147">
        <v>43398</v>
      </c>
      <c r="D193" t="s">
        <v>382</v>
      </c>
      <c r="E193">
        <v>-1000000</v>
      </c>
      <c r="F193" t="s">
        <v>332</v>
      </c>
      <c r="G193" t="s">
        <v>383</v>
      </c>
      <c r="H193">
        <v>181025160005</v>
      </c>
      <c r="I193" t="str">
        <f>CashIntraTable[Portfolio]&amp;VALUE(CashIntraTable[Cash Date])&amp;CashIntraTable[Detail]</f>
        <v>SCBFIN433982.2. Switch-out</v>
      </c>
    </row>
    <row r="194" spans="1:9" x14ac:dyDescent="0.2">
      <c r="A194" t="s">
        <v>407</v>
      </c>
      <c r="B194" t="s">
        <v>23</v>
      </c>
      <c r="C194" s="147">
        <v>43402</v>
      </c>
      <c r="D194" t="s">
        <v>382</v>
      </c>
      <c r="E194">
        <v>-4906.1000000000004</v>
      </c>
      <c r="F194" t="s">
        <v>332</v>
      </c>
      <c r="G194" t="s">
        <v>383</v>
      </c>
      <c r="H194">
        <v>181025160005</v>
      </c>
      <c r="I194" t="str">
        <f>CashIntraTable[Portfolio]&amp;VALUE(CashIntraTable[Cash Date])&amp;CashIntraTable[Detail]</f>
        <v>SCBFIN434022.2. Switch-out</v>
      </c>
    </row>
    <row r="195" spans="1:9" x14ac:dyDescent="0.2">
      <c r="A195" t="s">
        <v>334</v>
      </c>
      <c r="B195" t="s">
        <v>23</v>
      </c>
      <c r="C195" s="147">
        <v>43398</v>
      </c>
      <c r="D195" t="s">
        <v>382</v>
      </c>
      <c r="E195">
        <v>2507000</v>
      </c>
      <c r="F195" t="s">
        <v>329</v>
      </c>
      <c r="G195" t="s">
        <v>383</v>
      </c>
      <c r="H195">
        <v>181025160005</v>
      </c>
      <c r="I195" t="str">
        <f>CashIntraTable[Portfolio]&amp;VALUE(CashIntraTable[Cash Date])&amp;CashIntraTable[Detail]</f>
        <v>SCBFIXED433981.1. Subscription</v>
      </c>
    </row>
    <row r="196" spans="1:9" x14ac:dyDescent="0.2">
      <c r="A196" t="s">
        <v>334</v>
      </c>
      <c r="B196" t="s">
        <v>23</v>
      </c>
      <c r="C196" s="147">
        <v>43399</v>
      </c>
      <c r="D196" t="s">
        <v>382</v>
      </c>
      <c r="E196">
        <v>3088000</v>
      </c>
      <c r="F196" t="s">
        <v>329</v>
      </c>
      <c r="G196" t="s">
        <v>383</v>
      </c>
      <c r="H196">
        <v>181025160005</v>
      </c>
      <c r="I196" t="str">
        <f>CashIntraTable[Portfolio]&amp;VALUE(CashIntraTable[Cash Date])&amp;CashIntraTable[Detail]</f>
        <v>SCBFIXED433991.1. Subscription</v>
      </c>
    </row>
    <row r="197" spans="1:9" x14ac:dyDescent="0.2">
      <c r="A197" t="s">
        <v>334</v>
      </c>
      <c r="B197" t="s">
        <v>23</v>
      </c>
      <c r="C197" s="147">
        <v>43398</v>
      </c>
      <c r="D197" t="s">
        <v>382</v>
      </c>
      <c r="E197">
        <v>526321.43000000005</v>
      </c>
      <c r="F197" t="s">
        <v>330</v>
      </c>
      <c r="G197" t="s">
        <v>383</v>
      </c>
      <c r="H197">
        <v>181025160005</v>
      </c>
      <c r="I197" t="str">
        <f>CashIntraTable[Portfolio]&amp;VALUE(CashIntraTable[Cash Date])&amp;CashIntraTable[Detail]</f>
        <v>SCBFIXED433981.2. Switch-in</v>
      </c>
    </row>
    <row r="198" spans="1:9" x14ac:dyDescent="0.2">
      <c r="A198" t="s">
        <v>334</v>
      </c>
      <c r="B198" t="s">
        <v>23</v>
      </c>
      <c r="C198" s="147">
        <v>43399</v>
      </c>
      <c r="D198" t="s">
        <v>382</v>
      </c>
      <c r="E198">
        <v>3932.13</v>
      </c>
      <c r="F198" t="s">
        <v>330</v>
      </c>
      <c r="G198" t="s">
        <v>383</v>
      </c>
      <c r="H198">
        <v>181025160005</v>
      </c>
      <c r="I198" t="str">
        <f>CashIntraTable[Portfolio]&amp;VALUE(CashIntraTable[Cash Date])&amp;CashIntraTable[Detail]</f>
        <v>SCBFIXED433991.2. Switch-in</v>
      </c>
    </row>
    <row r="199" spans="1:9" x14ac:dyDescent="0.2">
      <c r="A199" t="s">
        <v>334</v>
      </c>
      <c r="B199" t="s">
        <v>23</v>
      </c>
      <c r="C199" s="147">
        <v>43402</v>
      </c>
      <c r="D199" t="s">
        <v>382</v>
      </c>
      <c r="E199">
        <v>1901.37</v>
      </c>
      <c r="F199" t="s">
        <v>330</v>
      </c>
      <c r="G199" t="s">
        <v>383</v>
      </c>
      <c r="H199">
        <v>181025160005</v>
      </c>
      <c r="I199" t="str">
        <f>CashIntraTable[Portfolio]&amp;VALUE(CashIntraTable[Cash Date])&amp;CashIntraTable[Detail]</f>
        <v>SCBFIXED434021.2. Switch-in</v>
      </c>
    </row>
    <row r="200" spans="1:9" x14ac:dyDescent="0.2">
      <c r="A200" t="s">
        <v>334</v>
      </c>
      <c r="B200" t="s">
        <v>23</v>
      </c>
      <c r="C200" s="147">
        <v>43398</v>
      </c>
      <c r="D200" t="s">
        <v>382</v>
      </c>
      <c r="E200">
        <v>-1477127.14</v>
      </c>
      <c r="F200" t="s">
        <v>331</v>
      </c>
      <c r="G200" t="s">
        <v>383</v>
      </c>
      <c r="H200">
        <v>181025160005</v>
      </c>
      <c r="I200" t="str">
        <f>CashIntraTable[Portfolio]&amp;VALUE(CashIntraTable[Cash Date])&amp;CashIntraTable[Detail]</f>
        <v>SCBFIXED433982.1. Redemption</v>
      </c>
    </row>
    <row r="201" spans="1:9" x14ac:dyDescent="0.2">
      <c r="A201" t="s">
        <v>334</v>
      </c>
      <c r="B201" t="s">
        <v>23</v>
      </c>
      <c r="C201" s="147">
        <v>43399</v>
      </c>
      <c r="D201" t="s">
        <v>382</v>
      </c>
      <c r="E201">
        <v>-803002.45</v>
      </c>
      <c r="F201" t="s">
        <v>331</v>
      </c>
      <c r="G201" t="s">
        <v>383</v>
      </c>
      <c r="H201">
        <v>181025160005</v>
      </c>
      <c r="I201" t="str">
        <f>CashIntraTable[Portfolio]&amp;VALUE(CashIntraTable[Cash Date])&amp;CashIntraTable[Detail]</f>
        <v>SCBFIXED433992.1. Redemption</v>
      </c>
    </row>
    <row r="202" spans="1:9" x14ac:dyDescent="0.2">
      <c r="A202" t="s">
        <v>334</v>
      </c>
      <c r="B202" t="s">
        <v>23</v>
      </c>
      <c r="C202" s="147">
        <v>43398</v>
      </c>
      <c r="D202" t="s">
        <v>382</v>
      </c>
      <c r="E202">
        <v>-506000.62</v>
      </c>
      <c r="F202" t="s">
        <v>332</v>
      </c>
      <c r="G202" t="s">
        <v>383</v>
      </c>
      <c r="H202">
        <v>181025160005</v>
      </c>
      <c r="I202" t="str">
        <f>CashIntraTable[Portfolio]&amp;VALUE(CashIntraTable[Cash Date])&amp;CashIntraTable[Detail]</f>
        <v>SCBFIXED433982.2. Switch-out</v>
      </c>
    </row>
    <row r="203" spans="1:9" x14ac:dyDescent="0.2">
      <c r="A203" t="s">
        <v>334</v>
      </c>
      <c r="B203" t="s">
        <v>23</v>
      </c>
      <c r="C203" s="147">
        <v>43399</v>
      </c>
      <c r="D203" t="s">
        <v>382</v>
      </c>
      <c r="E203">
        <v>-840000</v>
      </c>
      <c r="F203" t="s">
        <v>332</v>
      </c>
      <c r="G203" t="s">
        <v>383</v>
      </c>
      <c r="H203">
        <v>181025160005</v>
      </c>
      <c r="I203" t="str">
        <f>CashIntraTable[Portfolio]&amp;VALUE(CashIntraTable[Cash Date])&amp;CashIntraTable[Detail]</f>
        <v>SCBFIXED433992.2. Switch-out</v>
      </c>
    </row>
    <row r="204" spans="1:9" x14ac:dyDescent="0.2">
      <c r="A204" t="s">
        <v>408</v>
      </c>
      <c r="B204" t="s">
        <v>23</v>
      </c>
      <c r="C204" s="147">
        <v>43398</v>
      </c>
      <c r="D204" t="s">
        <v>382</v>
      </c>
      <c r="E204">
        <v>30159.64</v>
      </c>
      <c r="F204" t="s">
        <v>329</v>
      </c>
      <c r="G204" t="s">
        <v>383</v>
      </c>
      <c r="H204">
        <v>181025160005</v>
      </c>
      <c r="I204" t="str">
        <f>CashIntraTable[Portfolio]&amp;VALUE(CashIntraTable[Cash Date])&amp;CashIntraTable[Detail]</f>
        <v>SCBFLX433981.1. Subscription</v>
      </c>
    </row>
    <row r="205" spans="1:9" x14ac:dyDescent="0.2">
      <c r="A205" t="s">
        <v>408</v>
      </c>
      <c r="B205" t="s">
        <v>23</v>
      </c>
      <c r="C205" s="147">
        <v>43399</v>
      </c>
      <c r="D205" t="s">
        <v>382</v>
      </c>
      <c r="E205">
        <v>2005000</v>
      </c>
      <c r="F205" t="s">
        <v>329</v>
      </c>
      <c r="G205" t="s">
        <v>383</v>
      </c>
      <c r="H205">
        <v>181025160005</v>
      </c>
      <c r="I205" t="str">
        <f>CashIntraTable[Portfolio]&amp;VALUE(CashIntraTable[Cash Date])&amp;CashIntraTable[Detail]</f>
        <v>SCBFLX433991.1. Subscription</v>
      </c>
    </row>
    <row r="206" spans="1:9" x14ac:dyDescent="0.2">
      <c r="A206" t="s">
        <v>408</v>
      </c>
      <c r="B206" t="s">
        <v>23</v>
      </c>
      <c r="C206" s="147">
        <v>43398</v>
      </c>
      <c r="D206" t="s">
        <v>382</v>
      </c>
      <c r="E206">
        <v>-980.11</v>
      </c>
      <c r="F206" t="s">
        <v>331</v>
      </c>
      <c r="G206" t="s">
        <v>383</v>
      </c>
      <c r="H206">
        <v>181025160005</v>
      </c>
      <c r="I206" t="str">
        <f>CashIntraTable[Portfolio]&amp;VALUE(CashIntraTable[Cash Date])&amp;CashIntraTable[Detail]</f>
        <v>SCBFLX433982.1. Redemption</v>
      </c>
    </row>
    <row r="207" spans="1:9" x14ac:dyDescent="0.2">
      <c r="A207" t="s">
        <v>408</v>
      </c>
      <c r="B207" t="s">
        <v>23</v>
      </c>
      <c r="C207" s="147">
        <v>43402</v>
      </c>
      <c r="D207" t="s">
        <v>382</v>
      </c>
      <c r="E207">
        <v>-149213.28</v>
      </c>
      <c r="F207" t="s">
        <v>331</v>
      </c>
      <c r="G207" t="s">
        <v>383</v>
      </c>
      <c r="H207">
        <v>181025160005</v>
      </c>
      <c r="I207" t="str">
        <f>CashIntraTable[Portfolio]&amp;VALUE(CashIntraTable[Cash Date])&amp;CashIntraTable[Detail]</f>
        <v>SCBFLX434022.1. Redemption</v>
      </c>
    </row>
    <row r="208" spans="1:9" x14ac:dyDescent="0.2">
      <c r="A208" t="s">
        <v>408</v>
      </c>
      <c r="B208" t="s">
        <v>23</v>
      </c>
      <c r="C208" s="147">
        <v>43402</v>
      </c>
      <c r="D208" t="s">
        <v>382</v>
      </c>
      <c r="E208">
        <v>-1885332.8</v>
      </c>
      <c r="F208" t="s">
        <v>332</v>
      </c>
      <c r="G208" t="s">
        <v>383</v>
      </c>
      <c r="H208">
        <v>181025160005</v>
      </c>
      <c r="I208" t="str">
        <f>CashIntraTable[Portfolio]&amp;VALUE(CashIntraTable[Cash Date])&amp;CashIntraTable[Detail]</f>
        <v>SCBFLX434022.2. Switch-out</v>
      </c>
    </row>
    <row r="209" spans="1:9" x14ac:dyDescent="0.2">
      <c r="A209" t="s">
        <v>335</v>
      </c>
      <c r="B209" t="s">
        <v>23</v>
      </c>
      <c r="C209" s="147">
        <v>43398</v>
      </c>
      <c r="D209" t="s">
        <v>382</v>
      </c>
      <c r="E209">
        <v>51323045</v>
      </c>
      <c r="F209" t="s">
        <v>329</v>
      </c>
      <c r="G209" t="s">
        <v>383</v>
      </c>
      <c r="H209">
        <v>181025160005</v>
      </c>
      <c r="I209" t="str">
        <f>CashIntraTable[Portfolio]&amp;VALUE(CashIntraTable[Cash Date])&amp;CashIntraTable[Detail]</f>
        <v>SCBFPFUND433981.1. Subscription</v>
      </c>
    </row>
    <row r="210" spans="1:9" x14ac:dyDescent="0.2">
      <c r="A210" t="s">
        <v>335</v>
      </c>
      <c r="B210" t="s">
        <v>23</v>
      </c>
      <c r="C210" s="147">
        <v>43399</v>
      </c>
      <c r="D210" t="s">
        <v>382</v>
      </c>
      <c r="E210">
        <v>13524420</v>
      </c>
      <c r="F210" t="s">
        <v>329</v>
      </c>
      <c r="G210" t="s">
        <v>383</v>
      </c>
      <c r="H210">
        <v>181025160005</v>
      </c>
      <c r="I210" t="str">
        <f>CashIntraTable[Portfolio]&amp;VALUE(CashIntraTable[Cash Date])&amp;CashIntraTable[Detail]</f>
        <v>SCBFPFUND433991.1. Subscription</v>
      </c>
    </row>
    <row r="211" spans="1:9" x14ac:dyDescent="0.2">
      <c r="A211" t="s">
        <v>335</v>
      </c>
      <c r="B211" t="s">
        <v>23</v>
      </c>
      <c r="C211" s="147">
        <v>43398</v>
      </c>
      <c r="D211" t="s">
        <v>382</v>
      </c>
      <c r="E211">
        <v>324690.78999999998</v>
      </c>
      <c r="F211" t="s">
        <v>330</v>
      </c>
      <c r="G211" t="s">
        <v>383</v>
      </c>
      <c r="H211">
        <v>181025160005</v>
      </c>
      <c r="I211" t="str">
        <f>CashIntraTable[Portfolio]&amp;VALUE(CashIntraTable[Cash Date])&amp;CashIntraTable[Detail]</f>
        <v>SCBFPFUND433981.2. Switch-in</v>
      </c>
    </row>
    <row r="212" spans="1:9" x14ac:dyDescent="0.2">
      <c r="A212" t="s">
        <v>335</v>
      </c>
      <c r="B212" t="s">
        <v>23</v>
      </c>
      <c r="C212" s="147">
        <v>43399</v>
      </c>
      <c r="D212" t="s">
        <v>382</v>
      </c>
      <c r="E212">
        <v>32707253.75</v>
      </c>
      <c r="F212" t="s">
        <v>330</v>
      </c>
      <c r="G212" t="s">
        <v>383</v>
      </c>
      <c r="H212">
        <v>181025160005</v>
      </c>
      <c r="I212" t="str">
        <f>CashIntraTable[Portfolio]&amp;VALUE(CashIntraTable[Cash Date])&amp;CashIntraTable[Detail]</f>
        <v>SCBFPFUND433991.2. Switch-in</v>
      </c>
    </row>
    <row r="213" spans="1:9" x14ac:dyDescent="0.2">
      <c r="A213" t="s">
        <v>335</v>
      </c>
      <c r="B213" t="s">
        <v>23</v>
      </c>
      <c r="C213" s="147">
        <v>43402</v>
      </c>
      <c r="D213" t="s">
        <v>382</v>
      </c>
      <c r="E213">
        <v>246433.04</v>
      </c>
      <c r="F213" t="s">
        <v>330</v>
      </c>
      <c r="G213" t="s">
        <v>383</v>
      </c>
      <c r="H213">
        <v>181025160005</v>
      </c>
      <c r="I213" t="str">
        <f>CashIntraTable[Portfolio]&amp;VALUE(CashIntraTable[Cash Date])&amp;CashIntraTable[Detail]</f>
        <v>SCBFPFUND434021.2. Switch-in</v>
      </c>
    </row>
    <row r="214" spans="1:9" x14ac:dyDescent="0.2">
      <c r="A214" t="s">
        <v>335</v>
      </c>
      <c r="B214" t="s">
        <v>23</v>
      </c>
      <c r="C214" s="147">
        <v>43403</v>
      </c>
      <c r="D214" t="s">
        <v>382</v>
      </c>
      <c r="E214">
        <v>313664.75</v>
      </c>
      <c r="F214" t="s">
        <v>330</v>
      </c>
      <c r="G214" t="s">
        <v>383</v>
      </c>
      <c r="H214">
        <v>181025160005</v>
      </c>
      <c r="I214" t="str">
        <f>CashIntraTable[Portfolio]&amp;VALUE(CashIntraTable[Cash Date])&amp;CashIntraTable[Detail]</f>
        <v>SCBFPFUND434031.2. Switch-in</v>
      </c>
    </row>
    <row r="215" spans="1:9" x14ac:dyDescent="0.2">
      <c r="A215" t="s">
        <v>335</v>
      </c>
      <c r="B215" t="s">
        <v>23</v>
      </c>
      <c r="C215" s="147">
        <v>43398</v>
      </c>
      <c r="D215" t="s">
        <v>382</v>
      </c>
      <c r="E215">
        <v>-62474967.439999998</v>
      </c>
      <c r="F215" t="s">
        <v>331</v>
      </c>
      <c r="G215" t="s">
        <v>383</v>
      </c>
      <c r="H215">
        <v>181025160005</v>
      </c>
      <c r="I215" t="str">
        <f>CashIntraTable[Portfolio]&amp;VALUE(CashIntraTable[Cash Date])&amp;CashIntraTable[Detail]</f>
        <v>SCBFPFUND433982.1. Redemption</v>
      </c>
    </row>
    <row r="216" spans="1:9" x14ac:dyDescent="0.2">
      <c r="A216" t="s">
        <v>335</v>
      </c>
      <c r="B216" t="s">
        <v>23</v>
      </c>
      <c r="C216" s="147">
        <v>43399</v>
      </c>
      <c r="D216" t="s">
        <v>382</v>
      </c>
      <c r="E216">
        <v>-98356089.120000005</v>
      </c>
      <c r="F216" t="s">
        <v>331</v>
      </c>
      <c r="G216" t="s">
        <v>383</v>
      </c>
      <c r="H216">
        <v>181025160005</v>
      </c>
      <c r="I216" t="str">
        <f>CashIntraTable[Portfolio]&amp;VALUE(CashIntraTable[Cash Date])&amp;CashIntraTable[Detail]</f>
        <v>SCBFPFUND433992.1. Redemption</v>
      </c>
    </row>
    <row r="217" spans="1:9" x14ac:dyDescent="0.2">
      <c r="A217" t="s">
        <v>335</v>
      </c>
      <c r="B217" t="s">
        <v>23</v>
      </c>
      <c r="C217" s="147">
        <v>43398</v>
      </c>
      <c r="D217" t="s">
        <v>382</v>
      </c>
      <c r="E217">
        <v>-63164799.850000001</v>
      </c>
      <c r="F217" t="s">
        <v>332</v>
      </c>
      <c r="G217" t="s">
        <v>383</v>
      </c>
      <c r="H217">
        <v>181025160005</v>
      </c>
      <c r="I217" t="str">
        <f>CashIntraTable[Portfolio]&amp;VALUE(CashIntraTable[Cash Date])&amp;CashIntraTable[Detail]</f>
        <v>SCBFPFUND433982.2. Switch-out</v>
      </c>
    </row>
    <row r="218" spans="1:9" x14ac:dyDescent="0.2">
      <c r="A218" t="s">
        <v>335</v>
      </c>
      <c r="B218" t="s">
        <v>23</v>
      </c>
      <c r="C218" s="147">
        <v>43399</v>
      </c>
      <c r="D218" t="s">
        <v>382</v>
      </c>
      <c r="E218">
        <v>-72124068.079999998</v>
      </c>
      <c r="F218" t="s">
        <v>332</v>
      </c>
      <c r="G218" t="s">
        <v>383</v>
      </c>
      <c r="H218">
        <v>181025160005</v>
      </c>
      <c r="I218" t="str">
        <f>CashIntraTable[Portfolio]&amp;VALUE(CashIntraTable[Cash Date])&amp;CashIntraTable[Detail]</f>
        <v>SCBFPFUND433992.2. Switch-out</v>
      </c>
    </row>
    <row r="219" spans="1:9" x14ac:dyDescent="0.2">
      <c r="A219" t="s">
        <v>409</v>
      </c>
      <c r="B219" t="s">
        <v>23</v>
      </c>
      <c r="C219" s="147">
        <v>43398</v>
      </c>
      <c r="D219" t="s">
        <v>382</v>
      </c>
      <c r="E219">
        <v>8042.59</v>
      </c>
      <c r="F219" t="s">
        <v>329</v>
      </c>
      <c r="G219" t="s">
        <v>383</v>
      </c>
      <c r="H219">
        <v>181025160005</v>
      </c>
      <c r="I219" t="str">
        <f>CashIntraTable[Portfolio]&amp;VALUE(CashIntraTable[Cash Date])&amp;CashIntraTable[Detail]</f>
        <v>SCBFST433981.1. Subscription</v>
      </c>
    </row>
    <row r="220" spans="1:9" x14ac:dyDescent="0.2">
      <c r="A220" t="s">
        <v>409</v>
      </c>
      <c r="B220" t="s">
        <v>23</v>
      </c>
      <c r="C220" s="147">
        <v>43399</v>
      </c>
      <c r="D220" t="s">
        <v>382</v>
      </c>
      <c r="E220">
        <v>565000</v>
      </c>
      <c r="F220" t="s">
        <v>329</v>
      </c>
      <c r="G220" t="s">
        <v>383</v>
      </c>
      <c r="H220">
        <v>181025160005</v>
      </c>
      <c r="I220" t="str">
        <f>CashIntraTable[Portfolio]&amp;VALUE(CashIntraTable[Cash Date])&amp;CashIntraTable[Detail]</f>
        <v>SCBFST433991.1. Subscription</v>
      </c>
    </row>
    <row r="221" spans="1:9" x14ac:dyDescent="0.2">
      <c r="A221" t="s">
        <v>409</v>
      </c>
      <c r="B221" t="s">
        <v>23</v>
      </c>
      <c r="C221" s="147">
        <v>43398</v>
      </c>
      <c r="D221" t="s">
        <v>382</v>
      </c>
      <c r="E221">
        <v>3000</v>
      </c>
      <c r="F221" t="s">
        <v>330</v>
      </c>
      <c r="G221" t="s">
        <v>383</v>
      </c>
      <c r="H221">
        <v>181025160005</v>
      </c>
      <c r="I221" t="str">
        <f>CashIntraTable[Portfolio]&amp;VALUE(CashIntraTable[Cash Date])&amp;CashIntraTable[Detail]</f>
        <v>SCBFST433981.2. Switch-in</v>
      </c>
    </row>
    <row r="222" spans="1:9" x14ac:dyDescent="0.2">
      <c r="A222" t="s">
        <v>409</v>
      </c>
      <c r="B222" t="s">
        <v>23</v>
      </c>
      <c r="C222" s="147">
        <v>43402</v>
      </c>
      <c r="D222" t="s">
        <v>382</v>
      </c>
      <c r="E222">
        <v>4517.1899999999996</v>
      </c>
      <c r="F222" t="s">
        <v>330</v>
      </c>
      <c r="G222" t="s">
        <v>383</v>
      </c>
      <c r="H222">
        <v>181025160005</v>
      </c>
      <c r="I222" t="str">
        <f>CashIntraTable[Portfolio]&amp;VALUE(CashIntraTable[Cash Date])&amp;CashIntraTable[Detail]</f>
        <v>SCBFST434021.2. Switch-in</v>
      </c>
    </row>
    <row r="223" spans="1:9" x14ac:dyDescent="0.2">
      <c r="A223" t="s">
        <v>409</v>
      </c>
      <c r="B223" t="s">
        <v>23</v>
      </c>
      <c r="C223" s="147">
        <v>43398</v>
      </c>
      <c r="D223" t="s">
        <v>382</v>
      </c>
      <c r="E223">
        <v>-19705.95</v>
      </c>
      <c r="F223" t="s">
        <v>331</v>
      </c>
      <c r="G223" t="s">
        <v>383</v>
      </c>
      <c r="H223">
        <v>181025160005</v>
      </c>
      <c r="I223" t="str">
        <f>CashIntraTable[Portfolio]&amp;VALUE(CashIntraTable[Cash Date])&amp;CashIntraTable[Detail]</f>
        <v>SCBFST433982.1. Redemption</v>
      </c>
    </row>
    <row r="224" spans="1:9" x14ac:dyDescent="0.2">
      <c r="A224" t="s">
        <v>409</v>
      </c>
      <c r="B224" t="s">
        <v>23</v>
      </c>
      <c r="C224" s="147">
        <v>43403</v>
      </c>
      <c r="D224" t="s">
        <v>382</v>
      </c>
      <c r="E224">
        <v>-1000</v>
      </c>
      <c r="F224" t="s">
        <v>331</v>
      </c>
      <c r="G224" t="s">
        <v>383</v>
      </c>
      <c r="H224">
        <v>181025160005</v>
      </c>
      <c r="I224" t="str">
        <f>CashIntraTable[Portfolio]&amp;VALUE(CashIntraTable[Cash Date])&amp;CashIntraTable[Detail]</f>
        <v>SCBFST434032.1. Redemption</v>
      </c>
    </row>
    <row r="225" spans="1:9" x14ac:dyDescent="0.2">
      <c r="A225" t="s">
        <v>409</v>
      </c>
      <c r="B225" t="s">
        <v>23</v>
      </c>
      <c r="C225" s="147">
        <v>43403</v>
      </c>
      <c r="D225" t="s">
        <v>382</v>
      </c>
      <c r="E225">
        <v>-2008584.88</v>
      </c>
      <c r="F225" t="s">
        <v>332</v>
      </c>
      <c r="G225" t="s">
        <v>383</v>
      </c>
      <c r="H225">
        <v>181025160005</v>
      </c>
      <c r="I225" t="str">
        <f>CashIntraTable[Portfolio]&amp;VALUE(CashIntraTable[Cash Date])&amp;CashIntraTable[Detail]</f>
        <v>SCBFST434032.2. Switch-out</v>
      </c>
    </row>
    <row r="226" spans="1:9" x14ac:dyDescent="0.2">
      <c r="A226" t="s">
        <v>410</v>
      </c>
      <c r="B226" t="s">
        <v>23</v>
      </c>
      <c r="C226" s="147">
        <v>43398</v>
      </c>
      <c r="D226" t="s">
        <v>382</v>
      </c>
      <c r="E226">
        <v>61000</v>
      </c>
      <c r="F226" t="s">
        <v>329</v>
      </c>
      <c r="G226" t="s">
        <v>383</v>
      </c>
      <c r="H226">
        <v>181025160005</v>
      </c>
      <c r="I226" t="str">
        <f>CashIntraTable[Portfolio]&amp;VALUE(CashIntraTable[Cash Date])&amp;CashIntraTable[Detail]</f>
        <v>SCBGEQFUND433981.1. Subscription</v>
      </c>
    </row>
    <row r="227" spans="1:9" x14ac:dyDescent="0.2">
      <c r="A227" t="s">
        <v>410</v>
      </c>
      <c r="B227" t="s">
        <v>23</v>
      </c>
      <c r="C227" s="147">
        <v>43399</v>
      </c>
      <c r="D227" t="s">
        <v>382</v>
      </c>
      <c r="E227">
        <v>40000</v>
      </c>
      <c r="F227" t="s">
        <v>329</v>
      </c>
      <c r="G227" t="s">
        <v>383</v>
      </c>
      <c r="H227">
        <v>181025160005</v>
      </c>
      <c r="I227" t="str">
        <f>CashIntraTable[Portfolio]&amp;VALUE(CashIntraTable[Cash Date])&amp;CashIntraTable[Detail]</f>
        <v>SCBGEQFUND433991.1. Subscription</v>
      </c>
    </row>
    <row r="228" spans="1:9" x14ac:dyDescent="0.2">
      <c r="A228" t="s">
        <v>410</v>
      </c>
      <c r="B228" t="s">
        <v>23</v>
      </c>
      <c r="C228" s="147">
        <v>43398</v>
      </c>
      <c r="D228" t="s">
        <v>382</v>
      </c>
      <c r="E228">
        <v>25365365.219999999</v>
      </c>
      <c r="F228" t="s">
        <v>330</v>
      </c>
      <c r="G228" t="s">
        <v>383</v>
      </c>
      <c r="H228">
        <v>181025160005</v>
      </c>
      <c r="I228" t="str">
        <f>CashIntraTable[Portfolio]&amp;VALUE(CashIntraTable[Cash Date])&amp;CashIntraTable[Detail]</f>
        <v>SCBGEQFUND433981.2. Switch-in</v>
      </c>
    </row>
    <row r="229" spans="1:9" x14ac:dyDescent="0.2">
      <c r="A229" t="s">
        <v>410</v>
      </c>
      <c r="B229" t="s">
        <v>23</v>
      </c>
      <c r="C229" s="147">
        <v>43399</v>
      </c>
      <c r="D229" t="s">
        <v>382</v>
      </c>
      <c r="E229">
        <v>250759.11</v>
      </c>
      <c r="F229" t="s">
        <v>330</v>
      </c>
      <c r="G229" t="s">
        <v>383</v>
      </c>
      <c r="H229">
        <v>181025160005</v>
      </c>
      <c r="I229" t="str">
        <f>CashIntraTable[Portfolio]&amp;VALUE(CashIntraTable[Cash Date])&amp;CashIntraTable[Detail]</f>
        <v>SCBGEQFUND433991.2. Switch-in</v>
      </c>
    </row>
    <row r="230" spans="1:9" x14ac:dyDescent="0.2">
      <c r="A230" t="s">
        <v>410</v>
      </c>
      <c r="B230" t="s">
        <v>23</v>
      </c>
      <c r="C230" s="147">
        <v>43402</v>
      </c>
      <c r="D230" t="s">
        <v>382</v>
      </c>
      <c r="E230">
        <v>10000</v>
      </c>
      <c r="F230" t="s">
        <v>330</v>
      </c>
      <c r="G230" t="s">
        <v>383</v>
      </c>
      <c r="H230">
        <v>181025160005</v>
      </c>
      <c r="I230" t="str">
        <f>CashIntraTable[Portfolio]&amp;VALUE(CashIntraTable[Cash Date])&amp;CashIntraTable[Detail]</f>
        <v>SCBGEQFUND434021.2. Switch-in</v>
      </c>
    </row>
    <row r="231" spans="1:9" x14ac:dyDescent="0.2">
      <c r="A231" t="s">
        <v>410</v>
      </c>
      <c r="B231" t="s">
        <v>23</v>
      </c>
      <c r="C231" s="147">
        <v>43399</v>
      </c>
      <c r="D231" t="s">
        <v>382</v>
      </c>
      <c r="E231">
        <v>-1927.63</v>
      </c>
      <c r="F231" t="s">
        <v>331</v>
      </c>
      <c r="G231" t="s">
        <v>383</v>
      </c>
      <c r="H231">
        <v>181025160005</v>
      </c>
      <c r="I231" t="str">
        <f>CashIntraTable[Portfolio]&amp;VALUE(CashIntraTable[Cash Date])&amp;CashIntraTable[Detail]</f>
        <v>SCBGEQFUND433992.1. Redemption</v>
      </c>
    </row>
    <row r="232" spans="1:9" x14ac:dyDescent="0.2">
      <c r="A232" t="s">
        <v>410</v>
      </c>
      <c r="B232" t="s">
        <v>23</v>
      </c>
      <c r="C232" s="147">
        <v>43403</v>
      </c>
      <c r="D232" t="s">
        <v>382</v>
      </c>
      <c r="E232">
        <v>-3894.14</v>
      </c>
      <c r="F232" t="s">
        <v>331</v>
      </c>
      <c r="G232" t="s">
        <v>383</v>
      </c>
      <c r="H232">
        <v>181025160005</v>
      </c>
      <c r="I232" t="str">
        <f>CashIntraTable[Portfolio]&amp;VALUE(CashIntraTable[Cash Date])&amp;CashIntraTable[Detail]</f>
        <v>SCBGEQFUND434032.1. Redemption</v>
      </c>
    </row>
    <row r="233" spans="1:9" x14ac:dyDescent="0.2">
      <c r="A233" t="s">
        <v>410</v>
      </c>
      <c r="B233" t="s">
        <v>23</v>
      </c>
      <c r="C233" s="147">
        <v>43404</v>
      </c>
      <c r="D233" t="s">
        <v>382</v>
      </c>
      <c r="E233">
        <v>-11175654.84</v>
      </c>
      <c r="F233" t="s">
        <v>331</v>
      </c>
      <c r="G233" t="s">
        <v>383</v>
      </c>
      <c r="H233">
        <v>181025160005</v>
      </c>
      <c r="I233" t="str">
        <f>CashIntraTable[Portfolio]&amp;VALUE(CashIntraTable[Cash Date])&amp;CashIntraTable[Detail]</f>
        <v>SCBGEQFUND434042.1. Redemption</v>
      </c>
    </row>
    <row r="234" spans="1:9" x14ac:dyDescent="0.2">
      <c r="A234" t="s">
        <v>410</v>
      </c>
      <c r="B234" t="s">
        <v>23</v>
      </c>
      <c r="C234" s="147">
        <v>43405</v>
      </c>
      <c r="D234" t="s">
        <v>382</v>
      </c>
      <c r="E234">
        <v>-97893.84</v>
      </c>
      <c r="F234" t="s">
        <v>331</v>
      </c>
      <c r="G234" t="s">
        <v>383</v>
      </c>
      <c r="H234">
        <v>181025160005</v>
      </c>
      <c r="I234" t="str">
        <f>CashIntraTable[Portfolio]&amp;VALUE(CashIntraTable[Cash Date])&amp;CashIntraTable[Detail]</f>
        <v>SCBGEQFUND434052.1. Redemption</v>
      </c>
    </row>
    <row r="235" spans="1:9" x14ac:dyDescent="0.2">
      <c r="A235" t="s">
        <v>410</v>
      </c>
      <c r="B235" t="s">
        <v>23</v>
      </c>
      <c r="C235" s="147">
        <v>43406</v>
      </c>
      <c r="D235" t="s">
        <v>382</v>
      </c>
      <c r="E235">
        <v>-149750.44</v>
      </c>
      <c r="F235" t="s">
        <v>331</v>
      </c>
      <c r="G235" t="s">
        <v>383</v>
      </c>
      <c r="H235">
        <v>181025160005</v>
      </c>
      <c r="I235" t="str">
        <f>CashIntraTable[Portfolio]&amp;VALUE(CashIntraTable[Cash Date])&amp;CashIntraTable[Detail]</f>
        <v>SCBGEQFUND434062.1. Redemption</v>
      </c>
    </row>
    <row r="236" spans="1:9" x14ac:dyDescent="0.2">
      <c r="A236" t="s">
        <v>410</v>
      </c>
      <c r="B236" t="s">
        <v>23</v>
      </c>
      <c r="C236" s="147">
        <v>43398</v>
      </c>
      <c r="D236" t="s">
        <v>382</v>
      </c>
      <c r="E236">
        <v>-24307.73</v>
      </c>
      <c r="F236" t="s">
        <v>332</v>
      </c>
      <c r="G236" t="s">
        <v>383</v>
      </c>
      <c r="H236">
        <v>181025160005</v>
      </c>
      <c r="I236" t="str">
        <f>CashIntraTable[Portfolio]&amp;VALUE(CashIntraTable[Cash Date])&amp;CashIntraTable[Detail]</f>
        <v>SCBGEQFUND433982.2. Switch-out</v>
      </c>
    </row>
    <row r="237" spans="1:9" x14ac:dyDescent="0.2">
      <c r="A237" t="s">
        <v>410</v>
      </c>
      <c r="B237" t="s">
        <v>23</v>
      </c>
      <c r="C237" s="147">
        <v>43399</v>
      </c>
      <c r="D237" t="s">
        <v>382</v>
      </c>
      <c r="E237">
        <v>-1901.56</v>
      </c>
      <c r="F237" t="s">
        <v>332</v>
      </c>
      <c r="G237" t="s">
        <v>383</v>
      </c>
      <c r="H237">
        <v>181025160005</v>
      </c>
      <c r="I237" t="str">
        <f>CashIntraTable[Portfolio]&amp;VALUE(CashIntraTable[Cash Date])&amp;CashIntraTable[Detail]</f>
        <v>SCBGEQFUND433992.2. Switch-out</v>
      </c>
    </row>
    <row r="238" spans="1:9" x14ac:dyDescent="0.2">
      <c r="A238" t="s">
        <v>410</v>
      </c>
      <c r="B238" t="s">
        <v>23</v>
      </c>
      <c r="C238" s="147">
        <v>43404</v>
      </c>
      <c r="D238" t="s">
        <v>382</v>
      </c>
      <c r="E238">
        <v>-1886.34</v>
      </c>
      <c r="F238" t="s">
        <v>332</v>
      </c>
      <c r="G238" t="s">
        <v>383</v>
      </c>
      <c r="H238">
        <v>181025160005</v>
      </c>
      <c r="I238" t="str">
        <f>CashIntraTable[Portfolio]&amp;VALUE(CashIntraTable[Cash Date])&amp;CashIntraTable[Detail]</f>
        <v>SCBGEQFUND434042.2. Switch-out</v>
      </c>
    </row>
    <row r="239" spans="1:9" x14ac:dyDescent="0.2">
      <c r="A239" t="s">
        <v>410</v>
      </c>
      <c r="B239" t="s">
        <v>23</v>
      </c>
      <c r="C239" s="147">
        <v>43406</v>
      </c>
      <c r="D239" t="s">
        <v>382</v>
      </c>
      <c r="E239">
        <v>-18228.3</v>
      </c>
      <c r="F239" t="s">
        <v>332</v>
      </c>
      <c r="G239" t="s">
        <v>383</v>
      </c>
      <c r="H239">
        <v>181025160005</v>
      </c>
      <c r="I239" t="str">
        <f>CashIntraTable[Portfolio]&amp;VALUE(CashIntraTable[Cash Date])&amp;CashIntraTable[Detail]</f>
        <v>SCBGEQFUND434062.2. Switch-out</v>
      </c>
    </row>
    <row r="240" spans="1:9" x14ac:dyDescent="0.2">
      <c r="A240" t="s">
        <v>411</v>
      </c>
      <c r="B240" t="s">
        <v>23</v>
      </c>
      <c r="C240" s="147">
        <v>43398</v>
      </c>
      <c r="D240" t="s">
        <v>382</v>
      </c>
      <c r="E240">
        <v>31000</v>
      </c>
      <c r="F240" t="s">
        <v>329</v>
      </c>
      <c r="G240" t="s">
        <v>383</v>
      </c>
      <c r="H240">
        <v>181025160005</v>
      </c>
      <c r="I240" t="str">
        <f>CashIntraTable[Portfolio]&amp;VALUE(CashIntraTable[Cash Date])&amp;CashIntraTable[Detail]</f>
        <v>SCBGHC433981.1. Subscription</v>
      </c>
    </row>
    <row r="241" spans="1:9" x14ac:dyDescent="0.2">
      <c r="A241" t="s">
        <v>411</v>
      </c>
      <c r="B241" t="s">
        <v>23</v>
      </c>
      <c r="C241" s="147">
        <v>43399</v>
      </c>
      <c r="D241" t="s">
        <v>382</v>
      </c>
      <c r="E241">
        <v>75000</v>
      </c>
      <c r="F241" t="s">
        <v>329</v>
      </c>
      <c r="G241" t="s">
        <v>383</v>
      </c>
      <c r="H241">
        <v>181025160005</v>
      </c>
      <c r="I241" t="str">
        <f>CashIntraTable[Portfolio]&amp;VALUE(CashIntraTable[Cash Date])&amp;CashIntraTable[Detail]</f>
        <v>SCBGHC433991.1. Subscription</v>
      </c>
    </row>
    <row r="242" spans="1:9" x14ac:dyDescent="0.2">
      <c r="A242" t="s">
        <v>411</v>
      </c>
      <c r="B242" t="s">
        <v>23</v>
      </c>
      <c r="C242" s="147">
        <v>43399</v>
      </c>
      <c r="D242" t="s">
        <v>382</v>
      </c>
      <c r="E242">
        <v>60000</v>
      </c>
      <c r="F242" t="s">
        <v>330</v>
      </c>
      <c r="G242" t="s">
        <v>383</v>
      </c>
      <c r="H242">
        <v>181025160005</v>
      </c>
      <c r="I242" t="str">
        <f>CashIntraTable[Portfolio]&amp;VALUE(CashIntraTable[Cash Date])&amp;CashIntraTable[Detail]</f>
        <v>SCBGHC433991.2. Switch-in</v>
      </c>
    </row>
    <row r="243" spans="1:9" x14ac:dyDescent="0.2">
      <c r="A243" t="s">
        <v>411</v>
      </c>
      <c r="B243" t="s">
        <v>23</v>
      </c>
      <c r="C243" s="147">
        <v>43399</v>
      </c>
      <c r="D243" t="s">
        <v>382</v>
      </c>
      <c r="E243">
        <v>-10756.23</v>
      </c>
      <c r="F243" t="s">
        <v>331</v>
      </c>
      <c r="G243" t="s">
        <v>383</v>
      </c>
      <c r="H243">
        <v>181025160005</v>
      </c>
      <c r="I243" t="str">
        <f>CashIntraTable[Portfolio]&amp;VALUE(CashIntraTable[Cash Date])&amp;CashIntraTable[Detail]</f>
        <v>SCBGHC433992.1. Redemption</v>
      </c>
    </row>
    <row r="244" spans="1:9" x14ac:dyDescent="0.2">
      <c r="A244" t="s">
        <v>411</v>
      </c>
      <c r="B244" t="s">
        <v>23</v>
      </c>
      <c r="C244" s="147">
        <v>43402</v>
      </c>
      <c r="D244" t="s">
        <v>382</v>
      </c>
      <c r="E244">
        <v>-7000</v>
      </c>
      <c r="F244" t="s">
        <v>331</v>
      </c>
      <c r="G244" t="s">
        <v>383</v>
      </c>
      <c r="H244">
        <v>181025160005</v>
      </c>
      <c r="I244" t="str">
        <f>CashIntraTable[Portfolio]&amp;VALUE(CashIntraTable[Cash Date])&amp;CashIntraTable[Detail]</f>
        <v>SCBGHC434022.1. Redemption</v>
      </c>
    </row>
    <row r="245" spans="1:9" x14ac:dyDescent="0.2">
      <c r="A245" t="s">
        <v>411</v>
      </c>
      <c r="B245" t="s">
        <v>23</v>
      </c>
      <c r="C245" s="147">
        <v>43403</v>
      </c>
      <c r="D245" t="s">
        <v>382</v>
      </c>
      <c r="E245">
        <v>-515808.1</v>
      </c>
      <c r="F245" t="s">
        <v>331</v>
      </c>
      <c r="G245" t="s">
        <v>383</v>
      </c>
      <c r="H245">
        <v>181025160005</v>
      </c>
      <c r="I245" t="str">
        <f>CashIntraTable[Portfolio]&amp;VALUE(CashIntraTable[Cash Date])&amp;CashIntraTable[Detail]</f>
        <v>SCBGHC434032.1. Redemption</v>
      </c>
    </row>
    <row r="246" spans="1:9" x14ac:dyDescent="0.2">
      <c r="A246" t="s">
        <v>411</v>
      </c>
      <c r="B246" t="s">
        <v>23</v>
      </c>
      <c r="C246" s="147">
        <v>43404</v>
      </c>
      <c r="D246" t="s">
        <v>382</v>
      </c>
      <c r="E246">
        <v>-16272.56</v>
      </c>
      <c r="F246" t="s">
        <v>331</v>
      </c>
      <c r="G246" t="s">
        <v>383</v>
      </c>
      <c r="H246">
        <v>181025160005</v>
      </c>
      <c r="I246" t="str">
        <f>CashIntraTable[Portfolio]&amp;VALUE(CashIntraTable[Cash Date])&amp;CashIntraTable[Detail]</f>
        <v>SCBGHC434042.1. Redemption</v>
      </c>
    </row>
    <row r="247" spans="1:9" x14ac:dyDescent="0.2">
      <c r="A247" t="s">
        <v>411</v>
      </c>
      <c r="B247" t="s">
        <v>23</v>
      </c>
      <c r="C247" s="147">
        <v>43402</v>
      </c>
      <c r="D247" t="s">
        <v>382</v>
      </c>
      <c r="E247">
        <v>-1500000</v>
      </c>
      <c r="F247" t="s">
        <v>332</v>
      </c>
      <c r="G247" t="s">
        <v>383</v>
      </c>
      <c r="H247">
        <v>181025160005</v>
      </c>
      <c r="I247" t="str">
        <f>CashIntraTable[Portfolio]&amp;VALUE(CashIntraTable[Cash Date])&amp;CashIntraTable[Detail]</f>
        <v>SCBGHC434022.2. Switch-out</v>
      </c>
    </row>
    <row r="248" spans="1:9" x14ac:dyDescent="0.2">
      <c r="A248" t="s">
        <v>411</v>
      </c>
      <c r="B248" t="s">
        <v>23</v>
      </c>
      <c r="C248" s="147">
        <v>43404</v>
      </c>
      <c r="D248" t="s">
        <v>382</v>
      </c>
      <c r="E248">
        <v>-122059.74</v>
      </c>
      <c r="F248" t="s">
        <v>332</v>
      </c>
      <c r="G248" t="s">
        <v>383</v>
      </c>
      <c r="H248">
        <v>181025160005</v>
      </c>
      <c r="I248" t="str">
        <f>CashIntraTable[Portfolio]&amp;VALUE(CashIntraTable[Cash Date])&amp;CashIntraTable[Detail]</f>
        <v>SCBGHC434042.2. Switch-out</v>
      </c>
    </row>
    <row r="249" spans="1:9" x14ac:dyDescent="0.2">
      <c r="A249" t="s">
        <v>412</v>
      </c>
      <c r="B249" t="s">
        <v>23</v>
      </c>
      <c r="C249" s="147">
        <v>43398</v>
      </c>
      <c r="D249" t="s">
        <v>382</v>
      </c>
      <c r="E249">
        <v>1000</v>
      </c>
      <c r="F249" t="s">
        <v>329</v>
      </c>
      <c r="G249" t="s">
        <v>383</v>
      </c>
      <c r="H249">
        <v>181025160005</v>
      </c>
      <c r="I249" t="str">
        <f>CashIntraTable[Portfolio]&amp;VALUE(CashIntraTable[Cash Date])&amp;CashIntraTable[Detail]</f>
        <v>SCBGIF433981.1. Subscription</v>
      </c>
    </row>
    <row r="250" spans="1:9" x14ac:dyDescent="0.2">
      <c r="A250" t="s">
        <v>412</v>
      </c>
      <c r="B250" t="s">
        <v>23</v>
      </c>
      <c r="C250" s="147">
        <v>43399</v>
      </c>
      <c r="D250" t="s">
        <v>382</v>
      </c>
      <c r="E250">
        <v>1000</v>
      </c>
      <c r="F250" t="s">
        <v>329</v>
      </c>
      <c r="G250" t="s">
        <v>383</v>
      </c>
      <c r="H250">
        <v>181025160005</v>
      </c>
      <c r="I250" t="str">
        <f>CashIntraTable[Portfolio]&amp;VALUE(CashIntraTable[Cash Date])&amp;CashIntraTable[Detail]</f>
        <v>SCBGIF433991.1. Subscription</v>
      </c>
    </row>
    <row r="251" spans="1:9" x14ac:dyDescent="0.2">
      <c r="A251" t="s">
        <v>412</v>
      </c>
      <c r="B251" t="s">
        <v>23</v>
      </c>
      <c r="C251" s="147">
        <v>43398</v>
      </c>
      <c r="D251" t="s">
        <v>382</v>
      </c>
      <c r="E251">
        <v>-10320.540000000001</v>
      </c>
      <c r="F251" t="s">
        <v>331</v>
      </c>
      <c r="G251" t="s">
        <v>383</v>
      </c>
      <c r="H251">
        <v>181025160005</v>
      </c>
      <c r="I251" t="str">
        <f>CashIntraTable[Portfolio]&amp;VALUE(CashIntraTable[Cash Date])&amp;CashIntraTable[Detail]</f>
        <v>SCBGIF433982.1. Redemption</v>
      </c>
    </row>
    <row r="252" spans="1:9" x14ac:dyDescent="0.2">
      <c r="A252" t="s">
        <v>412</v>
      </c>
      <c r="B252" t="s">
        <v>23</v>
      </c>
      <c r="C252" s="147">
        <v>43402</v>
      </c>
      <c r="D252" t="s">
        <v>382</v>
      </c>
      <c r="E252">
        <v>-194446.2</v>
      </c>
      <c r="F252" t="s">
        <v>331</v>
      </c>
      <c r="G252" t="s">
        <v>383</v>
      </c>
      <c r="H252">
        <v>181025160005</v>
      </c>
      <c r="I252" t="str">
        <f>CashIntraTable[Portfolio]&amp;VALUE(CashIntraTable[Cash Date])&amp;CashIntraTable[Detail]</f>
        <v>SCBGIF434022.1. Redemption</v>
      </c>
    </row>
    <row r="253" spans="1:9" x14ac:dyDescent="0.2">
      <c r="A253" t="s">
        <v>412</v>
      </c>
      <c r="B253" t="s">
        <v>23</v>
      </c>
      <c r="C253" s="147">
        <v>43403</v>
      </c>
      <c r="D253" t="s">
        <v>382</v>
      </c>
      <c r="E253">
        <v>-548873.02</v>
      </c>
      <c r="F253" t="s">
        <v>331</v>
      </c>
      <c r="G253" t="s">
        <v>383</v>
      </c>
      <c r="H253">
        <v>181025160005</v>
      </c>
      <c r="I253" t="str">
        <f>CashIntraTable[Portfolio]&amp;VALUE(CashIntraTable[Cash Date])&amp;CashIntraTable[Detail]</f>
        <v>SCBGIF434032.1. Redemption</v>
      </c>
    </row>
    <row r="254" spans="1:9" x14ac:dyDescent="0.2">
      <c r="A254" t="s">
        <v>412</v>
      </c>
      <c r="B254" t="s">
        <v>23</v>
      </c>
      <c r="C254" s="147">
        <v>43404</v>
      </c>
      <c r="D254" t="s">
        <v>382</v>
      </c>
      <c r="E254">
        <v>-492654.68</v>
      </c>
      <c r="F254" t="s">
        <v>331</v>
      </c>
      <c r="G254" t="s">
        <v>383</v>
      </c>
      <c r="H254">
        <v>181025160005</v>
      </c>
      <c r="I254" t="str">
        <f>CashIntraTable[Portfolio]&amp;VALUE(CashIntraTable[Cash Date])&amp;CashIntraTable[Detail]</f>
        <v>SCBGIF434042.1. Redemption</v>
      </c>
    </row>
    <row r="255" spans="1:9" x14ac:dyDescent="0.2">
      <c r="A255" t="s">
        <v>412</v>
      </c>
      <c r="B255" t="s">
        <v>23</v>
      </c>
      <c r="C255" s="147">
        <v>43398</v>
      </c>
      <c r="D255" t="s">
        <v>382</v>
      </c>
      <c r="E255">
        <v>-14972.23</v>
      </c>
      <c r="F255" t="s">
        <v>332</v>
      </c>
      <c r="G255" t="s">
        <v>383</v>
      </c>
      <c r="H255">
        <v>181025160005</v>
      </c>
      <c r="I255" t="str">
        <f>CashIntraTable[Portfolio]&amp;VALUE(CashIntraTable[Cash Date])&amp;CashIntraTable[Detail]</f>
        <v>SCBGIF433982.2. Switch-out</v>
      </c>
    </row>
    <row r="256" spans="1:9" x14ac:dyDescent="0.2">
      <c r="A256" t="s">
        <v>412</v>
      </c>
      <c r="B256" t="s">
        <v>23</v>
      </c>
      <c r="C256" s="147">
        <v>43402</v>
      </c>
      <c r="D256" t="s">
        <v>382</v>
      </c>
      <c r="E256">
        <v>-32357.279999999999</v>
      </c>
      <c r="F256" t="s">
        <v>332</v>
      </c>
      <c r="G256" t="s">
        <v>383</v>
      </c>
      <c r="H256">
        <v>181025160005</v>
      </c>
      <c r="I256" t="str">
        <f>CashIntraTable[Portfolio]&amp;VALUE(CashIntraTable[Cash Date])&amp;CashIntraTable[Detail]</f>
        <v>SCBGIF434022.2. Switch-out</v>
      </c>
    </row>
    <row r="257" spans="1:9" x14ac:dyDescent="0.2">
      <c r="A257" t="s">
        <v>412</v>
      </c>
      <c r="B257" t="s">
        <v>23</v>
      </c>
      <c r="C257" s="147">
        <v>43404</v>
      </c>
      <c r="D257" t="s">
        <v>382</v>
      </c>
      <c r="E257">
        <v>-97418.559999999998</v>
      </c>
      <c r="F257" t="s">
        <v>332</v>
      </c>
      <c r="G257" t="s">
        <v>383</v>
      </c>
      <c r="H257">
        <v>181025160005</v>
      </c>
      <c r="I257" t="str">
        <f>CashIntraTable[Portfolio]&amp;VALUE(CashIntraTable[Cash Date])&amp;CashIntraTable[Detail]</f>
        <v>SCBGIF434042.2. Switch-out</v>
      </c>
    </row>
    <row r="258" spans="1:9" x14ac:dyDescent="0.2">
      <c r="A258" t="s">
        <v>413</v>
      </c>
      <c r="B258" t="s">
        <v>23</v>
      </c>
      <c r="C258" s="147">
        <v>43398</v>
      </c>
      <c r="D258" t="s">
        <v>382</v>
      </c>
      <c r="E258">
        <v>13000</v>
      </c>
      <c r="F258" t="s">
        <v>329</v>
      </c>
      <c r="G258" t="s">
        <v>383</v>
      </c>
      <c r="H258">
        <v>181025160005</v>
      </c>
      <c r="I258" t="str">
        <f>CashIntraTable[Portfolio]&amp;VALUE(CashIntraTable[Cash Date])&amp;CashIntraTable[Detail]</f>
        <v>SCBGIN433981.1. Subscription</v>
      </c>
    </row>
    <row r="259" spans="1:9" x14ac:dyDescent="0.2">
      <c r="A259" t="s">
        <v>413</v>
      </c>
      <c r="B259" t="s">
        <v>23</v>
      </c>
      <c r="C259" s="147">
        <v>43399</v>
      </c>
      <c r="D259" t="s">
        <v>382</v>
      </c>
      <c r="E259">
        <v>102000</v>
      </c>
      <c r="F259" t="s">
        <v>329</v>
      </c>
      <c r="G259" t="s">
        <v>383</v>
      </c>
      <c r="H259">
        <v>181025160005</v>
      </c>
      <c r="I259" t="str">
        <f>CashIntraTable[Portfolio]&amp;VALUE(CashIntraTable[Cash Date])&amp;CashIntraTable[Detail]</f>
        <v>SCBGIN433991.1. Subscription</v>
      </c>
    </row>
    <row r="260" spans="1:9" x14ac:dyDescent="0.2">
      <c r="A260" t="s">
        <v>413</v>
      </c>
      <c r="B260" t="s">
        <v>23</v>
      </c>
      <c r="C260" s="147">
        <v>43398</v>
      </c>
      <c r="D260" t="s">
        <v>382</v>
      </c>
      <c r="E260">
        <v>-5667747.2199999997</v>
      </c>
      <c r="F260" t="s">
        <v>331</v>
      </c>
      <c r="G260" t="s">
        <v>383</v>
      </c>
      <c r="H260">
        <v>181025160005</v>
      </c>
      <c r="I260" t="str">
        <f>CashIntraTable[Portfolio]&amp;VALUE(CashIntraTable[Cash Date])&amp;CashIntraTable[Detail]</f>
        <v>SCBGIN433982.1. Redemption</v>
      </c>
    </row>
    <row r="261" spans="1:9" x14ac:dyDescent="0.2">
      <c r="A261" t="s">
        <v>413</v>
      </c>
      <c r="B261" t="s">
        <v>23</v>
      </c>
      <c r="C261" s="147">
        <v>43399</v>
      </c>
      <c r="D261" t="s">
        <v>382</v>
      </c>
      <c r="E261">
        <v>-4274250.33</v>
      </c>
      <c r="F261" t="s">
        <v>331</v>
      </c>
      <c r="G261" t="s">
        <v>383</v>
      </c>
      <c r="H261">
        <v>181025160005</v>
      </c>
      <c r="I261" t="str">
        <f>CashIntraTable[Portfolio]&amp;VALUE(CashIntraTable[Cash Date])&amp;CashIntraTable[Detail]</f>
        <v>SCBGIN433992.1. Redemption</v>
      </c>
    </row>
    <row r="262" spans="1:9" x14ac:dyDescent="0.2">
      <c r="A262" t="s">
        <v>413</v>
      </c>
      <c r="B262" t="s">
        <v>23</v>
      </c>
      <c r="C262" s="147">
        <v>43402</v>
      </c>
      <c r="D262" t="s">
        <v>382</v>
      </c>
      <c r="E262">
        <v>-11292998.66</v>
      </c>
      <c r="F262" t="s">
        <v>331</v>
      </c>
      <c r="G262" t="s">
        <v>383</v>
      </c>
      <c r="H262">
        <v>181025160005</v>
      </c>
      <c r="I262" t="str">
        <f>CashIntraTable[Portfolio]&amp;VALUE(CashIntraTable[Cash Date])&amp;CashIntraTable[Detail]</f>
        <v>SCBGIN434022.1. Redemption</v>
      </c>
    </row>
    <row r="263" spans="1:9" x14ac:dyDescent="0.2">
      <c r="A263" t="s">
        <v>413</v>
      </c>
      <c r="B263" t="s">
        <v>23</v>
      </c>
      <c r="C263" s="147">
        <v>43403</v>
      </c>
      <c r="D263" t="s">
        <v>382</v>
      </c>
      <c r="E263">
        <v>-1027302.55</v>
      </c>
      <c r="F263" t="s">
        <v>331</v>
      </c>
      <c r="G263" t="s">
        <v>383</v>
      </c>
      <c r="H263">
        <v>181025160005</v>
      </c>
      <c r="I263" t="str">
        <f>CashIntraTable[Portfolio]&amp;VALUE(CashIntraTable[Cash Date])&amp;CashIntraTable[Detail]</f>
        <v>SCBGIN434032.1. Redemption</v>
      </c>
    </row>
    <row r="264" spans="1:9" x14ac:dyDescent="0.2">
      <c r="A264" t="s">
        <v>413</v>
      </c>
      <c r="B264" t="s">
        <v>23</v>
      </c>
      <c r="C264" s="147">
        <v>43404</v>
      </c>
      <c r="D264" t="s">
        <v>382</v>
      </c>
      <c r="E264">
        <v>-38233171.170000002</v>
      </c>
      <c r="F264" t="s">
        <v>331</v>
      </c>
      <c r="G264" t="s">
        <v>383</v>
      </c>
      <c r="H264">
        <v>181025160005</v>
      </c>
      <c r="I264" t="str">
        <f>CashIntraTable[Portfolio]&amp;VALUE(CashIntraTable[Cash Date])&amp;CashIntraTable[Detail]</f>
        <v>SCBGIN434042.1. Redemption</v>
      </c>
    </row>
    <row r="265" spans="1:9" x14ac:dyDescent="0.2">
      <c r="A265" t="s">
        <v>413</v>
      </c>
      <c r="B265" t="s">
        <v>23</v>
      </c>
      <c r="C265" s="147">
        <v>43398</v>
      </c>
      <c r="D265" t="s">
        <v>382</v>
      </c>
      <c r="E265">
        <v>-8289517.7300000004</v>
      </c>
      <c r="F265" t="s">
        <v>332</v>
      </c>
      <c r="G265" t="s">
        <v>383</v>
      </c>
      <c r="H265">
        <v>181025160005</v>
      </c>
      <c r="I265" t="str">
        <f>CashIntraTable[Portfolio]&amp;VALUE(CashIntraTable[Cash Date])&amp;CashIntraTable[Detail]</f>
        <v>SCBGIN433982.2. Switch-out</v>
      </c>
    </row>
    <row r="266" spans="1:9" x14ac:dyDescent="0.2">
      <c r="A266" t="s">
        <v>413</v>
      </c>
      <c r="B266" t="s">
        <v>23</v>
      </c>
      <c r="C266" s="147">
        <v>43399</v>
      </c>
      <c r="D266" t="s">
        <v>382</v>
      </c>
      <c r="E266">
        <v>-20220440.739999998</v>
      </c>
      <c r="F266" t="s">
        <v>332</v>
      </c>
      <c r="G266" t="s">
        <v>383</v>
      </c>
      <c r="H266">
        <v>181025160005</v>
      </c>
      <c r="I266" t="str">
        <f>CashIntraTable[Portfolio]&amp;VALUE(CashIntraTable[Cash Date])&amp;CashIntraTable[Detail]</f>
        <v>SCBGIN433992.2. Switch-out</v>
      </c>
    </row>
    <row r="267" spans="1:9" x14ac:dyDescent="0.2">
      <c r="A267" t="s">
        <v>413</v>
      </c>
      <c r="B267" t="s">
        <v>23</v>
      </c>
      <c r="C267" s="147">
        <v>43402</v>
      </c>
      <c r="D267" t="s">
        <v>382</v>
      </c>
      <c r="E267">
        <v>-31280040.100000001</v>
      </c>
      <c r="F267" t="s">
        <v>332</v>
      </c>
      <c r="G267" t="s">
        <v>383</v>
      </c>
      <c r="H267">
        <v>181025160005</v>
      </c>
      <c r="I267" t="str">
        <f>CashIntraTable[Portfolio]&amp;VALUE(CashIntraTable[Cash Date])&amp;CashIntraTable[Detail]</f>
        <v>SCBGIN434022.2. Switch-out</v>
      </c>
    </row>
    <row r="268" spans="1:9" x14ac:dyDescent="0.2">
      <c r="A268" t="s">
        <v>413</v>
      </c>
      <c r="B268" t="s">
        <v>23</v>
      </c>
      <c r="C268" s="147">
        <v>43403</v>
      </c>
      <c r="D268" t="s">
        <v>382</v>
      </c>
      <c r="E268">
        <v>-7146052.1399999997</v>
      </c>
      <c r="F268" t="s">
        <v>332</v>
      </c>
      <c r="G268" t="s">
        <v>383</v>
      </c>
      <c r="H268">
        <v>181025160005</v>
      </c>
      <c r="I268" t="str">
        <f>CashIntraTable[Portfolio]&amp;VALUE(CashIntraTable[Cash Date])&amp;CashIntraTable[Detail]</f>
        <v>SCBGIN434032.2. Switch-out</v>
      </c>
    </row>
    <row r="269" spans="1:9" x14ac:dyDescent="0.2">
      <c r="A269" t="s">
        <v>413</v>
      </c>
      <c r="B269" t="s">
        <v>23</v>
      </c>
      <c r="C269" s="147">
        <v>43404</v>
      </c>
      <c r="D269" t="s">
        <v>382</v>
      </c>
      <c r="E269">
        <v>-2085674.74</v>
      </c>
      <c r="F269" t="s">
        <v>332</v>
      </c>
      <c r="G269" t="s">
        <v>383</v>
      </c>
      <c r="H269">
        <v>181025160005</v>
      </c>
      <c r="I269" t="str">
        <f>CashIntraTable[Portfolio]&amp;VALUE(CashIntraTable[Cash Date])&amp;CashIntraTable[Detail]</f>
        <v>SCBGIN434042.2. Switch-out</v>
      </c>
    </row>
    <row r="270" spans="1:9" x14ac:dyDescent="0.2">
      <c r="A270" t="s">
        <v>1255</v>
      </c>
      <c r="B270" t="s">
        <v>23</v>
      </c>
      <c r="C270" s="147">
        <v>43403</v>
      </c>
      <c r="D270" t="s">
        <v>382</v>
      </c>
      <c r="E270">
        <v>-5576.57</v>
      </c>
      <c r="F270" t="s">
        <v>331</v>
      </c>
      <c r="G270" t="s">
        <v>383</v>
      </c>
      <c r="H270">
        <v>181025160005</v>
      </c>
      <c r="I270" t="str">
        <f>CashIntraTable[Portfolio]&amp;VALUE(CashIntraTable[Cash Date])&amp;CashIntraTable[Detail]</f>
        <v>SCBGLOW434032.1. Redemption</v>
      </c>
    </row>
    <row r="271" spans="1:9" x14ac:dyDescent="0.2">
      <c r="A271" t="s">
        <v>1259</v>
      </c>
      <c r="B271" t="s">
        <v>23</v>
      </c>
      <c r="C271" s="147">
        <v>43399</v>
      </c>
      <c r="D271" t="s">
        <v>382</v>
      </c>
      <c r="E271">
        <v>1000</v>
      </c>
      <c r="F271" t="s">
        <v>329</v>
      </c>
      <c r="G271" t="s">
        <v>383</v>
      </c>
      <c r="H271">
        <v>181025160005</v>
      </c>
      <c r="I271" t="str">
        <f>CashIntraTable[Portfolio]&amp;VALUE(CashIntraTable[Cash Date])&amp;CashIntraTable[Detail]</f>
        <v>SCBGLOWP433991.1. Subscription</v>
      </c>
    </row>
    <row r="272" spans="1:9" x14ac:dyDescent="0.2">
      <c r="A272" t="s">
        <v>414</v>
      </c>
      <c r="B272" t="s">
        <v>23</v>
      </c>
      <c r="C272" s="147">
        <v>43398</v>
      </c>
      <c r="D272" t="s">
        <v>382</v>
      </c>
      <c r="E272">
        <v>1000</v>
      </c>
      <c r="F272" t="s">
        <v>329</v>
      </c>
      <c r="G272" t="s">
        <v>383</v>
      </c>
      <c r="H272">
        <v>181025160005</v>
      </c>
      <c r="I272" t="str">
        <f>CashIntraTable[Portfolio]&amp;VALUE(CashIntraTable[Cash Date])&amp;CashIntraTable[Detail]</f>
        <v>SCBGMT433981.1. Subscription</v>
      </c>
    </row>
    <row r="273" spans="1:9" x14ac:dyDescent="0.2">
      <c r="A273" t="s">
        <v>414</v>
      </c>
      <c r="B273" t="s">
        <v>23</v>
      </c>
      <c r="C273" s="147">
        <v>43404</v>
      </c>
      <c r="D273" t="s">
        <v>382</v>
      </c>
      <c r="E273">
        <v>-1335604.03</v>
      </c>
      <c r="F273" t="s">
        <v>331</v>
      </c>
      <c r="G273" t="s">
        <v>383</v>
      </c>
      <c r="H273">
        <v>181025160005</v>
      </c>
      <c r="I273" t="str">
        <f>CashIntraTable[Portfolio]&amp;VALUE(CashIntraTable[Cash Date])&amp;CashIntraTable[Detail]</f>
        <v>SCBGMT434042.1. Redemption</v>
      </c>
    </row>
    <row r="274" spans="1:9" x14ac:dyDescent="0.2">
      <c r="A274" t="s">
        <v>414</v>
      </c>
      <c r="B274" t="s">
        <v>23</v>
      </c>
      <c r="C274" s="147">
        <v>43404</v>
      </c>
      <c r="D274" t="s">
        <v>382</v>
      </c>
      <c r="E274">
        <v>-489721.47</v>
      </c>
      <c r="F274" t="s">
        <v>332</v>
      </c>
      <c r="G274" t="s">
        <v>383</v>
      </c>
      <c r="H274">
        <v>181025160005</v>
      </c>
      <c r="I274" t="str">
        <f>CashIntraTable[Portfolio]&amp;VALUE(CashIntraTable[Cash Date])&amp;CashIntraTable[Detail]</f>
        <v>SCBGMT434042.2. Switch-out</v>
      </c>
    </row>
    <row r="275" spans="1:9" x14ac:dyDescent="0.2">
      <c r="A275" t="s">
        <v>415</v>
      </c>
      <c r="B275" t="s">
        <v>23</v>
      </c>
      <c r="C275" s="147">
        <v>43398</v>
      </c>
      <c r="D275" t="s">
        <v>382</v>
      </c>
      <c r="E275">
        <v>90542.9</v>
      </c>
      <c r="F275" t="s">
        <v>329</v>
      </c>
      <c r="G275" t="s">
        <v>383</v>
      </c>
      <c r="H275">
        <v>181025160005</v>
      </c>
      <c r="I275" t="str">
        <f>CashIntraTable[Portfolio]&amp;VALUE(CashIntraTable[Cash Date])&amp;CashIntraTable[Detail]</f>
        <v>SCBGOLD433981.1. Subscription</v>
      </c>
    </row>
    <row r="276" spans="1:9" x14ac:dyDescent="0.2">
      <c r="A276" t="s">
        <v>415</v>
      </c>
      <c r="B276" t="s">
        <v>23</v>
      </c>
      <c r="C276" s="147">
        <v>43399</v>
      </c>
      <c r="D276" t="s">
        <v>382</v>
      </c>
      <c r="E276">
        <v>630700</v>
      </c>
      <c r="F276" t="s">
        <v>329</v>
      </c>
      <c r="G276" t="s">
        <v>383</v>
      </c>
      <c r="H276">
        <v>181025160005</v>
      </c>
      <c r="I276" t="str">
        <f>CashIntraTable[Portfolio]&amp;VALUE(CashIntraTable[Cash Date])&amp;CashIntraTable[Detail]</f>
        <v>SCBGOLD433991.1. Subscription</v>
      </c>
    </row>
    <row r="277" spans="1:9" x14ac:dyDescent="0.2">
      <c r="A277" t="s">
        <v>415</v>
      </c>
      <c r="B277" t="s">
        <v>23</v>
      </c>
      <c r="C277" s="147">
        <v>43398</v>
      </c>
      <c r="D277" t="s">
        <v>382</v>
      </c>
      <c r="E277">
        <v>21429720.739999998</v>
      </c>
      <c r="F277" t="s">
        <v>330</v>
      </c>
      <c r="G277" t="s">
        <v>383</v>
      </c>
      <c r="H277">
        <v>181025160005</v>
      </c>
      <c r="I277" t="str">
        <f>CashIntraTable[Portfolio]&amp;VALUE(CashIntraTable[Cash Date])&amp;CashIntraTable[Detail]</f>
        <v>SCBGOLD433981.2. Switch-in</v>
      </c>
    </row>
    <row r="278" spans="1:9" x14ac:dyDescent="0.2">
      <c r="A278" t="s">
        <v>415</v>
      </c>
      <c r="B278" t="s">
        <v>23</v>
      </c>
      <c r="C278" s="147">
        <v>43399</v>
      </c>
      <c r="D278" t="s">
        <v>382</v>
      </c>
      <c r="E278">
        <v>2000</v>
      </c>
      <c r="F278" t="s">
        <v>330</v>
      </c>
      <c r="G278" t="s">
        <v>383</v>
      </c>
      <c r="H278">
        <v>181025160005</v>
      </c>
      <c r="I278" t="str">
        <f>CashIntraTable[Portfolio]&amp;VALUE(CashIntraTable[Cash Date])&amp;CashIntraTable[Detail]</f>
        <v>SCBGOLD433991.2. Switch-in</v>
      </c>
    </row>
    <row r="279" spans="1:9" x14ac:dyDescent="0.2">
      <c r="A279" t="s">
        <v>415</v>
      </c>
      <c r="B279" t="s">
        <v>23</v>
      </c>
      <c r="C279" s="147">
        <v>43402</v>
      </c>
      <c r="D279" t="s">
        <v>382</v>
      </c>
      <c r="E279">
        <v>4357562.5999999996</v>
      </c>
      <c r="F279" t="s">
        <v>330</v>
      </c>
      <c r="G279" t="s">
        <v>383</v>
      </c>
      <c r="H279">
        <v>181025160005</v>
      </c>
      <c r="I279" t="str">
        <f>CashIntraTable[Portfolio]&amp;VALUE(CashIntraTable[Cash Date])&amp;CashIntraTable[Detail]</f>
        <v>SCBGOLD434021.2. Switch-in</v>
      </c>
    </row>
    <row r="280" spans="1:9" x14ac:dyDescent="0.2">
      <c r="A280" t="s">
        <v>415</v>
      </c>
      <c r="B280" t="s">
        <v>23</v>
      </c>
      <c r="C280" s="147">
        <v>43403</v>
      </c>
      <c r="D280" t="s">
        <v>382</v>
      </c>
      <c r="E280">
        <v>7824035.8099999996</v>
      </c>
      <c r="F280" t="s">
        <v>330</v>
      </c>
      <c r="G280" t="s">
        <v>383</v>
      </c>
      <c r="H280">
        <v>181025160005</v>
      </c>
      <c r="I280" t="str">
        <f>CashIntraTable[Portfolio]&amp;VALUE(CashIntraTable[Cash Date])&amp;CashIntraTable[Detail]</f>
        <v>SCBGOLD434031.2. Switch-in</v>
      </c>
    </row>
    <row r="281" spans="1:9" x14ac:dyDescent="0.2">
      <c r="A281" t="s">
        <v>415</v>
      </c>
      <c r="B281" t="s">
        <v>23</v>
      </c>
      <c r="C281" s="147">
        <v>43404</v>
      </c>
      <c r="D281" t="s">
        <v>382</v>
      </c>
      <c r="E281">
        <v>2956054.7</v>
      </c>
      <c r="F281" t="s">
        <v>330</v>
      </c>
      <c r="G281" t="s">
        <v>383</v>
      </c>
      <c r="H281">
        <v>181025160005</v>
      </c>
      <c r="I281" t="str">
        <f>CashIntraTable[Portfolio]&amp;VALUE(CashIntraTable[Cash Date])&amp;CashIntraTable[Detail]</f>
        <v>SCBGOLD434041.2. Switch-in</v>
      </c>
    </row>
    <row r="282" spans="1:9" x14ac:dyDescent="0.2">
      <c r="A282" t="s">
        <v>415</v>
      </c>
      <c r="B282" t="s">
        <v>23</v>
      </c>
      <c r="C282" s="147">
        <v>43398</v>
      </c>
      <c r="D282" t="s">
        <v>382</v>
      </c>
      <c r="E282">
        <v>-135099.95000000001</v>
      </c>
      <c r="F282" t="s">
        <v>331</v>
      </c>
      <c r="G282" t="s">
        <v>383</v>
      </c>
      <c r="H282">
        <v>181025160005</v>
      </c>
      <c r="I282" t="str">
        <f>CashIntraTable[Portfolio]&amp;VALUE(CashIntraTable[Cash Date])&amp;CashIntraTable[Detail]</f>
        <v>SCBGOLD433982.1. Redemption</v>
      </c>
    </row>
    <row r="283" spans="1:9" x14ac:dyDescent="0.2">
      <c r="A283" t="s">
        <v>415</v>
      </c>
      <c r="B283" t="s">
        <v>23</v>
      </c>
      <c r="C283" s="147">
        <v>43399</v>
      </c>
      <c r="D283" t="s">
        <v>382</v>
      </c>
      <c r="E283">
        <v>-81153.77</v>
      </c>
      <c r="F283" t="s">
        <v>331</v>
      </c>
      <c r="G283" t="s">
        <v>383</v>
      </c>
      <c r="H283">
        <v>181025160005</v>
      </c>
      <c r="I283" t="str">
        <f>CashIntraTable[Portfolio]&amp;VALUE(CashIntraTable[Cash Date])&amp;CashIntraTable[Detail]</f>
        <v>SCBGOLD433992.1. Redemption</v>
      </c>
    </row>
    <row r="284" spans="1:9" x14ac:dyDescent="0.2">
      <c r="A284" t="s">
        <v>415</v>
      </c>
      <c r="B284" t="s">
        <v>23</v>
      </c>
      <c r="C284" s="147">
        <v>43402</v>
      </c>
      <c r="D284" t="s">
        <v>382</v>
      </c>
      <c r="E284">
        <v>-995265.33</v>
      </c>
      <c r="F284" t="s">
        <v>331</v>
      </c>
      <c r="G284" t="s">
        <v>383</v>
      </c>
      <c r="H284">
        <v>181025160005</v>
      </c>
      <c r="I284" t="str">
        <f>CashIntraTable[Portfolio]&amp;VALUE(CashIntraTable[Cash Date])&amp;CashIntraTable[Detail]</f>
        <v>SCBGOLD434022.1. Redemption</v>
      </c>
    </row>
    <row r="285" spans="1:9" x14ac:dyDescent="0.2">
      <c r="A285" t="s">
        <v>415</v>
      </c>
      <c r="B285" t="s">
        <v>23</v>
      </c>
      <c r="C285" s="147">
        <v>43403</v>
      </c>
      <c r="D285" t="s">
        <v>382</v>
      </c>
      <c r="E285">
        <v>-642293.17000000004</v>
      </c>
      <c r="F285" t="s">
        <v>331</v>
      </c>
      <c r="G285" t="s">
        <v>383</v>
      </c>
      <c r="H285">
        <v>181025160005</v>
      </c>
      <c r="I285" t="str">
        <f>CashIntraTable[Portfolio]&amp;VALUE(CashIntraTable[Cash Date])&amp;CashIntraTable[Detail]</f>
        <v>SCBGOLD434032.1. Redemption</v>
      </c>
    </row>
    <row r="286" spans="1:9" x14ac:dyDescent="0.2">
      <c r="A286" t="s">
        <v>415</v>
      </c>
      <c r="B286" t="s">
        <v>23</v>
      </c>
      <c r="C286" s="147">
        <v>43398</v>
      </c>
      <c r="D286" t="s">
        <v>382</v>
      </c>
      <c r="E286">
        <v>-10000</v>
      </c>
      <c r="F286" t="s">
        <v>332</v>
      </c>
      <c r="G286" t="s">
        <v>383</v>
      </c>
      <c r="H286">
        <v>181025160005</v>
      </c>
      <c r="I286" t="str">
        <f>CashIntraTable[Portfolio]&amp;VALUE(CashIntraTable[Cash Date])&amp;CashIntraTable[Detail]</f>
        <v>SCBGOLD433982.2. Switch-out</v>
      </c>
    </row>
    <row r="287" spans="1:9" x14ac:dyDescent="0.2">
      <c r="A287" t="s">
        <v>415</v>
      </c>
      <c r="B287" t="s">
        <v>23</v>
      </c>
      <c r="C287" s="147">
        <v>43399</v>
      </c>
      <c r="D287" t="s">
        <v>382</v>
      </c>
      <c r="E287">
        <v>-27508.01</v>
      </c>
      <c r="F287" t="s">
        <v>332</v>
      </c>
      <c r="G287" t="s">
        <v>383</v>
      </c>
      <c r="H287">
        <v>181025160005</v>
      </c>
      <c r="I287" t="str">
        <f>CashIntraTable[Portfolio]&amp;VALUE(CashIntraTable[Cash Date])&amp;CashIntraTable[Detail]</f>
        <v>SCBGOLD433992.2. Switch-out</v>
      </c>
    </row>
    <row r="288" spans="1:9" x14ac:dyDescent="0.2">
      <c r="A288" t="s">
        <v>415</v>
      </c>
      <c r="B288" t="s">
        <v>23</v>
      </c>
      <c r="C288" s="147">
        <v>43402</v>
      </c>
      <c r="D288" t="s">
        <v>382</v>
      </c>
      <c r="E288">
        <v>-1070131.97</v>
      </c>
      <c r="F288" t="s">
        <v>332</v>
      </c>
      <c r="G288" t="s">
        <v>383</v>
      </c>
      <c r="H288">
        <v>181025160005</v>
      </c>
      <c r="I288" t="str">
        <f>CashIntraTable[Portfolio]&amp;VALUE(CashIntraTable[Cash Date])&amp;CashIntraTable[Detail]</f>
        <v>SCBGOLD434022.2. Switch-out</v>
      </c>
    </row>
    <row r="289" spans="1:9" x14ac:dyDescent="0.2">
      <c r="A289" t="s">
        <v>415</v>
      </c>
      <c r="B289" t="s">
        <v>23</v>
      </c>
      <c r="C289" s="147">
        <v>43403</v>
      </c>
      <c r="D289" t="s">
        <v>382</v>
      </c>
      <c r="E289">
        <v>-632437.86</v>
      </c>
      <c r="F289" t="s">
        <v>332</v>
      </c>
      <c r="G289" t="s">
        <v>383</v>
      </c>
      <c r="H289">
        <v>181025160005</v>
      </c>
      <c r="I289" t="str">
        <f>CashIntraTable[Portfolio]&amp;VALUE(CashIntraTable[Cash Date])&amp;CashIntraTable[Detail]</f>
        <v>SCBGOLD434032.2. Switch-out</v>
      </c>
    </row>
    <row r="290" spans="1:9" x14ac:dyDescent="0.2">
      <c r="A290" t="s">
        <v>416</v>
      </c>
      <c r="B290" t="s">
        <v>23</v>
      </c>
      <c r="C290" s="147">
        <v>43398</v>
      </c>
      <c r="D290" t="s">
        <v>382</v>
      </c>
      <c r="E290">
        <v>2179045.25</v>
      </c>
      <c r="F290" t="s">
        <v>329</v>
      </c>
      <c r="G290" t="s">
        <v>383</v>
      </c>
      <c r="H290">
        <v>181025160005</v>
      </c>
      <c r="I290" t="str">
        <f>CashIntraTable[Portfolio]&amp;VALUE(CashIntraTable[Cash Date])&amp;CashIntraTable[Detail]</f>
        <v>SCBGOLDHFUND433981.1. Subscription</v>
      </c>
    </row>
    <row r="291" spans="1:9" x14ac:dyDescent="0.2">
      <c r="A291" t="s">
        <v>416</v>
      </c>
      <c r="B291" t="s">
        <v>23</v>
      </c>
      <c r="C291" s="147">
        <v>43399</v>
      </c>
      <c r="D291" t="s">
        <v>382</v>
      </c>
      <c r="E291">
        <v>105000</v>
      </c>
      <c r="F291" t="s">
        <v>329</v>
      </c>
      <c r="G291" t="s">
        <v>383</v>
      </c>
      <c r="H291">
        <v>181025160005</v>
      </c>
      <c r="I291" t="str">
        <f>CashIntraTable[Portfolio]&amp;VALUE(CashIntraTable[Cash Date])&amp;CashIntraTable[Detail]</f>
        <v>SCBGOLDHFUND433991.1. Subscription</v>
      </c>
    </row>
    <row r="292" spans="1:9" x14ac:dyDescent="0.2">
      <c r="A292" t="s">
        <v>416</v>
      </c>
      <c r="B292" t="s">
        <v>23</v>
      </c>
      <c r="C292" s="147">
        <v>43399</v>
      </c>
      <c r="D292" t="s">
        <v>382</v>
      </c>
      <c r="E292">
        <v>11100</v>
      </c>
      <c r="F292" t="s">
        <v>333</v>
      </c>
      <c r="G292" t="s">
        <v>383</v>
      </c>
      <c r="H292">
        <v>181025160005</v>
      </c>
      <c r="I292" t="str">
        <f>CashIntraTable[Portfolio]&amp;VALUE(CashIntraTable[Cash Date])&amp;CashIntraTable[Detail]</f>
        <v>SCBGOLDHFUND433991.1. Subscription (Chq)</v>
      </c>
    </row>
    <row r="293" spans="1:9" x14ac:dyDescent="0.2">
      <c r="A293" t="s">
        <v>416</v>
      </c>
      <c r="B293" t="s">
        <v>23</v>
      </c>
      <c r="C293" s="147">
        <v>43398</v>
      </c>
      <c r="D293" t="s">
        <v>382</v>
      </c>
      <c r="E293">
        <v>3000</v>
      </c>
      <c r="F293" t="s">
        <v>330</v>
      </c>
      <c r="G293" t="s">
        <v>383</v>
      </c>
      <c r="H293">
        <v>181025160005</v>
      </c>
      <c r="I293" t="str">
        <f>CashIntraTable[Portfolio]&amp;VALUE(CashIntraTable[Cash Date])&amp;CashIntraTable[Detail]</f>
        <v>SCBGOLDHFUND433981.2. Switch-in</v>
      </c>
    </row>
    <row r="294" spans="1:9" x14ac:dyDescent="0.2">
      <c r="A294" t="s">
        <v>416</v>
      </c>
      <c r="B294" t="s">
        <v>23</v>
      </c>
      <c r="C294" s="147">
        <v>43399</v>
      </c>
      <c r="D294" t="s">
        <v>382</v>
      </c>
      <c r="E294">
        <v>801000</v>
      </c>
      <c r="F294" t="s">
        <v>330</v>
      </c>
      <c r="G294" t="s">
        <v>383</v>
      </c>
      <c r="H294">
        <v>181025160005</v>
      </c>
      <c r="I294" t="str">
        <f>CashIntraTable[Portfolio]&amp;VALUE(CashIntraTable[Cash Date])&amp;CashIntraTable[Detail]</f>
        <v>SCBGOLDHFUND433991.2. Switch-in</v>
      </c>
    </row>
    <row r="295" spans="1:9" x14ac:dyDescent="0.2">
      <c r="A295" t="s">
        <v>416</v>
      </c>
      <c r="B295" t="s">
        <v>23</v>
      </c>
      <c r="C295" s="147">
        <v>43402</v>
      </c>
      <c r="D295" t="s">
        <v>382</v>
      </c>
      <c r="E295">
        <v>4668.67</v>
      </c>
      <c r="F295" t="s">
        <v>330</v>
      </c>
      <c r="G295" t="s">
        <v>383</v>
      </c>
      <c r="H295">
        <v>181025160005</v>
      </c>
      <c r="I295" t="str">
        <f>CashIntraTable[Portfolio]&amp;VALUE(CashIntraTable[Cash Date])&amp;CashIntraTable[Detail]</f>
        <v>SCBGOLDHFUND434021.2. Switch-in</v>
      </c>
    </row>
    <row r="296" spans="1:9" x14ac:dyDescent="0.2">
      <c r="A296" t="s">
        <v>416</v>
      </c>
      <c r="B296" t="s">
        <v>23</v>
      </c>
      <c r="C296" s="147">
        <v>43403</v>
      </c>
      <c r="D296" t="s">
        <v>382</v>
      </c>
      <c r="E296">
        <v>1943.28</v>
      </c>
      <c r="F296" t="s">
        <v>330</v>
      </c>
      <c r="G296" t="s">
        <v>383</v>
      </c>
      <c r="H296">
        <v>181025160005</v>
      </c>
      <c r="I296" t="str">
        <f>CashIntraTable[Portfolio]&amp;VALUE(CashIntraTable[Cash Date])&amp;CashIntraTable[Detail]</f>
        <v>SCBGOLDHFUND434031.2. Switch-in</v>
      </c>
    </row>
    <row r="297" spans="1:9" x14ac:dyDescent="0.2">
      <c r="A297" t="s">
        <v>416</v>
      </c>
      <c r="B297" t="s">
        <v>23</v>
      </c>
      <c r="C297" s="147">
        <v>43398</v>
      </c>
      <c r="D297" t="s">
        <v>382</v>
      </c>
      <c r="E297">
        <v>-857407.23</v>
      </c>
      <c r="F297" t="s">
        <v>331</v>
      </c>
      <c r="G297" t="s">
        <v>383</v>
      </c>
      <c r="H297">
        <v>181025160005</v>
      </c>
      <c r="I297" t="str">
        <f>CashIntraTable[Portfolio]&amp;VALUE(CashIntraTable[Cash Date])&amp;CashIntraTable[Detail]</f>
        <v>SCBGOLDHFUND433982.1. Redemption</v>
      </c>
    </row>
    <row r="298" spans="1:9" x14ac:dyDescent="0.2">
      <c r="A298" t="s">
        <v>416</v>
      </c>
      <c r="B298" t="s">
        <v>23</v>
      </c>
      <c r="C298" s="147">
        <v>43399</v>
      </c>
      <c r="D298" t="s">
        <v>382</v>
      </c>
      <c r="E298">
        <v>-312194.65999999997</v>
      </c>
      <c r="F298" t="s">
        <v>331</v>
      </c>
      <c r="G298" t="s">
        <v>383</v>
      </c>
      <c r="H298">
        <v>181025160005</v>
      </c>
      <c r="I298" t="str">
        <f>CashIntraTable[Portfolio]&amp;VALUE(CashIntraTable[Cash Date])&amp;CashIntraTable[Detail]</f>
        <v>SCBGOLDHFUND433992.1. Redemption</v>
      </c>
    </row>
    <row r="299" spans="1:9" x14ac:dyDescent="0.2">
      <c r="A299" t="s">
        <v>416</v>
      </c>
      <c r="B299" t="s">
        <v>23</v>
      </c>
      <c r="C299" s="147">
        <v>43402</v>
      </c>
      <c r="D299" t="s">
        <v>382</v>
      </c>
      <c r="E299">
        <v>-658826.22</v>
      </c>
      <c r="F299" t="s">
        <v>331</v>
      </c>
      <c r="G299" t="s">
        <v>383</v>
      </c>
      <c r="H299">
        <v>181025160005</v>
      </c>
      <c r="I299" t="str">
        <f>CashIntraTable[Portfolio]&amp;VALUE(CashIntraTable[Cash Date])&amp;CashIntraTable[Detail]</f>
        <v>SCBGOLDHFUND434022.1. Redemption</v>
      </c>
    </row>
    <row r="300" spans="1:9" x14ac:dyDescent="0.2">
      <c r="A300" t="s">
        <v>416</v>
      </c>
      <c r="B300" t="s">
        <v>23</v>
      </c>
      <c r="C300" s="147">
        <v>43403</v>
      </c>
      <c r="D300" t="s">
        <v>382</v>
      </c>
      <c r="E300">
        <v>-852801.26</v>
      </c>
      <c r="F300" t="s">
        <v>331</v>
      </c>
      <c r="G300" t="s">
        <v>383</v>
      </c>
      <c r="H300">
        <v>181025160005</v>
      </c>
      <c r="I300" t="str">
        <f>CashIntraTable[Portfolio]&amp;VALUE(CashIntraTable[Cash Date])&amp;CashIntraTable[Detail]</f>
        <v>SCBGOLDHFUND434032.1. Redemption</v>
      </c>
    </row>
    <row r="301" spans="1:9" x14ac:dyDescent="0.2">
      <c r="A301" t="s">
        <v>416</v>
      </c>
      <c r="B301" t="s">
        <v>23</v>
      </c>
      <c r="C301" s="147">
        <v>43398</v>
      </c>
      <c r="D301" t="s">
        <v>382</v>
      </c>
      <c r="E301">
        <v>-4107258.17</v>
      </c>
      <c r="F301" t="s">
        <v>332</v>
      </c>
      <c r="G301" t="s">
        <v>383</v>
      </c>
      <c r="H301">
        <v>181025160005</v>
      </c>
      <c r="I301" t="str">
        <f>CashIntraTable[Portfolio]&amp;VALUE(CashIntraTable[Cash Date])&amp;CashIntraTable[Detail]</f>
        <v>SCBGOLDHFUND433982.2. Switch-out</v>
      </c>
    </row>
    <row r="302" spans="1:9" x14ac:dyDescent="0.2">
      <c r="A302" t="s">
        <v>416</v>
      </c>
      <c r="B302" t="s">
        <v>23</v>
      </c>
      <c r="C302" s="147">
        <v>43399</v>
      </c>
      <c r="D302" t="s">
        <v>382</v>
      </c>
      <c r="E302">
        <v>-54816.14</v>
      </c>
      <c r="F302" t="s">
        <v>332</v>
      </c>
      <c r="G302" t="s">
        <v>383</v>
      </c>
      <c r="H302">
        <v>181025160005</v>
      </c>
      <c r="I302" t="str">
        <f>CashIntraTable[Portfolio]&amp;VALUE(CashIntraTable[Cash Date])&amp;CashIntraTable[Detail]</f>
        <v>SCBGOLDHFUND433992.2. Switch-out</v>
      </c>
    </row>
    <row r="303" spans="1:9" x14ac:dyDescent="0.2">
      <c r="A303" t="s">
        <v>416</v>
      </c>
      <c r="B303" t="s">
        <v>23</v>
      </c>
      <c r="C303" s="147">
        <v>43402</v>
      </c>
      <c r="D303" t="s">
        <v>382</v>
      </c>
      <c r="E303">
        <v>-1073031.02</v>
      </c>
      <c r="F303" t="s">
        <v>332</v>
      </c>
      <c r="G303" t="s">
        <v>383</v>
      </c>
      <c r="H303">
        <v>181025160005</v>
      </c>
      <c r="I303" t="str">
        <f>CashIntraTable[Portfolio]&amp;VALUE(CashIntraTable[Cash Date])&amp;CashIntraTable[Detail]</f>
        <v>SCBGOLDHFUND434022.2. Switch-out</v>
      </c>
    </row>
    <row r="304" spans="1:9" x14ac:dyDescent="0.2">
      <c r="A304" t="s">
        <v>416</v>
      </c>
      <c r="B304" t="s">
        <v>23</v>
      </c>
      <c r="C304" s="147">
        <v>43403</v>
      </c>
      <c r="D304" t="s">
        <v>382</v>
      </c>
      <c r="E304">
        <v>-1693571.79</v>
      </c>
      <c r="F304" t="s">
        <v>332</v>
      </c>
      <c r="G304" t="s">
        <v>383</v>
      </c>
      <c r="H304">
        <v>181025160005</v>
      </c>
      <c r="I304" t="str">
        <f>CashIntraTable[Portfolio]&amp;VALUE(CashIntraTable[Cash Date])&amp;CashIntraTable[Detail]</f>
        <v>SCBGOLDHFUND434032.2. Switch-out</v>
      </c>
    </row>
    <row r="305" spans="1:9" x14ac:dyDescent="0.2">
      <c r="A305" t="s">
        <v>417</v>
      </c>
      <c r="B305" t="s">
        <v>23</v>
      </c>
      <c r="C305" s="147">
        <v>43398</v>
      </c>
      <c r="D305" t="s">
        <v>382</v>
      </c>
      <c r="E305">
        <v>10000</v>
      </c>
      <c r="F305" t="s">
        <v>329</v>
      </c>
      <c r="G305" t="s">
        <v>383</v>
      </c>
      <c r="H305">
        <v>181025160005</v>
      </c>
      <c r="I305" t="str">
        <f>CashIntraTable[Portfolio]&amp;VALUE(CashIntraTable[Cash Date])&amp;CashIntraTable[Detail]</f>
        <v>SCBGOLDHRMF433981.1. Subscription</v>
      </c>
    </row>
    <row r="306" spans="1:9" x14ac:dyDescent="0.2">
      <c r="A306" t="s">
        <v>417</v>
      </c>
      <c r="B306" t="s">
        <v>23</v>
      </c>
      <c r="C306" s="147">
        <v>43399</v>
      </c>
      <c r="D306" t="s">
        <v>382</v>
      </c>
      <c r="E306">
        <v>21000</v>
      </c>
      <c r="F306" t="s">
        <v>329</v>
      </c>
      <c r="G306" t="s">
        <v>383</v>
      </c>
      <c r="H306">
        <v>181025160005</v>
      </c>
      <c r="I306" t="str">
        <f>CashIntraTable[Portfolio]&amp;VALUE(CashIntraTable[Cash Date])&amp;CashIntraTable[Detail]</f>
        <v>SCBGOLDHRMF433991.1. Subscription</v>
      </c>
    </row>
    <row r="307" spans="1:9" x14ac:dyDescent="0.2">
      <c r="A307" t="s">
        <v>417</v>
      </c>
      <c r="B307" t="s">
        <v>23</v>
      </c>
      <c r="C307" s="147">
        <v>43398</v>
      </c>
      <c r="D307" t="s">
        <v>382</v>
      </c>
      <c r="E307">
        <v>741000</v>
      </c>
      <c r="F307" t="s">
        <v>333</v>
      </c>
      <c r="G307" t="s">
        <v>383</v>
      </c>
      <c r="H307">
        <v>181025160005</v>
      </c>
      <c r="I307" t="str">
        <f>CashIntraTable[Portfolio]&amp;VALUE(CashIntraTable[Cash Date])&amp;CashIntraTable[Detail]</f>
        <v>SCBGOLDHRMF433981.1. Subscription (Chq)</v>
      </c>
    </row>
    <row r="308" spans="1:9" x14ac:dyDescent="0.2">
      <c r="A308" t="s">
        <v>417</v>
      </c>
      <c r="B308" t="s">
        <v>23</v>
      </c>
      <c r="C308" s="147">
        <v>43399</v>
      </c>
      <c r="D308" t="s">
        <v>382</v>
      </c>
      <c r="E308">
        <v>90000</v>
      </c>
      <c r="F308" t="s">
        <v>333</v>
      </c>
      <c r="G308" t="s">
        <v>383</v>
      </c>
      <c r="H308">
        <v>181025160005</v>
      </c>
      <c r="I308" t="str">
        <f>CashIntraTable[Portfolio]&amp;VALUE(CashIntraTable[Cash Date])&amp;CashIntraTable[Detail]</f>
        <v>SCBGOLDHRMF433991.1. Subscription (Chq)</v>
      </c>
    </row>
    <row r="309" spans="1:9" x14ac:dyDescent="0.2">
      <c r="A309" t="s">
        <v>417</v>
      </c>
      <c r="B309" t="s">
        <v>23</v>
      </c>
      <c r="C309" s="147">
        <v>43398</v>
      </c>
      <c r="D309" t="s">
        <v>382</v>
      </c>
      <c r="E309">
        <v>719121.07</v>
      </c>
      <c r="F309" t="s">
        <v>330</v>
      </c>
      <c r="G309" t="s">
        <v>383</v>
      </c>
      <c r="H309">
        <v>181025160005</v>
      </c>
      <c r="I309" t="str">
        <f>CashIntraTable[Portfolio]&amp;VALUE(CashIntraTable[Cash Date])&amp;CashIntraTable[Detail]</f>
        <v>SCBGOLDHRMF433981.2. Switch-in</v>
      </c>
    </row>
    <row r="310" spans="1:9" x14ac:dyDescent="0.2">
      <c r="A310" t="s">
        <v>417</v>
      </c>
      <c r="B310" t="s">
        <v>23</v>
      </c>
      <c r="C310" s="147">
        <v>43399</v>
      </c>
      <c r="D310" t="s">
        <v>382</v>
      </c>
      <c r="E310">
        <v>5312298.59</v>
      </c>
      <c r="F310" t="s">
        <v>330</v>
      </c>
      <c r="G310" t="s">
        <v>383</v>
      </c>
      <c r="H310">
        <v>181025160005</v>
      </c>
      <c r="I310" t="str">
        <f>CashIntraTable[Portfolio]&amp;VALUE(CashIntraTable[Cash Date])&amp;CashIntraTable[Detail]</f>
        <v>SCBGOLDHRMF433991.2. Switch-in</v>
      </c>
    </row>
    <row r="311" spans="1:9" x14ac:dyDescent="0.2">
      <c r="A311" t="s">
        <v>417</v>
      </c>
      <c r="B311" t="s">
        <v>23</v>
      </c>
      <c r="C311" s="147">
        <v>43402</v>
      </c>
      <c r="D311" t="s">
        <v>382</v>
      </c>
      <c r="E311">
        <v>4230663.41</v>
      </c>
      <c r="F311" t="s">
        <v>330</v>
      </c>
      <c r="G311" t="s">
        <v>383</v>
      </c>
      <c r="H311">
        <v>181025160005</v>
      </c>
      <c r="I311" t="str">
        <f>CashIntraTable[Portfolio]&amp;VALUE(CashIntraTable[Cash Date])&amp;CashIntraTable[Detail]</f>
        <v>SCBGOLDHRMF434021.2. Switch-in</v>
      </c>
    </row>
    <row r="312" spans="1:9" x14ac:dyDescent="0.2">
      <c r="A312" t="s">
        <v>417</v>
      </c>
      <c r="B312" t="s">
        <v>23</v>
      </c>
      <c r="C312" s="147">
        <v>43403</v>
      </c>
      <c r="D312" t="s">
        <v>382</v>
      </c>
      <c r="E312">
        <v>101438.41</v>
      </c>
      <c r="F312" t="s">
        <v>330</v>
      </c>
      <c r="G312" t="s">
        <v>383</v>
      </c>
      <c r="H312">
        <v>181025160005</v>
      </c>
      <c r="I312" t="str">
        <f>CashIntraTable[Portfolio]&amp;VALUE(CashIntraTable[Cash Date])&amp;CashIntraTable[Detail]</f>
        <v>SCBGOLDHRMF434031.2. Switch-in</v>
      </c>
    </row>
    <row r="313" spans="1:9" x14ac:dyDescent="0.2">
      <c r="A313" t="s">
        <v>417</v>
      </c>
      <c r="B313" t="s">
        <v>23</v>
      </c>
      <c r="C313" s="147">
        <v>43404</v>
      </c>
      <c r="D313" t="s">
        <v>382</v>
      </c>
      <c r="E313">
        <v>980.48</v>
      </c>
      <c r="F313" t="s">
        <v>330</v>
      </c>
      <c r="G313" t="s">
        <v>383</v>
      </c>
      <c r="H313">
        <v>181025160005</v>
      </c>
      <c r="I313" t="str">
        <f>CashIntraTable[Portfolio]&amp;VALUE(CashIntraTable[Cash Date])&amp;CashIntraTable[Detail]</f>
        <v>SCBGOLDHRMF434041.2. Switch-in</v>
      </c>
    </row>
    <row r="314" spans="1:9" x14ac:dyDescent="0.2">
      <c r="A314" t="s">
        <v>417</v>
      </c>
      <c r="B314" t="s">
        <v>23</v>
      </c>
      <c r="C314" s="147">
        <v>43406</v>
      </c>
      <c r="D314" t="s">
        <v>382</v>
      </c>
      <c r="E314">
        <v>1002.3</v>
      </c>
      <c r="F314" t="s">
        <v>330</v>
      </c>
      <c r="G314" t="s">
        <v>383</v>
      </c>
      <c r="H314">
        <v>181025160005</v>
      </c>
      <c r="I314" t="str">
        <f>CashIntraTable[Portfolio]&amp;VALUE(CashIntraTable[Cash Date])&amp;CashIntraTable[Detail]</f>
        <v>SCBGOLDHRMF434061.2. Switch-in</v>
      </c>
    </row>
    <row r="315" spans="1:9" x14ac:dyDescent="0.2">
      <c r="A315" t="s">
        <v>417</v>
      </c>
      <c r="B315" t="s">
        <v>23</v>
      </c>
      <c r="C315" s="147">
        <v>43402</v>
      </c>
      <c r="D315" t="s">
        <v>382</v>
      </c>
      <c r="E315">
        <v>-30611.48</v>
      </c>
      <c r="F315" t="s">
        <v>331</v>
      </c>
      <c r="G315" t="s">
        <v>383</v>
      </c>
      <c r="H315">
        <v>181025160005</v>
      </c>
      <c r="I315" t="str">
        <f>CashIntraTable[Portfolio]&amp;VALUE(CashIntraTable[Cash Date])&amp;CashIntraTable[Detail]</f>
        <v>SCBGOLDHRMF434022.1. Redemption</v>
      </c>
    </row>
    <row r="316" spans="1:9" x14ac:dyDescent="0.2">
      <c r="A316" t="s">
        <v>417</v>
      </c>
      <c r="B316" t="s">
        <v>23</v>
      </c>
      <c r="C316" s="147">
        <v>43403</v>
      </c>
      <c r="D316" t="s">
        <v>382</v>
      </c>
      <c r="E316">
        <v>-361619.84</v>
      </c>
      <c r="F316" t="s">
        <v>331</v>
      </c>
      <c r="G316" t="s">
        <v>383</v>
      </c>
      <c r="H316">
        <v>181025160005</v>
      </c>
      <c r="I316" t="str">
        <f>CashIntraTable[Portfolio]&amp;VALUE(CashIntraTable[Cash Date])&amp;CashIntraTable[Detail]</f>
        <v>SCBGOLDHRMF434032.1. Redemption</v>
      </c>
    </row>
    <row r="317" spans="1:9" x14ac:dyDescent="0.2">
      <c r="A317" t="s">
        <v>417</v>
      </c>
      <c r="B317" t="s">
        <v>23</v>
      </c>
      <c r="C317" s="147">
        <v>43398</v>
      </c>
      <c r="D317" t="s">
        <v>382</v>
      </c>
      <c r="E317">
        <v>-411381.62</v>
      </c>
      <c r="F317" t="s">
        <v>332</v>
      </c>
      <c r="G317" t="s">
        <v>383</v>
      </c>
      <c r="H317">
        <v>181025160005</v>
      </c>
      <c r="I317" t="str">
        <f>CashIntraTable[Portfolio]&amp;VALUE(CashIntraTable[Cash Date])&amp;CashIntraTable[Detail]</f>
        <v>SCBGOLDHRMF433982.2. Switch-out</v>
      </c>
    </row>
    <row r="318" spans="1:9" x14ac:dyDescent="0.2">
      <c r="A318" t="s">
        <v>417</v>
      </c>
      <c r="B318" t="s">
        <v>23</v>
      </c>
      <c r="C318" s="147">
        <v>43399</v>
      </c>
      <c r="D318" t="s">
        <v>382</v>
      </c>
      <c r="E318">
        <v>-2381532.7000000002</v>
      </c>
      <c r="F318" t="s">
        <v>332</v>
      </c>
      <c r="G318" t="s">
        <v>383</v>
      </c>
      <c r="H318">
        <v>181025160005</v>
      </c>
      <c r="I318" t="str">
        <f>CashIntraTable[Portfolio]&amp;VALUE(CashIntraTable[Cash Date])&amp;CashIntraTable[Detail]</f>
        <v>SCBGOLDHRMF433992.2. Switch-out</v>
      </c>
    </row>
    <row r="319" spans="1:9" x14ac:dyDescent="0.2">
      <c r="A319" t="s">
        <v>417</v>
      </c>
      <c r="B319" t="s">
        <v>23</v>
      </c>
      <c r="C319" s="147">
        <v>43402</v>
      </c>
      <c r="D319" t="s">
        <v>382</v>
      </c>
      <c r="E319">
        <v>-5104363.74</v>
      </c>
      <c r="F319" t="s">
        <v>332</v>
      </c>
      <c r="G319" t="s">
        <v>383</v>
      </c>
      <c r="H319">
        <v>181025160005</v>
      </c>
      <c r="I319" t="str">
        <f>CashIntraTable[Portfolio]&amp;VALUE(CashIntraTable[Cash Date])&amp;CashIntraTable[Detail]</f>
        <v>SCBGOLDHRMF434022.2. Switch-out</v>
      </c>
    </row>
    <row r="320" spans="1:9" x14ac:dyDescent="0.2">
      <c r="A320" t="s">
        <v>417</v>
      </c>
      <c r="B320" t="s">
        <v>23</v>
      </c>
      <c r="C320" s="147">
        <v>43403</v>
      </c>
      <c r="D320" t="s">
        <v>382</v>
      </c>
      <c r="E320">
        <v>-2255593.7400000002</v>
      </c>
      <c r="F320" t="s">
        <v>332</v>
      </c>
      <c r="G320" t="s">
        <v>383</v>
      </c>
      <c r="H320">
        <v>181025160005</v>
      </c>
      <c r="I320" t="str">
        <f>CashIntraTable[Portfolio]&amp;VALUE(CashIntraTable[Cash Date])&amp;CashIntraTable[Detail]</f>
        <v>SCBGOLDHRMF434032.2. Switch-out</v>
      </c>
    </row>
    <row r="321" spans="1:9" x14ac:dyDescent="0.2">
      <c r="A321" t="s">
        <v>418</v>
      </c>
      <c r="B321" t="s">
        <v>23</v>
      </c>
      <c r="C321" s="147">
        <v>43398</v>
      </c>
      <c r="D321" t="s">
        <v>382</v>
      </c>
      <c r="E321">
        <v>-3313409.99</v>
      </c>
      <c r="F321" t="s">
        <v>331</v>
      </c>
      <c r="G321" t="s">
        <v>383</v>
      </c>
      <c r="H321">
        <v>181025160005</v>
      </c>
      <c r="I321" t="str">
        <f>CashIntraTable[Portfolio]&amp;VALUE(CashIntraTable[Cash Date])&amp;CashIntraTable[Detail]</f>
        <v>SCBGPLUS433982.1. Redemption</v>
      </c>
    </row>
    <row r="322" spans="1:9" x14ac:dyDescent="0.2">
      <c r="A322" t="s">
        <v>418</v>
      </c>
      <c r="B322" t="s">
        <v>23</v>
      </c>
      <c r="C322" s="147">
        <v>43399</v>
      </c>
      <c r="D322" t="s">
        <v>382</v>
      </c>
      <c r="E322">
        <v>-8310921.2599999998</v>
      </c>
      <c r="F322" t="s">
        <v>331</v>
      </c>
      <c r="G322" t="s">
        <v>383</v>
      </c>
      <c r="H322">
        <v>181025160005</v>
      </c>
      <c r="I322" t="str">
        <f>CashIntraTable[Portfolio]&amp;VALUE(CashIntraTable[Cash Date])&amp;CashIntraTable[Detail]</f>
        <v>SCBGPLUS433992.1. Redemption</v>
      </c>
    </row>
    <row r="323" spans="1:9" x14ac:dyDescent="0.2">
      <c r="A323" t="s">
        <v>418</v>
      </c>
      <c r="B323" t="s">
        <v>23</v>
      </c>
      <c r="C323" s="147">
        <v>43402</v>
      </c>
      <c r="D323" t="s">
        <v>382</v>
      </c>
      <c r="E323">
        <v>-18458832.800000001</v>
      </c>
      <c r="F323" t="s">
        <v>331</v>
      </c>
      <c r="G323" t="s">
        <v>383</v>
      </c>
      <c r="H323">
        <v>181025160005</v>
      </c>
      <c r="I323" t="str">
        <f>CashIntraTable[Portfolio]&amp;VALUE(CashIntraTable[Cash Date])&amp;CashIntraTable[Detail]</f>
        <v>SCBGPLUS434022.1. Redemption</v>
      </c>
    </row>
    <row r="324" spans="1:9" x14ac:dyDescent="0.2">
      <c r="A324" t="s">
        <v>418</v>
      </c>
      <c r="B324" t="s">
        <v>23</v>
      </c>
      <c r="C324" s="147">
        <v>43403</v>
      </c>
      <c r="D324" t="s">
        <v>382</v>
      </c>
      <c r="E324">
        <v>-7249850.6200000001</v>
      </c>
      <c r="F324" t="s">
        <v>331</v>
      </c>
      <c r="G324" t="s">
        <v>383</v>
      </c>
      <c r="H324">
        <v>181025160005</v>
      </c>
      <c r="I324" t="str">
        <f>CashIntraTable[Portfolio]&amp;VALUE(CashIntraTable[Cash Date])&amp;CashIntraTable[Detail]</f>
        <v>SCBGPLUS434032.1. Redemption</v>
      </c>
    </row>
    <row r="325" spans="1:9" x14ac:dyDescent="0.2">
      <c r="A325" t="s">
        <v>418</v>
      </c>
      <c r="B325" t="s">
        <v>23</v>
      </c>
      <c r="C325" s="147">
        <v>43404</v>
      </c>
      <c r="D325" t="s">
        <v>382</v>
      </c>
      <c r="E325">
        <v>-5540747.8799999999</v>
      </c>
      <c r="F325" t="s">
        <v>331</v>
      </c>
      <c r="G325" t="s">
        <v>383</v>
      </c>
      <c r="H325">
        <v>181025160005</v>
      </c>
      <c r="I325" t="str">
        <f>CashIntraTable[Portfolio]&amp;VALUE(CashIntraTable[Cash Date])&amp;CashIntraTable[Detail]</f>
        <v>SCBGPLUS434042.1. Redemption</v>
      </c>
    </row>
    <row r="326" spans="1:9" x14ac:dyDescent="0.2">
      <c r="A326" t="s">
        <v>418</v>
      </c>
      <c r="B326" t="s">
        <v>23</v>
      </c>
      <c r="C326" s="147">
        <v>43398</v>
      </c>
      <c r="D326" t="s">
        <v>382</v>
      </c>
      <c r="E326">
        <v>-4440369.18</v>
      </c>
      <c r="F326" t="s">
        <v>332</v>
      </c>
      <c r="G326" t="s">
        <v>383</v>
      </c>
      <c r="H326">
        <v>181025160005</v>
      </c>
      <c r="I326" t="str">
        <f>CashIntraTable[Portfolio]&amp;VALUE(CashIntraTable[Cash Date])&amp;CashIntraTable[Detail]</f>
        <v>SCBGPLUS433982.2. Switch-out</v>
      </c>
    </row>
    <row r="327" spans="1:9" x14ac:dyDescent="0.2">
      <c r="A327" t="s">
        <v>418</v>
      </c>
      <c r="B327" t="s">
        <v>23</v>
      </c>
      <c r="C327" s="147">
        <v>43399</v>
      </c>
      <c r="D327" t="s">
        <v>382</v>
      </c>
      <c r="E327">
        <v>-10053819.99</v>
      </c>
      <c r="F327" t="s">
        <v>332</v>
      </c>
      <c r="G327" t="s">
        <v>383</v>
      </c>
      <c r="H327">
        <v>181025160005</v>
      </c>
      <c r="I327" t="str">
        <f>CashIntraTable[Portfolio]&amp;VALUE(CashIntraTable[Cash Date])&amp;CashIntraTable[Detail]</f>
        <v>SCBGPLUS433992.2. Switch-out</v>
      </c>
    </row>
    <row r="328" spans="1:9" x14ac:dyDescent="0.2">
      <c r="A328" t="s">
        <v>418</v>
      </c>
      <c r="B328" t="s">
        <v>23</v>
      </c>
      <c r="C328" s="147">
        <v>43402</v>
      </c>
      <c r="D328" t="s">
        <v>382</v>
      </c>
      <c r="E328">
        <v>-4363984.8600000003</v>
      </c>
      <c r="F328" t="s">
        <v>332</v>
      </c>
      <c r="G328" t="s">
        <v>383</v>
      </c>
      <c r="H328">
        <v>181025160005</v>
      </c>
      <c r="I328" t="str">
        <f>CashIntraTable[Portfolio]&amp;VALUE(CashIntraTable[Cash Date])&amp;CashIntraTable[Detail]</f>
        <v>SCBGPLUS434022.2. Switch-out</v>
      </c>
    </row>
    <row r="329" spans="1:9" x14ac:dyDescent="0.2">
      <c r="A329" t="s">
        <v>418</v>
      </c>
      <c r="B329" t="s">
        <v>23</v>
      </c>
      <c r="C329" s="147">
        <v>43403</v>
      </c>
      <c r="D329" t="s">
        <v>382</v>
      </c>
      <c r="E329">
        <v>-3129488.07</v>
      </c>
      <c r="F329" t="s">
        <v>332</v>
      </c>
      <c r="G329" t="s">
        <v>383</v>
      </c>
      <c r="H329">
        <v>181025160005</v>
      </c>
      <c r="I329" t="str">
        <f>CashIntraTable[Portfolio]&amp;VALUE(CashIntraTable[Cash Date])&amp;CashIntraTable[Detail]</f>
        <v>SCBGPLUS434032.2. Switch-out</v>
      </c>
    </row>
    <row r="330" spans="1:9" x14ac:dyDescent="0.2">
      <c r="A330" t="s">
        <v>418</v>
      </c>
      <c r="B330" t="s">
        <v>23</v>
      </c>
      <c r="C330" s="147">
        <v>43404</v>
      </c>
      <c r="D330" t="s">
        <v>382</v>
      </c>
      <c r="E330">
        <v>-5865056.6600000001</v>
      </c>
      <c r="F330" t="s">
        <v>332</v>
      </c>
      <c r="G330" t="s">
        <v>383</v>
      </c>
      <c r="H330">
        <v>181025160005</v>
      </c>
      <c r="I330" t="str">
        <f>CashIntraTable[Portfolio]&amp;VALUE(CashIntraTable[Cash Date])&amp;CashIntraTable[Detail]</f>
        <v>SCBGPLUS434042.2. Switch-out</v>
      </c>
    </row>
    <row r="331" spans="1:9" x14ac:dyDescent="0.2">
      <c r="A331" t="s">
        <v>419</v>
      </c>
      <c r="B331" t="s">
        <v>23</v>
      </c>
      <c r="C331" s="147">
        <v>43399</v>
      </c>
      <c r="D331" t="s">
        <v>382</v>
      </c>
      <c r="E331">
        <v>12000</v>
      </c>
      <c r="F331" t="s">
        <v>329</v>
      </c>
      <c r="G331" t="s">
        <v>383</v>
      </c>
      <c r="H331">
        <v>181025160005</v>
      </c>
      <c r="I331" t="str">
        <f>CashIntraTable[Portfolio]&amp;VALUE(CashIntraTable[Cash Date])&amp;CashIntraTable[Detail]</f>
        <v>SCBGPROP433991.1. Subscription</v>
      </c>
    </row>
    <row r="332" spans="1:9" x14ac:dyDescent="0.2">
      <c r="A332" t="s">
        <v>419</v>
      </c>
      <c r="B332" t="s">
        <v>23</v>
      </c>
      <c r="C332" s="147">
        <v>43398</v>
      </c>
      <c r="D332" t="s">
        <v>382</v>
      </c>
      <c r="E332">
        <v>-4831.08</v>
      </c>
      <c r="F332" t="s">
        <v>331</v>
      </c>
      <c r="G332" t="s">
        <v>383</v>
      </c>
      <c r="H332">
        <v>181025160005</v>
      </c>
      <c r="I332" t="str">
        <f>CashIntraTable[Portfolio]&amp;VALUE(CashIntraTable[Cash Date])&amp;CashIntraTable[Detail]</f>
        <v>SCBGPROP433982.1. Redemption</v>
      </c>
    </row>
    <row r="333" spans="1:9" x14ac:dyDescent="0.2">
      <c r="A333" t="s">
        <v>419</v>
      </c>
      <c r="B333" t="s">
        <v>23</v>
      </c>
      <c r="C333" s="147">
        <v>43403</v>
      </c>
      <c r="D333" t="s">
        <v>382</v>
      </c>
      <c r="E333">
        <v>-2790.35</v>
      </c>
      <c r="F333" t="s">
        <v>331</v>
      </c>
      <c r="G333" t="s">
        <v>383</v>
      </c>
      <c r="H333">
        <v>181025160005</v>
      </c>
      <c r="I333" t="str">
        <f>CashIntraTable[Portfolio]&amp;VALUE(CashIntraTable[Cash Date])&amp;CashIntraTable[Detail]</f>
        <v>SCBGPROP434032.1. Redemption</v>
      </c>
    </row>
    <row r="334" spans="1:9" x14ac:dyDescent="0.2">
      <c r="A334" t="s">
        <v>420</v>
      </c>
      <c r="B334" t="s">
        <v>23</v>
      </c>
      <c r="C334" s="147">
        <v>43398</v>
      </c>
      <c r="D334" t="s">
        <v>382</v>
      </c>
      <c r="E334">
        <v>520500</v>
      </c>
      <c r="F334" t="s">
        <v>329</v>
      </c>
      <c r="G334" t="s">
        <v>383</v>
      </c>
      <c r="H334">
        <v>181025160005</v>
      </c>
      <c r="I334" t="str">
        <f>CashIntraTable[Portfolio]&amp;VALUE(CashIntraTable[Cash Date])&amp;CashIntraTable[Detail]</f>
        <v>SCBGSIFUND433981.1. Subscription</v>
      </c>
    </row>
    <row r="335" spans="1:9" x14ac:dyDescent="0.2">
      <c r="A335" t="s">
        <v>420</v>
      </c>
      <c r="B335" t="s">
        <v>23</v>
      </c>
      <c r="C335" s="147">
        <v>43399</v>
      </c>
      <c r="D335" t="s">
        <v>382</v>
      </c>
      <c r="E335">
        <v>4000</v>
      </c>
      <c r="F335" t="s">
        <v>329</v>
      </c>
      <c r="G335" t="s">
        <v>383</v>
      </c>
      <c r="H335">
        <v>181025160005</v>
      </c>
      <c r="I335" t="str">
        <f>CashIntraTable[Portfolio]&amp;VALUE(CashIntraTable[Cash Date])&amp;CashIntraTable[Detail]</f>
        <v>SCBGSIFUND433991.1. Subscription</v>
      </c>
    </row>
    <row r="336" spans="1:9" x14ac:dyDescent="0.2">
      <c r="A336" t="s">
        <v>420</v>
      </c>
      <c r="B336" t="s">
        <v>23</v>
      </c>
      <c r="C336" s="147">
        <v>43399</v>
      </c>
      <c r="D336" t="s">
        <v>382</v>
      </c>
      <c r="E336">
        <v>159003.9</v>
      </c>
      <c r="F336" t="s">
        <v>330</v>
      </c>
      <c r="G336" t="s">
        <v>383</v>
      </c>
      <c r="H336">
        <v>181025160005</v>
      </c>
      <c r="I336" t="str">
        <f>CashIntraTable[Portfolio]&amp;VALUE(CashIntraTable[Cash Date])&amp;CashIntraTable[Detail]</f>
        <v>SCBGSIFUND433991.2. Switch-in</v>
      </c>
    </row>
    <row r="337" spans="1:9" x14ac:dyDescent="0.2">
      <c r="A337" t="s">
        <v>420</v>
      </c>
      <c r="B337" t="s">
        <v>23</v>
      </c>
      <c r="C337" s="147">
        <v>43398</v>
      </c>
      <c r="D337" t="s">
        <v>382</v>
      </c>
      <c r="E337">
        <v>-1937.96</v>
      </c>
      <c r="F337" t="s">
        <v>331</v>
      </c>
      <c r="G337" t="s">
        <v>383</v>
      </c>
      <c r="H337">
        <v>181025160005</v>
      </c>
      <c r="I337" t="str">
        <f>CashIntraTable[Portfolio]&amp;VALUE(CashIntraTable[Cash Date])&amp;CashIntraTable[Detail]</f>
        <v>SCBGSIFUND433982.1. Redemption</v>
      </c>
    </row>
    <row r="338" spans="1:9" x14ac:dyDescent="0.2">
      <c r="A338" t="s">
        <v>420</v>
      </c>
      <c r="B338" t="s">
        <v>23</v>
      </c>
      <c r="C338" s="147">
        <v>43399</v>
      </c>
      <c r="D338" t="s">
        <v>382</v>
      </c>
      <c r="E338">
        <v>-990.28</v>
      </c>
      <c r="F338" t="s">
        <v>331</v>
      </c>
      <c r="G338" t="s">
        <v>383</v>
      </c>
      <c r="H338">
        <v>181025160005</v>
      </c>
      <c r="I338" t="str">
        <f>CashIntraTable[Portfolio]&amp;VALUE(CashIntraTable[Cash Date])&amp;CashIntraTable[Detail]</f>
        <v>SCBGSIFUND433992.1. Redemption</v>
      </c>
    </row>
    <row r="339" spans="1:9" x14ac:dyDescent="0.2">
      <c r="A339" t="s">
        <v>420</v>
      </c>
      <c r="B339" t="s">
        <v>23</v>
      </c>
      <c r="C339" s="147">
        <v>43402</v>
      </c>
      <c r="D339" t="s">
        <v>382</v>
      </c>
      <c r="E339">
        <v>-992.96</v>
      </c>
      <c r="F339" t="s">
        <v>331</v>
      </c>
      <c r="G339" t="s">
        <v>383</v>
      </c>
      <c r="H339">
        <v>181025160005</v>
      </c>
      <c r="I339" t="str">
        <f>CashIntraTable[Portfolio]&amp;VALUE(CashIntraTable[Cash Date])&amp;CashIntraTable[Detail]</f>
        <v>SCBGSIFUND434022.1. Redemption</v>
      </c>
    </row>
    <row r="340" spans="1:9" x14ac:dyDescent="0.2">
      <c r="A340" t="s">
        <v>420</v>
      </c>
      <c r="B340" t="s">
        <v>23</v>
      </c>
      <c r="C340" s="147">
        <v>43403</v>
      </c>
      <c r="D340" t="s">
        <v>382</v>
      </c>
      <c r="E340">
        <v>-12808.05</v>
      </c>
      <c r="F340" t="s">
        <v>331</v>
      </c>
      <c r="G340" t="s">
        <v>383</v>
      </c>
      <c r="H340">
        <v>181025160005</v>
      </c>
      <c r="I340" t="str">
        <f>CashIntraTable[Portfolio]&amp;VALUE(CashIntraTable[Cash Date])&amp;CashIntraTable[Detail]</f>
        <v>SCBGSIFUND434032.1. Redemption</v>
      </c>
    </row>
    <row r="341" spans="1:9" x14ac:dyDescent="0.2">
      <c r="A341" t="s">
        <v>420</v>
      </c>
      <c r="B341" t="s">
        <v>23</v>
      </c>
      <c r="C341" s="147">
        <v>43404</v>
      </c>
      <c r="D341" t="s">
        <v>382</v>
      </c>
      <c r="E341">
        <v>-1070.93</v>
      </c>
      <c r="F341" t="s">
        <v>331</v>
      </c>
      <c r="G341" t="s">
        <v>383</v>
      </c>
      <c r="H341">
        <v>181025160005</v>
      </c>
      <c r="I341" t="str">
        <f>CashIntraTable[Portfolio]&amp;VALUE(CashIntraTable[Cash Date])&amp;CashIntraTable[Detail]</f>
        <v>SCBGSIFUND434042.1. Redemption</v>
      </c>
    </row>
    <row r="342" spans="1:9" x14ac:dyDescent="0.2">
      <c r="A342" t="s">
        <v>420</v>
      </c>
      <c r="B342" t="s">
        <v>23</v>
      </c>
      <c r="C342" s="147">
        <v>43398</v>
      </c>
      <c r="D342" t="s">
        <v>382</v>
      </c>
      <c r="E342">
        <v>-4919.66</v>
      </c>
      <c r="F342" t="s">
        <v>332</v>
      </c>
      <c r="G342" t="s">
        <v>383</v>
      </c>
      <c r="H342">
        <v>181025160005</v>
      </c>
      <c r="I342" t="str">
        <f>CashIntraTable[Portfolio]&amp;VALUE(CashIntraTable[Cash Date])&amp;CashIntraTable[Detail]</f>
        <v>SCBGSIFUND433982.2. Switch-out</v>
      </c>
    </row>
    <row r="343" spans="1:9" x14ac:dyDescent="0.2">
      <c r="A343" t="s">
        <v>420</v>
      </c>
      <c r="B343" t="s">
        <v>23</v>
      </c>
      <c r="C343" s="147">
        <v>43402</v>
      </c>
      <c r="D343" t="s">
        <v>382</v>
      </c>
      <c r="E343">
        <v>-19720.919999999998</v>
      </c>
      <c r="F343" t="s">
        <v>332</v>
      </c>
      <c r="G343" t="s">
        <v>383</v>
      </c>
      <c r="H343">
        <v>181025160005</v>
      </c>
      <c r="I343" t="str">
        <f>CashIntraTable[Portfolio]&amp;VALUE(CashIntraTable[Cash Date])&amp;CashIntraTable[Detail]</f>
        <v>SCBGSIFUND434022.2. Switch-out</v>
      </c>
    </row>
    <row r="344" spans="1:9" x14ac:dyDescent="0.2">
      <c r="A344" t="s">
        <v>421</v>
      </c>
      <c r="B344" t="s">
        <v>23</v>
      </c>
      <c r="C344" s="147">
        <v>43398</v>
      </c>
      <c r="D344" t="s">
        <v>382</v>
      </c>
      <c r="E344">
        <v>-1977381.31</v>
      </c>
      <c r="F344" t="s">
        <v>331</v>
      </c>
      <c r="G344" t="s">
        <v>383</v>
      </c>
      <c r="H344">
        <v>181025160005</v>
      </c>
      <c r="I344" t="str">
        <f>CashIntraTable[Portfolio]&amp;VALUE(CashIntraTable[Cash Date])&amp;CashIntraTable[Detail]</f>
        <v>SCBINC433982.1. Redemption</v>
      </c>
    </row>
    <row r="345" spans="1:9" x14ac:dyDescent="0.2">
      <c r="A345" t="s">
        <v>421</v>
      </c>
      <c r="B345" t="s">
        <v>23</v>
      </c>
      <c r="C345" s="147">
        <v>43399</v>
      </c>
      <c r="D345" t="s">
        <v>382</v>
      </c>
      <c r="E345">
        <v>-196291.71</v>
      </c>
      <c r="F345" t="s">
        <v>331</v>
      </c>
      <c r="G345" t="s">
        <v>383</v>
      </c>
      <c r="H345">
        <v>181025160005</v>
      </c>
      <c r="I345" t="str">
        <f>CashIntraTable[Portfolio]&amp;VALUE(CashIntraTable[Cash Date])&amp;CashIntraTable[Detail]</f>
        <v>SCBINC433992.1. Redemption</v>
      </c>
    </row>
    <row r="346" spans="1:9" x14ac:dyDescent="0.2">
      <c r="A346" t="s">
        <v>421</v>
      </c>
      <c r="B346" t="s">
        <v>23</v>
      </c>
      <c r="C346" s="147">
        <v>43403</v>
      </c>
      <c r="D346" t="s">
        <v>382</v>
      </c>
      <c r="E346">
        <v>-117763.85</v>
      </c>
      <c r="F346" t="s">
        <v>331</v>
      </c>
      <c r="G346" t="s">
        <v>383</v>
      </c>
      <c r="H346">
        <v>181025160005</v>
      </c>
      <c r="I346" t="str">
        <f>CashIntraTable[Portfolio]&amp;VALUE(CashIntraTable[Cash Date])&amp;CashIntraTable[Detail]</f>
        <v>SCBINC434032.1. Redemption</v>
      </c>
    </row>
    <row r="347" spans="1:9" x14ac:dyDescent="0.2">
      <c r="A347" t="s">
        <v>421</v>
      </c>
      <c r="B347" t="s">
        <v>23</v>
      </c>
      <c r="C347" s="147">
        <v>43398</v>
      </c>
      <c r="D347" t="s">
        <v>382</v>
      </c>
      <c r="E347">
        <v>-861777.37</v>
      </c>
      <c r="F347" t="s">
        <v>332</v>
      </c>
      <c r="G347" t="s">
        <v>383</v>
      </c>
      <c r="H347">
        <v>181025160005</v>
      </c>
      <c r="I347" t="str">
        <f>CashIntraTable[Portfolio]&amp;VALUE(CashIntraTable[Cash Date])&amp;CashIntraTable[Detail]</f>
        <v>SCBINC433982.2. Switch-out</v>
      </c>
    </row>
    <row r="348" spans="1:9" x14ac:dyDescent="0.2">
      <c r="A348" t="s">
        <v>421</v>
      </c>
      <c r="B348" t="s">
        <v>23</v>
      </c>
      <c r="C348" s="147">
        <v>43402</v>
      </c>
      <c r="D348" t="s">
        <v>382</v>
      </c>
      <c r="E348">
        <v>-6870209.79</v>
      </c>
      <c r="F348" t="s">
        <v>332</v>
      </c>
      <c r="G348" t="s">
        <v>383</v>
      </c>
      <c r="H348">
        <v>181025160005</v>
      </c>
      <c r="I348" t="str">
        <f>CashIntraTable[Portfolio]&amp;VALUE(CashIntraTable[Cash Date])&amp;CashIntraTable[Detail]</f>
        <v>SCBINC434022.2. Switch-out</v>
      </c>
    </row>
    <row r="349" spans="1:9" x14ac:dyDescent="0.2">
      <c r="A349" t="s">
        <v>421</v>
      </c>
      <c r="B349" t="s">
        <v>23</v>
      </c>
      <c r="C349" s="147">
        <v>43403</v>
      </c>
      <c r="D349" t="s">
        <v>382</v>
      </c>
      <c r="E349">
        <v>-2962251.03</v>
      </c>
      <c r="F349" t="s">
        <v>332</v>
      </c>
      <c r="G349" t="s">
        <v>383</v>
      </c>
      <c r="H349">
        <v>181025160005</v>
      </c>
      <c r="I349" t="str">
        <f>CashIntraTable[Portfolio]&amp;VALUE(CashIntraTable[Cash Date])&amp;CashIntraTable[Detail]</f>
        <v>SCBINC434032.2. Switch-out</v>
      </c>
    </row>
    <row r="350" spans="1:9" x14ac:dyDescent="0.2">
      <c r="A350" t="s">
        <v>422</v>
      </c>
      <c r="B350" t="s">
        <v>23</v>
      </c>
      <c r="C350" s="147">
        <v>43398</v>
      </c>
      <c r="D350" t="s">
        <v>382</v>
      </c>
      <c r="E350">
        <v>90200</v>
      </c>
      <c r="F350" t="s">
        <v>329</v>
      </c>
      <c r="G350" t="s">
        <v>383</v>
      </c>
      <c r="H350">
        <v>181025160005</v>
      </c>
      <c r="I350" t="str">
        <f>CashIntraTable[Portfolio]&amp;VALUE(CashIntraTable[Cash Date])&amp;CashIntraTable[Detail]</f>
        <v>SCBINDIA433981.1. Subscription</v>
      </c>
    </row>
    <row r="351" spans="1:9" x14ac:dyDescent="0.2">
      <c r="A351" t="s">
        <v>422</v>
      </c>
      <c r="B351" t="s">
        <v>23</v>
      </c>
      <c r="C351" s="147">
        <v>43399</v>
      </c>
      <c r="D351" t="s">
        <v>382</v>
      </c>
      <c r="E351">
        <v>128000</v>
      </c>
      <c r="F351" t="s">
        <v>329</v>
      </c>
      <c r="G351" t="s">
        <v>383</v>
      </c>
      <c r="H351">
        <v>181025160005</v>
      </c>
      <c r="I351" t="str">
        <f>CashIntraTable[Portfolio]&amp;VALUE(CashIntraTable[Cash Date])&amp;CashIntraTable[Detail]</f>
        <v>SCBINDIA433991.1. Subscription</v>
      </c>
    </row>
    <row r="352" spans="1:9" x14ac:dyDescent="0.2">
      <c r="A352" t="s">
        <v>422</v>
      </c>
      <c r="B352" t="s">
        <v>23</v>
      </c>
      <c r="C352" s="147">
        <v>43398</v>
      </c>
      <c r="D352" t="s">
        <v>382</v>
      </c>
      <c r="E352">
        <v>2000</v>
      </c>
      <c r="F352" t="s">
        <v>330</v>
      </c>
      <c r="G352" t="s">
        <v>383</v>
      </c>
      <c r="H352">
        <v>181025160005</v>
      </c>
      <c r="I352" t="str">
        <f>CashIntraTable[Portfolio]&amp;VALUE(CashIntraTable[Cash Date])&amp;CashIntraTable[Detail]</f>
        <v>SCBINDIA433981.2. Switch-in</v>
      </c>
    </row>
    <row r="353" spans="1:9" x14ac:dyDescent="0.2">
      <c r="A353" t="s">
        <v>422</v>
      </c>
      <c r="B353" t="s">
        <v>23</v>
      </c>
      <c r="C353" s="147">
        <v>43399</v>
      </c>
      <c r="D353" t="s">
        <v>382</v>
      </c>
      <c r="E353">
        <v>500000</v>
      </c>
      <c r="F353" t="s">
        <v>330</v>
      </c>
      <c r="G353" t="s">
        <v>383</v>
      </c>
      <c r="H353">
        <v>181025160005</v>
      </c>
      <c r="I353" t="str">
        <f>CashIntraTable[Portfolio]&amp;VALUE(CashIntraTable[Cash Date])&amp;CashIntraTable[Detail]</f>
        <v>SCBINDIA433991.2. Switch-in</v>
      </c>
    </row>
    <row r="354" spans="1:9" x14ac:dyDescent="0.2">
      <c r="A354" t="s">
        <v>422</v>
      </c>
      <c r="B354" t="s">
        <v>23</v>
      </c>
      <c r="C354" s="147">
        <v>43402</v>
      </c>
      <c r="D354" t="s">
        <v>382</v>
      </c>
      <c r="E354">
        <v>956.95</v>
      </c>
      <c r="F354" t="s">
        <v>330</v>
      </c>
      <c r="G354" t="s">
        <v>383</v>
      </c>
      <c r="H354">
        <v>181025160005</v>
      </c>
      <c r="I354" t="str">
        <f>CashIntraTable[Portfolio]&amp;VALUE(CashIntraTable[Cash Date])&amp;CashIntraTable[Detail]</f>
        <v>SCBINDIA434021.2. Switch-in</v>
      </c>
    </row>
    <row r="355" spans="1:9" x14ac:dyDescent="0.2">
      <c r="A355" t="s">
        <v>422</v>
      </c>
      <c r="B355" t="s">
        <v>23</v>
      </c>
      <c r="C355" s="147">
        <v>43403</v>
      </c>
      <c r="D355" t="s">
        <v>382</v>
      </c>
      <c r="E355">
        <v>3000</v>
      </c>
      <c r="F355" t="s">
        <v>330</v>
      </c>
      <c r="G355" t="s">
        <v>383</v>
      </c>
      <c r="H355">
        <v>181025160005</v>
      </c>
      <c r="I355" t="str">
        <f>CashIntraTable[Portfolio]&amp;VALUE(CashIntraTable[Cash Date])&amp;CashIntraTable[Detail]</f>
        <v>SCBINDIA434031.2. Switch-in</v>
      </c>
    </row>
    <row r="356" spans="1:9" x14ac:dyDescent="0.2">
      <c r="A356" t="s">
        <v>422</v>
      </c>
      <c r="B356" t="s">
        <v>23</v>
      </c>
      <c r="C356" s="147">
        <v>43399</v>
      </c>
      <c r="D356" t="s">
        <v>382</v>
      </c>
      <c r="E356">
        <v>-27020.91</v>
      </c>
      <c r="F356" t="s">
        <v>331</v>
      </c>
      <c r="G356" t="s">
        <v>383</v>
      </c>
      <c r="H356">
        <v>181025160005</v>
      </c>
      <c r="I356" t="str">
        <f>CashIntraTable[Portfolio]&amp;VALUE(CashIntraTable[Cash Date])&amp;CashIntraTable[Detail]</f>
        <v>SCBINDIA433992.1. Redemption</v>
      </c>
    </row>
    <row r="357" spans="1:9" x14ac:dyDescent="0.2">
      <c r="A357" t="s">
        <v>422</v>
      </c>
      <c r="B357" t="s">
        <v>23</v>
      </c>
      <c r="C357" s="147">
        <v>43402</v>
      </c>
      <c r="D357" t="s">
        <v>382</v>
      </c>
      <c r="E357">
        <v>-90000</v>
      </c>
      <c r="F357" t="s">
        <v>331</v>
      </c>
      <c r="G357" t="s">
        <v>383</v>
      </c>
      <c r="H357">
        <v>181025160005</v>
      </c>
      <c r="I357" t="str">
        <f>CashIntraTable[Portfolio]&amp;VALUE(CashIntraTable[Cash Date])&amp;CashIntraTable[Detail]</f>
        <v>SCBINDIA434022.1. Redemption</v>
      </c>
    </row>
    <row r="358" spans="1:9" x14ac:dyDescent="0.2">
      <c r="A358" t="s">
        <v>422</v>
      </c>
      <c r="B358" t="s">
        <v>23</v>
      </c>
      <c r="C358" s="147">
        <v>43403</v>
      </c>
      <c r="D358" t="s">
        <v>382</v>
      </c>
      <c r="E358">
        <v>-31104549.489999998</v>
      </c>
      <c r="F358" t="s">
        <v>331</v>
      </c>
      <c r="G358" t="s">
        <v>383</v>
      </c>
      <c r="H358">
        <v>181025160005</v>
      </c>
      <c r="I358" t="str">
        <f>CashIntraTable[Portfolio]&amp;VALUE(CashIntraTable[Cash Date])&amp;CashIntraTable[Detail]</f>
        <v>SCBINDIA434032.1. Redemption</v>
      </c>
    </row>
    <row r="359" spans="1:9" x14ac:dyDescent="0.2">
      <c r="A359" t="s">
        <v>422</v>
      </c>
      <c r="B359" t="s">
        <v>23</v>
      </c>
      <c r="C359" s="147">
        <v>43398</v>
      </c>
      <c r="D359" t="s">
        <v>382</v>
      </c>
      <c r="E359">
        <v>-144941.32999999999</v>
      </c>
      <c r="F359" t="s">
        <v>332</v>
      </c>
      <c r="G359" t="s">
        <v>383</v>
      </c>
      <c r="H359">
        <v>181025160005</v>
      </c>
      <c r="I359" t="str">
        <f>CashIntraTable[Portfolio]&amp;VALUE(CashIntraTable[Cash Date])&amp;CashIntraTable[Detail]</f>
        <v>SCBINDIA433982.2. Switch-out</v>
      </c>
    </row>
    <row r="360" spans="1:9" x14ac:dyDescent="0.2">
      <c r="A360" t="s">
        <v>422</v>
      </c>
      <c r="B360" t="s">
        <v>23</v>
      </c>
      <c r="C360" s="147">
        <v>43399</v>
      </c>
      <c r="D360" t="s">
        <v>382</v>
      </c>
      <c r="E360">
        <v>-62440.51</v>
      </c>
      <c r="F360" t="s">
        <v>332</v>
      </c>
      <c r="G360" t="s">
        <v>383</v>
      </c>
      <c r="H360">
        <v>181025160005</v>
      </c>
      <c r="I360" t="str">
        <f>CashIntraTable[Portfolio]&amp;VALUE(CashIntraTable[Cash Date])&amp;CashIntraTable[Detail]</f>
        <v>SCBINDIA433992.2. Switch-out</v>
      </c>
    </row>
    <row r="361" spans="1:9" x14ac:dyDescent="0.2">
      <c r="A361" t="s">
        <v>423</v>
      </c>
      <c r="B361" t="s">
        <v>23</v>
      </c>
      <c r="C361" s="147">
        <v>43398</v>
      </c>
      <c r="D361" t="s">
        <v>382</v>
      </c>
      <c r="E361">
        <v>3000</v>
      </c>
      <c r="F361" t="s">
        <v>329</v>
      </c>
      <c r="G361" t="s">
        <v>383</v>
      </c>
      <c r="H361">
        <v>181025160005</v>
      </c>
      <c r="I361" t="str">
        <f>CashIntraTable[Portfolio]&amp;VALUE(CashIntraTable[Cash Date])&amp;CashIntraTable[Detail]</f>
        <v>SCBJPSM433981.1. Subscription</v>
      </c>
    </row>
    <row r="362" spans="1:9" x14ac:dyDescent="0.2">
      <c r="A362" t="s">
        <v>423</v>
      </c>
      <c r="B362" t="s">
        <v>23</v>
      </c>
      <c r="C362" s="147">
        <v>43399</v>
      </c>
      <c r="D362" t="s">
        <v>382</v>
      </c>
      <c r="E362">
        <v>108200</v>
      </c>
      <c r="F362" t="s">
        <v>329</v>
      </c>
      <c r="G362" t="s">
        <v>383</v>
      </c>
      <c r="H362">
        <v>181025160005</v>
      </c>
      <c r="I362" t="str">
        <f>CashIntraTable[Portfolio]&amp;VALUE(CashIntraTable[Cash Date])&amp;CashIntraTable[Detail]</f>
        <v>SCBJPSM433991.1. Subscription</v>
      </c>
    </row>
    <row r="363" spans="1:9" x14ac:dyDescent="0.2">
      <c r="A363" t="s">
        <v>423</v>
      </c>
      <c r="B363" t="s">
        <v>23</v>
      </c>
      <c r="C363" s="147">
        <v>43399</v>
      </c>
      <c r="D363" t="s">
        <v>382</v>
      </c>
      <c r="E363">
        <v>300000</v>
      </c>
      <c r="F363" t="s">
        <v>330</v>
      </c>
      <c r="G363" t="s">
        <v>383</v>
      </c>
      <c r="H363">
        <v>181025160005</v>
      </c>
      <c r="I363" t="str">
        <f>CashIntraTable[Portfolio]&amp;VALUE(CashIntraTable[Cash Date])&amp;CashIntraTable[Detail]</f>
        <v>SCBJPSM433991.2. Switch-in</v>
      </c>
    </row>
    <row r="364" spans="1:9" x14ac:dyDescent="0.2">
      <c r="A364" t="s">
        <v>423</v>
      </c>
      <c r="B364" t="s">
        <v>23</v>
      </c>
      <c r="C364" s="147">
        <v>43404</v>
      </c>
      <c r="D364" t="s">
        <v>382</v>
      </c>
      <c r="E364">
        <v>3591.34</v>
      </c>
      <c r="F364" t="s">
        <v>330</v>
      </c>
      <c r="G364" t="s">
        <v>383</v>
      </c>
      <c r="H364">
        <v>181025160005</v>
      </c>
      <c r="I364" t="str">
        <f>CashIntraTable[Portfolio]&amp;VALUE(CashIntraTable[Cash Date])&amp;CashIntraTable[Detail]</f>
        <v>SCBJPSM434041.2. Switch-in</v>
      </c>
    </row>
    <row r="365" spans="1:9" x14ac:dyDescent="0.2">
      <c r="A365" t="s">
        <v>423</v>
      </c>
      <c r="B365" t="s">
        <v>23</v>
      </c>
      <c r="C365" s="147">
        <v>43405</v>
      </c>
      <c r="D365" t="s">
        <v>382</v>
      </c>
      <c r="E365">
        <v>9689.14</v>
      </c>
      <c r="F365" t="s">
        <v>330</v>
      </c>
      <c r="G365" t="s">
        <v>383</v>
      </c>
      <c r="H365">
        <v>181025160005</v>
      </c>
      <c r="I365" t="str">
        <f>CashIntraTable[Portfolio]&amp;VALUE(CashIntraTable[Cash Date])&amp;CashIntraTable[Detail]</f>
        <v>SCBJPSM434051.2. Switch-in</v>
      </c>
    </row>
    <row r="366" spans="1:9" x14ac:dyDescent="0.2">
      <c r="A366" t="s">
        <v>423</v>
      </c>
      <c r="B366" t="s">
        <v>23</v>
      </c>
      <c r="C366" s="147">
        <v>43398</v>
      </c>
      <c r="D366" t="s">
        <v>382</v>
      </c>
      <c r="E366">
        <v>-92440.7</v>
      </c>
      <c r="F366" t="s">
        <v>331</v>
      </c>
      <c r="G366" t="s">
        <v>383</v>
      </c>
      <c r="H366">
        <v>181025160005</v>
      </c>
      <c r="I366" t="str">
        <f>CashIntraTable[Portfolio]&amp;VALUE(CashIntraTable[Cash Date])&amp;CashIntraTable[Detail]</f>
        <v>SCBJPSM433982.1. Redemption</v>
      </c>
    </row>
    <row r="367" spans="1:9" x14ac:dyDescent="0.2">
      <c r="A367" t="s">
        <v>423</v>
      </c>
      <c r="B367" t="s">
        <v>23</v>
      </c>
      <c r="C367" s="147">
        <v>43403</v>
      </c>
      <c r="D367" t="s">
        <v>382</v>
      </c>
      <c r="E367">
        <v>-9881.1299999999992</v>
      </c>
      <c r="F367" t="s">
        <v>331</v>
      </c>
      <c r="G367" t="s">
        <v>383</v>
      </c>
      <c r="H367">
        <v>181025160005</v>
      </c>
      <c r="I367" t="str">
        <f>CashIntraTable[Portfolio]&amp;VALUE(CashIntraTable[Cash Date])&amp;CashIntraTable[Detail]</f>
        <v>SCBJPSM434032.1. Redemption</v>
      </c>
    </row>
    <row r="368" spans="1:9" x14ac:dyDescent="0.2">
      <c r="A368" t="s">
        <v>423</v>
      </c>
      <c r="B368" t="s">
        <v>23</v>
      </c>
      <c r="C368" s="147">
        <v>43405</v>
      </c>
      <c r="D368" t="s">
        <v>382</v>
      </c>
      <c r="E368">
        <v>-30947.040000000001</v>
      </c>
      <c r="F368" t="s">
        <v>331</v>
      </c>
      <c r="G368" t="s">
        <v>383</v>
      </c>
      <c r="H368">
        <v>181025160005</v>
      </c>
      <c r="I368" t="str">
        <f>CashIntraTable[Portfolio]&amp;VALUE(CashIntraTable[Cash Date])&amp;CashIntraTable[Detail]</f>
        <v>SCBJPSM434052.1. Redemption</v>
      </c>
    </row>
    <row r="369" spans="1:9" x14ac:dyDescent="0.2">
      <c r="A369" t="s">
        <v>423</v>
      </c>
      <c r="B369" t="s">
        <v>23</v>
      </c>
      <c r="C369" s="147">
        <v>43409</v>
      </c>
      <c r="D369" t="s">
        <v>382</v>
      </c>
      <c r="E369">
        <v>-96959.24</v>
      </c>
      <c r="F369" t="s">
        <v>331</v>
      </c>
      <c r="G369" t="s">
        <v>383</v>
      </c>
      <c r="H369">
        <v>181025160005</v>
      </c>
      <c r="I369" t="str">
        <f>CashIntraTable[Portfolio]&amp;VALUE(CashIntraTable[Cash Date])&amp;CashIntraTable[Detail]</f>
        <v>SCBJPSM434092.1. Redemption</v>
      </c>
    </row>
    <row r="370" spans="1:9" x14ac:dyDescent="0.2">
      <c r="A370" t="s">
        <v>423</v>
      </c>
      <c r="B370" t="s">
        <v>23</v>
      </c>
      <c r="C370" s="147">
        <v>43403</v>
      </c>
      <c r="D370" t="s">
        <v>382</v>
      </c>
      <c r="E370">
        <v>-4578905.92</v>
      </c>
      <c r="F370" t="s">
        <v>332</v>
      </c>
      <c r="G370" t="s">
        <v>383</v>
      </c>
      <c r="H370">
        <v>181025160005</v>
      </c>
      <c r="I370" t="str">
        <f>CashIntraTable[Portfolio]&amp;VALUE(CashIntraTable[Cash Date])&amp;CashIntraTable[Detail]</f>
        <v>SCBJPSM434032.2. Switch-out</v>
      </c>
    </row>
    <row r="371" spans="1:9" x14ac:dyDescent="0.2">
      <c r="A371" t="s">
        <v>423</v>
      </c>
      <c r="B371" t="s">
        <v>23</v>
      </c>
      <c r="C371" s="147">
        <v>43406</v>
      </c>
      <c r="D371" t="s">
        <v>382</v>
      </c>
      <c r="E371">
        <v>-1002.3</v>
      </c>
      <c r="F371" t="s">
        <v>332</v>
      </c>
      <c r="G371" t="s">
        <v>383</v>
      </c>
      <c r="H371">
        <v>181025160005</v>
      </c>
      <c r="I371" t="str">
        <f>CashIntraTable[Portfolio]&amp;VALUE(CashIntraTable[Cash Date])&amp;CashIntraTable[Detail]</f>
        <v>SCBJPSM434062.2. Switch-out</v>
      </c>
    </row>
    <row r="372" spans="1:9" x14ac:dyDescent="0.2">
      <c r="A372" t="s">
        <v>424</v>
      </c>
      <c r="B372" t="s">
        <v>23</v>
      </c>
      <c r="C372" s="147">
        <v>43398</v>
      </c>
      <c r="D372" t="s">
        <v>382</v>
      </c>
      <c r="E372">
        <v>471000</v>
      </c>
      <c r="F372" t="s">
        <v>329</v>
      </c>
      <c r="G372" t="s">
        <v>383</v>
      </c>
      <c r="H372">
        <v>181025160005</v>
      </c>
      <c r="I372" t="str">
        <f>CashIntraTable[Portfolio]&amp;VALUE(CashIntraTable[Cash Date])&amp;CashIntraTable[Detail]</f>
        <v>SCBKEQTG433981.1. Subscription</v>
      </c>
    </row>
    <row r="373" spans="1:9" x14ac:dyDescent="0.2">
      <c r="A373" t="s">
        <v>424</v>
      </c>
      <c r="B373" t="s">
        <v>23</v>
      </c>
      <c r="C373" s="147">
        <v>43399</v>
      </c>
      <c r="D373" t="s">
        <v>382</v>
      </c>
      <c r="E373">
        <v>468000</v>
      </c>
      <c r="F373" t="s">
        <v>329</v>
      </c>
      <c r="G373" t="s">
        <v>383</v>
      </c>
      <c r="H373">
        <v>181025160005</v>
      </c>
      <c r="I373" t="str">
        <f>CashIntraTable[Portfolio]&amp;VALUE(CashIntraTable[Cash Date])&amp;CashIntraTable[Detail]</f>
        <v>SCBKEQTG433991.1. Subscription</v>
      </c>
    </row>
    <row r="374" spans="1:9" x14ac:dyDescent="0.2">
      <c r="A374" t="s">
        <v>424</v>
      </c>
      <c r="B374" t="s">
        <v>23</v>
      </c>
      <c r="C374" s="147">
        <v>43399</v>
      </c>
      <c r="D374" t="s">
        <v>382</v>
      </c>
      <c r="E374">
        <v>18240.18</v>
      </c>
      <c r="F374" t="s">
        <v>330</v>
      </c>
      <c r="G374" t="s">
        <v>383</v>
      </c>
      <c r="H374">
        <v>181025160005</v>
      </c>
      <c r="I374" t="str">
        <f>CashIntraTable[Portfolio]&amp;VALUE(CashIntraTable[Cash Date])&amp;CashIntraTable[Detail]</f>
        <v>SCBKEQTG433991.2. Switch-in</v>
      </c>
    </row>
    <row r="375" spans="1:9" x14ac:dyDescent="0.2">
      <c r="A375" t="s">
        <v>424</v>
      </c>
      <c r="B375" t="s">
        <v>23</v>
      </c>
      <c r="C375" s="147">
        <v>43402</v>
      </c>
      <c r="D375" t="s">
        <v>382</v>
      </c>
      <c r="E375">
        <v>43289.27</v>
      </c>
      <c r="F375" t="s">
        <v>330</v>
      </c>
      <c r="G375" t="s">
        <v>383</v>
      </c>
      <c r="H375">
        <v>181025160005</v>
      </c>
      <c r="I375" t="str">
        <f>CashIntraTable[Portfolio]&amp;VALUE(CashIntraTable[Cash Date])&amp;CashIntraTable[Detail]</f>
        <v>SCBKEQTG434021.2. Switch-in</v>
      </c>
    </row>
    <row r="376" spans="1:9" x14ac:dyDescent="0.2">
      <c r="A376" t="s">
        <v>424</v>
      </c>
      <c r="B376" t="s">
        <v>23</v>
      </c>
      <c r="C376" s="147">
        <v>43398</v>
      </c>
      <c r="D376" t="s">
        <v>382</v>
      </c>
      <c r="E376">
        <v>-1755866.88</v>
      </c>
      <c r="F376" t="s">
        <v>331</v>
      </c>
      <c r="G376" t="s">
        <v>383</v>
      </c>
      <c r="H376">
        <v>181025160005</v>
      </c>
      <c r="I376" t="str">
        <f>CashIntraTable[Portfolio]&amp;VALUE(CashIntraTable[Cash Date])&amp;CashIntraTable[Detail]</f>
        <v>SCBKEQTG433982.1. Redemption</v>
      </c>
    </row>
    <row r="377" spans="1:9" x14ac:dyDescent="0.2">
      <c r="A377" t="s">
        <v>424</v>
      </c>
      <c r="B377" t="s">
        <v>23</v>
      </c>
      <c r="C377" s="147">
        <v>43399</v>
      </c>
      <c r="D377" t="s">
        <v>382</v>
      </c>
      <c r="E377">
        <v>-106410.78</v>
      </c>
      <c r="F377" t="s">
        <v>331</v>
      </c>
      <c r="G377" t="s">
        <v>383</v>
      </c>
      <c r="H377">
        <v>181025160005</v>
      </c>
      <c r="I377" t="str">
        <f>CashIntraTable[Portfolio]&amp;VALUE(CashIntraTable[Cash Date])&amp;CashIntraTable[Detail]</f>
        <v>SCBKEQTG433992.1. Redemption</v>
      </c>
    </row>
    <row r="378" spans="1:9" x14ac:dyDescent="0.2">
      <c r="A378" t="s">
        <v>424</v>
      </c>
      <c r="B378" t="s">
        <v>23</v>
      </c>
      <c r="C378" s="147">
        <v>43402</v>
      </c>
      <c r="D378" t="s">
        <v>382</v>
      </c>
      <c r="E378">
        <v>-3233431.97</v>
      </c>
      <c r="F378" t="s">
        <v>331</v>
      </c>
      <c r="G378" t="s">
        <v>383</v>
      </c>
      <c r="H378">
        <v>181025160005</v>
      </c>
      <c r="I378" t="str">
        <f>CashIntraTable[Portfolio]&amp;VALUE(CashIntraTable[Cash Date])&amp;CashIntraTable[Detail]</f>
        <v>SCBKEQTG434022.1. Redemption</v>
      </c>
    </row>
    <row r="379" spans="1:9" x14ac:dyDescent="0.2">
      <c r="A379" t="s">
        <v>424</v>
      </c>
      <c r="B379" t="s">
        <v>23</v>
      </c>
      <c r="C379" s="147">
        <v>43403</v>
      </c>
      <c r="D379" t="s">
        <v>382</v>
      </c>
      <c r="E379">
        <v>-603809.56000000006</v>
      </c>
      <c r="F379" t="s">
        <v>331</v>
      </c>
      <c r="G379" t="s">
        <v>383</v>
      </c>
      <c r="H379">
        <v>181025160005</v>
      </c>
      <c r="I379" t="str">
        <f>CashIntraTable[Portfolio]&amp;VALUE(CashIntraTable[Cash Date])&amp;CashIntraTable[Detail]</f>
        <v>SCBKEQTG434032.1. Redemption</v>
      </c>
    </row>
    <row r="380" spans="1:9" x14ac:dyDescent="0.2">
      <c r="A380" t="s">
        <v>424</v>
      </c>
      <c r="B380" t="s">
        <v>23</v>
      </c>
      <c r="C380" s="147">
        <v>43399</v>
      </c>
      <c r="D380" t="s">
        <v>382</v>
      </c>
      <c r="E380">
        <v>-183553.3</v>
      </c>
      <c r="F380" t="s">
        <v>332</v>
      </c>
      <c r="G380" t="s">
        <v>383</v>
      </c>
      <c r="H380">
        <v>181025160005</v>
      </c>
      <c r="I380" t="str">
        <f>CashIntraTable[Portfolio]&amp;VALUE(CashIntraTable[Cash Date])&amp;CashIntraTable[Detail]</f>
        <v>SCBKEQTG433992.2. Switch-out</v>
      </c>
    </row>
    <row r="381" spans="1:9" x14ac:dyDescent="0.2">
      <c r="A381" t="s">
        <v>424</v>
      </c>
      <c r="B381" t="s">
        <v>23</v>
      </c>
      <c r="C381" s="147">
        <v>43402</v>
      </c>
      <c r="D381" t="s">
        <v>382</v>
      </c>
      <c r="E381">
        <v>-14000</v>
      </c>
      <c r="F381" t="s">
        <v>332</v>
      </c>
      <c r="G381" t="s">
        <v>383</v>
      </c>
      <c r="H381">
        <v>181025160005</v>
      </c>
      <c r="I381" t="str">
        <f>CashIntraTable[Portfolio]&amp;VALUE(CashIntraTable[Cash Date])&amp;CashIntraTable[Detail]</f>
        <v>SCBKEQTG434022.2. Switch-out</v>
      </c>
    </row>
    <row r="382" spans="1:9" x14ac:dyDescent="0.2">
      <c r="A382" t="s">
        <v>424</v>
      </c>
      <c r="B382" t="s">
        <v>23</v>
      </c>
      <c r="C382" s="147">
        <v>43403</v>
      </c>
      <c r="D382" t="s">
        <v>382</v>
      </c>
      <c r="E382">
        <v>-7707.96</v>
      </c>
      <c r="F382" t="s">
        <v>332</v>
      </c>
      <c r="G382" t="s">
        <v>383</v>
      </c>
      <c r="H382">
        <v>181025160005</v>
      </c>
      <c r="I382" t="str">
        <f>CashIntraTable[Portfolio]&amp;VALUE(CashIntraTable[Cash Date])&amp;CashIntraTable[Detail]</f>
        <v>SCBKEQTG434032.2. Switch-out</v>
      </c>
    </row>
    <row r="383" spans="1:9" x14ac:dyDescent="0.2">
      <c r="A383" t="s">
        <v>425</v>
      </c>
      <c r="B383" t="s">
        <v>23</v>
      </c>
      <c r="C383" s="147">
        <v>43398</v>
      </c>
      <c r="D383" t="s">
        <v>382</v>
      </c>
      <c r="E383">
        <v>8225000</v>
      </c>
      <c r="F383" t="s">
        <v>329</v>
      </c>
      <c r="G383" t="s">
        <v>383</v>
      </c>
      <c r="H383">
        <v>181025160005</v>
      </c>
      <c r="I383" t="str">
        <f>CashIntraTable[Portfolio]&amp;VALUE(CashIntraTable[Cash Date])&amp;CashIntraTable[Detail]</f>
        <v>SCBLEQFUND433981.1. Subscription</v>
      </c>
    </row>
    <row r="384" spans="1:9" x14ac:dyDescent="0.2">
      <c r="A384" t="s">
        <v>425</v>
      </c>
      <c r="B384" t="s">
        <v>23</v>
      </c>
      <c r="C384" s="147">
        <v>43399</v>
      </c>
      <c r="D384" t="s">
        <v>382</v>
      </c>
      <c r="E384">
        <v>9313400</v>
      </c>
      <c r="F384" t="s">
        <v>329</v>
      </c>
      <c r="G384" t="s">
        <v>383</v>
      </c>
      <c r="H384">
        <v>181025160005</v>
      </c>
      <c r="I384" t="str">
        <f>CashIntraTable[Portfolio]&amp;VALUE(CashIntraTable[Cash Date])&amp;CashIntraTable[Detail]</f>
        <v>SCBLEQFUND433991.1. Subscription</v>
      </c>
    </row>
    <row r="385" spans="1:9" x14ac:dyDescent="0.2">
      <c r="A385" t="s">
        <v>425</v>
      </c>
      <c r="B385" t="s">
        <v>23</v>
      </c>
      <c r="C385" s="147">
        <v>43398</v>
      </c>
      <c r="D385" t="s">
        <v>382</v>
      </c>
      <c r="E385">
        <v>1050000</v>
      </c>
      <c r="F385" t="s">
        <v>330</v>
      </c>
      <c r="G385" t="s">
        <v>383</v>
      </c>
      <c r="H385">
        <v>181025160005</v>
      </c>
      <c r="I385" t="str">
        <f>CashIntraTable[Portfolio]&amp;VALUE(CashIntraTable[Cash Date])&amp;CashIntraTable[Detail]</f>
        <v>SCBLEQFUND433981.2. Switch-in</v>
      </c>
    </row>
    <row r="386" spans="1:9" x14ac:dyDescent="0.2">
      <c r="A386" t="s">
        <v>425</v>
      </c>
      <c r="B386" t="s">
        <v>23</v>
      </c>
      <c r="C386" s="147">
        <v>43399</v>
      </c>
      <c r="D386" t="s">
        <v>382</v>
      </c>
      <c r="E386">
        <v>50000</v>
      </c>
      <c r="F386" t="s">
        <v>330</v>
      </c>
      <c r="G386" t="s">
        <v>383</v>
      </c>
      <c r="H386">
        <v>181025160005</v>
      </c>
      <c r="I386" t="str">
        <f>CashIntraTable[Portfolio]&amp;VALUE(CashIntraTable[Cash Date])&amp;CashIntraTable[Detail]</f>
        <v>SCBLEQFUND433991.2. Switch-in</v>
      </c>
    </row>
    <row r="387" spans="1:9" x14ac:dyDescent="0.2">
      <c r="A387" t="s">
        <v>425</v>
      </c>
      <c r="B387" t="s">
        <v>23</v>
      </c>
      <c r="C387" s="147">
        <v>43403</v>
      </c>
      <c r="D387" t="s">
        <v>382</v>
      </c>
      <c r="E387">
        <v>200000</v>
      </c>
      <c r="F387" t="s">
        <v>330</v>
      </c>
      <c r="G387" t="s">
        <v>383</v>
      </c>
      <c r="H387">
        <v>181025160005</v>
      </c>
      <c r="I387" t="str">
        <f>CashIntraTable[Portfolio]&amp;VALUE(CashIntraTable[Cash Date])&amp;CashIntraTable[Detail]</f>
        <v>SCBLEQFUND434031.2. Switch-in</v>
      </c>
    </row>
    <row r="388" spans="1:9" x14ac:dyDescent="0.2">
      <c r="A388" t="s">
        <v>425</v>
      </c>
      <c r="B388" t="s">
        <v>23</v>
      </c>
      <c r="C388" s="147">
        <v>43398</v>
      </c>
      <c r="D388" t="s">
        <v>382</v>
      </c>
      <c r="E388">
        <v>-1309.3</v>
      </c>
      <c r="F388" t="s">
        <v>331</v>
      </c>
      <c r="G388" t="s">
        <v>383</v>
      </c>
      <c r="H388">
        <v>181025160005</v>
      </c>
      <c r="I388" t="str">
        <f>CashIntraTable[Portfolio]&amp;VALUE(CashIntraTable[Cash Date])&amp;CashIntraTable[Detail]</f>
        <v>SCBLEQFUND433982.1. Redemption</v>
      </c>
    </row>
    <row r="389" spans="1:9" x14ac:dyDescent="0.2">
      <c r="A389" t="s">
        <v>425</v>
      </c>
      <c r="B389" t="s">
        <v>23</v>
      </c>
      <c r="C389" s="147">
        <v>43399</v>
      </c>
      <c r="D389" t="s">
        <v>382</v>
      </c>
      <c r="E389">
        <v>-101.36</v>
      </c>
      <c r="F389" t="s">
        <v>331</v>
      </c>
      <c r="G389" t="s">
        <v>383</v>
      </c>
      <c r="H389">
        <v>181025160005</v>
      </c>
      <c r="I389" t="str">
        <f>CashIntraTable[Portfolio]&amp;VALUE(CashIntraTable[Cash Date])&amp;CashIntraTable[Detail]</f>
        <v>SCBLEQFUND433992.1. Redemption</v>
      </c>
    </row>
    <row r="390" spans="1:9" x14ac:dyDescent="0.2">
      <c r="A390" t="s">
        <v>425</v>
      </c>
      <c r="B390" t="s">
        <v>23</v>
      </c>
      <c r="C390" s="147">
        <v>43402</v>
      </c>
      <c r="D390" t="s">
        <v>382</v>
      </c>
      <c r="E390">
        <v>-683696.23</v>
      </c>
      <c r="F390" t="s">
        <v>331</v>
      </c>
      <c r="G390" t="s">
        <v>383</v>
      </c>
      <c r="H390">
        <v>181025160005</v>
      </c>
      <c r="I390" t="str">
        <f>CashIntraTable[Portfolio]&amp;VALUE(CashIntraTable[Cash Date])&amp;CashIntraTable[Detail]</f>
        <v>SCBLEQFUND434022.1. Redemption</v>
      </c>
    </row>
    <row r="391" spans="1:9" x14ac:dyDescent="0.2">
      <c r="A391" t="s">
        <v>425</v>
      </c>
      <c r="B391" t="s">
        <v>23</v>
      </c>
      <c r="C391" s="147">
        <v>43403</v>
      </c>
      <c r="D391" t="s">
        <v>382</v>
      </c>
      <c r="E391">
        <v>-46.06</v>
      </c>
      <c r="F391" t="s">
        <v>331</v>
      </c>
      <c r="G391" t="s">
        <v>383</v>
      </c>
      <c r="H391">
        <v>181025160005</v>
      </c>
      <c r="I391" t="str">
        <f>CashIntraTable[Portfolio]&amp;VALUE(CashIntraTable[Cash Date])&amp;CashIntraTable[Detail]</f>
        <v>SCBLEQFUND434032.1. Redemption</v>
      </c>
    </row>
    <row r="392" spans="1:9" x14ac:dyDescent="0.2">
      <c r="A392" t="s">
        <v>425</v>
      </c>
      <c r="B392" t="s">
        <v>23</v>
      </c>
      <c r="C392" s="147">
        <v>43403</v>
      </c>
      <c r="D392" t="s">
        <v>382</v>
      </c>
      <c r="E392">
        <v>-3497699.05</v>
      </c>
      <c r="F392" t="s">
        <v>332</v>
      </c>
      <c r="G392" t="s">
        <v>383</v>
      </c>
      <c r="H392">
        <v>181025160005</v>
      </c>
      <c r="I392" t="str">
        <f>CashIntraTable[Portfolio]&amp;VALUE(CashIntraTable[Cash Date])&amp;CashIntraTable[Detail]</f>
        <v>SCBLEQFUND434032.2. Switch-out</v>
      </c>
    </row>
    <row r="393" spans="1:9" x14ac:dyDescent="0.2">
      <c r="A393" t="s">
        <v>426</v>
      </c>
      <c r="B393" t="s">
        <v>23</v>
      </c>
      <c r="C393" s="147">
        <v>43398</v>
      </c>
      <c r="D393" t="s">
        <v>382</v>
      </c>
      <c r="E393">
        <v>15693500</v>
      </c>
      <c r="F393" t="s">
        <v>329</v>
      </c>
      <c r="G393" t="s">
        <v>383</v>
      </c>
      <c r="H393">
        <v>181025160005</v>
      </c>
      <c r="I393" t="str">
        <f>CashIntraTable[Portfolio]&amp;VALUE(CashIntraTable[Cash Date])&amp;CashIntraTable[Detail]</f>
        <v>SCBLT1433981.1. Subscription</v>
      </c>
    </row>
    <row r="394" spans="1:9" x14ac:dyDescent="0.2">
      <c r="A394" t="s">
        <v>426</v>
      </c>
      <c r="B394" t="s">
        <v>23</v>
      </c>
      <c r="C394" s="147">
        <v>43399</v>
      </c>
      <c r="D394" t="s">
        <v>382</v>
      </c>
      <c r="E394">
        <v>21036893</v>
      </c>
      <c r="F394" t="s">
        <v>329</v>
      </c>
      <c r="G394" t="s">
        <v>383</v>
      </c>
      <c r="H394">
        <v>181025160005</v>
      </c>
      <c r="I394" t="str">
        <f>CashIntraTable[Portfolio]&amp;VALUE(CashIntraTable[Cash Date])&amp;CashIntraTable[Detail]</f>
        <v>SCBLT1433991.1. Subscription</v>
      </c>
    </row>
    <row r="395" spans="1:9" x14ac:dyDescent="0.2">
      <c r="A395" t="s">
        <v>426</v>
      </c>
      <c r="B395" t="s">
        <v>23</v>
      </c>
      <c r="C395" s="147">
        <v>43398</v>
      </c>
      <c r="D395" t="s">
        <v>382</v>
      </c>
      <c r="E395">
        <v>28088580</v>
      </c>
      <c r="F395" t="s">
        <v>333</v>
      </c>
      <c r="G395" t="s">
        <v>383</v>
      </c>
      <c r="H395">
        <v>181025160005</v>
      </c>
      <c r="I395" t="str">
        <f>CashIntraTable[Portfolio]&amp;VALUE(CashIntraTable[Cash Date])&amp;CashIntraTable[Detail]</f>
        <v>SCBLT1433981.1. Subscription (Chq)</v>
      </c>
    </row>
    <row r="396" spans="1:9" x14ac:dyDescent="0.2">
      <c r="A396" t="s">
        <v>426</v>
      </c>
      <c r="B396" t="s">
        <v>23</v>
      </c>
      <c r="C396" s="147">
        <v>43399</v>
      </c>
      <c r="D396" t="s">
        <v>382</v>
      </c>
      <c r="E396">
        <v>35592028.770000003</v>
      </c>
      <c r="F396" t="s">
        <v>333</v>
      </c>
      <c r="G396" t="s">
        <v>383</v>
      </c>
      <c r="H396">
        <v>181025160005</v>
      </c>
      <c r="I396" t="str">
        <f>CashIntraTable[Portfolio]&amp;VALUE(CashIntraTable[Cash Date])&amp;CashIntraTable[Detail]</f>
        <v>SCBLT1433991.1. Subscription (Chq)</v>
      </c>
    </row>
    <row r="397" spans="1:9" x14ac:dyDescent="0.2">
      <c r="A397" t="s">
        <v>426</v>
      </c>
      <c r="B397" t="s">
        <v>23</v>
      </c>
      <c r="C397" s="147">
        <v>43398</v>
      </c>
      <c r="D397" t="s">
        <v>382</v>
      </c>
      <c r="E397">
        <v>3774350.22</v>
      </c>
      <c r="F397" t="s">
        <v>330</v>
      </c>
      <c r="G397" t="s">
        <v>383</v>
      </c>
      <c r="H397">
        <v>181025160005</v>
      </c>
      <c r="I397" t="str">
        <f>CashIntraTable[Portfolio]&amp;VALUE(CashIntraTable[Cash Date])&amp;CashIntraTable[Detail]</f>
        <v>SCBLT1433981.2. Switch-in</v>
      </c>
    </row>
    <row r="398" spans="1:9" x14ac:dyDescent="0.2">
      <c r="A398" t="s">
        <v>426</v>
      </c>
      <c r="B398" t="s">
        <v>23</v>
      </c>
      <c r="C398" s="147">
        <v>43399</v>
      </c>
      <c r="D398" t="s">
        <v>382</v>
      </c>
      <c r="E398">
        <v>5014774.6900000004</v>
      </c>
      <c r="F398" t="s">
        <v>330</v>
      </c>
      <c r="G398" t="s">
        <v>383</v>
      </c>
      <c r="H398">
        <v>181025160005</v>
      </c>
      <c r="I398" t="str">
        <f>CashIntraTable[Portfolio]&amp;VALUE(CashIntraTable[Cash Date])&amp;CashIntraTable[Detail]</f>
        <v>SCBLT1433991.2. Switch-in</v>
      </c>
    </row>
    <row r="399" spans="1:9" x14ac:dyDescent="0.2">
      <c r="A399" t="s">
        <v>426</v>
      </c>
      <c r="B399" t="s">
        <v>23</v>
      </c>
      <c r="C399" s="147">
        <v>43402</v>
      </c>
      <c r="D399" t="s">
        <v>382</v>
      </c>
      <c r="E399">
        <v>477427.08</v>
      </c>
      <c r="F399" t="s">
        <v>330</v>
      </c>
      <c r="G399" t="s">
        <v>383</v>
      </c>
      <c r="H399">
        <v>181025160005</v>
      </c>
      <c r="I399" t="str">
        <f>CashIntraTable[Portfolio]&amp;VALUE(CashIntraTable[Cash Date])&amp;CashIntraTable[Detail]</f>
        <v>SCBLT1434021.2. Switch-in</v>
      </c>
    </row>
    <row r="400" spans="1:9" x14ac:dyDescent="0.2">
      <c r="A400" t="s">
        <v>426</v>
      </c>
      <c r="B400" t="s">
        <v>23</v>
      </c>
      <c r="C400" s="147">
        <v>43403</v>
      </c>
      <c r="D400" t="s">
        <v>382</v>
      </c>
      <c r="E400">
        <v>34442.61</v>
      </c>
      <c r="F400" t="s">
        <v>330</v>
      </c>
      <c r="G400" t="s">
        <v>383</v>
      </c>
      <c r="H400">
        <v>181025160005</v>
      </c>
      <c r="I400" t="str">
        <f>CashIntraTable[Portfolio]&amp;VALUE(CashIntraTable[Cash Date])&amp;CashIntraTable[Detail]</f>
        <v>SCBLT1434031.2. Switch-in</v>
      </c>
    </row>
    <row r="401" spans="1:9" x14ac:dyDescent="0.2">
      <c r="A401" t="s">
        <v>426</v>
      </c>
      <c r="B401" t="s">
        <v>23</v>
      </c>
      <c r="C401" s="147">
        <v>43406</v>
      </c>
      <c r="D401" t="s">
        <v>382</v>
      </c>
      <c r="E401">
        <v>50000</v>
      </c>
      <c r="F401" t="s">
        <v>330</v>
      </c>
      <c r="G401" t="s">
        <v>383</v>
      </c>
      <c r="H401">
        <v>181025160005</v>
      </c>
      <c r="I401" t="str">
        <f>CashIntraTable[Portfolio]&amp;VALUE(CashIntraTable[Cash Date])&amp;CashIntraTable[Detail]</f>
        <v>SCBLT1434061.2. Switch-in</v>
      </c>
    </row>
    <row r="402" spans="1:9" x14ac:dyDescent="0.2">
      <c r="A402" t="s">
        <v>426</v>
      </c>
      <c r="B402" t="s">
        <v>23</v>
      </c>
      <c r="C402" s="147">
        <v>43398</v>
      </c>
      <c r="D402" t="s">
        <v>382</v>
      </c>
      <c r="E402">
        <v>-3916154.3</v>
      </c>
      <c r="F402" t="s">
        <v>331</v>
      </c>
      <c r="G402" t="s">
        <v>383</v>
      </c>
      <c r="H402">
        <v>181025160005</v>
      </c>
      <c r="I402" t="str">
        <f>CashIntraTable[Portfolio]&amp;VALUE(CashIntraTable[Cash Date])&amp;CashIntraTable[Detail]</f>
        <v>SCBLT1433982.1. Redemption</v>
      </c>
    </row>
    <row r="403" spans="1:9" x14ac:dyDescent="0.2">
      <c r="A403" t="s">
        <v>426</v>
      </c>
      <c r="B403" t="s">
        <v>23</v>
      </c>
      <c r="C403" s="147">
        <v>43399</v>
      </c>
      <c r="D403" t="s">
        <v>382</v>
      </c>
      <c r="E403">
        <v>-3016568.81</v>
      </c>
      <c r="F403" t="s">
        <v>331</v>
      </c>
      <c r="G403" t="s">
        <v>383</v>
      </c>
      <c r="H403">
        <v>181025160005</v>
      </c>
      <c r="I403" t="str">
        <f>CashIntraTable[Portfolio]&amp;VALUE(CashIntraTable[Cash Date])&amp;CashIntraTable[Detail]</f>
        <v>SCBLT1433992.1. Redemption</v>
      </c>
    </row>
    <row r="404" spans="1:9" x14ac:dyDescent="0.2">
      <c r="A404" t="s">
        <v>426</v>
      </c>
      <c r="B404" t="s">
        <v>23</v>
      </c>
      <c r="C404" s="147">
        <v>43402</v>
      </c>
      <c r="D404" t="s">
        <v>382</v>
      </c>
      <c r="E404">
        <v>-2697182.86</v>
      </c>
      <c r="F404" t="s">
        <v>331</v>
      </c>
      <c r="G404" t="s">
        <v>383</v>
      </c>
      <c r="H404">
        <v>181025160005</v>
      </c>
      <c r="I404" t="str">
        <f>CashIntraTable[Portfolio]&amp;VALUE(CashIntraTable[Cash Date])&amp;CashIntraTable[Detail]</f>
        <v>SCBLT1434022.1. Redemption</v>
      </c>
    </row>
    <row r="405" spans="1:9" x14ac:dyDescent="0.2">
      <c r="A405" t="s">
        <v>426</v>
      </c>
      <c r="B405" t="s">
        <v>23</v>
      </c>
      <c r="C405" s="147">
        <v>43398</v>
      </c>
      <c r="D405" t="s">
        <v>382</v>
      </c>
      <c r="E405">
        <v>-6215585.1799999997</v>
      </c>
      <c r="F405" t="s">
        <v>332</v>
      </c>
      <c r="G405" t="s">
        <v>383</v>
      </c>
      <c r="H405">
        <v>181025160005</v>
      </c>
      <c r="I405" t="str">
        <f>CashIntraTable[Portfolio]&amp;VALUE(CashIntraTable[Cash Date])&amp;CashIntraTable[Detail]</f>
        <v>SCBLT1433982.2. Switch-out</v>
      </c>
    </row>
    <row r="406" spans="1:9" x14ac:dyDescent="0.2">
      <c r="A406" t="s">
        <v>426</v>
      </c>
      <c r="B406" t="s">
        <v>23</v>
      </c>
      <c r="C406" s="147">
        <v>43399</v>
      </c>
      <c r="D406" t="s">
        <v>382</v>
      </c>
      <c r="E406">
        <v>-3654274.99</v>
      </c>
      <c r="F406" t="s">
        <v>332</v>
      </c>
      <c r="G406" t="s">
        <v>383</v>
      </c>
      <c r="H406">
        <v>181025160005</v>
      </c>
      <c r="I406" t="str">
        <f>CashIntraTable[Portfolio]&amp;VALUE(CashIntraTable[Cash Date])&amp;CashIntraTable[Detail]</f>
        <v>SCBLT1433992.2. Switch-out</v>
      </c>
    </row>
    <row r="407" spans="1:9" x14ac:dyDescent="0.2">
      <c r="A407" t="s">
        <v>426</v>
      </c>
      <c r="B407" t="s">
        <v>23</v>
      </c>
      <c r="C407" s="147">
        <v>43402</v>
      </c>
      <c r="D407" t="s">
        <v>382</v>
      </c>
      <c r="E407">
        <v>-15391840.59</v>
      </c>
      <c r="F407" t="s">
        <v>332</v>
      </c>
      <c r="G407" t="s">
        <v>383</v>
      </c>
      <c r="H407">
        <v>181025160005</v>
      </c>
      <c r="I407" t="str">
        <f>CashIntraTable[Portfolio]&amp;VALUE(CashIntraTable[Cash Date])&amp;CashIntraTable[Detail]</f>
        <v>SCBLT1434022.2. Switch-out</v>
      </c>
    </row>
    <row r="408" spans="1:9" x14ac:dyDescent="0.2">
      <c r="A408" t="s">
        <v>427</v>
      </c>
      <c r="B408" t="s">
        <v>23</v>
      </c>
      <c r="C408" s="147">
        <v>43398</v>
      </c>
      <c r="D408" t="s">
        <v>382</v>
      </c>
      <c r="E408">
        <v>3605681</v>
      </c>
      <c r="F408" t="s">
        <v>329</v>
      </c>
      <c r="G408" t="s">
        <v>383</v>
      </c>
      <c r="H408">
        <v>181025160005</v>
      </c>
      <c r="I408" t="str">
        <f>CashIntraTable[Portfolio]&amp;VALUE(CashIntraTable[Cash Date])&amp;CashIntraTable[Detail]</f>
        <v>SCBLT2433981.1. Subscription</v>
      </c>
    </row>
    <row r="409" spans="1:9" x14ac:dyDescent="0.2">
      <c r="A409" t="s">
        <v>427</v>
      </c>
      <c r="B409" t="s">
        <v>23</v>
      </c>
      <c r="C409" s="147">
        <v>43399</v>
      </c>
      <c r="D409" t="s">
        <v>382</v>
      </c>
      <c r="E409">
        <v>8982500</v>
      </c>
      <c r="F409" t="s">
        <v>329</v>
      </c>
      <c r="G409" t="s">
        <v>383</v>
      </c>
      <c r="H409">
        <v>181025160005</v>
      </c>
      <c r="I409" t="str">
        <f>CashIntraTable[Portfolio]&amp;VALUE(CashIntraTable[Cash Date])&amp;CashIntraTable[Detail]</f>
        <v>SCBLT2433991.1. Subscription</v>
      </c>
    </row>
    <row r="410" spans="1:9" x14ac:dyDescent="0.2">
      <c r="A410" t="s">
        <v>427</v>
      </c>
      <c r="B410" t="s">
        <v>23</v>
      </c>
      <c r="C410" s="147">
        <v>43398</v>
      </c>
      <c r="D410" t="s">
        <v>382</v>
      </c>
      <c r="E410">
        <v>8337500</v>
      </c>
      <c r="F410" t="s">
        <v>333</v>
      </c>
      <c r="G410" t="s">
        <v>383</v>
      </c>
      <c r="H410">
        <v>181025160005</v>
      </c>
      <c r="I410" t="str">
        <f>CashIntraTable[Portfolio]&amp;VALUE(CashIntraTable[Cash Date])&amp;CashIntraTable[Detail]</f>
        <v>SCBLT2433981.1. Subscription (Chq)</v>
      </c>
    </row>
    <row r="411" spans="1:9" x14ac:dyDescent="0.2">
      <c r="A411" t="s">
        <v>427</v>
      </c>
      <c r="B411" t="s">
        <v>23</v>
      </c>
      <c r="C411" s="147">
        <v>43399</v>
      </c>
      <c r="D411" t="s">
        <v>382</v>
      </c>
      <c r="E411">
        <v>8958416</v>
      </c>
      <c r="F411" t="s">
        <v>333</v>
      </c>
      <c r="G411" t="s">
        <v>383</v>
      </c>
      <c r="H411">
        <v>181025160005</v>
      </c>
      <c r="I411" t="str">
        <f>CashIntraTable[Portfolio]&amp;VALUE(CashIntraTable[Cash Date])&amp;CashIntraTable[Detail]</f>
        <v>SCBLT2433991.1. Subscription (Chq)</v>
      </c>
    </row>
    <row r="412" spans="1:9" x14ac:dyDescent="0.2">
      <c r="A412" t="s">
        <v>427</v>
      </c>
      <c r="B412" t="s">
        <v>23</v>
      </c>
      <c r="C412" s="147">
        <v>43398</v>
      </c>
      <c r="D412" t="s">
        <v>382</v>
      </c>
      <c r="E412">
        <v>1016163.23</v>
      </c>
      <c r="F412" t="s">
        <v>330</v>
      </c>
      <c r="G412" t="s">
        <v>383</v>
      </c>
      <c r="H412">
        <v>181025160005</v>
      </c>
      <c r="I412" t="str">
        <f>CashIntraTable[Portfolio]&amp;VALUE(CashIntraTable[Cash Date])&amp;CashIntraTable[Detail]</f>
        <v>SCBLT2433981.2. Switch-in</v>
      </c>
    </row>
    <row r="413" spans="1:9" x14ac:dyDescent="0.2">
      <c r="A413" t="s">
        <v>427</v>
      </c>
      <c r="B413" t="s">
        <v>23</v>
      </c>
      <c r="C413" s="147">
        <v>43399</v>
      </c>
      <c r="D413" t="s">
        <v>382</v>
      </c>
      <c r="E413">
        <v>2229486.65</v>
      </c>
      <c r="F413" t="s">
        <v>330</v>
      </c>
      <c r="G413" t="s">
        <v>383</v>
      </c>
      <c r="H413">
        <v>181025160005</v>
      </c>
      <c r="I413" t="str">
        <f>CashIntraTable[Portfolio]&amp;VALUE(CashIntraTable[Cash Date])&amp;CashIntraTable[Detail]</f>
        <v>SCBLT2433991.2. Switch-in</v>
      </c>
    </row>
    <row r="414" spans="1:9" x14ac:dyDescent="0.2">
      <c r="A414" t="s">
        <v>427</v>
      </c>
      <c r="B414" t="s">
        <v>23</v>
      </c>
      <c r="C414" s="147">
        <v>43402</v>
      </c>
      <c r="D414" t="s">
        <v>382</v>
      </c>
      <c r="E414">
        <v>7789120.2800000003</v>
      </c>
      <c r="F414" t="s">
        <v>330</v>
      </c>
      <c r="G414" t="s">
        <v>383</v>
      </c>
      <c r="H414">
        <v>181025160005</v>
      </c>
      <c r="I414" t="str">
        <f>CashIntraTable[Portfolio]&amp;VALUE(CashIntraTable[Cash Date])&amp;CashIntraTable[Detail]</f>
        <v>SCBLT2434021.2. Switch-in</v>
      </c>
    </row>
    <row r="415" spans="1:9" x14ac:dyDescent="0.2">
      <c r="A415" t="s">
        <v>427</v>
      </c>
      <c r="B415" t="s">
        <v>23</v>
      </c>
      <c r="C415" s="147">
        <v>43403</v>
      </c>
      <c r="D415" t="s">
        <v>382</v>
      </c>
      <c r="E415">
        <v>190421.77</v>
      </c>
      <c r="F415" t="s">
        <v>330</v>
      </c>
      <c r="G415" t="s">
        <v>383</v>
      </c>
      <c r="H415">
        <v>181025160005</v>
      </c>
      <c r="I415" t="str">
        <f>CashIntraTable[Portfolio]&amp;VALUE(CashIntraTable[Cash Date])&amp;CashIntraTable[Detail]</f>
        <v>SCBLT2434031.2. Switch-in</v>
      </c>
    </row>
    <row r="416" spans="1:9" x14ac:dyDescent="0.2">
      <c r="A416" t="s">
        <v>427</v>
      </c>
      <c r="B416" t="s">
        <v>23</v>
      </c>
      <c r="C416" s="147">
        <v>43398</v>
      </c>
      <c r="D416" t="s">
        <v>382</v>
      </c>
      <c r="E416">
        <v>-999468.63</v>
      </c>
      <c r="F416" t="s">
        <v>331</v>
      </c>
      <c r="G416" t="s">
        <v>383</v>
      </c>
      <c r="H416">
        <v>181025160005</v>
      </c>
      <c r="I416" t="str">
        <f>CashIntraTable[Portfolio]&amp;VALUE(CashIntraTable[Cash Date])&amp;CashIntraTable[Detail]</f>
        <v>SCBLT2433982.1. Redemption</v>
      </c>
    </row>
    <row r="417" spans="1:9" x14ac:dyDescent="0.2">
      <c r="A417" t="s">
        <v>427</v>
      </c>
      <c r="B417" t="s">
        <v>23</v>
      </c>
      <c r="C417" s="147">
        <v>43399</v>
      </c>
      <c r="D417" t="s">
        <v>382</v>
      </c>
      <c r="E417">
        <v>-1587090.77</v>
      </c>
      <c r="F417" t="s">
        <v>331</v>
      </c>
      <c r="G417" t="s">
        <v>383</v>
      </c>
      <c r="H417">
        <v>181025160005</v>
      </c>
      <c r="I417" t="str">
        <f>CashIntraTable[Portfolio]&amp;VALUE(CashIntraTable[Cash Date])&amp;CashIntraTable[Detail]</f>
        <v>SCBLT2433992.1. Redemption</v>
      </c>
    </row>
    <row r="418" spans="1:9" x14ac:dyDescent="0.2">
      <c r="A418" t="s">
        <v>427</v>
      </c>
      <c r="B418" t="s">
        <v>23</v>
      </c>
      <c r="C418" s="147">
        <v>43402</v>
      </c>
      <c r="D418" t="s">
        <v>382</v>
      </c>
      <c r="E418">
        <v>-741433.63</v>
      </c>
      <c r="F418" t="s">
        <v>331</v>
      </c>
      <c r="G418" t="s">
        <v>383</v>
      </c>
      <c r="H418">
        <v>181025160005</v>
      </c>
      <c r="I418" t="str">
        <f>CashIntraTable[Portfolio]&amp;VALUE(CashIntraTable[Cash Date])&amp;CashIntraTable[Detail]</f>
        <v>SCBLT2434022.1. Redemption</v>
      </c>
    </row>
    <row r="419" spans="1:9" x14ac:dyDescent="0.2">
      <c r="A419" t="s">
        <v>427</v>
      </c>
      <c r="B419" t="s">
        <v>23</v>
      </c>
      <c r="C419" s="147">
        <v>43398</v>
      </c>
      <c r="D419" t="s">
        <v>382</v>
      </c>
      <c r="E419">
        <v>-1422883.22</v>
      </c>
      <c r="F419" t="s">
        <v>332</v>
      </c>
      <c r="G419" t="s">
        <v>383</v>
      </c>
      <c r="H419">
        <v>181025160005</v>
      </c>
      <c r="I419" t="str">
        <f>CashIntraTable[Portfolio]&amp;VALUE(CashIntraTable[Cash Date])&amp;CashIntraTable[Detail]</f>
        <v>SCBLT2433982.2. Switch-out</v>
      </c>
    </row>
    <row r="420" spans="1:9" x14ac:dyDescent="0.2">
      <c r="A420" t="s">
        <v>427</v>
      </c>
      <c r="B420" t="s">
        <v>23</v>
      </c>
      <c r="C420" s="147">
        <v>43399</v>
      </c>
      <c r="D420" t="s">
        <v>382</v>
      </c>
      <c r="E420">
        <v>-2745890.47</v>
      </c>
      <c r="F420" t="s">
        <v>332</v>
      </c>
      <c r="G420" t="s">
        <v>383</v>
      </c>
      <c r="H420">
        <v>181025160005</v>
      </c>
      <c r="I420" t="str">
        <f>CashIntraTable[Portfolio]&amp;VALUE(CashIntraTable[Cash Date])&amp;CashIntraTable[Detail]</f>
        <v>SCBLT2433992.2. Switch-out</v>
      </c>
    </row>
    <row r="421" spans="1:9" x14ac:dyDescent="0.2">
      <c r="A421" t="s">
        <v>427</v>
      </c>
      <c r="B421" t="s">
        <v>23</v>
      </c>
      <c r="C421" s="147">
        <v>43402</v>
      </c>
      <c r="D421" t="s">
        <v>382</v>
      </c>
      <c r="E421">
        <v>-13314.5</v>
      </c>
      <c r="F421" t="s">
        <v>332</v>
      </c>
      <c r="G421" t="s">
        <v>383</v>
      </c>
      <c r="H421">
        <v>181025160005</v>
      </c>
      <c r="I421" t="str">
        <f>CashIntraTable[Portfolio]&amp;VALUE(CashIntraTable[Cash Date])&amp;CashIntraTable[Detail]</f>
        <v>SCBLT2434022.2. Switch-out</v>
      </c>
    </row>
    <row r="422" spans="1:9" x14ac:dyDescent="0.2">
      <c r="A422" t="s">
        <v>428</v>
      </c>
      <c r="B422" t="s">
        <v>23</v>
      </c>
      <c r="C422" s="147">
        <v>43398</v>
      </c>
      <c r="D422" t="s">
        <v>382</v>
      </c>
      <c r="E422">
        <v>1456000</v>
      </c>
      <c r="F422" t="s">
        <v>329</v>
      </c>
      <c r="G422" t="s">
        <v>383</v>
      </c>
      <c r="H422">
        <v>181025160005</v>
      </c>
      <c r="I422" t="str">
        <f>CashIntraTable[Portfolio]&amp;VALUE(CashIntraTable[Cash Date])&amp;CashIntraTable[Detail]</f>
        <v>SCBLT3433981.1. Subscription</v>
      </c>
    </row>
    <row r="423" spans="1:9" x14ac:dyDescent="0.2">
      <c r="A423" t="s">
        <v>428</v>
      </c>
      <c r="B423" t="s">
        <v>23</v>
      </c>
      <c r="C423" s="147">
        <v>43399</v>
      </c>
      <c r="D423" t="s">
        <v>382</v>
      </c>
      <c r="E423">
        <v>2380373.81</v>
      </c>
      <c r="F423" t="s">
        <v>329</v>
      </c>
      <c r="G423" t="s">
        <v>383</v>
      </c>
      <c r="H423">
        <v>181025160005</v>
      </c>
      <c r="I423" t="str">
        <f>CashIntraTable[Portfolio]&amp;VALUE(CashIntraTable[Cash Date])&amp;CashIntraTable[Detail]</f>
        <v>SCBLT3433991.1. Subscription</v>
      </c>
    </row>
    <row r="424" spans="1:9" x14ac:dyDescent="0.2">
      <c r="A424" t="s">
        <v>428</v>
      </c>
      <c r="B424" t="s">
        <v>23</v>
      </c>
      <c r="C424" s="147">
        <v>43398</v>
      </c>
      <c r="D424" t="s">
        <v>382</v>
      </c>
      <c r="E424">
        <v>3871000</v>
      </c>
      <c r="F424" t="s">
        <v>333</v>
      </c>
      <c r="G424" t="s">
        <v>383</v>
      </c>
      <c r="H424">
        <v>181025160005</v>
      </c>
      <c r="I424" t="str">
        <f>CashIntraTable[Portfolio]&amp;VALUE(CashIntraTable[Cash Date])&amp;CashIntraTable[Detail]</f>
        <v>SCBLT3433981.1. Subscription (Chq)</v>
      </c>
    </row>
    <row r="425" spans="1:9" x14ac:dyDescent="0.2">
      <c r="A425" t="s">
        <v>428</v>
      </c>
      <c r="B425" t="s">
        <v>23</v>
      </c>
      <c r="C425" s="147">
        <v>43399</v>
      </c>
      <c r="D425" t="s">
        <v>382</v>
      </c>
      <c r="E425">
        <v>4984061</v>
      </c>
      <c r="F425" t="s">
        <v>333</v>
      </c>
      <c r="G425" t="s">
        <v>383</v>
      </c>
      <c r="H425">
        <v>181025160005</v>
      </c>
      <c r="I425" t="str">
        <f>CashIntraTable[Portfolio]&amp;VALUE(CashIntraTable[Cash Date])&amp;CashIntraTable[Detail]</f>
        <v>SCBLT3433991.1. Subscription (Chq)</v>
      </c>
    </row>
    <row r="426" spans="1:9" x14ac:dyDescent="0.2">
      <c r="A426" t="s">
        <v>428</v>
      </c>
      <c r="B426" t="s">
        <v>23</v>
      </c>
      <c r="C426" s="147">
        <v>43398</v>
      </c>
      <c r="D426" t="s">
        <v>382</v>
      </c>
      <c r="E426">
        <v>426555.99</v>
      </c>
      <c r="F426" t="s">
        <v>330</v>
      </c>
      <c r="G426" t="s">
        <v>383</v>
      </c>
      <c r="H426">
        <v>181025160005</v>
      </c>
      <c r="I426" t="str">
        <f>CashIntraTable[Portfolio]&amp;VALUE(CashIntraTable[Cash Date])&amp;CashIntraTable[Detail]</f>
        <v>SCBLT3433981.2. Switch-in</v>
      </c>
    </row>
    <row r="427" spans="1:9" x14ac:dyDescent="0.2">
      <c r="A427" t="s">
        <v>428</v>
      </c>
      <c r="B427" t="s">
        <v>23</v>
      </c>
      <c r="C427" s="147">
        <v>43399</v>
      </c>
      <c r="D427" t="s">
        <v>382</v>
      </c>
      <c r="E427">
        <v>168146.77</v>
      </c>
      <c r="F427" t="s">
        <v>330</v>
      </c>
      <c r="G427" t="s">
        <v>383</v>
      </c>
      <c r="H427">
        <v>181025160005</v>
      </c>
      <c r="I427" t="str">
        <f>CashIntraTable[Portfolio]&amp;VALUE(CashIntraTable[Cash Date])&amp;CashIntraTable[Detail]</f>
        <v>SCBLT3433991.2. Switch-in</v>
      </c>
    </row>
    <row r="428" spans="1:9" x14ac:dyDescent="0.2">
      <c r="A428" t="s">
        <v>428</v>
      </c>
      <c r="B428" t="s">
        <v>23</v>
      </c>
      <c r="C428" s="147">
        <v>43402</v>
      </c>
      <c r="D428" t="s">
        <v>382</v>
      </c>
      <c r="E428">
        <v>82600.87</v>
      </c>
      <c r="F428" t="s">
        <v>330</v>
      </c>
      <c r="G428" t="s">
        <v>383</v>
      </c>
      <c r="H428">
        <v>181025160005</v>
      </c>
      <c r="I428" t="str">
        <f>CashIntraTable[Portfolio]&amp;VALUE(CashIntraTable[Cash Date])&amp;CashIntraTable[Detail]</f>
        <v>SCBLT3434021.2. Switch-in</v>
      </c>
    </row>
    <row r="429" spans="1:9" x14ac:dyDescent="0.2">
      <c r="A429" t="s">
        <v>428</v>
      </c>
      <c r="B429" t="s">
        <v>23</v>
      </c>
      <c r="C429" s="147">
        <v>43398</v>
      </c>
      <c r="D429" t="s">
        <v>382</v>
      </c>
      <c r="E429">
        <v>-2019440.14</v>
      </c>
      <c r="F429" t="s">
        <v>331</v>
      </c>
      <c r="G429" t="s">
        <v>383</v>
      </c>
      <c r="H429">
        <v>181025160005</v>
      </c>
      <c r="I429" t="str">
        <f>CashIntraTable[Portfolio]&amp;VALUE(CashIntraTable[Cash Date])&amp;CashIntraTable[Detail]</f>
        <v>SCBLT3433982.1. Redemption</v>
      </c>
    </row>
    <row r="430" spans="1:9" x14ac:dyDescent="0.2">
      <c r="A430" t="s">
        <v>428</v>
      </c>
      <c r="B430" t="s">
        <v>23</v>
      </c>
      <c r="C430" s="147">
        <v>43399</v>
      </c>
      <c r="D430" t="s">
        <v>382</v>
      </c>
      <c r="E430">
        <v>-18470.939999999999</v>
      </c>
      <c r="F430" t="s">
        <v>331</v>
      </c>
      <c r="G430" t="s">
        <v>383</v>
      </c>
      <c r="H430">
        <v>181025160005</v>
      </c>
      <c r="I430" t="str">
        <f>CashIntraTable[Portfolio]&amp;VALUE(CashIntraTable[Cash Date])&amp;CashIntraTable[Detail]</f>
        <v>SCBLT3433992.1. Redemption</v>
      </c>
    </row>
    <row r="431" spans="1:9" x14ac:dyDescent="0.2">
      <c r="A431" t="s">
        <v>428</v>
      </c>
      <c r="B431" t="s">
        <v>23</v>
      </c>
      <c r="C431" s="147">
        <v>43402</v>
      </c>
      <c r="D431" t="s">
        <v>382</v>
      </c>
      <c r="E431">
        <v>-59154.79</v>
      </c>
      <c r="F431" t="s">
        <v>331</v>
      </c>
      <c r="G431" t="s">
        <v>383</v>
      </c>
      <c r="H431">
        <v>181025160005</v>
      </c>
      <c r="I431" t="str">
        <f>CashIntraTable[Portfolio]&amp;VALUE(CashIntraTable[Cash Date])&amp;CashIntraTable[Detail]</f>
        <v>SCBLT3434022.1. Redemption</v>
      </c>
    </row>
    <row r="432" spans="1:9" x14ac:dyDescent="0.2">
      <c r="A432" t="s">
        <v>428</v>
      </c>
      <c r="B432" t="s">
        <v>23</v>
      </c>
      <c r="C432" s="147">
        <v>43398</v>
      </c>
      <c r="D432" t="s">
        <v>382</v>
      </c>
      <c r="E432">
        <v>-110575.99</v>
      </c>
      <c r="F432" t="s">
        <v>332</v>
      </c>
      <c r="G432" t="s">
        <v>383</v>
      </c>
      <c r="H432">
        <v>181025160005</v>
      </c>
      <c r="I432" t="str">
        <f>CashIntraTable[Portfolio]&amp;VALUE(CashIntraTable[Cash Date])&amp;CashIntraTable[Detail]</f>
        <v>SCBLT3433982.2. Switch-out</v>
      </c>
    </row>
    <row r="433" spans="1:9" x14ac:dyDescent="0.2">
      <c r="A433" t="s">
        <v>428</v>
      </c>
      <c r="B433" t="s">
        <v>23</v>
      </c>
      <c r="C433" s="147">
        <v>43399</v>
      </c>
      <c r="D433" t="s">
        <v>382</v>
      </c>
      <c r="E433">
        <v>-2274950.59</v>
      </c>
      <c r="F433" t="s">
        <v>332</v>
      </c>
      <c r="G433" t="s">
        <v>383</v>
      </c>
      <c r="H433">
        <v>181025160005</v>
      </c>
      <c r="I433" t="str">
        <f>CashIntraTable[Portfolio]&amp;VALUE(CashIntraTable[Cash Date])&amp;CashIntraTable[Detail]</f>
        <v>SCBLT3433992.2. Switch-out</v>
      </c>
    </row>
    <row r="434" spans="1:9" x14ac:dyDescent="0.2">
      <c r="A434" t="s">
        <v>428</v>
      </c>
      <c r="B434" t="s">
        <v>23</v>
      </c>
      <c r="C434" s="147">
        <v>43402</v>
      </c>
      <c r="D434" t="s">
        <v>382</v>
      </c>
      <c r="E434">
        <v>-281024.24</v>
      </c>
      <c r="F434" t="s">
        <v>332</v>
      </c>
      <c r="G434" t="s">
        <v>383</v>
      </c>
      <c r="H434">
        <v>181025160005</v>
      </c>
      <c r="I434" t="str">
        <f>CashIntraTable[Portfolio]&amp;VALUE(CashIntraTable[Cash Date])&amp;CashIntraTable[Detail]</f>
        <v>SCBLT3434022.2. Switch-out</v>
      </c>
    </row>
    <row r="435" spans="1:9" x14ac:dyDescent="0.2">
      <c r="A435" t="s">
        <v>429</v>
      </c>
      <c r="B435" t="s">
        <v>23</v>
      </c>
      <c r="C435" s="147">
        <v>43398</v>
      </c>
      <c r="D435" t="s">
        <v>382</v>
      </c>
      <c r="E435">
        <v>346500</v>
      </c>
      <c r="F435" t="s">
        <v>329</v>
      </c>
      <c r="G435" t="s">
        <v>383</v>
      </c>
      <c r="H435">
        <v>181025160005</v>
      </c>
      <c r="I435" t="str">
        <f>CashIntraTable[Portfolio]&amp;VALUE(CashIntraTable[Cash Date])&amp;CashIntraTable[Detail]</f>
        <v>SCBLT4433981.1. Subscription</v>
      </c>
    </row>
    <row r="436" spans="1:9" x14ac:dyDescent="0.2">
      <c r="A436" t="s">
        <v>429</v>
      </c>
      <c r="B436" t="s">
        <v>23</v>
      </c>
      <c r="C436" s="147">
        <v>43399</v>
      </c>
      <c r="D436" t="s">
        <v>382</v>
      </c>
      <c r="E436">
        <v>1095500</v>
      </c>
      <c r="F436" t="s">
        <v>329</v>
      </c>
      <c r="G436" t="s">
        <v>383</v>
      </c>
      <c r="H436">
        <v>181025160005</v>
      </c>
      <c r="I436" t="str">
        <f>CashIntraTable[Portfolio]&amp;VALUE(CashIntraTable[Cash Date])&amp;CashIntraTable[Detail]</f>
        <v>SCBLT4433991.1. Subscription</v>
      </c>
    </row>
    <row r="437" spans="1:9" x14ac:dyDescent="0.2">
      <c r="A437" t="s">
        <v>429</v>
      </c>
      <c r="B437" t="s">
        <v>23</v>
      </c>
      <c r="C437" s="147">
        <v>43398</v>
      </c>
      <c r="D437" t="s">
        <v>382</v>
      </c>
      <c r="E437">
        <v>1601500</v>
      </c>
      <c r="F437" t="s">
        <v>333</v>
      </c>
      <c r="G437" t="s">
        <v>383</v>
      </c>
      <c r="H437">
        <v>181025160005</v>
      </c>
      <c r="I437" t="str">
        <f>CashIntraTable[Portfolio]&amp;VALUE(CashIntraTable[Cash Date])&amp;CashIntraTable[Detail]</f>
        <v>SCBLT4433981.1. Subscription (Chq)</v>
      </c>
    </row>
    <row r="438" spans="1:9" x14ac:dyDescent="0.2">
      <c r="A438" t="s">
        <v>429</v>
      </c>
      <c r="B438" t="s">
        <v>23</v>
      </c>
      <c r="C438" s="147">
        <v>43399</v>
      </c>
      <c r="D438" t="s">
        <v>382</v>
      </c>
      <c r="E438">
        <v>1750257</v>
      </c>
      <c r="F438" t="s">
        <v>333</v>
      </c>
      <c r="G438" t="s">
        <v>383</v>
      </c>
      <c r="H438">
        <v>181025160005</v>
      </c>
      <c r="I438" t="str">
        <f>CashIntraTable[Portfolio]&amp;VALUE(CashIntraTable[Cash Date])&amp;CashIntraTable[Detail]</f>
        <v>SCBLT4433991.1. Subscription (Chq)</v>
      </c>
    </row>
    <row r="439" spans="1:9" x14ac:dyDescent="0.2">
      <c r="A439" t="s">
        <v>429</v>
      </c>
      <c r="B439" t="s">
        <v>23</v>
      </c>
      <c r="C439" s="147">
        <v>43398</v>
      </c>
      <c r="D439" t="s">
        <v>382</v>
      </c>
      <c r="E439">
        <v>36000</v>
      </c>
      <c r="F439" t="s">
        <v>330</v>
      </c>
      <c r="G439" t="s">
        <v>383</v>
      </c>
      <c r="H439">
        <v>181025160005</v>
      </c>
      <c r="I439" t="str">
        <f>CashIntraTable[Portfolio]&amp;VALUE(CashIntraTable[Cash Date])&amp;CashIntraTable[Detail]</f>
        <v>SCBLT4433981.2. Switch-in</v>
      </c>
    </row>
    <row r="440" spans="1:9" x14ac:dyDescent="0.2">
      <c r="A440" t="s">
        <v>429</v>
      </c>
      <c r="B440" t="s">
        <v>23</v>
      </c>
      <c r="C440" s="147">
        <v>43399</v>
      </c>
      <c r="D440" t="s">
        <v>382</v>
      </c>
      <c r="E440">
        <v>129000</v>
      </c>
      <c r="F440" t="s">
        <v>330</v>
      </c>
      <c r="G440" t="s">
        <v>383</v>
      </c>
      <c r="H440">
        <v>181025160005</v>
      </c>
      <c r="I440" t="str">
        <f>CashIntraTable[Portfolio]&amp;VALUE(CashIntraTable[Cash Date])&amp;CashIntraTable[Detail]</f>
        <v>SCBLT4433991.2. Switch-in</v>
      </c>
    </row>
    <row r="441" spans="1:9" x14ac:dyDescent="0.2">
      <c r="A441" t="s">
        <v>429</v>
      </c>
      <c r="B441" t="s">
        <v>23</v>
      </c>
      <c r="C441" s="147">
        <v>43402</v>
      </c>
      <c r="D441" t="s">
        <v>382</v>
      </c>
      <c r="E441">
        <v>8577.91</v>
      </c>
      <c r="F441" t="s">
        <v>330</v>
      </c>
      <c r="G441" t="s">
        <v>383</v>
      </c>
      <c r="H441">
        <v>181025160005</v>
      </c>
      <c r="I441" t="str">
        <f>CashIntraTable[Portfolio]&amp;VALUE(CashIntraTable[Cash Date])&amp;CashIntraTable[Detail]</f>
        <v>SCBLT4434021.2. Switch-in</v>
      </c>
    </row>
    <row r="442" spans="1:9" x14ac:dyDescent="0.2">
      <c r="A442" t="s">
        <v>429</v>
      </c>
      <c r="B442" t="s">
        <v>23</v>
      </c>
      <c r="C442" s="147">
        <v>43398</v>
      </c>
      <c r="D442" t="s">
        <v>382</v>
      </c>
      <c r="E442">
        <v>-87516.79</v>
      </c>
      <c r="F442" t="s">
        <v>331</v>
      </c>
      <c r="G442" t="s">
        <v>383</v>
      </c>
      <c r="H442">
        <v>181025160005</v>
      </c>
      <c r="I442" t="str">
        <f>CashIntraTable[Portfolio]&amp;VALUE(CashIntraTable[Cash Date])&amp;CashIntraTable[Detail]</f>
        <v>SCBLT4433982.1. Redemption</v>
      </c>
    </row>
    <row r="443" spans="1:9" x14ac:dyDescent="0.2">
      <c r="A443" t="s">
        <v>429</v>
      </c>
      <c r="B443" t="s">
        <v>23</v>
      </c>
      <c r="C443" s="147">
        <v>43399</v>
      </c>
      <c r="D443" t="s">
        <v>382</v>
      </c>
      <c r="E443">
        <v>-331545.28999999998</v>
      </c>
      <c r="F443" t="s">
        <v>331</v>
      </c>
      <c r="G443" t="s">
        <v>383</v>
      </c>
      <c r="H443">
        <v>181025160005</v>
      </c>
      <c r="I443" t="str">
        <f>CashIntraTable[Portfolio]&amp;VALUE(CashIntraTable[Cash Date])&amp;CashIntraTable[Detail]</f>
        <v>SCBLT4433992.1. Redemption</v>
      </c>
    </row>
    <row r="444" spans="1:9" x14ac:dyDescent="0.2">
      <c r="A444" t="s">
        <v>429</v>
      </c>
      <c r="B444" t="s">
        <v>23</v>
      </c>
      <c r="C444" s="147">
        <v>43402</v>
      </c>
      <c r="D444" t="s">
        <v>382</v>
      </c>
      <c r="E444">
        <v>-98608.72</v>
      </c>
      <c r="F444" t="s">
        <v>331</v>
      </c>
      <c r="G444" t="s">
        <v>383</v>
      </c>
      <c r="H444">
        <v>181025160005</v>
      </c>
      <c r="I444" t="str">
        <f>CashIntraTable[Portfolio]&amp;VALUE(CashIntraTable[Cash Date])&amp;CashIntraTable[Detail]</f>
        <v>SCBLT4434022.1. Redemption</v>
      </c>
    </row>
    <row r="445" spans="1:9" x14ac:dyDescent="0.2">
      <c r="A445" t="s">
        <v>429</v>
      </c>
      <c r="B445" t="s">
        <v>23</v>
      </c>
      <c r="C445" s="147">
        <v>43403</v>
      </c>
      <c r="D445" t="s">
        <v>382</v>
      </c>
      <c r="E445">
        <v>-17061.990000000002</v>
      </c>
      <c r="F445" t="s">
        <v>331</v>
      </c>
      <c r="G445" t="s">
        <v>383</v>
      </c>
      <c r="H445">
        <v>181025160005</v>
      </c>
      <c r="I445" t="str">
        <f>CashIntraTable[Portfolio]&amp;VALUE(CashIntraTable[Cash Date])&amp;CashIntraTable[Detail]</f>
        <v>SCBLT4434032.1. Redemption</v>
      </c>
    </row>
    <row r="446" spans="1:9" x14ac:dyDescent="0.2">
      <c r="A446" t="s">
        <v>429</v>
      </c>
      <c r="B446" t="s">
        <v>23</v>
      </c>
      <c r="C446" s="147">
        <v>43398</v>
      </c>
      <c r="D446" t="s">
        <v>382</v>
      </c>
      <c r="E446">
        <v>-367958.99</v>
      </c>
      <c r="F446" t="s">
        <v>332</v>
      </c>
      <c r="G446" t="s">
        <v>383</v>
      </c>
      <c r="H446">
        <v>181025160005</v>
      </c>
      <c r="I446" t="str">
        <f>CashIntraTable[Portfolio]&amp;VALUE(CashIntraTable[Cash Date])&amp;CashIntraTable[Detail]</f>
        <v>SCBLT4433982.2. Switch-out</v>
      </c>
    </row>
    <row r="447" spans="1:9" x14ac:dyDescent="0.2">
      <c r="A447" t="s">
        <v>429</v>
      </c>
      <c r="B447" t="s">
        <v>23</v>
      </c>
      <c r="C447" s="147">
        <v>43399</v>
      </c>
      <c r="D447" t="s">
        <v>382</v>
      </c>
      <c r="E447">
        <v>-10993.59</v>
      </c>
      <c r="F447" t="s">
        <v>332</v>
      </c>
      <c r="G447" t="s">
        <v>383</v>
      </c>
      <c r="H447">
        <v>181025160005</v>
      </c>
      <c r="I447" t="str">
        <f>CashIntraTable[Portfolio]&amp;VALUE(CashIntraTable[Cash Date])&amp;CashIntraTable[Detail]</f>
        <v>SCBLT4433992.2. Switch-out</v>
      </c>
    </row>
    <row r="448" spans="1:9" x14ac:dyDescent="0.2">
      <c r="A448" t="s">
        <v>429</v>
      </c>
      <c r="B448" t="s">
        <v>23</v>
      </c>
      <c r="C448" s="147">
        <v>43402</v>
      </c>
      <c r="D448" t="s">
        <v>382</v>
      </c>
      <c r="E448">
        <v>-1104200.29</v>
      </c>
      <c r="F448" t="s">
        <v>332</v>
      </c>
      <c r="G448" t="s">
        <v>383</v>
      </c>
      <c r="H448">
        <v>181025160005</v>
      </c>
      <c r="I448" t="str">
        <f>CashIntraTable[Portfolio]&amp;VALUE(CashIntraTable[Cash Date])&amp;CashIntraTable[Detail]</f>
        <v>SCBLT4434022.2. Switch-out</v>
      </c>
    </row>
    <row r="449" spans="1:9" x14ac:dyDescent="0.2">
      <c r="A449" t="s">
        <v>429</v>
      </c>
      <c r="B449" t="s">
        <v>23</v>
      </c>
      <c r="C449" s="147">
        <v>43403</v>
      </c>
      <c r="D449" t="s">
        <v>382</v>
      </c>
      <c r="E449">
        <v>-190421.77</v>
      </c>
      <c r="F449" t="s">
        <v>332</v>
      </c>
      <c r="G449" t="s">
        <v>383</v>
      </c>
      <c r="H449">
        <v>181025160005</v>
      </c>
      <c r="I449" t="str">
        <f>CashIntraTable[Portfolio]&amp;VALUE(CashIntraTable[Cash Date])&amp;CashIntraTable[Detail]</f>
        <v>SCBLT4434032.2. Switch-out</v>
      </c>
    </row>
    <row r="450" spans="1:9" x14ac:dyDescent="0.2">
      <c r="A450" t="s">
        <v>430</v>
      </c>
      <c r="B450" t="s">
        <v>23</v>
      </c>
      <c r="C450" s="147">
        <v>43399</v>
      </c>
      <c r="D450" t="s">
        <v>382</v>
      </c>
      <c r="E450">
        <v>-129217.19</v>
      </c>
      <c r="F450" t="s">
        <v>331</v>
      </c>
      <c r="G450" t="s">
        <v>383</v>
      </c>
      <c r="H450">
        <v>181025160005</v>
      </c>
      <c r="I450" t="str">
        <f>CashIntraTable[Portfolio]&amp;VALUE(CashIntraTable[Cash Date])&amp;CashIntraTable[Detail]</f>
        <v>SCBLTS433992.1. Redemption</v>
      </c>
    </row>
    <row r="451" spans="1:9" x14ac:dyDescent="0.2">
      <c r="A451" t="s">
        <v>430</v>
      </c>
      <c r="B451" t="s">
        <v>23</v>
      </c>
      <c r="C451" s="147">
        <v>43398</v>
      </c>
      <c r="D451" t="s">
        <v>382</v>
      </c>
      <c r="E451">
        <v>-690661.62</v>
      </c>
      <c r="F451" t="s">
        <v>332</v>
      </c>
      <c r="G451" t="s">
        <v>383</v>
      </c>
      <c r="H451">
        <v>181025160005</v>
      </c>
      <c r="I451" t="str">
        <f>CashIntraTable[Portfolio]&amp;VALUE(CashIntraTable[Cash Date])&amp;CashIntraTable[Detail]</f>
        <v>SCBLTS433982.2. Switch-out</v>
      </c>
    </row>
    <row r="452" spans="1:9" x14ac:dyDescent="0.2">
      <c r="A452" t="s">
        <v>430</v>
      </c>
      <c r="B452" t="s">
        <v>23</v>
      </c>
      <c r="C452" s="147">
        <v>43399</v>
      </c>
      <c r="D452" t="s">
        <v>382</v>
      </c>
      <c r="E452">
        <v>-205357.22</v>
      </c>
      <c r="F452" t="s">
        <v>332</v>
      </c>
      <c r="G452" t="s">
        <v>383</v>
      </c>
      <c r="H452">
        <v>181025160005</v>
      </c>
      <c r="I452" t="str">
        <f>CashIntraTable[Portfolio]&amp;VALUE(CashIntraTable[Cash Date])&amp;CashIntraTable[Detail]</f>
        <v>SCBLTS433992.2. Switch-out</v>
      </c>
    </row>
    <row r="453" spans="1:9" x14ac:dyDescent="0.2">
      <c r="A453" t="s">
        <v>431</v>
      </c>
      <c r="B453" t="s">
        <v>23</v>
      </c>
      <c r="C453" s="147">
        <v>43398</v>
      </c>
      <c r="D453" t="s">
        <v>382</v>
      </c>
      <c r="E453">
        <v>1344200</v>
      </c>
      <c r="F453" t="s">
        <v>329</v>
      </c>
      <c r="G453" t="s">
        <v>383</v>
      </c>
      <c r="H453">
        <v>181025160005</v>
      </c>
      <c r="I453" t="str">
        <f>CashIntraTable[Portfolio]&amp;VALUE(CashIntraTable[Cash Date])&amp;CashIntraTable[Detail]</f>
        <v>SCBLTSE433981.1. Subscription</v>
      </c>
    </row>
    <row r="454" spans="1:9" x14ac:dyDescent="0.2">
      <c r="A454" t="s">
        <v>431</v>
      </c>
      <c r="B454" t="s">
        <v>23</v>
      </c>
      <c r="C454" s="147">
        <v>43399</v>
      </c>
      <c r="D454" t="s">
        <v>382</v>
      </c>
      <c r="E454">
        <v>1203456.3</v>
      </c>
      <c r="F454" t="s">
        <v>329</v>
      </c>
      <c r="G454" t="s">
        <v>383</v>
      </c>
      <c r="H454">
        <v>181025160005</v>
      </c>
      <c r="I454" t="str">
        <f>CashIntraTable[Portfolio]&amp;VALUE(CashIntraTable[Cash Date])&amp;CashIntraTable[Detail]</f>
        <v>SCBLTSE433991.1. Subscription</v>
      </c>
    </row>
    <row r="455" spans="1:9" x14ac:dyDescent="0.2">
      <c r="A455" t="s">
        <v>431</v>
      </c>
      <c r="B455" t="s">
        <v>23</v>
      </c>
      <c r="C455" s="147">
        <v>43398</v>
      </c>
      <c r="D455" t="s">
        <v>382</v>
      </c>
      <c r="E455">
        <v>3292200</v>
      </c>
      <c r="F455" t="s">
        <v>333</v>
      </c>
      <c r="G455" t="s">
        <v>383</v>
      </c>
      <c r="H455">
        <v>181025160005</v>
      </c>
      <c r="I455" t="str">
        <f>CashIntraTable[Portfolio]&amp;VALUE(CashIntraTable[Cash Date])&amp;CashIntraTable[Detail]</f>
        <v>SCBLTSE433981.1. Subscription (Chq)</v>
      </c>
    </row>
    <row r="456" spans="1:9" x14ac:dyDescent="0.2">
      <c r="A456" t="s">
        <v>431</v>
      </c>
      <c r="B456" t="s">
        <v>23</v>
      </c>
      <c r="C456" s="147">
        <v>43399</v>
      </c>
      <c r="D456" t="s">
        <v>382</v>
      </c>
      <c r="E456">
        <v>2757500</v>
      </c>
      <c r="F456" t="s">
        <v>333</v>
      </c>
      <c r="G456" t="s">
        <v>383</v>
      </c>
      <c r="H456">
        <v>181025160005</v>
      </c>
      <c r="I456" t="str">
        <f>CashIntraTable[Portfolio]&amp;VALUE(CashIntraTable[Cash Date])&amp;CashIntraTable[Detail]</f>
        <v>SCBLTSE433991.1. Subscription (Chq)</v>
      </c>
    </row>
    <row r="457" spans="1:9" x14ac:dyDescent="0.2">
      <c r="A457" t="s">
        <v>431</v>
      </c>
      <c r="B457" t="s">
        <v>23</v>
      </c>
      <c r="C457" s="147">
        <v>43398</v>
      </c>
      <c r="D457" t="s">
        <v>382</v>
      </c>
      <c r="E457">
        <v>192567.44</v>
      </c>
      <c r="F457" t="s">
        <v>330</v>
      </c>
      <c r="G457" t="s">
        <v>383</v>
      </c>
      <c r="H457">
        <v>181025160005</v>
      </c>
      <c r="I457" t="str">
        <f>CashIntraTable[Portfolio]&amp;VALUE(CashIntraTable[Cash Date])&amp;CashIntraTable[Detail]</f>
        <v>SCBLTSE433981.2. Switch-in</v>
      </c>
    </row>
    <row r="458" spans="1:9" x14ac:dyDescent="0.2">
      <c r="A458" t="s">
        <v>431</v>
      </c>
      <c r="B458" t="s">
        <v>23</v>
      </c>
      <c r="C458" s="147">
        <v>43399</v>
      </c>
      <c r="D458" t="s">
        <v>382</v>
      </c>
      <c r="E458">
        <v>1388719.43</v>
      </c>
      <c r="F458" t="s">
        <v>330</v>
      </c>
      <c r="G458" t="s">
        <v>383</v>
      </c>
      <c r="H458">
        <v>181025160005</v>
      </c>
      <c r="I458" t="str">
        <f>CashIntraTable[Portfolio]&amp;VALUE(CashIntraTable[Cash Date])&amp;CashIntraTable[Detail]</f>
        <v>SCBLTSE433991.2. Switch-in</v>
      </c>
    </row>
    <row r="459" spans="1:9" x14ac:dyDescent="0.2">
      <c r="A459" t="s">
        <v>431</v>
      </c>
      <c r="B459" t="s">
        <v>23</v>
      </c>
      <c r="C459" s="147">
        <v>43402</v>
      </c>
      <c r="D459" t="s">
        <v>382</v>
      </c>
      <c r="E459">
        <v>253599.28</v>
      </c>
      <c r="F459" t="s">
        <v>330</v>
      </c>
      <c r="G459" t="s">
        <v>383</v>
      </c>
      <c r="H459">
        <v>181025160005</v>
      </c>
      <c r="I459" t="str">
        <f>CashIntraTable[Portfolio]&amp;VALUE(CashIntraTable[Cash Date])&amp;CashIntraTable[Detail]</f>
        <v>SCBLTSE434021.2. Switch-in</v>
      </c>
    </row>
    <row r="460" spans="1:9" x14ac:dyDescent="0.2">
      <c r="A460" t="s">
        <v>431</v>
      </c>
      <c r="B460" t="s">
        <v>23</v>
      </c>
      <c r="C460" s="147">
        <v>43398</v>
      </c>
      <c r="D460" t="s">
        <v>382</v>
      </c>
      <c r="E460">
        <v>-15000.05</v>
      </c>
      <c r="F460" t="s">
        <v>331</v>
      </c>
      <c r="G460" t="s">
        <v>383</v>
      </c>
      <c r="H460">
        <v>181025160005</v>
      </c>
      <c r="I460" t="str">
        <f>CashIntraTable[Portfolio]&amp;VALUE(CashIntraTable[Cash Date])&amp;CashIntraTable[Detail]</f>
        <v>SCBLTSE433982.1. Redemption</v>
      </c>
    </row>
    <row r="461" spans="1:9" x14ac:dyDescent="0.2">
      <c r="A461" t="s">
        <v>431</v>
      </c>
      <c r="B461" t="s">
        <v>23</v>
      </c>
      <c r="C461" s="147">
        <v>43399</v>
      </c>
      <c r="D461" t="s">
        <v>382</v>
      </c>
      <c r="E461">
        <v>-22926.86</v>
      </c>
      <c r="F461" t="s">
        <v>331</v>
      </c>
      <c r="G461" t="s">
        <v>383</v>
      </c>
      <c r="H461">
        <v>181025160005</v>
      </c>
      <c r="I461" t="str">
        <f>CashIntraTable[Portfolio]&amp;VALUE(CashIntraTable[Cash Date])&amp;CashIntraTable[Detail]</f>
        <v>SCBLTSE433992.1. Redemption</v>
      </c>
    </row>
    <row r="462" spans="1:9" x14ac:dyDescent="0.2">
      <c r="A462" t="s">
        <v>431</v>
      </c>
      <c r="B462" t="s">
        <v>23</v>
      </c>
      <c r="C462" s="147">
        <v>43402</v>
      </c>
      <c r="D462" t="s">
        <v>382</v>
      </c>
      <c r="E462">
        <v>-1890.81</v>
      </c>
      <c r="F462" t="s">
        <v>331</v>
      </c>
      <c r="G462" t="s">
        <v>383</v>
      </c>
      <c r="H462">
        <v>181025160005</v>
      </c>
      <c r="I462" t="str">
        <f>CashIntraTable[Portfolio]&amp;VALUE(CashIntraTable[Cash Date])&amp;CashIntraTable[Detail]</f>
        <v>SCBLTSE434022.1. Redemption</v>
      </c>
    </row>
    <row r="463" spans="1:9" x14ac:dyDescent="0.2">
      <c r="A463" t="s">
        <v>431</v>
      </c>
      <c r="B463" t="s">
        <v>23</v>
      </c>
      <c r="C463" s="147">
        <v>43398</v>
      </c>
      <c r="D463" t="s">
        <v>382</v>
      </c>
      <c r="E463">
        <v>-755307.12</v>
      </c>
      <c r="F463" t="s">
        <v>332</v>
      </c>
      <c r="G463" t="s">
        <v>383</v>
      </c>
      <c r="H463">
        <v>181025160005</v>
      </c>
      <c r="I463" t="str">
        <f>CashIntraTable[Portfolio]&amp;VALUE(CashIntraTable[Cash Date])&amp;CashIntraTable[Detail]</f>
        <v>SCBLTSE433982.2. Switch-out</v>
      </c>
    </row>
    <row r="464" spans="1:9" x14ac:dyDescent="0.2">
      <c r="A464" t="s">
        <v>431</v>
      </c>
      <c r="B464" t="s">
        <v>23</v>
      </c>
      <c r="C464" s="147">
        <v>43399</v>
      </c>
      <c r="D464" t="s">
        <v>382</v>
      </c>
      <c r="E464">
        <v>-15483.23</v>
      </c>
      <c r="F464" t="s">
        <v>332</v>
      </c>
      <c r="G464" t="s">
        <v>383</v>
      </c>
      <c r="H464">
        <v>181025160005</v>
      </c>
      <c r="I464" t="str">
        <f>CashIntraTable[Portfolio]&amp;VALUE(CashIntraTable[Cash Date])&amp;CashIntraTable[Detail]</f>
        <v>SCBLTSE433992.2. Switch-out</v>
      </c>
    </row>
    <row r="465" spans="1:9" x14ac:dyDescent="0.2">
      <c r="A465" t="s">
        <v>431</v>
      </c>
      <c r="B465" t="s">
        <v>23</v>
      </c>
      <c r="C465" s="147">
        <v>43402</v>
      </c>
      <c r="D465" t="s">
        <v>382</v>
      </c>
      <c r="E465">
        <v>-14553.62</v>
      </c>
      <c r="F465" t="s">
        <v>332</v>
      </c>
      <c r="G465" t="s">
        <v>383</v>
      </c>
      <c r="H465">
        <v>181025160005</v>
      </c>
      <c r="I465" t="str">
        <f>CashIntraTable[Portfolio]&amp;VALUE(CashIntraTable[Cash Date])&amp;CashIntraTable[Detail]</f>
        <v>SCBLTSE434022.2. Switch-out</v>
      </c>
    </row>
    <row r="466" spans="1:9" x14ac:dyDescent="0.2">
      <c r="A466" t="s">
        <v>432</v>
      </c>
      <c r="B466" t="s">
        <v>23</v>
      </c>
      <c r="C466" s="147">
        <v>43398</v>
      </c>
      <c r="D466" t="s">
        <v>382</v>
      </c>
      <c r="E466">
        <v>1302500</v>
      </c>
      <c r="F466" t="s">
        <v>329</v>
      </c>
      <c r="G466" t="s">
        <v>383</v>
      </c>
      <c r="H466">
        <v>181025160005</v>
      </c>
      <c r="I466" t="str">
        <f>CashIntraTable[Portfolio]&amp;VALUE(CashIntraTable[Cash Date])&amp;CashIntraTable[Detail]</f>
        <v>SCBLTSET433981.1. Subscription</v>
      </c>
    </row>
    <row r="467" spans="1:9" x14ac:dyDescent="0.2">
      <c r="A467" t="s">
        <v>432</v>
      </c>
      <c r="B467" t="s">
        <v>23</v>
      </c>
      <c r="C467" s="147">
        <v>43399</v>
      </c>
      <c r="D467" t="s">
        <v>382</v>
      </c>
      <c r="E467">
        <v>2684000</v>
      </c>
      <c r="F467" t="s">
        <v>329</v>
      </c>
      <c r="G467" t="s">
        <v>383</v>
      </c>
      <c r="H467">
        <v>181025160005</v>
      </c>
      <c r="I467" t="str">
        <f>CashIntraTable[Portfolio]&amp;VALUE(CashIntraTable[Cash Date])&amp;CashIntraTable[Detail]</f>
        <v>SCBLTSET433991.1. Subscription</v>
      </c>
    </row>
    <row r="468" spans="1:9" x14ac:dyDescent="0.2">
      <c r="A468" t="s">
        <v>432</v>
      </c>
      <c r="B468" t="s">
        <v>23</v>
      </c>
      <c r="C468" s="147">
        <v>43398</v>
      </c>
      <c r="D468" t="s">
        <v>382</v>
      </c>
      <c r="E468">
        <v>2168500</v>
      </c>
      <c r="F468" t="s">
        <v>333</v>
      </c>
      <c r="G468" t="s">
        <v>383</v>
      </c>
      <c r="H468">
        <v>181025160005</v>
      </c>
      <c r="I468" t="str">
        <f>CashIntraTable[Portfolio]&amp;VALUE(CashIntraTable[Cash Date])&amp;CashIntraTable[Detail]</f>
        <v>SCBLTSET433981.1. Subscription (Chq)</v>
      </c>
    </row>
    <row r="469" spans="1:9" x14ac:dyDescent="0.2">
      <c r="A469" t="s">
        <v>432</v>
      </c>
      <c r="B469" t="s">
        <v>23</v>
      </c>
      <c r="C469" s="147">
        <v>43399</v>
      </c>
      <c r="D469" t="s">
        <v>382</v>
      </c>
      <c r="E469">
        <v>2221500</v>
      </c>
      <c r="F469" t="s">
        <v>333</v>
      </c>
      <c r="G469" t="s">
        <v>383</v>
      </c>
      <c r="H469">
        <v>181025160005</v>
      </c>
      <c r="I469" t="str">
        <f>CashIntraTable[Portfolio]&amp;VALUE(CashIntraTable[Cash Date])&amp;CashIntraTable[Detail]</f>
        <v>SCBLTSET433991.1. Subscription (Chq)</v>
      </c>
    </row>
    <row r="470" spans="1:9" x14ac:dyDescent="0.2">
      <c r="A470" t="s">
        <v>432</v>
      </c>
      <c r="B470" t="s">
        <v>23</v>
      </c>
      <c r="C470" s="147">
        <v>43398</v>
      </c>
      <c r="D470" t="s">
        <v>382</v>
      </c>
      <c r="E470">
        <v>265224.37</v>
      </c>
      <c r="F470" t="s">
        <v>330</v>
      </c>
      <c r="G470" t="s">
        <v>383</v>
      </c>
      <c r="H470">
        <v>181025160005</v>
      </c>
      <c r="I470" t="str">
        <f>CashIntraTable[Portfolio]&amp;VALUE(CashIntraTable[Cash Date])&amp;CashIntraTable[Detail]</f>
        <v>SCBLTSET433981.2. Switch-in</v>
      </c>
    </row>
    <row r="471" spans="1:9" x14ac:dyDescent="0.2">
      <c r="A471" t="s">
        <v>432</v>
      </c>
      <c r="B471" t="s">
        <v>23</v>
      </c>
      <c r="C471" s="147">
        <v>43399</v>
      </c>
      <c r="D471" t="s">
        <v>382</v>
      </c>
      <c r="E471">
        <v>3380052.96</v>
      </c>
      <c r="F471" t="s">
        <v>330</v>
      </c>
      <c r="G471" t="s">
        <v>383</v>
      </c>
      <c r="H471">
        <v>181025160005</v>
      </c>
      <c r="I471" t="str">
        <f>CashIntraTable[Portfolio]&amp;VALUE(CashIntraTable[Cash Date])&amp;CashIntraTable[Detail]</f>
        <v>SCBLTSET433991.2. Switch-in</v>
      </c>
    </row>
    <row r="472" spans="1:9" x14ac:dyDescent="0.2">
      <c r="A472" t="s">
        <v>432</v>
      </c>
      <c r="B472" t="s">
        <v>23</v>
      </c>
      <c r="C472" s="147">
        <v>43402</v>
      </c>
      <c r="D472" t="s">
        <v>382</v>
      </c>
      <c r="E472">
        <v>26084.86</v>
      </c>
      <c r="F472" t="s">
        <v>330</v>
      </c>
      <c r="G472" t="s">
        <v>383</v>
      </c>
      <c r="H472">
        <v>181025160005</v>
      </c>
      <c r="I472" t="str">
        <f>CashIntraTable[Portfolio]&amp;VALUE(CashIntraTable[Cash Date])&amp;CashIntraTable[Detail]</f>
        <v>SCBLTSET434021.2. Switch-in</v>
      </c>
    </row>
    <row r="473" spans="1:9" x14ac:dyDescent="0.2">
      <c r="A473" t="s">
        <v>432</v>
      </c>
      <c r="B473" t="s">
        <v>23</v>
      </c>
      <c r="C473" s="147">
        <v>43403</v>
      </c>
      <c r="D473" t="s">
        <v>382</v>
      </c>
      <c r="E473">
        <v>4480.72</v>
      </c>
      <c r="F473" t="s">
        <v>330</v>
      </c>
      <c r="G473" t="s">
        <v>383</v>
      </c>
      <c r="H473">
        <v>181025160005</v>
      </c>
      <c r="I473" t="str">
        <f>CashIntraTable[Portfolio]&amp;VALUE(CashIntraTable[Cash Date])&amp;CashIntraTable[Detail]</f>
        <v>SCBLTSET434031.2. Switch-in</v>
      </c>
    </row>
    <row r="474" spans="1:9" x14ac:dyDescent="0.2">
      <c r="A474" t="s">
        <v>432</v>
      </c>
      <c r="B474" t="s">
        <v>23</v>
      </c>
      <c r="C474" s="147">
        <v>43398</v>
      </c>
      <c r="D474" t="s">
        <v>382</v>
      </c>
      <c r="E474">
        <v>-4971.53</v>
      </c>
      <c r="F474" t="s">
        <v>331</v>
      </c>
      <c r="G474" t="s">
        <v>383</v>
      </c>
      <c r="H474">
        <v>181025160005</v>
      </c>
      <c r="I474" t="str">
        <f>CashIntraTable[Portfolio]&amp;VALUE(CashIntraTable[Cash Date])&amp;CashIntraTable[Detail]</f>
        <v>SCBLTSET433982.1. Redemption</v>
      </c>
    </row>
    <row r="475" spans="1:9" x14ac:dyDescent="0.2">
      <c r="A475" t="s">
        <v>432</v>
      </c>
      <c r="B475" t="s">
        <v>23</v>
      </c>
      <c r="C475" s="147">
        <v>43399</v>
      </c>
      <c r="D475" t="s">
        <v>382</v>
      </c>
      <c r="E475">
        <v>-2819.28</v>
      </c>
      <c r="F475" t="s">
        <v>331</v>
      </c>
      <c r="G475" t="s">
        <v>383</v>
      </c>
      <c r="H475">
        <v>181025160005</v>
      </c>
      <c r="I475" t="str">
        <f>CashIntraTable[Portfolio]&amp;VALUE(CashIntraTable[Cash Date])&amp;CashIntraTable[Detail]</f>
        <v>SCBLTSET433992.1. Redemption</v>
      </c>
    </row>
    <row r="476" spans="1:9" x14ac:dyDescent="0.2">
      <c r="A476" t="s">
        <v>432</v>
      </c>
      <c r="B476" t="s">
        <v>23</v>
      </c>
      <c r="C476" s="147">
        <v>43402</v>
      </c>
      <c r="D476" t="s">
        <v>382</v>
      </c>
      <c r="E476">
        <v>-41985.07</v>
      </c>
      <c r="F476" t="s">
        <v>331</v>
      </c>
      <c r="G476" t="s">
        <v>383</v>
      </c>
      <c r="H476">
        <v>181025160005</v>
      </c>
      <c r="I476" t="str">
        <f>CashIntraTable[Portfolio]&amp;VALUE(CashIntraTable[Cash Date])&amp;CashIntraTable[Detail]</f>
        <v>SCBLTSET434022.1. Redemption</v>
      </c>
    </row>
    <row r="477" spans="1:9" x14ac:dyDescent="0.2">
      <c r="A477" t="s">
        <v>432</v>
      </c>
      <c r="B477" t="s">
        <v>23</v>
      </c>
      <c r="C477" s="147">
        <v>43402</v>
      </c>
      <c r="D477" t="s">
        <v>382</v>
      </c>
      <c r="E477">
        <v>-34568.06</v>
      </c>
      <c r="F477" t="s">
        <v>332</v>
      </c>
      <c r="G477" t="s">
        <v>383</v>
      </c>
      <c r="H477">
        <v>181025160005</v>
      </c>
      <c r="I477" t="str">
        <f>CashIntraTable[Portfolio]&amp;VALUE(CashIntraTable[Cash Date])&amp;CashIntraTable[Detail]</f>
        <v>SCBLTSET434022.2. Switch-out</v>
      </c>
    </row>
    <row r="478" spans="1:9" x14ac:dyDescent="0.2">
      <c r="A478" t="s">
        <v>433</v>
      </c>
      <c r="B478" t="s">
        <v>23</v>
      </c>
      <c r="C478" s="147">
        <v>43398</v>
      </c>
      <c r="D478" t="s">
        <v>382</v>
      </c>
      <c r="E478">
        <v>4624192</v>
      </c>
      <c r="F478" t="s">
        <v>329</v>
      </c>
      <c r="G478" t="s">
        <v>383</v>
      </c>
      <c r="H478">
        <v>181025160005</v>
      </c>
      <c r="I478" t="str">
        <f>CashIntraTable[Portfolio]&amp;VALUE(CashIntraTable[Cash Date])&amp;CashIntraTable[Detail]</f>
        <v>SCBLTT433981.1. Subscription</v>
      </c>
    </row>
    <row r="479" spans="1:9" x14ac:dyDescent="0.2">
      <c r="A479" t="s">
        <v>433</v>
      </c>
      <c r="B479" t="s">
        <v>23</v>
      </c>
      <c r="C479" s="147">
        <v>43399</v>
      </c>
      <c r="D479" t="s">
        <v>382</v>
      </c>
      <c r="E479">
        <v>5719700</v>
      </c>
      <c r="F479" t="s">
        <v>329</v>
      </c>
      <c r="G479" t="s">
        <v>383</v>
      </c>
      <c r="H479">
        <v>181025160005</v>
      </c>
      <c r="I479" t="str">
        <f>CashIntraTable[Portfolio]&amp;VALUE(CashIntraTable[Cash Date])&amp;CashIntraTable[Detail]</f>
        <v>SCBLTT433991.1. Subscription</v>
      </c>
    </row>
    <row r="480" spans="1:9" x14ac:dyDescent="0.2">
      <c r="A480" t="s">
        <v>433</v>
      </c>
      <c r="B480" t="s">
        <v>23</v>
      </c>
      <c r="C480" s="147">
        <v>43398</v>
      </c>
      <c r="D480" t="s">
        <v>382</v>
      </c>
      <c r="E480">
        <v>10460906</v>
      </c>
      <c r="F480" t="s">
        <v>333</v>
      </c>
      <c r="G480" t="s">
        <v>383</v>
      </c>
      <c r="H480">
        <v>181025160005</v>
      </c>
      <c r="I480" t="str">
        <f>CashIntraTable[Portfolio]&amp;VALUE(CashIntraTable[Cash Date])&amp;CashIntraTable[Detail]</f>
        <v>SCBLTT433981.1. Subscription (Chq)</v>
      </c>
    </row>
    <row r="481" spans="1:9" x14ac:dyDescent="0.2">
      <c r="A481" t="s">
        <v>433</v>
      </c>
      <c r="B481" t="s">
        <v>23</v>
      </c>
      <c r="C481" s="147">
        <v>43399</v>
      </c>
      <c r="D481" t="s">
        <v>382</v>
      </c>
      <c r="E481">
        <v>9221000</v>
      </c>
      <c r="F481" t="s">
        <v>333</v>
      </c>
      <c r="G481" t="s">
        <v>383</v>
      </c>
      <c r="H481">
        <v>181025160005</v>
      </c>
      <c r="I481" t="str">
        <f>CashIntraTable[Portfolio]&amp;VALUE(CashIntraTable[Cash Date])&amp;CashIntraTable[Detail]</f>
        <v>SCBLTT433991.1. Subscription (Chq)</v>
      </c>
    </row>
    <row r="482" spans="1:9" x14ac:dyDescent="0.2">
      <c r="A482" t="s">
        <v>433</v>
      </c>
      <c r="B482" t="s">
        <v>23</v>
      </c>
      <c r="C482" s="147">
        <v>43398</v>
      </c>
      <c r="D482" t="s">
        <v>382</v>
      </c>
      <c r="E482">
        <v>6515547.2199999997</v>
      </c>
      <c r="F482" t="s">
        <v>330</v>
      </c>
      <c r="G482" t="s">
        <v>383</v>
      </c>
      <c r="H482">
        <v>181025160005</v>
      </c>
      <c r="I482" t="str">
        <f>CashIntraTable[Portfolio]&amp;VALUE(CashIntraTable[Cash Date])&amp;CashIntraTable[Detail]</f>
        <v>SCBLTT433981.2. Switch-in</v>
      </c>
    </row>
    <row r="483" spans="1:9" x14ac:dyDescent="0.2">
      <c r="A483" t="s">
        <v>433</v>
      </c>
      <c r="B483" t="s">
        <v>23</v>
      </c>
      <c r="C483" s="147">
        <v>43399</v>
      </c>
      <c r="D483" t="s">
        <v>382</v>
      </c>
      <c r="E483">
        <v>924270.67</v>
      </c>
      <c r="F483" t="s">
        <v>330</v>
      </c>
      <c r="G483" t="s">
        <v>383</v>
      </c>
      <c r="H483">
        <v>181025160005</v>
      </c>
      <c r="I483" t="str">
        <f>CashIntraTable[Portfolio]&amp;VALUE(CashIntraTable[Cash Date])&amp;CashIntraTable[Detail]</f>
        <v>SCBLTT433991.2. Switch-in</v>
      </c>
    </row>
    <row r="484" spans="1:9" x14ac:dyDescent="0.2">
      <c r="A484" t="s">
        <v>433</v>
      </c>
      <c r="B484" t="s">
        <v>23</v>
      </c>
      <c r="C484" s="147">
        <v>43402</v>
      </c>
      <c r="D484" t="s">
        <v>382</v>
      </c>
      <c r="E484">
        <v>8466721.0700000003</v>
      </c>
      <c r="F484" t="s">
        <v>330</v>
      </c>
      <c r="G484" t="s">
        <v>383</v>
      </c>
      <c r="H484">
        <v>181025160005</v>
      </c>
      <c r="I484" t="str">
        <f>CashIntraTable[Portfolio]&amp;VALUE(CashIntraTable[Cash Date])&amp;CashIntraTable[Detail]</f>
        <v>SCBLTT434021.2. Switch-in</v>
      </c>
    </row>
    <row r="485" spans="1:9" x14ac:dyDescent="0.2">
      <c r="A485" t="s">
        <v>433</v>
      </c>
      <c r="B485" t="s">
        <v>23</v>
      </c>
      <c r="C485" s="147">
        <v>43398</v>
      </c>
      <c r="D485" t="s">
        <v>382</v>
      </c>
      <c r="E485">
        <v>-4572176.96</v>
      </c>
      <c r="F485" t="s">
        <v>331</v>
      </c>
      <c r="G485" t="s">
        <v>383</v>
      </c>
      <c r="H485">
        <v>181025160005</v>
      </c>
      <c r="I485" t="str">
        <f>CashIntraTable[Portfolio]&amp;VALUE(CashIntraTable[Cash Date])&amp;CashIntraTable[Detail]</f>
        <v>SCBLTT433982.1. Redemption</v>
      </c>
    </row>
    <row r="486" spans="1:9" x14ac:dyDescent="0.2">
      <c r="A486" t="s">
        <v>433</v>
      </c>
      <c r="B486" t="s">
        <v>23</v>
      </c>
      <c r="C486" s="147">
        <v>43399</v>
      </c>
      <c r="D486" t="s">
        <v>382</v>
      </c>
      <c r="E486">
        <v>-339723.31</v>
      </c>
      <c r="F486" t="s">
        <v>331</v>
      </c>
      <c r="G486" t="s">
        <v>383</v>
      </c>
      <c r="H486">
        <v>181025160005</v>
      </c>
      <c r="I486" t="str">
        <f>CashIntraTable[Portfolio]&amp;VALUE(CashIntraTable[Cash Date])&amp;CashIntraTable[Detail]</f>
        <v>SCBLTT433992.1. Redemption</v>
      </c>
    </row>
    <row r="487" spans="1:9" x14ac:dyDescent="0.2">
      <c r="A487" t="s">
        <v>433</v>
      </c>
      <c r="B487" t="s">
        <v>23</v>
      </c>
      <c r="C487" s="147">
        <v>43402</v>
      </c>
      <c r="D487" t="s">
        <v>382</v>
      </c>
      <c r="E487">
        <v>-1038430.83</v>
      </c>
      <c r="F487" t="s">
        <v>331</v>
      </c>
      <c r="G487" t="s">
        <v>383</v>
      </c>
      <c r="H487">
        <v>181025160005</v>
      </c>
      <c r="I487" t="str">
        <f>CashIntraTable[Portfolio]&amp;VALUE(CashIntraTable[Cash Date])&amp;CashIntraTable[Detail]</f>
        <v>SCBLTT434022.1. Redemption</v>
      </c>
    </row>
    <row r="488" spans="1:9" x14ac:dyDescent="0.2">
      <c r="A488" t="s">
        <v>433</v>
      </c>
      <c r="B488" t="s">
        <v>23</v>
      </c>
      <c r="C488" s="147">
        <v>43398</v>
      </c>
      <c r="D488" t="s">
        <v>382</v>
      </c>
      <c r="E488">
        <v>-85375.5</v>
      </c>
      <c r="F488" t="s">
        <v>332</v>
      </c>
      <c r="G488" t="s">
        <v>383</v>
      </c>
      <c r="H488">
        <v>181025160005</v>
      </c>
      <c r="I488" t="str">
        <f>CashIntraTable[Portfolio]&amp;VALUE(CashIntraTable[Cash Date])&amp;CashIntraTable[Detail]</f>
        <v>SCBLTT433982.2. Switch-out</v>
      </c>
    </row>
    <row r="489" spans="1:9" x14ac:dyDescent="0.2">
      <c r="A489" t="s">
        <v>433</v>
      </c>
      <c r="B489" t="s">
        <v>23</v>
      </c>
      <c r="C489" s="147">
        <v>43399</v>
      </c>
      <c r="D489" t="s">
        <v>382</v>
      </c>
      <c r="E489">
        <v>-447336.15</v>
      </c>
      <c r="F489" t="s">
        <v>332</v>
      </c>
      <c r="G489" t="s">
        <v>383</v>
      </c>
      <c r="H489">
        <v>181025160005</v>
      </c>
      <c r="I489" t="str">
        <f>CashIntraTable[Portfolio]&amp;VALUE(CashIntraTable[Cash Date])&amp;CashIntraTable[Detail]</f>
        <v>SCBLTT433992.2. Switch-out</v>
      </c>
    </row>
    <row r="490" spans="1:9" x14ac:dyDescent="0.2">
      <c r="A490" t="s">
        <v>433</v>
      </c>
      <c r="B490" t="s">
        <v>23</v>
      </c>
      <c r="C490" s="147">
        <v>43402</v>
      </c>
      <c r="D490" t="s">
        <v>382</v>
      </c>
      <c r="E490">
        <v>-130500.38</v>
      </c>
      <c r="F490" t="s">
        <v>332</v>
      </c>
      <c r="G490" t="s">
        <v>383</v>
      </c>
      <c r="H490">
        <v>181025160005</v>
      </c>
      <c r="I490" t="str">
        <f>CashIntraTable[Portfolio]&amp;VALUE(CashIntraTable[Cash Date])&amp;CashIntraTable[Detail]</f>
        <v>SCBLTT434022.2. Switch-out</v>
      </c>
    </row>
    <row r="491" spans="1:9" x14ac:dyDescent="0.2">
      <c r="A491" t="s">
        <v>434</v>
      </c>
      <c r="B491" t="s">
        <v>23</v>
      </c>
      <c r="C491" s="147">
        <v>43398</v>
      </c>
      <c r="D491" t="s">
        <v>382</v>
      </c>
      <c r="E491">
        <v>1843311.05</v>
      </c>
      <c r="F491" t="s">
        <v>329</v>
      </c>
      <c r="G491" t="s">
        <v>383</v>
      </c>
      <c r="H491">
        <v>181025160005</v>
      </c>
      <c r="I491" t="str">
        <f>CashIntraTable[Portfolio]&amp;VALUE(CashIntraTable[Cash Date])&amp;CashIntraTable[Detail]</f>
        <v>SCBMLT433981.1. Subscription</v>
      </c>
    </row>
    <row r="492" spans="1:9" x14ac:dyDescent="0.2">
      <c r="A492" t="s">
        <v>434</v>
      </c>
      <c r="B492" t="s">
        <v>23</v>
      </c>
      <c r="C492" s="147">
        <v>43399</v>
      </c>
      <c r="D492" t="s">
        <v>382</v>
      </c>
      <c r="E492">
        <v>2569500</v>
      </c>
      <c r="F492" t="s">
        <v>329</v>
      </c>
      <c r="G492" t="s">
        <v>383</v>
      </c>
      <c r="H492">
        <v>181025160005</v>
      </c>
      <c r="I492" t="str">
        <f>CashIntraTable[Portfolio]&amp;VALUE(CashIntraTable[Cash Date])&amp;CashIntraTable[Detail]</f>
        <v>SCBMLT433991.1. Subscription</v>
      </c>
    </row>
    <row r="493" spans="1:9" x14ac:dyDescent="0.2">
      <c r="A493" t="s">
        <v>434</v>
      </c>
      <c r="B493" t="s">
        <v>23</v>
      </c>
      <c r="C493" s="147">
        <v>43398</v>
      </c>
      <c r="D493" t="s">
        <v>382</v>
      </c>
      <c r="E493">
        <v>2231000</v>
      </c>
      <c r="F493" t="s">
        <v>330</v>
      </c>
      <c r="G493" t="s">
        <v>383</v>
      </c>
      <c r="H493">
        <v>181025160005</v>
      </c>
      <c r="I493" t="str">
        <f>CashIntraTable[Portfolio]&amp;VALUE(CashIntraTable[Cash Date])&amp;CashIntraTable[Detail]</f>
        <v>SCBMLT433981.2. Switch-in</v>
      </c>
    </row>
    <row r="494" spans="1:9" x14ac:dyDescent="0.2">
      <c r="A494" t="s">
        <v>434</v>
      </c>
      <c r="B494" t="s">
        <v>23</v>
      </c>
      <c r="C494" s="147">
        <v>43399</v>
      </c>
      <c r="D494" t="s">
        <v>382</v>
      </c>
      <c r="E494">
        <v>1330000</v>
      </c>
      <c r="F494" t="s">
        <v>330</v>
      </c>
      <c r="G494" t="s">
        <v>383</v>
      </c>
      <c r="H494">
        <v>181025160005</v>
      </c>
      <c r="I494" t="str">
        <f>CashIntraTable[Portfolio]&amp;VALUE(CashIntraTable[Cash Date])&amp;CashIntraTable[Detail]</f>
        <v>SCBMLT433991.2. Switch-in</v>
      </c>
    </row>
    <row r="495" spans="1:9" x14ac:dyDescent="0.2">
      <c r="A495" t="s">
        <v>434</v>
      </c>
      <c r="B495" t="s">
        <v>23</v>
      </c>
      <c r="C495" s="147">
        <v>43398</v>
      </c>
      <c r="D495" t="s">
        <v>382</v>
      </c>
      <c r="E495">
        <v>-402226.33</v>
      </c>
      <c r="F495" t="s">
        <v>331</v>
      </c>
      <c r="G495" t="s">
        <v>383</v>
      </c>
      <c r="H495">
        <v>181025160005</v>
      </c>
      <c r="I495" t="str">
        <f>CashIntraTable[Portfolio]&amp;VALUE(CashIntraTable[Cash Date])&amp;CashIntraTable[Detail]</f>
        <v>SCBMLT433982.1. Redemption</v>
      </c>
    </row>
    <row r="496" spans="1:9" x14ac:dyDescent="0.2">
      <c r="A496" t="s">
        <v>434</v>
      </c>
      <c r="B496" t="s">
        <v>23</v>
      </c>
      <c r="C496" s="147">
        <v>43399</v>
      </c>
      <c r="D496" t="s">
        <v>382</v>
      </c>
      <c r="E496">
        <v>-706429.93</v>
      </c>
      <c r="F496" t="s">
        <v>331</v>
      </c>
      <c r="G496" t="s">
        <v>383</v>
      </c>
      <c r="H496">
        <v>181025160005</v>
      </c>
      <c r="I496" t="str">
        <f>CashIntraTable[Portfolio]&amp;VALUE(CashIntraTable[Cash Date])&amp;CashIntraTable[Detail]</f>
        <v>SCBMLT433992.1. Redemption</v>
      </c>
    </row>
    <row r="497" spans="1:9" x14ac:dyDescent="0.2">
      <c r="A497" t="s">
        <v>434</v>
      </c>
      <c r="B497" t="s">
        <v>23</v>
      </c>
      <c r="C497" s="147">
        <v>43402</v>
      </c>
      <c r="D497" t="s">
        <v>382</v>
      </c>
      <c r="E497">
        <v>-1686170.35</v>
      </c>
      <c r="F497" t="s">
        <v>331</v>
      </c>
      <c r="G497" t="s">
        <v>383</v>
      </c>
      <c r="H497">
        <v>181025160005</v>
      </c>
      <c r="I497" t="str">
        <f>CashIntraTable[Portfolio]&amp;VALUE(CashIntraTable[Cash Date])&amp;CashIntraTable[Detail]</f>
        <v>SCBMLT434022.1. Redemption</v>
      </c>
    </row>
    <row r="498" spans="1:9" x14ac:dyDescent="0.2">
      <c r="A498" t="s">
        <v>434</v>
      </c>
      <c r="B498" t="s">
        <v>23</v>
      </c>
      <c r="C498" s="147">
        <v>43398</v>
      </c>
      <c r="D498" t="s">
        <v>382</v>
      </c>
      <c r="E498">
        <v>-324366.52</v>
      </c>
      <c r="F498" t="s">
        <v>332</v>
      </c>
      <c r="G498" t="s">
        <v>383</v>
      </c>
      <c r="H498">
        <v>181025160005</v>
      </c>
      <c r="I498" t="str">
        <f>CashIntraTable[Portfolio]&amp;VALUE(CashIntraTable[Cash Date])&amp;CashIntraTable[Detail]</f>
        <v>SCBMLT433982.2. Switch-out</v>
      </c>
    </row>
    <row r="499" spans="1:9" x14ac:dyDescent="0.2">
      <c r="A499" t="s">
        <v>434</v>
      </c>
      <c r="B499" t="s">
        <v>23</v>
      </c>
      <c r="C499" s="147">
        <v>43399</v>
      </c>
      <c r="D499" t="s">
        <v>382</v>
      </c>
      <c r="E499">
        <v>-352175.13</v>
      </c>
      <c r="F499" t="s">
        <v>332</v>
      </c>
      <c r="G499" t="s">
        <v>383</v>
      </c>
      <c r="H499">
        <v>181025160005</v>
      </c>
      <c r="I499" t="str">
        <f>CashIntraTable[Portfolio]&amp;VALUE(CashIntraTable[Cash Date])&amp;CashIntraTable[Detail]</f>
        <v>SCBMLT433992.2. Switch-out</v>
      </c>
    </row>
    <row r="500" spans="1:9" x14ac:dyDescent="0.2">
      <c r="A500" t="s">
        <v>434</v>
      </c>
      <c r="B500" t="s">
        <v>23</v>
      </c>
      <c r="C500" s="147">
        <v>43402</v>
      </c>
      <c r="D500" t="s">
        <v>382</v>
      </c>
      <c r="E500">
        <v>-1729355.25</v>
      </c>
      <c r="F500" t="s">
        <v>332</v>
      </c>
      <c r="G500" t="s">
        <v>383</v>
      </c>
      <c r="H500">
        <v>181025160005</v>
      </c>
      <c r="I500" t="str">
        <f>CashIntraTable[Portfolio]&amp;VALUE(CashIntraTable[Cash Date])&amp;CashIntraTable[Detail]</f>
        <v>SCBMLT434022.2. Switch-out</v>
      </c>
    </row>
    <row r="501" spans="1:9" x14ac:dyDescent="0.2">
      <c r="A501" t="s">
        <v>862</v>
      </c>
      <c r="B501" t="s">
        <v>23</v>
      </c>
      <c r="C501" s="147">
        <v>43399</v>
      </c>
      <c r="D501" t="s">
        <v>382</v>
      </c>
      <c r="E501">
        <v>6000</v>
      </c>
      <c r="F501" t="s">
        <v>329</v>
      </c>
      <c r="G501" t="s">
        <v>383</v>
      </c>
      <c r="H501">
        <v>181025160005</v>
      </c>
      <c r="I501" t="str">
        <f>CashIntraTable[Portfolio]&amp;VALUE(CashIntraTable[Cash Date])&amp;CashIntraTable[Detail]</f>
        <v>SCBMPLUS433991.1. Subscription</v>
      </c>
    </row>
    <row r="502" spans="1:9" x14ac:dyDescent="0.2">
      <c r="A502" t="s">
        <v>862</v>
      </c>
      <c r="B502" t="s">
        <v>23</v>
      </c>
      <c r="C502" s="147">
        <v>43399</v>
      </c>
      <c r="D502" t="s">
        <v>382</v>
      </c>
      <c r="E502">
        <v>-527120282.41000003</v>
      </c>
      <c r="F502" t="s">
        <v>331</v>
      </c>
      <c r="G502" t="s">
        <v>383</v>
      </c>
      <c r="H502">
        <v>181025160005</v>
      </c>
      <c r="I502" t="str">
        <f>CashIntraTable[Portfolio]&amp;VALUE(CashIntraTable[Cash Date])&amp;CashIntraTable[Detail]</f>
        <v>SCBMPLUS433992.1. Redemption</v>
      </c>
    </row>
    <row r="503" spans="1:9" x14ac:dyDescent="0.2">
      <c r="A503" t="s">
        <v>862</v>
      </c>
      <c r="B503" t="s">
        <v>23</v>
      </c>
      <c r="C503" s="147">
        <v>43399</v>
      </c>
      <c r="D503" t="s">
        <v>382</v>
      </c>
      <c r="E503">
        <v>-402247624.97000003</v>
      </c>
      <c r="F503" t="s">
        <v>332</v>
      </c>
      <c r="G503" t="s">
        <v>383</v>
      </c>
      <c r="H503">
        <v>181025160005</v>
      </c>
      <c r="I503" t="str">
        <f>CashIntraTable[Portfolio]&amp;VALUE(CashIntraTable[Cash Date])&amp;CashIntraTable[Detail]</f>
        <v>SCBMPLUS433992.2. Switch-out</v>
      </c>
    </row>
    <row r="504" spans="1:9" x14ac:dyDescent="0.2">
      <c r="A504" t="s">
        <v>435</v>
      </c>
      <c r="B504" t="s">
        <v>23</v>
      </c>
      <c r="C504" s="147">
        <v>43398</v>
      </c>
      <c r="D504" t="s">
        <v>382</v>
      </c>
      <c r="E504">
        <v>1375672.52</v>
      </c>
      <c r="F504" t="s">
        <v>329</v>
      </c>
      <c r="G504" t="s">
        <v>383</v>
      </c>
      <c r="H504">
        <v>181025160005</v>
      </c>
      <c r="I504" t="str">
        <f>CashIntraTable[Portfolio]&amp;VALUE(CashIntraTable[Cash Date])&amp;CashIntraTable[Detail]</f>
        <v>SCBMSEFUND433981.1. Subscription</v>
      </c>
    </row>
    <row r="505" spans="1:9" x14ac:dyDescent="0.2">
      <c r="A505" t="s">
        <v>435</v>
      </c>
      <c r="B505" t="s">
        <v>23</v>
      </c>
      <c r="C505" s="147">
        <v>43399</v>
      </c>
      <c r="D505" t="s">
        <v>382</v>
      </c>
      <c r="E505">
        <v>1087848.07</v>
      </c>
      <c r="F505" t="s">
        <v>329</v>
      </c>
      <c r="G505" t="s">
        <v>383</v>
      </c>
      <c r="H505">
        <v>181025160005</v>
      </c>
      <c r="I505" t="str">
        <f>CashIntraTable[Portfolio]&amp;VALUE(CashIntraTable[Cash Date])&amp;CashIntraTable[Detail]</f>
        <v>SCBMSEFUND433991.1. Subscription</v>
      </c>
    </row>
    <row r="506" spans="1:9" x14ac:dyDescent="0.2">
      <c r="A506" t="s">
        <v>435</v>
      </c>
      <c r="B506" t="s">
        <v>23</v>
      </c>
      <c r="C506" s="147">
        <v>43398</v>
      </c>
      <c r="D506" t="s">
        <v>382</v>
      </c>
      <c r="E506">
        <v>490000</v>
      </c>
      <c r="F506" t="s">
        <v>330</v>
      </c>
      <c r="G506" t="s">
        <v>383</v>
      </c>
      <c r="H506">
        <v>181025160005</v>
      </c>
      <c r="I506" t="str">
        <f>CashIntraTable[Portfolio]&amp;VALUE(CashIntraTable[Cash Date])&amp;CashIntraTable[Detail]</f>
        <v>SCBMSEFUND433981.2. Switch-in</v>
      </c>
    </row>
    <row r="507" spans="1:9" x14ac:dyDescent="0.2">
      <c r="A507" t="s">
        <v>435</v>
      </c>
      <c r="B507" t="s">
        <v>23</v>
      </c>
      <c r="C507" s="147">
        <v>43399</v>
      </c>
      <c r="D507" t="s">
        <v>382</v>
      </c>
      <c r="E507">
        <v>155819.49</v>
      </c>
      <c r="F507" t="s">
        <v>330</v>
      </c>
      <c r="G507" t="s">
        <v>383</v>
      </c>
      <c r="H507">
        <v>181025160005</v>
      </c>
      <c r="I507" t="str">
        <f>CashIntraTable[Portfolio]&amp;VALUE(CashIntraTable[Cash Date])&amp;CashIntraTable[Detail]</f>
        <v>SCBMSEFUND433991.2. Switch-in</v>
      </c>
    </row>
    <row r="508" spans="1:9" x14ac:dyDescent="0.2">
      <c r="A508" t="s">
        <v>435</v>
      </c>
      <c r="B508" t="s">
        <v>23</v>
      </c>
      <c r="C508" s="147">
        <v>43398</v>
      </c>
      <c r="D508" t="s">
        <v>382</v>
      </c>
      <c r="E508">
        <v>-257272.34</v>
      </c>
      <c r="F508" t="s">
        <v>331</v>
      </c>
      <c r="G508" t="s">
        <v>383</v>
      </c>
      <c r="H508">
        <v>181025160005</v>
      </c>
      <c r="I508" t="str">
        <f>CashIntraTable[Portfolio]&amp;VALUE(CashIntraTable[Cash Date])&amp;CashIntraTable[Detail]</f>
        <v>SCBMSEFUND433982.1. Redemption</v>
      </c>
    </row>
    <row r="509" spans="1:9" x14ac:dyDescent="0.2">
      <c r="A509" t="s">
        <v>435</v>
      </c>
      <c r="B509" t="s">
        <v>23</v>
      </c>
      <c r="C509" s="147">
        <v>43399</v>
      </c>
      <c r="D509" t="s">
        <v>382</v>
      </c>
      <c r="E509">
        <v>-348729.67</v>
      </c>
      <c r="F509" t="s">
        <v>331</v>
      </c>
      <c r="G509" t="s">
        <v>383</v>
      </c>
      <c r="H509">
        <v>181025160005</v>
      </c>
      <c r="I509" t="str">
        <f>CashIntraTable[Portfolio]&amp;VALUE(CashIntraTable[Cash Date])&amp;CashIntraTable[Detail]</f>
        <v>SCBMSEFUND433992.1. Redemption</v>
      </c>
    </row>
    <row r="510" spans="1:9" x14ac:dyDescent="0.2">
      <c r="A510" t="s">
        <v>435</v>
      </c>
      <c r="B510" t="s">
        <v>23</v>
      </c>
      <c r="C510" s="147">
        <v>43402</v>
      </c>
      <c r="D510" t="s">
        <v>382</v>
      </c>
      <c r="E510">
        <v>-438846.35</v>
      </c>
      <c r="F510" t="s">
        <v>331</v>
      </c>
      <c r="G510" t="s">
        <v>383</v>
      </c>
      <c r="H510">
        <v>181025160005</v>
      </c>
      <c r="I510" t="str">
        <f>CashIntraTable[Portfolio]&amp;VALUE(CashIntraTable[Cash Date])&amp;CashIntraTable[Detail]</f>
        <v>SCBMSEFUND434022.1. Redemption</v>
      </c>
    </row>
    <row r="511" spans="1:9" x14ac:dyDescent="0.2">
      <c r="A511" t="s">
        <v>435</v>
      </c>
      <c r="B511" t="s">
        <v>23</v>
      </c>
      <c r="C511" s="147">
        <v>43398</v>
      </c>
      <c r="D511" t="s">
        <v>382</v>
      </c>
      <c r="E511">
        <v>-55000</v>
      </c>
      <c r="F511" t="s">
        <v>332</v>
      </c>
      <c r="G511" t="s">
        <v>383</v>
      </c>
      <c r="H511">
        <v>181025160005</v>
      </c>
      <c r="I511" t="str">
        <f>CashIntraTable[Portfolio]&amp;VALUE(CashIntraTable[Cash Date])&amp;CashIntraTable[Detail]</f>
        <v>SCBMSEFUND433982.2. Switch-out</v>
      </c>
    </row>
    <row r="512" spans="1:9" x14ac:dyDescent="0.2">
      <c r="A512" t="s">
        <v>435</v>
      </c>
      <c r="B512" t="s">
        <v>23</v>
      </c>
      <c r="C512" s="147">
        <v>43399</v>
      </c>
      <c r="D512" t="s">
        <v>382</v>
      </c>
      <c r="E512">
        <v>-25471.25</v>
      </c>
      <c r="F512" t="s">
        <v>332</v>
      </c>
      <c r="G512" t="s">
        <v>383</v>
      </c>
      <c r="H512">
        <v>181025160005</v>
      </c>
      <c r="I512" t="str">
        <f>CashIntraTable[Portfolio]&amp;VALUE(CashIntraTable[Cash Date])&amp;CashIntraTable[Detail]</f>
        <v>SCBMSEFUND433992.2. Switch-out</v>
      </c>
    </row>
    <row r="513" spans="1:9" x14ac:dyDescent="0.2">
      <c r="A513" t="s">
        <v>435</v>
      </c>
      <c r="B513" t="s">
        <v>23</v>
      </c>
      <c r="C513" s="147">
        <v>43402</v>
      </c>
      <c r="D513" t="s">
        <v>382</v>
      </c>
      <c r="E513">
        <v>-4517.1899999999996</v>
      </c>
      <c r="F513" t="s">
        <v>332</v>
      </c>
      <c r="G513" t="s">
        <v>383</v>
      </c>
      <c r="H513">
        <v>181025160005</v>
      </c>
      <c r="I513" t="str">
        <f>CashIntraTable[Portfolio]&amp;VALUE(CashIntraTable[Cash Date])&amp;CashIntraTable[Detail]</f>
        <v>SCBMSEFUND434022.2. Switch-out</v>
      </c>
    </row>
    <row r="514" spans="1:9" x14ac:dyDescent="0.2">
      <c r="A514" t="s">
        <v>436</v>
      </c>
      <c r="B514" t="s">
        <v>23</v>
      </c>
      <c r="C514" s="147">
        <v>43398</v>
      </c>
      <c r="D514" t="s">
        <v>382</v>
      </c>
      <c r="E514">
        <v>1972949.9</v>
      </c>
      <c r="F514" t="s">
        <v>329</v>
      </c>
      <c r="G514" t="s">
        <v>383</v>
      </c>
      <c r="H514">
        <v>181025160005</v>
      </c>
      <c r="I514" t="str">
        <f>CashIntraTable[Portfolio]&amp;VALUE(CashIntraTable[Cash Date])&amp;CashIntraTable[Detail]</f>
        <v>SCBNKY225433981.1. Subscription</v>
      </c>
    </row>
    <row r="515" spans="1:9" x14ac:dyDescent="0.2">
      <c r="A515" t="s">
        <v>436</v>
      </c>
      <c r="B515" t="s">
        <v>23</v>
      </c>
      <c r="C515" s="147">
        <v>43399</v>
      </c>
      <c r="D515" t="s">
        <v>382</v>
      </c>
      <c r="E515">
        <v>4728700</v>
      </c>
      <c r="F515" t="s">
        <v>329</v>
      </c>
      <c r="G515" t="s">
        <v>383</v>
      </c>
      <c r="H515">
        <v>181025160005</v>
      </c>
      <c r="I515" t="str">
        <f>CashIntraTable[Portfolio]&amp;VALUE(CashIntraTable[Cash Date])&amp;CashIntraTable[Detail]</f>
        <v>SCBNKY225433991.1. Subscription</v>
      </c>
    </row>
    <row r="516" spans="1:9" x14ac:dyDescent="0.2">
      <c r="A516" t="s">
        <v>436</v>
      </c>
      <c r="B516" t="s">
        <v>23</v>
      </c>
      <c r="C516" s="147">
        <v>43398</v>
      </c>
      <c r="D516" t="s">
        <v>382</v>
      </c>
      <c r="E516">
        <v>8853150.9199999999</v>
      </c>
      <c r="F516" t="s">
        <v>330</v>
      </c>
      <c r="G516" t="s">
        <v>383</v>
      </c>
      <c r="H516">
        <v>181025160005</v>
      </c>
      <c r="I516" t="str">
        <f>CashIntraTable[Portfolio]&amp;VALUE(CashIntraTable[Cash Date])&amp;CashIntraTable[Detail]</f>
        <v>SCBNKY225433981.2. Switch-in</v>
      </c>
    </row>
    <row r="517" spans="1:9" x14ac:dyDescent="0.2">
      <c r="A517" t="s">
        <v>436</v>
      </c>
      <c r="B517" t="s">
        <v>23</v>
      </c>
      <c r="C517" s="147">
        <v>43399</v>
      </c>
      <c r="D517" t="s">
        <v>382</v>
      </c>
      <c r="E517">
        <v>10655861.82</v>
      </c>
      <c r="F517" t="s">
        <v>330</v>
      </c>
      <c r="G517" t="s">
        <v>383</v>
      </c>
      <c r="H517">
        <v>181025160005</v>
      </c>
      <c r="I517" t="str">
        <f>CashIntraTable[Portfolio]&amp;VALUE(CashIntraTable[Cash Date])&amp;CashIntraTable[Detail]</f>
        <v>SCBNKY225433991.2. Switch-in</v>
      </c>
    </row>
    <row r="518" spans="1:9" x14ac:dyDescent="0.2">
      <c r="A518" t="s">
        <v>436</v>
      </c>
      <c r="B518" t="s">
        <v>23</v>
      </c>
      <c r="C518" s="147">
        <v>43402</v>
      </c>
      <c r="D518" t="s">
        <v>382</v>
      </c>
      <c r="E518">
        <v>27981.19</v>
      </c>
      <c r="F518" t="s">
        <v>330</v>
      </c>
      <c r="G518" t="s">
        <v>383</v>
      </c>
      <c r="H518">
        <v>181025160005</v>
      </c>
      <c r="I518" t="str">
        <f>CashIntraTable[Portfolio]&amp;VALUE(CashIntraTable[Cash Date])&amp;CashIntraTable[Detail]</f>
        <v>SCBNKY225434021.2. Switch-in</v>
      </c>
    </row>
    <row r="519" spans="1:9" x14ac:dyDescent="0.2">
      <c r="A519" t="s">
        <v>436</v>
      </c>
      <c r="B519" t="s">
        <v>23</v>
      </c>
      <c r="C519" s="147">
        <v>43403</v>
      </c>
      <c r="D519" t="s">
        <v>382</v>
      </c>
      <c r="E519">
        <v>9905.49</v>
      </c>
      <c r="F519" t="s">
        <v>330</v>
      </c>
      <c r="G519" t="s">
        <v>383</v>
      </c>
      <c r="H519">
        <v>181025160005</v>
      </c>
      <c r="I519" t="str">
        <f>CashIntraTable[Portfolio]&amp;VALUE(CashIntraTable[Cash Date])&amp;CashIntraTable[Detail]</f>
        <v>SCBNKY225434031.2. Switch-in</v>
      </c>
    </row>
    <row r="520" spans="1:9" x14ac:dyDescent="0.2">
      <c r="A520" t="s">
        <v>436</v>
      </c>
      <c r="B520" t="s">
        <v>23</v>
      </c>
      <c r="C520" s="147">
        <v>43398</v>
      </c>
      <c r="D520" t="s">
        <v>382</v>
      </c>
      <c r="E520">
        <v>-170226.74</v>
      </c>
      <c r="F520" t="s">
        <v>331</v>
      </c>
      <c r="G520" t="s">
        <v>383</v>
      </c>
      <c r="H520">
        <v>181025160005</v>
      </c>
      <c r="I520" t="str">
        <f>CashIntraTable[Portfolio]&amp;VALUE(CashIntraTable[Cash Date])&amp;CashIntraTable[Detail]</f>
        <v>SCBNKY225433982.1. Redemption</v>
      </c>
    </row>
    <row r="521" spans="1:9" x14ac:dyDescent="0.2">
      <c r="A521" t="s">
        <v>436</v>
      </c>
      <c r="B521" t="s">
        <v>23</v>
      </c>
      <c r="C521" s="147">
        <v>43399</v>
      </c>
      <c r="D521" t="s">
        <v>382</v>
      </c>
      <c r="E521">
        <v>-554385.1</v>
      </c>
      <c r="F521" t="s">
        <v>331</v>
      </c>
      <c r="G521" t="s">
        <v>383</v>
      </c>
      <c r="H521">
        <v>181025160005</v>
      </c>
      <c r="I521" t="str">
        <f>CashIntraTable[Portfolio]&amp;VALUE(CashIntraTable[Cash Date])&amp;CashIntraTable[Detail]</f>
        <v>SCBNKY225433992.1. Redemption</v>
      </c>
    </row>
    <row r="522" spans="1:9" x14ac:dyDescent="0.2">
      <c r="A522" t="s">
        <v>436</v>
      </c>
      <c r="B522" t="s">
        <v>23</v>
      </c>
      <c r="C522" s="147">
        <v>43402</v>
      </c>
      <c r="D522" t="s">
        <v>382</v>
      </c>
      <c r="E522">
        <v>-494286.32</v>
      </c>
      <c r="F522" t="s">
        <v>331</v>
      </c>
      <c r="G522" t="s">
        <v>383</v>
      </c>
      <c r="H522">
        <v>181025160005</v>
      </c>
      <c r="I522" t="str">
        <f>CashIntraTable[Portfolio]&amp;VALUE(CashIntraTable[Cash Date])&amp;CashIntraTable[Detail]</f>
        <v>SCBNKY225434022.1. Redemption</v>
      </c>
    </row>
    <row r="523" spans="1:9" x14ac:dyDescent="0.2">
      <c r="A523" t="s">
        <v>436</v>
      </c>
      <c r="B523" t="s">
        <v>23</v>
      </c>
      <c r="C523" s="147">
        <v>43403</v>
      </c>
      <c r="D523" t="s">
        <v>382</v>
      </c>
      <c r="E523">
        <v>-742919.42</v>
      </c>
      <c r="F523" t="s">
        <v>331</v>
      </c>
      <c r="G523" t="s">
        <v>383</v>
      </c>
      <c r="H523">
        <v>181025160005</v>
      </c>
      <c r="I523" t="str">
        <f>CashIntraTable[Portfolio]&amp;VALUE(CashIntraTable[Cash Date])&amp;CashIntraTable[Detail]</f>
        <v>SCBNKY225434032.1. Redemption</v>
      </c>
    </row>
    <row r="524" spans="1:9" x14ac:dyDescent="0.2">
      <c r="A524" t="s">
        <v>436</v>
      </c>
      <c r="B524" t="s">
        <v>23</v>
      </c>
      <c r="C524" s="147">
        <v>43398</v>
      </c>
      <c r="D524" t="s">
        <v>382</v>
      </c>
      <c r="E524">
        <v>-1022779.05</v>
      </c>
      <c r="F524" t="s">
        <v>332</v>
      </c>
      <c r="G524" t="s">
        <v>383</v>
      </c>
      <c r="H524">
        <v>181025160005</v>
      </c>
      <c r="I524" t="str">
        <f>CashIntraTable[Portfolio]&amp;VALUE(CashIntraTable[Cash Date])&amp;CashIntraTable[Detail]</f>
        <v>SCBNKY225433982.2. Switch-out</v>
      </c>
    </row>
    <row r="525" spans="1:9" x14ac:dyDescent="0.2">
      <c r="A525" t="s">
        <v>436</v>
      </c>
      <c r="B525" t="s">
        <v>23</v>
      </c>
      <c r="C525" s="147">
        <v>43399</v>
      </c>
      <c r="D525" t="s">
        <v>382</v>
      </c>
      <c r="E525">
        <v>-23347.040000000001</v>
      </c>
      <c r="F525" t="s">
        <v>332</v>
      </c>
      <c r="G525" t="s">
        <v>383</v>
      </c>
      <c r="H525">
        <v>181025160005</v>
      </c>
      <c r="I525" t="str">
        <f>CashIntraTable[Portfolio]&amp;VALUE(CashIntraTable[Cash Date])&amp;CashIntraTable[Detail]</f>
        <v>SCBNKY225433992.2. Switch-out</v>
      </c>
    </row>
    <row r="526" spans="1:9" x14ac:dyDescent="0.2">
      <c r="A526" t="s">
        <v>436</v>
      </c>
      <c r="B526" t="s">
        <v>23</v>
      </c>
      <c r="C526" s="147">
        <v>43402</v>
      </c>
      <c r="D526" t="s">
        <v>382</v>
      </c>
      <c r="E526">
        <v>-353976.37</v>
      </c>
      <c r="F526" t="s">
        <v>332</v>
      </c>
      <c r="G526" t="s">
        <v>383</v>
      </c>
      <c r="H526">
        <v>181025160005</v>
      </c>
      <c r="I526" t="str">
        <f>CashIntraTable[Portfolio]&amp;VALUE(CashIntraTable[Cash Date])&amp;CashIntraTable[Detail]</f>
        <v>SCBNKY225434022.2. Switch-out</v>
      </c>
    </row>
    <row r="527" spans="1:9" x14ac:dyDescent="0.2">
      <c r="A527" t="s">
        <v>436</v>
      </c>
      <c r="B527" t="s">
        <v>23</v>
      </c>
      <c r="C527" s="147">
        <v>43403</v>
      </c>
      <c r="D527" t="s">
        <v>382</v>
      </c>
      <c r="E527">
        <v>-506568.52</v>
      </c>
      <c r="F527" t="s">
        <v>332</v>
      </c>
      <c r="G527" t="s">
        <v>383</v>
      </c>
      <c r="H527">
        <v>181025160005</v>
      </c>
      <c r="I527" t="str">
        <f>CashIntraTable[Portfolio]&amp;VALUE(CashIntraTable[Cash Date])&amp;CashIntraTable[Detail]</f>
        <v>SCBNKY225434032.2. Switch-out</v>
      </c>
    </row>
    <row r="528" spans="1:9" x14ac:dyDescent="0.2">
      <c r="A528" t="s">
        <v>437</v>
      </c>
      <c r="B528" t="s">
        <v>23</v>
      </c>
      <c r="C528" s="147">
        <v>43398</v>
      </c>
      <c r="D528" t="s">
        <v>382</v>
      </c>
      <c r="E528">
        <v>1989000.97</v>
      </c>
      <c r="F528" t="s">
        <v>329</v>
      </c>
      <c r="G528" t="s">
        <v>383</v>
      </c>
      <c r="H528">
        <v>181025160005</v>
      </c>
      <c r="I528" t="str">
        <f>CashIntraTable[Portfolio]&amp;VALUE(CashIntraTable[Cash Date])&amp;CashIntraTable[Detail]</f>
        <v>SCBOILFUND433981.1. Subscription</v>
      </c>
    </row>
    <row r="529" spans="1:9" x14ac:dyDescent="0.2">
      <c r="A529" t="s">
        <v>437</v>
      </c>
      <c r="B529" t="s">
        <v>23</v>
      </c>
      <c r="C529" s="147">
        <v>43399</v>
      </c>
      <c r="D529" t="s">
        <v>382</v>
      </c>
      <c r="E529">
        <v>305030</v>
      </c>
      <c r="F529" t="s">
        <v>329</v>
      </c>
      <c r="G529" t="s">
        <v>383</v>
      </c>
      <c r="H529">
        <v>181025160005</v>
      </c>
      <c r="I529" t="str">
        <f>CashIntraTable[Portfolio]&amp;VALUE(CashIntraTable[Cash Date])&amp;CashIntraTable[Detail]</f>
        <v>SCBOILFUND433991.1. Subscription</v>
      </c>
    </row>
    <row r="530" spans="1:9" x14ac:dyDescent="0.2">
      <c r="A530" t="s">
        <v>437</v>
      </c>
      <c r="B530" t="s">
        <v>23</v>
      </c>
      <c r="C530" s="147">
        <v>43398</v>
      </c>
      <c r="D530" t="s">
        <v>382</v>
      </c>
      <c r="E530">
        <v>4459448.6500000004</v>
      </c>
      <c r="F530" t="s">
        <v>330</v>
      </c>
      <c r="G530" t="s">
        <v>383</v>
      </c>
      <c r="H530">
        <v>181025160005</v>
      </c>
      <c r="I530" t="str">
        <f>CashIntraTable[Portfolio]&amp;VALUE(CashIntraTable[Cash Date])&amp;CashIntraTable[Detail]</f>
        <v>SCBOILFUND433981.2. Switch-in</v>
      </c>
    </row>
    <row r="531" spans="1:9" x14ac:dyDescent="0.2">
      <c r="A531" t="s">
        <v>437</v>
      </c>
      <c r="B531" t="s">
        <v>23</v>
      </c>
      <c r="C531" s="147">
        <v>43399</v>
      </c>
      <c r="D531" t="s">
        <v>382</v>
      </c>
      <c r="E531">
        <v>541224.28</v>
      </c>
      <c r="F531" t="s">
        <v>330</v>
      </c>
      <c r="G531" t="s">
        <v>383</v>
      </c>
      <c r="H531">
        <v>181025160005</v>
      </c>
      <c r="I531" t="str">
        <f>CashIntraTable[Portfolio]&amp;VALUE(CashIntraTable[Cash Date])&amp;CashIntraTable[Detail]</f>
        <v>SCBOILFUND433991.2. Switch-in</v>
      </c>
    </row>
    <row r="532" spans="1:9" x14ac:dyDescent="0.2">
      <c r="A532" t="s">
        <v>437</v>
      </c>
      <c r="B532" t="s">
        <v>23</v>
      </c>
      <c r="C532" s="147">
        <v>43402</v>
      </c>
      <c r="D532" t="s">
        <v>382</v>
      </c>
      <c r="E532">
        <v>21859.37</v>
      </c>
      <c r="F532" t="s">
        <v>330</v>
      </c>
      <c r="G532" t="s">
        <v>383</v>
      </c>
      <c r="H532">
        <v>181025160005</v>
      </c>
      <c r="I532" t="str">
        <f>CashIntraTable[Portfolio]&amp;VALUE(CashIntraTable[Cash Date])&amp;CashIntraTable[Detail]</f>
        <v>SCBOILFUND434021.2. Switch-in</v>
      </c>
    </row>
    <row r="533" spans="1:9" x14ac:dyDescent="0.2">
      <c r="A533" t="s">
        <v>437</v>
      </c>
      <c r="B533" t="s">
        <v>23</v>
      </c>
      <c r="C533" s="147">
        <v>43398</v>
      </c>
      <c r="D533" t="s">
        <v>382</v>
      </c>
      <c r="E533">
        <v>-15141282.390000001</v>
      </c>
      <c r="F533" t="s">
        <v>331</v>
      </c>
      <c r="G533" t="s">
        <v>383</v>
      </c>
      <c r="H533">
        <v>181025160005</v>
      </c>
      <c r="I533" t="str">
        <f>CashIntraTable[Portfolio]&amp;VALUE(CashIntraTable[Cash Date])&amp;CashIntraTable[Detail]</f>
        <v>SCBOILFUND433982.1. Redemption</v>
      </c>
    </row>
    <row r="534" spans="1:9" x14ac:dyDescent="0.2">
      <c r="A534" t="s">
        <v>437</v>
      </c>
      <c r="B534" t="s">
        <v>23</v>
      </c>
      <c r="C534" s="147">
        <v>43399</v>
      </c>
      <c r="D534" t="s">
        <v>382</v>
      </c>
      <c r="E534">
        <v>-245551.81</v>
      </c>
      <c r="F534" t="s">
        <v>331</v>
      </c>
      <c r="G534" t="s">
        <v>383</v>
      </c>
      <c r="H534">
        <v>181025160005</v>
      </c>
      <c r="I534" t="str">
        <f>CashIntraTable[Portfolio]&amp;VALUE(CashIntraTable[Cash Date])&amp;CashIntraTable[Detail]</f>
        <v>SCBOILFUND433992.1. Redemption</v>
      </c>
    </row>
    <row r="535" spans="1:9" x14ac:dyDescent="0.2">
      <c r="A535" t="s">
        <v>437</v>
      </c>
      <c r="B535" t="s">
        <v>23</v>
      </c>
      <c r="C535" s="147">
        <v>43402</v>
      </c>
      <c r="D535" t="s">
        <v>382</v>
      </c>
      <c r="E535">
        <v>-119627.86</v>
      </c>
      <c r="F535" t="s">
        <v>331</v>
      </c>
      <c r="G535" t="s">
        <v>383</v>
      </c>
      <c r="H535">
        <v>181025160005</v>
      </c>
      <c r="I535" t="str">
        <f>CashIntraTable[Portfolio]&amp;VALUE(CashIntraTable[Cash Date])&amp;CashIntraTable[Detail]</f>
        <v>SCBOILFUND434022.1. Redemption</v>
      </c>
    </row>
    <row r="536" spans="1:9" x14ac:dyDescent="0.2">
      <c r="A536" t="s">
        <v>437</v>
      </c>
      <c r="B536" t="s">
        <v>23</v>
      </c>
      <c r="C536" s="147">
        <v>43403</v>
      </c>
      <c r="D536" t="s">
        <v>382</v>
      </c>
      <c r="E536">
        <v>-924261.02</v>
      </c>
      <c r="F536" t="s">
        <v>331</v>
      </c>
      <c r="G536" t="s">
        <v>383</v>
      </c>
      <c r="H536">
        <v>181025160005</v>
      </c>
      <c r="I536" t="str">
        <f>CashIntraTable[Portfolio]&amp;VALUE(CashIntraTable[Cash Date])&amp;CashIntraTable[Detail]</f>
        <v>SCBOILFUND434032.1. Redemption</v>
      </c>
    </row>
    <row r="537" spans="1:9" x14ac:dyDescent="0.2">
      <c r="A537" t="s">
        <v>437</v>
      </c>
      <c r="B537" t="s">
        <v>23</v>
      </c>
      <c r="C537" s="147">
        <v>43398</v>
      </c>
      <c r="D537" t="s">
        <v>382</v>
      </c>
      <c r="E537">
        <v>-2920809.14</v>
      </c>
      <c r="F537" t="s">
        <v>332</v>
      </c>
      <c r="G537" t="s">
        <v>383</v>
      </c>
      <c r="H537">
        <v>181025160005</v>
      </c>
      <c r="I537" t="str">
        <f>CashIntraTable[Portfolio]&amp;VALUE(CashIntraTable[Cash Date])&amp;CashIntraTable[Detail]</f>
        <v>SCBOILFUND433982.2. Switch-out</v>
      </c>
    </row>
    <row r="538" spans="1:9" x14ac:dyDescent="0.2">
      <c r="A538" t="s">
        <v>437</v>
      </c>
      <c r="B538" t="s">
        <v>23</v>
      </c>
      <c r="C538" s="147">
        <v>43399</v>
      </c>
      <c r="D538" t="s">
        <v>382</v>
      </c>
      <c r="E538">
        <v>-443293.98</v>
      </c>
      <c r="F538" t="s">
        <v>332</v>
      </c>
      <c r="G538" t="s">
        <v>383</v>
      </c>
      <c r="H538">
        <v>181025160005</v>
      </c>
      <c r="I538" t="str">
        <f>CashIntraTable[Portfolio]&amp;VALUE(CashIntraTable[Cash Date])&amp;CashIntraTable[Detail]</f>
        <v>SCBOILFUND433992.2. Switch-out</v>
      </c>
    </row>
    <row r="539" spans="1:9" x14ac:dyDescent="0.2">
      <c r="A539" t="s">
        <v>437</v>
      </c>
      <c r="B539" t="s">
        <v>23</v>
      </c>
      <c r="C539" s="147">
        <v>43402</v>
      </c>
      <c r="D539" t="s">
        <v>382</v>
      </c>
      <c r="E539">
        <v>-2917089</v>
      </c>
      <c r="F539" t="s">
        <v>332</v>
      </c>
      <c r="G539" t="s">
        <v>383</v>
      </c>
      <c r="H539">
        <v>181025160005</v>
      </c>
      <c r="I539" t="str">
        <f>CashIntraTable[Portfolio]&amp;VALUE(CashIntraTable[Cash Date])&amp;CashIntraTable[Detail]</f>
        <v>SCBOILFUND434022.2. Switch-out</v>
      </c>
    </row>
    <row r="540" spans="1:9" x14ac:dyDescent="0.2">
      <c r="A540" t="s">
        <v>437</v>
      </c>
      <c r="B540" t="s">
        <v>23</v>
      </c>
      <c r="C540" s="147">
        <v>43403</v>
      </c>
      <c r="D540" t="s">
        <v>382</v>
      </c>
      <c r="E540">
        <v>-1203091.95</v>
      </c>
      <c r="F540" t="s">
        <v>332</v>
      </c>
      <c r="G540" t="s">
        <v>383</v>
      </c>
      <c r="H540">
        <v>181025160005</v>
      </c>
      <c r="I540" t="str">
        <f>CashIntraTable[Portfolio]&amp;VALUE(CashIntraTable[Cash Date])&amp;CashIntraTable[Detail]</f>
        <v>SCBOILFUND434032.2. Switch-out</v>
      </c>
    </row>
    <row r="541" spans="1:9" x14ac:dyDescent="0.2">
      <c r="A541" t="s">
        <v>438</v>
      </c>
      <c r="B541" t="s">
        <v>23</v>
      </c>
      <c r="C541" s="147">
        <v>43398</v>
      </c>
      <c r="D541" t="s">
        <v>382</v>
      </c>
      <c r="E541">
        <v>5000</v>
      </c>
      <c r="F541" t="s">
        <v>329</v>
      </c>
      <c r="G541" t="s">
        <v>383</v>
      </c>
      <c r="H541">
        <v>181025160005</v>
      </c>
      <c r="I541" t="str">
        <f>CashIntraTable[Portfolio]&amp;VALUE(CashIntraTable[Cash Date])&amp;CashIntraTable[Detail]</f>
        <v>SCBOPP433981.1. Subscription</v>
      </c>
    </row>
    <row r="542" spans="1:9" x14ac:dyDescent="0.2">
      <c r="A542" t="s">
        <v>438</v>
      </c>
      <c r="B542" t="s">
        <v>23</v>
      </c>
      <c r="C542" s="147">
        <v>43403</v>
      </c>
      <c r="D542" t="s">
        <v>382</v>
      </c>
      <c r="E542">
        <v>-4736842.0999999996</v>
      </c>
      <c r="F542" t="s">
        <v>331</v>
      </c>
      <c r="G542" t="s">
        <v>383</v>
      </c>
      <c r="H542">
        <v>181025160005</v>
      </c>
      <c r="I542" t="str">
        <f>CashIntraTable[Portfolio]&amp;VALUE(CashIntraTable[Cash Date])&amp;CashIntraTable[Detail]</f>
        <v>SCBOPP434032.1. Redemption</v>
      </c>
    </row>
    <row r="543" spans="1:9" x14ac:dyDescent="0.2">
      <c r="A543" t="s">
        <v>438</v>
      </c>
      <c r="B543" t="s">
        <v>23</v>
      </c>
      <c r="C543" s="147">
        <v>43404</v>
      </c>
      <c r="D543" t="s">
        <v>382</v>
      </c>
      <c r="E543">
        <v>-189473.68</v>
      </c>
      <c r="F543" t="s">
        <v>331</v>
      </c>
      <c r="G543" t="s">
        <v>383</v>
      </c>
      <c r="H543">
        <v>181025160005</v>
      </c>
      <c r="I543" t="str">
        <f>CashIntraTable[Portfolio]&amp;VALUE(CashIntraTable[Cash Date])&amp;CashIntraTable[Detail]</f>
        <v>SCBOPP434042.1. Redemption</v>
      </c>
    </row>
    <row r="544" spans="1:9" x14ac:dyDescent="0.2">
      <c r="A544" t="s">
        <v>438</v>
      </c>
      <c r="B544" t="s">
        <v>23</v>
      </c>
      <c r="C544" s="147">
        <v>43405</v>
      </c>
      <c r="D544" t="s">
        <v>382</v>
      </c>
      <c r="E544">
        <v>-1045083.04</v>
      </c>
      <c r="F544" t="s">
        <v>331</v>
      </c>
      <c r="G544" t="s">
        <v>383</v>
      </c>
      <c r="H544">
        <v>181025160005</v>
      </c>
      <c r="I544" t="str">
        <f>CashIntraTable[Portfolio]&amp;VALUE(CashIntraTable[Cash Date])&amp;CashIntraTable[Detail]</f>
        <v>SCBOPP434052.1. Redemption</v>
      </c>
    </row>
    <row r="545" spans="1:9" x14ac:dyDescent="0.2">
      <c r="A545" t="s">
        <v>438</v>
      </c>
      <c r="B545" t="s">
        <v>23</v>
      </c>
      <c r="C545" s="147">
        <v>43404</v>
      </c>
      <c r="D545" t="s">
        <v>382</v>
      </c>
      <c r="E545">
        <v>-1994736.84</v>
      </c>
      <c r="F545" t="s">
        <v>332</v>
      </c>
      <c r="G545" t="s">
        <v>383</v>
      </c>
      <c r="H545">
        <v>181025160005</v>
      </c>
      <c r="I545" t="str">
        <f>CashIntraTable[Portfolio]&amp;VALUE(CashIntraTable[Cash Date])&amp;CashIntraTable[Detail]</f>
        <v>SCBOPP434042.2. Switch-out</v>
      </c>
    </row>
    <row r="546" spans="1:9" x14ac:dyDescent="0.2">
      <c r="A546" t="s">
        <v>438</v>
      </c>
      <c r="B546" t="s">
        <v>23</v>
      </c>
      <c r="C546" s="147">
        <v>43405</v>
      </c>
      <c r="D546" t="s">
        <v>382</v>
      </c>
      <c r="E546">
        <v>-2557894.73</v>
      </c>
      <c r="F546" t="s">
        <v>332</v>
      </c>
      <c r="G546" t="s">
        <v>383</v>
      </c>
      <c r="H546">
        <v>181025160005</v>
      </c>
      <c r="I546" t="str">
        <f>CashIntraTable[Portfolio]&amp;VALUE(CashIntraTable[Cash Date])&amp;CashIntraTable[Detail]</f>
        <v>SCBOPP434052.2. Switch-out</v>
      </c>
    </row>
    <row r="547" spans="1:9" x14ac:dyDescent="0.2">
      <c r="A547" t="s">
        <v>439</v>
      </c>
      <c r="B547" t="s">
        <v>23</v>
      </c>
      <c r="C547" s="147">
        <v>43399</v>
      </c>
      <c r="D547" t="s">
        <v>382</v>
      </c>
      <c r="E547">
        <v>1958.86</v>
      </c>
      <c r="F547" t="s">
        <v>330</v>
      </c>
      <c r="G547" t="s">
        <v>383</v>
      </c>
      <c r="H547">
        <v>181025160005</v>
      </c>
      <c r="I547" t="str">
        <f>CashIntraTable[Portfolio]&amp;VALUE(CashIntraTable[Cash Date])&amp;CashIntraTable[Detail]</f>
        <v>SCBPGF433991.2. Switch-in</v>
      </c>
    </row>
    <row r="548" spans="1:9" x14ac:dyDescent="0.2">
      <c r="A548" t="s">
        <v>439</v>
      </c>
      <c r="B548" t="s">
        <v>23</v>
      </c>
      <c r="C548" s="147">
        <v>43404</v>
      </c>
      <c r="D548" t="s">
        <v>382</v>
      </c>
      <c r="E548">
        <v>-554726.47</v>
      </c>
      <c r="F548" t="s">
        <v>331</v>
      </c>
      <c r="G548" t="s">
        <v>383</v>
      </c>
      <c r="H548">
        <v>181025160005</v>
      </c>
      <c r="I548" t="str">
        <f>CashIntraTable[Portfolio]&amp;VALUE(CashIntraTable[Cash Date])&amp;CashIntraTable[Detail]</f>
        <v>SCBPGF434042.1. Redemption</v>
      </c>
    </row>
    <row r="549" spans="1:9" x14ac:dyDescent="0.2">
      <c r="A549" t="s">
        <v>439</v>
      </c>
      <c r="B549" t="s">
        <v>23</v>
      </c>
      <c r="C549" s="147">
        <v>43399</v>
      </c>
      <c r="D549" t="s">
        <v>382</v>
      </c>
      <c r="E549">
        <v>-294181.2</v>
      </c>
      <c r="F549" t="s">
        <v>332</v>
      </c>
      <c r="G549" t="s">
        <v>383</v>
      </c>
      <c r="H549">
        <v>181025160005</v>
      </c>
      <c r="I549" t="str">
        <f>CashIntraTable[Portfolio]&amp;VALUE(CashIntraTable[Cash Date])&amp;CashIntraTable[Detail]</f>
        <v>SCBPGF433992.2. Switch-out</v>
      </c>
    </row>
    <row r="550" spans="1:9" x14ac:dyDescent="0.2">
      <c r="A550" t="s">
        <v>440</v>
      </c>
      <c r="B550" t="s">
        <v>23</v>
      </c>
      <c r="C550" s="147">
        <v>43398</v>
      </c>
      <c r="D550" t="s">
        <v>382</v>
      </c>
      <c r="E550">
        <v>16127.23</v>
      </c>
      <c r="F550" t="s">
        <v>329</v>
      </c>
      <c r="G550" t="s">
        <v>383</v>
      </c>
      <c r="H550">
        <v>181025160005</v>
      </c>
      <c r="I550" t="str">
        <f>CashIntraTable[Portfolio]&amp;VALUE(CashIntraTable[Cash Date])&amp;CashIntraTable[Detail]</f>
        <v>SCBPIN433981.1. Subscription</v>
      </c>
    </row>
    <row r="551" spans="1:9" x14ac:dyDescent="0.2">
      <c r="A551" t="s">
        <v>440</v>
      </c>
      <c r="B551" t="s">
        <v>23</v>
      </c>
      <c r="C551" s="147">
        <v>43399</v>
      </c>
      <c r="D551" t="s">
        <v>382</v>
      </c>
      <c r="E551">
        <v>17000</v>
      </c>
      <c r="F551" t="s">
        <v>329</v>
      </c>
      <c r="G551" t="s">
        <v>383</v>
      </c>
      <c r="H551">
        <v>181025160005</v>
      </c>
      <c r="I551" t="str">
        <f>CashIntraTable[Portfolio]&amp;VALUE(CashIntraTable[Cash Date])&amp;CashIntraTable[Detail]</f>
        <v>SCBPIN433991.1. Subscription</v>
      </c>
    </row>
    <row r="552" spans="1:9" x14ac:dyDescent="0.2">
      <c r="A552" t="s">
        <v>440</v>
      </c>
      <c r="B552" t="s">
        <v>23</v>
      </c>
      <c r="C552" s="147">
        <v>43398</v>
      </c>
      <c r="D552" t="s">
        <v>382</v>
      </c>
      <c r="E552">
        <v>1100000</v>
      </c>
      <c r="F552" t="s">
        <v>330</v>
      </c>
      <c r="G552" t="s">
        <v>383</v>
      </c>
      <c r="H552">
        <v>181025160005</v>
      </c>
      <c r="I552" t="str">
        <f>CashIntraTable[Portfolio]&amp;VALUE(CashIntraTable[Cash Date])&amp;CashIntraTable[Detail]</f>
        <v>SCBPIN433981.2. Switch-in</v>
      </c>
    </row>
    <row r="553" spans="1:9" x14ac:dyDescent="0.2">
      <c r="A553" t="s">
        <v>440</v>
      </c>
      <c r="B553" t="s">
        <v>23</v>
      </c>
      <c r="C553" s="147">
        <v>43399</v>
      </c>
      <c r="D553" t="s">
        <v>382</v>
      </c>
      <c r="E553">
        <v>100000</v>
      </c>
      <c r="F553" t="s">
        <v>330</v>
      </c>
      <c r="G553" t="s">
        <v>383</v>
      </c>
      <c r="H553">
        <v>181025160005</v>
      </c>
      <c r="I553" t="str">
        <f>CashIntraTable[Portfolio]&amp;VALUE(CashIntraTable[Cash Date])&amp;CashIntraTable[Detail]</f>
        <v>SCBPIN433991.2. Switch-in</v>
      </c>
    </row>
    <row r="554" spans="1:9" x14ac:dyDescent="0.2">
      <c r="A554" t="s">
        <v>440</v>
      </c>
      <c r="B554" t="s">
        <v>23</v>
      </c>
      <c r="C554" s="147">
        <v>43402</v>
      </c>
      <c r="D554" t="s">
        <v>382</v>
      </c>
      <c r="E554">
        <v>28404.07</v>
      </c>
      <c r="F554" t="s">
        <v>330</v>
      </c>
      <c r="G554" t="s">
        <v>383</v>
      </c>
      <c r="H554">
        <v>181025160005</v>
      </c>
      <c r="I554" t="str">
        <f>CashIntraTable[Portfolio]&amp;VALUE(CashIntraTable[Cash Date])&amp;CashIntraTable[Detail]</f>
        <v>SCBPIN434021.2. Switch-in</v>
      </c>
    </row>
    <row r="555" spans="1:9" x14ac:dyDescent="0.2">
      <c r="A555" t="s">
        <v>440</v>
      </c>
      <c r="B555" t="s">
        <v>23</v>
      </c>
      <c r="C555" s="147">
        <v>43398</v>
      </c>
      <c r="D555" t="s">
        <v>382</v>
      </c>
      <c r="E555">
        <v>-100000</v>
      </c>
      <c r="F555" t="s">
        <v>331</v>
      </c>
      <c r="G555" t="s">
        <v>383</v>
      </c>
      <c r="H555">
        <v>181025160005</v>
      </c>
      <c r="I555" t="str">
        <f>CashIntraTable[Portfolio]&amp;VALUE(CashIntraTable[Cash Date])&amp;CashIntraTable[Detail]</f>
        <v>SCBPIN433982.1. Redemption</v>
      </c>
    </row>
    <row r="556" spans="1:9" x14ac:dyDescent="0.2">
      <c r="A556" t="s">
        <v>440</v>
      </c>
      <c r="B556" t="s">
        <v>23</v>
      </c>
      <c r="C556" s="147">
        <v>43399</v>
      </c>
      <c r="D556" t="s">
        <v>382</v>
      </c>
      <c r="E556">
        <v>-49226.87</v>
      </c>
      <c r="F556" t="s">
        <v>331</v>
      </c>
      <c r="G556" t="s">
        <v>383</v>
      </c>
      <c r="H556">
        <v>181025160005</v>
      </c>
      <c r="I556" t="str">
        <f>CashIntraTable[Portfolio]&amp;VALUE(CashIntraTable[Cash Date])&amp;CashIntraTable[Detail]</f>
        <v>SCBPIN433992.1. Redemption</v>
      </c>
    </row>
    <row r="557" spans="1:9" x14ac:dyDescent="0.2">
      <c r="A557" t="s">
        <v>440</v>
      </c>
      <c r="B557" t="s">
        <v>23</v>
      </c>
      <c r="C557" s="147">
        <v>43402</v>
      </c>
      <c r="D557" t="s">
        <v>382</v>
      </c>
      <c r="E557">
        <v>-50000</v>
      </c>
      <c r="F557" t="s">
        <v>331</v>
      </c>
      <c r="G557" t="s">
        <v>383</v>
      </c>
      <c r="H557">
        <v>181025160005</v>
      </c>
      <c r="I557" t="str">
        <f>CashIntraTable[Portfolio]&amp;VALUE(CashIntraTable[Cash Date])&amp;CashIntraTable[Detail]</f>
        <v>SCBPIN434022.1. Redemption</v>
      </c>
    </row>
    <row r="558" spans="1:9" x14ac:dyDescent="0.2">
      <c r="A558" t="s">
        <v>440</v>
      </c>
      <c r="B558" t="s">
        <v>23</v>
      </c>
      <c r="C558" s="147">
        <v>43403</v>
      </c>
      <c r="D558" t="s">
        <v>382</v>
      </c>
      <c r="E558">
        <v>-115679.83</v>
      </c>
      <c r="F558" t="s">
        <v>331</v>
      </c>
      <c r="G558" t="s">
        <v>383</v>
      </c>
      <c r="H558">
        <v>181025160005</v>
      </c>
      <c r="I558" t="str">
        <f>CashIntraTable[Portfolio]&amp;VALUE(CashIntraTable[Cash Date])&amp;CashIntraTable[Detail]</f>
        <v>SCBPIN434032.1. Redemption</v>
      </c>
    </row>
    <row r="559" spans="1:9" x14ac:dyDescent="0.2">
      <c r="A559" t="s">
        <v>440</v>
      </c>
      <c r="B559" t="s">
        <v>23</v>
      </c>
      <c r="C559" s="147">
        <v>43404</v>
      </c>
      <c r="D559" t="s">
        <v>382</v>
      </c>
      <c r="E559">
        <v>-1003025.67</v>
      </c>
      <c r="F559" t="s">
        <v>331</v>
      </c>
      <c r="G559" t="s">
        <v>383</v>
      </c>
      <c r="H559">
        <v>181025160005</v>
      </c>
      <c r="I559" t="str">
        <f>CashIntraTable[Portfolio]&amp;VALUE(CashIntraTable[Cash Date])&amp;CashIntraTable[Detail]</f>
        <v>SCBPIN434042.1. Redemption</v>
      </c>
    </row>
    <row r="560" spans="1:9" x14ac:dyDescent="0.2">
      <c r="A560" t="s">
        <v>440</v>
      </c>
      <c r="B560" t="s">
        <v>23</v>
      </c>
      <c r="C560" s="147">
        <v>43399</v>
      </c>
      <c r="D560" t="s">
        <v>382</v>
      </c>
      <c r="E560">
        <v>-4000</v>
      </c>
      <c r="F560" t="s">
        <v>332</v>
      </c>
      <c r="G560" t="s">
        <v>383</v>
      </c>
      <c r="H560">
        <v>181025160005</v>
      </c>
      <c r="I560" t="str">
        <f>CashIntraTable[Portfolio]&amp;VALUE(CashIntraTable[Cash Date])&amp;CashIntraTable[Detail]</f>
        <v>SCBPIN433992.2. Switch-out</v>
      </c>
    </row>
    <row r="561" spans="1:9" x14ac:dyDescent="0.2">
      <c r="A561" t="s">
        <v>440</v>
      </c>
      <c r="B561" t="s">
        <v>23</v>
      </c>
      <c r="C561" s="147">
        <v>43402</v>
      </c>
      <c r="D561" t="s">
        <v>382</v>
      </c>
      <c r="E561">
        <v>-52954.91</v>
      </c>
      <c r="F561" t="s">
        <v>332</v>
      </c>
      <c r="G561" t="s">
        <v>383</v>
      </c>
      <c r="H561">
        <v>181025160005</v>
      </c>
      <c r="I561" t="str">
        <f>CashIntraTable[Portfolio]&amp;VALUE(CashIntraTable[Cash Date])&amp;CashIntraTable[Detail]</f>
        <v>SCBPIN434022.2. Switch-out</v>
      </c>
    </row>
    <row r="562" spans="1:9" x14ac:dyDescent="0.2">
      <c r="A562" t="s">
        <v>440</v>
      </c>
      <c r="B562" t="s">
        <v>23</v>
      </c>
      <c r="C562" s="147">
        <v>43403</v>
      </c>
      <c r="D562" t="s">
        <v>382</v>
      </c>
      <c r="E562">
        <v>-37761.800000000003</v>
      </c>
      <c r="F562" t="s">
        <v>332</v>
      </c>
      <c r="G562" t="s">
        <v>383</v>
      </c>
      <c r="H562">
        <v>181025160005</v>
      </c>
      <c r="I562" t="str">
        <f>CashIntraTable[Portfolio]&amp;VALUE(CashIntraTable[Cash Date])&amp;CashIntraTable[Detail]</f>
        <v>SCBPIN434032.2. Switch-out</v>
      </c>
    </row>
    <row r="563" spans="1:9" x14ac:dyDescent="0.2">
      <c r="A563" t="s">
        <v>440</v>
      </c>
      <c r="B563" t="s">
        <v>23</v>
      </c>
      <c r="C563" s="147">
        <v>43404</v>
      </c>
      <c r="D563" t="s">
        <v>382</v>
      </c>
      <c r="E563">
        <v>-204864.97</v>
      </c>
      <c r="F563" t="s">
        <v>332</v>
      </c>
      <c r="G563" t="s">
        <v>383</v>
      </c>
      <c r="H563">
        <v>181025160005</v>
      </c>
      <c r="I563" t="str">
        <f>CashIntraTable[Portfolio]&amp;VALUE(CashIntraTable[Cash Date])&amp;CashIntraTable[Detail]</f>
        <v>SCBPIN434042.2. Switch-out</v>
      </c>
    </row>
    <row r="564" spans="1:9" x14ac:dyDescent="0.2">
      <c r="A564" t="s">
        <v>336</v>
      </c>
      <c r="B564" t="s">
        <v>23</v>
      </c>
      <c r="C564" s="147">
        <v>43398</v>
      </c>
      <c r="D564" t="s">
        <v>382</v>
      </c>
      <c r="E564">
        <v>1911223.79</v>
      </c>
      <c r="F564" t="s">
        <v>329</v>
      </c>
      <c r="G564" t="s">
        <v>383</v>
      </c>
      <c r="H564">
        <v>181025160005</v>
      </c>
      <c r="I564" t="str">
        <f>CashIntraTable[Portfolio]&amp;VALUE(CashIntraTable[Cash Date])&amp;CashIntraTable[Detail]</f>
        <v>SCBPLUS433981.1. Subscription</v>
      </c>
    </row>
    <row r="565" spans="1:9" x14ac:dyDescent="0.2">
      <c r="A565" t="s">
        <v>336</v>
      </c>
      <c r="B565" t="s">
        <v>23</v>
      </c>
      <c r="C565" s="147">
        <v>43399</v>
      </c>
      <c r="D565" t="s">
        <v>382</v>
      </c>
      <c r="E565">
        <v>7325350</v>
      </c>
      <c r="F565" t="s">
        <v>329</v>
      </c>
      <c r="G565" t="s">
        <v>383</v>
      </c>
      <c r="H565">
        <v>181025160005</v>
      </c>
      <c r="I565" t="str">
        <f>CashIntraTable[Portfolio]&amp;VALUE(CashIntraTable[Cash Date])&amp;CashIntraTable[Detail]</f>
        <v>SCBPLUS433991.1. Subscription</v>
      </c>
    </row>
    <row r="566" spans="1:9" x14ac:dyDescent="0.2">
      <c r="A566" t="s">
        <v>336</v>
      </c>
      <c r="B566" t="s">
        <v>23</v>
      </c>
      <c r="C566" s="147">
        <v>43398</v>
      </c>
      <c r="D566" t="s">
        <v>382</v>
      </c>
      <c r="E566">
        <v>5026615.3099999996</v>
      </c>
      <c r="F566" t="s">
        <v>333</v>
      </c>
      <c r="G566" t="s">
        <v>383</v>
      </c>
      <c r="H566">
        <v>181025160005</v>
      </c>
      <c r="I566" t="str">
        <f>CashIntraTable[Portfolio]&amp;VALUE(CashIntraTable[Cash Date])&amp;CashIntraTable[Detail]</f>
        <v>SCBPLUS433981.1. Subscription (Chq)</v>
      </c>
    </row>
    <row r="567" spans="1:9" x14ac:dyDescent="0.2">
      <c r="A567" t="s">
        <v>336</v>
      </c>
      <c r="B567" t="s">
        <v>23</v>
      </c>
      <c r="C567" s="147">
        <v>43398</v>
      </c>
      <c r="D567" t="s">
        <v>382</v>
      </c>
      <c r="E567">
        <v>31233422.140000001</v>
      </c>
      <c r="F567" t="s">
        <v>330</v>
      </c>
      <c r="G567" t="s">
        <v>383</v>
      </c>
      <c r="H567">
        <v>181025160005</v>
      </c>
      <c r="I567" t="str">
        <f>CashIntraTable[Portfolio]&amp;VALUE(CashIntraTable[Cash Date])&amp;CashIntraTable[Detail]</f>
        <v>SCBPLUS433981.2. Switch-in</v>
      </c>
    </row>
    <row r="568" spans="1:9" x14ac:dyDescent="0.2">
      <c r="A568" t="s">
        <v>336</v>
      </c>
      <c r="B568" t="s">
        <v>23</v>
      </c>
      <c r="C568" s="147">
        <v>43399</v>
      </c>
      <c r="D568" t="s">
        <v>382</v>
      </c>
      <c r="E568">
        <v>80350980.799999997</v>
      </c>
      <c r="F568" t="s">
        <v>330</v>
      </c>
      <c r="G568" t="s">
        <v>383</v>
      </c>
      <c r="H568">
        <v>181025160005</v>
      </c>
      <c r="I568" t="str">
        <f>CashIntraTable[Portfolio]&amp;VALUE(CashIntraTable[Cash Date])&amp;CashIntraTable[Detail]</f>
        <v>SCBPLUS433991.2. Switch-in</v>
      </c>
    </row>
    <row r="569" spans="1:9" x14ac:dyDescent="0.2">
      <c r="A569" t="s">
        <v>336</v>
      </c>
      <c r="B569" t="s">
        <v>23</v>
      </c>
      <c r="C569" s="147">
        <v>43402</v>
      </c>
      <c r="D569" t="s">
        <v>382</v>
      </c>
      <c r="E569">
        <v>2124275.5699999998</v>
      </c>
      <c r="F569" t="s">
        <v>330</v>
      </c>
      <c r="G569" t="s">
        <v>383</v>
      </c>
      <c r="H569">
        <v>181025160005</v>
      </c>
      <c r="I569" t="str">
        <f>CashIntraTable[Portfolio]&amp;VALUE(CashIntraTable[Cash Date])&amp;CashIntraTable[Detail]</f>
        <v>SCBPLUS434021.2. Switch-in</v>
      </c>
    </row>
    <row r="570" spans="1:9" x14ac:dyDescent="0.2">
      <c r="A570" t="s">
        <v>336</v>
      </c>
      <c r="B570" t="s">
        <v>23</v>
      </c>
      <c r="C570" s="147">
        <v>43404</v>
      </c>
      <c r="D570" t="s">
        <v>382</v>
      </c>
      <c r="E570">
        <v>500000</v>
      </c>
      <c r="F570" t="s">
        <v>330</v>
      </c>
      <c r="G570" t="s">
        <v>383</v>
      </c>
      <c r="H570">
        <v>181025160005</v>
      </c>
      <c r="I570" t="str">
        <f>CashIntraTable[Portfolio]&amp;VALUE(CashIntraTable[Cash Date])&amp;CashIntraTable[Detail]</f>
        <v>SCBPLUS434041.2. Switch-in</v>
      </c>
    </row>
    <row r="571" spans="1:9" x14ac:dyDescent="0.2">
      <c r="A571" t="s">
        <v>441</v>
      </c>
      <c r="B571" t="s">
        <v>23</v>
      </c>
      <c r="C571" s="147">
        <v>43398</v>
      </c>
      <c r="D571" t="s">
        <v>382</v>
      </c>
      <c r="E571">
        <v>47340.12</v>
      </c>
      <c r="F571" t="s">
        <v>329</v>
      </c>
      <c r="G571" t="s">
        <v>383</v>
      </c>
      <c r="H571">
        <v>181025160005</v>
      </c>
      <c r="I571" t="str">
        <f>CashIntraTable[Portfolio]&amp;VALUE(CashIntraTable[Cash Date])&amp;CashIntraTable[Detail]</f>
        <v>SCBPMOFUND433981.1. Subscription</v>
      </c>
    </row>
    <row r="572" spans="1:9" x14ac:dyDescent="0.2">
      <c r="A572" t="s">
        <v>441</v>
      </c>
      <c r="B572" t="s">
        <v>23</v>
      </c>
      <c r="C572" s="147">
        <v>43399</v>
      </c>
      <c r="D572" t="s">
        <v>382</v>
      </c>
      <c r="E572">
        <v>76000</v>
      </c>
      <c r="F572" t="s">
        <v>329</v>
      </c>
      <c r="G572" t="s">
        <v>383</v>
      </c>
      <c r="H572">
        <v>181025160005</v>
      </c>
      <c r="I572" t="str">
        <f>CashIntraTable[Portfolio]&amp;VALUE(CashIntraTable[Cash Date])&amp;CashIntraTable[Detail]</f>
        <v>SCBPMOFUND433991.1. Subscription</v>
      </c>
    </row>
    <row r="573" spans="1:9" x14ac:dyDescent="0.2">
      <c r="A573" t="s">
        <v>441</v>
      </c>
      <c r="B573" t="s">
        <v>23</v>
      </c>
      <c r="C573" s="147">
        <v>43398</v>
      </c>
      <c r="D573" t="s">
        <v>382</v>
      </c>
      <c r="E573">
        <v>60938.76</v>
      </c>
      <c r="F573" t="s">
        <v>330</v>
      </c>
      <c r="G573" t="s">
        <v>383</v>
      </c>
      <c r="H573">
        <v>181025160005</v>
      </c>
      <c r="I573" t="str">
        <f>CashIntraTable[Portfolio]&amp;VALUE(CashIntraTable[Cash Date])&amp;CashIntraTable[Detail]</f>
        <v>SCBPMOFUND433981.2. Switch-in</v>
      </c>
    </row>
    <row r="574" spans="1:9" x14ac:dyDescent="0.2">
      <c r="A574" t="s">
        <v>441</v>
      </c>
      <c r="B574" t="s">
        <v>23</v>
      </c>
      <c r="C574" s="147">
        <v>43399</v>
      </c>
      <c r="D574" t="s">
        <v>382</v>
      </c>
      <c r="E574">
        <v>10000</v>
      </c>
      <c r="F574" t="s">
        <v>330</v>
      </c>
      <c r="G574" t="s">
        <v>383</v>
      </c>
      <c r="H574">
        <v>181025160005</v>
      </c>
      <c r="I574" t="str">
        <f>CashIntraTable[Portfolio]&amp;VALUE(CashIntraTable[Cash Date])&amp;CashIntraTable[Detail]</f>
        <v>SCBPMOFUND433991.2. Switch-in</v>
      </c>
    </row>
    <row r="575" spans="1:9" x14ac:dyDescent="0.2">
      <c r="A575" t="s">
        <v>441</v>
      </c>
      <c r="B575" t="s">
        <v>23</v>
      </c>
      <c r="C575" s="147">
        <v>43402</v>
      </c>
      <c r="D575" t="s">
        <v>382</v>
      </c>
      <c r="E575">
        <v>-909.32</v>
      </c>
      <c r="F575" t="s">
        <v>332</v>
      </c>
      <c r="G575" t="s">
        <v>383</v>
      </c>
      <c r="H575">
        <v>181025160005</v>
      </c>
      <c r="I575" t="str">
        <f>CashIntraTable[Portfolio]&amp;VALUE(CashIntraTable[Cash Date])&amp;CashIntraTable[Detail]</f>
        <v>SCBPMOFUND434022.2. Switch-out</v>
      </c>
    </row>
    <row r="576" spans="1:9" x14ac:dyDescent="0.2">
      <c r="A576" t="s">
        <v>442</v>
      </c>
      <c r="B576" t="s">
        <v>23</v>
      </c>
      <c r="C576" s="147">
        <v>43398</v>
      </c>
      <c r="D576" t="s">
        <v>382</v>
      </c>
      <c r="E576">
        <v>164876.66</v>
      </c>
      <c r="F576" t="s">
        <v>329</v>
      </c>
      <c r="G576" t="s">
        <v>383</v>
      </c>
      <c r="H576">
        <v>181025160005</v>
      </c>
      <c r="I576" t="str">
        <f>CashIntraTable[Portfolio]&amp;VALUE(CashIntraTable[Cash Date])&amp;CashIntraTable[Detail]</f>
        <v>SCBPOP433981.1. Subscription</v>
      </c>
    </row>
    <row r="577" spans="1:9" x14ac:dyDescent="0.2">
      <c r="A577" t="s">
        <v>442</v>
      </c>
      <c r="B577" t="s">
        <v>23</v>
      </c>
      <c r="C577" s="147">
        <v>43399</v>
      </c>
      <c r="D577" t="s">
        <v>382</v>
      </c>
      <c r="E577">
        <v>613762.12</v>
      </c>
      <c r="F577" t="s">
        <v>329</v>
      </c>
      <c r="G577" t="s">
        <v>383</v>
      </c>
      <c r="H577">
        <v>181025160005</v>
      </c>
      <c r="I577" t="str">
        <f>CashIntraTable[Portfolio]&amp;VALUE(CashIntraTable[Cash Date])&amp;CashIntraTable[Detail]</f>
        <v>SCBPOP433991.1. Subscription</v>
      </c>
    </row>
    <row r="578" spans="1:9" x14ac:dyDescent="0.2">
      <c r="A578" t="s">
        <v>442</v>
      </c>
      <c r="B578" t="s">
        <v>23</v>
      </c>
      <c r="C578" s="147">
        <v>43398</v>
      </c>
      <c r="D578" t="s">
        <v>382</v>
      </c>
      <c r="E578">
        <v>1400000</v>
      </c>
      <c r="F578" t="s">
        <v>330</v>
      </c>
      <c r="G578" t="s">
        <v>383</v>
      </c>
      <c r="H578">
        <v>181025160005</v>
      </c>
      <c r="I578" t="str">
        <f>CashIntraTable[Portfolio]&amp;VALUE(CashIntraTable[Cash Date])&amp;CashIntraTable[Detail]</f>
        <v>SCBPOP433981.2. Switch-in</v>
      </c>
    </row>
    <row r="579" spans="1:9" x14ac:dyDescent="0.2">
      <c r="A579" t="s">
        <v>442</v>
      </c>
      <c r="B579" t="s">
        <v>23</v>
      </c>
      <c r="C579" s="147">
        <v>43399</v>
      </c>
      <c r="D579" t="s">
        <v>382</v>
      </c>
      <c r="E579">
        <v>100000</v>
      </c>
      <c r="F579" t="s">
        <v>330</v>
      </c>
      <c r="G579" t="s">
        <v>383</v>
      </c>
      <c r="H579">
        <v>181025160005</v>
      </c>
      <c r="I579" t="str">
        <f>CashIntraTable[Portfolio]&amp;VALUE(CashIntraTable[Cash Date])&amp;CashIntraTable[Detail]</f>
        <v>SCBPOP433991.2. Switch-in</v>
      </c>
    </row>
    <row r="580" spans="1:9" x14ac:dyDescent="0.2">
      <c r="A580" t="s">
        <v>442</v>
      </c>
      <c r="B580" t="s">
        <v>23</v>
      </c>
      <c r="C580" s="147">
        <v>43398</v>
      </c>
      <c r="D580" t="s">
        <v>382</v>
      </c>
      <c r="E580">
        <v>-4010.16</v>
      </c>
      <c r="F580" t="s">
        <v>331</v>
      </c>
      <c r="G580" t="s">
        <v>383</v>
      </c>
      <c r="H580">
        <v>181025160005</v>
      </c>
      <c r="I580" t="str">
        <f>CashIntraTable[Portfolio]&amp;VALUE(CashIntraTable[Cash Date])&amp;CashIntraTable[Detail]</f>
        <v>SCBPOP433982.1. Redemption</v>
      </c>
    </row>
    <row r="581" spans="1:9" x14ac:dyDescent="0.2">
      <c r="A581" t="s">
        <v>442</v>
      </c>
      <c r="B581" t="s">
        <v>23</v>
      </c>
      <c r="C581" s="147">
        <v>43399</v>
      </c>
      <c r="D581" t="s">
        <v>382</v>
      </c>
      <c r="E581">
        <v>-1826307.69</v>
      </c>
      <c r="F581" t="s">
        <v>331</v>
      </c>
      <c r="G581" t="s">
        <v>383</v>
      </c>
      <c r="H581">
        <v>181025160005</v>
      </c>
      <c r="I581" t="str">
        <f>CashIntraTable[Portfolio]&amp;VALUE(CashIntraTable[Cash Date])&amp;CashIntraTable[Detail]</f>
        <v>SCBPOP433992.1. Redemption</v>
      </c>
    </row>
    <row r="582" spans="1:9" x14ac:dyDescent="0.2">
      <c r="A582" t="s">
        <v>442</v>
      </c>
      <c r="B582" t="s">
        <v>23</v>
      </c>
      <c r="C582" s="147">
        <v>43402</v>
      </c>
      <c r="D582" t="s">
        <v>382</v>
      </c>
      <c r="E582">
        <v>-519335.05</v>
      </c>
      <c r="F582" t="s">
        <v>331</v>
      </c>
      <c r="G582" t="s">
        <v>383</v>
      </c>
      <c r="H582">
        <v>181025160005</v>
      </c>
      <c r="I582" t="str">
        <f>CashIntraTable[Portfolio]&amp;VALUE(CashIntraTable[Cash Date])&amp;CashIntraTable[Detail]</f>
        <v>SCBPOP434022.1. Redemption</v>
      </c>
    </row>
    <row r="583" spans="1:9" x14ac:dyDescent="0.2">
      <c r="A583" t="s">
        <v>442</v>
      </c>
      <c r="B583" t="s">
        <v>23</v>
      </c>
      <c r="C583" s="147">
        <v>43403</v>
      </c>
      <c r="D583" t="s">
        <v>382</v>
      </c>
      <c r="E583">
        <v>-6897757.6100000003</v>
      </c>
      <c r="F583" t="s">
        <v>331</v>
      </c>
      <c r="G583" t="s">
        <v>383</v>
      </c>
      <c r="H583">
        <v>181025160005</v>
      </c>
      <c r="I583" t="str">
        <f>CashIntraTable[Portfolio]&amp;VALUE(CashIntraTable[Cash Date])&amp;CashIntraTable[Detail]</f>
        <v>SCBPOP434032.1. Redemption</v>
      </c>
    </row>
    <row r="584" spans="1:9" x14ac:dyDescent="0.2">
      <c r="A584" t="s">
        <v>442</v>
      </c>
      <c r="B584" t="s">
        <v>23</v>
      </c>
      <c r="C584" s="147">
        <v>43399</v>
      </c>
      <c r="D584" t="s">
        <v>382</v>
      </c>
      <c r="E584">
        <v>-1827284.9</v>
      </c>
      <c r="F584" t="s">
        <v>332</v>
      </c>
      <c r="G584" t="s">
        <v>383</v>
      </c>
      <c r="H584">
        <v>181025160005</v>
      </c>
      <c r="I584" t="str">
        <f>CashIntraTable[Portfolio]&amp;VALUE(CashIntraTable[Cash Date])&amp;CashIntraTable[Detail]</f>
        <v>SCBPOP433992.2. Switch-out</v>
      </c>
    </row>
    <row r="585" spans="1:9" x14ac:dyDescent="0.2">
      <c r="A585" t="s">
        <v>442</v>
      </c>
      <c r="B585" t="s">
        <v>23</v>
      </c>
      <c r="C585" s="147">
        <v>43402</v>
      </c>
      <c r="D585" t="s">
        <v>382</v>
      </c>
      <c r="E585">
        <v>-450752.8</v>
      </c>
      <c r="F585" t="s">
        <v>332</v>
      </c>
      <c r="G585" t="s">
        <v>383</v>
      </c>
      <c r="H585">
        <v>181025160005</v>
      </c>
      <c r="I585" t="str">
        <f>CashIntraTable[Portfolio]&amp;VALUE(CashIntraTable[Cash Date])&amp;CashIntraTable[Detail]</f>
        <v>SCBPOP434022.2. Switch-out</v>
      </c>
    </row>
    <row r="586" spans="1:9" x14ac:dyDescent="0.2">
      <c r="A586" t="s">
        <v>442</v>
      </c>
      <c r="B586" t="s">
        <v>23</v>
      </c>
      <c r="C586" s="147">
        <v>43403</v>
      </c>
      <c r="D586" t="s">
        <v>382</v>
      </c>
      <c r="E586">
        <v>-4242.47</v>
      </c>
      <c r="F586" t="s">
        <v>332</v>
      </c>
      <c r="G586" t="s">
        <v>383</v>
      </c>
      <c r="H586">
        <v>181025160005</v>
      </c>
      <c r="I586" t="str">
        <f>CashIntraTable[Portfolio]&amp;VALUE(CashIntraTable[Cash Date])&amp;CashIntraTable[Detail]</f>
        <v>SCBPOP434032.2. Switch-out</v>
      </c>
    </row>
    <row r="587" spans="1:9" x14ac:dyDescent="0.2">
      <c r="A587" t="s">
        <v>337</v>
      </c>
      <c r="B587" t="s">
        <v>23</v>
      </c>
      <c r="C587" s="147">
        <v>43398</v>
      </c>
      <c r="D587" t="s">
        <v>382</v>
      </c>
      <c r="E587">
        <v>116000</v>
      </c>
      <c r="F587" t="s">
        <v>329</v>
      </c>
      <c r="G587" t="s">
        <v>383</v>
      </c>
      <c r="H587">
        <v>181025160005</v>
      </c>
      <c r="I587" t="str">
        <f>CashIntraTable[Portfolio]&amp;VALUE(CashIntraTable[Cash Date])&amp;CashIntraTable[Detail]</f>
        <v>SCBRF433981.1. Subscription</v>
      </c>
    </row>
    <row r="588" spans="1:9" x14ac:dyDescent="0.2">
      <c r="A588" t="s">
        <v>337</v>
      </c>
      <c r="B588" t="s">
        <v>23</v>
      </c>
      <c r="C588" s="147">
        <v>43399</v>
      </c>
      <c r="D588" t="s">
        <v>382</v>
      </c>
      <c r="E588">
        <v>70000</v>
      </c>
      <c r="F588" t="s">
        <v>329</v>
      </c>
      <c r="G588" t="s">
        <v>383</v>
      </c>
      <c r="H588">
        <v>181025160005</v>
      </c>
      <c r="I588" t="str">
        <f>CashIntraTable[Portfolio]&amp;VALUE(CashIntraTable[Cash Date])&amp;CashIntraTable[Detail]</f>
        <v>SCBRF433991.1. Subscription</v>
      </c>
    </row>
    <row r="589" spans="1:9" x14ac:dyDescent="0.2">
      <c r="A589" t="s">
        <v>337</v>
      </c>
      <c r="B589" t="s">
        <v>23</v>
      </c>
      <c r="C589" s="147">
        <v>43399</v>
      </c>
      <c r="D589" t="s">
        <v>382</v>
      </c>
      <c r="E589">
        <v>2000</v>
      </c>
      <c r="F589" t="s">
        <v>330</v>
      </c>
      <c r="G589" t="s">
        <v>383</v>
      </c>
      <c r="H589">
        <v>181025160005</v>
      </c>
      <c r="I589" t="str">
        <f>CashIntraTable[Portfolio]&amp;VALUE(CashIntraTable[Cash Date])&amp;CashIntraTable[Detail]</f>
        <v>SCBRF433991.2. Switch-in</v>
      </c>
    </row>
    <row r="590" spans="1:9" x14ac:dyDescent="0.2">
      <c r="A590" t="s">
        <v>338</v>
      </c>
      <c r="B590" t="s">
        <v>23</v>
      </c>
      <c r="C590" s="147">
        <v>43398</v>
      </c>
      <c r="D590" t="s">
        <v>382</v>
      </c>
      <c r="E590">
        <v>2689200</v>
      </c>
      <c r="F590" t="s">
        <v>329</v>
      </c>
      <c r="G590" t="s">
        <v>383</v>
      </c>
      <c r="H590">
        <v>181025160005</v>
      </c>
      <c r="I590" t="str">
        <f>CashIntraTable[Portfolio]&amp;VALUE(CashIntraTable[Cash Date])&amp;CashIntraTable[Detail]</f>
        <v>SCBRM1433981.1. Subscription</v>
      </c>
    </row>
    <row r="591" spans="1:9" x14ac:dyDescent="0.2">
      <c r="A591" t="s">
        <v>338</v>
      </c>
      <c r="B591" t="s">
        <v>23</v>
      </c>
      <c r="C591" s="147">
        <v>43399</v>
      </c>
      <c r="D591" t="s">
        <v>382</v>
      </c>
      <c r="E591">
        <v>2353700</v>
      </c>
      <c r="F591" t="s">
        <v>329</v>
      </c>
      <c r="G591" t="s">
        <v>383</v>
      </c>
      <c r="H591">
        <v>181025160005</v>
      </c>
      <c r="I591" t="str">
        <f>CashIntraTable[Portfolio]&amp;VALUE(CashIntraTable[Cash Date])&amp;CashIntraTable[Detail]</f>
        <v>SCBRM1433991.1. Subscription</v>
      </c>
    </row>
    <row r="592" spans="1:9" x14ac:dyDescent="0.2">
      <c r="A592" t="s">
        <v>338</v>
      </c>
      <c r="B592" t="s">
        <v>23</v>
      </c>
      <c r="C592" s="147">
        <v>43398</v>
      </c>
      <c r="D592" t="s">
        <v>382</v>
      </c>
      <c r="E592">
        <v>5596750</v>
      </c>
      <c r="F592" t="s">
        <v>333</v>
      </c>
      <c r="G592" t="s">
        <v>383</v>
      </c>
      <c r="H592">
        <v>181025160005</v>
      </c>
      <c r="I592" t="str">
        <f>CashIntraTable[Portfolio]&amp;VALUE(CashIntraTable[Cash Date])&amp;CashIntraTable[Detail]</f>
        <v>SCBRM1433981.1. Subscription (Chq)</v>
      </c>
    </row>
    <row r="593" spans="1:9" x14ac:dyDescent="0.2">
      <c r="A593" t="s">
        <v>338</v>
      </c>
      <c r="B593" t="s">
        <v>23</v>
      </c>
      <c r="C593" s="147">
        <v>43399</v>
      </c>
      <c r="D593" t="s">
        <v>382</v>
      </c>
      <c r="E593">
        <v>6896705</v>
      </c>
      <c r="F593" t="s">
        <v>333</v>
      </c>
      <c r="G593" t="s">
        <v>383</v>
      </c>
      <c r="H593">
        <v>181025160005</v>
      </c>
      <c r="I593" t="str">
        <f>CashIntraTable[Portfolio]&amp;VALUE(CashIntraTable[Cash Date])&amp;CashIntraTable[Detail]</f>
        <v>SCBRM1433991.1. Subscription (Chq)</v>
      </c>
    </row>
    <row r="594" spans="1:9" x14ac:dyDescent="0.2">
      <c r="A594" t="s">
        <v>338</v>
      </c>
      <c r="B594" t="s">
        <v>23</v>
      </c>
      <c r="C594" s="147">
        <v>43398</v>
      </c>
      <c r="D594" t="s">
        <v>382</v>
      </c>
      <c r="E594">
        <v>2010938.85</v>
      </c>
      <c r="F594" t="s">
        <v>330</v>
      </c>
      <c r="G594" t="s">
        <v>383</v>
      </c>
      <c r="H594">
        <v>181025160005</v>
      </c>
      <c r="I594" t="str">
        <f>CashIntraTable[Portfolio]&amp;VALUE(CashIntraTable[Cash Date])&amp;CashIntraTable[Detail]</f>
        <v>SCBRM1433981.2. Switch-in</v>
      </c>
    </row>
    <row r="595" spans="1:9" x14ac:dyDescent="0.2">
      <c r="A595" t="s">
        <v>338</v>
      </c>
      <c r="B595" t="s">
        <v>23</v>
      </c>
      <c r="C595" s="147">
        <v>43399</v>
      </c>
      <c r="D595" t="s">
        <v>382</v>
      </c>
      <c r="E595">
        <v>14297140.220000001</v>
      </c>
      <c r="F595" t="s">
        <v>330</v>
      </c>
      <c r="G595" t="s">
        <v>383</v>
      </c>
      <c r="H595">
        <v>181025160005</v>
      </c>
      <c r="I595" t="str">
        <f>CashIntraTable[Portfolio]&amp;VALUE(CashIntraTable[Cash Date])&amp;CashIntraTable[Detail]</f>
        <v>SCBRM1433991.2. Switch-in</v>
      </c>
    </row>
    <row r="596" spans="1:9" x14ac:dyDescent="0.2">
      <c r="A596" t="s">
        <v>338</v>
      </c>
      <c r="B596" t="s">
        <v>23</v>
      </c>
      <c r="C596" s="147">
        <v>43402</v>
      </c>
      <c r="D596" t="s">
        <v>382</v>
      </c>
      <c r="E596">
        <v>15277948.449999999</v>
      </c>
      <c r="F596" t="s">
        <v>330</v>
      </c>
      <c r="G596" t="s">
        <v>383</v>
      </c>
      <c r="H596">
        <v>181025160005</v>
      </c>
      <c r="I596" t="str">
        <f>CashIntraTable[Portfolio]&amp;VALUE(CashIntraTable[Cash Date])&amp;CashIntraTable[Detail]</f>
        <v>SCBRM1434021.2. Switch-in</v>
      </c>
    </row>
    <row r="597" spans="1:9" x14ac:dyDescent="0.2">
      <c r="A597" t="s">
        <v>338</v>
      </c>
      <c r="B597" t="s">
        <v>23</v>
      </c>
      <c r="C597" s="147">
        <v>43403</v>
      </c>
      <c r="D597" t="s">
        <v>382</v>
      </c>
      <c r="E597">
        <v>346368.63</v>
      </c>
      <c r="F597" t="s">
        <v>330</v>
      </c>
      <c r="G597" t="s">
        <v>383</v>
      </c>
      <c r="H597">
        <v>181025160005</v>
      </c>
      <c r="I597" t="str">
        <f>CashIntraTable[Portfolio]&amp;VALUE(CashIntraTable[Cash Date])&amp;CashIntraTable[Detail]</f>
        <v>SCBRM1434031.2. Switch-in</v>
      </c>
    </row>
    <row r="598" spans="1:9" x14ac:dyDescent="0.2">
      <c r="A598" t="s">
        <v>338</v>
      </c>
      <c r="B598" t="s">
        <v>23</v>
      </c>
      <c r="C598" s="147">
        <v>43405</v>
      </c>
      <c r="D598" t="s">
        <v>382</v>
      </c>
      <c r="E598">
        <v>9769.2000000000007</v>
      </c>
      <c r="F598" t="s">
        <v>330</v>
      </c>
      <c r="G598" t="s">
        <v>383</v>
      </c>
      <c r="H598">
        <v>181025160005</v>
      </c>
      <c r="I598" t="str">
        <f>CashIntraTable[Portfolio]&amp;VALUE(CashIntraTable[Cash Date])&amp;CashIntraTable[Detail]</f>
        <v>SCBRM1434051.2. Switch-in</v>
      </c>
    </row>
    <row r="599" spans="1:9" x14ac:dyDescent="0.2">
      <c r="A599" t="s">
        <v>338</v>
      </c>
      <c r="B599" t="s">
        <v>23</v>
      </c>
      <c r="C599" s="147">
        <v>43398</v>
      </c>
      <c r="D599" t="s">
        <v>382</v>
      </c>
      <c r="E599">
        <v>-5833350.0800000001</v>
      </c>
      <c r="F599" t="s">
        <v>331</v>
      </c>
      <c r="G599" t="s">
        <v>383</v>
      </c>
      <c r="H599">
        <v>181025160005</v>
      </c>
      <c r="I599" t="str">
        <f>CashIntraTable[Portfolio]&amp;VALUE(CashIntraTable[Cash Date])&amp;CashIntraTable[Detail]</f>
        <v>SCBRM1433982.1. Redemption</v>
      </c>
    </row>
    <row r="600" spans="1:9" x14ac:dyDescent="0.2">
      <c r="A600" t="s">
        <v>338</v>
      </c>
      <c r="B600" t="s">
        <v>23</v>
      </c>
      <c r="C600" s="147">
        <v>43399</v>
      </c>
      <c r="D600" t="s">
        <v>382</v>
      </c>
      <c r="E600">
        <v>-2796232.1</v>
      </c>
      <c r="F600" t="s">
        <v>331</v>
      </c>
      <c r="G600" t="s">
        <v>383</v>
      </c>
      <c r="H600">
        <v>181025160005</v>
      </c>
      <c r="I600" t="str">
        <f>CashIntraTable[Portfolio]&amp;VALUE(CashIntraTable[Cash Date])&amp;CashIntraTable[Detail]</f>
        <v>SCBRM1433992.1. Redemption</v>
      </c>
    </row>
    <row r="601" spans="1:9" x14ac:dyDescent="0.2">
      <c r="A601" t="s">
        <v>338</v>
      </c>
      <c r="B601" t="s">
        <v>23</v>
      </c>
      <c r="C601" s="147">
        <v>43398</v>
      </c>
      <c r="D601" t="s">
        <v>382</v>
      </c>
      <c r="E601">
        <v>-41059173.93</v>
      </c>
      <c r="F601" t="s">
        <v>332</v>
      </c>
      <c r="G601" t="s">
        <v>383</v>
      </c>
      <c r="H601">
        <v>181025160005</v>
      </c>
      <c r="I601" t="str">
        <f>CashIntraTable[Portfolio]&amp;VALUE(CashIntraTable[Cash Date])&amp;CashIntraTable[Detail]</f>
        <v>SCBRM1433982.2. Switch-out</v>
      </c>
    </row>
    <row r="602" spans="1:9" x14ac:dyDescent="0.2">
      <c r="A602" t="s">
        <v>338</v>
      </c>
      <c r="B602" t="s">
        <v>23</v>
      </c>
      <c r="C602" s="147">
        <v>43399</v>
      </c>
      <c r="D602" t="s">
        <v>382</v>
      </c>
      <c r="E602">
        <v>-45943476.68</v>
      </c>
      <c r="F602" t="s">
        <v>332</v>
      </c>
      <c r="G602" t="s">
        <v>383</v>
      </c>
      <c r="H602">
        <v>181025160005</v>
      </c>
      <c r="I602" t="str">
        <f>CashIntraTable[Portfolio]&amp;VALUE(CashIntraTable[Cash Date])&amp;CashIntraTable[Detail]</f>
        <v>SCBRM1433992.2. Switch-out</v>
      </c>
    </row>
    <row r="603" spans="1:9" x14ac:dyDescent="0.2">
      <c r="A603" t="s">
        <v>339</v>
      </c>
      <c r="B603" t="s">
        <v>23</v>
      </c>
      <c r="C603" s="147">
        <v>43398</v>
      </c>
      <c r="D603" t="s">
        <v>382</v>
      </c>
      <c r="E603">
        <v>1613200</v>
      </c>
      <c r="F603" t="s">
        <v>329</v>
      </c>
      <c r="G603" t="s">
        <v>383</v>
      </c>
      <c r="H603">
        <v>181025160005</v>
      </c>
      <c r="I603" t="str">
        <f>CashIntraTable[Portfolio]&amp;VALUE(CashIntraTable[Cash Date])&amp;CashIntraTable[Detail]</f>
        <v>SCBRM2433981.1. Subscription</v>
      </c>
    </row>
    <row r="604" spans="1:9" x14ac:dyDescent="0.2">
      <c r="A604" t="s">
        <v>339</v>
      </c>
      <c r="B604" t="s">
        <v>23</v>
      </c>
      <c r="C604" s="147">
        <v>43399</v>
      </c>
      <c r="D604" t="s">
        <v>382</v>
      </c>
      <c r="E604">
        <v>590000</v>
      </c>
      <c r="F604" t="s">
        <v>329</v>
      </c>
      <c r="G604" t="s">
        <v>383</v>
      </c>
      <c r="H604">
        <v>181025160005</v>
      </c>
      <c r="I604" t="str">
        <f>CashIntraTable[Portfolio]&amp;VALUE(CashIntraTable[Cash Date])&amp;CashIntraTable[Detail]</f>
        <v>SCBRM2433991.1. Subscription</v>
      </c>
    </row>
    <row r="605" spans="1:9" x14ac:dyDescent="0.2">
      <c r="A605" t="s">
        <v>339</v>
      </c>
      <c r="B605" t="s">
        <v>23</v>
      </c>
      <c r="C605" s="147">
        <v>43398</v>
      </c>
      <c r="D605" t="s">
        <v>382</v>
      </c>
      <c r="E605">
        <v>4299520</v>
      </c>
      <c r="F605" t="s">
        <v>333</v>
      </c>
      <c r="G605" t="s">
        <v>383</v>
      </c>
      <c r="H605">
        <v>181025160005</v>
      </c>
      <c r="I605" t="str">
        <f>CashIntraTable[Portfolio]&amp;VALUE(CashIntraTable[Cash Date])&amp;CashIntraTable[Detail]</f>
        <v>SCBRM2433981.1. Subscription (Chq)</v>
      </c>
    </row>
    <row r="606" spans="1:9" x14ac:dyDescent="0.2">
      <c r="A606" t="s">
        <v>339</v>
      </c>
      <c r="B606" t="s">
        <v>23</v>
      </c>
      <c r="C606" s="147">
        <v>43399</v>
      </c>
      <c r="D606" t="s">
        <v>382</v>
      </c>
      <c r="E606">
        <v>2643082.58</v>
      </c>
      <c r="F606" t="s">
        <v>333</v>
      </c>
      <c r="G606" t="s">
        <v>383</v>
      </c>
      <c r="H606">
        <v>181025160005</v>
      </c>
      <c r="I606" t="str">
        <f>CashIntraTable[Portfolio]&amp;VALUE(CashIntraTable[Cash Date])&amp;CashIntraTable[Detail]</f>
        <v>SCBRM2433991.1. Subscription (Chq)</v>
      </c>
    </row>
    <row r="607" spans="1:9" x14ac:dyDescent="0.2">
      <c r="A607" t="s">
        <v>339</v>
      </c>
      <c r="B607" t="s">
        <v>23</v>
      </c>
      <c r="C607" s="147">
        <v>43398</v>
      </c>
      <c r="D607" t="s">
        <v>382</v>
      </c>
      <c r="E607">
        <v>3561166.83</v>
      </c>
      <c r="F607" t="s">
        <v>330</v>
      </c>
      <c r="G607" t="s">
        <v>383</v>
      </c>
      <c r="H607">
        <v>181025160005</v>
      </c>
      <c r="I607" t="str">
        <f>CashIntraTable[Portfolio]&amp;VALUE(CashIntraTable[Cash Date])&amp;CashIntraTable[Detail]</f>
        <v>SCBRM2433981.2. Switch-in</v>
      </c>
    </row>
    <row r="608" spans="1:9" x14ac:dyDescent="0.2">
      <c r="A608" t="s">
        <v>339</v>
      </c>
      <c r="B608" t="s">
        <v>23</v>
      </c>
      <c r="C608" s="147">
        <v>43399</v>
      </c>
      <c r="D608" t="s">
        <v>382</v>
      </c>
      <c r="E608">
        <v>3182432.43</v>
      </c>
      <c r="F608" t="s">
        <v>330</v>
      </c>
      <c r="G608" t="s">
        <v>383</v>
      </c>
      <c r="H608">
        <v>181025160005</v>
      </c>
      <c r="I608" t="str">
        <f>CashIntraTable[Portfolio]&amp;VALUE(CashIntraTable[Cash Date])&amp;CashIntraTable[Detail]</f>
        <v>SCBRM2433991.2. Switch-in</v>
      </c>
    </row>
    <row r="609" spans="1:9" x14ac:dyDescent="0.2">
      <c r="A609" t="s">
        <v>339</v>
      </c>
      <c r="B609" t="s">
        <v>23</v>
      </c>
      <c r="C609" s="147">
        <v>43402</v>
      </c>
      <c r="D609" t="s">
        <v>382</v>
      </c>
      <c r="E609">
        <v>722077.65</v>
      </c>
      <c r="F609" t="s">
        <v>330</v>
      </c>
      <c r="G609" t="s">
        <v>383</v>
      </c>
      <c r="H609">
        <v>181025160005</v>
      </c>
      <c r="I609" t="str">
        <f>CashIntraTable[Portfolio]&amp;VALUE(CashIntraTable[Cash Date])&amp;CashIntraTable[Detail]</f>
        <v>SCBRM2434021.2. Switch-in</v>
      </c>
    </row>
    <row r="610" spans="1:9" x14ac:dyDescent="0.2">
      <c r="A610" t="s">
        <v>339</v>
      </c>
      <c r="B610" t="s">
        <v>23</v>
      </c>
      <c r="C610" s="147">
        <v>43403</v>
      </c>
      <c r="D610" t="s">
        <v>382</v>
      </c>
      <c r="E610">
        <v>921458.28</v>
      </c>
      <c r="F610" t="s">
        <v>330</v>
      </c>
      <c r="G610" t="s">
        <v>383</v>
      </c>
      <c r="H610">
        <v>181025160005</v>
      </c>
      <c r="I610" t="str">
        <f>CashIntraTable[Portfolio]&amp;VALUE(CashIntraTable[Cash Date])&amp;CashIntraTable[Detail]</f>
        <v>SCBRM2434031.2. Switch-in</v>
      </c>
    </row>
    <row r="611" spans="1:9" x14ac:dyDescent="0.2">
      <c r="A611" t="s">
        <v>339</v>
      </c>
      <c r="B611" t="s">
        <v>23</v>
      </c>
      <c r="C611" s="147">
        <v>43398</v>
      </c>
      <c r="D611" t="s">
        <v>382</v>
      </c>
      <c r="E611">
        <v>-732978.36</v>
      </c>
      <c r="F611" t="s">
        <v>331</v>
      </c>
      <c r="G611" t="s">
        <v>383</v>
      </c>
      <c r="H611">
        <v>181025160005</v>
      </c>
      <c r="I611" t="str">
        <f>CashIntraTable[Portfolio]&amp;VALUE(CashIntraTable[Cash Date])&amp;CashIntraTable[Detail]</f>
        <v>SCBRM2433982.1. Redemption</v>
      </c>
    </row>
    <row r="612" spans="1:9" x14ac:dyDescent="0.2">
      <c r="A612" t="s">
        <v>339</v>
      </c>
      <c r="B612" t="s">
        <v>23</v>
      </c>
      <c r="C612" s="147">
        <v>43399</v>
      </c>
      <c r="D612" t="s">
        <v>382</v>
      </c>
      <c r="E612">
        <v>-100000</v>
      </c>
      <c r="F612" t="s">
        <v>331</v>
      </c>
      <c r="G612" t="s">
        <v>383</v>
      </c>
      <c r="H612">
        <v>181025160005</v>
      </c>
      <c r="I612" t="str">
        <f>CashIntraTable[Portfolio]&amp;VALUE(CashIntraTable[Cash Date])&amp;CashIntraTable[Detail]</f>
        <v>SCBRM2433992.1. Redemption</v>
      </c>
    </row>
    <row r="613" spans="1:9" x14ac:dyDescent="0.2">
      <c r="A613" t="s">
        <v>339</v>
      </c>
      <c r="B613" t="s">
        <v>23</v>
      </c>
      <c r="C613" s="147">
        <v>43398</v>
      </c>
      <c r="D613" t="s">
        <v>382</v>
      </c>
      <c r="E613">
        <v>-9752725.7899999991</v>
      </c>
      <c r="F613" t="s">
        <v>332</v>
      </c>
      <c r="G613" t="s">
        <v>383</v>
      </c>
      <c r="H613">
        <v>181025160005</v>
      </c>
      <c r="I613" t="str">
        <f>CashIntraTable[Portfolio]&amp;VALUE(CashIntraTable[Cash Date])&amp;CashIntraTable[Detail]</f>
        <v>SCBRM2433982.2. Switch-out</v>
      </c>
    </row>
    <row r="614" spans="1:9" x14ac:dyDescent="0.2">
      <c r="A614" t="s">
        <v>339</v>
      </c>
      <c r="B614" t="s">
        <v>23</v>
      </c>
      <c r="C614" s="147">
        <v>43399</v>
      </c>
      <c r="D614" t="s">
        <v>382</v>
      </c>
      <c r="E614">
        <v>-18325708.34</v>
      </c>
      <c r="F614" t="s">
        <v>332</v>
      </c>
      <c r="G614" t="s">
        <v>383</v>
      </c>
      <c r="H614">
        <v>181025160005</v>
      </c>
      <c r="I614" t="str">
        <f>CashIntraTable[Portfolio]&amp;VALUE(CashIntraTable[Cash Date])&amp;CashIntraTable[Detail]</f>
        <v>SCBRM2433992.2. Switch-out</v>
      </c>
    </row>
    <row r="615" spans="1:9" x14ac:dyDescent="0.2">
      <c r="A615" t="s">
        <v>443</v>
      </c>
      <c r="B615" t="s">
        <v>23</v>
      </c>
      <c r="C615" s="147">
        <v>43398</v>
      </c>
      <c r="D615" t="s">
        <v>382</v>
      </c>
      <c r="E615">
        <v>1975000</v>
      </c>
      <c r="F615" t="s">
        <v>329</v>
      </c>
      <c r="G615" t="s">
        <v>383</v>
      </c>
      <c r="H615">
        <v>181025160005</v>
      </c>
      <c r="I615" t="str">
        <f>CashIntraTable[Portfolio]&amp;VALUE(CashIntraTable[Cash Date])&amp;CashIntraTable[Detail]</f>
        <v>SCBRM3433981.1. Subscription</v>
      </c>
    </row>
    <row r="616" spans="1:9" x14ac:dyDescent="0.2">
      <c r="A616" t="s">
        <v>443</v>
      </c>
      <c r="B616" t="s">
        <v>23</v>
      </c>
      <c r="C616" s="147">
        <v>43399</v>
      </c>
      <c r="D616" t="s">
        <v>382</v>
      </c>
      <c r="E616">
        <v>2408500</v>
      </c>
      <c r="F616" t="s">
        <v>329</v>
      </c>
      <c r="G616" t="s">
        <v>383</v>
      </c>
      <c r="H616">
        <v>181025160005</v>
      </c>
      <c r="I616" t="str">
        <f>CashIntraTable[Portfolio]&amp;VALUE(CashIntraTable[Cash Date])&amp;CashIntraTable[Detail]</f>
        <v>SCBRM3433991.1. Subscription</v>
      </c>
    </row>
    <row r="617" spans="1:9" x14ac:dyDescent="0.2">
      <c r="A617" t="s">
        <v>443</v>
      </c>
      <c r="B617" t="s">
        <v>23</v>
      </c>
      <c r="C617" s="147">
        <v>43398</v>
      </c>
      <c r="D617" t="s">
        <v>382</v>
      </c>
      <c r="E617">
        <v>2901800</v>
      </c>
      <c r="F617" t="s">
        <v>333</v>
      </c>
      <c r="G617" t="s">
        <v>383</v>
      </c>
      <c r="H617">
        <v>181025160005</v>
      </c>
      <c r="I617" t="str">
        <f>CashIntraTable[Portfolio]&amp;VALUE(CashIntraTable[Cash Date])&amp;CashIntraTable[Detail]</f>
        <v>SCBRM3433981.1. Subscription (Chq)</v>
      </c>
    </row>
    <row r="618" spans="1:9" x14ac:dyDescent="0.2">
      <c r="A618" t="s">
        <v>443</v>
      </c>
      <c r="B618" t="s">
        <v>23</v>
      </c>
      <c r="C618" s="147">
        <v>43399</v>
      </c>
      <c r="D618" t="s">
        <v>382</v>
      </c>
      <c r="E618">
        <v>3664500</v>
      </c>
      <c r="F618" t="s">
        <v>333</v>
      </c>
      <c r="G618" t="s">
        <v>383</v>
      </c>
      <c r="H618">
        <v>181025160005</v>
      </c>
      <c r="I618" t="str">
        <f>CashIntraTable[Portfolio]&amp;VALUE(CashIntraTable[Cash Date])&amp;CashIntraTable[Detail]</f>
        <v>SCBRM3433991.1. Subscription (Chq)</v>
      </c>
    </row>
    <row r="619" spans="1:9" x14ac:dyDescent="0.2">
      <c r="A619" t="s">
        <v>443</v>
      </c>
      <c r="B619" t="s">
        <v>23</v>
      </c>
      <c r="C619" s="147">
        <v>43398</v>
      </c>
      <c r="D619" t="s">
        <v>382</v>
      </c>
      <c r="E619">
        <v>215000</v>
      </c>
      <c r="F619" t="s">
        <v>330</v>
      </c>
      <c r="G619" t="s">
        <v>383</v>
      </c>
      <c r="H619">
        <v>181025160005</v>
      </c>
      <c r="I619" t="str">
        <f>CashIntraTable[Portfolio]&amp;VALUE(CashIntraTable[Cash Date])&amp;CashIntraTable[Detail]</f>
        <v>SCBRM3433981.2. Switch-in</v>
      </c>
    </row>
    <row r="620" spans="1:9" x14ac:dyDescent="0.2">
      <c r="A620" t="s">
        <v>443</v>
      </c>
      <c r="B620" t="s">
        <v>23</v>
      </c>
      <c r="C620" s="147">
        <v>43399</v>
      </c>
      <c r="D620" t="s">
        <v>382</v>
      </c>
      <c r="E620">
        <v>4692590.18</v>
      </c>
      <c r="F620" t="s">
        <v>330</v>
      </c>
      <c r="G620" t="s">
        <v>383</v>
      </c>
      <c r="H620">
        <v>181025160005</v>
      </c>
      <c r="I620" t="str">
        <f>CashIntraTable[Portfolio]&amp;VALUE(CashIntraTable[Cash Date])&amp;CashIntraTable[Detail]</f>
        <v>SCBRM3433991.2. Switch-in</v>
      </c>
    </row>
    <row r="621" spans="1:9" x14ac:dyDescent="0.2">
      <c r="A621" t="s">
        <v>443</v>
      </c>
      <c r="B621" t="s">
        <v>23</v>
      </c>
      <c r="C621" s="147">
        <v>43402</v>
      </c>
      <c r="D621" t="s">
        <v>382</v>
      </c>
      <c r="E621">
        <v>1802416.44</v>
      </c>
      <c r="F621" t="s">
        <v>330</v>
      </c>
      <c r="G621" t="s">
        <v>383</v>
      </c>
      <c r="H621">
        <v>181025160005</v>
      </c>
      <c r="I621" t="str">
        <f>CashIntraTable[Portfolio]&amp;VALUE(CashIntraTable[Cash Date])&amp;CashIntraTable[Detail]</f>
        <v>SCBRM3434021.2. Switch-in</v>
      </c>
    </row>
    <row r="622" spans="1:9" x14ac:dyDescent="0.2">
      <c r="A622" t="s">
        <v>443</v>
      </c>
      <c r="B622" t="s">
        <v>23</v>
      </c>
      <c r="C622" s="147">
        <v>43403</v>
      </c>
      <c r="D622" t="s">
        <v>382</v>
      </c>
      <c r="E622">
        <v>227160</v>
      </c>
      <c r="F622" t="s">
        <v>330</v>
      </c>
      <c r="G622" t="s">
        <v>383</v>
      </c>
      <c r="H622">
        <v>181025160005</v>
      </c>
      <c r="I622" t="str">
        <f>CashIntraTable[Portfolio]&amp;VALUE(CashIntraTable[Cash Date])&amp;CashIntraTable[Detail]</f>
        <v>SCBRM3434031.2. Switch-in</v>
      </c>
    </row>
    <row r="623" spans="1:9" x14ac:dyDescent="0.2">
      <c r="A623" t="s">
        <v>443</v>
      </c>
      <c r="B623" t="s">
        <v>23</v>
      </c>
      <c r="C623" s="147">
        <v>43398</v>
      </c>
      <c r="D623" t="s">
        <v>382</v>
      </c>
      <c r="E623">
        <v>-831786.01</v>
      </c>
      <c r="F623" t="s">
        <v>331</v>
      </c>
      <c r="G623" t="s">
        <v>383</v>
      </c>
      <c r="H623">
        <v>181025160005</v>
      </c>
      <c r="I623" t="str">
        <f>CashIntraTable[Portfolio]&amp;VALUE(CashIntraTable[Cash Date])&amp;CashIntraTable[Detail]</f>
        <v>SCBRM3433982.1. Redemption</v>
      </c>
    </row>
    <row r="624" spans="1:9" x14ac:dyDescent="0.2">
      <c r="A624" t="s">
        <v>443</v>
      </c>
      <c r="B624" t="s">
        <v>23</v>
      </c>
      <c r="C624" s="147">
        <v>43399</v>
      </c>
      <c r="D624" t="s">
        <v>382</v>
      </c>
      <c r="E624">
        <v>-454962.12</v>
      </c>
      <c r="F624" t="s">
        <v>331</v>
      </c>
      <c r="G624" t="s">
        <v>383</v>
      </c>
      <c r="H624">
        <v>181025160005</v>
      </c>
      <c r="I624" t="str">
        <f>CashIntraTable[Portfolio]&amp;VALUE(CashIntraTable[Cash Date])&amp;CashIntraTable[Detail]</f>
        <v>SCBRM3433992.1. Redemption</v>
      </c>
    </row>
    <row r="625" spans="1:9" x14ac:dyDescent="0.2">
      <c r="A625" t="s">
        <v>443</v>
      </c>
      <c r="B625" t="s">
        <v>23</v>
      </c>
      <c r="C625" s="147">
        <v>43402</v>
      </c>
      <c r="D625" t="s">
        <v>382</v>
      </c>
      <c r="E625">
        <v>-2773.79</v>
      </c>
      <c r="F625" t="s">
        <v>331</v>
      </c>
      <c r="G625" t="s">
        <v>383</v>
      </c>
      <c r="H625">
        <v>181025160005</v>
      </c>
      <c r="I625" t="str">
        <f>CashIntraTable[Portfolio]&amp;VALUE(CashIntraTable[Cash Date])&amp;CashIntraTable[Detail]</f>
        <v>SCBRM3434022.1. Redemption</v>
      </c>
    </row>
    <row r="626" spans="1:9" x14ac:dyDescent="0.2">
      <c r="A626" t="s">
        <v>443</v>
      </c>
      <c r="B626" t="s">
        <v>23</v>
      </c>
      <c r="C626" s="147">
        <v>43398</v>
      </c>
      <c r="D626" t="s">
        <v>382</v>
      </c>
      <c r="E626">
        <v>-1432089.28</v>
      </c>
      <c r="F626" t="s">
        <v>332</v>
      </c>
      <c r="G626" t="s">
        <v>383</v>
      </c>
      <c r="H626">
        <v>181025160005</v>
      </c>
      <c r="I626" t="str">
        <f>CashIntraTable[Portfolio]&amp;VALUE(CashIntraTable[Cash Date])&amp;CashIntraTable[Detail]</f>
        <v>SCBRM3433982.2. Switch-out</v>
      </c>
    </row>
    <row r="627" spans="1:9" x14ac:dyDescent="0.2">
      <c r="A627" t="s">
        <v>443</v>
      </c>
      <c r="B627" t="s">
        <v>23</v>
      </c>
      <c r="C627" s="147">
        <v>43399</v>
      </c>
      <c r="D627" t="s">
        <v>382</v>
      </c>
      <c r="E627">
        <v>-1756435.11</v>
      </c>
      <c r="F627" t="s">
        <v>332</v>
      </c>
      <c r="G627" t="s">
        <v>383</v>
      </c>
      <c r="H627">
        <v>181025160005</v>
      </c>
      <c r="I627" t="str">
        <f>CashIntraTable[Portfolio]&amp;VALUE(CashIntraTable[Cash Date])&amp;CashIntraTable[Detail]</f>
        <v>SCBRM3433992.2. Switch-out</v>
      </c>
    </row>
    <row r="628" spans="1:9" x14ac:dyDescent="0.2">
      <c r="A628" t="s">
        <v>443</v>
      </c>
      <c r="B628" t="s">
        <v>23</v>
      </c>
      <c r="C628" s="147">
        <v>43402</v>
      </c>
      <c r="D628" t="s">
        <v>382</v>
      </c>
      <c r="E628">
        <v>-109189.03</v>
      </c>
      <c r="F628" t="s">
        <v>332</v>
      </c>
      <c r="G628" t="s">
        <v>383</v>
      </c>
      <c r="H628">
        <v>181025160005</v>
      </c>
      <c r="I628" t="str">
        <f>CashIntraTable[Portfolio]&amp;VALUE(CashIntraTable[Cash Date])&amp;CashIntraTable[Detail]</f>
        <v>SCBRM3434022.2. Switch-out</v>
      </c>
    </row>
    <row r="629" spans="1:9" x14ac:dyDescent="0.2">
      <c r="A629" t="s">
        <v>444</v>
      </c>
      <c r="B629" t="s">
        <v>23</v>
      </c>
      <c r="C629" s="147">
        <v>43398</v>
      </c>
      <c r="D629" t="s">
        <v>382</v>
      </c>
      <c r="E629">
        <v>2393325</v>
      </c>
      <c r="F629" t="s">
        <v>329</v>
      </c>
      <c r="G629" t="s">
        <v>383</v>
      </c>
      <c r="H629">
        <v>181025160005</v>
      </c>
      <c r="I629" t="str">
        <f>CashIntraTable[Portfolio]&amp;VALUE(CashIntraTable[Cash Date])&amp;CashIntraTable[Detail]</f>
        <v>SCBRM4433981.1. Subscription</v>
      </c>
    </row>
    <row r="630" spans="1:9" x14ac:dyDescent="0.2">
      <c r="A630" t="s">
        <v>444</v>
      </c>
      <c r="B630" t="s">
        <v>23</v>
      </c>
      <c r="C630" s="147">
        <v>43399</v>
      </c>
      <c r="D630" t="s">
        <v>382</v>
      </c>
      <c r="E630">
        <v>5978641</v>
      </c>
      <c r="F630" t="s">
        <v>329</v>
      </c>
      <c r="G630" t="s">
        <v>383</v>
      </c>
      <c r="H630">
        <v>181025160005</v>
      </c>
      <c r="I630" t="str">
        <f>CashIntraTable[Portfolio]&amp;VALUE(CashIntraTable[Cash Date])&amp;CashIntraTable[Detail]</f>
        <v>SCBRM4433991.1. Subscription</v>
      </c>
    </row>
    <row r="631" spans="1:9" x14ac:dyDescent="0.2">
      <c r="A631" t="s">
        <v>444</v>
      </c>
      <c r="B631" t="s">
        <v>23</v>
      </c>
      <c r="C631" s="147">
        <v>43398</v>
      </c>
      <c r="D631" t="s">
        <v>382</v>
      </c>
      <c r="E631">
        <v>8505400</v>
      </c>
      <c r="F631" t="s">
        <v>333</v>
      </c>
      <c r="G631" t="s">
        <v>383</v>
      </c>
      <c r="H631">
        <v>181025160005</v>
      </c>
      <c r="I631" t="str">
        <f>CashIntraTable[Portfolio]&amp;VALUE(CashIntraTable[Cash Date])&amp;CashIntraTable[Detail]</f>
        <v>SCBRM4433981.1. Subscription (Chq)</v>
      </c>
    </row>
    <row r="632" spans="1:9" x14ac:dyDescent="0.2">
      <c r="A632" t="s">
        <v>444</v>
      </c>
      <c r="B632" t="s">
        <v>23</v>
      </c>
      <c r="C632" s="147">
        <v>43399</v>
      </c>
      <c r="D632" t="s">
        <v>382</v>
      </c>
      <c r="E632">
        <v>6610500</v>
      </c>
      <c r="F632" t="s">
        <v>333</v>
      </c>
      <c r="G632" t="s">
        <v>383</v>
      </c>
      <c r="H632">
        <v>181025160005</v>
      </c>
      <c r="I632" t="str">
        <f>CashIntraTable[Portfolio]&amp;VALUE(CashIntraTable[Cash Date])&amp;CashIntraTable[Detail]</f>
        <v>SCBRM4433991.1. Subscription (Chq)</v>
      </c>
    </row>
    <row r="633" spans="1:9" x14ac:dyDescent="0.2">
      <c r="A633" t="s">
        <v>444</v>
      </c>
      <c r="B633" t="s">
        <v>23</v>
      </c>
      <c r="C633" s="147">
        <v>43398</v>
      </c>
      <c r="D633" t="s">
        <v>382</v>
      </c>
      <c r="E633">
        <v>19458386.170000002</v>
      </c>
      <c r="F633" t="s">
        <v>330</v>
      </c>
      <c r="G633" t="s">
        <v>383</v>
      </c>
      <c r="H633">
        <v>181025160005</v>
      </c>
      <c r="I633" t="str">
        <f>CashIntraTable[Portfolio]&amp;VALUE(CashIntraTable[Cash Date])&amp;CashIntraTable[Detail]</f>
        <v>SCBRM4433981.2. Switch-in</v>
      </c>
    </row>
    <row r="634" spans="1:9" x14ac:dyDescent="0.2">
      <c r="A634" t="s">
        <v>444</v>
      </c>
      <c r="B634" t="s">
        <v>23</v>
      </c>
      <c r="C634" s="147">
        <v>43399</v>
      </c>
      <c r="D634" t="s">
        <v>382</v>
      </c>
      <c r="E634">
        <v>33075010.34</v>
      </c>
      <c r="F634" t="s">
        <v>330</v>
      </c>
      <c r="G634" t="s">
        <v>383</v>
      </c>
      <c r="H634">
        <v>181025160005</v>
      </c>
      <c r="I634" t="str">
        <f>CashIntraTable[Portfolio]&amp;VALUE(CashIntraTable[Cash Date])&amp;CashIntraTable[Detail]</f>
        <v>SCBRM4433991.2. Switch-in</v>
      </c>
    </row>
    <row r="635" spans="1:9" x14ac:dyDescent="0.2">
      <c r="A635" t="s">
        <v>444</v>
      </c>
      <c r="B635" t="s">
        <v>23</v>
      </c>
      <c r="C635" s="147">
        <v>43402</v>
      </c>
      <c r="D635" t="s">
        <v>382</v>
      </c>
      <c r="E635">
        <v>32444820.82</v>
      </c>
      <c r="F635" t="s">
        <v>330</v>
      </c>
      <c r="G635" t="s">
        <v>383</v>
      </c>
      <c r="H635">
        <v>181025160005</v>
      </c>
      <c r="I635" t="str">
        <f>CashIntraTable[Portfolio]&amp;VALUE(CashIntraTable[Cash Date])&amp;CashIntraTable[Detail]</f>
        <v>SCBRM4434021.2. Switch-in</v>
      </c>
    </row>
    <row r="636" spans="1:9" x14ac:dyDescent="0.2">
      <c r="A636" t="s">
        <v>444</v>
      </c>
      <c r="B636" t="s">
        <v>23</v>
      </c>
      <c r="C636" s="147">
        <v>43403</v>
      </c>
      <c r="D636" t="s">
        <v>382</v>
      </c>
      <c r="E636">
        <v>1541436.03</v>
      </c>
      <c r="F636" t="s">
        <v>330</v>
      </c>
      <c r="G636" t="s">
        <v>383</v>
      </c>
      <c r="H636">
        <v>181025160005</v>
      </c>
      <c r="I636" t="str">
        <f>CashIntraTable[Portfolio]&amp;VALUE(CashIntraTable[Cash Date])&amp;CashIntraTable[Detail]</f>
        <v>SCBRM4434031.2. Switch-in</v>
      </c>
    </row>
    <row r="637" spans="1:9" x14ac:dyDescent="0.2">
      <c r="A637" t="s">
        <v>444</v>
      </c>
      <c r="B637" t="s">
        <v>23</v>
      </c>
      <c r="C637" s="147">
        <v>43405</v>
      </c>
      <c r="D637" t="s">
        <v>382</v>
      </c>
      <c r="E637">
        <v>999.99</v>
      </c>
      <c r="F637" t="s">
        <v>330</v>
      </c>
      <c r="G637" t="s">
        <v>383</v>
      </c>
      <c r="H637">
        <v>181025160005</v>
      </c>
      <c r="I637" t="str">
        <f>CashIntraTable[Portfolio]&amp;VALUE(CashIntraTable[Cash Date])&amp;CashIntraTable[Detail]</f>
        <v>SCBRM4434051.2. Switch-in</v>
      </c>
    </row>
    <row r="638" spans="1:9" x14ac:dyDescent="0.2">
      <c r="A638" t="s">
        <v>444</v>
      </c>
      <c r="B638" t="s">
        <v>23</v>
      </c>
      <c r="C638" s="147">
        <v>43398</v>
      </c>
      <c r="D638" t="s">
        <v>382</v>
      </c>
      <c r="E638">
        <v>-797098.63</v>
      </c>
      <c r="F638" t="s">
        <v>331</v>
      </c>
      <c r="G638" t="s">
        <v>383</v>
      </c>
      <c r="H638">
        <v>181025160005</v>
      </c>
      <c r="I638" t="str">
        <f>CashIntraTable[Portfolio]&amp;VALUE(CashIntraTable[Cash Date])&amp;CashIntraTable[Detail]</f>
        <v>SCBRM4433982.1. Redemption</v>
      </c>
    </row>
    <row r="639" spans="1:9" x14ac:dyDescent="0.2">
      <c r="A639" t="s">
        <v>444</v>
      </c>
      <c r="B639" t="s">
        <v>23</v>
      </c>
      <c r="C639" s="147">
        <v>43399</v>
      </c>
      <c r="D639" t="s">
        <v>382</v>
      </c>
      <c r="E639">
        <v>-583278.97</v>
      </c>
      <c r="F639" t="s">
        <v>331</v>
      </c>
      <c r="G639" t="s">
        <v>383</v>
      </c>
      <c r="H639">
        <v>181025160005</v>
      </c>
      <c r="I639" t="str">
        <f>CashIntraTable[Portfolio]&amp;VALUE(CashIntraTable[Cash Date])&amp;CashIntraTable[Detail]</f>
        <v>SCBRM4433992.1. Redemption</v>
      </c>
    </row>
    <row r="640" spans="1:9" x14ac:dyDescent="0.2">
      <c r="A640" t="s">
        <v>444</v>
      </c>
      <c r="B640" t="s">
        <v>23</v>
      </c>
      <c r="C640" s="147">
        <v>43402</v>
      </c>
      <c r="D640" t="s">
        <v>382</v>
      </c>
      <c r="E640">
        <v>-535939.43000000005</v>
      </c>
      <c r="F640" t="s">
        <v>331</v>
      </c>
      <c r="G640" t="s">
        <v>383</v>
      </c>
      <c r="H640">
        <v>181025160005</v>
      </c>
      <c r="I640" t="str">
        <f>CashIntraTable[Portfolio]&amp;VALUE(CashIntraTable[Cash Date])&amp;CashIntraTable[Detail]</f>
        <v>SCBRM4434022.1. Redemption</v>
      </c>
    </row>
    <row r="641" spans="1:9" x14ac:dyDescent="0.2">
      <c r="A641" t="s">
        <v>444</v>
      </c>
      <c r="B641" t="s">
        <v>23</v>
      </c>
      <c r="C641" s="147">
        <v>43398</v>
      </c>
      <c r="D641" t="s">
        <v>382</v>
      </c>
      <c r="E641">
        <v>-1631683.88</v>
      </c>
      <c r="F641" t="s">
        <v>332</v>
      </c>
      <c r="G641" t="s">
        <v>383</v>
      </c>
      <c r="H641">
        <v>181025160005</v>
      </c>
      <c r="I641" t="str">
        <f>CashIntraTable[Portfolio]&amp;VALUE(CashIntraTable[Cash Date])&amp;CashIntraTable[Detail]</f>
        <v>SCBRM4433982.2. Switch-out</v>
      </c>
    </row>
    <row r="642" spans="1:9" x14ac:dyDescent="0.2">
      <c r="A642" t="s">
        <v>444</v>
      </c>
      <c r="B642" t="s">
        <v>23</v>
      </c>
      <c r="C642" s="147">
        <v>43399</v>
      </c>
      <c r="D642" t="s">
        <v>382</v>
      </c>
      <c r="E642">
        <v>-8022175.3899999997</v>
      </c>
      <c r="F642" t="s">
        <v>332</v>
      </c>
      <c r="G642" t="s">
        <v>383</v>
      </c>
      <c r="H642">
        <v>181025160005</v>
      </c>
      <c r="I642" t="str">
        <f>CashIntraTable[Portfolio]&amp;VALUE(CashIntraTable[Cash Date])&amp;CashIntraTable[Detail]</f>
        <v>SCBRM4433992.2. Switch-out</v>
      </c>
    </row>
    <row r="643" spans="1:9" x14ac:dyDescent="0.2">
      <c r="A643" t="s">
        <v>444</v>
      </c>
      <c r="B643" t="s">
        <v>23</v>
      </c>
      <c r="C643" s="147">
        <v>43402</v>
      </c>
      <c r="D643" t="s">
        <v>382</v>
      </c>
      <c r="E643">
        <v>-5776884.6699999999</v>
      </c>
      <c r="F643" t="s">
        <v>332</v>
      </c>
      <c r="G643" t="s">
        <v>383</v>
      </c>
      <c r="H643">
        <v>181025160005</v>
      </c>
      <c r="I643" t="str">
        <f>CashIntraTable[Portfolio]&amp;VALUE(CashIntraTable[Cash Date])&amp;CashIntraTable[Detail]</f>
        <v>SCBRM4434022.2. Switch-out</v>
      </c>
    </row>
    <row r="644" spans="1:9" x14ac:dyDescent="0.2">
      <c r="A644" t="s">
        <v>445</v>
      </c>
      <c r="B644" t="s">
        <v>23</v>
      </c>
      <c r="C644" s="147">
        <v>43398</v>
      </c>
      <c r="D644" t="s">
        <v>382</v>
      </c>
      <c r="E644">
        <v>3000</v>
      </c>
      <c r="F644" t="s">
        <v>329</v>
      </c>
      <c r="G644" t="s">
        <v>383</v>
      </c>
      <c r="H644">
        <v>181025160005</v>
      </c>
      <c r="I644" t="str">
        <f>CashIntraTable[Portfolio]&amp;VALUE(CashIntraTable[Cash Date])&amp;CashIntraTable[Detail]</f>
        <v>SCBRMEU433981.1. Subscription</v>
      </c>
    </row>
    <row r="645" spans="1:9" x14ac:dyDescent="0.2">
      <c r="A645" t="s">
        <v>445</v>
      </c>
      <c r="B645" t="s">
        <v>23</v>
      </c>
      <c r="C645" s="147">
        <v>43399</v>
      </c>
      <c r="D645" t="s">
        <v>382</v>
      </c>
      <c r="E645">
        <v>42000</v>
      </c>
      <c r="F645" t="s">
        <v>329</v>
      </c>
      <c r="G645" t="s">
        <v>383</v>
      </c>
      <c r="H645">
        <v>181025160005</v>
      </c>
      <c r="I645" t="str">
        <f>CashIntraTable[Portfolio]&amp;VALUE(CashIntraTable[Cash Date])&amp;CashIntraTable[Detail]</f>
        <v>SCBRMEU433991.1. Subscription</v>
      </c>
    </row>
    <row r="646" spans="1:9" x14ac:dyDescent="0.2">
      <c r="A646" t="s">
        <v>445</v>
      </c>
      <c r="B646" t="s">
        <v>23</v>
      </c>
      <c r="C646" s="147">
        <v>43398</v>
      </c>
      <c r="D646" t="s">
        <v>382</v>
      </c>
      <c r="E646">
        <v>35000</v>
      </c>
      <c r="F646" t="s">
        <v>333</v>
      </c>
      <c r="G646" t="s">
        <v>383</v>
      </c>
      <c r="H646">
        <v>181025160005</v>
      </c>
      <c r="I646" t="str">
        <f>CashIntraTable[Portfolio]&amp;VALUE(CashIntraTable[Cash Date])&amp;CashIntraTable[Detail]</f>
        <v>SCBRMEU433981.1. Subscription (Chq)</v>
      </c>
    </row>
    <row r="647" spans="1:9" x14ac:dyDescent="0.2">
      <c r="A647" t="s">
        <v>445</v>
      </c>
      <c r="B647" t="s">
        <v>23</v>
      </c>
      <c r="C647" s="147">
        <v>43399</v>
      </c>
      <c r="D647" t="s">
        <v>382</v>
      </c>
      <c r="E647">
        <v>10000</v>
      </c>
      <c r="F647" t="s">
        <v>333</v>
      </c>
      <c r="G647" t="s">
        <v>383</v>
      </c>
      <c r="H647">
        <v>181025160005</v>
      </c>
      <c r="I647" t="str">
        <f>CashIntraTable[Portfolio]&amp;VALUE(CashIntraTable[Cash Date])&amp;CashIntraTable[Detail]</f>
        <v>SCBRMEU433991.1. Subscription (Chq)</v>
      </c>
    </row>
    <row r="648" spans="1:9" x14ac:dyDescent="0.2">
      <c r="A648" t="s">
        <v>445</v>
      </c>
      <c r="B648" t="s">
        <v>23</v>
      </c>
      <c r="C648" s="147">
        <v>43399</v>
      </c>
      <c r="D648" t="s">
        <v>382</v>
      </c>
      <c r="E648">
        <v>15000</v>
      </c>
      <c r="F648" t="s">
        <v>330</v>
      </c>
      <c r="G648" t="s">
        <v>383</v>
      </c>
      <c r="H648">
        <v>181025160005</v>
      </c>
      <c r="I648" t="str">
        <f>CashIntraTable[Portfolio]&amp;VALUE(CashIntraTable[Cash Date])&amp;CashIntraTable[Detail]</f>
        <v>SCBRMEU433991.2. Switch-in</v>
      </c>
    </row>
    <row r="649" spans="1:9" x14ac:dyDescent="0.2">
      <c r="A649" t="s">
        <v>445</v>
      </c>
      <c r="B649" t="s">
        <v>23</v>
      </c>
      <c r="C649" s="147">
        <v>43402</v>
      </c>
      <c r="D649" t="s">
        <v>382</v>
      </c>
      <c r="E649">
        <v>200660.69</v>
      </c>
      <c r="F649" t="s">
        <v>330</v>
      </c>
      <c r="G649" t="s">
        <v>383</v>
      </c>
      <c r="H649">
        <v>181025160005</v>
      </c>
      <c r="I649" t="str">
        <f>CashIntraTable[Portfolio]&amp;VALUE(CashIntraTable[Cash Date])&amp;CashIntraTable[Detail]</f>
        <v>SCBRMEU434021.2. Switch-in</v>
      </c>
    </row>
    <row r="650" spans="1:9" x14ac:dyDescent="0.2">
      <c r="A650" t="s">
        <v>446</v>
      </c>
      <c r="B650" t="s">
        <v>23</v>
      </c>
      <c r="C650" s="147">
        <v>43398</v>
      </c>
      <c r="D650" t="s">
        <v>382</v>
      </c>
      <c r="E650">
        <v>304000</v>
      </c>
      <c r="F650" t="s">
        <v>329</v>
      </c>
      <c r="G650" t="s">
        <v>383</v>
      </c>
      <c r="H650">
        <v>181025160005</v>
      </c>
      <c r="I650" t="str">
        <f>CashIntraTable[Portfolio]&amp;VALUE(CashIntraTable[Cash Date])&amp;CashIntraTable[Detail]</f>
        <v>SCBRMGHC433981.1. Subscription</v>
      </c>
    </row>
    <row r="651" spans="1:9" x14ac:dyDescent="0.2">
      <c r="A651" t="s">
        <v>446</v>
      </c>
      <c r="B651" t="s">
        <v>23</v>
      </c>
      <c r="C651" s="147">
        <v>43399</v>
      </c>
      <c r="D651" t="s">
        <v>382</v>
      </c>
      <c r="E651">
        <v>252000</v>
      </c>
      <c r="F651" t="s">
        <v>329</v>
      </c>
      <c r="G651" t="s">
        <v>383</v>
      </c>
      <c r="H651">
        <v>181025160005</v>
      </c>
      <c r="I651" t="str">
        <f>CashIntraTable[Portfolio]&amp;VALUE(CashIntraTable[Cash Date])&amp;CashIntraTable[Detail]</f>
        <v>SCBRMGHC433991.1. Subscription</v>
      </c>
    </row>
    <row r="652" spans="1:9" x14ac:dyDescent="0.2">
      <c r="A652" t="s">
        <v>446</v>
      </c>
      <c r="B652" t="s">
        <v>23</v>
      </c>
      <c r="C652" s="147">
        <v>43398</v>
      </c>
      <c r="D652" t="s">
        <v>382</v>
      </c>
      <c r="E652">
        <v>60000</v>
      </c>
      <c r="F652" t="s">
        <v>333</v>
      </c>
      <c r="G652" t="s">
        <v>383</v>
      </c>
      <c r="H652">
        <v>181025160005</v>
      </c>
      <c r="I652" t="str">
        <f>CashIntraTable[Portfolio]&amp;VALUE(CashIntraTable[Cash Date])&amp;CashIntraTable[Detail]</f>
        <v>SCBRMGHC433981.1. Subscription (Chq)</v>
      </c>
    </row>
    <row r="653" spans="1:9" x14ac:dyDescent="0.2">
      <c r="A653" t="s">
        <v>446</v>
      </c>
      <c r="B653" t="s">
        <v>23</v>
      </c>
      <c r="C653" s="147">
        <v>43399</v>
      </c>
      <c r="D653" t="s">
        <v>382</v>
      </c>
      <c r="E653">
        <v>128000</v>
      </c>
      <c r="F653" t="s">
        <v>333</v>
      </c>
      <c r="G653" t="s">
        <v>383</v>
      </c>
      <c r="H653">
        <v>181025160005</v>
      </c>
      <c r="I653" t="str">
        <f>CashIntraTable[Portfolio]&amp;VALUE(CashIntraTable[Cash Date])&amp;CashIntraTable[Detail]</f>
        <v>SCBRMGHC433991.1. Subscription (Chq)</v>
      </c>
    </row>
    <row r="654" spans="1:9" x14ac:dyDescent="0.2">
      <c r="A654" t="s">
        <v>446</v>
      </c>
      <c r="B654" t="s">
        <v>23</v>
      </c>
      <c r="C654" s="147">
        <v>43402</v>
      </c>
      <c r="D654" t="s">
        <v>382</v>
      </c>
      <c r="E654">
        <v>189947.15</v>
      </c>
      <c r="F654" t="s">
        <v>330</v>
      </c>
      <c r="G654" t="s">
        <v>383</v>
      </c>
      <c r="H654">
        <v>181025160005</v>
      </c>
      <c r="I654" t="str">
        <f>CashIntraTable[Portfolio]&amp;VALUE(CashIntraTable[Cash Date])&amp;CashIntraTable[Detail]</f>
        <v>SCBRMGHC434021.2. Switch-in</v>
      </c>
    </row>
    <row r="655" spans="1:9" x14ac:dyDescent="0.2">
      <c r="A655" t="s">
        <v>446</v>
      </c>
      <c r="B655" t="s">
        <v>23</v>
      </c>
      <c r="C655" s="147">
        <v>43398</v>
      </c>
      <c r="D655" t="s">
        <v>382</v>
      </c>
      <c r="E655">
        <v>-120286.16</v>
      </c>
      <c r="F655" t="s">
        <v>332</v>
      </c>
      <c r="G655" t="s">
        <v>383</v>
      </c>
      <c r="H655">
        <v>181025160005</v>
      </c>
      <c r="I655" t="str">
        <f>CashIntraTable[Portfolio]&amp;VALUE(CashIntraTable[Cash Date])&amp;CashIntraTable[Detail]</f>
        <v>SCBRMGHC433982.2. Switch-out</v>
      </c>
    </row>
    <row r="656" spans="1:9" x14ac:dyDescent="0.2">
      <c r="A656" t="s">
        <v>446</v>
      </c>
      <c r="B656" t="s">
        <v>23</v>
      </c>
      <c r="C656" s="147">
        <v>43402</v>
      </c>
      <c r="D656" t="s">
        <v>382</v>
      </c>
      <c r="E656">
        <v>-7500</v>
      </c>
      <c r="F656" t="s">
        <v>332</v>
      </c>
      <c r="G656" t="s">
        <v>383</v>
      </c>
      <c r="H656">
        <v>181025160005</v>
      </c>
      <c r="I656" t="str">
        <f>CashIntraTable[Portfolio]&amp;VALUE(CashIntraTable[Cash Date])&amp;CashIntraTable[Detail]</f>
        <v>SCBRMGHC434022.2. Switch-out</v>
      </c>
    </row>
    <row r="657" spans="1:9" x14ac:dyDescent="0.2">
      <c r="A657" t="s">
        <v>446</v>
      </c>
      <c r="B657" t="s">
        <v>23</v>
      </c>
      <c r="C657" s="147">
        <v>43405</v>
      </c>
      <c r="D657" t="s">
        <v>382</v>
      </c>
      <c r="E657">
        <v>-10769.19</v>
      </c>
      <c r="F657" t="s">
        <v>332</v>
      </c>
      <c r="G657" t="s">
        <v>383</v>
      </c>
      <c r="H657">
        <v>181025160005</v>
      </c>
      <c r="I657" t="str">
        <f>CashIntraTable[Portfolio]&amp;VALUE(CashIntraTable[Cash Date])&amp;CashIntraTable[Detail]</f>
        <v>SCBRMGHC434052.2. Switch-out</v>
      </c>
    </row>
    <row r="658" spans="1:9" x14ac:dyDescent="0.2">
      <c r="A658" t="s">
        <v>447</v>
      </c>
      <c r="B658" t="s">
        <v>23</v>
      </c>
      <c r="C658" s="147">
        <v>43398</v>
      </c>
      <c r="D658" t="s">
        <v>382</v>
      </c>
      <c r="E658">
        <v>6000</v>
      </c>
      <c r="F658" t="s">
        <v>329</v>
      </c>
      <c r="G658" t="s">
        <v>383</v>
      </c>
      <c r="H658">
        <v>181025160005</v>
      </c>
      <c r="I658" t="str">
        <f>CashIntraTable[Portfolio]&amp;VALUE(CashIntraTable[Cash Date])&amp;CashIntraTable[Detail]</f>
        <v>SCBRMGIF433981.1. Subscription</v>
      </c>
    </row>
    <row r="659" spans="1:9" x14ac:dyDescent="0.2">
      <c r="A659" t="s">
        <v>447</v>
      </c>
      <c r="B659" t="s">
        <v>23</v>
      </c>
      <c r="C659" s="147">
        <v>43399</v>
      </c>
      <c r="D659" t="s">
        <v>382</v>
      </c>
      <c r="E659">
        <v>470000</v>
      </c>
      <c r="F659" t="s">
        <v>329</v>
      </c>
      <c r="G659" t="s">
        <v>383</v>
      </c>
      <c r="H659">
        <v>181025160005</v>
      </c>
      <c r="I659" t="str">
        <f>CashIntraTable[Portfolio]&amp;VALUE(CashIntraTable[Cash Date])&amp;CashIntraTable[Detail]</f>
        <v>SCBRMGIF433991.1. Subscription</v>
      </c>
    </row>
    <row r="660" spans="1:9" x14ac:dyDescent="0.2">
      <c r="A660" t="s">
        <v>447</v>
      </c>
      <c r="B660" t="s">
        <v>23</v>
      </c>
      <c r="C660" s="147">
        <v>43398</v>
      </c>
      <c r="D660" t="s">
        <v>382</v>
      </c>
      <c r="E660">
        <v>22500</v>
      </c>
      <c r="F660" t="s">
        <v>333</v>
      </c>
      <c r="G660" t="s">
        <v>383</v>
      </c>
      <c r="H660">
        <v>181025160005</v>
      </c>
      <c r="I660" t="str">
        <f>CashIntraTable[Portfolio]&amp;VALUE(CashIntraTable[Cash Date])&amp;CashIntraTable[Detail]</f>
        <v>SCBRMGIF433981.1. Subscription (Chq)</v>
      </c>
    </row>
    <row r="661" spans="1:9" x14ac:dyDescent="0.2">
      <c r="A661" t="s">
        <v>447</v>
      </c>
      <c r="B661" t="s">
        <v>23</v>
      </c>
      <c r="C661" s="147">
        <v>43399</v>
      </c>
      <c r="D661" t="s">
        <v>382</v>
      </c>
      <c r="E661">
        <v>245000</v>
      </c>
      <c r="F661" t="s">
        <v>333</v>
      </c>
      <c r="G661" t="s">
        <v>383</v>
      </c>
      <c r="H661">
        <v>181025160005</v>
      </c>
      <c r="I661" t="str">
        <f>CashIntraTable[Portfolio]&amp;VALUE(CashIntraTable[Cash Date])&amp;CashIntraTable[Detail]</f>
        <v>SCBRMGIF433991.1. Subscription (Chq)</v>
      </c>
    </row>
    <row r="662" spans="1:9" x14ac:dyDescent="0.2">
      <c r="A662" t="s">
        <v>447</v>
      </c>
      <c r="B662" t="s">
        <v>23</v>
      </c>
      <c r="C662" s="147">
        <v>43403</v>
      </c>
      <c r="D662" t="s">
        <v>382</v>
      </c>
      <c r="E662">
        <v>-20000</v>
      </c>
      <c r="F662" t="s">
        <v>332</v>
      </c>
      <c r="G662" t="s">
        <v>383</v>
      </c>
      <c r="H662">
        <v>181025160005</v>
      </c>
      <c r="I662" t="str">
        <f>CashIntraTable[Portfolio]&amp;VALUE(CashIntraTable[Cash Date])&amp;CashIntraTable[Detail]</f>
        <v>SCBRMGIF434032.2. Switch-out</v>
      </c>
    </row>
    <row r="663" spans="1:9" x14ac:dyDescent="0.2">
      <c r="A663" t="s">
        <v>448</v>
      </c>
      <c r="B663" t="s">
        <v>23</v>
      </c>
      <c r="C663" s="147">
        <v>43399</v>
      </c>
      <c r="D663" t="s">
        <v>382</v>
      </c>
      <c r="E663">
        <v>20000</v>
      </c>
      <c r="F663" t="s">
        <v>333</v>
      </c>
      <c r="G663" t="s">
        <v>383</v>
      </c>
      <c r="H663">
        <v>181025160005</v>
      </c>
      <c r="I663" t="str">
        <f>CashIntraTable[Portfolio]&amp;VALUE(CashIntraTable[Cash Date])&amp;CashIntraTable[Detail]</f>
        <v>SCBRMGW433991.1. Subscription (Chq)</v>
      </c>
    </row>
    <row r="664" spans="1:9" x14ac:dyDescent="0.2">
      <c r="A664" t="s">
        <v>448</v>
      </c>
      <c r="B664" t="s">
        <v>23</v>
      </c>
      <c r="C664" s="147">
        <v>43403</v>
      </c>
      <c r="D664" t="s">
        <v>382</v>
      </c>
      <c r="E664">
        <v>-30386.12</v>
      </c>
      <c r="F664" t="s">
        <v>332</v>
      </c>
      <c r="G664" t="s">
        <v>383</v>
      </c>
      <c r="H664">
        <v>181025160005</v>
      </c>
      <c r="I664" t="str">
        <f>CashIntraTable[Portfolio]&amp;VALUE(CashIntraTable[Cash Date])&amp;CashIntraTable[Detail]</f>
        <v>SCBRMGW434032.2. Switch-out</v>
      </c>
    </row>
    <row r="665" spans="1:9" x14ac:dyDescent="0.2">
      <c r="A665" t="s">
        <v>449</v>
      </c>
      <c r="B665" t="s">
        <v>23</v>
      </c>
      <c r="C665" s="147">
        <v>43398</v>
      </c>
      <c r="D665" t="s">
        <v>382</v>
      </c>
      <c r="E665">
        <v>1000</v>
      </c>
      <c r="F665" t="s">
        <v>329</v>
      </c>
      <c r="G665" t="s">
        <v>383</v>
      </c>
      <c r="H665">
        <v>181025160005</v>
      </c>
      <c r="I665" t="str">
        <f>CashIntraTable[Portfolio]&amp;VALUE(CashIntraTable[Cash Date])&amp;CashIntraTable[Detail]</f>
        <v>SCBRMGWP433981.1. Subscription</v>
      </c>
    </row>
    <row r="666" spans="1:9" x14ac:dyDescent="0.2">
      <c r="A666" t="s">
        <v>449</v>
      </c>
      <c r="B666" t="s">
        <v>23</v>
      </c>
      <c r="C666" s="147">
        <v>43399</v>
      </c>
      <c r="D666" t="s">
        <v>382</v>
      </c>
      <c r="E666">
        <v>1000</v>
      </c>
      <c r="F666" t="s">
        <v>329</v>
      </c>
      <c r="G666" t="s">
        <v>383</v>
      </c>
      <c r="H666">
        <v>181025160005</v>
      </c>
      <c r="I666" t="str">
        <f>CashIntraTable[Portfolio]&amp;VALUE(CashIntraTable[Cash Date])&amp;CashIntraTable[Detail]</f>
        <v>SCBRMGWP433991.1. Subscription</v>
      </c>
    </row>
    <row r="667" spans="1:9" x14ac:dyDescent="0.2">
      <c r="A667" t="s">
        <v>449</v>
      </c>
      <c r="B667" t="s">
        <v>23</v>
      </c>
      <c r="C667" s="147">
        <v>43398</v>
      </c>
      <c r="D667" t="s">
        <v>382</v>
      </c>
      <c r="E667">
        <v>11000</v>
      </c>
      <c r="F667" t="s">
        <v>333</v>
      </c>
      <c r="G667" t="s">
        <v>383</v>
      </c>
      <c r="H667">
        <v>181025160005</v>
      </c>
      <c r="I667" t="str">
        <f>CashIntraTable[Portfolio]&amp;VALUE(CashIntraTable[Cash Date])&amp;CashIntraTable[Detail]</f>
        <v>SCBRMGWP433981.1. Subscription (Chq)</v>
      </c>
    </row>
    <row r="668" spans="1:9" x14ac:dyDescent="0.2">
      <c r="A668" t="s">
        <v>449</v>
      </c>
      <c r="B668" t="s">
        <v>23</v>
      </c>
      <c r="C668" s="147">
        <v>43399</v>
      </c>
      <c r="D668" t="s">
        <v>382</v>
      </c>
      <c r="E668">
        <v>10000</v>
      </c>
      <c r="F668" t="s">
        <v>333</v>
      </c>
      <c r="G668" t="s">
        <v>383</v>
      </c>
      <c r="H668">
        <v>181025160005</v>
      </c>
      <c r="I668" t="str">
        <f>CashIntraTable[Portfolio]&amp;VALUE(CashIntraTable[Cash Date])&amp;CashIntraTable[Detail]</f>
        <v>SCBRMGWP433991.1. Subscription (Chq)</v>
      </c>
    </row>
    <row r="669" spans="1:9" x14ac:dyDescent="0.2">
      <c r="A669" t="s">
        <v>449</v>
      </c>
      <c r="B669" t="s">
        <v>23</v>
      </c>
      <c r="C669" s="147">
        <v>43398</v>
      </c>
      <c r="D669" t="s">
        <v>382</v>
      </c>
      <c r="E669">
        <v>40000</v>
      </c>
      <c r="F669" t="s">
        <v>330</v>
      </c>
      <c r="G669" t="s">
        <v>383</v>
      </c>
      <c r="H669">
        <v>181025160005</v>
      </c>
      <c r="I669" t="str">
        <f>CashIntraTable[Portfolio]&amp;VALUE(CashIntraTable[Cash Date])&amp;CashIntraTable[Detail]</f>
        <v>SCBRMGWP433981.2. Switch-in</v>
      </c>
    </row>
    <row r="670" spans="1:9" x14ac:dyDescent="0.2">
      <c r="A670" t="s">
        <v>449</v>
      </c>
      <c r="B670" t="s">
        <v>23</v>
      </c>
      <c r="C670" s="147">
        <v>43404</v>
      </c>
      <c r="D670" t="s">
        <v>382</v>
      </c>
      <c r="E670">
        <v>-9675.2999999999993</v>
      </c>
      <c r="F670" t="s">
        <v>331</v>
      </c>
      <c r="G670" t="s">
        <v>383</v>
      </c>
      <c r="H670">
        <v>181025160005</v>
      </c>
      <c r="I670" t="str">
        <f>CashIntraTable[Portfolio]&amp;VALUE(CashIntraTable[Cash Date])&amp;CashIntraTable[Detail]</f>
        <v>SCBRMGWP434042.1. Redemption</v>
      </c>
    </row>
    <row r="671" spans="1:9" x14ac:dyDescent="0.2">
      <c r="A671" t="s">
        <v>450</v>
      </c>
      <c r="B671" t="s">
        <v>23</v>
      </c>
      <c r="C671" s="147">
        <v>43398</v>
      </c>
      <c r="D671" t="s">
        <v>382</v>
      </c>
      <c r="E671">
        <v>25000</v>
      </c>
      <c r="F671" t="s">
        <v>329</v>
      </c>
      <c r="G671" t="s">
        <v>383</v>
      </c>
      <c r="H671">
        <v>181025160005</v>
      </c>
      <c r="I671" t="str">
        <f>CashIntraTable[Portfolio]&amp;VALUE(CashIntraTable[Cash Date])&amp;CashIntraTable[Detail]</f>
        <v>SCBRMJP433981.1. Subscription</v>
      </c>
    </row>
    <row r="672" spans="1:9" x14ac:dyDescent="0.2">
      <c r="A672" t="s">
        <v>450</v>
      </c>
      <c r="B672" t="s">
        <v>23</v>
      </c>
      <c r="C672" s="147">
        <v>43399</v>
      </c>
      <c r="D672" t="s">
        <v>382</v>
      </c>
      <c r="E672">
        <v>76000</v>
      </c>
      <c r="F672" t="s">
        <v>329</v>
      </c>
      <c r="G672" t="s">
        <v>383</v>
      </c>
      <c r="H672">
        <v>181025160005</v>
      </c>
      <c r="I672" t="str">
        <f>CashIntraTable[Portfolio]&amp;VALUE(CashIntraTable[Cash Date])&amp;CashIntraTable[Detail]</f>
        <v>SCBRMJP433991.1. Subscription</v>
      </c>
    </row>
    <row r="673" spans="1:9" x14ac:dyDescent="0.2">
      <c r="A673" t="s">
        <v>450</v>
      </c>
      <c r="B673" t="s">
        <v>23</v>
      </c>
      <c r="C673" s="147">
        <v>43398</v>
      </c>
      <c r="D673" t="s">
        <v>382</v>
      </c>
      <c r="E673">
        <v>77500</v>
      </c>
      <c r="F673" t="s">
        <v>333</v>
      </c>
      <c r="G673" t="s">
        <v>383</v>
      </c>
      <c r="H673">
        <v>181025160005</v>
      </c>
      <c r="I673" t="str">
        <f>CashIntraTable[Portfolio]&amp;VALUE(CashIntraTable[Cash Date])&amp;CashIntraTable[Detail]</f>
        <v>SCBRMJP433981.1. Subscription (Chq)</v>
      </c>
    </row>
    <row r="674" spans="1:9" x14ac:dyDescent="0.2">
      <c r="A674" t="s">
        <v>450</v>
      </c>
      <c r="B674" t="s">
        <v>23</v>
      </c>
      <c r="C674" s="147">
        <v>43399</v>
      </c>
      <c r="D674" t="s">
        <v>382</v>
      </c>
      <c r="E674">
        <v>287000</v>
      </c>
      <c r="F674" t="s">
        <v>333</v>
      </c>
      <c r="G674" t="s">
        <v>383</v>
      </c>
      <c r="H674">
        <v>181025160005</v>
      </c>
      <c r="I674" t="str">
        <f>CashIntraTable[Portfolio]&amp;VALUE(CashIntraTable[Cash Date])&amp;CashIntraTable[Detail]</f>
        <v>SCBRMJP433991.1. Subscription (Chq)</v>
      </c>
    </row>
    <row r="675" spans="1:9" x14ac:dyDescent="0.2">
      <c r="A675" t="s">
        <v>450</v>
      </c>
      <c r="B675" t="s">
        <v>23</v>
      </c>
      <c r="C675" s="147">
        <v>43398</v>
      </c>
      <c r="D675" t="s">
        <v>382</v>
      </c>
      <c r="E675">
        <v>295211.88</v>
      </c>
      <c r="F675" t="s">
        <v>330</v>
      </c>
      <c r="G675" t="s">
        <v>383</v>
      </c>
      <c r="H675">
        <v>181025160005</v>
      </c>
      <c r="I675" t="str">
        <f>CashIntraTable[Portfolio]&amp;VALUE(CashIntraTable[Cash Date])&amp;CashIntraTable[Detail]</f>
        <v>SCBRMJP433981.2. Switch-in</v>
      </c>
    </row>
    <row r="676" spans="1:9" x14ac:dyDescent="0.2">
      <c r="A676" t="s">
        <v>450</v>
      </c>
      <c r="B676" t="s">
        <v>23</v>
      </c>
      <c r="C676" s="147">
        <v>43399</v>
      </c>
      <c r="D676" t="s">
        <v>382</v>
      </c>
      <c r="E676">
        <v>2013770.01</v>
      </c>
      <c r="F676" t="s">
        <v>330</v>
      </c>
      <c r="G676" t="s">
        <v>383</v>
      </c>
      <c r="H676">
        <v>181025160005</v>
      </c>
      <c r="I676" t="str">
        <f>CashIntraTable[Portfolio]&amp;VALUE(CashIntraTable[Cash Date])&amp;CashIntraTable[Detail]</f>
        <v>SCBRMJP433991.2. Switch-in</v>
      </c>
    </row>
    <row r="677" spans="1:9" x14ac:dyDescent="0.2">
      <c r="A677" t="s">
        <v>450</v>
      </c>
      <c r="B677" t="s">
        <v>23</v>
      </c>
      <c r="C677" s="147">
        <v>43402</v>
      </c>
      <c r="D677" t="s">
        <v>382</v>
      </c>
      <c r="E677">
        <v>1472511.15</v>
      </c>
      <c r="F677" t="s">
        <v>330</v>
      </c>
      <c r="G677" t="s">
        <v>383</v>
      </c>
      <c r="H677">
        <v>181025160005</v>
      </c>
      <c r="I677" t="str">
        <f>CashIntraTable[Portfolio]&amp;VALUE(CashIntraTable[Cash Date])&amp;CashIntraTable[Detail]</f>
        <v>SCBRMJP434021.2. Switch-in</v>
      </c>
    </row>
    <row r="678" spans="1:9" x14ac:dyDescent="0.2">
      <c r="A678" t="s">
        <v>450</v>
      </c>
      <c r="B678" t="s">
        <v>23</v>
      </c>
      <c r="C678" s="147">
        <v>43403</v>
      </c>
      <c r="D678" t="s">
        <v>382</v>
      </c>
      <c r="E678">
        <v>50000</v>
      </c>
      <c r="F678" t="s">
        <v>330</v>
      </c>
      <c r="G678" t="s">
        <v>383</v>
      </c>
      <c r="H678">
        <v>181025160005</v>
      </c>
      <c r="I678" t="str">
        <f>CashIntraTable[Portfolio]&amp;VALUE(CashIntraTable[Cash Date])&amp;CashIntraTable[Detail]</f>
        <v>SCBRMJP434031.2. Switch-in</v>
      </c>
    </row>
    <row r="679" spans="1:9" x14ac:dyDescent="0.2">
      <c r="A679" t="s">
        <v>450</v>
      </c>
      <c r="B679" t="s">
        <v>23</v>
      </c>
      <c r="C679" s="147">
        <v>43398</v>
      </c>
      <c r="D679" t="s">
        <v>382</v>
      </c>
      <c r="E679">
        <v>-871828.64</v>
      </c>
      <c r="F679" t="s">
        <v>332</v>
      </c>
      <c r="G679" t="s">
        <v>383</v>
      </c>
      <c r="H679">
        <v>181025160005</v>
      </c>
      <c r="I679" t="str">
        <f>CashIntraTable[Portfolio]&amp;VALUE(CashIntraTable[Cash Date])&amp;CashIntraTable[Detail]</f>
        <v>SCBRMJP433982.2. Switch-out</v>
      </c>
    </row>
    <row r="680" spans="1:9" x14ac:dyDescent="0.2">
      <c r="A680" t="s">
        <v>450</v>
      </c>
      <c r="B680" t="s">
        <v>23</v>
      </c>
      <c r="C680" s="147">
        <v>43402</v>
      </c>
      <c r="D680" t="s">
        <v>382</v>
      </c>
      <c r="E680">
        <v>-1002353.33</v>
      </c>
      <c r="F680" t="s">
        <v>332</v>
      </c>
      <c r="G680" t="s">
        <v>383</v>
      </c>
      <c r="H680">
        <v>181025160005</v>
      </c>
      <c r="I680" t="str">
        <f>CashIntraTable[Portfolio]&amp;VALUE(CashIntraTable[Cash Date])&amp;CashIntraTable[Detail]</f>
        <v>SCBRMJP434022.2. Switch-out</v>
      </c>
    </row>
    <row r="681" spans="1:9" x14ac:dyDescent="0.2">
      <c r="A681" t="s">
        <v>450</v>
      </c>
      <c r="B681" t="s">
        <v>23</v>
      </c>
      <c r="C681" s="147">
        <v>43403</v>
      </c>
      <c r="D681" t="s">
        <v>382</v>
      </c>
      <c r="E681">
        <v>-1114913.78</v>
      </c>
      <c r="F681" t="s">
        <v>332</v>
      </c>
      <c r="G681" t="s">
        <v>383</v>
      </c>
      <c r="H681">
        <v>181025160005</v>
      </c>
      <c r="I681" t="str">
        <f>CashIntraTable[Portfolio]&amp;VALUE(CashIntraTable[Cash Date])&amp;CashIntraTable[Detail]</f>
        <v>SCBRMJP434032.2. Switch-out</v>
      </c>
    </row>
    <row r="682" spans="1:9" x14ac:dyDescent="0.2">
      <c r="A682" t="s">
        <v>451</v>
      </c>
      <c r="B682" t="s">
        <v>23</v>
      </c>
      <c r="C682" s="147">
        <v>43398</v>
      </c>
      <c r="D682" t="s">
        <v>382</v>
      </c>
      <c r="E682">
        <v>2000</v>
      </c>
      <c r="F682" t="s">
        <v>329</v>
      </c>
      <c r="G682" t="s">
        <v>383</v>
      </c>
      <c r="H682">
        <v>181025160005</v>
      </c>
      <c r="I682" t="str">
        <f>CashIntraTable[Portfolio]&amp;VALUE(CashIntraTable[Cash Date])&amp;CashIntraTable[Detail]</f>
        <v>SCBRMPOP433981.1. Subscription</v>
      </c>
    </row>
    <row r="683" spans="1:9" x14ac:dyDescent="0.2">
      <c r="A683" t="s">
        <v>451</v>
      </c>
      <c r="B683" t="s">
        <v>23</v>
      </c>
      <c r="C683" s="147">
        <v>43399</v>
      </c>
      <c r="D683" t="s">
        <v>382</v>
      </c>
      <c r="E683">
        <v>22000</v>
      </c>
      <c r="F683" t="s">
        <v>329</v>
      </c>
      <c r="G683" t="s">
        <v>383</v>
      </c>
      <c r="H683">
        <v>181025160005</v>
      </c>
      <c r="I683" t="str">
        <f>CashIntraTable[Portfolio]&amp;VALUE(CashIntraTable[Cash Date])&amp;CashIntraTable[Detail]</f>
        <v>SCBRMPOP433991.1. Subscription</v>
      </c>
    </row>
    <row r="684" spans="1:9" x14ac:dyDescent="0.2">
      <c r="A684" t="s">
        <v>451</v>
      </c>
      <c r="B684" t="s">
        <v>23</v>
      </c>
      <c r="C684" s="147">
        <v>43398</v>
      </c>
      <c r="D684" t="s">
        <v>382</v>
      </c>
      <c r="E684">
        <v>132500</v>
      </c>
      <c r="F684" t="s">
        <v>333</v>
      </c>
      <c r="G684" t="s">
        <v>383</v>
      </c>
      <c r="H684">
        <v>181025160005</v>
      </c>
      <c r="I684" t="str">
        <f>CashIntraTable[Portfolio]&amp;VALUE(CashIntraTable[Cash Date])&amp;CashIntraTable[Detail]</f>
        <v>SCBRMPOP433981.1. Subscription (Chq)</v>
      </c>
    </row>
    <row r="685" spans="1:9" x14ac:dyDescent="0.2">
      <c r="A685" t="s">
        <v>451</v>
      </c>
      <c r="B685" t="s">
        <v>23</v>
      </c>
      <c r="C685" s="147">
        <v>43399</v>
      </c>
      <c r="D685" t="s">
        <v>382</v>
      </c>
      <c r="E685">
        <v>31000</v>
      </c>
      <c r="F685" t="s">
        <v>333</v>
      </c>
      <c r="G685" t="s">
        <v>383</v>
      </c>
      <c r="H685">
        <v>181025160005</v>
      </c>
      <c r="I685" t="str">
        <f>CashIntraTable[Portfolio]&amp;VALUE(CashIntraTable[Cash Date])&amp;CashIntraTable[Detail]</f>
        <v>SCBRMPOP433991.1. Subscription (Chq)</v>
      </c>
    </row>
    <row r="686" spans="1:9" x14ac:dyDescent="0.2">
      <c r="A686" t="s">
        <v>451</v>
      </c>
      <c r="B686" t="s">
        <v>23</v>
      </c>
      <c r="C686" s="147">
        <v>43398</v>
      </c>
      <c r="D686" t="s">
        <v>382</v>
      </c>
      <c r="E686">
        <v>10000</v>
      </c>
      <c r="F686" t="s">
        <v>330</v>
      </c>
      <c r="G686" t="s">
        <v>383</v>
      </c>
      <c r="H686">
        <v>181025160005</v>
      </c>
      <c r="I686" t="str">
        <f>CashIntraTable[Portfolio]&amp;VALUE(CashIntraTable[Cash Date])&amp;CashIntraTable[Detail]</f>
        <v>SCBRMPOP433981.2. Switch-in</v>
      </c>
    </row>
    <row r="687" spans="1:9" x14ac:dyDescent="0.2">
      <c r="A687" t="s">
        <v>451</v>
      </c>
      <c r="B687" t="s">
        <v>23</v>
      </c>
      <c r="C687" s="147">
        <v>43399</v>
      </c>
      <c r="D687" t="s">
        <v>382</v>
      </c>
      <c r="E687">
        <v>15000</v>
      </c>
      <c r="F687" t="s">
        <v>330</v>
      </c>
      <c r="G687" t="s">
        <v>383</v>
      </c>
      <c r="H687">
        <v>181025160005</v>
      </c>
      <c r="I687" t="str">
        <f>CashIntraTable[Portfolio]&amp;VALUE(CashIntraTable[Cash Date])&amp;CashIntraTable[Detail]</f>
        <v>SCBRMPOP433991.2. Switch-in</v>
      </c>
    </row>
    <row r="688" spans="1:9" x14ac:dyDescent="0.2">
      <c r="A688" t="s">
        <v>451</v>
      </c>
      <c r="B688" t="s">
        <v>23</v>
      </c>
      <c r="C688" s="147">
        <v>43402</v>
      </c>
      <c r="D688" t="s">
        <v>382</v>
      </c>
      <c r="E688">
        <v>10000</v>
      </c>
      <c r="F688" t="s">
        <v>330</v>
      </c>
      <c r="G688" t="s">
        <v>383</v>
      </c>
      <c r="H688">
        <v>181025160005</v>
      </c>
      <c r="I688" t="str">
        <f>CashIntraTable[Portfolio]&amp;VALUE(CashIntraTable[Cash Date])&amp;CashIntraTable[Detail]</f>
        <v>SCBRMPOP434021.2. Switch-in</v>
      </c>
    </row>
    <row r="689" spans="1:9" x14ac:dyDescent="0.2">
      <c r="A689" t="s">
        <v>451</v>
      </c>
      <c r="B689" t="s">
        <v>23</v>
      </c>
      <c r="C689" s="147">
        <v>43399</v>
      </c>
      <c r="D689" t="s">
        <v>382</v>
      </c>
      <c r="E689">
        <v>-83264.960000000006</v>
      </c>
      <c r="F689" t="s">
        <v>332</v>
      </c>
      <c r="G689" t="s">
        <v>383</v>
      </c>
      <c r="H689">
        <v>181025160005</v>
      </c>
      <c r="I689" t="str">
        <f>CashIntraTable[Portfolio]&amp;VALUE(CashIntraTable[Cash Date])&amp;CashIntraTable[Detail]</f>
        <v>SCBRMPOP433992.2. Switch-out</v>
      </c>
    </row>
    <row r="690" spans="1:9" x14ac:dyDescent="0.2">
      <c r="A690" t="s">
        <v>451</v>
      </c>
      <c r="B690" t="s">
        <v>23</v>
      </c>
      <c r="C690" s="147">
        <v>43403</v>
      </c>
      <c r="D690" t="s">
        <v>382</v>
      </c>
      <c r="E690">
        <v>-313710.18</v>
      </c>
      <c r="F690" t="s">
        <v>332</v>
      </c>
      <c r="G690" t="s">
        <v>383</v>
      </c>
      <c r="H690">
        <v>181025160005</v>
      </c>
      <c r="I690" t="str">
        <f>CashIntraTable[Portfolio]&amp;VALUE(CashIntraTable[Cash Date])&amp;CashIntraTable[Detail]</f>
        <v>SCBRMPOP434032.2. Switch-out</v>
      </c>
    </row>
    <row r="691" spans="1:9" x14ac:dyDescent="0.2">
      <c r="A691" t="s">
        <v>452</v>
      </c>
      <c r="B691" t="s">
        <v>23</v>
      </c>
      <c r="C691" s="147">
        <v>43398</v>
      </c>
      <c r="D691" t="s">
        <v>382</v>
      </c>
      <c r="E691">
        <v>3102800</v>
      </c>
      <c r="F691" t="s">
        <v>329</v>
      </c>
      <c r="G691" t="s">
        <v>383</v>
      </c>
      <c r="H691">
        <v>181025160005</v>
      </c>
      <c r="I691" t="str">
        <f>CashIntraTable[Portfolio]&amp;VALUE(CashIntraTable[Cash Date])&amp;CashIntraTable[Detail]</f>
        <v>SCBRMS50433981.1. Subscription</v>
      </c>
    </row>
    <row r="692" spans="1:9" x14ac:dyDescent="0.2">
      <c r="A692" t="s">
        <v>452</v>
      </c>
      <c r="B692" t="s">
        <v>23</v>
      </c>
      <c r="C692" s="147">
        <v>43399</v>
      </c>
      <c r="D692" t="s">
        <v>382</v>
      </c>
      <c r="E692">
        <v>3344193</v>
      </c>
      <c r="F692" t="s">
        <v>329</v>
      </c>
      <c r="G692" t="s">
        <v>383</v>
      </c>
      <c r="H692">
        <v>181025160005</v>
      </c>
      <c r="I692" t="str">
        <f>CashIntraTable[Portfolio]&amp;VALUE(CashIntraTable[Cash Date])&amp;CashIntraTable[Detail]</f>
        <v>SCBRMS50433991.1. Subscription</v>
      </c>
    </row>
    <row r="693" spans="1:9" x14ac:dyDescent="0.2">
      <c r="A693" t="s">
        <v>452</v>
      </c>
      <c r="B693" t="s">
        <v>23</v>
      </c>
      <c r="C693" s="147">
        <v>43398</v>
      </c>
      <c r="D693" t="s">
        <v>382</v>
      </c>
      <c r="E693">
        <v>4834875</v>
      </c>
      <c r="F693" t="s">
        <v>333</v>
      </c>
      <c r="G693" t="s">
        <v>383</v>
      </c>
      <c r="H693">
        <v>181025160005</v>
      </c>
      <c r="I693" t="str">
        <f>CashIntraTable[Portfolio]&amp;VALUE(CashIntraTable[Cash Date])&amp;CashIntraTable[Detail]</f>
        <v>SCBRMS50433981.1. Subscription (Chq)</v>
      </c>
    </row>
    <row r="694" spans="1:9" x14ac:dyDescent="0.2">
      <c r="A694" t="s">
        <v>452</v>
      </c>
      <c r="B694" t="s">
        <v>23</v>
      </c>
      <c r="C694" s="147">
        <v>43399</v>
      </c>
      <c r="D694" t="s">
        <v>382</v>
      </c>
      <c r="E694">
        <v>3330200</v>
      </c>
      <c r="F694" t="s">
        <v>333</v>
      </c>
      <c r="G694" t="s">
        <v>383</v>
      </c>
      <c r="H694">
        <v>181025160005</v>
      </c>
      <c r="I694" t="str">
        <f>CashIntraTable[Portfolio]&amp;VALUE(CashIntraTable[Cash Date])&amp;CashIntraTable[Detail]</f>
        <v>SCBRMS50433991.1. Subscription (Chq)</v>
      </c>
    </row>
    <row r="695" spans="1:9" x14ac:dyDescent="0.2">
      <c r="A695" t="s">
        <v>452</v>
      </c>
      <c r="B695" t="s">
        <v>23</v>
      </c>
      <c r="C695" s="147">
        <v>43398</v>
      </c>
      <c r="D695" t="s">
        <v>382</v>
      </c>
      <c r="E695">
        <v>4672232.99</v>
      </c>
      <c r="F695" t="s">
        <v>330</v>
      </c>
      <c r="G695" t="s">
        <v>383</v>
      </c>
      <c r="H695">
        <v>181025160005</v>
      </c>
      <c r="I695" t="str">
        <f>CashIntraTable[Portfolio]&amp;VALUE(CashIntraTable[Cash Date])&amp;CashIntraTable[Detail]</f>
        <v>SCBRMS50433981.2. Switch-in</v>
      </c>
    </row>
    <row r="696" spans="1:9" x14ac:dyDescent="0.2">
      <c r="A696" t="s">
        <v>452</v>
      </c>
      <c r="B696" t="s">
        <v>23</v>
      </c>
      <c r="C696" s="147">
        <v>43399</v>
      </c>
      <c r="D696" t="s">
        <v>382</v>
      </c>
      <c r="E696">
        <v>13036002.119999999</v>
      </c>
      <c r="F696" t="s">
        <v>330</v>
      </c>
      <c r="G696" t="s">
        <v>383</v>
      </c>
      <c r="H696">
        <v>181025160005</v>
      </c>
      <c r="I696" t="str">
        <f>CashIntraTable[Portfolio]&amp;VALUE(CashIntraTable[Cash Date])&amp;CashIntraTable[Detail]</f>
        <v>SCBRMS50433991.2. Switch-in</v>
      </c>
    </row>
    <row r="697" spans="1:9" x14ac:dyDescent="0.2">
      <c r="A697" t="s">
        <v>452</v>
      </c>
      <c r="B697" t="s">
        <v>23</v>
      </c>
      <c r="C697" s="147">
        <v>43402</v>
      </c>
      <c r="D697" t="s">
        <v>382</v>
      </c>
      <c r="E697">
        <v>26456784.920000002</v>
      </c>
      <c r="F697" t="s">
        <v>330</v>
      </c>
      <c r="G697" t="s">
        <v>383</v>
      </c>
      <c r="H697">
        <v>181025160005</v>
      </c>
      <c r="I697" t="str">
        <f>CashIntraTable[Portfolio]&amp;VALUE(CashIntraTable[Cash Date])&amp;CashIntraTable[Detail]</f>
        <v>SCBRMS50434021.2. Switch-in</v>
      </c>
    </row>
    <row r="698" spans="1:9" x14ac:dyDescent="0.2">
      <c r="A698" t="s">
        <v>452</v>
      </c>
      <c r="B698" t="s">
        <v>23</v>
      </c>
      <c r="C698" s="147">
        <v>43403</v>
      </c>
      <c r="D698" t="s">
        <v>382</v>
      </c>
      <c r="E698">
        <v>547112.28</v>
      </c>
      <c r="F698" t="s">
        <v>330</v>
      </c>
      <c r="G698" t="s">
        <v>383</v>
      </c>
      <c r="H698">
        <v>181025160005</v>
      </c>
      <c r="I698" t="str">
        <f>CashIntraTable[Portfolio]&amp;VALUE(CashIntraTable[Cash Date])&amp;CashIntraTable[Detail]</f>
        <v>SCBRMS50434031.2. Switch-in</v>
      </c>
    </row>
    <row r="699" spans="1:9" x14ac:dyDescent="0.2">
      <c r="A699" t="s">
        <v>452</v>
      </c>
      <c r="B699" t="s">
        <v>23</v>
      </c>
      <c r="C699" s="147">
        <v>43398</v>
      </c>
      <c r="D699" t="s">
        <v>382</v>
      </c>
      <c r="E699">
        <v>-222453.1</v>
      </c>
      <c r="F699" t="s">
        <v>331</v>
      </c>
      <c r="G699" t="s">
        <v>383</v>
      </c>
      <c r="H699">
        <v>181025160005</v>
      </c>
      <c r="I699" t="str">
        <f>CashIntraTable[Portfolio]&amp;VALUE(CashIntraTable[Cash Date])&amp;CashIntraTable[Detail]</f>
        <v>SCBRMS50433982.1. Redemption</v>
      </c>
    </row>
    <row r="700" spans="1:9" x14ac:dyDescent="0.2">
      <c r="A700" t="s">
        <v>452</v>
      </c>
      <c r="B700" t="s">
        <v>23</v>
      </c>
      <c r="C700" s="147">
        <v>43399</v>
      </c>
      <c r="D700" t="s">
        <v>382</v>
      </c>
      <c r="E700">
        <v>-9608.92</v>
      </c>
      <c r="F700" t="s">
        <v>331</v>
      </c>
      <c r="G700" t="s">
        <v>383</v>
      </c>
      <c r="H700">
        <v>181025160005</v>
      </c>
      <c r="I700" t="str">
        <f>CashIntraTable[Portfolio]&amp;VALUE(CashIntraTable[Cash Date])&amp;CashIntraTable[Detail]</f>
        <v>SCBRMS50433992.1. Redemption</v>
      </c>
    </row>
    <row r="701" spans="1:9" x14ac:dyDescent="0.2">
      <c r="A701" t="s">
        <v>452</v>
      </c>
      <c r="B701" t="s">
        <v>23</v>
      </c>
      <c r="C701" s="147">
        <v>43398</v>
      </c>
      <c r="D701" t="s">
        <v>382</v>
      </c>
      <c r="E701">
        <v>-1540618.99</v>
      </c>
      <c r="F701" t="s">
        <v>332</v>
      </c>
      <c r="G701" t="s">
        <v>383</v>
      </c>
      <c r="H701">
        <v>181025160005</v>
      </c>
      <c r="I701" t="str">
        <f>CashIntraTable[Portfolio]&amp;VALUE(CashIntraTable[Cash Date])&amp;CashIntraTable[Detail]</f>
        <v>SCBRMS50433982.2. Switch-out</v>
      </c>
    </row>
    <row r="702" spans="1:9" x14ac:dyDescent="0.2">
      <c r="A702" t="s">
        <v>452</v>
      </c>
      <c r="B702" t="s">
        <v>23</v>
      </c>
      <c r="C702" s="147">
        <v>43399</v>
      </c>
      <c r="D702" t="s">
        <v>382</v>
      </c>
      <c r="E702">
        <v>-11228944.109999999</v>
      </c>
      <c r="F702" t="s">
        <v>332</v>
      </c>
      <c r="G702" t="s">
        <v>383</v>
      </c>
      <c r="H702">
        <v>181025160005</v>
      </c>
      <c r="I702" t="str">
        <f>CashIntraTable[Portfolio]&amp;VALUE(CashIntraTable[Cash Date])&amp;CashIntraTable[Detail]</f>
        <v>SCBRMS50433992.2. Switch-out</v>
      </c>
    </row>
    <row r="703" spans="1:9" x14ac:dyDescent="0.2">
      <c r="A703" t="s">
        <v>452</v>
      </c>
      <c r="B703" t="s">
        <v>23</v>
      </c>
      <c r="C703" s="147">
        <v>43402</v>
      </c>
      <c r="D703" t="s">
        <v>382</v>
      </c>
      <c r="E703">
        <v>-6887373.71</v>
      </c>
      <c r="F703" t="s">
        <v>332</v>
      </c>
      <c r="G703" t="s">
        <v>383</v>
      </c>
      <c r="H703">
        <v>181025160005</v>
      </c>
      <c r="I703" t="str">
        <f>CashIntraTable[Portfolio]&amp;VALUE(CashIntraTable[Cash Date])&amp;CashIntraTable[Detail]</f>
        <v>SCBRMS50434022.2. Switch-out</v>
      </c>
    </row>
    <row r="704" spans="1:9" x14ac:dyDescent="0.2">
      <c r="A704" t="s">
        <v>453</v>
      </c>
      <c r="B704" t="s">
        <v>23</v>
      </c>
      <c r="C704" s="147">
        <v>43398</v>
      </c>
      <c r="D704" t="s">
        <v>382</v>
      </c>
      <c r="E704">
        <v>486762.41</v>
      </c>
      <c r="F704" t="s">
        <v>329</v>
      </c>
      <c r="G704" t="s">
        <v>383</v>
      </c>
      <c r="H704">
        <v>181025160005</v>
      </c>
      <c r="I704" t="str">
        <f>CashIntraTable[Portfolio]&amp;VALUE(CashIntraTable[Cash Date])&amp;CashIntraTable[Detail]</f>
        <v>SCBROBO433981.1. Subscription</v>
      </c>
    </row>
    <row r="705" spans="1:9" x14ac:dyDescent="0.2">
      <c r="A705" t="s">
        <v>453</v>
      </c>
      <c r="B705" t="s">
        <v>23</v>
      </c>
      <c r="C705" s="147">
        <v>43399</v>
      </c>
      <c r="D705" t="s">
        <v>382</v>
      </c>
      <c r="E705">
        <v>688742.82</v>
      </c>
      <c r="F705" t="s">
        <v>329</v>
      </c>
      <c r="G705" t="s">
        <v>383</v>
      </c>
      <c r="H705">
        <v>181025160005</v>
      </c>
      <c r="I705" t="str">
        <f>CashIntraTable[Portfolio]&amp;VALUE(CashIntraTable[Cash Date])&amp;CashIntraTable[Detail]</f>
        <v>SCBROBO433991.1. Subscription</v>
      </c>
    </row>
    <row r="706" spans="1:9" x14ac:dyDescent="0.2">
      <c r="A706" t="s">
        <v>453</v>
      </c>
      <c r="B706" t="s">
        <v>23</v>
      </c>
      <c r="C706" s="147">
        <v>43398</v>
      </c>
      <c r="D706" t="s">
        <v>382</v>
      </c>
      <c r="E706">
        <v>188052.77</v>
      </c>
      <c r="F706" t="s">
        <v>330</v>
      </c>
      <c r="G706" t="s">
        <v>383</v>
      </c>
      <c r="H706">
        <v>181025160005</v>
      </c>
      <c r="I706" t="str">
        <f>CashIntraTable[Portfolio]&amp;VALUE(CashIntraTable[Cash Date])&amp;CashIntraTable[Detail]</f>
        <v>SCBROBO433981.2. Switch-in</v>
      </c>
    </row>
    <row r="707" spans="1:9" x14ac:dyDescent="0.2">
      <c r="A707" t="s">
        <v>453</v>
      </c>
      <c r="B707" t="s">
        <v>23</v>
      </c>
      <c r="C707" s="147">
        <v>43399</v>
      </c>
      <c r="D707" t="s">
        <v>382</v>
      </c>
      <c r="E707">
        <v>204919.66</v>
      </c>
      <c r="F707" t="s">
        <v>330</v>
      </c>
      <c r="G707" t="s">
        <v>383</v>
      </c>
      <c r="H707">
        <v>181025160005</v>
      </c>
      <c r="I707" t="str">
        <f>CashIntraTable[Portfolio]&amp;VALUE(CashIntraTable[Cash Date])&amp;CashIntraTable[Detail]</f>
        <v>SCBROBO433991.2. Switch-in</v>
      </c>
    </row>
    <row r="708" spans="1:9" x14ac:dyDescent="0.2">
      <c r="A708" t="s">
        <v>453</v>
      </c>
      <c r="B708" t="s">
        <v>23</v>
      </c>
      <c r="C708" s="147">
        <v>43403</v>
      </c>
      <c r="D708" t="s">
        <v>382</v>
      </c>
      <c r="E708">
        <v>500000</v>
      </c>
      <c r="F708" t="s">
        <v>330</v>
      </c>
      <c r="G708" t="s">
        <v>383</v>
      </c>
      <c r="H708">
        <v>181025160005</v>
      </c>
      <c r="I708" t="str">
        <f>CashIntraTable[Portfolio]&amp;VALUE(CashIntraTable[Cash Date])&amp;CashIntraTable[Detail]</f>
        <v>SCBROBO434031.2. Switch-in</v>
      </c>
    </row>
    <row r="709" spans="1:9" x14ac:dyDescent="0.2">
      <c r="A709" t="s">
        <v>453</v>
      </c>
      <c r="B709" t="s">
        <v>23</v>
      </c>
      <c r="C709" s="147">
        <v>43398</v>
      </c>
      <c r="D709" t="s">
        <v>382</v>
      </c>
      <c r="E709">
        <v>-3528412.36</v>
      </c>
      <c r="F709" t="s">
        <v>331</v>
      </c>
      <c r="G709" t="s">
        <v>383</v>
      </c>
      <c r="H709">
        <v>181025160005</v>
      </c>
      <c r="I709" t="str">
        <f>CashIntraTable[Portfolio]&amp;VALUE(CashIntraTable[Cash Date])&amp;CashIntraTable[Detail]</f>
        <v>SCBROBO433982.1. Redemption</v>
      </c>
    </row>
    <row r="710" spans="1:9" x14ac:dyDescent="0.2">
      <c r="A710" t="s">
        <v>453</v>
      </c>
      <c r="B710" t="s">
        <v>23</v>
      </c>
      <c r="C710" s="147">
        <v>43399</v>
      </c>
      <c r="D710" t="s">
        <v>382</v>
      </c>
      <c r="E710">
        <v>-5450093.79</v>
      </c>
      <c r="F710" t="s">
        <v>331</v>
      </c>
      <c r="G710" t="s">
        <v>383</v>
      </c>
      <c r="H710">
        <v>181025160005</v>
      </c>
      <c r="I710" t="str">
        <f>CashIntraTable[Portfolio]&amp;VALUE(CashIntraTable[Cash Date])&amp;CashIntraTable[Detail]</f>
        <v>SCBROBO433992.1. Redemption</v>
      </c>
    </row>
    <row r="711" spans="1:9" x14ac:dyDescent="0.2">
      <c r="A711" t="s">
        <v>453</v>
      </c>
      <c r="B711" t="s">
        <v>23</v>
      </c>
      <c r="C711" s="147">
        <v>43402</v>
      </c>
      <c r="D711" t="s">
        <v>382</v>
      </c>
      <c r="E711">
        <v>-8521692.4900000002</v>
      </c>
      <c r="F711" t="s">
        <v>331</v>
      </c>
      <c r="G711" t="s">
        <v>383</v>
      </c>
      <c r="H711">
        <v>181025160005</v>
      </c>
      <c r="I711" t="str">
        <f>CashIntraTable[Portfolio]&amp;VALUE(CashIntraTable[Cash Date])&amp;CashIntraTable[Detail]</f>
        <v>SCBROBO434022.1. Redemption</v>
      </c>
    </row>
    <row r="712" spans="1:9" x14ac:dyDescent="0.2">
      <c r="A712" t="s">
        <v>453</v>
      </c>
      <c r="B712" t="s">
        <v>23</v>
      </c>
      <c r="C712" s="147">
        <v>43403</v>
      </c>
      <c r="D712" t="s">
        <v>382</v>
      </c>
      <c r="E712">
        <v>-115276154.01000001</v>
      </c>
      <c r="F712" t="s">
        <v>331</v>
      </c>
      <c r="G712" t="s">
        <v>383</v>
      </c>
      <c r="H712">
        <v>181025160005</v>
      </c>
      <c r="I712" t="str">
        <f>CashIntraTable[Portfolio]&amp;VALUE(CashIntraTable[Cash Date])&amp;CashIntraTable[Detail]</f>
        <v>SCBROBO434032.1. Redemption</v>
      </c>
    </row>
    <row r="713" spans="1:9" x14ac:dyDescent="0.2">
      <c r="A713" t="s">
        <v>453</v>
      </c>
      <c r="B713" t="s">
        <v>23</v>
      </c>
      <c r="C713" s="147">
        <v>43398</v>
      </c>
      <c r="D713" t="s">
        <v>382</v>
      </c>
      <c r="E713">
        <v>-1506126.72</v>
      </c>
      <c r="F713" t="s">
        <v>332</v>
      </c>
      <c r="G713" t="s">
        <v>383</v>
      </c>
      <c r="H713">
        <v>181025160005</v>
      </c>
      <c r="I713" t="str">
        <f>CashIntraTable[Portfolio]&amp;VALUE(CashIntraTable[Cash Date])&amp;CashIntraTable[Detail]</f>
        <v>SCBROBO433982.2. Switch-out</v>
      </c>
    </row>
    <row r="714" spans="1:9" x14ac:dyDescent="0.2">
      <c r="A714" t="s">
        <v>453</v>
      </c>
      <c r="B714" t="s">
        <v>23</v>
      </c>
      <c r="C714" s="147">
        <v>43399</v>
      </c>
      <c r="D714" t="s">
        <v>382</v>
      </c>
      <c r="E714">
        <v>-257410.16</v>
      </c>
      <c r="F714" t="s">
        <v>332</v>
      </c>
      <c r="G714" t="s">
        <v>383</v>
      </c>
      <c r="H714">
        <v>181025160005</v>
      </c>
      <c r="I714" t="str">
        <f>CashIntraTable[Portfolio]&amp;VALUE(CashIntraTable[Cash Date])&amp;CashIntraTable[Detail]</f>
        <v>SCBROBO433992.2. Switch-out</v>
      </c>
    </row>
    <row r="715" spans="1:9" x14ac:dyDescent="0.2">
      <c r="A715" t="s">
        <v>453</v>
      </c>
      <c r="B715" t="s">
        <v>23</v>
      </c>
      <c r="C715" s="147">
        <v>43402</v>
      </c>
      <c r="D715" t="s">
        <v>382</v>
      </c>
      <c r="E715">
        <v>-5478027.5800000001</v>
      </c>
      <c r="F715" t="s">
        <v>332</v>
      </c>
      <c r="G715" t="s">
        <v>383</v>
      </c>
      <c r="H715">
        <v>181025160005</v>
      </c>
      <c r="I715" t="str">
        <f>CashIntraTable[Portfolio]&amp;VALUE(CashIntraTable[Cash Date])&amp;CashIntraTable[Detail]</f>
        <v>SCBROBO434022.2. Switch-out</v>
      </c>
    </row>
    <row r="716" spans="1:9" x14ac:dyDescent="0.2">
      <c r="A716" t="s">
        <v>453</v>
      </c>
      <c r="B716" t="s">
        <v>23</v>
      </c>
      <c r="C716" s="147">
        <v>43403</v>
      </c>
      <c r="D716" t="s">
        <v>382</v>
      </c>
      <c r="E716">
        <v>-8876730.4000000004</v>
      </c>
      <c r="F716" t="s">
        <v>332</v>
      </c>
      <c r="G716" t="s">
        <v>383</v>
      </c>
      <c r="H716">
        <v>181025160005</v>
      </c>
      <c r="I716" t="str">
        <f>CashIntraTable[Portfolio]&amp;VALUE(CashIntraTable[Cash Date])&amp;CashIntraTable[Detail]</f>
        <v>SCBROBO434032.2. Switch-out</v>
      </c>
    </row>
    <row r="717" spans="1:9" x14ac:dyDescent="0.2">
      <c r="A717" t="s">
        <v>454</v>
      </c>
      <c r="B717" t="s">
        <v>23</v>
      </c>
      <c r="C717" s="147">
        <v>43398</v>
      </c>
      <c r="D717" t="s">
        <v>382</v>
      </c>
      <c r="E717">
        <v>1989952</v>
      </c>
      <c r="F717" t="s">
        <v>329</v>
      </c>
      <c r="G717" t="s">
        <v>383</v>
      </c>
      <c r="H717">
        <v>181025160005</v>
      </c>
      <c r="I717" t="str">
        <f>CashIntraTable[Portfolio]&amp;VALUE(CashIntraTable[Cash Date])&amp;CashIntraTable[Detail]</f>
        <v>SCBS&amp;P500433981.1. Subscription</v>
      </c>
    </row>
    <row r="718" spans="1:9" x14ac:dyDescent="0.2">
      <c r="A718" t="s">
        <v>454</v>
      </c>
      <c r="B718" t="s">
        <v>23</v>
      </c>
      <c r="C718" s="147">
        <v>43399</v>
      </c>
      <c r="D718" t="s">
        <v>382</v>
      </c>
      <c r="E718">
        <v>5633033.8499999996</v>
      </c>
      <c r="F718" t="s">
        <v>329</v>
      </c>
      <c r="G718" t="s">
        <v>383</v>
      </c>
      <c r="H718">
        <v>181025160005</v>
      </c>
      <c r="I718" t="str">
        <f>CashIntraTable[Portfolio]&amp;VALUE(CashIntraTable[Cash Date])&amp;CashIntraTable[Detail]</f>
        <v>SCBS&amp;P500433991.1. Subscription</v>
      </c>
    </row>
    <row r="719" spans="1:9" x14ac:dyDescent="0.2">
      <c r="A719" t="s">
        <v>454</v>
      </c>
      <c r="B719" t="s">
        <v>23</v>
      </c>
      <c r="C719" s="147">
        <v>43398</v>
      </c>
      <c r="D719" t="s">
        <v>382</v>
      </c>
      <c r="E719">
        <v>13755723.949999999</v>
      </c>
      <c r="F719" t="s">
        <v>330</v>
      </c>
      <c r="G719" t="s">
        <v>383</v>
      </c>
      <c r="H719">
        <v>181025160005</v>
      </c>
      <c r="I719" t="str">
        <f>CashIntraTable[Portfolio]&amp;VALUE(CashIntraTable[Cash Date])&amp;CashIntraTable[Detail]</f>
        <v>SCBS&amp;P500433981.2. Switch-in</v>
      </c>
    </row>
    <row r="720" spans="1:9" x14ac:dyDescent="0.2">
      <c r="A720" t="s">
        <v>454</v>
      </c>
      <c r="B720" t="s">
        <v>23</v>
      </c>
      <c r="C720" s="147">
        <v>43399</v>
      </c>
      <c r="D720" t="s">
        <v>382</v>
      </c>
      <c r="E720">
        <v>70987.710000000006</v>
      </c>
      <c r="F720" t="s">
        <v>330</v>
      </c>
      <c r="G720" t="s">
        <v>383</v>
      </c>
      <c r="H720">
        <v>181025160005</v>
      </c>
      <c r="I720" t="str">
        <f>CashIntraTable[Portfolio]&amp;VALUE(CashIntraTable[Cash Date])&amp;CashIntraTable[Detail]</f>
        <v>SCBS&amp;P500433991.2. Switch-in</v>
      </c>
    </row>
    <row r="721" spans="1:9" x14ac:dyDescent="0.2">
      <c r="A721" t="s">
        <v>454</v>
      </c>
      <c r="B721" t="s">
        <v>23</v>
      </c>
      <c r="C721" s="147">
        <v>43403</v>
      </c>
      <c r="D721" t="s">
        <v>382</v>
      </c>
      <c r="E721">
        <v>1873864.07</v>
      </c>
      <c r="F721" t="s">
        <v>330</v>
      </c>
      <c r="G721" t="s">
        <v>383</v>
      </c>
      <c r="H721">
        <v>181025160005</v>
      </c>
      <c r="I721" t="str">
        <f>CashIntraTable[Portfolio]&amp;VALUE(CashIntraTable[Cash Date])&amp;CashIntraTable[Detail]</f>
        <v>SCBS&amp;P500434031.2. Switch-in</v>
      </c>
    </row>
    <row r="722" spans="1:9" x14ac:dyDescent="0.2">
      <c r="A722" t="s">
        <v>454</v>
      </c>
      <c r="B722" t="s">
        <v>23</v>
      </c>
      <c r="C722" s="147">
        <v>43398</v>
      </c>
      <c r="D722" t="s">
        <v>382</v>
      </c>
      <c r="E722">
        <v>-873308.33</v>
      </c>
      <c r="F722" t="s">
        <v>331</v>
      </c>
      <c r="G722" t="s">
        <v>383</v>
      </c>
      <c r="H722">
        <v>181025160005</v>
      </c>
      <c r="I722" t="str">
        <f>CashIntraTable[Portfolio]&amp;VALUE(CashIntraTable[Cash Date])&amp;CashIntraTable[Detail]</f>
        <v>SCBS&amp;P500433982.1. Redemption</v>
      </c>
    </row>
    <row r="723" spans="1:9" x14ac:dyDescent="0.2">
      <c r="A723" t="s">
        <v>454</v>
      </c>
      <c r="B723" t="s">
        <v>23</v>
      </c>
      <c r="C723" s="147">
        <v>43399</v>
      </c>
      <c r="D723" t="s">
        <v>382</v>
      </c>
      <c r="E723">
        <v>-333622.56</v>
      </c>
      <c r="F723" t="s">
        <v>331</v>
      </c>
      <c r="G723" t="s">
        <v>383</v>
      </c>
      <c r="H723">
        <v>181025160005</v>
      </c>
      <c r="I723" t="str">
        <f>CashIntraTable[Portfolio]&amp;VALUE(CashIntraTable[Cash Date])&amp;CashIntraTable[Detail]</f>
        <v>SCBS&amp;P500433992.1. Redemption</v>
      </c>
    </row>
    <row r="724" spans="1:9" x14ac:dyDescent="0.2">
      <c r="A724" t="s">
        <v>454</v>
      </c>
      <c r="B724" t="s">
        <v>23</v>
      </c>
      <c r="C724" s="147">
        <v>43402</v>
      </c>
      <c r="D724" t="s">
        <v>382</v>
      </c>
      <c r="E724">
        <v>-4838465.84</v>
      </c>
      <c r="F724" t="s">
        <v>331</v>
      </c>
      <c r="G724" t="s">
        <v>383</v>
      </c>
      <c r="H724">
        <v>181025160005</v>
      </c>
      <c r="I724" t="str">
        <f>CashIntraTable[Portfolio]&amp;VALUE(CashIntraTable[Cash Date])&amp;CashIntraTable[Detail]</f>
        <v>SCBS&amp;P500434022.1. Redemption</v>
      </c>
    </row>
    <row r="725" spans="1:9" x14ac:dyDescent="0.2">
      <c r="A725" t="s">
        <v>454</v>
      </c>
      <c r="B725" t="s">
        <v>23</v>
      </c>
      <c r="C725" s="147">
        <v>43403</v>
      </c>
      <c r="D725" t="s">
        <v>382</v>
      </c>
      <c r="E725">
        <v>-7984152.29</v>
      </c>
      <c r="F725" t="s">
        <v>331</v>
      </c>
      <c r="G725" t="s">
        <v>383</v>
      </c>
      <c r="H725">
        <v>181025160005</v>
      </c>
      <c r="I725" t="str">
        <f>CashIntraTable[Portfolio]&amp;VALUE(CashIntraTable[Cash Date])&amp;CashIntraTable[Detail]</f>
        <v>SCBS&amp;P500434032.1. Redemption</v>
      </c>
    </row>
    <row r="726" spans="1:9" x14ac:dyDescent="0.2">
      <c r="A726" t="s">
        <v>454</v>
      </c>
      <c r="B726" t="s">
        <v>23</v>
      </c>
      <c r="C726" s="147">
        <v>43398</v>
      </c>
      <c r="D726" t="s">
        <v>382</v>
      </c>
      <c r="E726">
        <v>-50000</v>
      </c>
      <c r="F726" t="s">
        <v>332</v>
      </c>
      <c r="G726" t="s">
        <v>383</v>
      </c>
      <c r="H726">
        <v>181025160005</v>
      </c>
      <c r="I726" t="str">
        <f>CashIntraTable[Portfolio]&amp;VALUE(CashIntraTable[Cash Date])&amp;CashIntraTable[Detail]</f>
        <v>SCBS&amp;P500433982.2. Switch-out</v>
      </c>
    </row>
    <row r="727" spans="1:9" x14ac:dyDescent="0.2">
      <c r="A727" t="s">
        <v>454</v>
      </c>
      <c r="B727" t="s">
        <v>23</v>
      </c>
      <c r="C727" s="147">
        <v>43402</v>
      </c>
      <c r="D727" t="s">
        <v>382</v>
      </c>
      <c r="E727">
        <v>-8874909.4000000004</v>
      </c>
      <c r="F727" t="s">
        <v>332</v>
      </c>
      <c r="G727" t="s">
        <v>383</v>
      </c>
      <c r="H727">
        <v>181025160005</v>
      </c>
      <c r="I727" t="str">
        <f>CashIntraTable[Portfolio]&amp;VALUE(CashIntraTable[Cash Date])&amp;CashIntraTable[Detail]</f>
        <v>SCBS&amp;P500434022.2. Switch-out</v>
      </c>
    </row>
    <row r="728" spans="1:9" x14ac:dyDescent="0.2">
      <c r="A728" t="s">
        <v>455</v>
      </c>
      <c r="B728" t="s">
        <v>23</v>
      </c>
      <c r="C728" s="147">
        <v>43398</v>
      </c>
      <c r="D728" t="s">
        <v>382</v>
      </c>
      <c r="E728">
        <v>9429251.8900000006</v>
      </c>
      <c r="F728" t="s">
        <v>329</v>
      </c>
      <c r="G728" t="s">
        <v>383</v>
      </c>
      <c r="H728">
        <v>181025160005</v>
      </c>
      <c r="I728" t="str">
        <f>CashIntraTable[Portfolio]&amp;VALUE(CashIntraTable[Cash Date])&amp;CashIntraTable[Detail]</f>
        <v>SCBSEFUND433981.1. Subscription</v>
      </c>
    </row>
    <row r="729" spans="1:9" x14ac:dyDescent="0.2">
      <c r="A729" t="s">
        <v>455</v>
      </c>
      <c r="B729" t="s">
        <v>23</v>
      </c>
      <c r="C729" s="147">
        <v>43399</v>
      </c>
      <c r="D729" t="s">
        <v>382</v>
      </c>
      <c r="E729">
        <v>7805352.1900000004</v>
      </c>
      <c r="F729" t="s">
        <v>329</v>
      </c>
      <c r="G729" t="s">
        <v>383</v>
      </c>
      <c r="H729">
        <v>181025160005</v>
      </c>
      <c r="I729" t="str">
        <f>CashIntraTable[Portfolio]&amp;VALUE(CashIntraTable[Cash Date])&amp;CashIntraTable[Detail]</f>
        <v>SCBSEFUND433991.1. Subscription</v>
      </c>
    </row>
    <row r="730" spans="1:9" x14ac:dyDescent="0.2">
      <c r="A730" t="s">
        <v>455</v>
      </c>
      <c r="B730" t="s">
        <v>23</v>
      </c>
      <c r="C730" s="147">
        <v>43398</v>
      </c>
      <c r="D730" t="s">
        <v>382</v>
      </c>
      <c r="E730">
        <v>9615163.7599999998</v>
      </c>
      <c r="F730" t="s">
        <v>330</v>
      </c>
      <c r="G730" t="s">
        <v>383</v>
      </c>
      <c r="H730">
        <v>181025160005</v>
      </c>
      <c r="I730" t="str">
        <f>CashIntraTable[Portfolio]&amp;VALUE(CashIntraTable[Cash Date])&amp;CashIntraTable[Detail]</f>
        <v>SCBSEFUND433981.2. Switch-in</v>
      </c>
    </row>
    <row r="731" spans="1:9" x14ac:dyDescent="0.2">
      <c r="A731" t="s">
        <v>455</v>
      </c>
      <c r="B731" t="s">
        <v>23</v>
      </c>
      <c r="C731" s="147">
        <v>43399</v>
      </c>
      <c r="D731" t="s">
        <v>382</v>
      </c>
      <c r="E731">
        <v>10425446.76</v>
      </c>
      <c r="F731" t="s">
        <v>330</v>
      </c>
      <c r="G731" t="s">
        <v>383</v>
      </c>
      <c r="H731">
        <v>181025160005</v>
      </c>
      <c r="I731" t="str">
        <f>CashIntraTable[Portfolio]&amp;VALUE(CashIntraTable[Cash Date])&amp;CashIntraTable[Detail]</f>
        <v>SCBSEFUND433991.2. Switch-in</v>
      </c>
    </row>
    <row r="732" spans="1:9" x14ac:dyDescent="0.2">
      <c r="A732" t="s">
        <v>455</v>
      </c>
      <c r="B732" t="s">
        <v>23</v>
      </c>
      <c r="C732" s="147">
        <v>43402</v>
      </c>
      <c r="D732" t="s">
        <v>382</v>
      </c>
      <c r="E732">
        <v>242436.66</v>
      </c>
      <c r="F732" t="s">
        <v>330</v>
      </c>
      <c r="G732" t="s">
        <v>383</v>
      </c>
      <c r="H732">
        <v>181025160005</v>
      </c>
      <c r="I732" t="str">
        <f>CashIntraTable[Portfolio]&amp;VALUE(CashIntraTable[Cash Date])&amp;CashIntraTable[Detail]</f>
        <v>SCBSEFUND434021.2. Switch-in</v>
      </c>
    </row>
    <row r="733" spans="1:9" x14ac:dyDescent="0.2">
      <c r="A733" t="s">
        <v>455</v>
      </c>
      <c r="B733" t="s">
        <v>23</v>
      </c>
      <c r="C733" s="147">
        <v>43404</v>
      </c>
      <c r="D733" t="s">
        <v>382</v>
      </c>
      <c r="E733">
        <v>1041307.23</v>
      </c>
      <c r="F733" t="s">
        <v>330</v>
      </c>
      <c r="G733" t="s">
        <v>383</v>
      </c>
      <c r="H733">
        <v>181025160005</v>
      </c>
      <c r="I733" t="str">
        <f>CashIntraTable[Portfolio]&amp;VALUE(CashIntraTable[Cash Date])&amp;CashIntraTable[Detail]</f>
        <v>SCBSEFUND434041.2. Switch-in</v>
      </c>
    </row>
    <row r="734" spans="1:9" x14ac:dyDescent="0.2">
      <c r="A734" t="s">
        <v>455</v>
      </c>
      <c r="B734" t="s">
        <v>23</v>
      </c>
      <c r="C734" s="147">
        <v>43405</v>
      </c>
      <c r="D734" t="s">
        <v>382</v>
      </c>
      <c r="E734">
        <v>2560710.61</v>
      </c>
      <c r="F734" t="s">
        <v>330</v>
      </c>
      <c r="G734" t="s">
        <v>383</v>
      </c>
      <c r="H734">
        <v>181025160005</v>
      </c>
      <c r="I734" t="str">
        <f>CashIntraTable[Portfolio]&amp;VALUE(CashIntraTable[Cash Date])&amp;CashIntraTable[Detail]</f>
        <v>SCBSEFUND434051.2. Switch-in</v>
      </c>
    </row>
    <row r="735" spans="1:9" x14ac:dyDescent="0.2">
      <c r="A735" t="s">
        <v>455</v>
      </c>
      <c r="B735" t="s">
        <v>23</v>
      </c>
      <c r="C735" s="147">
        <v>43398</v>
      </c>
      <c r="D735" t="s">
        <v>382</v>
      </c>
      <c r="E735">
        <v>-1010796.58</v>
      </c>
      <c r="F735" t="s">
        <v>331</v>
      </c>
      <c r="G735" t="s">
        <v>383</v>
      </c>
      <c r="H735">
        <v>181025160005</v>
      </c>
      <c r="I735" t="str">
        <f>CashIntraTable[Portfolio]&amp;VALUE(CashIntraTable[Cash Date])&amp;CashIntraTable[Detail]</f>
        <v>SCBSEFUND433982.1. Redemption</v>
      </c>
    </row>
    <row r="736" spans="1:9" x14ac:dyDescent="0.2">
      <c r="A736" t="s">
        <v>455</v>
      </c>
      <c r="B736" t="s">
        <v>23</v>
      </c>
      <c r="C736" s="147">
        <v>43399</v>
      </c>
      <c r="D736" t="s">
        <v>382</v>
      </c>
      <c r="E736">
        <v>-513921.06</v>
      </c>
      <c r="F736" t="s">
        <v>331</v>
      </c>
      <c r="G736" t="s">
        <v>383</v>
      </c>
      <c r="H736">
        <v>181025160005</v>
      </c>
      <c r="I736" t="str">
        <f>CashIntraTable[Portfolio]&amp;VALUE(CashIntraTable[Cash Date])&amp;CashIntraTable[Detail]</f>
        <v>SCBSEFUND433992.1. Redemption</v>
      </c>
    </row>
    <row r="737" spans="1:9" x14ac:dyDescent="0.2">
      <c r="A737" t="s">
        <v>455</v>
      </c>
      <c r="B737" t="s">
        <v>23</v>
      </c>
      <c r="C737" s="147">
        <v>43402</v>
      </c>
      <c r="D737" t="s">
        <v>382</v>
      </c>
      <c r="E737">
        <v>-1011525.89</v>
      </c>
      <c r="F737" t="s">
        <v>331</v>
      </c>
      <c r="G737" t="s">
        <v>383</v>
      </c>
      <c r="H737">
        <v>181025160005</v>
      </c>
      <c r="I737" t="str">
        <f>CashIntraTable[Portfolio]&amp;VALUE(CashIntraTable[Cash Date])&amp;CashIntraTable[Detail]</f>
        <v>SCBSEFUND434022.1. Redemption</v>
      </c>
    </row>
    <row r="738" spans="1:9" x14ac:dyDescent="0.2">
      <c r="A738" t="s">
        <v>455</v>
      </c>
      <c r="B738" t="s">
        <v>23</v>
      </c>
      <c r="C738" s="147">
        <v>43398</v>
      </c>
      <c r="D738" t="s">
        <v>382</v>
      </c>
      <c r="E738">
        <v>-1209782.68</v>
      </c>
      <c r="F738" t="s">
        <v>332</v>
      </c>
      <c r="G738" t="s">
        <v>383</v>
      </c>
      <c r="H738">
        <v>181025160005</v>
      </c>
      <c r="I738" t="str">
        <f>CashIntraTable[Portfolio]&amp;VALUE(CashIntraTable[Cash Date])&amp;CashIntraTable[Detail]</f>
        <v>SCBSEFUND433982.2. Switch-out</v>
      </c>
    </row>
    <row r="739" spans="1:9" x14ac:dyDescent="0.2">
      <c r="A739" t="s">
        <v>455</v>
      </c>
      <c r="B739" t="s">
        <v>23</v>
      </c>
      <c r="C739" s="147">
        <v>43399</v>
      </c>
      <c r="D739" t="s">
        <v>382</v>
      </c>
      <c r="E739">
        <v>-693329.46</v>
      </c>
      <c r="F739" t="s">
        <v>332</v>
      </c>
      <c r="G739" t="s">
        <v>383</v>
      </c>
      <c r="H739">
        <v>181025160005</v>
      </c>
      <c r="I739" t="str">
        <f>CashIntraTable[Portfolio]&amp;VALUE(CashIntraTable[Cash Date])&amp;CashIntraTable[Detail]</f>
        <v>SCBSEFUND433992.2. Switch-out</v>
      </c>
    </row>
    <row r="740" spans="1:9" x14ac:dyDescent="0.2">
      <c r="A740" t="s">
        <v>455</v>
      </c>
      <c r="B740" t="s">
        <v>23</v>
      </c>
      <c r="C740" s="147">
        <v>43402</v>
      </c>
      <c r="D740" t="s">
        <v>382</v>
      </c>
      <c r="E740">
        <v>-189269.56</v>
      </c>
      <c r="F740" t="s">
        <v>332</v>
      </c>
      <c r="G740" t="s">
        <v>383</v>
      </c>
      <c r="H740">
        <v>181025160005</v>
      </c>
      <c r="I740" t="str">
        <f>CashIntraTable[Portfolio]&amp;VALUE(CashIntraTable[Cash Date])&amp;CashIntraTable[Detail]</f>
        <v>SCBSEFUND434022.2. Switch-out</v>
      </c>
    </row>
    <row r="741" spans="1:9" x14ac:dyDescent="0.2">
      <c r="A741" t="s">
        <v>456</v>
      </c>
      <c r="B741" t="s">
        <v>23</v>
      </c>
      <c r="C741" s="147">
        <v>43398</v>
      </c>
      <c r="D741" t="s">
        <v>382</v>
      </c>
      <c r="E741">
        <v>55920922.270000003</v>
      </c>
      <c r="F741" t="s">
        <v>329</v>
      </c>
      <c r="G741" t="s">
        <v>383</v>
      </c>
      <c r="H741">
        <v>181025160005</v>
      </c>
      <c r="I741" t="str">
        <f>CashIntraTable[Portfolio]&amp;VALUE(CashIntraTable[Cash Date])&amp;CashIntraTable[Detail]</f>
        <v>SCBSET50FUND433981.1. Subscription</v>
      </c>
    </row>
    <row r="742" spans="1:9" x14ac:dyDescent="0.2">
      <c r="A742" t="s">
        <v>456</v>
      </c>
      <c r="B742" t="s">
        <v>23</v>
      </c>
      <c r="C742" s="147">
        <v>43399</v>
      </c>
      <c r="D742" t="s">
        <v>382</v>
      </c>
      <c r="E742">
        <v>67539505.450000003</v>
      </c>
      <c r="F742" t="s">
        <v>329</v>
      </c>
      <c r="G742" t="s">
        <v>383</v>
      </c>
      <c r="H742">
        <v>181025160005</v>
      </c>
      <c r="I742" t="str">
        <f>CashIntraTable[Portfolio]&amp;VALUE(CashIntraTable[Cash Date])&amp;CashIntraTable[Detail]</f>
        <v>SCBSET50FUND433991.1. Subscription</v>
      </c>
    </row>
    <row r="743" spans="1:9" x14ac:dyDescent="0.2">
      <c r="A743" t="s">
        <v>456</v>
      </c>
      <c r="B743" t="s">
        <v>23</v>
      </c>
      <c r="C743" s="147">
        <v>43398</v>
      </c>
      <c r="D743" t="s">
        <v>382</v>
      </c>
      <c r="E743">
        <v>107794885.87</v>
      </c>
      <c r="F743" t="s">
        <v>330</v>
      </c>
      <c r="G743" t="s">
        <v>383</v>
      </c>
      <c r="H743">
        <v>181025160005</v>
      </c>
      <c r="I743" t="str">
        <f>CashIntraTable[Portfolio]&amp;VALUE(CashIntraTable[Cash Date])&amp;CashIntraTable[Detail]</f>
        <v>SCBSET50FUND433981.2. Switch-in</v>
      </c>
    </row>
    <row r="744" spans="1:9" x14ac:dyDescent="0.2">
      <c r="A744" t="s">
        <v>456</v>
      </c>
      <c r="B744" t="s">
        <v>23</v>
      </c>
      <c r="C744" s="147">
        <v>43399</v>
      </c>
      <c r="D744" t="s">
        <v>382</v>
      </c>
      <c r="E744">
        <v>157952105.13999999</v>
      </c>
      <c r="F744" t="s">
        <v>330</v>
      </c>
      <c r="G744" t="s">
        <v>383</v>
      </c>
      <c r="H744">
        <v>181025160005</v>
      </c>
      <c r="I744" t="str">
        <f>CashIntraTable[Portfolio]&amp;VALUE(CashIntraTable[Cash Date])&amp;CashIntraTable[Detail]</f>
        <v>SCBSET50FUND433991.2. Switch-in</v>
      </c>
    </row>
    <row r="745" spans="1:9" x14ac:dyDescent="0.2">
      <c r="A745" t="s">
        <v>456</v>
      </c>
      <c r="B745" t="s">
        <v>23</v>
      </c>
      <c r="C745" s="147">
        <v>43402</v>
      </c>
      <c r="D745" t="s">
        <v>382</v>
      </c>
      <c r="E745">
        <v>2905657.24</v>
      </c>
      <c r="F745" t="s">
        <v>330</v>
      </c>
      <c r="G745" t="s">
        <v>383</v>
      </c>
      <c r="H745">
        <v>181025160005</v>
      </c>
      <c r="I745" t="str">
        <f>CashIntraTable[Portfolio]&amp;VALUE(CashIntraTable[Cash Date])&amp;CashIntraTable[Detail]</f>
        <v>SCBSET50FUND434021.2. Switch-in</v>
      </c>
    </row>
    <row r="746" spans="1:9" x14ac:dyDescent="0.2">
      <c r="A746" t="s">
        <v>456</v>
      </c>
      <c r="B746" t="s">
        <v>23</v>
      </c>
      <c r="C746" s="147">
        <v>43403</v>
      </c>
      <c r="D746" t="s">
        <v>382</v>
      </c>
      <c r="E746">
        <v>192109.05</v>
      </c>
      <c r="F746" t="s">
        <v>330</v>
      </c>
      <c r="G746" t="s">
        <v>383</v>
      </c>
      <c r="H746">
        <v>181025160005</v>
      </c>
      <c r="I746" t="str">
        <f>CashIntraTable[Portfolio]&amp;VALUE(CashIntraTable[Cash Date])&amp;CashIntraTable[Detail]</f>
        <v>SCBSET50FUND434031.2. Switch-in</v>
      </c>
    </row>
    <row r="747" spans="1:9" x14ac:dyDescent="0.2">
      <c r="A747" t="s">
        <v>456</v>
      </c>
      <c r="B747" t="s">
        <v>23</v>
      </c>
      <c r="C747" s="147">
        <v>43404</v>
      </c>
      <c r="D747" t="s">
        <v>382</v>
      </c>
      <c r="E747">
        <v>3722079.03</v>
      </c>
      <c r="F747" t="s">
        <v>330</v>
      </c>
      <c r="G747" t="s">
        <v>383</v>
      </c>
      <c r="H747">
        <v>181025160005</v>
      </c>
      <c r="I747" t="str">
        <f>CashIntraTable[Portfolio]&amp;VALUE(CashIntraTable[Cash Date])&amp;CashIntraTable[Detail]</f>
        <v>SCBSET50FUND434041.2. Switch-in</v>
      </c>
    </row>
    <row r="748" spans="1:9" x14ac:dyDescent="0.2">
      <c r="A748" t="s">
        <v>456</v>
      </c>
      <c r="B748" t="s">
        <v>23</v>
      </c>
      <c r="C748" s="147">
        <v>43405</v>
      </c>
      <c r="D748" t="s">
        <v>382</v>
      </c>
      <c r="E748">
        <v>55935.27</v>
      </c>
      <c r="F748" t="s">
        <v>330</v>
      </c>
      <c r="G748" t="s">
        <v>383</v>
      </c>
      <c r="H748">
        <v>181025160005</v>
      </c>
      <c r="I748" t="str">
        <f>CashIntraTable[Portfolio]&amp;VALUE(CashIntraTable[Cash Date])&amp;CashIntraTable[Detail]</f>
        <v>SCBSET50FUND434051.2. Switch-in</v>
      </c>
    </row>
    <row r="749" spans="1:9" x14ac:dyDescent="0.2">
      <c r="A749" t="s">
        <v>456</v>
      </c>
      <c r="B749" t="s">
        <v>23</v>
      </c>
      <c r="C749" s="147">
        <v>43406</v>
      </c>
      <c r="D749" t="s">
        <v>382</v>
      </c>
      <c r="E749">
        <v>107432.23</v>
      </c>
      <c r="F749" t="s">
        <v>330</v>
      </c>
      <c r="G749" t="s">
        <v>383</v>
      </c>
      <c r="H749">
        <v>181025160005</v>
      </c>
      <c r="I749" t="str">
        <f>CashIntraTable[Portfolio]&amp;VALUE(CashIntraTable[Cash Date])&amp;CashIntraTable[Detail]</f>
        <v>SCBSET50FUND434061.2. Switch-in</v>
      </c>
    </row>
    <row r="750" spans="1:9" x14ac:dyDescent="0.2">
      <c r="A750" t="s">
        <v>456</v>
      </c>
      <c r="B750" t="s">
        <v>23</v>
      </c>
      <c r="C750" s="147">
        <v>43398</v>
      </c>
      <c r="D750" t="s">
        <v>382</v>
      </c>
      <c r="E750">
        <v>-4743402.7300000004</v>
      </c>
      <c r="F750" t="s">
        <v>331</v>
      </c>
      <c r="G750" t="s">
        <v>383</v>
      </c>
      <c r="H750">
        <v>181025160005</v>
      </c>
      <c r="I750" t="str">
        <f>CashIntraTable[Portfolio]&amp;VALUE(CashIntraTable[Cash Date])&amp;CashIntraTable[Detail]</f>
        <v>SCBSET50FUND433982.1. Redemption</v>
      </c>
    </row>
    <row r="751" spans="1:9" x14ac:dyDescent="0.2">
      <c r="A751" t="s">
        <v>456</v>
      </c>
      <c r="B751" t="s">
        <v>23</v>
      </c>
      <c r="C751" s="147">
        <v>43399</v>
      </c>
      <c r="D751" t="s">
        <v>382</v>
      </c>
      <c r="E751">
        <v>-2215284.9300000002</v>
      </c>
      <c r="F751" t="s">
        <v>331</v>
      </c>
      <c r="G751" t="s">
        <v>383</v>
      </c>
      <c r="H751">
        <v>181025160005</v>
      </c>
      <c r="I751" t="str">
        <f>CashIntraTable[Portfolio]&amp;VALUE(CashIntraTable[Cash Date])&amp;CashIntraTable[Detail]</f>
        <v>SCBSET50FUND433992.1. Redemption</v>
      </c>
    </row>
    <row r="752" spans="1:9" x14ac:dyDescent="0.2">
      <c r="A752" t="s">
        <v>456</v>
      </c>
      <c r="B752" t="s">
        <v>23</v>
      </c>
      <c r="C752" s="147">
        <v>43402</v>
      </c>
      <c r="D752" t="s">
        <v>382</v>
      </c>
      <c r="E752">
        <v>-10942265.27</v>
      </c>
      <c r="F752" t="s">
        <v>331</v>
      </c>
      <c r="G752" t="s">
        <v>383</v>
      </c>
      <c r="H752">
        <v>181025160005</v>
      </c>
      <c r="I752" t="str">
        <f>CashIntraTable[Portfolio]&amp;VALUE(CashIntraTable[Cash Date])&amp;CashIntraTable[Detail]</f>
        <v>SCBSET50FUND434022.1. Redemption</v>
      </c>
    </row>
    <row r="753" spans="1:9" x14ac:dyDescent="0.2">
      <c r="A753" t="s">
        <v>456</v>
      </c>
      <c r="B753" t="s">
        <v>23</v>
      </c>
      <c r="C753" s="147">
        <v>43398</v>
      </c>
      <c r="D753" t="s">
        <v>382</v>
      </c>
      <c r="E753">
        <v>-977757.58</v>
      </c>
      <c r="F753" t="s">
        <v>332</v>
      </c>
      <c r="G753" t="s">
        <v>383</v>
      </c>
      <c r="H753">
        <v>181025160005</v>
      </c>
      <c r="I753" t="str">
        <f>CashIntraTable[Portfolio]&amp;VALUE(CashIntraTable[Cash Date])&amp;CashIntraTable[Detail]</f>
        <v>SCBSET50FUND433982.2. Switch-out</v>
      </c>
    </row>
    <row r="754" spans="1:9" x14ac:dyDescent="0.2">
      <c r="A754" t="s">
        <v>456</v>
      </c>
      <c r="B754" t="s">
        <v>23</v>
      </c>
      <c r="C754" s="147">
        <v>43399</v>
      </c>
      <c r="D754" t="s">
        <v>382</v>
      </c>
      <c r="E754">
        <v>-6883405.5499999998</v>
      </c>
      <c r="F754" t="s">
        <v>332</v>
      </c>
      <c r="G754" t="s">
        <v>383</v>
      </c>
      <c r="H754">
        <v>181025160005</v>
      </c>
      <c r="I754" t="str">
        <f>CashIntraTable[Portfolio]&amp;VALUE(CashIntraTable[Cash Date])&amp;CashIntraTable[Detail]</f>
        <v>SCBSET50FUND433992.2. Switch-out</v>
      </c>
    </row>
    <row r="755" spans="1:9" x14ac:dyDescent="0.2">
      <c r="A755" t="s">
        <v>456</v>
      </c>
      <c r="B755" t="s">
        <v>23</v>
      </c>
      <c r="C755" s="147">
        <v>43402</v>
      </c>
      <c r="D755" t="s">
        <v>382</v>
      </c>
      <c r="E755">
        <v>-11468030.210000001</v>
      </c>
      <c r="F755" t="s">
        <v>332</v>
      </c>
      <c r="G755" t="s">
        <v>383</v>
      </c>
      <c r="H755">
        <v>181025160005</v>
      </c>
      <c r="I755" t="str">
        <f>CashIntraTable[Portfolio]&amp;VALUE(CashIntraTable[Cash Date])&amp;CashIntraTable[Detail]</f>
        <v>SCBSET50FUND434022.2. Switch-out</v>
      </c>
    </row>
    <row r="756" spans="1:9" x14ac:dyDescent="0.2">
      <c r="A756" t="s">
        <v>457</v>
      </c>
      <c r="B756" t="s">
        <v>23</v>
      </c>
      <c r="C756" s="147">
        <v>43398</v>
      </c>
      <c r="D756" t="s">
        <v>382</v>
      </c>
      <c r="E756">
        <v>96208624.379999995</v>
      </c>
      <c r="F756" t="s">
        <v>329</v>
      </c>
      <c r="G756" t="s">
        <v>383</v>
      </c>
      <c r="H756">
        <v>181025160005</v>
      </c>
      <c r="I756" t="str">
        <f>CashIntraTable[Portfolio]&amp;VALUE(CashIntraTable[Cash Date])&amp;CashIntraTable[Detail]</f>
        <v>SCBSETFUND433981.1. Subscription</v>
      </c>
    </row>
    <row r="757" spans="1:9" x14ac:dyDescent="0.2">
      <c r="A757" t="s">
        <v>457</v>
      </c>
      <c r="B757" t="s">
        <v>23</v>
      </c>
      <c r="C757" s="147">
        <v>43399</v>
      </c>
      <c r="D757" t="s">
        <v>382</v>
      </c>
      <c r="E757">
        <v>65760916.590000004</v>
      </c>
      <c r="F757" t="s">
        <v>329</v>
      </c>
      <c r="G757" t="s">
        <v>383</v>
      </c>
      <c r="H757">
        <v>181025160005</v>
      </c>
      <c r="I757" t="str">
        <f>CashIntraTable[Portfolio]&amp;VALUE(CashIntraTable[Cash Date])&amp;CashIntraTable[Detail]</f>
        <v>SCBSETFUND433991.1. Subscription</v>
      </c>
    </row>
    <row r="758" spans="1:9" x14ac:dyDescent="0.2">
      <c r="A758" t="s">
        <v>457</v>
      </c>
      <c r="B758" t="s">
        <v>23</v>
      </c>
      <c r="C758" s="147">
        <v>43398</v>
      </c>
      <c r="D758" t="s">
        <v>382</v>
      </c>
      <c r="E758">
        <v>3000000</v>
      </c>
      <c r="F758" t="s">
        <v>333</v>
      </c>
      <c r="G758" t="s">
        <v>383</v>
      </c>
      <c r="H758">
        <v>181025160005</v>
      </c>
      <c r="I758" t="str">
        <f>CashIntraTable[Portfolio]&amp;VALUE(CashIntraTable[Cash Date])&amp;CashIntraTable[Detail]</f>
        <v>SCBSETFUND433981.1. Subscription (Chq)</v>
      </c>
    </row>
    <row r="759" spans="1:9" x14ac:dyDescent="0.2">
      <c r="A759" t="s">
        <v>457</v>
      </c>
      <c r="B759" t="s">
        <v>23</v>
      </c>
      <c r="C759" s="147">
        <v>43398</v>
      </c>
      <c r="D759" t="s">
        <v>382</v>
      </c>
      <c r="E759">
        <v>188424667</v>
      </c>
      <c r="F759" t="s">
        <v>330</v>
      </c>
      <c r="G759" t="s">
        <v>383</v>
      </c>
      <c r="H759">
        <v>181025160005</v>
      </c>
      <c r="I759" t="str">
        <f>CashIntraTable[Portfolio]&amp;VALUE(CashIntraTable[Cash Date])&amp;CashIntraTable[Detail]</f>
        <v>SCBSETFUND433981.2. Switch-in</v>
      </c>
    </row>
    <row r="760" spans="1:9" x14ac:dyDescent="0.2">
      <c r="A760" t="s">
        <v>457</v>
      </c>
      <c r="B760" t="s">
        <v>23</v>
      </c>
      <c r="C760" s="147">
        <v>43399</v>
      </c>
      <c r="D760" t="s">
        <v>382</v>
      </c>
      <c r="E760">
        <v>102400569.93000001</v>
      </c>
      <c r="F760" t="s">
        <v>330</v>
      </c>
      <c r="G760" t="s">
        <v>383</v>
      </c>
      <c r="H760">
        <v>181025160005</v>
      </c>
      <c r="I760" t="str">
        <f>CashIntraTable[Portfolio]&amp;VALUE(CashIntraTable[Cash Date])&amp;CashIntraTable[Detail]</f>
        <v>SCBSETFUND433991.2. Switch-in</v>
      </c>
    </row>
    <row r="761" spans="1:9" x14ac:dyDescent="0.2">
      <c r="A761" t="s">
        <v>457</v>
      </c>
      <c r="B761" t="s">
        <v>23</v>
      </c>
      <c r="C761" s="147">
        <v>43402</v>
      </c>
      <c r="D761" t="s">
        <v>382</v>
      </c>
      <c r="E761">
        <v>9811460.9399999995</v>
      </c>
      <c r="F761" t="s">
        <v>330</v>
      </c>
      <c r="G761" t="s">
        <v>383</v>
      </c>
      <c r="H761">
        <v>181025160005</v>
      </c>
      <c r="I761" t="str">
        <f>CashIntraTable[Portfolio]&amp;VALUE(CashIntraTable[Cash Date])&amp;CashIntraTable[Detail]</f>
        <v>SCBSETFUND434021.2. Switch-in</v>
      </c>
    </row>
    <row r="762" spans="1:9" x14ac:dyDescent="0.2">
      <c r="A762" t="s">
        <v>457</v>
      </c>
      <c r="B762" t="s">
        <v>23</v>
      </c>
      <c r="C762" s="147">
        <v>43403</v>
      </c>
      <c r="D762" t="s">
        <v>382</v>
      </c>
      <c r="E762">
        <v>5867842.4900000002</v>
      </c>
      <c r="F762" t="s">
        <v>330</v>
      </c>
      <c r="G762" t="s">
        <v>383</v>
      </c>
      <c r="H762">
        <v>181025160005</v>
      </c>
      <c r="I762" t="str">
        <f>CashIntraTable[Portfolio]&amp;VALUE(CashIntraTable[Cash Date])&amp;CashIntraTable[Detail]</f>
        <v>SCBSETFUND434031.2. Switch-in</v>
      </c>
    </row>
    <row r="763" spans="1:9" x14ac:dyDescent="0.2">
      <c r="A763" t="s">
        <v>457</v>
      </c>
      <c r="B763" t="s">
        <v>23</v>
      </c>
      <c r="C763" s="147">
        <v>43404</v>
      </c>
      <c r="D763" t="s">
        <v>382</v>
      </c>
      <c r="E763">
        <v>26000</v>
      </c>
      <c r="F763" t="s">
        <v>330</v>
      </c>
      <c r="G763" t="s">
        <v>383</v>
      </c>
      <c r="H763">
        <v>181025160005</v>
      </c>
      <c r="I763" t="str">
        <f>CashIntraTable[Portfolio]&amp;VALUE(CashIntraTable[Cash Date])&amp;CashIntraTable[Detail]</f>
        <v>SCBSETFUND434041.2. Switch-in</v>
      </c>
    </row>
    <row r="764" spans="1:9" x14ac:dyDescent="0.2">
      <c r="A764" t="s">
        <v>457</v>
      </c>
      <c r="B764" t="s">
        <v>23</v>
      </c>
      <c r="C764" s="147">
        <v>43405</v>
      </c>
      <c r="D764" t="s">
        <v>382</v>
      </c>
      <c r="E764">
        <v>2500000</v>
      </c>
      <c r="F764" t="s">
        <v>330</v>
      </c>
      <c r="G764" t="s">
        <v>383</v>
      </c>
      <c r="H764">
        <v>181025160005</v>
      </c>
      <c r="I764" t="str">
        <f>CashIntraTable[Portfolio]&amp;VALUE(CashIntraTable[Cash Date])&amp;CashIntraTable[Detail]</f>
        <v>SCBSETFUND434051.2. Switch-in</v>
      </c>
    </row>
    <row r="765" spans="1:9" x14ac:dyDescent="0.2">
      <c r="A765" t="s">
        <v>457</v>
      </c>
      <c r="B765" t="s">
        <v>23</v>
      </c>
      <c r="C765" s="147">
        <v>43398</v>
      </c>
      <c r="D765" t="s">
        <v>382</v>
      </c>
      <c r="E765">
        <v>-14823276.960000001</v>
      </c>
      <c r="F765" t="s">
        <v>331</v>
      </c>
      <c r="G765" t="s">
        <v>383</v>
      </c>
      <c r="H765">
        <v>181025160005</v>
      </c>
      <c r="I765" t="str">
        <f>CashIntraTable[Portfolio]&amp;VALUE(CashIntraTable[Cash Date])&amp;CashIntraTable[Detail]</f>
        <v>SCBSETFUND433982.1. Redemption</v>
      </c>
    </row>
    <row r="766" spans="1:9" x14ac:dyDescent="0.2">
      <c r="A766" t="s">
        <v>457</v>
      </c>
      <c r="B766" t="s">
        <v>23</v>
      </c>
      <c r="C766" s="147">
        <v>43399</v>
      </c>
      <c r="D766" t="s">
        <v>382</v>
      </c>
      <c r="E766">
        <v>-16124512.24</v>
      </c>
      <c r="F766" t="s">
        <v>331</v>
      </c>
      <c r="G766" t="s">
        <v>383</v>
      </c>
      <c r="H766">
        <v>181025160005</v>
      </c>
      <c r="I766" t="str">
        <f>CashIntraTable[Portfolio]&amp;VALUE(CashIntraTable[Cash Date])&amp;CashIntraTable[Detail]</f>
        <v>SCBSETFUND433992.1. Redemption</v>
      </c>
    </row>
    <row r="767" spans="1:9" x14ac:dyDescent="0.2">
      <c r="A767" t="s">
        <v>457</v>
      </c>
      <c r="B767" t="s">
        <v>23</v>
      </c>
      <c r="C767" s="147">
        <v>43402</v>
      </c>
      <c r="D767" t="s">
        <v>382</v>
      </c>
      <c r="E767">
        <v>-12743224.109999999</v>
      </c>
      <c r="F767" t="s">
        <v>331</v>
      </c>
      <c r="G767" t="s">
        <v>383</v>
      </c>
      <c r="H767">
        <v>181025160005</v>
      </c>
      <c r="I767" t="str">
        <f>CashIntraTable[Portfolio]&amp;VALUE(CashIntraTable[Cash Date])&amp;CashIntraTable[Detail]</f>
        <v>SCBSETFUND434022.1. Redemption</v>
      </c>
    </row>
    <row r="768" spans="1:9" x14ac:dyDescent="0.2">
      <c r="A768" t="s">
        <v>457</v>
      </c>
      <c r="B768" t="s">
        <v>23</v>
      </c>
      <c r="C768" s="147">
        <v>43398</v>
      </c>
      <c r="D768" t="s">
        <v>382</v>
      </c>
      <c r="E768">
        <v>-115285.95</v>
      </c>
      <c r="F768" t="s">
        <v>332</v>
      </c>
      <c r="G768" t="s">
        <v>383</v>
      </c>
      <c r="H768">
        <v>181025160005</v>
      </c>
      <c r="I768" t="str">
        <f>CashIntraTable[Portfolio]&amp;VALUE(CashIntraTable[Cash Date])&amp;CashIntraTable[Detail]</f>
        <v>SCBSETFUND433982.2. Switch-out</v>
      </c>
    </row>
    <row r="769" spans="1:17" x14ac:dyDescent="0.2">
      <c r="A769" t="s">
        <v>457</v>
      </c>
      <c r="B769" t="s">
        <v>23</v>
      </c>
      <c r="C769" s="147">
        <v>43399</v>
      </c>
      <c r="D769" t="s">
        <v>382</v>
      </c>
      <c r="E769">
        <v>-5123967.01</v>
      </c>
      <c r="F769" t="s">
        <v>332</v>
      </c>
      <c r="G769" t="s">
        <v>383</v>
      </c>
      <c r="H769">
        <v>181025160005</v>
      </c>
      <c r="I769" t="str">
        <f>CashIntraTable[Portfolio]&amp;VALUE(CashIntraTable[Cash Date])&amp;CashIntraTable[Detail]</f>
        <v>SCBSETFUND433992.2. Switch-out</v>
      </c>
    </row>
    <row r="770" spans="1:17" x14ac:dyDescent="0.2">
      <c r="A770" t="s">
        <v>457</v>
      </c>
      <c r="B770" t="s">
        <v>23</v>
      </c>
      <c r="C770" s="147">
        <v>43402</v>
      </c>
      <c r="D770" t="s">
        <v>382</v>
      </c>
      <c r="E770">
        <v>-25290813.859999999</v>
      </c>
      <c r="F770" t="s">
        <v>332</v>
      </c>
      <c r="G770" t="s">
        <v>383</v>
      </c>
      <c r="H770">
        <v>181025160005</v>
      </c>
      <c r="I770" t="str">
        <f>CashIntraTable[Portfolio]&amp;VALUE(CashIntraTable[Cash Date])&amp;CashIntraTable[Detail]</f>
        <v>SCBSETFUND434022.2. Switch-out</v>
      </c>
    </row>
    <row r="771" spans="1:17" x14ac:dyDescent="0.2">
      <c r="A771" t="s">
        <v>17</v>
      </c>
      <c r="B771" t="s">
        <v>23</v>
      </c>
      <c r="C771" s="147">
        <v>43398</v>
      </c>
      <c r="D771" t="s">
        <v>382</v>
      </c>
      <c r="E771">
        <v>119371213.12</v>
      </c>
      <c r="F771" t="s">
        <v>329</v>
      </c>
      <c r="G771" t="s">
        <v>383</v>
      </c>
      <c r="H771">
        <v>181025160005</v>
      </c>
      <c r="I771" t="str">
        <f>CashIntraTable[Portfolio]&amp;VALUE(CashIntraTable[Cash Date])&amp;CashIntraTable[Detail]</f>
        <v>SCBSFF433981.1. Subscription</v>
      </c>
    </row>
    <row r="772" spans="1:17" x14ac:dyDescent="0.2">
      <c r="A772" t="s">
        <v>17</v>
      </c>
      <c r="B772" t="s">
        <v>23</v>
      </c>
      <c r="C772" s="147">
        <v>43399</v>
      </c>
      <c r="D772" t="s">
        <v>382</v>
      </c>
      <c r="E772">
        <v>698856783.64999998</v>
      </c>
      <c r="F772" t="s">
        <v>329</v>
      </c>
      <c r="G772" t="s">
        <v>383</v>
      </c>
      <c r="H772">
        <v>181025160005</v>
      </c>
      <c r="I772" t="str">
        <f>CashIntraTable[Portfolio]&amp;VALUE(CashIntraTable[Cash Date])&amp;CashIntraTable[Detail]</f>
        <v>SCBSFF433991.1. Subscription</v>
      </c>
    </row>
    <row r="773" spans="1:17" x14ac:dyDescent="0.2">
      <c r="A773" t="s">
        <v>17</v>
      </c>
      <c r="B773" t="s">
        <v>23</v>
      </c>
      <c r="C773" s="147">
        <v>43398</v>
      </c>
      <c r="D773" t="s">
        <v>382</v>
      </c>
      <c r="E773">
        <v>13800000</v>
      </c>
      <c r="F773" t="s">
        <v>333</v>
      </c>
      <c r="G773" t="s">
        <v>383</v>
      </c>
      <c r="H773">
        <v>181025160005</v>
      </c>
      <c r="I773" t="str">
        <f>CashIntraTable[Portfolio]&amp;VALUE(CashIntraTable[Cash Date])&amp;CashIntraTable[Detail]</f>
        <v>SCBSFF433981.1. Subscription (Chq)</v>
      </c>
    </row>
    <row r="774" spans="1:17" x14ac:dyDescent="0.2">
      <c r="A774" t="s">
        <v>17</v>
      </c>
      <c r="B774" t="s">
        <v>23</v>
      </c>
      <c r="C774" s="147">
        <v>43399</v>
      </c>
      <c r="D774" t="s">
        <v>382</v>
      </c>
      <c r="E774">
        <v>13534000</v>
      </c>
      <c r="F774" t="s">
        <v>333</v>
      </c>
      <c r="G774" t="s">
        <v>383</v>
      </c>
      <c r="H774">
        <v>181025160005</v>
      </c>
      <c r="I774" t="str">
        <f>CashIntraTable[Portfolio]&amp;VALUE(CashIntraTable[Cash Date])&amp;CashIntraTable[Detail]</f>
        <v>SCBSFF433991.1. Subscription (Chq)</v>
      </c>
    </row>
    <row r="775" spans="1:17" x14ac:dyDescent="0.2">
      <c r="A775" t="s">
        <v>17</v>
      </c>
      <c r="B775" t="s">
        <v>23</v>
      </c>
      <c r="C775" s="147">
        <v>43398</v>
      </c>
      <c r="D775" t="s">
        <v>382</v>
      </c>
      <c r="E775">
        <v>10652881.9</v>
      </c>
      <c r="F775" t="s">
        <v>330</v>
      </c>
      <c r="G775" t="s">
        <v>383</v>
      </c>
      <c r="H775">
        <v>181025160005</v>
      </c>
      <c r="I775" t="str">
        <f>CashIntraTable[Portfolio]&amp;VALUE(CashIntraTable[Cash Date])&amp;CashIntraTable[Detail]</f>
        <v>SCBSFF433981.2. Switch-in</v>
      </c>
    </row>
    <row r="776" spans="1:17" x14ac:dyDescent="0.2">
      <c r="A776" t="s">
        <v>17</v>
      </c>
      <c r="B776" t="s">
        <v>23</v>
      </c>
      <c r="C776" s="147">
        <v>43399</v>
      </c>
      <c r="D776" t="s">
        <v>382</v>
      </c>
      <c r="E776">
        <v>86417302.980000004</v>
      </c>
      <c r="F776" t="s">
        <v>330</v>
      </c>
      <c r="G776" t="s">
        <v>383</v>
      </c>
      <c r="H776">
        <v>181025160005</v>
      </c>
      <c r="I776" t="str">
        <f>CashIntraTable[Portfolio]&amp;VALUE(CashIntraTable[Cash Date])&amp;CashIntraTable[Detail]</f>
        <v>SCBSFF433991.2. Switch-in</v>
      </c>
    </row>
    <row r="777" spans="1:17" x14ac:dyDescent="0.2">
      <c r="A777" t="s">
        <v>17</v>
      </c>
      <c r="B777" t="s">
        <v>23</v>
      </c>
      <c r="C777" s="147">
        <v>43402</v>
      </c>
      <c r="D777" t="s">
        <v>382</v>
      </c>
      <c r="E777">
        <v>14283439.83</v>
      </c>
      <c r="F777" t="s">
        <v>330</v>
      </c>
      <c r="G777" t="s">
        <v>383</v>
      </c>
      <c r="H777">
        <v>181025160005</v>
      </c>
      <c r="I777" t="str">
        <f>CashIntraTable[Portfolio]&amp;VALUE(CashIntraTable[Cash Date])&amp;CashIntraTable[Detail]</f>
        <v>SCBSFF434021.2. Switch-in</v>
      </c>
      <c r="Q777" t="e">
        <f>_xlfn.NUMBERVALUE(#REF!)</f>
        <v>#REF!</v>
      </c>
    </row>
    <row r="778" spans="1:17" x14ac:dyDescent="0.2">
      <c r="A778" t="s">
        <v>17</v>
      </c>
      <c r="B778" t="s">
        <v>23</v>
      </c>
      <c r="C778" s="147">
        <v>43403</v>
      </c>
      <c r="D778" t="s">
        <v>382</v>
      </c>
      <c r="E778">
        <v>9657340.3300000001</v>
      </c>
      <c r="F778" t="s">
        <v>330</v>
      </c>
      <c r="G778" t="s">
        <v>383</v>
      </c>
      <c r="H778">
        <v>181025160005</v>
      </c>
      <c r="I778" t="str">
        <f>CashIntraTable[Portfolio]&amp;VALUE(CashIntraTable[Cash Date])&amp;CashIntraTable[Detail]</f>
        <v>SCBSFF434031.2. Switch-in</v>
      </c>
    </row>
    <row r="779" spans="1:17" x14ac:dyDescent="0.2">
      <c r="A779" t="s">
        <v>17</v>
      </c>
      <c r="B779" t="s">
        <v>23</v>
      </c>
      <c r="C779" s="147">
        <v>43404</v>
      </c>
      <c r="D779" t="s">
        <v>382</v>
      </c>
      <c r="E779">
        <v>2229870.15</v>
      </c>
      <c r="F779" t="s">
        <v>330</v>
      </c>
      <c r="G779" t="s">
        <v>383</v>
      </c>
      <c r="H779">
        <v>181025160005</v>
      </c>
      <c r="I779" t="str">
        <f>CashIntraTable[Portfolio]&amp;VALUE(CashIntraTable[Cash Date])&amp;CashIntraTable[Detail]</f>
        <v>SCBSFF434041.2. Switch-in</v>
      </c>
    </row>
    <row r="780" spans="1:17" ht="11.25" customHeight="1" x14ac:dyDescent="0.2">
      <c r="A780" t="s">
        <v>17</v>
      </c>
      <c r="B780" t="s">
        <v>23</v>
      </c>
      <c r="C780" s="147">
        <v>43409</v>
      </c>
      <c r="D780" t="s">
        <v>382</v>
      </c>
      <c r="E780">
        <v>18228.3</v>
      </c>
      <c r="F780" t="s">
        <v>330</v>
      </c>
      <c r="G780" t="s">
        <v>383</v>
      </c>
      <c r="H780">
        <v>181025160005</v>
      </c>
      <c r="I780" t="str">
        <f>CashIntraTable[Portfolio]&amp;VALUE(CashIntraTable[Cash Date])&amp;CashIntraTable[Detail]</f>
        <v>SCBSFF434091.2. Switch-in</v>
      </c>
    </row>
    <row r="781" spans="1:17" x14ac:dyDescent="0.2">
      <c r="A781" t="s">
        <v>17</v>
      </c>
      <c r="B781" t="s">
        <v>23</v>
      </c>
      <c r="C781" s="147">
        <v>43398</v>
      </c>
      <c r="D781" t="s">
        <v>382</v>
      </c>
      <c r="E781">
        <v>-231111779.02000001</v>
      </c>
      <c r="F781" t="s">
        <v>331</v>
      </c>
      <c r="G781" t="s">
        <v>383</v>
      </c>
      <c r="H781">
        <v>181025160005</v>
      </c>
      <c r="I781" t="str">
        <f>CashIntraTable[Portfolio]&amp;VALUE(CashIntraTable[Cash Date])&amp;CashIntraTable[Detail]</f>
        <v>SCBSFF433982.1. Redemption</v>
      </c>
    </row>
    <row r="782" spans="1:17" x14ac:dyDescent="0.2">
      <c r="A782" t="s">
        <v>17</v>
      </c>
      <c r="B782" t="s">
        <v>23</v>
      </c>
      <c r="C782" s="147">
        <v>43399</v>
      </c>
      <c r="D782" t="s">
        <v>382</v>
      </c>
      <c r="E782">
        <v>-266317259.74000001</v>
      </c>
      <c r="F782" t="s">
        <v>331</v>
      </c>
      <c r="G782" t="s">
        <v>383</v>
      </c>
      <c r="H782">
        <v>181025160005</v>
      </c>
      <c r="I782" t="str">
        <f>CashIntraTable[Portfolio]&amp;VALUE(CashIntraTable[Cash Date])&amp;CashIntraTable[Detail]</f>
        <v>SCBSFF433992.1. Redemption</v>
      </c>
    </row>
    <row r="783" spans="1:17" x14ac:dyDescent="0.2">
      <c r="A783" t="s">
        <v>17</v>
      </c>
      <c r="B783" t="s">
        <v>23</v>
      </c>
      <c r="C783" s="147">
        <v>43398</v>
      </c>
      <c r="D783" t="s">
        <v>382</v>
      </c>
      <c r="E783">
        <v>-244077567.19</v>
      </c>
      <c r="F783" t="s">
        <v>332</v>
      </c>
      <c r="G783" t="s">
        <v>383</v>
      </c>
      <c r="H783">
        <v>181025160005</v>
      </c>
      <c r="I783" t="str">
        <f>CashIntraTable[Portfolio]&amp;VALUE(CashIntraTable[Cash Date])&amp;CashIntraTable[Detail]</f>
        <v>SCBSFF433982.2. Switch-out</v>
      </c>
    </row>
    <row r="784" spans="1:17" x14ac:dyDescent="0.2">
      <c r="A784" t="s">
        <v>17</v>
      </c>
      <c r="B784" t="s">
        <v>23</v>
      </c>
      <c r="C784" s="147">
        <v>43399</v>
      </c>
      <c r="D784" t="s">
        <v>382</v>
      </c>
      <c r="E784">
        <v>-180859843.41999999</v>
      </c>
      <c r="F784" t="s">
        <v>332</v>
      </c>
      <c r="G784" t="s">
        <v>383</v>
      </c>
      <c r="H784">
        <v>181025160005</v>
      </c>
      <c r="I784" t="str">
        <f>CashIntraTable[Portfolio]&amp;VALUE(CashIntraTable[Cash Date])&amp;CashIntraTable[Detail]</f>
        <v>SCBSFF433992.2. Switch-out</v>
      </c>
    </row>
    <row r="785" spans="1:9" x14ac:dyDescent="0.2">
      <c r="A785" t="s">
        <v>130</v>
      </c>
      <c r="B785" t="s">
        <v>23</v>
      </c>
      <c r="C785" s="147">
        <v>43398</v>
      </c>
      <c r="D785" t="s">
        <v>382</v>
      </c>
      <c r="E785">
        <v>314141437.80000001</v>
      </c>
      <c r="F785" t="s">
        <v>329</v>
      </c>
      <c r="G785" t="s">
        <v>383</v>
      </c>
      <c r="H785">
        <v>181025160005</v>
      </c>
      <c r="I785" t="str">
        <f>CashIntraTable[Portfolio]&amp;VALUE(CashIntraTable[Cash Date])&amp;CashIntraTable[Detail]</f>
        <v>SCBSFFPLUS433981.1. Subscription</v>
      </c>
    </row>
    <row r="786" spans="1:9" x14ac:dyDescent="0.2">
      <c r="A786" t="s">
        <v>130</v>
      </c>
      <c r="B786" t="s">
        <v>23</v>
      </c>
      <c r="C786" s="147">
        <v>43399</v>
      </c>
      <c r="D786" t="s">
        <v>382</v>
      </c>
      <c r="E786">
        <v>535555512.91000003</v>
      </c>
      <c r="F786" t="s">
        <v>329</v>
      </c>
      <c r="G786" t="s">
        <v>383</v>
      </c>
      <c r="H786">
        <v>181025160005</v>
      </c>
      <c r="I786" t="str">
        <f>CashIntraTable[Portfolio]&amp;VALUE(CashIntraTable[Cash Date])&amp;CashIntraTable[Detail]</f>
        <v>SCBSFFPLUS433991.1. Subscription</v>
      </c>
    </row>
    <row r="787" spans="1:9" x14ac:dyDescent="0.2">
      <c r="A787" t="s">
        <v>130</v>
      </c>
      <c r="B787" t="s">
        <v>23</v>
      </c>
      <c r="C787" s="147">
        <v>43398</v>
      </c>
      <c r="D787" t="s">
        <v>382</v>
      </c>
      <c r="E787">
        <v>25727031.899999999</v>
      </c>
      <c r="F787" t="s">
        <v>333</v>
      </c>
      <c r="G787" t="s">
        <v>383</v>
      </c>
      <c r="H787">
        <v>181025160005</v>
      </c>
      <c r="I787" t="str">
        <f>CashIntraTable[Portfolio]&amp;VALUE(CashIntraTable[Cash Date])&amp;CashIntraTable[Detail]</f>
        <v>SCBSFFPLUS433981.1. Subscription (Chq)</v>
      </c>
    </row>
    <row r="788" spans="1:9" x14ac:dyDescent="0.2">
      <c r="A788" t="s">
        <v>130</v>
      </c>
      <c r="B788" t="s">
        <v>23</v>
      </c>
      <c r="C788" s="147">
        <v>43399</v>
      </c>
      <c r="D788" t="s">
        <v>382</v>
      </c>
      <c r="E788">
        <v>98930808.129999995</v>
      </c>
      <c r="F788" t="s">
        <v>333</v>
      </c>
      <c r="G788" t="s">
        <v>383</v>
      </c>
      <c r="H788">
        <v>181025160005</v>
      </c>
      <c r="I788" t="str">
        <f>CashIntraTable[Portfolio]&amp;VALUE(CashIntraTable[Cash Date])&amp;CashIntraTable[Detail]</f>
        <v>SCBSFFPLUS433991.1. Subscription (Chq)</v>
      </c>
    </row>
    <row r="789" spans="1:9" x14ac:dyDescent="0.2">
      <c r="A789" t="s">
        <v>130</v>
      </c>
      <c r="B789" t="s">
        <v>23</v>
      </c>
      <c r="C789" s="147">
        <v>43398</v>
      </c>
      <c r="D789" t="s">
        <v>382</v>
      </c>
      <c r="E789">
        <v>98517550.469999999</v>
      </c>
      <c r="F789" t="s">
        <v>330</v>
      </c>
      <c r="G789" t="s">
        <v>383</v>
      </c>
      <c r="H789">
        <v>181025160005</v>
      </c>
      <c r="I789" t="str">
        <f>CashIntraTable[Portfolio]&amp;VALUE(CashIntraTable[Cash Date])&amp;CashIntraTable[Detail]</f>
        <v>SCBSFFPLUS433981.2. Switch-in</v>
      </c>
    </row>
    <row r="790" spans="1:9" x14ac:dyDescent="0.2">
      <c r="A790" t="s">
        <v>130</v>
      </c>
      <c r="B790" t="s">
        <v>23</v>
      </c>
      <c r="C790" s="147">
        <v>43399</v>
      </c>
      <c r="D790" t="s">
        <v>382</v>
      </c>
      <c r="E790">
        <v>364613763.74000001</v>
      </c>
      <c r="F790" t="s">
        <v>330</v>
      </c>
      <c r="G790" t="s">
        <v>383</v>
      </c>
      <c r="H790">
        <v>181025160005</v>
      </c>
      <c r="I790" t="str">
        <f>CashIntraTable[Portfolio]&amp;VALUE(CashIntraTable[Cash Date])&amp;CashIntraTable[Detail]</f>
        <v>SCBSFFPLUS433991.2. Switch-in</v>
      </c>
    </row>
    <row r="791" spans="1:9" x14ac:dyDescent="0.2">
      <c r="A791" t="s">
        <v>130</v>
      </c>
      <c r="B791" t="s">
        <v>23</v>
      </c>
      <c r="C791" s="147">
        <v>43402</v>
      </c>
      <c r="D791" t="s">
        <v>382</v>
      </c>
      <c r="E791">
        <v>95136463.140000001</v>
      </c>
      <c r="F791" t="s">
        <v>330</v>
      </c>
      <c r="G791" t="s">
        <v>383</v>
      </c>
      <c r="H791">
        <v>181025160005</v>
      </c>
      <c r="I791" t="str">
        <f>CashIntraTable[Portfolio]&amp;VALUE(CashIntraTable[Cash Date])&amp;CashIntraTable[Detail]</f>
        <v>SCBSFFPLUS434021.2. Switch-in</v>
      </c>
    </row>
    <row r="792" spans="1:9" x14ac:dyDescent="0.2">
      <c r="A792" t="s">
        <v>130</v>
      </c>
      <c r="B792" t="s">
        <v>23</v>
      </c>
      <c r="C792" s="147">
        <v>43403</v>
      </c>
      <c r="D792" t="s">
        <v>382</v>
      </c>
      <c r="E792">
        <v>34772237</v>
      </c>
      <c r="F792" t="s">
        <v>330</v>
      </c>
      <c r="G792" t="s">
        <v>383</v>
      </c>
      <c r="H792">
        <v>181025160005</v>
      </c>
      <c r="I792" t="str">
        <f>CashIntraTable[Portfolio]&amp;VALUE(CashIntraTable[Cash Date])&amp;CashIntraTable[Detail]</f>
        <v>SCBSFFPLUS434031.2. Switch-in</v>
      </c>
    </row>
    <row r="793" spans="1:9" x14ac:dyDescent="0.2">
      <c r="A793" t="s">
        <v>130</v>
      </c>
      <c r="B793" t="s">
        <v>23</v>
      </c>
      <c r="C793" s="147">
        <v>43404</v>
      </c>
      <c r="D793" t="s">
        <v>382</v>
      </c>
      <c r="E793">
        <v>11878259.26</v>
      </c>
      <c r="F793" t="s">
        <v>330</v>
      </c>
      <c r="G793" t="s">
        <v>383</v>
      </c>
      <c r="H793">
        <v>181025160005</v>
      </c>
      <c r="I793" t="str">
        <f>CashIntraTable[Portfolio]&amp;VALUE(CashIntraTable[Cash Date])&amp;CashIntraTable[Detail]</f>
        <v>SCBSFFPLUS434041.2. Switch-in</v>
      </c>
    </row>
    <row r="794" spans="1:9" x14ac:dyDescent="0.2">
      <c r="A794" t="s">
        <v>130</v>
      </c>
      <c r="B794" t="s">
        <v>23</v>
      </c>
      <c r="C794" s="147">
        <v>43406</v>
      </c>
      <c r="D794" t="s">
        <v>382</v>
      </c>
      <c r="E794">
        <v>5167318.87</v>
      </c>
      <c r="F794" t="s">
        <v>330</v>
      </c>
      <c r="G794" t="s">
        <v>383</v>
      </c>
      <c r="H794">
        <v>181025160005</v>
      </c>
      <c r="I794" t="str">
        <f>CashIntraTable[Portfolio]&amp;VALUE(CashIntraTable[Cash Date])&amp;CashIntraTable[Detail]</f>
        <v>SCBSFFPLUS434061.2. Switch-in</v>
      </c>
    </row>
    <row r="795" spans="1:9" x14ac:dyDescent="0.2">
      <c r="A795" t="s">
        <v>130</v>
      </c>
      <c r="B795" t="s">
        <v>23</v>
      </c>
      <c r="C795" s="147">
        <v>43398</v>
      </c>
      <c r="D795" t="s">
        <v>382</v>
      </c>
      <c r="E795">
        <v>-1178648647.5899999</v>
      </c>
      <c r="F795" t="s">
        <v>331</v>
      </c>
      <c r="G795" t="s">
        <v>383</v>
      </c>
      <c r="H795">
        <v>181025160005</v>
      </c>
      <c r="I795" t="str">
        <f>CashIntraTable[Portfolio]&amp;VALUE(CashIntraTable[Cash Date])&amp;CashIntraTable[Detail]</f>
        <v>SCBSFFPLUS433982.1. Redemption</v>
      </c>
    </row>
    <row r="796" spans="1:9" x14ac:dyDescent="0.2">
      <c r="A796" t="s">
        <v>130</v>
      </c>
      <c r="B796" t="s">
        <v>23</v>
      </c>
      <c r="C796" s="147">
        <v>43399</v>
      </c>
      <c r="D796" t="s">
        <v>382</v>
      </c>
      <c r="E796">
        <v>-854726874.16999996</v>
      </c>
      <c r="F796" t="s">
        <v>331</v>
      </c>
      <c r="G796" t="s">
        <v>383</v>
      </c>
      <c r="H796">
        <v>181025160005</v>
      </c>
      <c r="I796" t="str">
        <f>CashIntraTable[Portfolio]&amp;VALUE(CashIntraTable[Cash Date])&amp;CashIntraTable[Detail]</f>
        <v>SCBSFFPLUS433992.1. Redemption</v>
      </c>
    </row>
    <row r="797" spans="1:9" x14ac:dyDescent="0.2">
      <c r="A797" t="s">
        <v>130</v>
      </c>
      <c r="B797" t="s">
        <v>23</v>
      </c>
      <c r="C797" s="147">
        <v>43398</v>
      </c>
      <c r="D797" t="s">
        <v>382</v>
      </c>
      <c r="E797">
        <v>-369686073.77999997</v>
      </c>
      <c r="F797" t="s">
        <v>332</v>
      </c>
      <c r="G797" t="s">
        <v>383</v>
      </c>
      <c r="H797">
        <v>181025160005</v>
      </c>
      <c r="I797" t="str">
        <f>CashIntraTable[Portfolio]&amp;VALUE(CashIntraTable[Cash Date])&amp;CashIntraTable[Detail]</f>
        <v>SCBSFFPLUS433982.2. Switch-out</v>
      </c>
    </row>
    <row r="798" spans="1:9" x14ac:dyDescent="0.2">
      <c r="A798" t="s">
        <v>130</v>
      </c>
      <c r="B798" t="s">
        <v>23</v>
      </c>
      <c r="C798" s="147">
        <v>43399</v>
      </c>
      <c r="D798" t="s">
        <v>382</v>
      </c>
      <c r="E798">
        <v>-241354993.40000001</v>
      </c>
      <c r="F798" t="s">
        <v>332</v>
      </c>
      <c r="G798" t="s">
        <v>383</v>
      </c>
      <c r="H798">
        <v>181025160005</v>
      </c>
      <c r="I798" t="str">
        <f>CashIntraTable[Portfolio]&amp;VALUE(CashIntraTable[Cash Date])&amp;CashIntraTable[Detail]</f>
        <v>SCBSFFPLUS433992.2. Switch-out</v>
      </c>
    </row>
    <row r="799" spans="1:9" x14ac:dyDescent="0.2">
      <c r="A799" t="s">
        <v>863</v>
      </c>
      <c r="B799" t="s">
        <v>23</v>
      </c>
      <c r="C799" s="147">
        <v>43398</v>
      </c>
      <c r="D799" t="s">
        <v>382</v>
      </c>
      <c r="E799">
        <v>1005.31</v>
      </c>
      <c r="F799" t="s">
        <v>329</v>
      </c>
      <c r="G799" t="s">
        <v>383</v>
      </c>
      <c r="H799">
        <v>181025160005</v>
      </c>
      <c r="I799" t="str">
        <f>CashIntraTable[Portfolio]&amp;VALUE(CashIntraTable[Cash Date])&amp;CashIntraTable[Detail]</f>
        <v>SCBSMART2FUND433981.1. Subscription</v>
      </c>
    </row>
    <row r="800" spans="1:9" x14ac:dyDescent="0.2">
      <c r="A800" t="s">
        <v>863</v>
      </c>
      <c r="B800" t="s">
        <v>23</v>
      </c>
      <c r="C800" s="147">
        <v>43399</v>
      </c>
      <c r="D800" t="s">
        <v>382</v>
      </c>
      <c r="E800">
        <v>14000</v>
      </c>
      <c r="F800" t="s">
        <v>329</v>
      </c>
      <c r="G800" t="s">
        <v>383</v>
      </c>
      <c r="H800">
        <v>181025160005</v>
      </c>
      <c r="I800" t="str">
        <f>CashIntraTable[Portfolio]&amp;VALUE(CashIntraTable[Cash Date])&amp;CashIntraTable[Detail]</f>
        <v>SCBSMART2FUND433991.1. Subscription</v>
      </c>
    </row>
    <row r="801" spans="1:9" x14ac:dyDescent="0.2">
      <c r="A801" t="s">
        <v>863</v>
      </c>
      <c r="B801" t="s">
        <v>23</v>
      </c>
      <c r="C801" s="147">
        <v>43398</v>
      </c>
      <c r="D801" t="s">
        <v>382</v>
      </c>
      <c r="E801">
        <v>-159589.56</v>
      </c>
      <c r="F801" t="s">
        <v>331</v>
      </c>
      <c r="G801" t="s">
        <v>383</v>
      </c>
      <c r="H801">
        <v>181025160005</v>
      </c>
      <c r="I801" t="str">
        <f>CashIntraTable[Portfolio]&amp;VALUE(CashIntraTable[Cash Date])&amp;CashIntraTable[Detail]</f>
        <v>SCBSMART2FUND433982.1. Redemption</v>
      </c>
    </row>
    <row r="802" spans="1:9" x14ac:dyDescent="0.2">
      <c r="A802" t="s">
        <v>863</v>
      </c>
      <c r="B802" t="s">
        <v>23</v>
      </c>
      <c r="C802" s="147">
        <v>43399</v>
      </c>
      <c r="D802" t="s">
        <v>382</v>
      </c>
      <c r="E802">
        <v>-984.13</v>
      </c>
      <c r="F802" t="s">
        <v>331</v>
      </c>
      <c r="G802" t="s">
        <v>383</v>
      </c>
      <c r="H802">
        <v>181025160005</v>
      </c>
      <c r="I802" t="str">
        <f>CashIntraTable[Portfolio]&amp;VALUE(CashIntraTable[Cash Date])&amp;CashIntraTable[Detail]</f>
        <v>SCBSMART2FUND433992.1. Redemption</v>
      </c>
    </row>
    <row r="803" spans="1:9" x14ac:dyDescent="0.2">
      <c r="A803" t="s">
        <v>863</v>
      </c>
      <c r="B803" t="s">
        <v>23</v>
      </c>
      <c r="C803" s="147">
        <v>43402</v>
      </c>
      <c r="D803" t="s">
        <v>382</v>
      </c>
      <c r="E803">
        <v>-2612182.71</v>
      </c>
      <c r="F803" t="s">
        <v>331</v>
      </c>
      <c r="G803" t="s">
        <v>383</v>
      </c>
      <c r="H803">
        <v>181025160005</v>
      </c>
      <c r="I803" t="str">
        <f>CashIntraTable[Portfolio]&amp;VALUE(CashIntraTable[Cash Date])&amp;CashIntraTable[Detail]</f>
        <v>SCBSMART2FUND434022.1. Redemption</v>
      </c>
    </row>
    <row r="804" spans="1:9" x14ac:dyDescent="0.2">
      <c r="A804" t="s">
        <v>863</v>
      </c>
      <c r="B804" t="s">
        <v>23</v>
      </c>
      <c r="C804" s="147">
        <v>43402</v>
      </c>
      <c r="D804" t="s">
        <v>382</v>
      </c>
      <c r="E804">
        <v>-4449738.5199999996</v>
      </c>
      <c r="F804" t="s">
        <v>332</v>
      </c>
      <c r="G804" t="s">
        <v>383</v>
      </c>
      <c r="H804">
        <v>181025160005</v>
      </c>
      <c r="I804" t="str">
        <f>CashIntraTable[Portfolio]&amp;VALUE(CashIntraTable[Cash Date])&amp;CashIntraTable[Detail]</f>
        <v>SCBSMART2FUND434022.2. Switch-out</v>
      </c>
    </row>
    <row r="805" spans="1:9" x14ac:dyDescent="0.2">
      <c r="A805" t="s">
        <v>458</v>
      </c>
      <c r="B805" t="s">
        <v>23</v>
      </c>
      <c r="C805" s="147">
        <v>43399</v>
      </c>
      <c r="D805" t="s">
        <v>382</v>
      </c>
      <c r="E805">
        <v>5000</v>
      </c>
      <c r="F805" t="s">
        <v>329</v>
      </c>
      <c r="G805" t="s">
        <v>383</v>
      </c>
      <c r="H805">
        <v>181025160005</v>
      </c>
      <c r="I805" t="str">
        <f>CashIntraTable[Portfolio]&amp;VALUE(CashIntraTable[Cash Date])&amp;CashIntraTable[Detail]</f>
        <v>SCBSMART3433991.1. Subscription</v>
      </c>
    </row>
    <row r="806" spans="1:9" x14ac:dyDescent="0.2">
      <c r="A806" t="s">
        <v>458</v>
      </c>
      <c r="B806" t="s">
        <v>23</v>
      </c>
      <c r="C806" s="147">
        <v>43402</v>
      </c>
      <c r="D806" t="s">
        <v>382</v>
      </c>
      <c r="E806">
        <v>-3894.05</v>
      </c>
      <c r="F806" t="s">
        <v>331</v>
      </c>
      <c r="G806" t="s">
        <v>383</v>
      </c>
      <c r="H806">
        <v>181025160005</v>
      </c>
      <c r="I806" t="str">
        <f>CashIntraTable[Portfolio]&amp;VALUE(CashIntraTable[Cash Date])&amp;CashIntraTable[Detail]</f>
        <v>SCBSMART3434022.1. Redemption</v>
      </c>
    </row>
    <row r="807" spans="1:9" x14ac:dyDescent="0.2">
      <c r="A807" t="s">
        <v>458</v>
      </c>
      <c r="B807" t="s">
        <v>23</v>
      </c>
      <c r="C807" s="147">
        <v>43404</v>
      </c>
      <c r="D807" t="s">
        <v>382</v>
      </c>
      <c r="E807">
        <v>-2500000</v>
      </c>
      <c r="F807" t="s">
        <v>332</v>
      </c>
      <c r="G807" t="s">
        <v>383</v>
      </c>
      <c r="H807">
        <v>181025160005</v>
      </c>
      <c r="I807" t="str">
        <f>CashIntraTable[Portfolio]&amp;VALUE(CashIntraTable[Cash Date])&amp;CashIntraTable[Detail]</f>
        <v>SCBSMART3434042.2. Switch-out</v>
      </c>
    </row>
    <row r="808" spans="1:9" x14ac:dyDescent="0.2">
      <c r="A808" t="s">
        <v>459</v>
      </c>
      <c r="B808" t="s">
        <v>23</v>
      </c>
      <c r="C808" s="147">
        <v>43399</v>
      </c>
      <c r="D808" t="s">
        <v>382</v>
      </c>
      <c r="E808">
        <v>15500</v>
      </c>
      <c r="F808" t="s">
        <v>329</v>
      </c>
      <c r="G808" t="s">
        <v>383</v>
      </c>
      <c r="H808">
        <v>181025160005</v>
      </c>
      <c r="I808" t="str">
        <f>CashIntraTable[Portfolio]&amp;VALUE(CashIntraTable[Cash Date])&amp;CashIntraTable[Detail]</f>
        <v>SCBSMART4433991.1. Subscription</v>
      </c>
    </row>
    <row r="809" spans="1:9" x14ac:dyDescent="0.2">
      <c r="A809" t="s">
        <v>459</v>
      </c>
      <c r="B809" t="s">
        <v>23</v>
      </c>
      <c r="C809" s="147">
        <v>43398</v>
      </c>
      <c r="D809" t="s">
        <v>382</v>
      </c>
      <c r="E809">
        <v>1000000</v>
      </c>
      <c r="F809" t="s">
        <v>330</v>
      </c>
      <c r="G809" t="s">
        <v>383</v>
      </c>
      <c r="H809">
        <v>181025160005</v>
      </c>
      <c r="I809" t="str">
        <f>CashIntraTable[Portfolio]&amp;VALUE(CashIntraTable[Cash Date])&amp;CashIntraTable[Detail]</f>
        <v>SCBSMART4433981.2. Switch-in</v>
      </c>
    </row>
    <row r="810" spans="1:9" x14ac:dyDescent="0.2">
      <c r="A810" t="s">
        <v>459</v>
      </c>
      <c r="B810" t="s">
        <v>23</v>
      </c>
      <c r="C810" s="147">
        <v>43398</v>
      </c>
      <c r="D810" t="s">
        <v>382</v>
      </c>
      <c r="E810">
        <v>-971.38</v>
      </c>
      <c r="F810" t="s">
        <v>331</v>
      </c>
      <c r="G810" t="s">
        <v>383</v>
      </c>
      <c r="H810">
        <v>181025160005</v>
      </c>
      <c r="I810" t="str">
        <f>CashIntraTable[Portfolio]&amp;VALUE(CashIntraTable[Cash Date])&amp;CashIntraTable[Detail]</f>
        <v>SCBSMART4433982.1. Redemption</v>
      </c>
    </row>
    <row r="811" spans="1:9" x14ac:dyDescent="0.2">
      <c r="A811" t="s">
        <v>459</v>
      </c>
      <c r="B811" t="s">
        <v>23</v>
      </c>
      <c r="C811" s="147">
        <v>43402</v>
      </c>
      <c r="D811" t="s">
        <v>382</v>
      </c>
      <c r="E811">
        <v>-18992.27</v>
      </c>
      <c r="F811" t="s">
        <v>331</v>
      </c>
      <c r="G811" t="s">
        <v>383</v>
      </c>
      <c r="H811">
        <v>181025160005</v>
      </c>
      <c r="I811" t="str">
        <f>CashIntraTable[Portfolio]&amp;VALUE(CashIntraTable[Cash Date])&amp;CashIntraTable[Detail]</f>
        <v>SCBSMART4434022.1. Redemption</v>
      </c>
    </row>
    <row r="812" spans="1:9" x14ac:dyDescent="0.2">
      <c r="A812" t="s">
        <v>459</v>
      </c>
      <c r="B812" t="s">
        <v>23</v>
      </c>
      <c r="C812" s="147">
        <v>43398</v>
      </c>
      <c r="D812" t="s">
        <v>382</v>
      </c>
      <c r="E812">
        <v>-1915.21</v>
      </c>
      <c r="F812" t="s">
        <v>332</v>
      </c>
      <c r="G812" t="s">
        <v>383</v>
      </c>
      <c r="H812">
        <v>181025160005</v>
      </c>
      <c r="I812" t="str">
        <f>CashIntraTable[Portfolio]&amp;VALUE(CashIntraTable[Cash Date])&amp;CashIntraTable[Detail]</f>
        <v>SCBSMART4433982.2. Switch-out</v>
      </c>
    </row>
    <row r="813" spans="1:9" x14ac:dyDescent="0.2">
      <c r="A813" t="s">
        <v>1271</v>
      </c>
      <c r="B813" t="s">
        <v>23</v>
      </c>
      <c r="C813" s="147">
        <v>43402</v>
      </c>
      <c r="D813" t="s">
        <v>382</v>
      </c>
      <c r="E813">
        <v>-1977469.56</v>
      </c>
      <c r="F813" t="s">
        <v>331</v>
      </c>
      <c r="G813" t="s">
        <v>383</v>
      </c>
      <c r="H813">
        <v>181025160005</v>
      </c>
      <c r="I813" t="str">
        <f>CashIntraTable[Portfolio]&amp;VALUE(CashIntraTable[Cash Date])&amp;CashIntraTable[Detail]</f>
        <v>SCBST555B434022.1. Redemption</v>
      </c>
    </row>
    <row r="814" spans="1:9" x14ac:dyDescent="0.2">
      <c r="A814" t="s">
        <v>1271</v>
      </c>
      <c r="B814" t="s">
        <v>23</v>
      </c>
      <c r="C814" s="147">
        <v>43402</v>
      </c>
      <c r="D814" t="s">
        <v>382</v>
      </c>
      <c r="E814">
        <v>-971603.84</v>
      </c>
      <c r="F814" t="s">
        <v>332</v>
      </c>
      <c r="G814" t="s">
        <v>383</v>
      </c>
      <c r="H814">
        <v>181025160005</v>
      </c>
      <c r="I814" t="str">
        <f>CashIntraTable[Portfolio]&amp;VALUE(CashIntraTable[Cash Date])&amp;CashIntraTable[Detail]</f>
        <v>SCBST555B434022.2. Switch-out</v>
      </c>
    </row>
    <row r="815" spans="1:9" x14ac:dyDescent="0.2">
      <c r="A815" t="s">
        <v>460</v>
      </c>
      <c r="B815" t="s">
        <v>23</v>
      </c>
      <c r="C815" s="147">
        <v>43398</v>
      </c>
      <c r="D815" t="s">
        <v>382</v>
      </c>
      <c r="E815">
        <v>213127.5</v>
      </c>
      <c r="F815" t="s">
        <v>329</v>
      </c>
      <c r="G815" t="s">
        <v>383</v>
      </c>
      <c r="H815">
        <v>181025160005</v>
      </c>
      <c r="I815" t="str">
        <f>CashIntraTable[Portfolio]&amp;VALUE(CashIntraTable[Cash Date])&amp;CashIntraTable[Detail]</f>
        <v>SCBTEQFUND433981.1. Subscription</v>
      </c>
    </row>
    <row r="816" spans="1:9" x14ac:dyDescent="0.2">
      <c r="A816" t="s">
        <v>460</v>
      </c>
      <c r="B816" t="s">
        <v>23</v>
      </c>
      <c r="C816" s="147">
        <v>43399</v>
      </c>
      <c r="D816" t="s">
        <v>382</v>
      </c>
      <c r="E816">
        <v>242000</v>
      </c>
      <c r="F816" t="s">
        <v>329</v>
      </c>
      <c r="G816" t="s">
        <v>383</v>
      </c>
      <c r="H816">
        <v>181025160005</v>
      </c>
      <c r="I816" t="str">
        <f>CashIntraTable[Portfolio]&amp;VALUE(CashIntraTable[Cash Date])&amp;CashIntraTable[Detail]</f>
        <v>SCBTEQFUND433991.1. Subscription</v>
      </c>
    </row>
    <row r="817" spans="1:9" x14ac:dyDescent="0.2">
      <c r="A817" t="s">
        <v>460</v>
      </c>
      <c r="B817" t="s">
        <v>23</v>
      </c>
      <c r="C817" s="147">
        <v>43398</v>
      </c>
      <c r="D817" t="s">
        <v>382</v>
      </c>
      <c r="E817">
        <v>2000</v>
      </c>
      <c r="F817" t="s">
        <v>330</v>
      </c>
      <c r="G817" t="s">
        <v>383</v>
      </c>
      <c r="H817">
        <v>181025160005</v>
      </c>
      <c r="I817" t="str">
        <f>CashIntraTable[Portfolio]&amp;VALUE(CashIntraTable[Cash Date])&amp;CashIntraTable[Detail]</f>
        <v>SCBTEQFUND433981.2. Switch-in</v>
      </c>
    </row>
    <row r="818" spans="1:9" x14ac:dyDescent="0.2">
      <c r="A818" t="s">
        <v>460</v>
      </c>
      <c r="B818" t="s">
        <v>23</v>
      </c>
      <c r="C818" s="147">
        <v>43399</v>
      </c>
      <c r="D818" t="s">
        <v>382</v>
      </c>
      <c r="E818">
        <v>52000</v>
      </c>
      <c r="F818" t="s">
        <v>330</v>
      </c>
      <c r="G818" t="s">
        <v>383</v>
      </c>
      <c r="H818">
        <v>181025160005</v>
      </c>
      <c r="I818" t="str">
        <f>CashIntraTable[Portfolio]&amp;VALUE(CashIntraTable[Cash Date])&amp;CashIntraTable[Detail]</f>
        <v>SCBTEQFUND433991.2. Switch-in</v>
      </c>
    </row>
    <row r="819" spans="1:9" x14ac:dyDescent="0.2">
      <c r="A819" t="s">
        <v>460</v>
      </c>
      <c r="B819" t="s">
        <v>23</v>
      </c>
      <c r="C819" s="147">
        <v>43398</v>
      </c>
      <c r="D819" t="s">
        <v>382</v>
      </c>
      <c r="E819">
        <v>-99104.87</v>
      </c>
      <c r="F819" t="s">
        <v>331</v>
      </c>
      <c r="G819" t="s">
        <v>383</v>
      </c>
      <c r="H819">
        <v>181025160005</v>
      </c>
      <c r="I819" t="str">
        <f>CashIntraTable[Portfolio]&amp;VALUE(CashIntraTable[Cash Date])&amp;CashIntraTable[Detail]</f>
        <v>SCBTEQFUND433982.1. Redemption</v>
      </c>
    </row>
    <row r="820" spans="1:9" x14ac:dyDescent="0.2">
      <c r="A820" t="s">
        <v>460</v>
      </c>
      <c r="B820" t="s">
        <v>23</v>
      </c>
      <c r="C820" s="147">
        <v>43399</v>
      </c>
      <c r="D820" t="s">
        <v>382</v>
      </c>
      <c r="E820">
        <v>-19630.78</v>
      </c>
      <c r="F820" t="s">
        <v>331</v>
      </c>
      <c r="G820" t="s">
        <v>383</v>
      </c>
      <c r="H820">
        <v>181025160005</v>
      </c>
      <c r="I820" t="str">
        <f>CashIntraTable[Portfolio]&amp;VALUE(CashIntraTable[Cash Date])&amp;CashIntraTable[Detail]</f>
        <v>SCBTEQFUND433992.1. Redemption</v>
      </c>
    </row>
    <row r="821" spans="1:9" x14ac:dyDescent="0.2">
      <c r="A821" t="s">
        <v>460</v>
      </c>
      <c r="B821" t="s">
        <v>23</v>
      </c>
      <c r="C821" s="147">
        <v>43402</v>
      </c>
      <c r="D821" t="s">
        <v>382</v>
      </c>
      <c r="E821">
        <v>-614155.97</v>
      </c>
      <c r="F821" t="s">
        <v>331</v>
      </c>
      <c r="G821" t="s">
        <v>383</v>
      </c>
      <c r="H821">
        <v>181025160005</v>
      </c>
      <c r="I821" t="str">
        <f>CashIntraTable[Portfolio]&amp;VALUE(CashIntraTable[Cash Date])&amp;CashIntraTable[Detail]</f>
        <v>SCBTEQFUND434022.1. Redemption</v>
      </c>
    </row>
    <row r="822" spans="1:9" x14ac:dyDescent="0.2">
      <c r="A822" t="s">
        <v>460</v>
      </c>
      <c r="B822" t="s">
        <v>23</v>
      </c>
      <c r="C822" s="147">
        <v>43399</v>
      </c>
      <c r="D822" t="s">
        <v>382</v>
      </c>
      <c r="E822">
        <v>-81102.16</v>
      </c>
      <c r="F822" t="s">
        <v>332</v>
      </c>
      <c r="G822" t="s">
        <v>383</v>
      </c>
      <c r="H822">
        <v>181025160005</v>
      </c>
      <c r="I822" t="str">
        <f>CashIntraTable[Portfolio]&amp;VALUE(CashIntraTable[Cash Date])&amp;CashIntraTable[Detail]</f>
        <v>SCBTEQFUND433992.2. Switch-out</v>
      </c>
    </row>
    <row r="823" spans="1:9" x14ac:dyDescent="0.2">
      <c r="A823" t="s">
        <v>461</v>
      </c>
      <c r="B823" t="s">
        <v>23</v>
      </c>
      <c r="C823" s="147">
        <v>43398</v>
      </c>
      <c r="D823" t="s">
        <v>382</v>
      </c>
      <c r="E823">
        <v>460825.5</v>
      </c>
      <c r="F823" t="s">
        <v>329</v>
      </c>
      <c r="G823" t="s">
        <v>383</v>
      </c>
      <c r="H823">
        <v>181025160005</v>
      </c>
      <c r="I823" t="str">
        <f>CashIntraTable[Portfolio]&amp;VALUE(CashIntraTable[Cash Date])&amp;CashIntraTable[Detail]</f>
        <v>SCBTHAICG433981.1. Subscription</v>
      </c>
    </row>
    <row r="824" spans="1:9" x14ac:dyDescent="0.2">
      <c r="A824" t="s">
        <v>461</v>
      </c>
      <c r="B824" t="s">
        <v>23</v>
      </c>
      <c r="C824" s="147">
        <v>43399</v>
      </c>
      <c r="D824" t="s">
        <v>382</v>
      </c>
      <c r="E824">
        <v>31000</v>
      </c>
      <c r="F824" t="s">
        <v>329</v>
      </c>
      <c r="G824" t="s">
        <v>383</v>
      </c>
      <c r="H824">
        <v>181025160005</v>
      </c>
      <c r="I824" t="str">
        <f>CashIntraTable[Portfolio]&amp;VALUE(CashIntraTable[Cash Date])&amp;CashIntraTable[Detail]</f>
        <v>SCBTHAICG433991.1. Subscription</v>
      </c>
    </row>
    <row r="825" spans="1:9" x14ac:dyDescent="0.2">
      <c r="A825" t="s">
        <v>461</v>
      </c>
      <c r="B825" t="s">
        <v>23</v>
      </c>
      <c r="C825" s="147">
        <v>43398</v>
      </c>
      <c r="D825" t="s">
        <v>382</v>
      </c>
      <c r="E825">
        <v>1000</v>
      </c>
      <c r="F825" t="s">
        <v>330</v>
      </c>
      <c r="G825" t="s">
        <v>383</v>
      </c>
      <c r="H825">
        <v>181025160005</v>
      </c>
      <c r="I825" t="str">
        <f>CashIntraTable[Portfolio]&amp;VALUE(CashIntraTable[Cash Date])&amp;CashIntraTable[Detail]</f>
        <v>SCBTHAICG433981.2. Switch-in</v>
      </c>
    </row>
    <row r="826" spans="1:9" x14ac:dyDescent="0.2">
      <c r="A826" t="s">
        <v>461</v>
      </c>
      <c r="B826" t="s">
        <v>23</v>
      </c>
      <c r="C826" s="147">
        <v>43399</v>
      </c>
      <c r="D826" t="s">
        <v>382</v>
      </c>
      <c r="E826">
        <v>160587.09</v>
      </c>
      <c r="F826" t="s">
        <v>330</v>
      </c>
      <c r="G826" t="s">
        <v>383</v>
      </c>
      <c r="H826">
        <v>181025160005</v>
      </c>
      <c r="I826" t="str">
        <f>CashIntraTable[Portfolio]&amp;VALUE(CashIntraTable[Cash Date])&amp;CashIntraTable[Detail]</f>
        <v>SCBTHAICG433991.2. Switch-in</v>
      </c>
    </row>
    <row r="827" spans="1:9" x14ac:dyDescent="0.2">
      <c r="A827" t="s">
        <v>461</v>
      </c>
      <c r="B827" t="s">
        <v>23</v>
      </c>
      <c r="C827" s="147">
        <v>43398</v>
      </c>
      <c r="D827" t="s">
        <v>382</v>
      </c>
      <c r="E827">
        <v>-401903.12</v>
      </c>
      <c r="F827" t="s">
        <v>331</v>
      </c>
      <c r="G827" t="s">
        <v>383</v>
      </c>
      <c r="H827">
        <v>181025160005</v>
      </c>
      <c r="I827" t="str">
        <f>CashIntraTable[Portfolio]&amp;VALUE(CashIntraTable[Cash Date])&amp;CashIntraTable[Detail]</f>
        <v>SCBTHAICG433982.1. Redemption</v>
      </c>
    </row>
    <row r="828" spans="1:9" x14ac:dyDescent="0.2">
      <c r="A828" t="s">
        <v>461</v>
      </c>
      <c r="B828" t="s">
        <v>23</v>
      </c>
      <c r="C828" s="147">
        <v>43402</v>
      </c>
      <c r="D828" t="s">
        <v>382</v>
      </c>
      <c r="E828">
        <v>-69999.990000000005</v>
      </c>
      <c r="F828" t="s">
        <v>331</v>
      </c>
      <c r="G828" t="s">
        <v>383</v>
      </c>
      <c r="H828">
        <v>181025160005</v>
      </c>
      <c r="I828" t="str">
        <f>CashIntraTable[Portfolio]&amp;VALUE(CashIntraTable[Cash Date])&amp;CashIntraTable[Detail]</f>
        <v>SCBTHAICG434022.1. Redemption</v>
      </c>
    </row>
    <row r="829" spans="1:9" x14ac:dyDescent="0.2">
      <c r="A829" t="s">
        <v>461</v>
      </c>
      <c r="B829" t="s">
        <v>23</v>
      </c>
      <c r="C829" s="147">
        <v>43402</v>
      </c>
      <c r="D829" t="s">
        <v>382</v>
      </c>
      <c r="E829">
        <v>-1803.7</v>
      </c>
      <c r="F829" t="s">
        <v>332</v>
      </c>
      <c r="G829" t="s">
        <v>383</v>
      </c>
      <c r="H829">
        <v>181025160005</v>
      </c>
      <c r="I829" t="str">
        <f>CashIntraTable[Portfolio]&amp;VALUE(CashIntraTable[Cash Date])&amp;CashIntraTable[Detail]</f>
        <v>SCBTHAICG434022.2. Switch-out</v>
      </c>
    </row>
    <row r="830" spans="1:9" x14ac:dyDescent="0.2">
      <c r="A830" t="s">
        <v>131</v>
      </c>
      <c r="B830" t="s">
        <v>23</v>
      </c>
      <c r="C830" s="147">
        <v>43398</v>
      </c>
      <c r="D830" t="s">
        <v>382</v>
      </c>
      <c r="E830">
        <v>3333077.79</v>
      </c>
      <c r="F830" t="s">
        <v>329</v>
      </c>
      <c r="G830" t="s">
        <v>383</v>
      </c>
      <c r="H830">
        <v>181025160005</v>
      </c>
      <c r="I830" t="str">
        <f>CashIntraTable[Portfolio]&amp;VALUE(CashIntraTable[Cash Date])&amp;CashIntraTable[Detail]</f>
        <v>SCBTMF433981.1. Subscription</v>
      </c>
    </row>
    <row r="831" spans="1:9" x14ac:dyDescent="0.2">
      <c r="A831" t="s">
        <v>131</v>
      </c>
      <c r="B831" t="s">
        <v>23</v>
      </c>
      <c r="C831" s="147">
        <v>43399</v>
      </c>
      <c r="D831" t="s">
        <v>382</v>
      </c>
      <c r="E831">
        <v>3140935.49</v>
      </c>
      <c r="F831" t="s">
        <v>329</v>
      </c>
      <c r="G831" t="s">
        <v>383</v>
      </c>
      <c r="H831">
        <v>181025160005</v>
      </c>
      <c r="I831" t="str">
        <f>CashIntraTable[Portfolio]&amp;VALUE(CashIntraTable[Cash Date])&amp;CashIntraTable[Detail]</f>
        <v>SCBTMF433991.1. Subscription</v>
      </c>
    </row>
    <row r="832" spans="1:9" x14ac:dyDescent="0.2">
      <c r="A832" t="s">
        <v>131</v>
      </c>
      <c r="B832" t="s">
        <v>23</v>
      </c>
      <c r="C832" s="147">
        <v>43398</v>
      </c>
      <c r="D832" t="s">
        <v>382</v>
      </c>
      <c r="E832">
        <v>3500000</v>
      </c>
      <c r="F832" t="s">
        <v>333</v>
      </c>
      <c r="G832" t="s">
        <v>383</v>
      </c>
      <c r="H832">
        <v>181025160005</v>
      </c>
      <c r="I832" t="str">
        <f>CashIntraTable[Portfolio]&amp;VALUE(CashIntraTable[Cash Date])&amp;CashIntraTable[Detail]</f>
        <v>SCBTMF433981.1. Subscription (Chq)</v>
      </c>
    </row>
    <row r="833" spans="1:9" x14ac:dyDescent="0.2">
      <c r="A833" t="s">
        <v>131</v>
      </c>
      <c r="B833" t="s">
        <v>23</v>
      </c>
      <c r="C833" s="147">
        <v>43398</v>
      </c>
      <c r="D833" t="s">
        <v>382</v>
      </c>
      <c r="E833">
        <v>15865.09</v>
      </c>
      <c r="F833" t="s">
        <v>330</v>
      </c>
      <c r="G833" t="s">
        <v>383</v>
      </c>
      <c r="H833">
        <v>181025160005</v>
      </c>
      <c r="I833" t="str">
        <f>CashIntraTable[Portfolio]&amp;VALUE(CashIntraTable[Cash Date])&amp;CashIntraTable[Detail]</f>
        <v>SCBTMF433981.2. Switch-in</v>
      </c>
    </row>
    <row r="834" spans="1:9" x14ac:dyDescent="0.2">
      <c r="A834" t="s">
        <v>131</v>
      </c>
      <c r="B834" t="s">
        <v>23</v>
      </c>
      <c r="C834" s="147">
        <v>43399</v>
      </c>
      <c r="D834" t="s">
        <v>382</v>
      </c>
      <c r="E834">
        <v>61700.74</v>
      </c>
      <c r="F834" t="s">
        <v>330</v>
      </c>
      <c r="G834" t="s">
        <v>383</v>
      </c>
      <c r="H834">
        <v>181025160005</v>
      </c>
      <c r="I834" t="str">
        <f>CashIntraTable[Portfolio]&amp;VALUE(CashIntraTable[Cash Date])&amp;CashIntraTable[Detail]</f>
        <v>SCBTMF433991.2. Switch-in</v>
      </c>
    </row>
    <row r="835" spans="1:9" x14ac:dyDescent="0.2">
      <c r="A835" t="s">
        <v>131</v>
      </c>
      <c r="B835" t="s">
        <v>23</v>
      </c>
      <c r="C835" s="147">
        <v>43402</v>
      </c>
      <c r="D835" t="s">
        <v>382</v>
      </c>
      <c r="E835">
        <v>455272.32</v>
      </c>
      <c r="F835" t="s">
        <v>330</v>
      </c>
      <c r="G835" t="s">
        <v>383</v>
      </c>
      <c r="H835">
        <v>181025160005</v>
      </c>
      <c r="I835" t="str">
        <f>CashIntraTable[Portfolio]&amp;VALUE(CashIntraTable[Cash Date])&amp;CashIntraTable[Detail]</f>
        <v>SCBTMF434021.2. Switch-in</v>
      </c>
    </row>
    <row r="836" spans="1:9" x14ac:dyDescent="0.2">
      <c r="A836" t="s">
        <v>131</v>
      </c>
      <c r="B836" t="s">
        <v>23</v>
      </c>
      <c r="C836" s="147">
        <v>43403</v>
      </c>
      <c r="D836" t="s">
        <v>382</v>
      </c>
      <c r="E836">
        <v>1500000</v>
      </c>
      <c r="F836" t="s">
        <v>330</v>
      </c>
      <c r="G836" t="s">
        <v>383</v>
      </c>
      <c r="H836">
        <v>181025160005</v>
      </c>
      <c r="I836" t="str">
        <f>CashIntraTable[Portfolio]&amp;VALUE(CashIntraTable[Cash Date])&amp;CashIntraTable[Detail]</f>
        <v>SCBTMF434031.2. Switch-in</v>
      </c>
    </row>
    <row r="837" spans="1:9" x14ac:dyDescent="0.2">
      <c r="A837" t="s">
        <v>131</v>
      </c>
      <c r="B837" t="s">
        <v>23</v>
      </c>
      <c r="C837" s="147">
        <v>43404</v>
      </c>
      <c r="D837" t="s">
        <v>382</v>
      </c>
      <c r="E837">
        <v>10118.549999999999</v>
      </c>
      <c r="F837" t="s">
        <v>330</v>
      </c>
      <c r="G837" t="s">
        <v>383</v>
      </c>
      <c r="H837">
        <v>181025160005</v>
      </c>
      <c r="I837" t="str">
        <f>CashIntraTable[Portfolio]&amp;VALUE(CashIntraTable[Cash Date])&amp;CashIntraTable[Detail]</f>
        <v>SCBTMF434041.2. Switch-in</v>
      </c>
    </row>
    <row r="838" spans="1:9" x14ac:dyDescent="0.2">
      <c r="A838" t="s">
        <v>131</v>
      </c>
      <c r="B838" t="s">
        <v>23</v>
      </c>
      <c r="C838" s="147">
        <v>43398</v>
      </c>
      <c r="D838" t="s">
        <v>382</v>
      </c>
      <c r="E838">
        <v>-21003955.82</v>
      </c>
      <c r="F838" t="s">
        <v>331</v>
      </c>
      <c r="G838" t="s">
        <v>383</v>
      </c>
      <c r="H838">
        <v>181025160005</v>
      </c>
      <c r="I838" t="str">
        <f>CashIntraTable[Portfolio]&amp;VALUE(CashIntraTable[Cash Date])&amp;CashIntraTable[Detail]</f>
        <v>SCBTMF433982.1. Redemption</v>
      </c>
    </row>
    <row r="839" spans="1:9" x14ac:dyDescent="0.2">
      <c r="A839" t="s">
        <v>131</v>
      </c>
      <c r="B839" t="s">
        <v>23</v>
      </c>
      <c r="C839" s="147">
        <v>43399</v>
      </c>
      <c r="D839" t="s">
        <v>382</v>
      </c>
      <c r="E839">
        <v>-21760029.559999999</v>
      </c>
      <c r="F839" t="s">
        <v>331</v>
      </c>
      <c r="G839" t="s">
        <v>383</v>
      </c>
      <c r="H839">
        <v>181025160005</v>
      </c>
      <c r="I839" t="str">
        <f>CashIntraTable[Portfolio]&amp;VALUE(CashIntraTable[Cash Date])&amp;CashIntraTable[Detail]</f>
        <v>SCBTMF433992.1. Redemption</v>
      </c>
    </row>
    <row r="840" spans="1:9" x14ac:dyDescent="0.2">
      <c r="A840" t="s">
        <v>131</v>
      </c>
      <c r="B840" t="s">
        <v>23</v>
      </c>
      <c r="C840" s="147">
        <v>43398</v>
      </c>
      <c r="D840" t="s">
        <v>382</v>
      </c>
      <c r="E840">
        <v>-1581171.93</v>
      </c>
      <c r="F840" t="s">
        <v>332</v>
      </c>
      <c r="G840" t="s">
        <v>383</v>
      </c>
      <c r="H840">
        <v>181025160005</v>
      </c>
      <c r="I840" t="str">
        <f>CashIntraTable[Portfolio]&amp;VALUE(CashIntraTable[Cash Date])&amp;CashIntraTable[Detail]</f>
        <v>SCBTMF433982.2. Switch-out</v>
      </c>
    </row>
    <row r="841" spans="1:9" x14ac:dyDescent="0.2">
      <c r="A841" t="s">
        <v>131</v>
      </c>
      <c r="B841" t="s">
        <v>23</v>
      </c>
      <c r="C841" s="147">
        <v>43399</v>
      </c>
      <c r="D841" t="s">
        <v>382</v>
      </c>
      <c r="E841">
        <v>-1850665.03</v>
      </c>
      <c r="F841" t="s">
        <v>332</v>
      </c>
      <c r="G841" t="s">
        <v>383</v>
      </c>
      <c r="H841">
        <v>181025160005</v>
      </c>
      <c r="I841" t="str">
        <f>CashIntraTable[Portfolio]&amp;VALUE(CashIntraTable[Cash Date])&amp;CashIntraTable[Detail]</f>
        <v>SCBTMF433992.2. Switch-out</v>
      </c>
    </row>
    <row r="842" spans="1:9" x14ac:dyDescent="0.2">
      <c r="A842" t="s">
        <v>132</v>
      </c>
      <c r="B842" t="s">
        <v>23</v>
      </c>
      <c r="C842" s="147">
        <v>43398</v>
      </c>
      <c r="D842" t="s">
        <v>382</v>
      </c>
      <c r="E842">
        <v>122094293.97</v>
      </c>
      <c r="F842" t="s">
        <v>329</v>
      </c>
      <c r="G842" t="s">
        <v>383</v>
      </c>
      <c r="H842">
        <v>181025160005</v>
      </c>
      <c r="I842" t="str">
        <f>CashIntraTable[Portfolio]&amp;VALUE(CashIntraTable[Cash Date])&amp;CashIntraTable[Detail]</f>
        <v>SCBTMFPLUS433981.1. Subscription</v>
      </c>
    </row>
    <row r="843" spans="1:9" x14ac:dyDescent="0.2">
      <c r="A843" t="s">
        <v>132</v>
      </c>
      <c r="B843" t="s">
        <v>23</v>
      </c>
      <c r="C843" s="147">
        <v>43399</v>
      </c>
      <c r="D843" t="s">
        <v>382</v>
      </c>
      <c r="E843">
        <v>57628997.869999997</v>
      </c>
      <c r="F843" t="s">
        <v>329</v>
      </c>
      <c r="G843" t="s">
        <v>383</v>
      </c>
      <c r="H843">
        <v>181025160005</v>
      </c>
      <c r="I843" t="str">
        <f>CashIntraTable[Portfolio]&amp;VALUE(CashIntraTable[Cash Date])&amp;CashIntraTable[Detail]</f>
        <v>SCBTMFPLUS433991.1. Subscription</v>
      </c>
    </row>
    <row r="844" spans="1:9" x14ac:dyDescent="0.2">
      <c r="A844" t="s">
        <v>132</v>
      </c>
      <c r="B844" t="s">
        <v>23</v>
      </c>
      <c r="C844" s="147">
        <v>43398</v>
      </c>
      <c r="D844" t="s">
        <v>382</v>
      </c>
      <c r="E844">
        <v>640000</v>
      </c>
      <c r="F844" t="s">
        <v>333</v>
      </c>
      <c r="G844" t="s">
        <v>383</v>
      </c>
      <c r="H844">
        <v>181025160005</v>
      </c>
      <c r="I844" t="str">
        <f>CashIntraTable[Portfolio]&amp;VALUE(CashIntraTable[Cash Date])&amp;CashIntraTable[Detail]</f>
        <v>SCBTMFPLUS433981.1. Subscription (Chq)</v>
      </c>
    </row>
    <row r="845" spans="1:9" x14ac:dyDescent="0.2">
      <c r="A845" t="s">
        <v>132</v>
      </c>
      <c r="B845" t="s">
        <v>23</v>
      </c>
      <c r="C845" s="147">
        <v>43399</v>
      </c>
      <c r="D845" t="s">
        <v>382</v>
      </c>
      <c r="E845">
        <v>1800000</v>
      </c>
      <c r="F845" t="s">
        <v>333</v>
      </c>
      <c r="G845" t="s">
        <v>383</v>
      </c>
      <c r="H845">
        <v>181025160005</v>
      </c>
      <c r="I845" t="str">
        <f>CashIntraTable[Portfolio]&amp;VALUE(CashIntraTable[Cash Date])&amp;CashIntraTable[Detail]</f>
        <v>SCBTMFPLUS433991.1. Subscription (Chq)</v>
      </c>
    </row>
    <row r="846" spans="1:9" x14ac:dyDescent="0.2">
      <c r="A846" t="s">
        <v>132</v>
      </c>
      <c r="B846" t="s">
        <v>23</v>
      </c>
      <c r="C846" s="147">
        <v>43398</v>
      </c>
      <c r="D846" t="s">
        <v>382</v>
      </c>
      <c r="E846">
        <v>942858.7</v>
      </c>
      <c r="F846" t="s">
        <v>330</v>
      </c>
      <c r="G846" t="s">
        <v>383</v>
      </c>
      <c r="H846">
        <v>181025160005</v>
      </c>
      <c r="I846" t="str">
        <f>CashIntraTable[Portfolio]&amp;VALUE(CashIntraTable[Cash Date])&amp;CashIntraTable[Detail]</f>
        <v>SCBTMFPLUS433981.2. Switch-in</v>
      </c>
    </row>
    <row r="847" spans="1:9" x14ac:dyDescent="0.2">
      <c r="A847" t="s">
        <v>132</v>
      </c>
      <c r="B847" t="s">
        <v>23</v>
      </c>
      <c r="C847" s="147">
        <v>43399</v>
      </c>
      <c r="D847" t="s">
        <v>382</v>
      </c>
      <c r="E847">
        <v>2417468.1</v>
      </c>
      <c r="F847" t="s">
        <v>330</v>
      </c>
      <c r="G847" t="s">
        <v>383</v>
      </c>
      <c r="H847">
        <v>181025160005</v>
      </c>
      <c r="I847" t="str">
        <f>CashIntraTable[Portfolio]&amp;VALUE(CashIntraTable[Cash Date])&amp;CashIntraTable[Detail]</f>
        <v>SCBTMFPLUS433991.2. Switch-in</v>
      </c>
    </row>
    <row r="848" spans="1:9" x14ac:dyDescent="0.2">
      <c r="A848" t="s">
        <v>132</v>
      </c>
      <c r="B848" t="s">
        <v>23</v>
      </c>
      <c r="C848" s="147">
        <v>43402</v>
      </c>
      <c r="D848" t="s">
        <v>382</v>
      </c>
      <c r="E848">
        <v>55158.13</v>
      </c>
      <c r="F848" t="s">
        <v>330</v>
      </c>
      <c r="G848" t="s">
        <v>383</v>
      </c>
      <c r="H848">
        <v>181025160005</v>
      </c>
      <c r="I848" t="str">
        <f>CashIntraTable[Portfolio]&amp;VALUE(CashIntraTable[Cash Date])&amp;CashIntraTable[Detail]</f>
        <v>SCBTMFPLUS434021.2. Switch-in</v>
      </c>
    </row>
    <row r="849" spans="1:9" x14ac:dyDescent="0.2">
      <c r="A849" t="s">
        <v>132</v>
      </c>
      <c r="B849" t="s">
        <v>23</v>
      </c>
      <c r="C849" s="147">
        <v>43398</v>
      </c>
      <c r="D849" t="s">
        <v>382</v>
      </c>
      <c r="E849">
        <v>-234074868.63999999</v>
      </c>
      <c r="F849" t="s">
        <v>331</v>
      </c>
      <c r="G849" t="s">
        <v>383</v>
      </c>
      <c r="H849">
        <v>181025160005</v>
      </c>
      <c r="I849" t="str">
        <f>CashIntraTable[Portfolio]&amp;VALUE(CashIntraTable[Cash Date])&amp;CashIntraTable[Detail]</f>
        <v>SCBTMFPLUS433982.1. Redemption</v>
      </c>
    </row>
    <row r="850" spans="1:9" x14ac:dyDescent="0.2">
      <c r="A850" t="s">
        <v>132</v>
      </c>
      <c r="B850" t="s">
        <v>23</v>
      </c>
      <c r="C850" s="147">
        <v>43399</v>
      </c>
      <c r="D850" t="s">
        <v>382</v>
      </c>
      <c r="E850">
        <v>-231112718.41999999</v>
      </c>
      <c r="F850" t="s">
        <v>331</v>
      </c>
      <c r="G850" t="s">
        <v>383</v>
      </c>
      <c r="H850">
        <v>181025160005</v>
      </c>
      <c r="I850" t="str">
        <f>CashIntraTable[Portfolio]&amp;VALUE(CashIntraTable[Cash Date])&amp;CashIntraTable[Detail]</f>
        <v>SCBTMFPLUS433992.1. Redemption</v>
      </c>
    </row>
    <row r="851" spans="1:9" x14ac:dyDescent="0.2">
      <c r="A851" t="s">
        <v>132</v>
      </c>
      <c r="B851" t="s">
        <v>23</v>
      </c>
      <c r="C851" s="147">
        <v>43398</v>
      </c>
      <c r="D851" t="s">
        <v>382</v>
      </c>
      <c r="E851">
        <v>-760000</v>
      </c>
      <c r="F851" t="s">
        <v>332</v>
      </c>
      <c r="G851" t="s">
        <v>383</v>
      </c>
      <c r="H851">
        <v>181025160005</v>
      </c>
      <c r="I851" t="str">
        <f>CashIntraTable[Portfolio]&amp;VALUE(CashIntraTable[Cash Date])&amp;CashIntraTable[Detail]</f>
        <v>SCBTMFPLUS433982.2. Switch-out</v>
      </c>
    </row>
    <row r="852" spans="1:9" x14ac:dyDescent="0.2">
      <c r="A852" t="s">
        <v>132</v>
      </c>
      <c r="B852" t="s">
        <v>23</v>
      </c>
      <c r="C852" s="147">
        <v>43399</v>
      </c>
      <c r="D852" t="s">
        <v>382</v>
      </c>
      <c r="E852">
        <v>-232000</v>
      </c>
      <c r="F852" t="s">
        <v>332</v>
      </c>
      <c r="G852" t="s">
        <v>383</v>
      </c>
      <c r="H852">
        <v>181025160005</v>
      </c>
      <c r="I852" t="str">
        <f>CashIntraTable[Portfolio]&amp;VALUE(CashIntraTable[Cash Date])&amp;CashIntraTable[Detail]</f>
        <v>SCBTMFPLUS433992.2. Switch-out</v>
      </c>
    </row>
    <row r="853" spans="1:9" x14ac:dyDescent="0.2">
      <c r="A853" t="s">
        <v>1261</v>
      </c>
      <c r="B853" t="s">
        <v>23</v>
      </c>
      <c r="C853" s="147">
        <v>43399</v>
      </c>
      <c r="D853" t="s">
        <v>382</v>
      </c>
      <c r="E853">
        <v>-3018622.71</v>
      </c>
      <c r="F853" t="s">
        <v>332</v>
      </c>
      <c r="G853" t="s">
        <v>383</v>
      </c>
      <c r="H853">
        <v>181025160005</v>
      </c>
      <c r="I853" t="str">
        <f>CashIntraTable[Portfolio]&amp;VALUE(CashIntraTable[Cash Date])&amp;CashIntraTable[Detail]</f>
        <v>SCBUSHY433992.2. Switch-out</v>
      </c>
    </row>
    <row r="854" spans="1:9" x14ac:dyDescent="0.2">
      <c r="A854" t="s">
        <v>462</v>
      </c>
      <c r="B854" t="s">
        <v>23</v>
      </c>
      <c r="C854" s="147">
        <v>43398</v>
      </c>
      <c r="D854" t="s">
        <v>382</v>
      </c>
      <c r="E854">
        <v>8000</v>
      </c>
      <c r="F854" t="s">
        <v>329</v>
      </c>
      <c r="G854" t="s">
        <v>383</v>
      </c>
      <c r="H854">
        <v>181025160005</v>
      </c>
      <c r="I854" t="str">
        <f>CashIntraTable[Portfolio]&amp;VALUE(CashIntraTable[Cash Date])&amp;CashIntraTable[Detail]</f>
        <v>SCBUSSM433981.1. Subscription</v>
      </c>
    </row>
    <row r="855" spans="1:9" x14ac:dyDescent="0.2">
      <c r="A855" t="s">
        <v>462</v>
      </c>
      <c r="B855" t="s">
        <v>23</v>
      </c>
      <c r="C855" s="147">
        <v>43399</v>
      </c>
      <c r="D855" t="s">
        <v>382</v>
      </c>
      <c r="E855">
        <v>56000</v>
      </c>
      <c r="F855" t="s">
        <v>329</v>
      </c>
      <c r="G855" t="s">
        <v>383</v>
      </c>
      <c r="H855">
        <v>181025160005</v>
      </c>
      <c r="I855" t="str">
        <f>CashIntraTable[Portfolio]&amp;VALUE(CashIntraTable[Cash Date])&amp;CashIntraTable[Detail]</f>
        <v>SCBUSSM433991.1. Subscription</v>
      </c>
    </row>
    <row r="856" spans="1:9" x14ac:dyDescent="0.2">
      <c r="A856" t="s">
        <v>462</v>
      </c>
      <c r="B856" t="s">
        <v>23</v>
      </c>
      <c r="C856" s="147">
        <v>43399</v>
      </c>
      <c r="D856" t="s">
        <v>382</v>
      </c>
      <c r="E856">
        <v>20000</v>
      </c>
      <c r="F856" t="s">
        <v>330</v>
      </c>
      <c r="G856" t="s">
        <v>383</v>
      </c>
      <c r="H856">
        <v>181025160005</v>
      </c>
      <c r="I856" t="str">
        <f>CashIntraTable[Portfolio]&amp;VALUE(CashIntraTable[Cash Date])&amp;CashIntraTable[Detail]</f>
        <v>SCBUSSM433991.2. Switch-in</v>
      </c>
    </row>
    <row r="857" spans="1:9" x14ac:dyDescent="0.2">
      <c r="A857" t="s">
        <v>462</v>
      </c>
      <c r="B857" t="s">
        <v>23</v>
      </c>
      <c r="C857" s="147">
        <v>43398</v>
      </c>
      <c r="D857" t="s">
        <v>382</v>
      </c>
      <c r="E857">
        <v>-941.27</v>
      </c>
      <c r="F857" t="s">
        <v>331</v>
      </c>
      <c r="G857" t="s">
        <v>383</v>
      </c>
      <c r="H857">
        <v>181025160005</v>
      </c>
      <c r="I857" t="str">
        <f>CashIntraTable[Portfolio]&amp;VALUE(CashIntraTable[Cash Date])&amp;CashIntraTable[Detail]</f>
        <v>SCBUSSM433982.1. Redemption</v>
      </c>
    </row>
    <row r="858" spans="1:9" x14ac:dyDescent="0.2">
      <c r="A858" t="s">
        <v>462</v>
      </c>
      <c r="B858" t="s">
        <v>23</v>
      </c>
      <c r="C858" s="147">
        <v>43403</v>
      </c>
      <c r="D858" t="s">
        <v>382</v>
      </c>
      <c r="E858">
        <v>-68000</v>
      </c>
      <c r="F858" t="s">
        <v>331</v>
      </c>
      <c r="G858" t="s">
        <v>383</v>
      </c>
      <c r="H858">
        <v>181025160005</v>
      </c>
      <c r="I858" t="str">
        <f>CashIntraTable[Portfolio]&amp;VALUE(CashIntraTable[Cash Date])&amp;CashIntraTable[Detail]</f>
        <v>SCBUSSM434032.1. Redemption</v>
      </c>
    </row>
    <row r="859" spans="1:9" x14ac:dyDescent="0.2">
      <c r="A859" t="s">
        <v>462</v>
      </c>
      <c r="B859" t="s">
        <v>23</v>
      </c>
      <c r="C859" s="147">
        <v>43404</v>
      </c>
      <c r="D859" t="s">
        <v>382</v>
      </c>
      <c r="E859">
        <v>-24260.98</v>
      </c>
      <c r="F859" t="s">
        <v>331</v>
      </c>
      <c r="G859" t="s">
        <v>383</v>
      </c>
      <c r="H859">
        <v>181025160005</v>
      </c>
      <c r="I859" t="str">
        <f>CashIntraTable[Portfolio]&amp;VALUE(CashIntraTable[Cash Date])&amp;CashIntraTable[Detail]</f>
        <v>SCBUSSM434042.1. Redemption</v>
      </c>
    </row>
    <row r="860" spans="1:9" x14ac:dyDescent="0.2">
      <c r="A860" t="s">
        <v>462</v>
      </c>
      <c r="B860" t="s">
        <v>23</v>
      </c>
      <c r="C860" s="147">
        <v>43398</v>
      </c>
      <c r="D860" t="s">
        <v>382</v>
      </c>
      <c r="E860">
        <v>-5225.4799999999996</v>
      </c>
      <c r="F860" t="s">
        <v>332</v>
      </c>
      <c r="G860" t="s">
        <v>383</v>
      </c>
      <c r="H860">
        <v>181025160005</v>
      </c>
      <c r="I860" t="str">
        <f>CashIntraTable[Portfolio]&amp;VALUE(CashIntraTable[Cash Date])&amp;CashIntraTable[Detail]</f>
        <v>SCBUSSM433982.2. Switch-out</v>
      </c>
    </row>
    <row r="861" spans="1:9" x14ac:dyDescent="0.2">
      <c r="A861" t="s">
        <v>462</v>
      </c>
      <c r="B861" t="s">
        <v>23</v>
      </c>
      <c r="C861" s="147">
        <v>43404</v>
      </c>
      <c r="D861" t="s">
        <v>382</v>
      </c>
      <c r="E861">
        <v>-984.19</v>
      </c>
      <c r="F861" t="s">
        <v>332</v>
      </c>
      <c r="G861" t="s">
        <v>383</v>
      </c>
      <c r="H861">
        <v>181025160005</v>
      </c>
      <c r="I861" t="str">
        <f>CashIntraTable[Portfolio]&amp;VALUE(CashIntraTable[Cash Date])&amp;CashIntraTable[Detail]</f>
        <v>SCBUSSM434042.2. Switch-out</v>
      </c>
    </row>
    <row r="862" spans="1:9" x14ac:dyDescent="0.2">
      <c r="A862" t="s">
        <v>463</v>
      </c>
      <c r="B862" t="s">
        <v>23</v>
      </c>
      <c r="C862" s="147">
        <v>43399</v>
      </c>
      <c r="D862" t="s">
        <v>382</v>
      </c>
      <c r="E862">
        <v>12100</v>
      </c>
      <c r="F862" t="s">
        <v>329</v>
      </c>
      <c r="G862" t="s">
        <v>383</v>
      </c>
      <c r="H862">
        <v>181025160005</v>
      </c>
      <c r="I862" t="str">
        <f>CashIntraTable[Portfolio]&amp;VALUE(CashIntraTable[Cash Date])&amp;CashIntraTable[Detail]</f>
        <v>SCBWIN433991.1. Subscription</v>
      </c>
    </row>
    <row r="863" spans="1:9" x14ac:dyDescent="0.2">
      <c r="A863" t="s">
        <v>463</v>
      </c>
      <c r="B863" t="s">
        <v>23</v>
      </c>
      <c r="C863" s="147">
        <v>43398</v>
      </c>
      <c r="D863" t="s">
        <v>382</v>
      </c>
      <c r="E863">
        <v>1000</v>
      </c>
      <c r="F863" t="s">
        <v>330</v>
      </c>
      <c r="G863" t="s">
        <v>383</v>
      </c>
      <c r="H863">
        <v>181025160005</v>
      </c>
      <c r="I863" t="str">
        <f>CashIntraTable[Portfolio]&amp;VALUE(CashIntraTable[Cash Date])&amp;CashIntraTable[Detail]</f>
        <v>SCBWIN433981.2. Switch-in</v>
      </c>
    </row>
    <row r="864" spans="1:9" x14ac:dyDescent="0.2">
      <c r="A864" t="s">
        <v>463</v>
      </c>
      <c r="B864" t="s">
        <v>23</v>
      </c>
      <c r="C864" s="147">
        <v>43398</v>
      </c>
      <c r="D864" t="s">
        <v>382</v>
      </c>
      <c r="E864">
        <v>-5301937.4000000004</v>
      </c>
      <c r="F864" t="s">
        <v>331</v>
      </c>
      <c r="G864" t="s">
        <v>383</v>
      </c>
      <c r="H864">
        <v>181025160005</v>
      </c>
      <c r="I864" t="str">
        <f>CashIntraTable[Portfolio]&amp;VALUE(CashIntraTable[Cash Date])&amp;CashIntraTable[Detail]</f>
        <v>SCBWIN433982.1. Redemption</v>
      </c>
    </row>
    <row r="865" spans="1:9" x14ac:dyDescent="0.2">
      <c r="A865" t="s">
        <v>463</v>
      </c>
      <c r="B865" t="s">
        <v>23</v>
      </c>
      <c r="C865" s="147">
        <v>43399</v>
      </c>
      <c r="D865" t="s">
        <v>382</v>
      </c>
      <c r="E865">
        <v>-25939356.25</v>
      </c>
      <c r="F865" t="s">
        <v>331</v>
      </c>
      <c r="G865" t="s">
        <v>383</v>
      </c>
      <c r="H865">
        <v>181025160005</v>
      </c>
      <c r="I865" t="str">
        <f>CashIntraTable[Portfolio]&amp;VALUE(CashIntraTable[Cash Date])&amp;CashIntraTable[Detail]</f>
        <v>SCBWIN433992.1. Redemption</v>
      </c>
    </row>
    <row r="866" spans="1:9" x14ac:dyDescent="0.2">
      <c r="A866" t="s">
        <v>463</v>
      </c>
      <c r="B866" t="s">
        <v>23</v>
      </c>
      <c r="C866" s="147">
        <v>43402</v>
      </c>
      <c r="D866" t="s">
        <v>382</v>
      </c>
      <c r="E866">
        <v>-2128817.4</v>
      </c>
      <c r="F866" t="s">
        <v>331</v>
      </c>
      <c r="G866" t="s">
        <v>383</v>
      </c>
      <c r="H866">
        <v>181025160005</v>
      </c>
      <c r="I866" t="str">
        <f>CashIntraTable[Portfolio]&amp;VALUE(CashIntraTable[Cash Date])&amp;CashIntraTable[Detail]</f>
        <v>SCBWIN434022.1. Redemption</v>
      </c>
    </row>
    <row r="867" spans="1:9" x14ac:dyDescent="0.2">
      <c r="A867" t="s">
        <v>463</v>
      </c>
      <c r="B867" t="s">
        <v>23</v>
      </c>
      <c r="C867" s="147">
        <v>43403</v>
      </c>
      <c r="D867" t="s">
        <v>382</v>
      </c>
      <c r="E867">
        <v>-1229.6500000000001</v>
      </c>
      <c r="F867" t="s">
        <v>331</v>
      </c>
      <c r="G867" t="s">
        <v>383</v>
      </c>
      <c r="H867">
        <v>181025160005</v>
      </c>
      <c r="I867" t="str">
        <f>CashIntraTable[Portfolio]&amp;VALUE(CashIntraTable[Cash Date])&amp;CashIntraTable[Detail]</f>
        <v>SCBWIN434032.1. Redemption</v>
      </c>
    </row>
    <row r="868" spans="1:9" x14ac:dyDescent="0.2">
      <c r="A868" t="s">
        <v>463</v>
      </c>
      <c r="B868" t="s">
        <v>23</v>
      </c>
      <c r="C868" s="147">
        <v>43398</v>
      </c>
      <c r="D868" t="s">
        <v>382</v>
      </c>
      <c r="E868">
        <v>-2607023.38</v>
      </c>
      <c r="F868" t="s">
        <v>332</v>
      </c>
      <c r="G868" t="s">
        <v>383</v>
      </c>
      <c r="H868">
        <v>181025160005</v>
      </c>
      <c r="I868" t="str">
        <f>CashIntraTable[Portfolio]&amp;VALUE(CashIntraTable[Cash Date])&amp;CashIntraTable[Detail]</f>
        <v>SCBWIN433982.2. Switch-out</v>
      </c>
    </row>
    <row r="869" spans="1:9" x14ac:dyDescent="0.2">
      <c r="A869" t="s">
        <v>463</v>
      </c>
      <c r="B869" t="s">
        <v>23</v>
      </c>
      <c r="C869" s="147">
        <v>43399</v>
      </c>
      <c r="D869" t="s">
        <v>382</v>
      </c>
      <c r="E869">
        <v>-2043116.45</v>
      </c>
      <c r="F869" t="s">
        <v>332</v>
      </c>
      <c r="G869" t="s">
        <v>383</v>
      </c>
      <c r="H869">
        <v>181025160005</v>
      </c>
      <c r="I869" t="str">
        <f>CashIntraTable[Portfolio]&amp;VALUE(CashIntraTable[Cash Date])&amp;CashIntraTable[Detail]</f>
        <v>SCBWIN433992.2. Switch-out</v>
      </c>
    </row>
    <row r="870" spans="1:9" x14ac:dyDescent="0.2">
      <c r="A870" t="s">
        <v>463</v>
      </c>
      <c r="B870" t="s">
        <v>23</v>
      </c>
      <c r="C870" s="147">
        <v>43402</v>
      </c>
      <c r="D870" t="s">
        <v>382</v>
      </c>
      <c r="E870">
        <v>-17825278.75</v>
      </c>
      <c r="F870" t="s">
        <v>332</v>
      </c>
      <c r="G870" t="s">
        <v>383</v>
      </c>
      <c r="H870">
        <v>181025160005</v>
      </c>
      <c r="I870" t="str">
        <f>CashIntraTable[Portfolio]&amp;VALUE(CashIntraTable[Cash Date])&amp;CashIntraTable[Detail]</f>
        <v>SCBWIN434022.2. Switch-out</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1CB546-6FC2-4B3E-9D15-880B29D05C26}">
  <sheetPr codeName="Sheet3"/>
  <dimension ref="A1:AA161"/>
  <sheetViews>
    <sheetView zoomScale="70" zoomScaleNormal="70" workbookViewId="0">
      <selection activeCell="F27" sqref="F27"/>
    </sheetView>
  </sheetViews>
  <sheetFormatPr defaultRowHeight="14.25" x14ac:dyDescent="0.2"/>
  <cols>
    <col min="1" max="1" width="11.375" customWidth="1"/>
    <col min="2" max="2" width="13" customWidth="1"/>
    <col min="3" max="3" width="11.625" style="2" customWidth="1"/>
    <col min="4" max="4" width="18.125" customWidth="1"/>
    <col min="5" max="6" width="15" customWidth="1"/>
    <col min="7" max="7" width="14.25" customWidth="1"/>
    <col min="8" max="8" width="16.375" customWidth="1"/>
    <col min="9" max="9" width="18" customWidth="1"/>
    <col min="10" max="10" width="11.375" customWidth="1"/>
    <col min="11" max="11" width="14.25" customWidth="1"/>
    <col min="12" max="12" width="13.625" customWidth="1"/>
    <col min="13" max="13" width="11.375" customWidth="1"/>
    <col min="14" max="14" width="13.25" customWidth="1"/>
    <col min="15" max="15" width="14.125" customWidth="1"/>
    <col min="16" max="16" width="24.875" style="3" customWidth="1"/>
    <col min="17" max="18" width="20.75" customWidth="1"/>
    <col min="19" max="20" width="23.625" customWidth="1"/>
    <col min="21" max="21" width="21.75" customWidth="1"/>
    <col min="22" max="22" width="23" customWidth="1"/>
    <col min="23" max="23" width="21.375" customWidth="1"/>
    <col min="24" max="24" width="22.625" customWidth="1"/>
    <col min="25" max="25" width="15" customWidth="1"/>
    <col min="26" max="26" width="19.25" customWidth="1"/>
    <col min="27" max="27" width="21" customWidth="1"/>
    <col min="30" max="30" width="9" customWidth="1"/>
  </cols>
  <sheetData>
    <row r="1" spans="1:27" x14ac:dyDescent="0.2">
      <c r="A1" t="s">
        <v>303</v>
      </c>
      <c r="B1" t="s">
        <v>304</v>
      </c>
      <c r="C1" s="2" t="s">
        <v>305</v>
      </c>
      <c r="D1" t="s">
        <v>306</v>
      </c>
      <c r="E1" t="s">
        <v>307</v>
      </c>
      <c r="F1" t="s">
        <v>308</v>
      </c>
      <c r="G1" t="s">
        <v>309</v>
      </c>
      <c r="H1" t="s">
        <v>310</v>
      </c>
      <c r="I1" t="s">
        <v>311</v>
      </c>
      <c r="J1" t="s">
        <v>312</v>
      </c>
      <c r="K1" t="s">
        <v>313</v>
      </c>
      <c r="L1" t="s">
        <v>314</v>
      </c>
      <c r="M1" t="s">
        <v>315</v>
      </c>
      <c r="N1" t="s">
        <v>316</v>
      </c>
      <c r="O1" t="s">
        <v>317</v>
      </c>
      <c r="P1" s="3" t="s">
        <v>318</v>
      </c>
      <c r="Q1" t="s">
        <v>319</v>
      </c>
      <c r="R1" t="s">
        <v>320</v>
      </c>
      <c r="S1" t="s">
        <v>321</v>
      </c>
      <c r="T1" t="s">
        <v>322</v>
      </c>
      <c r="U1" t="s">
        <v>323</v>
      </c>
      <c r="V1" t="s">
        <v>324</v>
      </c>
      <c r="W1" t="s">
        <v>325</v>
      </c>
      <c r="X1" t="s">
        <v>326</v>
      </c>
      <c r="Y1" t="s">
        <v>327</v>
      </c>
      <c r="Z1" t="s">
        <v>328</v>
      </c>
      <c r="AA1" t="s">
        <v>380</v>
      </c>
    </row>
    <row r="2" spans="1:27" x14ac:dyDescent="0.2">
      <c r="A2" t="s">
        <v>17</v>
      </c>
      <c r="B2" t="s">
        <v>21</v>
      </c>
      <c r="C2" s="131">
        <v>43395</v>
      </c>
      <c r="D2">
        <v>0</v>
      </c>
      <c r="E2">
        <v>0</v>
      </c>
      <c r="F2">
        <v>0</v>
      </c>
      <c r="G2">
        <v>0</v>
      </c>
      <c r="H2">
        <v>0</v>
      </c>
      <c r="I2">
        <v>0</v>
      </c>
      <c r="J2">
        <v>0</v>
      </c>
      <c r="K2">
        <v>179847448.69</v>
      </c>
      <c r="L2">
        <v>0</v>
      </c>
      <c r="M2">
        <v>10064348.23</v>
      </c>
      <c r="N2">
        <v>0</v>
      </c>
      <c r="O2">
        <v>0</v>
      </c>
      <c r="P2" s="3">
        <v>0</v>
      </c>
      <c r="Q2">
        <v>0</v>
      </c>
      <c r="R2">
        <v>0</v>
      </c>
      <c r="S2">
        <v>0</v>
      </c>
      <c r="T2">
        <v>0</v>
      </c>
      <c r="U2">
        <v>0</v>
      </c>
      <c r="V2">
        <v>0</v>
      </c>
      <c r="W2">
        <v>179847448.69</v>
      </c>
      <c r="X2">
        <v>0</v>
      </c>
      <c r="Y2">
        <v>0</v>
      </c>
      <c r="Z2">
        <v>-10064348.23</v>
      </c>
      <c r="AA2" t="str">
        <f>CashProjTable[Portfolio]&amp;CashProjTable[ProjDate]</f>
        <v>SCBSFF43395</v>
      </c>
    </row>
    <row r="3" spans="1:27" x14ac:dyDescent="0.2">
      <c r="A3" t="s">
        <v>17</v>
      </c>
      <c r="B3" t="s">
        <v>21</v>
      </c>
      <c r="C3" s="131">
        <v>43397</v>
      </c>
      <c r="D3">
        <v>2598881929.25</v>
      </c>
      <c r="E3">
        <v>2778887584</v>
      </c>
      <c r="F3">
        <v>18733.41</v>
      </c>
      <c r="G3">
        <v>0</v>
      </c>
      <c r="H3">
        <v>0</v>
      </c>
      <c r="I3">
        <v>0</v>
      </c>
      <c r="J3">
        <v>0</v>
      </c>
      <c r="K3">
        <v>660837905.98000002</v>
      </c>
      <c r="L3">
        <v>298473623.44999999</v>
      </c>
      <c r="M3">
        <v>12439636.83</v>
      </c>
      <c r="N3">
        <v>635060436.88</v>
      </c>
      <c r="O3">
        <v>171719554.53999999</v>
      </c>
      <c r="P3" s="3">
        <v>344116582798.42999</v>
      </c>
      <c r="Q3">
        <v>2598881929.25</v>
      </c>
      <c r="R3">
        <v>2778887584</v>
      </c>
      <c r="S3">
        <v>0</v>
      </c>
      <c r="T3">
        <v>0</v>
      </c>
      <c r="U3">
        <v>179847448.69</v>
      </c>
      <c r="V3">
        <v>0</v>
      </c>
      <c r="W3">
        <v>660837905.98000002</v>
      </c>
      <c r="X3">
        <v>0</v>
      </c>
      <c r="Y3">
        <v>-511622336.5</v>
      </c>
      <c r="Z3">
        <v>148854045.59</v>
      </c>
      <c r="AA3" t="str">
        <f>CashProjTable[Portfolio]&amp;CashProjTable[ProjDate]</f>
        <v>SCBSFF43397</v>
      </c>
    </row>
    <row r="4" spans="1:27" x14ac:dyDescent="0.2">
      <c r="A4" t="s">
        <v>17</v>
      </c>
      <c r="B4" t="s">
        <v>21</v>
      </c>
      <c r="C4" s="131">
        <v>43398</v>
      </c>
      <c r="D4">
        <v>3486380906.6799998</v>
      </c>
      <c r="E4">
        <v>4449000000</v>
      </c>
      <c r="F4">
        <v>0</v>
      </c>
      <c r="G4">
        <v>0</v>
      </c>
      <c r="H4">
        <v>0</v>
      </c>
      <c r="I4">
        <v>0</v>
      </c>
      <c r="J4">
        <v>0</v>
      </c>
      <c r="K4">
        <v>133171213.12</v>
      </c>
      <c r="L4">
        <v>231110680.94</v>
      </c>
      <c r="M4">
        <v>6870542.9299999997</v>
      </c>
      <c r="N4">
        <v>244077388.09999999</v>
      </c>
      <c r="O4">
        <v>806062877.79999995</v>
      </c>
      <c r="P4" s="3">
        <v>344116582798.42999</v>
      </c>
      <c r="Q4">
        <v>3486380906.6799998</v>
      </c>
      <c r="R4">
        <v>4449000000</v>
      </c>
      <c r="S4">
        <v>0</v>
      </c>
      <c r="T4">
        <v>0</v>
      </c>
      <c r="U4">
        <v>660837905.98000002</v>
      </c>
      <c r="V4">
        <v>0</v>
      </c>
      <c r="W4">
        <v>133171213.12</v>
      </c>
      <c r="X4">
        <v>0</v>
      </c>
      <c r="Y4">
        <v>653581484.91999996</v>
      </c>
      <c r="Z4">
        <v>640799057.61000001</v>
      </c>
      <c r="AA4" t="str">
        <f>CashProjTable[Portfolio]&amp;CashProjTable[ProjDate]</f>
        <v>SCBSFF43398</v>
      </c>
    </row>
    <row r="5" spans="1:27" x14ac:dyDescent="0.2">
      <c r="A5" t="s">
        <v>17</v>
      </c>
      <c r="B5" t="s">
        <v>21</v>
      </c>
      <c r="C5" s="131">
        <v>43399</v>
      </c>
      <c r="D5">
        <v>0</v>
      </c>
      <c r="E5">
        <v>0</v>
      </c>
      <c r="F5">
        <v>0</v>
      </c>
      <c r="G5">
        <v>0</v>
      </c>
      <c r="H5">
        <v>0</v>
      </c>
      <c r="I5">
        <v>0</v>
      </c>
      <c r="J5">
        <v>0</v>
      </c>
      <c r="K5">
        <v>0</v>
      </c>
      <c r="L5">
        <v>0</v>
      </c>
      <c r="M5">
        <v>0</v>
      </c>
      <c r="N5">
        <v>0</v>
      </c>
      <c r="O5">
        <v>806062877.79999995</v>
      </c>
      <c r="P5" s="3">
        <v>344116582798.42999</v>
      </c>
      <c r="Q5">
        <v>0</v>
      </c>
      <c r="R5">
        <v>0</v>
      </c>
      <c r="S5">
        <v>0</v>
      </c>
      <c r="T5">
        <v>0</v>
      </c>
      <c r="U5">
        <v>133171213.12</v>
      </c>
      <c r="V5">
        <v>0</v>
      </c>
      <c r="W5">
        <v>0</v>
      </c>
      <c r="X5">
        <v>0</v>
      </c>
      <c r="Y5">
        <v>799192334.87</v>
      </c>
      <c r="Z5">
        <v>785108458.52999997</v>
      </c>
      <c r="AA5" t="str">
        <f>CashProjTable[Portfolio]&amp;CashProjTable[ProjDate]</f>
        <v>SCBSFF43399</v>
      </c>
    </row>
    <row r="6" spans="1:27" x14ac:dyDescent="0.2">
      <c r="A6" t="s">
        <v>17</v>
      </c>
      <c r="B6" t="s">
        <v>21</v>
      </c>
      <c r="C6" s="131">
        <v>43400</v>
      </c>
      <c r="D6">
        <v>0</v>
      </c>
      <c r="E6">
        <v>0</v>
      </c>
      <c r="F6">
        <v>0</v>
      </c>
      <c r="G6">
        <v>0</v>
      </c>
      <c r="H6">
        <v>0</v>
      </c>
      <c r="I6">
        <v>0</v>
      </c>
      <c r="J6">
        <v>0</v>
      </c>
      <c r="K6">
        <v>0</v>
      </c>
      <c r="L6">
        <v>0</v>
      </c>
      <c r="M6">
        <v>0</v>
      </c>
      <c r="N6">
        <v>0</v>
      </c>
      <c r="O6">
        <v>806062877.79999995</v>
      </c>
      <c r="P6" s="3">
        <v>344116582798.42999</v>
      </c>
      <c r="Q6">
        <v>0</v>
      </c>
      <c r="R6">
        <v>0</v>
      </c>
      <c r="S6">
        <v>0</v>
      </c>
      <c r="T6">
        <v>0</v>
      </c>
      <c r="U6">
        <v>0</v>
      </c>
      <c r="V6">
        <v>0</v>
      </c>
      <c r="W6">
        <v>0</v>
      </c>
      <c r="X6">
        <v>0</v>
      </c>
      <c r="Y6">
        <v>806062877.79999995</v>
      </c>
      <c r="Z6">
        <v>798849544.38999999</v>
      </c>
      <c r="AA6" t="str">
        <f>CashProjTable[Portfolio]&amp;CashProjTable[ProjDate]</f>
        <v>SCBSFF43400</v>
      </c>
    </row>
    <row r="7" spans="1:27" x14ac:dyDescent="0.2">
      <c r="A7" t="s">
        <v>17</v>
      </c>
      <c r="B7" t="s">
        <v>21</v>
      </c>
      <c r="C7" s="131">
        <v>43401</v>
      </c>
      <c r="D7">
        <v>0</v>
      </c>
      <c r="E7">
        <v>0</v>
      </c>
      <c r="F7">
        <v>0</v>
      </c>
      <c r="G7">
        <v>0</v>
      </c>
      <c r="H7">
        <v>0</v>
      </c>
      <c r="I7">
        <v>0</v>
      </c>
      <c r="J7">
        <v>0</v>
      </c>
      <c r="K7">
        <v>0</v>
      </c>
      <c r="L7">
        <v>0</v>
      </c>
      <c r="M7">
        <v>0</v>
      </c>
      <c r="N7">
        <v>0</v>
      </c>
      <c r="O7">
        <v>806062877.79999995</v>
      </c>
      <c r="P7" s="3">
        <v>344116582798.42999</v>
      </c>
      <c r="Q7">
        <v>0</v>
      </c>
      <c r="R7">
        <v>0</v>
      </c>
      <c r="S7">
        <v>0</v>
      </c>
      <c r="T7">
        <v>0</v>
      </c>
      <c r="U7">
        <v>0</v>
      </c>
      <c r="V7">
        <v>0</v>
      </c>
      <c r="W7">
        <v>0</v>
      </c>
      <c r="X7">
        <v>0</v>
      </c>
      <c r="Y7">
        <v>806062877.79999995</v>
      </c>
      <c r="Z7">
        <v>798849544.38999999</v>
      </c>
      <c r="AA7" t="str">
        <f>CashProjTable[Portfolio]&amp;CashProjTable[ProjDate]</f>
        <v>SCBSFF43401</v>
      </c>
    </row>
    <row r="8" spans="1:27" x14ac:dyDescent="0.2">
      <c r="A8" t="s">
        <v>17</v>
      </c>
      <c r="B8" t="s">
        <v>21</v>
      </c>
      <c r="C8" s="131">
        <v>43402</v>
      </c>
      <c r="D8">
        <v>0</v>
      </c>
      <c r="E8">
        <v>0</v>
      </c>
      <c r="F8">
        <v>0</v>
      </c>
      <c r="G8">
        <v>0</v>
      </c>
      <c r="H8">
        <v>0</v>
      </c>
      <c r="I8">
        <v>0</v>
      </c>
      <c r="J8">
        <v>0</v>
      </c>
      <c r="K8">
        <v>0</v>
      </c>
      <c r="L8">
        <v>0</v>
      </c>
      <c r="M8">
        <v>0</v>
      </c>
      <c r="N8">
        <v>0</v>
      </c>
      <c r="O8">
        <v>806062877.79999995</v>
      </c>
      <c r="P8" s="3">
        <v>344116582798.42999</v>
      </c>
      <c r="Q8">
        <v>0</v>
      </c>
      <c r="R8">
        <v>0</v>
      </c>
      <c r="S8">
        <v>0</v>
      </c>
      <c r="T8">
        <v>0</v>
      </c>
      <c r="U8">
        <v>0</v>
      </c>
      <c r="V8">
        <v>0</v>
      </c>
      <c r="W8">
        <v>0</v>
      </c>
      <c r="X8">
        <v>0</v>
      </c>
      <c r="Y8">
        <v>806062877.79999995</v>
      </c>
      <c r="Z8">
        <v>798849544.38999999</v>
      </c>
      <c r="AA8" t="str">
        <f>CashProjTable[Portfolio]&amp;CashProjTable[ProjDate]</f>
        <v>SCBSFF43402</v>
      </c>
    </row>
    <row r="9" spans="1:27" x14ac:dyDescent="0.2">
      <c r="A9" t="s">
        <v>17</v>
      </c>
      <c r="B9" t="s">
        <v>21</v>
      </c>
      <c r="C9" s="131">
        <v>43403</v>
      </c>
      <c r="D9">
        <v>0</v>
      </c>
      <c r="E9">
        <v>400000000</v>
      </c>
      <c r="F9">
        <v>0</v>
      </c>
      <c r="G9">
        <v>0</v>
      </c>
      <c r="H9">
        <v>0</v>
      </c>
      <c r="I9">
        <v>0</v>
      </c>
      <c r="J9">
        <v>0</v>
      </c>
      <c r="K9">
        <v>0</v>
      </c>
      <c r="L9">
        <v>0</v>
      </c>
      <c r="M9">
        <v>0</v>
      </c>
      <c r="N9">
        <v>0</v>
      </c>
      <c r="O9">
        <v>1206062877.8</v>
      </c>
      <c r="P9" s="3">
        <v>344116582798.42999</v>
      </c>
      <c r="Q9">
        <v>0</v>
      </c>
      <c r="R9">
        <v>400000000</v>
      </c>
      <c r="S9">
        <v>0</v>
      </c>
      <c r="T9">
        <v>0</v>
      </c>
      <c r="U9">
        <v>0</v>
      </c>
      <c r="V9">
        <v>0</v>
      </c>
      <c r="W9">
        <v>0</v>
      </c>
      <c r="X9">
        <v>0</v>
      </c>
      <c r="Y9">
        <v>1206062877.8</v>
      </c>
      <c r="Z9">
        <v>1198849544.3900001</v>
      </c>
      <c r="AA9" t="str">
        <f>CashProjTable[Portfolio]&amp;CashProjTable[ProjDate]</f>
        <v>SCBSFF43403</v>
      </c>
    </row>
    <row r="10" spans="1:27" x14ac:dyDescent="0.2">
      <c r="A10" t="s">
        <v>17</v>
      </c>
      <c r="B10" t="s">
        <v>21</v>
      </c>
      <c r="C10" s="131">
        <v>43404</v>
      </c>
      <c r="D10">
        <v>0</v>
      </c>
      <c r="E10">
        <v>100000000</v>
      </c>
      <c r="F10">
        <v>2369315.0699999998</v>
      </c>
      <c r="G10">
        <v>0</v>
      </c>
      <c r="H10">
        <v>0</v>
      </c>
      <c r="I10">
        <v>0</v>
      </c>
      <c r="J10">
        <v>0</v>
      </c>
      <c r="K10">
        <v>0</v>
      </c>
      <c r="L10">
        <v>0</v>
      </c>
      <c r="M10">
        <v>0</v>
      </c>
      <c r="N10">
        <v>0</v>
      </c>
      <c r="O10">
        <v>1308432192.8699999</v>
      </c>
      <c r="P10" s="3">
        <v>344116582798.42999</v>
      </c>
      <c r="Q10">
        <v>0</v>
      </c>
      <c r="R10">
        <v>100000000</v>
      </c>
      <c r="S10">
        <v>0</v>
      </c>
      <c r="T10">
        <v>0</v>
      </c>
      <c r="U10">
        <v>0</v>
      </c>
      <c r="V10">
        <v>0</v>
      </c>
      <c r="W10">
        <v>0</v>
      </c>
      <c r="X10">
        <v>0</v>
      </c>
      <c r="Y10">
        <v>1308432192.8699999</v>
      </c>
      <c r="Z10">
        <v>1298849544.3900001</v>
      </c>
      <c r="AA10" t="str">
        <f>CashProjTable[Portfolio]&amp;CashProjTable[ProjDate]</f>
        <v>SCBSFF43404</v>
      </c>
    </row>
    <row r="11" spans="1:27" x14ac:dyDescent="0.2">
      <c r="A11" t="s">
        <v>17</v>
      </c>
      <c r="B11" t="s">
        <v>21</v>
      </c>
      <c r="C11" s="131">
        <v>43405</v>
      </c>
      <c r="D11">
        <v>0</v>
      </c>
      <c r="E11">
        <v>3333000000.0100002</v>
      </c>
      <c r="F11">
        <v>0</v>
      </c>
      <c r="G11">
        <v>0</v>
      </c>
      <c r="H11">
        <v>0</v>
      </c>
      <c r="I11">
        <v>0</v>
      </c>
      <c r="J11">
        <v>0</v>
      </c>
      <c r="K11">
        <v>0</v>
      </c>
      <c r="L11">
        <v>0</v>
      </c>
      <c r="M11">
        <v>0</v>
      </c>
      <c r="N11">
        <v>0</v>
      </c>
      <c r="O11">
        <v>4641432192.8800001</v>
      </c>
      <c r="P11" s="3">
        <v>344116582798.42999</v>
      </c>
      <c r="Q11">
        <v>0</v>
      </c>
      <c r="R11">
        <v>3333000000.0100002</v>
      </c>
      <c r="S11">
        <v>0</v>
      </c>
      <c r="T11">
        <v>0</v>
      </c>
      <c r="U11">
        <v>0</v>
      </c>
      <c r="V11">
        <v>0</v>
      </c>
      <c r="W11">
        <v>0</v>
      </c>
      <c r="X11">
        <v>0</v>
      </c>
      <c r="Y11">
        <v>4641432192.8800001</v>
      </c>
      <c r="Z11">
        <v>4634218859.4700003</v>
      </c>
      <c r="AA11" t="str">
        <f>CashProjTable[Portfolio]&amp;CashProjTable[ProjDate]</f>
        <v>SCBSFF43405</v>
      </c>
    </row>
    <row r="12" spans="1:27" x14ac:dyDescent="0.2">
      <c r="A12" t="s">
        <v>17</v>
      </c>
      <c r="B12" t="s">
        <v>21</v>
      </c>
      <c r="C12" s="131">
        <v>43406</v>
      </c>
      <c r="D12">
        <v>0</v>
      </c>
      <c r="E12">
        <v>0</v>
      </c>
      <c r="F12">
        <v>0</v>
      </c>
      <c r="G12">
        <v>0</v>
      </c>
      <c r="H12">
        <v>0</v>
      </c>
      <c r="I12">
        <v>0</v>
      </c>
      <c r="J12">
        <v>0</v>
      </c>
      <c r="K12">
        <v>0</v>
      </c>
      <c r="L12">
        <v>0</v>
      </c>
      <c r="M12">
        <v>0</v>
      </c>
      <c r="N12">
        <v>0</v>
      </c>
      <c r="O12">
        <v>4641432192.8800001</v>
      </c>
      <c r="P12" s="3">
        <v>344116582798.42999</v>
      </c>
      <c r="Q12">
        <v>0</v>
      </c>
      <c r="R12">
        <v>0</v>
      </c>
      <c r="S12">
        <v>0</v>
      </c>
      <c r="T12">
        <v>0</v>
      </c>
      <c r="U12">
        <v>0</v>
      </c>
      <c r="V12">
        <v>0</v>
      </c>
      <c r="W12">
        <v>0</v>
      </c>
      <c r="X12">
        <v>0</v>
      </c>
      <c r="Y12">
        <v>4641432192.8800001</v>
      </c>
      <c r="Z12">
        <v>4634218859.4700003</v>
      </c>
      <c r="AA12" t="str">
        <f>CashProjTable[Portfolio]&amp;CashProjTable[ProjDate]</f>
        <v>SCBSFF43406</v>
      </c>
    </row>
    <row r="13" spans="1:27" x14ac:dyDescent="0.2">
      <c r="A13" t="s">
        <v>17</v>
      </c>
      <c r="B13" t="s">
        <v>21</v>
      </c>
      <c r="C13" s="131">
        <v>43407</v>
      </c>
      <c r="D13">
        <v>0</v>
      </c>
      <c r="E13">
        <v>0</v>
      </c>
      <c r="F13">
        <v>0</v>
      </c>
      <c r="G13">
        <v>0</v>
      </c>
      <c r="H13">
        <v>0</v>
      </c>
      <c r="I13">
        <v>0</v>
      </c>
      <c r="J13">
        <v>0</v>
      </c>
      <c r="K13">
        <v>0</v>
      </c>
      <c r="L13">
        <v>0</v>
      </c>
      <c r="M13">
        <v>0</v>
      </c>
      <c r="N13">
        <v>0</v>
      </c>
      <c r="O13">
        <v>4641432192.8800001</v>
      </c>
      <c r="P13" s="3">
        <v>344116582798.42999</v>
      </c>
      <c r="Q13">
        <v>0</v>
      </c>
      <c r="R13">
        <v>0</v>
      </c>
      <c r="S13">
        <v>0</v>
      </c>
      <c r="T13">
        <v>0</v>
      </c>
      <c r="U13">
        <v>0</v>
      </c>
      <c r="V13">
        <v>0</v>
      </c>
      <c r="W13">
        <v>0</v>
      </c>
      <c r="X13">
        <v>0</v>
      </c>
      <c r="Y13">
        <v>4641432192.8800001</v>
      </c>
      <c r="Z13">
        <v>4634218859.4700003</v>
      </c>
      <c r="AA13" t="str">
        <f>CashProjTable[Portfolio]&amp;CashProjTable[ProjDate]</f>
        <v>SCBSFF43407</v>
      </c>
    </row>
    <row r="14" spans="1:27" x14ac:dyDescent="0.2">
      <c r="A14" t="s">
        <v>17</v>
      </c>
      <c r="B14" t="s">
        <v>21</v>
      </c>
      <c r="C14" s="131">
        <v>43408</v>
      </c>
      <c r="D14">
        <v>0</v>
      </c>
      <c r="E14">
        <v>0</v>
      </c>
      <c r="F14">
        <v>0</v>
      </c>
      <c r="G14">
        <v>0</v>
      </c>
      <c r="H14">
        <v>0</v>
      </c>
      <c r="I14">
        <v>0</v>
      </c>
      <c r="J14">
        <v>0</v>
      </c>
      <c r="K14">
        <v>0</v>
      </c>
      <c r="L14">
        <v>0</v>
      </c>
      <c r="M14">
        <v>0</v>
      </c>
      <c r="N14">
        <v>0</v>
      </c>
      <c r="O14">
        <v>4641432192.8800001</v>
      </c>
      <c r="P14" s="3">
        <v>344116582798.42999</v>
      </c>
      <c r="Q14">
        <v>0</v>
      </c>
      <c r="R14">
        <v>0</v>
      </c>
      <c r="S14">
        <v>0</v>
      </c>
      <c r="T14">
        <v>0</v>
      </c>
      <c r="U14">
        <v>0</v>
      </c>
      <c r="V14">
        <v>0</v>
      </c>
      <c r="W14">
        <v>0</v>
      </c>
      <c r="X14">
        <v>0</v>
      </c>
      <c r="Y14">
        <v>4641432192.8800001</v>
      </c>
      <c r="Z14">
        <v>4634218859.4700003</v>
      </c>
      <c r="AA14" t="str">
        <f>CashProjTable[Portfolio]&amp;CashProjTable[ProjDate]</f>
        <v>SCBSFF43408</v>
      </c>
    </row>
    <row r="15" spans="1:27" x14ac:dyDescent="0.2">
      <c r="A15" t="s">
        <v>17</v>
      </c>
      <c r="B15" t="s">
        <v>21</v>
      </c>
      <c r="C15" s="131">
        <v>43409</v>
      </c>
      <c r="D15">
        <v>0</v>
      </c>
      <c r="E15">
        <v>0</v>
      </c>
      <c r="F15">
        <v>0</v>
      </c>
      <c r="G15">
        <v>0</v>
      </c>
      <c r="H15">
        <v>938452500</v>
      </c>
      <c r="I15">
        <v>193946.85</v>
      </c>
      <c r="J15">
        <v>0</v>
      </c>
      <c r="K15">
        <v>0</v>
      </c>
      <c r="L15">
        <v>0</v>
      </c>
      <c r="M15">
        <v>0</v>
      </c>
      <c r="N15">
        <v>0</v>
      </c>
      <c r="O15">
        <v>5580078639.7299995</v>
      </c>
      <c r="P15" s="3">
        <v>343178130298.42999</v>
      </c>
      <c r="Q15">
        <v>0</v>
      </c>
      <c r="R15">
        <v>0</v>
      </c>
      <c r="S15">
        <v>0</v>
      </c>
      <c r="T15">
        <v>938452500</v>
      </c>
      <c r="U15">
        <v>0</v>
      </c>
      <c r="V15">
        <v>0</v>
      </c>
      <c r="W15">
        <v>0</v>
      </c>
      <c r="X15">
        <v>0</v>
      </c>
      <c r="Y15">
        <v>5580078639.7299995</v>
      </c>
      <c r="Z15">
        <v>5572671359.4700003</v>
      </c>
      <c r="AA15" t="str">
        <f>CashProjTable[Portfolio]&amp;CashProjTable[ProjDate]</f>
        <v>SCBSFF43409</v>
      </c>
    </row>
    <row r="16" spans="1:27" x14ac:dyDescent="0.2">
      <c r="A16" t="s">
        <v>17</v>
      </c>
      <c r="B16" t="s">
        <v>21</v>
      </c>
      <c r="C16" s="131">
        <v>43410</v>
      </c>
      <c r="D16">
        <v>0</v>
      </c>
      <c r="E16">
        <v>2600000000</v>
      </c>
      <c r="F16">
        <v>0</v>
      </c>
      <c r="G16">
        <v>0</v>
      </c>
      <c r="H16">
        <v>1150870000</v>
      </c>
      <c r="I16">
        <v>27928804.859999999</v>
      </c>
      <c r="J16">
        <v>1538751.35</v>
      </c>
      <c r="K16">
        <v>0</v>
      </c>
      <c r="L16">
        <v>0</v>
      </c>
      <c r="M16">
        <v>0</v>
      </c>
      <c r="N16">
        <v>0</v>
      </c>
      <c r="O16">
        <v>9357338693.2399998</v>
      </c>
      <c r="P16" s="3">
        <v>342027260298.42999</v>
      </c>
      <c r="Q16">
        <v>0</v>
      </c>
      <c r="R16">
        <v>2600000000</v>
      </c>
      <c r="S16">
        <v>0</v>
      </c>
      <c r="T16">
        <v>1150870000</v>
      </c>
      <c r="U16">
        <v>0</v>
      </c>
      <c r="V16">
        <v>0</v>
      </c>
      <c r="W16">
        <v>0</v>
      </c>
      <c r="X16">
        <v>0</v>
      </c>
      <c r="Y16">
        <v>9357338693.2399998</v>
      </c>
      <c r="Z16">
        <v>9322196554.9699993</v>
      </c>
      <c r="AA16" t="str">
        <f>CashProjTable[Portfolio]&amp;CashProjTable[ProjDate]</f>
        <v>SCBSFF43410</v>
      </c>
    </row>
    <row r="17" spans="1:27" x14ac:dyDescent="0.2">
      <c r="A17" t="s">
        <v>17</v>
      </c>
      <c r="B17" t="s">
        <v>21</v>
      </c>
      <c r="C17" s="131">
        <v>43411</v>
      </c>
      <c r="D17">
        <v>0</v>
      </c>
      <c r="E17">
        <v>0</v>
      </c>
      <c r="F17">
        <v>0</v>
      </c>
      <c r="G17">
        <v>0</v>
      </c>
      <c r="H17">
        <v>0</v>
      </c>
      <c r="I17">
        <v>0</v>
      </c>
      <c r="J17">
        <v>29611851.649999999</v>
      </c>
      <c r="K17">
        <v>0</v>
      </c>
      <c r="L17">
        <v>0</v>
      </c>
      <c r="M17">
        <v>0</v>
      </c>
      <c r="N17">
        <v>0</v>
      </c>
      <c r="O17">
        <v>9327726841.5900002</v>
      </c>
      <c r="P17" s="3">
        <v>342027260298.42999</v>
      </c>
      <c r="Q17">
        <v>0</v>
      </c>
      <c r="R17">
        <v>0</v>
      </c>
      <c r="S17">
        <v>0</v>
      </c>
      <c r="T17">
        <v>0</v>
      </c>
      <c r="U17">
        <v>0</v>
      </c>
      <c r="V17">
        <v>0</v>
      </c>
      <c r="W17">
        <v>0</v>
      </c>
      <c r="X17">
        <v>0</v>
      </c>
      <c r="Y17">
        <v>9327726841.5900002</v>
      </c>
      <c r="Z17">
        <v>9320513508.1800003</v>
      </c>
      <c r="AA17" t="str">
        <f>CashProjTable[Portfolio]&amp;CashProjTable[ProjDate]</f>
        <v>SCBSFF43411</v>
      </c>
    </row>
    <row r="18" spans="1:27" x14ac:dyDescent="0.2">
      <c r="A18" t="s">
        <v>130</v>
      </c>
      <c r="B18" t="s">
        <v>21</v>
      </c>
      <c r="C18" s="131">
        <v>43395</v>
      </c>
      <c r="D18">
        <v>0</v>
      </c>
      <c r="E18">
        <v>0</v>
      </c>
      <c r="F18">
        <v>0</v>
      </c>
      <c r="G18">
        <v>0</v>
      </c>
      <c r="H18">
        <v>0</v>
      </c>
      <c r="I18">
        <v>0</v>
      </c>
      <c r="J18">
        <v>0</v>
      </c>
      <c r="K18">
        <v>839691689</v>
      </c>
      <c r="L18">
        <v>0</v>
      </c>
      <c r="M18">
        <v>0</v>
      </c>
      <c r="N18">
        <v>0</v>
      </c>
      <c r="O18">
        <v>0</v>
      </c>
      <c r="P18" s="3">
        <v>0</v>
      </c>
      <c r="Q18">
        <v>0</v>
      </c>
      <c r="R18">
        <v>0</v>
      </c>
      <c r="S18">
        <v>0</v>
      </c>
      <c r="T18">
        <v>0</v>
      </c>
      <c r="U18">
        <v>0</v>
      </c>
      <c r="V18">
        <v>0</v>
      </c>
      <c r="W18">
        <v>839691689</v>
      </c>
      <c r="X18">
        <v>0</v>
      </c>
      <c r="Y18">
        <v>0</v>
      </c>
      <c r="Z18">
        <v>0</v>
      </c>
      <c r="AA18" t="str">
        <f>CashProjTable[Portfolio]&amp;CashProjTable[ProjDate]</f>
        <v>SCBSFFPLUS43395</v>
      </c>
    </row>
    <row r="19" spans="1:27" x14ac:dyDescent="0.2">
      <c r="A19" t="s">
        <v>130</v>
      </c>
      <c r="B19" t="s">
        <v>21</v>
      </c>
      <c r="C19" s="131">
        <v>43397</v>
      </c>
      <c r="D19">
        <v>49726572</v>
      </c>
      <c r="E19">
        <v>828000000</v>
      </c>
      <c r="F19">
        <v>0</v>
      </c>
      <c r="G19">
        <v>460000000</v>
      </c>
      <c r="H19">
        <v>0</v>
      </c>
      <c r="I19">
        <v>0</v>
      </c>
      <c r="J19">
        <v>0</v>
      </c>
      <c r="K19">
        <v>488193112.25</v>
      </c>
      <c r="L19">
        <v>577619438.72000003</v>
      </c>
      <c r="M19">
        <v>0</v>
      </c>
      <c r="N19">
        <v>354597336.10000002</v>
      </c>
      <c r="O19">
        <v>3424268.39</v>
      </c>
      <c r="P19" s="3">
        <v>2057193769494.49</v>
      </c>
      <c r="Q19">
        <v>49726572</v>
      </c>
      <c r="R19">
        <v>728000000</v>
      </c>
      <c r="S19">
        <v>460000000</v>
      </c>
      <c r="T19">
        <v>0</v>
      </c>
      <c r="U19">
        <v>839691689</v>
      </c>
      <c r="V19">
        <v>0</v>
      </c>
      <c r="W19">
        <v>488193112.25</v>
      </c>
      <c r="X19">
        <v>0</v>
      </c>
      <c r="Y19">
        <v>3424268.39</v>
      </c>
      <c r="Z19">
        <v>-96575731.609999999</v>
      </c>
      <c r="AA19" t="str">
        <f>CashProjTable[Portfolio]&amp;CashProjTable[ProjDate]</f>
        <v>SCBSFFPLUS43397</v>
      </c>
    </row>
    <row r="20" spans="1:27" x14ac:dyDescent="0.2">
      <c r="A20" t="s">
        <v>130</v>
      </c>
      <c r="B20" t="s">
        <v>21</v>
      </c>
      <c r="C20" s="131">
        <v>43398</v>
      </c>
      <c r="D20">
        <v>6946680686.9099998</v>
      </c>
      <c r="E20">
        <v>6360000000</v>
      </c>
      <c r="F20">
        <v>0</v>
      </c>
      <c r="G20">
        <v>0</v>
      </c>
      <c r="H20">
        <v>1315280000</v>
      </c>
      <c r="I20">
        <v>20058020</v>
      </c>
      <c r="J20">
        <v>0</v>
      </c>
      <c r="K20">
        <v>0</v>
      </c>
      <c r="L20">
        <v>0</v>
      </c>
      <c r="M20">
        <v>0</v>
      </c>
      <c r="N20">
        <v>0</v>
      </c>
      <c r="O20">
        <v>752081601.48000097</v>
      </c>
      <c r="P20" s="3">
        <v>2055878489494.49</v>
      </c>
      <c r="Q20">
        <v>6946680686.9099998</v>
      </c>
      <c r="R20">
        <v>6360000000</v>
      </c>
      <c r="S20">
        <v>0</v>
      </c>
      <c r="T20">
        <v>1315280000</v>
      </c>
      <c r="U20">
        <v>488193112.25</v>
      </c>
      <c r="V20">
        <v>0</v>
      </c>
      <c r="W20">
        <v>0</v>
      </c>
      <c r="X20">
        <v>0</v>
      </c>
      <c r="Y20">
        <v>752081601.48000097</v>
      </c>
      <c r="Z20">
        <v>732023581.48000097</v>
      </c>
      <c r="AA20" t="str">
        <f>CashProjTable[Portfolio]&amp;CashProjTable[ProjDate]</f>
        <v>SCBSFFPLUS43398</v>
      </c>
    </row>
    <row r="21" spans="1:27" x14ac:dyDescent="0.2">
      <c r="A21" t="s">
        <v>130</v>
      </c>
      <c r="B21" t="s">
        <v>21</v>
      </c>
      <c r="C21" s="131">
        <v>43399</v>
      </c>
      <c r="D21">
        <v>0</v>
      </c>
      <c r="E21">
        <v>0</v>
      </c>
      <c r="F21">
        <v>0</v>
      </c>
      <c r="G21">
        <v>0</v>
      </c>
      <c r="H21">
        <v>0</v>
      </c>
      <c r="I21">
        <v>0</v>
      </c>
      <c r="J21">
        <v>0</v>
      </c>
      <c r="K21">
        <v>0</v>
      </c>
      <c r="L21">
        <v>0</v>
      </c>
      <c r="M21">
        <v>0</v>
      </c>
      <c r="N21">
        <v>0</v>
      </c>
      <c r="O21">
        <v>752081601.48000097</v>
      </c>
      <c r="P21" s="3">
        <v>2055878489494.49</v>
      </c>
      <c r="Q21">
        <v>0</v>
      </c>
      <c r="R21">
        <v>0</v>
      </c>
      <c r="S21">
        <v>0</v>
      </c>
      <c r="T21">
        <v>0</v>
      </c>
      <c r="U21">
        <v>0</v>
      </c>
      <c r="V21">
        <v>0</v>
      </c>
      <c r="W21">
        <v>0</v>
      </c>
      <c r="X21">
        <v>0</v>
      </c>
      <c r="Y21">
        <v>752081601.48000097</v>
      </c>
      <c r="Z21">
        <v>752081601.48000097</v>
      </c>
      <c r="AA21" t="str">
        <f>CashProjTable[Portfolio]&amp;CashProjTable[ProjDate]</f>
        <v>SCBSFFPLUS43399</v>
      </c>
    </row>
    <row r="22" spans="1:27" x14ac:dyDescent="0.2">
      <c r="A22" t="s">
        <v>130</v>
      </c>
      <c r="B22" t="s">
        <v>21</v>
      </c>
      <c r="C22" s="131">
        <v>43400</v>
      </c>
      <c r="D22">
        <v>0</v>
      </c>
      <c r="E22">
        <v>0</v>
      </c>
      <c r="F22">
        <v>0</v>
      </c>
      <c r="G22">
        <v>0</v>
      </c>
      <c r="H22">
        <v>0</v>
      </c>
      <c r="I22">
        <v>0</v>
      </c>
      <c r="J22">
        <v>0</v>
      </c>
      <c r="K22">
        <v>0</v>
      </c>
      <c r="L22">
        <v>0</v>
      </c>
      <c r="M22">
        <v>0</v>
      </c>
      <c r="N22">
        <v>0</v>
      </c>
      <c r="O22">
        <v>752081601.48000097</v>
      </c>
      <c r="P22" s="3">
        <v>2055878489494.49</v>
      </c>
      <c r="Q22">
        <v>0</v>
      </c>
      <c r="R22">
        <v>0</v>
      </c>
      <c r="S22">
        <v>0</v>
      </c>
      <c r="T22">
        <v>0</v>
      </c>
      <c r="U22">
        <v>0</v>
      </c>
      <c r="V22">
        <v>0</v>
      </c>
      <c r="W22">
        <v>0</v>
      </c>
      <c r="X22">
        <v>0</v>
      </c>
      <c r="Y22">
        <v>752081601.48000097</v>
      </c>
      <c r="Z22">
        <v>752081601.48000097</v>
      </c>
      <c r="AA22" t="str">
        <f>CashProjTable[Portfolio]&amp;CashProjTable[ProjDate]</f>
        <v>SCBSFFPLUS43400</v>
      </c>
    </row>
    <row r="23" spans="1:27" x14ac:dyDescent="0.2">
      <c r="A23" t="s">
        <v>130</v>
      </c>
      <c r="B23" t="s">
        <v>21</v>
      </c>
      <c r="C23" s="131">
        <v>43401</v>
      </c>
      <c r="D23">
        <v>0</v>
      </c>
      <c r="E23">
        <v>0</v>
      </c>
      <c r="F23">
        <v>0</v>
      </c>
      <c r="G23">
        <v>0</v>
      </c>
      <c r="H23">
        <v>0</v>
      </c>
      <c r="I23">
        <v>0</v>
      </c>
      <c r="J23">
        <v>0</v>
      </c>
      <c r="K23">
        <v>0</v>
      </c>
      <c r="L23">
        <v>0</v>
      </c>
      <c r="M23">
        <v>0</v>
      </c>
      <c r="N23">
        <v>0</v>
      </c>
      <c r="O23">
        <v>752081601.48000097</v>
      </c>
      <c r="P23" s="3">
        <v>2055878489494.49</v>
      </c>
      <c r="Q23">
        <v>0</v>
      </c>
      <c r="R23">
        <v>0</v>
      </c>
      <c r="S23">
        <v>0</v>
      </c>
      <c r="T23">
        <v>0</v>
      </c>
      <c r="U23">
        <v>0</v>
      </c>
      <c r="V23">
        <v>0</v>
      </c>
      <c r="W23">
        <v>0</v>
      </c>
      <c r="X23">
        <v>0</v>
      </c>
      <c r="Y23">
        <v>752081601.48000097</v>
      </c>
      <c r="Z23">
        <v>752081601.48000097</v>
      </c>
      <c r="AA23" t="str">
        <f>CashProjTable[Portfolio]&amp;CashProjTable[ProjDate]</f>
        <v>SCBSFFPLUS43401</v>
      </c>
    </row>
    <row r="24" spans="1:27" x14ac:dyDescent="0.2">
      <c r="A24" t="s">
        <v>130</v>
      </c>
      <c r="B24" t="s">
        <v>21</v>
      </c>
      <c r="C24" s="131">
        <v>43402</v>
      </c>
      <c r="D24">
        <v>0</v>
      </c>
      <c r="E24">
        <v>0</v>
      </c>
      <c r="F24">
        <v>421687.67</v>
      </c>
      <c r="G24">
        <v>0</v>
      </c>
      <c r="H24">
        <v>0</v>
      </c>
      <c r="I24">
        <v>0</v>
      </c>
      <c r="J24">
        <v>0</v>
      </c>
      <c r="K24">
        <v>0</v>
      </c>
      <c r="L24">
        <v>0</v>
      </c>
      <c r="M24">
        <v>0</v>
      </c>
      <c r="N24">
        <v>0</v>
      </c>
      <c r="O24">
        <v>752503289.15000105</v>
      </c>
      <c r="P24" s="3">
        <v>2055878489494.49</v>
      </c>
      <c r="Q24">
        <v>0</v>
      </c>
      <c r="R24">
        <v>0</v>
      </c>
      <c r="S24">
        <v>0</v>
      </c>
      <c r="T24">
        <v>0</v>
      </c>
      <c r="U24">
        <v>0</v>
      </c>
      <c r="V24">
        <v>0</v>
      </c>
      <c r="W24">
        <v>0</v>
      </c>
      <c r="X24">
        <v>0</v>
      </c>
      <c r="Y24">
        <v>752503289.15000105</v>
      </c>
      <c r="Z24">
        <v>752081601.48000097</v>
      </c>
      <c r="AA24" t="str">
        <f>CashProjTable[Portfolio]&amp;CashProjTable[ProjDate]</f>
        <v>SCBSFFPLUS43402</v>
      </c>
    </row>
    <row r="25" spans="1:27" x14ac:dyDescent="0.2">
      <c r="A25" t="s">
        <v>130</v>
      </c>
      <c r="B25" t="s">
        <v>21</v>
      </c>
      <c r="C25" s="131">
        <v>43403</v>
      </c>
      <c r="D25">
        <v>0</v>
      </c>
      <c r="E25">
        <v>2390000000</v>
      </c>
      <c r="F25">
        <v>0</v>
      </c>
      <c r="G25">
        <v>0</v>
      </c>
      <c r="H25">
        <v>0</v>
      </c>
      <c r="I25">
        <v>0</v>
      </c>
      <c r="J25">
        <v>0</v>
      </c>
      <c r="K25">
        <v>0</v>
      </c>
      <c r="L25">
        <v>0</v>
      </c>
      <c r="M25">
        <v>0</v>
      </c>
      <c r="N25">
        <v>0</v>
      </c>
      <c r="O25">
        <v>3142503289.1500001</v>
      </c>
      <c r="P25" s="3">
        <v>2055878489494.49</v>
      </c>
      <c r="Q25">
        <v>0</v>
      </c>
      <c r="R25">
        <v>2390000000</v>
      </c>
      <c r="S25">
        <v>0</v>
      </c>
      <c r="T25">
        <v>0</v>
      </c>
      <c r="U25">
        <v>0</v>
      </c>
      <c r="V25">
        <v>0</v>
      </c>
      <c r="W25">
        <v>0</v>
      </c>
      <c r="X25">
        <v>0</v>
      </c>
      <c r="Y25">
        <v>3142503289.1500001</v>
      </c>
      <c r="Z25">
        <v>3142503289.1500001</v>
      </c>
      <c r="AA25" t="str">
        <f>CashProjTable[Portfolio]&amp;CashProjTable[ProjDate]</f>
        <v>SCBSFFPLUS43403</v>
      </c>
    </row>
    <row r="26" spans="1:27" x14ac:dyDescent="0.2">
      <c r="A26" t="s">
        <v>130</v>
      </c>
      <c r="B26" t="s">
        <v>21</v>
      </c>
      <c r="C26" s="131">
        <v>43404</v>
      </c>
      <c r="D26">
        <v>0</v>
      </c>
      <c r="E26">
        <v>40000000</v>
      </c>
      <c r="F26">
        <v>947726.03</v>
      </c>
      <c r="G26">
        <v>0</v>
      </c>
      <c r="H26">
        <v>0</v>
      </c>
      <c r="I26">
        <v>0</v>
      </c>
      <c r="J26">
        <v>0</v>
      </c>
      <c r="K26">
        <v>0</v>
      </c>
      <c r="L26">
        <v>0</v>
      </c>
      <c r="M26">
        <v>0</v>
      </c>
      <c r="N26">
        <v>0</v>
      </c>
      <c r="O26">
        <v>3183451015.1799998</v>
      </c>
      <c r="P26" s="3">
        <v>2055878489494.49</v>
      </c>
      <c r="Q26">
        <v>0</v>
      </c>
      <c r="R26">
        <v>40000000</v>
      </c>
      <c r="S26">
        <v>0</v>
      </c>
      <c r="T26">
        <v>0</v>
      </c>
      <c r="U26">
        <v>0</v>
      </c>
      <c r="V26">
        <v>0</v>
      </c>
      <c r="W26">
        <v>0</v>
      </c>
      <c r="X26">
        <v>0</v>
      </c>
      <c r="Y26">
        <v>3183451015.1799998</v>
      </c>
      <c r="Z26">
        <v>3182503289.1500001</v>
      </c>
      <c r="AA26" t="str">
        <f>CashProjTable[Portfolio]&amp;CashProjTable[ProjDate]</f>
        <v>SCBSFFPLUS43404</v>
      </c>
    </row>
    <row r="27" spans="1:27" x14ac:dyDescent="0.2">
      <c r="A27" t="s">
        <v>130</v>
      </c>
      <c r="B27" t="s">
        <v>21</v>
      </c>
      <c r="C27" s="131">
        <v>43405</v>
      </c>
      <c r="D27">
        <v>0</v>
      </c>
      <c r="E27">
        <v>4181999999.9899998</v>
      </c>
      <c r="F27">
        <v>0</v>
      </c>
      <c r="G27">
        <v>0</v>
      </c>
      <c r="H27">
        <v>0</v>
      </c>
      <c r="I27">
        <v>0</v>
      </c>
      <c r="J27">
        <v>0</v>
      </c>
      <c r="K27">
        <v>0</v>
      </c>
      <c r="L27">
        <v>0</v>
      </c>
      <c r="M27">
        <v>0</v>
      </c>
      <c r="N27">
        <v>0</v>
      </c>
      <c r="O27">
        <v>7365451015.1700001</v>
      </c>
      <c r="P27" s="3">
        <v>2055878489494.49</v>
      </c>
      <c r="Q27">
        <v>0</v>
      </c>
      <c r="R27">
        <v>4181999999.9899998</v>
      </c>
      <c r="S27">
        <v>0</v>
      </c>
      <c r="T27">
        <v>0</v>
      </c>
      <c r="U27">
        <v>0</v>
      </c>
      <c r="V27">
        <v>0</v>
      </c>
      <c r="W27">
        <v>0</v>
      </c>
      <c r="X27">
        <v>0</v>
      </c>
      <c r="Y27">
        <v>7365451015.1700001</v>
      </c>
      <c r="Z27">
        <v>7365451015.1700001</v>
      </c>
      <c r="AA27" t="str">
        <f>CashProjTable[Portfolio]&amp;CashProjTable[ProjDate]</f>
        <v>SCBSFFPLUS43405</v>
      </c>
    </row>
    <row r="28" spans="1:27" x14ac:dyDescent="0.2">
      <c r="A28" t="s">
        <v>130</v>
      </c>
      <c r="B28" t="s">
        <v>21</v>
      </c>
      <c r="C28" s="131">
        <v>43406</v>
      </c>
      <c r="D28">
        <v>0</v>
      </c>
      <c r="E28">
        <v>0</v>
      </c>
      <c r="F28">
        <v>12758005.48</v>
      </c>
      <c r="G28">
        <v>0</v>
      </c>
      <c r="H28">
        <v>0</v>
      </c>
      <c r="I28">
        <v>0</v>
      </c>
      <c r="J28">
        <v>0</v>
      </c>
      <c r="K28">
        <v>0</v>
      </c>
      <c r="L28">
        <v>0</v>
      </c>
      <c r="M28">
        <v>0</v>
      </c>
      <c r="N28">
        <v>0</v>
      </c>
      <c r="O28">
        <v>7378209020.6499996</v>
      </c>
      <c r="P28" s="3">
        <v>2055878489494.49</v>
      </c>
      <c r="Q28">
        <v>0</v>
      </c>
      <c r="R28">
        <v>0</v>
      </c>
      <c r="S28">
        <v>0</v>
      </c>
      <c r="T28">
        <v>0</v>
      </c>
      <c r="U28">
        <v>0</v>
      </c>
      <c r="V28">
        <v>0</v>
      </c>
      <c r="W28">
        <v>0</v>
      </c>
      <c r="X28">
        <v>0</v>
      </c>
      <c r="Y28">
        <v>7378209020.6499996</v>
      </c>
      <c r="Z28">
        <v>7365451015.1700001</v>
      </c>
      <c r="AA28" t="str">
        <f>CashProjTable[Portfolio]&amp;CashProjTable[ProjDate]</f>
        <v>SCBSFFPLUS43406</v>
      </c>
    </row>
    <row r="29" spans="1:27" x14ac:dyDescent="0.2">
      <c r="A29" t="s">
        <v>130</v>
      </c>
      <c r="B29" t="s">
        <v>21</v>
      </c>
      <c r="C29" s="131">
        <v>43407</v>
      </c>
      <c r="D29">
        <v>0</v>
      </c>
      <c r="E29">
        <v>0</v>
      </c>
      <c r="F29">
        <v>0</v>
      </c>
      <c r="G29">
        <v>0</v>
      </c>
      <c r="H29">
        <v>0</v>
      </c>
      <c r="I29">
        <v>0</v>
      </c>
      <c r="J29">
        <v>0</v>
      </c>
      <c r="K29">
        <v>0</v>
      </c>
      <c r="L29">
        <v>0</v>
      </c>
      <c r="M29">
        <v>0</v>
      </c>
      <c r="N29">
        <v>0</v>
      </c>
      <c r="O29">
        <v>7378209020.6499996</v>
      </c>
      <c r="P29" s="3">
        <v>2055878489494.49</v>
      </c>
      <c r="Q29">
        <v>0</v>
      </c>
      <c r="R29">
        <v>0</v>
      </c>
      <c r="S29">
        <v>0</v>
      </c>
      <c r="T29">
        <v>0</v>
      </c>
      <c r="U29">
        <v>0</v>
      </c>
      <c r="V29">
        <v>0</v>
      </c>
      <c r="W29">
        <v>0</v>
      </c>
      <c r="X29">
        <v>0</v>
      </c>
      <c r="Y29">
        <v>7378209020.6499996</v>
      </c>
      <c r="Z29">
        <v>7378209020.6499996</v>
      </c>
      <c r="AA29" t="str">
        <f>CashProjTable[Portfolio]&amp;CashProjTable[ProjDate]</f>
        <v>SCBSFFPLUS43407</v>
      </c>
    </row>
    <row r="30" spans="1:27" x14ac:dyDescent="0.2">
      <c r="A30" t="s">
        <v>130</v>
      </c>
      <c r="B30" t="s">
        <v>21</v>
      </c>
      <c r="C30" s="131">
        <v>43408</v>
      </c>
      <c r="D30">
        <v>0</v>
      </c>
      <c r="E30">
        <v>0</v>
      </c>
      <c r="F30">
        <v>0</v>
      </c>
      <c r="G30">
        <v>0</v>
      </c>
      <c r="H30">
        <v>0</v>
      </c>
      <c r="I30">
        <v>0</v>
      </c>
      <c r="J30">
        <v>0</v>
      </c>
      <c r="K30">
        <v>0</v>
      </c>
      <c r="L30">
        <v>0</v>
      </c>
      <c r="M30">
        <v>0</v>
      </c>
      <c r="N30">
        <v>0</v>
      </c>
      <c r="O30">
        <v>7378209020.6499996</v>
      </c>
      <c r="P30" s="3">
        <v>2055878489494.49</v>
      </c>
      <c r="Q30">
        <v>0</v>
      </c>
      <c r="R30">
        <v>0</v>
      </c>
      <c r="S30">
        <v>0</v>
      </c>
      <c r="T30">
        <v>0</v>
      </c>
      <c r="U30">
        <v>0</v>
      </c>
      <c r="V30">
        <v>0</v>
      </c>
      <c r="W30">
        <v>0</v>
      </c>
      <c r="X30">
        <v>0</v>
      </c>
      <c r="Y30">
        <v>7378209020.6499996</v>
      </c>
      <c r="Z30">
        <v>7378209020.6499996</v>
      </c>
      <c r="AA30" t="str">
        <f>CashProjTable[Portfolio]&amp;CashProjTable[ProjDate]</f>
        <v>SCBSFFPLUS43408</v>
      </c>
    </row>
    <row r="31" spans="1:27" x14ac:dyDescent="0.2">
      <c r="A31" t="s">
        <v>130</v>
      </c>
      <c r="B31" t="s">
        <v>21</v>
      </c>
      <c r="C31" s="131">
        <v>43409</v>
      </c>
      <c r="D31">
        <v>0</v>
      </c>
      <c r="E31">
        <v>0</v>
      </c>
      <c r="F31">
        <v>0</v>
      </c>
      <c r="G31">
        <v>0</v>
      </c>
      <c r="H31">
        <v>2815357500</v>
      </c>
      <c r="I31">
        <v>581840.55000000005</v>
      </c>
      <c r="J31">
        <v>0</v>
      </c>
      <c r="K31">
        <v>0</v>
      </c>
      <c r="L31">
        <v>0</v>
      </c>
      <c r="M31">
        <v>0</v>
      </c>
      <c r="N31">
        <v>0</v>
      </c>
      <c r="O31">
        <v>10194148361.200001</v>
      </c>
      <c r="P31" s="3">
        <v>2053063131994.49</v>
      </c>
      <c r="Q31">
        <v>0</v>
      </c>
      <c r="R31">
        <v>0</v>
      </c>
      <c r="S31">
        <v>0</v>
      </c>
      <c r="T31">
        <v>2815357500</v>
      </c>
      <c r="U31">
        <v>0</v>
      </c>
      <c r="V31">
        <v>0</v>
      </c>
      <c r="W31">
        <v>0</v>
      </c>
      <c r="X31">
        <v>0</v>
      </c>
      <c r="Y31">
        <v>10194148361.200001</v>
      </c>
      <c r="Z31">
        <v>10193566520.65</v>
      </c>
      <c r="AA31" t="str">
        <f>CashProjTable[Portfolio]&amp;CashProjTable[ProjDate]</f>
        <v>SCBSFFPLUS43409</v>
      </c>
    </row>
    <row r="32" spans="1:27" x14ac:dyDescent="0.2">
      <c r="A32" t="s">
        <v>130</v>
      </c>
      <c r="B32" t="s">
        <v>21</v>
      </c>
      <c r="C32" s="131">
        <v>43410</v>
      </c>
      <c r="D32">
        <v>0</v>
      </c>
      <c r="E32">
        <v>59000000</v>
      </c>
      <c r="F32">
        <v>0</v>
      </c>
      <c r="G32">
        <v>0</v>
      </c>
      <c r="H32">
        <v>1150870000</v>
      </c>
      <c r="I32">
        <v>27928804.859999999</v>
      </c>
      <c r="J32">
        <v>2083810.55</v>
      </c>
      <c r="K32">
        <v>0</v>
      </c>
      <c r="L32">
        <v>0</v>
      </c>
      <c r="M32">
        <v>0</v>
      </c>
      <c r="N32">
        <v>0</v>
      </c>
      <c r="O32">
        <v>11429863355.51</v>
      </c>
      <c r="P32" s="3">
        <v>2051912261994.49</v>
      </c>
      <c r="Q32">
        <v>0</v>
      </c>
      <c r="R32">
        <v>59000000</v>
      </c>
      <c r="S32">
        <v>0</v>
      </c>
      <c r="T32">
        <v>1150870000</v>
      </c>
      <c r="U32">
        <v>0</v>
      </c>
      <c r="V32">
        <v>0</v>
      </c>
      <c r="W32">
        <v>0</v>
      </c>
      <c r="X32">
        <v>0</v>
      </c>
      <c r="Y32">
        <v>11429863355.51</v>
      </c>
      <c r="Z32">
        <v>11401934550.65</v>
      </c>
      <c r="AA32" t="str">
        <f>CashProjTable[Portfolio]&amp;CashProjTable[ProjDate]</f>
        <v>SCBSFFPLUS43410</v>
      </c>
    </row>
    <row r="33" spans="1:27" x14ac:dyDescent="0.2">
      <c r="A33" t="s">
        <v>130</v>
      </c>
      <c r="B33" t="s">
        <v>21</v>
      </c>
      <c r="C33" s="131">
        <v>43411</v>
      </c>
      <c r="D33">
        <v>0</v>
      </c>
      <c r="E33">
        <v>0</v>
      </c>
      <c r="F33">
        <v>0</v>
      </c>
      <c r="G33">
        <v>0</v>
      </c>
      <c r="H33">
        <v>0</v>
      </c>
      <c r="I33">
        <v>0</v>
      </c>
      <c r="J33">
        <v>41124826.119999997</v>
      </c>
      <c r="K33">
        <v>0</v>
      </c>
      <c r="L33">
        <v>0</v>
      </c>
      <c r="M33">
        <v>0</v>
      </c>
      <c r="N33">
        <v>0</v>
      </c>
      <c r="O33">
        <v>11388738529.389999</v>
      </c>
      <c r="P33" s="3">
        <v>2051912261994.49</v>
      </c>
      <c r="Q33">
        <v>0</v>
      </c>
      <c r="R33">
        <v>0</v>
      </c>
      <c r="S33">
        <v>0</v>
      </c>
      <c r="T33">
        <v>0</v>
      </c>
      <c r="U33">
        <v>0</v>
      </c>
      <c r="V33">
        <v>0</v>
      </c>
      <c r="W33">
        <v>0</v>
      </c>
      <c r="X33">
        <v>0</v>
      </c>
      <c r="Y33">
        <v>11388738529.389999</v>
      </c>
      <c r="Z33">
        <v>11388738529.389999</v>
      </c>
      <c r="AA33" t="str">
        <f>CashProjTable[Portfolio]&amp;CashProjTable[ProjDate]</f>
        <v>SCBSFFPLUS43411</v>
      </c>
    </row>
    <row r="34" spans="1:27" x14ac:dyDescent="0.2">
      <c r="A34" t="s">
        <v>131</v>
      </c>
      <c r="B34" t="s">
        <v>137</v>
      </c>
      <c r="C34" s="131">
        <v>43395</v>
      </c>
      <c r="D34">
        <v>0</v>
      </c>
      <c r="E34">
        <v>0</v>
      </c>
      <c r="F34">
        <v>0</v>
      </c>
      <c r="G34">
        <v>0</v>
      </c>
      <c r="H34">
        <v>0</v>
      </c>
      <c r="I34">
        <v>0</v>
      </c>
      <c r="J34">
        <v>0</v>
      </c>
      <c r="K34">
        <v>15448474.560000001</v>
      </c>
      <c r="L34">
        <v>0</v>
      </c>
      <c r="M34">
        <v>795133.68</v>
      </c>
      <c r="N34">
        <v>0</v>
      </c>
      <c r="O34">
        <v>0</v>
      </c>
      <c r="P34" s="3">
        <v>0</v>
      </c>
      <c r="Q34">
        <v>0</v>
      </c>
      <c r="R34">
        <v>0</v>
      </c>
      <c r="S34">
        <v>0</v>
      </c>
      <c r="T34">
        <v>0</v>
      </c>
      <c r="U34">
        <v>0</v>
      </c>
      <c r="V34">
        <v>0</v>
      </c>
      <c r="W34">
        <v>15448474.560000001</v>
      </c>
      <c r="X34">
        <v>0</v>
      </c>
      <c r="Y34">
        <v>-795133.68</v>
      </c>
      <c r="Z34">
        <v>-795133.68</v>
      </c>
      <c r="AA34" t="str">
        <f>CashProjTable[Portfolio]&amp;CashProjTable[ProjDate]</f>
        <v>SCBTMF43395</v>
      </c>
    </row>
    <row r="35" spans="1:27" x14ac:dyDescent="0.2">
      <c r="A35" t="s">
        <v>131</v>
      </c>
      <c r="B35" t="s">
        <v>137</v>
      </c>
      <c r="C35" s="131">
        <v>43397</v>
      </c>
      <c r="D35">
        <v>99956998.730000004</v>
      </c>
      <c r="E35">
        <v>100998126.40000001</v>
      </c>
      <c r="F35">
        <v>312.22000000000003</v>
      </c>
      <c r="G35">
        <v>0</v>
      </c>
      <c r="H35">
        <v>0</v>
      </c>
      <c r="I35">
        <v>0</v>
      </c>
      <c r="J35">
        <v>0</v>
      </c>
      <c r="K35">
        <v>13014625.359999999</v>
      </c>
      <c r="L35">
        <v>10876269.140000001</v>
      </c>
      <c r="M35">
        <v>943.3</v>
      </c>
      <c r="N35">
        <v>1566472.52</v>
      </c>
      <c r="O35">
        <v>3539799.75</v>
      </c>
      <c r="P35" s="3">
        <v>215075021.05000001</v>
      </c>
      <c r="Q35">
        <v>99956998.730000004</v>
      </c>
      <c r="R35">
        <v>100998126.40000001</v>
      </c>
      <c r="S35">
        <v>0</v>
      </c>
      <c r="T35">
        <v>0</v>
      </c>
      <c r="U35">
        <v>15448474.560000001</v>
      </c>
      <c r="V35">
        <v>0</v>
      </c>
      <c r="W35">
        <v>13014625.359999999</v>
      </c>
      <c r="X35">
        <v>0</v>
      </c>
      <c r="Y35">
        <v>3538856.45</v>
      </c>
      <c r="Z35">
        <v>2743410.55</v>
      </c>
      <c r="AA35" t="str">
        <f>CashProjTable[Portfolio]&amp;CashProjTable[ProjDate]</f>
        <v>SCBTMF43397</v>
      </c>
    </row>
    <row r="36" spans="1:27" x14ac:dyDescent="0.2">
      <c r="A36" t="s">
        <v>131</v>
      </c>
      <c r="B36" t="s">
        <v>137</v>
      </c>
      <c r="C36" s="131">
        <v>43398</v>
      </c>
      <c r="D36">
        <v>199221763.34</v>
      </c>
      <c r="E36">
        <v>326999999.99000001</v>
      </c>
      <c r="F36">
        <v>0</v>
      </c>
      <c r="G36">
        <v>0</v>
      </c>
      <c r="H36">
        <v>0</v>
      </c>
      <c r="I36">
        <v>0</v>
      </c>
      <c r="J36">
        <v>0</v>
      </c>
      <c r="K36">
        <v>6833077.79</v>
      </c>
      <c r="L36">
        <v>21003955.82</v>
      </c>
      <c r="M36">
        <v>5864.02</v>
      </c>
      <c r="N36">
        <v>1581171.93</v>
      </c>
      <c r="O36">
        <v>115571850.45999999</v>
      </c>
      <c r="P36" s="3">
        <v>215075021.05000001</v>
      </c>
      <c r="Q36">
        <v>199221763.34</v>
      </c>
      <c r="R36">
        <v>326999999.99000001</v>
      </c>
      <c r="S36">
        <v>0</v>
      </c>
      <c r="T36">
        <v>0</v>
      </c>
      <c r="U36">
        <v>13014625.359999999</v>
      </c>
      <c r="V36">
        <v>0</v>
      </c>
      <c r="W36">
        <v>6833077.79</v>
      </c>
      <c r="X36">
        <v>0</v>
      </c>
      <c r="Y36">
        <v>115565986.44</v>
      </c>
      <c r="Z36">
        <v>115565043.14</v>
      </c>
      <c r="AA36" t="str">
        <f>CashProjTable[Portfolio]&amp;CashProjTable[ProjDate]</f>
        <v>SCBTMF43398</v>
      </c>
    </row>
    <row r="37" spans="1:27" x14ac:dyDescent="0.2">
      <c r="A37" t="s">
        <v>131</v>
      </c>
      <c r="B37" t="s">
        <v>137</v>
      </c>
      <c r="C37" s="131">
        <v>43399</v>
      </c>
      <c r="D37">
        <v>0</v>
      </c>
      <c r="E37">
        <v>0</v>
      </c>
      <c r="F37">
        <v>0</v>
      </c>
      <c r="G37">
        <v>0</v>
      </c>
      <c r="H37">
        <v>0</v>
      </c>
      <c r="I37">
        <v>0</v>
      </c>
      <c r="J37">
        <v>0</v>
      </c>
      <c r="K37">
        <v>0</v>
      </c>
      <c r="L37">
        <v>0</v>
      </c>
      <c r="M37">
        <v>0</v>
      </c>
      <c r="N37">
        <v>0</v>
      </c>
      <c r="O37">
        <v>115571850.45999999</v>
      </c>
      <c r="P37" s="3">
        <v>215075021.05000001</v>
      </c>
      <c r="Q37">
        <v>0</v>
      </c>
      <c r="R37">
        <v>0</v>
      </c>
      <c r="S37">
        <v>0</v>
      </c>
      <c r="T37">
        <v>0</v>
      </c>
      <c r="U37">
        <v>6833077.79</v>
      </c>
      <c r="V37">
        <v>0</v>
      </c>
      <c r="W37">
        <v>0</v>
      </c>
      <c r="X37">
        <v>0</v>
      </c>
      <c r="Y37">
        <v>115571850.45999999</v>
      </c>
      <c r="Z37">
        <v>115565986.44</v>
      </c>
      <c r="AA37" t="str">
        <f>CashProjTable[Portfolio]&amp;CashProjTable[ProjDate]</f>
        <v>SCBTMF43399</v>
      </c>
    </row>
    <row r="38" spans="1:27" x14ac:dyDescent="0.2">
      <c r="A38" t="s">
        <v>131</v>
      </c>
      <c r="B38" t="s">
        <v>137</v>
      </c>
      <c r="C38" s="131">
        <v>43400</v>
      </c>
      <c r="D38">
        <v>0</v>
      </c>
      <c r="E38">
        <v>0</v>
      </c>
      <c r="F38">
        <v>0</v>
      </c>
      <c r="G38">
        <v>0</v>
      </c>
      <c r="H38">
        <v>0</v>
      </c>
      <c r="I38">
        <v>0</v>
      </c>
      <c r="J38">
        <v>0</v>
      </c>
      <c r="K38">
        <v>0</v>
      </c>
      <c r="L38">
        <v>0</v>
      </c>
      <c r="M38">
        <v>0</v>
      </c>
      <c r="N38">
        <v>0</v>
      </c>
      <c r="O38">
        <v>115571850.45999999</v>
      </c>
      <c r="P38" s="3">
        <v>215075021.05000001</v>
      </c>
      <c r="Q38">
        <v>0</v>
      </c>
      <c r="R38">
        <v>0</v>
      </c>
      <c r="S38">
        <v>0</v>
      </c>
      <c r="T38">
        <v>0</v>
      </c>
      <c r="U38">
        <v>0</v>
      </c>
      <c r="V38">
        <v>0</v>
      </c>
      <c r="W38">
        <v>0</v>
      </c>
      <c r="X38">
        <v>0</v>
      </c>
      <c r="Y38">
        <v>115571850.45999999</v>
      </c>
      <c r="Z38">
        <v>115571850.45999999</v>
      </c>
      <c r="AA38" t="str">
        <f>CashProjTable[Portfolio]&amp;CashProjTable[ProjDate]</f>
        <v>SCBTMF43400</v>
      </c>
    </row>
    <row r="39" spans="1:27" x14ac:dyDescent="0.2">
      <c r="A39" t="s">
        <v>131</v>
      </c>
      <c r="B39" t="s">
        <v>137</v>
      </c>
      <c r="C39" s="131">
        <v>43401</v>
      </c>
      <c r="D39">
        <v>0</v>
      </c>
      <c r="E39">
        <v>0</v>
      </c>
      <c r="F39">
        <v>0</v>
      </c>
      <c r="G39">
        <v>0</v>
      </c>
      <c r="H39">
        <v>0</v>
      </c>
      <c r="I39">
        <v>0</v>
      </c>
      <c r="J39">
        <v>0</v>
      </c>
      <c r="K39">
        <v>0</v>
      </c>
      <c r="L39">
        <v>0</v>
      </c>
      <c r="M39">
        <v>0</v>
      </c>
      <c r="N39">
        <v>0</v>
      </c>
      <c r="O39">
        <v>115571850.45999999</v>
      </c>
      <c r="P39" s="3">
        <v>215075021.05000001</v>
      </c>
      <c r="Q39">
        <v>0</v>
      </c>
      <c r="R39">
        <v>0</v>
      </c>
      <c r="S39">
        <v>0</v>
      </c>
      <c r="T39">
        <v>0</v>
      </c>
      <c r="U39">
        <v>0</v>
      </c>
      <c r="V39">
        <v>0</v>
      </c>
      <c r="W39">
        <v>0</v>
      </c>
      <c r="X39">
        <v>0</v>
      </c>
      <c r="Y39">
        <v>115571850.45999999</v>
      </c>
      <c r="Z39">
        <v>115571850.45999999</v>
      </c>
      <c r="AA39" t="str">
        <f>CashProjTable[Portfolio]&amp;CashProjTable[ProjDate]</f>
        <v>SCBTMF43401</v>
      </c>
    </row>
    <row r="40" spans="1:27" x14ac:dyDescent="0.2">
      <c r="A40" t="s">
        <v>131</v>
      </c>
      <c r="B40" t="s">
        <v>137</v>
      </c>
      <c r="C40" s="131">
        <v>43402</v>
      </c>
      <c r="D40">
        <v>0</v>
      </c>
      <c r="E40">
        <v>0</v>
      </c>
      <c r="F40">
        <v>0</v>
      </c>
      <c r="G40">
        <v>0</v>
      </c>
      <c r="H40">
        <v>0</v>
      </c>
      <c r="I40">
        <v>0</v>
      </c>
      <c r="J40">
        <v>0</v>
      </c>
      <c r="K40">
        <v>0</v>
      </c>
      <c r="L40">
        <v>0</v>
      </c>
      <c r="M40">
        <v>0</v>
      </c>
      <c r="N40">
        <v>0</v>
      </c>
      <c r="O40">
        <v>115571850.45999999</v>
      </c>
      <c r="P40" s="3">
        <v>215075021.05000001</v>
      </c>
      <c r="Q40">
        <v>0</v>
      </c>
      <c r="R40">
        <v>0</v>
      </c>
      <c r="S40">
        <v>0</v>
      </c>
      <c r="T40">
        <v>0</v>
      </c>
      <c r="U40">
        <v>0</v>
      </c>
      <c r="V40">
        <v>0</v>
      </c>
      <c r="W40">
        <v>0</v>
      </c>
      <c r="X40">
        <v>0</v>
      </c>
      <c r="Y40">
        <v>115571850.45999999</v>
      </c>
      <c r="Z40">
        <v>115571850.45999999</v>
      </c>
      <c r="AA40" t="str">
        <f>CashProjTable[Portfolio]&amp;CashProjTable[ProjDate]</f>
        <v>SCBTMF43402</v>
      </c>
    </row>
    <row r="41" spans="1:27" x14ac:dyDescent="0.2">
      <c r="A41" t="s">
        <v>131</v>
      </c>
      <c r="B41" t="s">
        <v>137</v>
      </c>
      <c r="C41" s="131">
        <v>43403</v>
      </c>
      <c r="D41">
        <v>0</v>
      </c>
      <c r="E41">
        <v>221000000</v>
      </c>
      <c r="F41">
        <v>0</v>
      </c>
      <c r="G41">
        <v>0</v>
      </c>
      <c r="H41">
        <v>0</v>
      </c>
      <c r="I41">
        <v>0</v>
      </c>
      <c r="J41">
        <v>0</v>
      </c>
      <c r="K41">
        <v>0</v>
      </c>
      <c r="L41">
        <v>0</v>
      </c>
      <c r="M41">
        <v>0</v>
      </c>
      <c r="N41">
        <v>0</v>
      </c>
      <c r="O41">
        <v>336571850.45999998</v>
      </c>
      <c r="P41" s="3">
        <v>215075021.05000001</v>
      </c>
      <c r="Q41">
        <v>0</v>
      </c>
      <c r="R41">
        <v>221000000</v>
      </c>
      <c r="S41">
        <v>0</v>
      </c>
      <c r="T41">
        <v>0</v>
      </c>
      <c r="U41">
        <v>0</v>
      </c>
      <c r="V41">
        <v>0</v>
      </c>
      <c r="W41">
        <v>0</v>
      </c>
      <c r="X41">
        <v>0</v>
      </c>
      <c r="Y41">
        <v>336571850.45999998</v>
      </c>
      <c r="Z41">
        <v>336571850.45999998</v>
      </c>
      <c r="AA41" t="str">
        <f>CashProjTable[Portfolio]&amp;CashProjTable[ProjDate]</f>
        <v>SCBTMF43403</v>
      </c>
    </row>
    <row r="42" spans="1:27" x14ac:dyDescent="0.2">
      <c r="A42" t="s">
        <v>131</v>
      </c>
      <c r="B42" t="s">
        <v>137</v>
      </c>
      <c r="C42" s="131">
        <v>43404</v>
      </c>
      <c r="D42">
        <v>0</v>
      </c>
      <c r="E42">
        <v>0</v>
      </c>
      <c r="F42">
        <v>0</v>
      </c>
      <c r="G42">
        <v>0</v>
      </c>
      <c r="H42">
        <v>0</v>
      </c>
      <c r="I42">
        <v>0</v>
      </c>
      <c r="J42">
        <v>0</v>
      </c>
      <c r="K42">
        <v>0</v>
      </c>
      <c r="L42">
        <v>0</v>
      </c>
      <c r="M42">
        <v>0</v>
      </c>
      <c r="N42">
        <v>0</v>
      </c>
      <c r="O42">
        <v>336571850.45999998</v>
      </c>
      <c r="P42" s="3">
        <v>215075021.05000001</v>
      </c>
      <c r="Q42">
        <v>0</v>
      </c>
      <c r="R42">
        <v>0</v>
      </c>
      <c r="S42">
        <v>0</v>
      </c>
      <c r="T42">
        <v>0</v>
      </c>
      <c r="U42">
        <v>0</v>
      </c>
      <c r="V42">
        <v>0</v>
      </c>
      <c r="W42">
        <v>0</v>
      </c>
      <c r="X42">
        <v>0</v>
      </c>
      <c r="Y42">
        <v>336571850.45999998</v>
      </c>
      <c r="Z42">
        <v>336571850.45999998</v>
      </c>
      <c r="AA42" t="str">
        <f>CashProjTable[Portfolio]&amp;CashProjTable[ProjDate]</f>
        <v>SCBTMF43404</v>
      </c>
    </row>
    <row r="43" spans="1:27" x14ac:dyDescent="0.2">
      <c r="A43" t="s">
        <v>131</v>
      </c>
      <c r="B43" t="s">
        <v>137</v>
      </c>
      <c r="C43" s="131">
        <v>43405</v>
      </c>
      <c r="D43">
        <v>0</v>
      </c>
      <c r="E43">
        <v>205000000</v>
      </c>
      <c r="F43">
        <v>0</v>
      </c>
      <c r="G43">
        <v>0</v>
      </c>
      <c r="H43">
        <v>0</v>
      </c>
      <c r="I43">
        <v>0</v>
      </c>
      <c r="J43">
        <v>0</v>
      </c>
      <c r="K43">
        <v>0</v>
      </c>
      <c r="L43">
        <v>0</v>
      </c>
      <c r="M43">
        <v>0</v>
      </c>
      <c r="N43">
        <v>0</v>
      </c>
      <c r="O43">
        <v>541571850.46000004</v>
      </c>
      <c r="P43" s="3">
        <v>215075021.05000001</v>
      </c>
      <c r="Q43">
        <v>0</v>
      </c>
      <c r="R43">
        <v>205000000</v>
      </c>
      <c r="S43">
        <v>0</v>
      </c>
      <c r="T43">
        <v>0</v>
      </c>
      <c r="U43">
        <v>0</v>
      </c>
      <c r="V43">
        <v>0</v>
      </c>
      <c r="W43">
        <v>0</v>
      </c>
      <c r="X43">
        <v>0</v>
      </c>
      <c r="Y43">
        <v>541571850.46000004</v>
      </c>
      <c r="Z43">
        <v>541571850.46000004</v>
      </c>
      <c r="AA43" t="str">
        <f>CashProjTable[Portfolio]&amp;CashProjTable[ProjDate]</f>
        <v>SCBTMF43405</v>
      </c>
    </row>
    <row r="44" spans="1:27" x14ac:dyDescent="0.2">
      <c r="A44" t="s">
        <v>131</v>
      </c>
      <c r="B44" t="s">
        <v>137</v>
      </c>
      <c r="C44" s="131">
        <v>43406</v>
      </c>
      <c r="D44">
        <v>0</v>
      </c>
      <c r="E44">
        <v>0</v>
      </c>
      <c r="F44">
        <v>0</v>
      </c>
      <c r="G44">
        <v>0</v>
      </c>
      <c r="H44">
        <v>0</v>
      </c>
      <c r="I44">
        <v>0</v>
      </c>
      <c r="J44">
        <v>0</v>
      </c>
      <c r="K44">
        <v>0</v>
      </c>
      <c r="L44">
        <v>0</v>
      </c>
      <c r="M44">
        <v>0</v>
      </c>
      <c r="N44">
        <v>0</v>
      </c>
      <c r="O44">
        <v>541571850.46000004</v>
      </c>
      <c r="P44" s="3">
        <v>215075021.05000001</v>
      </c>
      <c r="Q44">
        <v>0</v>
      </c>
      <c r="R44">
        <v>0</v>
      </c>
      <c r="S44">
        <v>0</v>
      </c>
      <c r="T44">
        <v>0</v>
      </c>
      <c r="U44">
        <v>0</v>
      </c>
      <c r="V44">
        <v>0</v>
      </c>
      <c r="W44">
        <v>0</v>
      </c>
      <c r="X44">
        <v>0</v>
      </c>
      <c r="Y44">
        <v>541571850.46000004</v>
      </c>
      <c r="Z44">
        <v>541571850.46000004</v>
      </c>
      <c r="AA44" t="str">
        <f>CashProjTable[Portfolio]&amp;CashProjTable[ProjDate]</f>
        <v>SCBTMF43406</v>
      </c>
    </row>
    <row r="45" spans="1:27" x14ac:dyDescent="0.2">
      <c r="A45" t="s">
        <v>131</v>
      </c>
      <c r="B45" t="s">
        <v>137</v>
      </c>
      <c r="C45" s="131">
        <v>43407</v>
      </c>
      <c r="D45">
        <v>0</v>
      </c>
      <c r="E45">
        <v>0</v>
      </c>
      <c r="F45">
        <v>0</v>
      </c>
      <c r="G45">
        <v>0</v>
      </c>
      <c r="H45">
        <v>0</v>
      </c>
      <c r="I45">
        <v>0</v>
      </c>
      <c r="J45">
        <v>0</v>
      </c>
      <c r="K45">
        <v>0</v>
      </c>
      <c r="L45">
        <v>0</v>
      </c>
      <c r="M45">
        <v>0</v>
      </c>
      <c r="N45">
        <v>0</v>
      </c>
      <c r="O45">
        <v>541571850.46000004</v>
      </c>
      <c r="P45" s="3">
        <v>215075021.05000001</v>
      </c>
      <c r="Q45">
        <v>0</v>
      </c>
      <c r="R45">
        <v>0</v>
      </c>
      <c r="S45">
        <v>0</v>
      </c>
      <c r="T45">
        <v>0</v>
      </c>
      <c r="U45">
        <v>0</v>
      </c>
      <c r="V45">
        <v>0</v>
      </c>
      <c r="W45">
        <v>0</v>
      </c>
      <c r="X45">
        <v>0</v>
      </c>
      <c r="Y45">
        <v>541571850.46000004</v>
      </c>
      <c r="Z45">
        <v>541571850.46000004</v>
      </c>
      <c r="AA45" t="str">
        <f>CashProjTable[Portfolio]&amp;CashProjTable[ProjDate]</f>
        <v>SCBTMF43407</v>
      </c>
    </row>
    <row r="46" spans="1:27" x14ac:dyDescent="0.2">
      <c r="A46" t="s">
        <v>131</v>
      </c>
      <c r="B46" t="s">
        <v>137</v>
      </c>
      <c r="C46" s="131">
        <v>43408</v>
      </c>
      <c r="D46">
        <v>0</v>
      </c>
      <c r="E46">
        <v>0</v>
      </c>
      <c r="F46">
        <v>0</v>
      </c>
      <c r="G46">
        <v>0</v>
      </c>
      <c r="H46">
        <v>0</v>
      </c>
      <c r="I46">
        <v>0</v>
      </c>
      <c r="J46">
        <v>0</v>
      </c>
      <c r="K46">
        <v>0</v>
      </c>
      <c r="L46">
        <v>0</v>
      </c>
      <c r="M46">
        <v>0</v>
      </c>
      <c r="N46">
        <v>0</v>
      </c>
      <c r="O46">
        <v>541571850.46000004</v>
      </c>
      <c r="P46" s="3">
        <v>215075021.05000001</v>
      </c>
      <c r="Q46">
        <v>0</v>
      </c>
      <c r="R46">
        <v>0</v>
      </c>
      <c r="S46">
        <v>0</v>
      </c>
      <c r="T46">
        <v>0</v>
      </c>
      <c r="U46">
        <v>0</v>
      </c>
      <c r="V46">
        <v>0</v>
      </c>
      <c r="W46">
        <v>0</v>
      </c>
      <c r="X46">
        <v>0</v>
      </c>
      <c r="Y46">
        <v>541571850.46000004</v>
      </c>
      <c r="Z46">
        <v>541571850.46000004</v>
      </c>
      <c r="AA46" t="str">
        <f>CashProjTable[Portfolio]&amp;CashProjTable[ProjDate]</f>
        <v>SCBTMF43408</v>
      </c>
    </row>
    <row r="47" spans="1:27" x14ac:dyDescent="0.2">
      <c r="A47" t="s">
        <v>131</v>
      </c>
      <c r="B47" t="s">
        <v>137</v>
      </c>
      <c r="C47" s="131">
        <v>43409</v>
      </c>
      <c r="D47">
        <v>0</v>
      </c>
      <c r="E47">
        <v>0</v>
      </c>
      <c r="F47">
        <v>0</v>
      </c>
      <c r="G47">
        <v>0</v>
      </c>
      <c r="H47">
        <v>0</v>
      </c>
      <c r="I47">
        <v>0</v>
      </c>
      <c r="J47">
        <v>0</v>
      </c>
      <c r="K47">
        <v>0</v>
      </c>
      <c r="L47">
        <v>0</v>
      </c>
      <c r="M47">
        <v>0</v>
      </c>
      <c r="N47">
        <v>0</v>
      </c>
      <c r="O47">
        <v>541571850.46000004</v>
      </c>
      <c r="P47" s="3">
        <v>215075021.05000001</v>
      </c>
      <c r="Q47">
        <v>0</v>
      </c>
      <c r="R47">
        <v>0</v>
      </c>
      <c r="S47">
        <v>0</v>
      </c>
      <c r="T47">
        <v>0</v>
      </c>
      <c r="U47">
        <v>0</v>
      </c>
      <c r="V47">
        <v>0</v>
      </c>
      <c r="W47">
        <v>0</v>
      </c>
      <c r="X47">
        <v>0</v>
      </c>
      <c r="Y47">
        <v>541571850.46000004</v>
      </c>
      <c r="Z47">
        <v>541571850.46000004</v>
      </c>
      <c r="AA47" t="str">
        <f>CashProjTable[Portfolio]&amp;CashProjTable[ProjDate]</f>
        <v>SCBTMF43409</v>
      </c>
    </row>
    <row r="48" spans="1:27" x14ac:dyDescent="0.2">
      <c r="A48" t="s">
        <v>131</v>
      </c>
      <c r="B48" t="s">
        <v>137</v>
      </c>
      <c r="C48" s="131">
        <v>43410</v>
      </c>
      <c r="D48">
        <v>0</v>
      </c>
      <c r="E48">
        <v>100000000</v>
      </c>
      <c r="F48">
        <v>0</v>
      </c>
      <c r="G48">
        <v>0</v>
      </c>
      <c r="H48">
        <v>0</v>
      </c>
      <c r="I48">
        <v>0</v>
      </c>
      <c r="J48">
        <v>70554.539999999994</v>
      </c>
      <c r="K48">
        <v>0</v>
      </c>
      <c r="L48">
        <v>0</v>
      </c>
      <c r="M48">
        <v>0</v>
      </c>
      <c r="N48">
        <v>0</v>
      </c>
      <c r="O48">
        <v>641501295.91999996</v>
      </c>
      <c r="P48" s="3">
        <v>215075021.05000001</v>
      </c>
      <c r="Q48">
        <v>0</v>
      </c>
      <c r="R48">
        <v>100000000</v>
      </c>
      <c r="S48">
        <v>0</v>
      </c>
      <c r="T48">
        <v>0</v>
      </c>
      <c r="U48">
        <v>0</v>
      </c>
      <c r="V48">
        <v>0</v>
      </c>
      <c r="W48">
        <v>0</v>
      </c>
      <c r="X48">
        <v>0</v>
      </c>
      <c r="Y48">
        <v>641501295.91999996</v>
      </c>
      <c r="Z48">
        <v>641501295.91999996</v>
      </c>
      <c r="AA48" t="str">
        <f>CashProjTable[Portfolio]&amp;CashProjTable[ProjDate]</f>
        <v>SCBTMF43410</v>
      </c>
    </row>
    <row r="49" spans="1:27" x14ac:dyDescent="0.2">
      <c r="A49" t="s">
        <v>131</v>
      </c>
      <c r="B49" t="s">
        <v>137</v>
      </c>
      <c r="C49" s="131">
        <v>43411</v>
      </c>
      <c r="D49">
        <v>0</v>
      </c>
      <c r="E49">
        <v>0</v>
      </c>
      <c r="F49">
        <v>0</v>
      </c>
      <c r="G49">
        <v>0</v>
      </c>
      <c r="H49">
        <v>0</v>
      </c>
      <c r="I49">
        <v>0</v>
      </c>
      <c r="J49">
        <v>1387460.59</v>
      </c>
      <c r="K49">
        <v>0</v>
      </c>
      <c r="L49">
        <v>0</v>
      </c>
      <c r="M49">
        <v>0</v>
      </c>
      <c r="N49">
        <v>0</v>
      </c>
      <c r="O49">
        <v>640113835.33000004</v>
      </c>
      <c r="P49" s="3">
        <v>215075021.05000001</v>
      </c>
      <c r="Q49">
        <v>0</v>
      </c>
      <c r="R49">
        <v>0</v>
      </c>
      <c r="S49">
        <v>0</v>
      </c>
      <c r="T49">
        <v>0</v>
      </c>
      <c r="U49">
        <v>0</v>
      </c>
      <c r="V49">
        <v>0</v>
      </c>
      <c r="W49">
        <v>0</v>
      </c>
      <c r="X49">
        <v>0</v>
      </c>
      <c r="Y49">
        <v>640113835.33000004</v>
      </c>
      <c r="Z49">
        <v>640113835.33000004</v>
      </c>
      <c r="AA49" t="str">
        <f>CashProjTable[Portfolio]&amp;CashProjTable[ProjDate]</f>
        <v>SCBTMF43411</v>
      </c>
    </row>
    <row r="50" spans="1:27" x14ac:dyDescent="0.2">
      <c r="A50" t="s">
        <v>132</v>
      </c>
      <c r="B50" t="s">
        <v>137</v>
      </c>
      <c r="C50" s="131">
        <v>43395</v>
      </c>
      <c r="D50">
        <v>0</v>
      </c>
      <c r="E50">
        <v>0</v>
      </c>
      <c r="F50">
        <v>0</v>
      </c>
      <c r="G50">
        <v>0</v>
      </c>
      <c r="H50">
        <v>0</v>
      </c>
      <c r="I50">
        <v>0</v>
      </c>
      <c r="J50">
        <v>0</v>
      </c>
      <c r="K50">
        <v>5860615.5099999998</v>
      </c>
      <c r="L50">
        <v>0</v>
      </c>
      <c r="M50">
        <v>0</v>
      </c>
      <c r="N50">
        <v>0</v>
      </c>
      <c r="O50">
        <v>0</v>
      </c>
      <c r="P50" s="3">
        <v>0</v>
      </c>
      <c r="Q50">
        <v>0</v>
      </c>
      <c r="R50">
        <v>0</v>
      </c>
      <c r="S50">
        <v>0</v>
      </c>
      <c r="T50">
        <v>0</v>
      </c>
      <c r="U50">
        <v>0</v>
      </c>
      <c r="V50">
        <v>0</v>
      </c>
      <c r="W50">
        <v>5860615.5099999998</v>
      </c>
      <c r="X50">
        <v>0</v>
      </c>
      <c r="Y50">
        <v>0</v>
      </c>
      <c r="Z50">
        <v>0</v>
      </c>
      <c r="AA50" t="str">
        <f>CashProjTable[Portfolio]&amp;CashProjTable[ProjDate]</f>
        <v>SCBTMFPLUS43395</v>
      </c>
    </row>
    <row r="51" spans="1:27" x14ac:dyDescent="0.2">
      <c r="A51" t="s">
        <v>132</v>
      </c>
      <c r="B51" t="s">
        <v>137</v>
      </c>
      <c r="C51" s="131">
        <v>43397</v>
      </c>
      <c r="D51">
        <v>969582872.34000003</v>
      </c>
      <c r="E51">
        <v>1159964401.5999999</v>
      </c>
      <c r="F51">
        <v>5932.25</v>
      </c>
      <c r="G51">
        <v>0</v>
      </c>
      <c r="H51">
        <v>0</v>
      </c>
      <c r="I51">
        <v>0</v>
      </c>
      <c r="J51">
        <v>0</v>
      </c>
      <c r="K51">
        <v>45738355.93</v>
      </c>
      <c r="L51">
        <v>235265451.84999999</v>
      </c>
      <c r="M51">
        <v>0</v>
      </c>
      <c r="N51">
        <v>5000</v>
      </c>
      <c r="O51">
        <v>2440005.86</v>
      </c>
      <c r="P51" s="3">
        <v>600818769.55999994</v>
      </c>
      <c r="Q51">
        <v>969582872.34000003</v>
      </c>
      <c r="R51">
        <v>1159964401.5999999</v>
      </c>
      <c r="S51">
        <v>0</v>
      </c>
      <c r="T51">
        <v>0</v>
      </c>
      <c r="U51">
        <v>5860615.5099999998</v>
      </c>
      <c r="V51">
        <v>0</v>
      </c>
      <c r="W51">
        <v>45738355.93</v>
      </c>
      <c r="X51">
        <v>0</v>
      </c>
      <c r="Y51">
        <v>2440005.86</v>
      </c>
      <c r="Z51">
        <v>2434073.61</v>
      </c>
      <c r="AA51" t="str">
        <f>CashProjTable[Portfolio]&amp;CashProjTable[ProjDate]</f>
        <v>SCBTMFPLUS43397</v>
      </c>
    </row>
    <row r="52" spans="1:27" x14ac:dyDescent="0.2">
      <c r="A52" t="s">
        <v>132</v>
      </c>
      <c r="B52" t="s">
        <v>137</v>
      </c>
      <c r="C52" s="131">
        <v>43398</v>
      </c>
      <c r="D52">
        <v>249027209.74000001</v>
      </c>
      <c r="E52">
        <v>469953215.99000001</v>
      </c>
      <c r="F52">
        <v>0</v>
      </c>
      <c r="G52">
        <v>0</v>
      </c>
      <c r="H52">
        <v>0</v>
      </c>
      <c r="I52">
        <v>0</v>
      </c>
      <c r="J52">
        <v>0</v>
      </c>
      <c r="K52">
        <v>0</v>
      </c>
      <c r="L52">
        <v>0</v>
      </c>
      <c r="M52">
        <v>0</v>
      </c>
      <c r="N52">
        <v>0</v>
      </c>
      <c r="O52">
        <v>223366012.11000001</v>
      </c>
      <c r="P52" s="3">
        <v>600818769.55999994</v>
      </c>
      <c r="Q52">
        <v>249027209.74000001</v>
      </c>
      <c r="R52">
        <v>469953215.99000001</v>
      </c>
      <c r="S52">
        <v>0</v>
      </c>
      <c r="T52">
        <v>0</v>
      </c>
      <c r="U52">
        <v>45738355.93</v>
      </c>
      <c r="V52">
        <v>0</v>
      </c>
      <c r="W52">
        <v>0</v>
      </c>
      <c r="X52">
        <v>0</v>
      </c>
      <c r="Y52">
        <v>223366012.11000001</v>
      </c>
      <c r="Z52">
        <v>223366012.11000001</v>
      </c>
      <c r="AA52" t="str">
        <f>CashProjTable[Portfolio]&amp;CashProjTable[ProjDate]</f>
        <v>SCBTMFPLUS43398</v>
      </c>
    </row>
    <row r="53" spans="1:27" x14ac:dyDescent="0.2">
      <c r="A53" t="s">
        <v>132</v>
      </c>
      <c r="B53" t="s">
        <v>137</v>
      </c>
      <c r="C53" s="131">
        <v>43399</v>
      </c>
      <c r="D53">
        <v>0</v>
      </c>
      <c r="E53">
        <v>0</v>
      </c>
      <c r="F53">
        <v>0</v>
      </c>
      <c r="G53">
        <v>0</v>
      </c>
      <c r="H53">
        <v>0</v>
      </c>
      <c r="I53">
        <v>0</v>
      </c>
      <c r="J53">
        <v>0</v>
      </c>
      <c r="K53">
        <v>0</v>
      </c>
      <c r="L53">
        <v>0</v>
      </c>
      <c r="M53">
        <v>0</v>
      </c>
      <c r="N53">
        <v>0</v>
      </c>
      <c r="O53">
        <v>223366012.11000001</v>
      </c>
      <c r="P53" s="3">
        <v>600818769.55999994</v>
      </c>
      <c r="Q53">
        <v>0</v>
      </c>
      <c r="R53">
        <v>0</v>
      </c>
      <c r="S53">
        <v>0</v>
      </c>
      <c r="T53">
        <v>0</v>
      </c>
      <c r="U53">
        <v>0</v>
      </c>
      <c r="V53">
        <v>0</v>
      </c>
      <c r="W53">
        <v>0</v>
      </c>
      <c r="X53">
        <v>0</v>
      </c>
      <c r="Y53">
        <v>223366012.11000001</v>
      </c>
      <c r="Z53">
        <v>223366012.11000001</v>
      </c>
      <c r="AA53" t="str">
        <f>CashProjTable[Portfolio]&amp;CashProjTable[ProjDate]</f>
        <v>SCBTMFPLUS43399</v>
      </c>
    </row>
    <row r="54" spans="1:27" x14ac:dyDescent="0.2">
      <c r="A54" t="s">
        <v>132</v>
      </c>
      <c r="B54" t="s">
        <v>137</v>
      </c>
      <c r="C54" s="131">
        <v>43400</v>
      </c>
      <c r="D54">
        <v>0</v>
      </c>
      <c r="E54">
        <v>0</v>
      </c>
      <c r="F54">
        <v>0</v>
      </c>
      <c r="G54">
        <v>0</v>
      </c>
      <c r="H54">
        <v>0</v>
      </c>
      <c r="I54">
        <v>0</v>
      </c>
      <c r="J54">
        <v>0</v>
      </c>
      <c r="K54">
        <v>0</v>
      </c>
      <c r="L54">
        <v>0</v>
      </c>
      <c r="M54">
        <v>0</v>
      </c>
      <c r="N54">
        <v>0</v>
      </c>
      <c r="O54">
        <v>223366012.11000001</v>
      </c>
      <c r="P54" s="3">
        <v>600818769.55999994</v>
      </c>
      <c r="Q54">
        <v>0</v>
      </c>
      <c r="R54">
        <v>0</v>
      </c>
      <c r="S54">
        <v>0</v>
      </c>
      <c r="T54">
        <v>0</v>
      </c>
      <c r="U54">
        <v>0</v>
      </c>
      <c r="V54">
        <v>0</v>
      </c>
      <c r="W54">
        <v>0</v>
      </c>
      <c r="X54">
        <v>0</v>
      </c>
      <c r="Y54">
        <v>223366012.11000001</v>
      </c>
      <c r="Z54">
        <v>223366012.11000001</v>
      </c>
      <c r="AA54" t="str">
        <f>CashProjTable[Portfolio]&amp;CashProjTable[ProjDate]</f>
        <v>SCBTMFPLUS43400</v>
      </c>
    </row>
    <row r="55" spans="1:27" x14ac:dyDescent="0.2">
      <c r="A55" t="s">
        <v>132</v>
      </c>
      <c r="B55" t="s">
        <v>137</v>
      </c>
      <c r="C55" s="131">
        <v>43401</v>
      </c>
      <c r="D55">
        <v>0</v>
      </c>
      <c r="E55">
        <v>0</v>
      </c>
      <c r="F55">
        <v>0</v>
      </c>
      <c r="G55">
        <v>0</v>
      </c>
      <c r="H55">
        <v>0</v>
      </c>
      <c r="I55">
        <v>0</v>
      </c>
      <c r="J55">
        <v>0</v>
      </c>
      <c r="K55">
        <v>0</v>
      </c>
      <c r="L55">
        <v>0</v>
      </c>
      <c r="M55">
        <v>0</v>
      </c>
      <c r="N55">
        <v>0</v>
      </c>
      <c r="O55">
        <v>223366012.11000001</v>
      </c>
      <c r="P55" s="3">
        <v>600818769.55999994</v>
      </c>
      <c r="Q55">
        <v>0</v>
      </c>
      <c r="R55">
        <v>0</v>
      </c>
      <c r="S55">
        <v>0</v>
      </c>
      <c r="T55">
        <v>0</v>
      </c>
      <c r="U55">
        <v>0</v>
      </c>
      <c r="V55">
        <v>0</v>
      </c>
      <c r="W55">
        <v>0</v>
      </c>
      <c r="X55">
        <v>0</v>
      </c>
      <c r="Y55">
        <v>223366012.11000001</v>
      </c>
      <c r="Z55">
        <v>223366012.11000001</v>
      </c>
      <c r="AA55" t="str">
        <f>CashProjTable[Portfolio]&amp;CashProjTable[ProjDate]</f>
        <v>SCBTMFPLUS43401</v>
      </c>
    </row>
    <row r="56" spans="1:27" x14ac:dyDescent="0.2">
      <c r="A56" t="s">
        <v>132</v>
      </c>
      <c r="B56" t="s">
        <v>137</v>
      </c>
      <c r="C56" s="131">
        <v>43402</v>
      </c>
      <c r="D56">
        <v>0</v>
      </c>
      <c r="E56">
        <v>0</v>
      </c>
      <c r="F56">
        <v>0</v>
      </c>
      <c r="G56">
        <v>0</v>
      </c>
      <c r="H56">
        <v>0</v>
      </c>
      <c r="I56">
        <v>0</v>
      </c>
      <c r="J56">
        <v>0</v>
      </c>
      <c r="K56">
        <v>0</v>
      </c>
      <c r="L56">
        <v>0</v>
      </c>
      <c r="M56">
        <v>0</v>
      </c>
      <c r="N56">
        <v>0</v>
      </c>
      <c r="O56">
        <v>223366012.11000001</v>
      </c>
      <c r="P56" s="3">
        <v>600818769.55999994</v>
      </c>
      <c r="Q56">
        <v>0</v>
      </c>
      <c r="R56">
        <v>0</v>
      </c>
      <c r="S56">
        <v>0</v>
      </c>
      <c r="T56">
        <v>0</v>
      </c>
      <c r="U56">
        <v>0</v>
      </c>
      <c r="V56">
        <v>0</v>
      </c>
      <c r="W56">
        <v>0</v>
      </c>
      <c r="X56">
        <v>0</v>
      </c>
      <c r="Y56">
        <v>223366012.11000001</v>
      </c>
      <c r="Z56">
        <v>223366012.11000001</v>
      </c>
      <c r="AA56" t="str">
        <f>CashProjTable[Portfolio]&amp;CashProjTable[ProjDate]</f>
        <v>SCBTMFPLUS43402</v>
      </c>
    </row>
    <row r="57" spans="1:27" x14ac:dyDescent="0.2">
      <c r="A57" t="s">
        <v>132</v>
      </c>
      <c r="B57" t="s">
        <v>137</v>
      </c>
      <c r="C57" s="131">
        <v>43403</v>
      </c>
      <c r="D57">
        <v>0</v>
      </c>
      <c r="E57">
        <v>89000000</v>
      </c>
      <c r="F57">
        <v>0</v>
      </c>
      <c r="G57">
        <v>0</v>
      </c>
      <c r="H57">
        <v>0</v>
      </c>
      <c r="I57">
        <v>0</v>
      </c>
      <c r="J57">
        <v>0</v>
      </c>
      <c r="K57">
        <v>0</v>
      </c>
      <c r="L57">
        <v>0</v>
      </c>
      <c r="M57">
        <v>0</v>
      </c>
      <c r="N57">
        <v>0</v>
      </c>
      <c r="O57">
        <v>312366012.11000001</v>
      </c>
      <c r="P57" s="3">
        <v>600818769.55999994</v>
      </c>
      <c r="Q57">
        <v>0</v>
      </c>
      <c r="R57">
        <v>89000000</v>
      </c>
      <c r="S57">
        <v>0</v>
      </c>
      <c r="T57">
        <v>0</v>
      </c>
      <c r="U57">
        <v>0</v>
      </c>
      <c r="V57">
        <v>0</v>
      </c>
      <c r="W57">
        <v>0</v>
      </c>
      <c r="X57">
        <v>0</v>
      </c>
      <c r="Y57">
        <v>312366012.11000001</v>
      </c>
      <c r="Z57">
        <v>312366012.11000001</v>
      </c>
      <c r="AA57" t="str">
        <f>CashProjTable[Portfolio]&amp;CashProjTable[ProjDate]</f>
        <v>SCBTMFPLUS43403</v>
      </c>
    </row>
    <row r="58" spans="1:27" x14ac:dyDescent="0.2">
      <c r="A58" t="s">
        <v>132</v>
      </c>
      <c r="B58" t="s">
        <v>137</v>
      </c>
      <c r="C58" s="131">
        <v>43404</v>
      </c>
      <c r="D58">
        <v>0</v>
      </c>
      <c r="E58">
        <v>0</v>
      </c>
      <c r="F58">
        <v>0</v>
      </c>
      <c r="G58">
        <v>0</v>
      </c>
      <c r="H58">
        <v>0</v>
      </c>
      <c r="I58">
        <v>0</v>
      </c>
      <c r="J58">
        <v>0</v>
      </c>
      <c r="K58">
        <v>0</v>
      </c>
      <c r="L58">
        <v>0</v>
      </c>
      <c r="M58">
        <v>0</v>
      </c>
      <c r="N58">
        <v>0</v>
      </c>
      <c r="O58">
        <v>312366012.11000001</v>
      </c>
      <c r="P58" s="3">
        <v>600818769.55999994</v>
      </c>
      <c r="Q58">
        <v>0</v>
      </c>
      <c r="R58">
        <v>0</v>
      </c>
      <c r="S58">
        <v>0</v>
      </c>
      <c r="T58">
        <v>0</v>
      </c>
      <c r="U58">
        <v>0</v>
      </c>
      <c r="V58">
        <v>0</v>
      </c>
      <c r="W58">
        <v>0</v>
      </c>
      <c r="X58">
        <v>0</v>
      </c>
      <c r="Y58">
        <v>312366012.11000001</v>
      </c>
      <c r="Z58">
        <v>312366012.11000001</v>
      </c>
      <c r="AA58" t="str">
        <f>CashProjTable[Portfolio]&amp;CashProjTable[ProjDate]</f>
        <v>SCBTMFPLUS43404</v>
      </c>
    </row>
    <row r="59" spans="1:27" x14ac:dyDescent="0.2">
      <c r="A59" t="s">
        <v>132</v>
      </c>
      <c r="B59" t="s">
        <v>137</v>
      </c>
      <c r="C59" s="131">
        <v>43405</v>
      </c>
      <c r="D59">
        <v>0</v>
      </c>
      <c r="E59">
        <v>1386000000.01</v>
      </c>
      <c r="F59">
        <v>0</v>
      </c>
      <c r="G59">
        <v>0</v>
      </c>
      <c r="H59">
        <v>0</v>
      </c>
      <c r="I59">
        <v>0</v>
      </c>
      <c r="J59">
        <v>0</v>
      </c>
      <c r="K59">
        <v>0</v>
      </c>
      <c r="L59">
        <v>0</v>
      </c>
      <c r="M59">
        <v>0</v>
      </c>
      <c r="N59">
        <v>0</v>
      </c>
      <c r="O59">
        <v>1698366012.1199999</v>
      </c>
      <c r="P59" s="3">
        <v>600818769.55999994</v>
      </c>
      <c r="Q59">
        <v>0</v>
      </c>
      <c r="R59">
        <v>1386000000.01</v>
      </c>
      <c r="S59">
        <v>0</v>
      </c>
      <c r="T59">
        <v>0</v>
      </c>
      <c r="U59">
        <v>0</v>
      </c>
      <c r="V59">
        <v>0</v>
      </c>
      <c r="W59">
        <v>0</v>
      </c>
      <c r="X59">
        <v>0</v>
      </c>
      <c r="Y59">
        <v>1698366012.1199999</v>
      </c>
      <c r="Z59">
        <v>1698366012.1199999</v>
      </c>
      <c r="AA59" t="str">
        <f>CashProjTable[Portfolio]&amp;CashProjTable[ProjDate]</f>
        <v>SCBTMFPLUS43405</v>
      </c>
    </row>
    <row r="60" spans="1:27" x14ac:dyDescent="0.2">
      <c r="A60" t="s">
        <v>132</v>
      </c>
      <c r="B60" t="s">
        <v>137</v>
      </c>
      <c r="C60" s="131">
        <v>43406</v>
      </c>
      <c r="D60">
        <v>0</v>
      </c>
      <c r="E60">
        <v>0</v>
      </c>
      <c r="F60">
        <v>0</v>
      </c>
      <c r="G60">
        <v>0</v>
      </c>
      <c r="H60">
        <v>0</v>
      </c>
      <c r="I60">
        <v>0</v>
      </c>
      <c r="J60">
        <v>0</v>
      </c>
      <c r="K60">
        <v>0</v>
      </c>
      <c r="L60">
        <v>0</v>
      </c>
      <c r="M60">
        <v>0</v>
      </c>
      <c r="N60">
        <v>0</v>
      </c>
      <c r="O60">
        <v>1698366012.1199999</v>
      </c>
      <c r="P60" s="3">
        <v>600818769.55999994</v>
      </c>
      <c r="Q60">
        <v>0</v>
      </c>
      <c r="R60">
        <v>0</v>
      </c>
      <c r="S60">
        <v>0</v>
      </c>
      <c r="T60">
        <v>0</v>
      </c>
      <c r="U60">
        <v>0</v>
      </c>
      <c r="V60">
        <v>0</v>
      </c>
      <c r="W60">
        <v>0</v>
      </c>
      <c r="X60">
        <v>0</v>
      </c>
      <c r="Y60">
        <v>1698366012.1199999</v>
      </c>
      <c r="Z60">
        <v>1698366012.1199999</v>
      </c>
      <c r="AA60" t="str">
        <f>CashProjTable[Portfolio]&amp;CashProjTable[ProjDate]</f>
        <v>SCBTMFPLUS43406</v>
      </c>
    </row>
    <row r="61" spans="1:27" x14ac:dyDescent="0.2">
      <c r="A61" t="s">
        <v>132</v>
      </c>
      <c r="B61" t="s">
        <v>137</v>
      </c>
      <c r="C61" s="131">
        <v>43407</v>
      </c>
      <c r="D61">
        <v>0</v>
      </c>
      <c r="E61">
        <v>0</v>
      </c>
      <c r="F61">
        <v>0</v>
      </c>
      <c r="G61">
        <v>0</v>
      </c>
      <c r="H61">
        <v>0</v>
      </c>
      <c r="I61">
        <v>0</v>
      </c>
      <c r="J61">
        <v>0</v>
      </c>
      <c r="K61">
        <v>0</v>
      </c>
      <c r="L61">
        <v>0</v>
      </c>
      <c r="M61">
        <v>0</v>
      </c>
      <c r="N61">
        <v>0</v>
      </c>
      <c r="O61">
        <v>1698366012.1199999</v>
      </c>
      <c r="P61" s="3">
        <v>600818769.55999994</v>
      </c>
      <c r="Q61">
        <v>0</v>
      </c>
      <c r="R61">
        <v>0</v>
      </c>
      <c r="S61">
        <v>0</v>
      </c>
      <c r="T61">
        <v>0</v>
      </c>
      <c r="U61">
        <v>0</v>
      </c>
      <c r="V61">
        <v>0</v>
      </c>
      <c r="W61">
        <v>0</v>
      </c>
      <c r="X61">
        <v>0</v>
      </c>
      <c r="Y61">
        <v>1698366012.1199999</v>
      </c>
      <c r="Z61">
        <v>1698366012.1199999</v>
      </c>
      <c r="AA61" t="str">
        <f>CashProjTable[Portfolio]&amp;CashProjTable[ProjDate]</f>
        <v>SCBTMFPLUS43407</v>
      </c>
    </row>
    <row r="62" spans="1:27" x14ac:dyDescent="0.2">
      <c r="A62" t="s">
        <v>132</v>
      </c>
      <c r="B62" t="s">
        <v>137</v>
      </c>
      <c r="C62" s="131">
        <v>43408</v>
      </c>
      <c r="D62">
        <v>0</v>
      </c>
      <c r="E62">
        <v>0</v>
      </c>
      <c r="F62">
        <v>0</v>
      </c>
      <c r="G62">
        <v>0</v>
      </c>
      <c r="H62">
        <v>0</v>
      </c>
      <c r="I62">
        <v>0</v>
      </c>
      <c r="J62">
        <v>0</v>
      </c>
      <c r="K62">
        <v>0</v>
      </c>
      <c r="L62">
        <v>0</v>
      </c>
      <c r="M62">
        <v>0</v>
      </c>
      <c r="N62">
        <v>0</v>
      </c>
      <c r="O62">
        <v>1698366012.1199999</v>
      </c>
      <c r="P62" s="3">
        <v>600818769.55999994</v>
      </c>
      <c r="Q62">
        <v>0</v>
      </c>
      <c r="R62">
        <v>0</v>
      </c>
      <c r="S62">
        <v>0</v>
      </c>
      <c r="T62">
        <v>0</v>
      </c>
      <c r="U62">
        <v>0</v>
      </c>
      <c r="V62">
        <v>0</v>
      </c>
      <c r="W62">
        <v>0</v>
      </c>
      <c r="X62">
        <v>0</v>
      </c>
      <c r="Y62">
        <v>1698366012.1199999</v>
      </c>
      <c r="Z62">
        <v>1698366012.1199999</v>
      </c>
      <c r="AA62" t="str">
        <f>CashProjTable[Portfolio]&amp;CashProjTable[ProjDate]</f>
        <v>SCBTMFPLUS43408</v>
      </c>
    </row>
    <row r="63" spans="1:27" x14ac:dyDescent="0.2">
      <c r="A63" t="s">
        <v>132</v>
      </c>
      <c r="B63" t="s">
        <v>137</v>
      </c>
      <c r="C63" s="131">
        <v>43409</v>
      </c>
      <c r="D63">
        <v>0</v>
      </c>
      <c r="E63">
        <v>0</v>
      </c>
      <c r="F63">
        <v>0</v>
      </c>
      <c r="G63">
        <v>0</v>
      </c>
      <c r="H63">
        <v>0</v>
      </c>
      <c r="I63">
        <v>0</v>
      </c>
      <c r="J63">
        <v>0</v>
      </c>
      <c r="K63">
        <v>0</v>
      </c>
      <c r="L63">
        <v>0</v>
      </c>
      <c r="M63">
        <v>0</v>
      </c>
      <c r="N63">
        <v>0</v>
      </c>
      <c r="O63">
        <v>1698366012.1199999</v>
      </c>
      <c r="P63" s="3">
        <v>600818769.55999994</v>
      </c>
      <c r="Q63">
        <v>0</v>
      </c>
      <c r="R63">
        <v>0</v>
      </c>
      <c r="S63">
        <v>0</v>
      </c>
      <c r="T63">
        <v>0</v>
      </c>
      <c r="U63">
        <v>0</v>
      </c>
      <c r="V63">
        <v>0</v>
      </c>
      <c r="W63">
        <v>0</v>
      </c>
      <c r="X63">
        <v>0</v>
      </c>
      <c r="Y63">
        <v>1698366012.1199999</v>
      </c>
      <c r="Z63">
        <v>1698366012.1199999</v>
      </c>
      <c r="AA63" t="str">
        <f>CashProjTable[Portfolio]&amp;CashProjTable[ProjDate]</f>
        <v>SCBTMFPLUS43409</v>
      </c>
    </row>
    <row r="64" spans="1:27" x14ac:dyDescent="0.2">
      <c r="A64" t="s">
        <v>132</v>
      </c>
      <c r="B64" t="s">
        <v>137</v>
      </c>
      <c r="C64" s="131">
        <v>43410</v>
      </c>
      <c r="D64">
        <v>0</v>
      </c>
      <c r="E64">
        <v>970000000</v>
      </c>
      <c r="F64">
        <v>0</v>
      </c>
      <c r="G64">
        <v>0</v>
      </c>
      <c r="H64">
        <v>0</v>
      </c>
      <c r="I64">
        <v>0</v>
      </c>
      <c r="J64">
        <v>61485.279999999999</v>
      </c>
      <c r="K64">
        <v>0</v>
      </c>
      <c r="L64">
        <v>0</v>
      </c>
      <c r="M64">
        <v>0</v>
      </c>
      <c r="N64">
        <v>0</v>
      </c>
      <c r="O64">
        <v>2668304526.8400002</v>
      </c>
      <c r="P64" s="3">
        <v>600818769.55999994</v>
      </c>
      <c r="Q64">
        <v>0</v>
      </c>
      <c r="R64">
        <v>970000000</v>
      </c>
      <c r="S64">
        <v>0</v>
      </c>
      <c r="T64">
        <v>0</v>
      </c>
      <c r="U64">
        <v>0</v>
      </c>
      <c r="V64">
        <v>0</v>
      </c>
      <c r="W64">
        <v>0</v>
      </c>
      <c r="X64">
        <v>0</v>
      </c>
      <c r="Y64">
        <v>2668304526.8400002</v>
      </c>
      <c r="Z64">
        <v>2668304526.8400002</v>
      </c>
      <c r="AA64" t="str">
        <f>CashProjTable[Portfolio]&amp;CashProjTable[ProjDate]</f>
        <v>SCBTMFPLUS43410</v>
      </c>
    </row>
    <row r="65" spans="1:27" x14ac:dyDescent="0.2">
      <c r="A65" t="s">
        <v>132</v>
      </c>
      <c r="B65" t="s">
        <v>137</v>
      </c>
      <c r="C65" s="131">
        <v>43411</v>
      </c>
      <c r="D65">
        <v>0</v>
      </c>
      <c r="E65">
        <v>0</v>
      </c>
      <c r="F65">
        <v>0</v>
      </c>
      <c r="G65">
        <v>0</v>
      </c>
      <c r="H65">
        <v>0</v>
      </c>
      <c r="I65">
        <v>0</v>
      </c>
      <c r="J65">
        <v>1239917.8500000001</v>
      </c>
      <c r="K65">
        <v>0</v>
      </c>
      <c r="L65">
        <v>0</v>
      </c>
      <c r="M65">
        <v>0</v>
      </c>
      <c r="N65">
        <v>0</v>
      </c>
      <c r="O65">
        <v>2667064608.9899998</v>
      </c>
      <c r="P65" s="3">
        <v>600818769.55999994</v>
      </c>
      <c r="Q65">
        <v>0</v>
      </c>
      <c r="R65">
        <v>0</v>
      </c>
      <c r="S65">
        <v>0</v>
      </c>
      <c r="T65">
        <v>0</v>
      </c>
      <c r="U65">
        <v>0</v>
      </c>
      <c r="V65">
        <v>0</v>
      </c>
      <c r="W65">
        <v>0</v>
      </c>
      <c r="X65">
        <v>0</v>
      </c>
      <c r="Y65">
        <v>2667064608.9899998</v>
      </c>
      <c r="Z65">
        <v>2667064608.9899998</v>
      </c>
      <c r="AA65" t="str">
        <f>CashProjTable[Portfolio]&amp;CashProjTable[ProjDate]</f>
        <v>SCBTMFPLUS43411</v>
      </c>
    </row>
    <row r="66" spans="1:27" x14ac:dyDescent="0.2">
      <c r="A66" t="s">
        <v>337</v>
      </c>
      <c r="B66" t="s">
        <v>21</v>
      </c>
      <c r="C66" s="131">
        <v>43395</v>
      </c>
      <c r="D66">
        <v>0</v>
      </c>
      <c r="E66">
        <v>0</v>
      </c>
      <c r="F66">
        <v>0</v>
      </c>
      <c r="G66">
        <v>0</v>
      </c>
      <c r="H66">
        <v>0</v>
      </c>
      <c r="I66">
        <v>0</v>
      </c>
      <c r="J66">
        <v>0</v>
      </c>
      <c r="K66">
        <v>33000</v>
      </c>
      <c r="L66">
        <v>0</v>
      </c>
      <c r="M66">
        <v>1091712.98</v>
      </c>
      <c r="N66">
        <v>0</v>
      </c>
      <c r="O66">
        <v>0</v>
      </c>
      <c r="P66" s="3">
        <v>0</v>
      </c>
      <c r="Q66">
        <v>0</v>
      </c>
      <c r="R66">
        <v>0</v>
      </c>
      <c r="S66">
        <v>0</v>
      </c>
      <c r="T66">
        <v>0</v>
      </c>
      <c r="U66">
        <v>0</v>
      </c>
      <c r="V66">
        <v>0</v>
      </c>
      <c r="W66">
        <v>0</v>
      </c>
      <c r="X66">
        <v>0</v>
      </c>
      <c r="Y66">
        <v>-1124712.98</v>
      </c>
      <c r="Z66">
        <v>-1124712.98</v>
      </c>
      <c r="AA66" t="str">
        <f>CashProjTable[Portfolio]&amp;CashProjTable[ProjDate]</f>
        <v>SCBRF43395</v>
      </c>
    </row>
    <row r="67" spans="1:27" x14ac:dyDescent="0.2">
      <c r="A67" t="s">
        <v>337</v>
      </c>
      <c r="B67" t="s">
        <v>21</v>
      </c>
      <c r="C67" s="131">
        <v>43397</v>
      </c>
      <c r="D67">
        <v>0</v>
      </c>
      <c r="E67">
        <v>0</v>
      </c>
      <c r="F67">
        <v>0</v>
      </c>
      <c r="G67">
        <v>0</v>
      </c>
      <c r="H67">
        <v>0</v>
      </c>
      <c r="I67">
        <v>0</v>
      </c>
      <c r="J67">
        <v>0</v>
      </c>
      <c r="K67">
        <v>11150</v>
      </c>
      <c r="L67">
        <v>0</v>
      </c>
      <c r="M67">
        <v>0</v>
      </c>
      <c r="N67">
        <v>0</v>
      </c>
      <c r="O67">
        <v>693017.86</v>
      </c>
      <c r="P67" s="3">
        <v>1673968.21</v>
      </c>
      <c r="Q67">
        <v>0</v>
      </c>
      <c r="R67">
        <v>0</v>
      </c>
      <c r="S67">
        <v>0</v>
      </c>
      <c r="T67">
        <v>0</v>
      </c>
      <c r="U67">
        <v>0</v>
      </c>
      <c r="V67">
        <v>0</v>
      </c>
      <c r="W67">
        <v>33000</v>
      </c>
      <c r="X67">
        <v>0</v>
      </c>
      <c r="Y67">
        <v>681867.86</v>
      </c>
      <c r="Z67">
        <v>-442845.12</v>
      </c>
      <c r="AA67" t="str">
        <f>CashProjTable[Portfolio]&amp;CashProjTable[ProjDate]</f>
        <v>SCBRF43397</v>
      </c>
    </row>
    <row r="68" spans="1:27" x14ac:dyDescent="0.2">
      <c r="A68" t="s">
        <v>337</v>
      </c>
      <c r="B68" t="s">
        <v>21</v>
      </c>
      <c r="C68" s="131">
        <v>43398</v>
      </c>
      <c r="D68">
        <v>0</v>
      </c>
      <c r="E68">
        <v>7046914.8399999999</v>
      </c>
      <c r="F68">
        <v>0</v>
      </c>
      <c r="G68">
        <v>0</v>
      </c>
      <c r="H68">
        <v>0</v>
      </c>
      <c r="I68">
        <v>0</v>
      </c>
      <c r="J68">
        <v>0</v>
      </c>
      <c r="K68">
        <v>116000</v>
      </c>
      <c r="L68">
        <v>0</v>
      </c>
      <c r="M68">
        <v>0</v>
      </c>
      <c r="N68">
        <v>0</v>
      </c>
      <c r="O68">
        <v>7855932.7000000002</v>
      </c>
      <c r="P68" s="3">
        <v>1673968.21</v>
      </c>
      <c r="Q68">
        <v>0</v>
      </c>
      <c r="R68">
        <v>7046914.8399999999</v>
      </c>
      <c r="S68">
        <v>0</v>
      </c>
      <c r="T68">
        <v>0</v>
      </c>
      <c r="U68">
        <v>33000</v>
      </c>
      <c r="V68">
        <v>0</v>
      </c>
      <c r="W68">
        <v>11150</v>
      </c>
      <c r="X68">
        <v>0</v>
      </c>
      <c r="Y68">
        <v>7739932.7000000002</v>
      </c>
      <c r="Z68">
        <v>7728782.7000000002</v>
      </c>
      <c r="AA68" t="str">
        <f>CashProjTable[Portfolio]&amp;CashProjTable[ProjDate]</f>
        <v>SCBRF43398</v>
      </c>
    </row>
    <row r="69" spans="1:27" x14ac:dyDescent="0.2">
      <c r="A69" t="s">
        <v>337</v>
      </c>
      <c r="B69" t="s">
        <v>21</v>
      </c>
      <c r="C69" s="131">
        <v>43399</v>
      </c>
      <c r="D69">
        <v>0</v>
      </c>
      <c r="E69">
        <v>0</v>
      </c>
      <c r="F69">
        <v>0</v>
      </c>
      <c r="G69">
        <v>0</v>
      </c>
      <c r="H69">
        <v>0</v>
      </c>
      <c r="I69">
        <v>0</v>
      </c>
      <c r="J69">
        <v>0</v>
      </c>
      <c r="K69">
        <v>0</v>
      </c>
      <c r="L69">
        <v>0</v>
      </c>
      <c r="M69">
        <v>0</v>
      </c>
      <c r="N69">
        <v>0</v>
      </c>
      <c r="O69">
        <v>7855932.7000000002</v>
      </c>
      <c r="P69" s="3">
        <v>1673968.21</v>
      </c>
      <c r="Q69">
        <v>0</v>
      </c>
      <c r="R69">
        <v>0</v>
      </c>
      <c r="S69">
        <v>0</v>
      </c>
      <c r="T69">
        <v>0</v>
      </c>
      <c r="U69">
        <v>11150</v>
      </c>
      <c r="V69">
        <v>0</v>
      </c>
      <c r="W69">
        <v>116000</v>
      </c>
      <c r="X69">
        <v>0</v>
      </c>
      <c r="Y69">
        <v>7855932.7000000002</v>
      </c>
      <c r="Z69">
        <v>7739932.7000000002</v>
      </c>
      <c r="AA69" t="str">
        <f>CashProjTable[Portfolio]&amp;CashProjTable[ProjDate]</f>
        <v>SCBRF43399</v>
      </c>
    </row>
    <row r="70" spans="1:27" x14ac:dyDescent="0.2">
      <c r="A70" t="s">
        <v>337</v>
      </c>
      <c r="B70" t="s">
        <v>21</v>
      </c>
      <c r="C70" s="131">
        <v>43400</v>
      </c>
      <c r="D70">
        <v>0</v>
      </c>
      <c r="E70">
        <v>0</v>
      </c>
      <c r="F70">
        <v>0</v>
      </c>
      <c r="G70">
        <v>0</v>
      </c>
      <c r="H70">
        <v>0</v>
      </c>
      <c r="I70">
        <v>0</v>
      </c>
      <c r="J70">
        <v>0</v>
      </c>
      <c r="K70">
        <v>0</v>
      </c>
      <c r="L70">
        <v>0</v>
      </c>
      <c r="M70">
        <v>0</v>
      </c>
      <c r="N70">
        <v>0</v>
      </c>
      <c r="O70">
        <v>7855932.7000000002</v>
      </c>
      <c r="P70" s="3">
        <v>1673968.21</v>
      </c>
      <c r="Q70">
        <v>0</v>
      </c>
      <c r="R70">
        <v>0</v>
      </c>
      <c r="S70">
        <v>0</v>
      </c>
      <c r="T70">
        <v>0</v>
      </c>
      <c r="U70">
        <v>0</v>
      </c>
      <c r="V70">
        <v>0</v>
      </c>
      <c r="W70">
        <v>0</v>
      </c>
      <c r="X70">
        <v>0</v>
      </c>
      <c r="Y70">
        <v>7855932.7000000002</v>
      </c>
      <c r="Z70">
        <v>7855932.7000000002</v>
      </c>
      <c r="AA70" t="str">
        <f>CashProjTable[Portfolio]&amp;CashProjTable[ProjDate]</f>
        <v>SCBRF43400</v>
      </c>
    </row>
    <row r="71" spans="1:27" x14ac:dyDescent="0.2">
      <c r="A71" t="s">
        <v>337</v>
      </c>
      <c r="B71" t="s">
        <v>21</v>
      </c>
      <c r="C71" s="131">
        <v>43401</v>
      </c>
      <c r="D71">
        <v>0</v>
      </c>
      <c r="E71">
        <v>0</v>
      </c>
      <c r="F71">
        <v>0</v>
      </c>
      <c r="G71">
        <v>0</v>
      </c>
      <c r="H71">
        <v>0</v>
      </c>
      <c r="I71">
        <v>0</v>
      </c>
      <c r="J71">
        <v>0</v>
      </c>
      <c r="K71">
        <v>0</v>
      </c>
      <c r="L71">
        <v>0</v>
      </c>
      <c r="M71">
        <v>0</v>
      </c>
      <c r="N71">
        <v>0</v>
      </c>
      <c r="O71">
        <v>7855932.7000000002</v>
      </c>
      <c r="P71" s="3">
        <v>1673968.21</v>
      </c>
      <c r="Q71">
        <v>0</v>
      </c>
      <c r="R71">
        <v>0</v>
      </c>
      <c r="S71">
        <v>0</v>
      </c>
      <c r="T71">
        <v>0</v>
      </c>
      <c r="U71">
        <v>0</v>
      </c>
      <c r="V71">
        <v>0</v>
      </c>
      <c r="W71">
        <v>0</v>
      </c>
      <c r="X71">
        <v>0</v>
      </c>
      <c r="Y71">
        <v>7855932.7000000002</v>
      </c>
      <c r="Z71">
        <v>7855932.7000000002</v>
      </c>
      <c r="AA71" t="str">
        <f>CashProjTable[Portfolio]&amp;CashProjTable[ProjDate]</f>
        <v>SCBRF43401</v>
      </c>
    </row>
    <row r="72" spans="1:27" x14ac:dyDescent="0.2">
      <c r="A72" t="s">
        <v>337</v>
      </c>
      <c r="B72" t="s">
        <v>21</v>
      </c>
      <c r="C72" s="131">
        <v>43402</v>
      </c>
      <c r="D72">
        <v>0</v>
      </c>
      <c r="E72">
        <v>0</v>
      </c>
      <c r="F72">
        <v>126506.3</v>
      </c>
      <c r="G72">
        <v>0</v>
      </c>
      <c r="H72">
        <v>0</v>
      </c>
      <c r="I72">
        <v>0</v>
      </c>
      <c r="J72">
        <v>0</v>
      </c>
      <c r="K72">
        <v>0</v>
      </c>
      <c r="L72">
        <v>0</v>
      </c>
      <c r="M72">
        <v>0</v>
      </c>
      <c r="N72">
        <v>0</v>
      </c>
      <c r="O72">
        <v>7982439</v>
      </c>
      <c r="P72" s="3">
        <v>1673968.21</v>
      </c>
      <c r="Q72">
        <v>0</v>
      </c>
      <c r="R72">
        <v>0</v>
      </c>
      <c r="S72">
        <v>0</v>
      </c>
      <c r="T72">
        <v>0</v>
      </c>
      <c r="U72">
        <v>116000</v>
      </c>
      <c r="V72">
        <v>0</v>
      </c>
      <c r="W72">
        <v>0</v>
      </c>
      <c r="X72">
        <v>0</v>
      </c>
      <c r="Y72">
        <v>7982439</v>
      </c>
      <c r="Z72">
        <v>7855932.7000000002</v>
      </c>
      <c r="AA72" t="str">
        <f>CashProjTable[Portfolio]&amp;CashProjTable[ProjDate]</f>
        <v>SCBRF43402</v>
      </c>
    </row>
    <row r="73" spans="1:27" x14ac:dyDescent="0.2">
      <c r="A73" t="s">
        <v>337</v>
      </c>
      <c r="B73" t="s">
        <v>21</v>
      </c>
      <c r="C73" s="131">
        <v>43403</v>
      </c>
      <c r="D73">
        <v>0</v>
      </c>
      <c r="E73">
        <v>0</v>
      </c>
      <c r="F73">
        <v>0</v>
      </c>
      <c r="G73">
        <v>0</v>
      </c>
      <c r="H73">
        <v>0</v>
      </c>
      <c r="I73">
        <v>0</v>
      </c>
      <c r="J73">
        <v>0</v>
      </c>
      <c r="K73">
        <v>0</v>
      </c>
      <c r="L73">
        <v>0</v>
      </c>
      <c r="M73">
        <v>0</v>
      </c>
      <c r="N73">
        <v>0</v>
      </c>
      <c r="O73">
        <v>7982439</v>
      </c>
      <c r="P73" s="3">
        <v>1673968.21</v>
      </c>
      <c r="Q73">
        <v>0</v>
      </c>
      <c r="R73">
        <v>0</v>
      </c>
      <c r="S73">
        <v>0</v>
      </c>
      <c r="T73">
        <v>0</v>
      </c>
      <c r="U73">
        <v>0</v>
      </c>
      <c r="V73">
        <v>0</v>
      </c>
      <c r="W73">
        <v>0</v>
      </c>
      <c r="X73">
        <v>0</v>
      </c>
      <c r="Y73">
        <v>7982439</v>
      </c>
      <c r="Z73">
        <v>7982439</v>
      </c>
      <c r="AA73" t="str">
        <f>CashProjTable[Portfolio]&amp;CashProjTable[ProjDate]</f>
        <v>SCBRF43403</v>
      </c>
    </row>
    <row r="74" spans="1:27" x14ac:dyDescent="0.2">
      <c r="A74" t="s">
        <v>337</v>
      </c>
      <c r="B74" t="s">
        <v>21</v>
      </c>
      <c r="C74" s="131">
        <v>43404</v>
      </c>
      <c r="D74">
        <v>0</v>
      </c>
      <c r="E74">
        <v>0</v>
      </c>
      <c r="F74">
        <v>0</v>
      </c>
      <c r="G74">
        <v>0</v>
      </c>
      <c r="H74">
        <v>0</v>
      </c>
      <c r="I74">
        <v>0</v>
      </c>
      <c r="J74">
        <v>0</v>
      </c>
      <c r="K74">
        <v>0</v>
      </c>
      <c r="L74">
        <v>0</v>
      </c>
      <c r="M74">
        <v>0</v>
      </c>
      <c r="N74">
        <v>0</v>
      </c>
      <c r="O74">
        <v>7982439</v>
      </c>
      <c r="P74" s="3">
        <v>1673968.21</v>
      </c>
      <c r="Q74">
        <v>0</v>
      </c>
      <c r="R74">
        <v>0</v>
      </c>
      <c r="S74">
        <v>0</v>
      </c>
      <c r="T74">
        <v>0</v>
      </c>
      <c r="U74">
        <v>0</v>
      </c>
      <c r="V74">
        <v>0</v>
      </c>
      <c r="W74">
        <v>0</v>
      </c>
      <c r="X74">
        <v>0</v>
      </c>
      <c r="Y74">
        <v>7982439</v>
      </c>
      <c r="Z74">
        <v>7982439</v>
      </c>
      <c r="AA74" t="str">
        <f>CashProjTable[Portfolio]&amp;CashProjTable[ProjDate]</f>
        <v>SCBRF43404</v>
      </c>
    </row>
    <row r="75" spans="1:27" x14ac:dyDescent="0.2">
      <c r="A75" t="s">
        <v>337</v>
      </c>
      <c r="B75" t="s">
        <v>21</v>
      </c>
      <c r="C75" s="131">
        <v>43405</v>
      </c>
      <c r="D75">
        <v>0</v>
      </c>
      <c r="E75">
        <v>14000000</v>
      </c>
      <c r="F75">
        <v>0</v>
      </c>
      <c r="G75">
        <v>0</v>
      </c>
      <c r="H75">
        <v>0</v>
      </c>
      <c r="I75">
        <v>0</v>
      </c>
      <c r="J75">
        <v>0</v>
      </c>
      <c r="K75">
        <v>0</v>
      </c>
      <c r="L75">
        <v>0</v>
      </c>
      <c r="M75">
        <v>0</v>
      </c>
      <c r="N75">
        <v>0</v>
      </c>
      <c r="O75">
        <v>21982439</v>
      </c>
      <c r="P75" s="3">
        <v>1673968.21</v>
      </c>
      <c r="Q75">
        <v>0</v>
      </c>
      <c r="R75">
        <v>14000000</v>
      </c>
      <c r="S75">
        <v>0</v>
      </c>
      <c r="T75">
        <v>0</v>
      </c>
      <c r="U75">
        <v>0</v>
      </c>
      <c r="V75">
        <v>0</v>
      </c>
      <c r="W75">
        <v>0</v>
      </c>
      <c r="X75">
        <v>0</v>
      </c>
      <c r="Y75">
        <v>21982439</v>
      </c>
      <c r="Z75">
        <v>21982439</v>
      </c>
      <c r="AA75" t="str">
        <f>CashProjTable[Portfolio]&amp;CashProjTable[ProjDate]</f>
        <v>SCBRF43405</v>
      </c>
    </row>
    <row r="76" spans="1:27" x14ac:dyDescent="0.2">
      <c r="A76" t="s">
        <v>337</v>
      </c>
      <c r="B76" t="s">
        <v>21</v>
      </c>
      <c r="C76" s="131">
        <v>43406</v>
      </c>
      <c r="D76">
        <v>0</v>
      </c>
      <c r="E76">
        <v>0</v>
      </c>
      <c r="F76">
        <v>177194.52</v>
      </c>
      <c r="G76">
        <v>0</v>
      </c>
      <c r="H76">
        <v>0</v>
      </c>
      <c r="I76">
        <v>0</v>
      </c>
      <c r="J76">
        <v>0</v>
      </c>
      <c r="K76">
        <v>0</v>
      </c>
      <c r="L76">
        <v>0</v>
      </c>
      <c r="M76">
        <v>0</v>
      </c>
      <c r="N76">
        <v>0</v>
      </c>
      <c r="O76">
        <v>22159633.52</v>
      </c>
      <c r="P76" s="3">
        <v>1673968.21</v>
      </c>
      <c r="Q76">
        <v>0</v>
      </c>
      <c r="R76">
        <v>0</v>
      </c>
      <c r="S76">
        <v>0</v>
      </c>
      <c r="T76">
        <v>0</v>
      </c>
      <c r="U76">
        <v>0</v>
      </c>
      <c r="V76">
        <v>0</v>
      </c>
      <c r="W76">
        <v>0</v>
      </c>
      <c r="X76">
        <v>0</v>
      </c>
      <c r="Y76">
        <v>22159633.52</v>
      </c>
      <c r="Z76">
        <v>21982439</v>
      </c>
      <c r="AA76" t="str">
        <f>CashProjTable[Portfolio]&amp;CashProjTable[ProjDate]</f>
        <v>SCBRF43406</v>
      </c>
    </row>
    <row r="77" spans="1:27" x14ac:dyDescent="0.2">
      <c r="A77" t="s">
        <v>337</v>
      </c>
      <c r="B77" t="s">
        <v>21</v>
      </c>
      <c r="C77" s="131">
        <v>43407</v>
      </c>
      <c r="D77">
        <v>0</v>
      </c>
      <c r="E77">
        <v>0</v>
      </c>
      <c r="F77">
        <v>0</v>
      </c>
      <c r="G77">
        <v>0</v>
      </c>
      <c r="H77">
        <v>0</v>
      </c>
      <c r="I77">
        <v>0</v>
      </c>
      <c r="J77">
        <v>0</v>
      </c>
      <c r="K77">
        <v>0</v>
      </c>
      <c r="L77">
        <v>0</v>
      </c>
      <c r="M77">
        <v>0</v>
      </c>
      <c r="N77">
        <v>0</v>
      </c>
      <c r="O77">
        <v>22159633.52</v>
      </c>
      <c r="P77" s="3">
        <v>1673968.21</v>
      </c>
      <c r="Q77">
        <v>0</v>
      </c>
      <c r="R77">
        <v>0</v>
      </c>
      <c r="S77">
        <v>0</v>
      </c>
      <c r="T77">
        <v>0</v>
      </c>
      <c r="U77">
        <v>0</v>
      </c>
      <c r="V77">
        <v>0</v>
      </c>
      <c r="W77">
        <v>0</v>
      </c>
      <c r="X77">
        <v>0</v>
      </c>
      <c r="Y77">
        <v>22159633.52</v>
      </c>
      <c r="Z77">
        <v>22159633.52</v>
      </c>
      <c r="AA77" t="str">
        <f>CashProjTable[Portfolio]&amp;CashProjTable[ProjDate]</f>
        <v>SCBRF43407</v>
      </c>
    </row>
    <row r="78" spans="1:27" x14ac:dyDescent="0.2">
      <c r="A78" t="s">
        <v>337</v>
      </c>
      <c r="B78" t="s">
        <v>21</v>
      </c>
      <c r="C78" s="131">
        <v>43408</v>
      </c>
      <c r="D78">
        <v>0</v>
      </c>
      <c r="E78">
        <v>0</v>
      </c>
      <c r="F78">
        <v>0</v>
      </c>
      <c r="G78">
        <v>0</v>
      </c>
      <c r="H78">
        <v>0</v>
      </c>
      <c r="I78">
        <v>0</v>
      </c>
      <c r="J78">
        <v>0</v>
      </c>
      <c r="K78">
        <v>0</v>
      </c>
      <c r="L78">
        <v>0</v>
      </c>
      <c r="M78">
        <v>0</v>
      </c>
      <c r="N78">
        <v>0</v>
      </c>
      <c r="O78">
        <v>22159633.52</v>
      </c>
      <c r="P78" s="3">
        <v>1673968.21</v>
      </c>
      <c r="Q78">
        <v>0</v>
      </c>
      <c r="R78">
        <v>0</v>
      </c>
      <c r="S78">
        <v>0</v>
      </c>
      <c r="T78">
        <v>0</v>
      </c>
      <c r="U78">
        <v>0</v>
      </c>
      <c r="V78">
        <v>0</v>
      </c>
      <c r="W78">
        <v>0</v>
      </c>
      <c r="X78">
        <v>0</v>
      </c>
      <c r="Y78">
        <v>22159633.52</v>
      </c>
      <c r="Z78">
        <v>22159633.52</v>
      </c>
      <c r="AA78" t="str">
        <f>CashProjTable[Portfolio]&amp;CashProjTable[ProjDate]</f>
        <v>SCBRF43408</v>
      </c>
    </row>
    <row r="79" spans="1:27" x14ac:dyDescent="0.2">
      <c r="A79" t="s">
        <v>337</v>
      </c>
      <c r="B79" t="s">
        <v>21</v>
      </c>
      <c r="C79" s="131">
        <v>43409</v>
      </c>
      <c r="D79">
        <v>0</v>
      </c>
      <c r="E79">
        <v>0</v>
      </c>
      <c r="F79">
        <v>228865.75</v>
      </c>
      <c r="G79">
        <v>0</v>
      </c>
      <c r="H79">
        <v>0</v>
      </c>
      <c r="I79">
        <v>0</v>
      </c>
      <c r="J79">
        <v>0</v>
      </c>
      <c r="K79">
        <v>0</v>
      </c>
      <c r="L79">
        <v>0</v>
      </c>
      <c r="M79">
        <v>0</v>
      </c>
      <c r="N79">
        <v>0</v>
      </c>
      <c r="O79">
        <v>22388499.27</v>
      </c>
      <c r="P79" s="3">
        <v>1673968.21</v>
      </c>
      <c r="Q79">
        <v>0</v>
      </c>
      <c r="R79">
        <v>0</v>
      </c>
      <c r="S79">
        <v>0</v>
      </c>
      <c r="T79">
        <v>0</v>
      </c>
      <c r="U79">
        <v>0</v>
      </c>
      <c r="V79">
        <v>0</v>
      </c>
      <c r="W79">
        <v>0</v>
      </c>
      <c r="X79">
        <v>0</v>
      </c>
      <c r="Y79">
        <v>22388499.27</v>
      </c>
      <c r="Z79">
        <v>22159633.52</v>
      </c>
      <c r="AA79" t="str">
        <f>CashProjTable[Portfolio]&amp;CashProjTable[ProjDate]</f>
        <v>SCBRF43409</v>
      </c>
    </row>
    <row r="80" spans="1:27" x14ac:dyDescent="0.2">
      <c r="A80" t="s">
        <v>337</v>
      </c>
      <c r="B80" t="s">
        <v>21</v>
      </c>
      <c r="C80" s="131">
        <v>43410</v>
      </c>
      <c r="D80">
        <v>0</v>
      </c>
      <c r="E80">
        <v>0</v>
      </c>
      <c r="F80">
        <v>0</v>
      </c>
      <c r="G80">
        <v>0</v>
      </c>
      <c r="H80">
        <v>0</v>
      </c>
      <c r="I80">
        <v>0</v>
      </c>
      <c r="J80">
        <v>7887.31</v>
      </c>
      <c r="K80">
        <v>0</v>
      </c>
      <c r="L80">
        <v>0</v>
      </c>
      <c r="M80">
        <v>0</v>
      </c>
      <c r="N80">
        <v>0</v>
      </c>
      <c r="O80">
        <v>22380611.960000001</v>
      </c>
      <c r="P80" s="3">
        <v>1673968.21</v>
      </c>
      <c r="Q80">
        <v>0</v>
      </c>
      <c r="R80">
        <v>0</v>
      </c>
      <c r="S80">
        <v>0</v>
      </c>
      <c r="T80">
        <v>0</v>
      </c>
      <c r="U80">
        <v>0</v>
      </c>
      <c r="V80">
        <v>0</v>
      </c>
      <c r="W80">
        <v>0</v>
      </c>
      <c r="X80">
        <v>0</v>
      </c>
      <c r="Y80">
        <v>22380611.960000001</v>
      </c>
      <c r="Z80">
        <v>22380611.960000001</v>
      </c>
      <c r="AA80" t="str">
        <f>CashProjTable[Portfolio]&amp;CashProjTable[ProjDate]</f>
        <v>SCBRF43410</v>
      </c>
    </row>
    <row r="81" spans="1:27" x14ac:dyDescent="0.2">
      <c r="A81" t="s">
        <v>337</v>
      </c>
      <c r="B81" t="s">
        <v>21</v>
      </c>
      <c r="C81" s="131">
        <v>43411</v>
      </c>
      <c r="D81">
        <v>0</v>
      </c>
      <c r="E81">
        <v>0</v>
      </c>
      <c r="F81">
        <v>0</v>
      </c>
      <c r="G81">
        <v>0</v>
      </c>
      <c r="H81">
        <v>0</v>
      </c>
      <c r="I81">
        <v>0</v>
      </c>
      <c r="J81">
        <v>149088.01</v>
      </c>
      <c r="K81">
        <v>0</v>
      </c>
      <c r="L81">
        <v>0</v>
      </c>
      <c r="M81">
        <v>0</v>
      </c>
      <c r="N81">
        <v>0</v>
      </c>
      <c r="O81">
        <v>22231523.949999999</v>
      </c>
      <c r="P81" s="3">
        <v>1673968.21</v>
      </c>
      <c r="Q81">
        <v>0</v>
      </c>
      <c r="R81">
        <v>0</v>
      </c>
      <c r="S81">
        <v>0</v>
      </c>
      <c r="T81">
        <v>0</v>
      </c>
      <c r="U81">
        <v>0</v>
      </c>
      <c r="V81">
        <v>0</v>
      </c>
      <c r="W81">
        <v>0</v>
      </c>
      <c r="X81">
        <v>0</v>
      </c>
      <c r="Y81">
        <v>22231523.949999999</v>
      </c>
      <c r="Z81">
        <v>22231523.949999999</v>
      </c>
      <c r="AA81" t="str">
        <f>CashProjTable[Portfolio]&amp;CashProjTable[ProjDate]</f>
        <v>SCBRF43411</v>
      </c>
    </row>
    <row r="82" spans="1:27" x14ac:dyDescent="0.2">
      <c r="A82" t="s">
        <v>338</v>
      </c>
      <c r="B82" t="s">
        <v>21</v>
      </c>
      <c r="C82" s="131">
        <v>43395</v>
      </c>
      <c r="D82">
        <v>0</v>
      </c>
      <c r="E82">
        <v>0</v>
      </c>
      <c r="F82">
        <v>0</v>
      </c>
      <c r="G82">
        <v>0</v>
      </c>
      <c r="H82">
        <v>0</v>
      </c>
      <c r="I82">
        <v>0</v>
      </c>
      <c r="J82">
        <v>0</v>
      </c>
      <c r="K82">
        <v>5782934</v>
      </c>
      <c r="L82">
        <v>0</v>
      </c>
      <c r="M82">
        <v>10000</v>
      </c>
      <c r="N82">
        <v>0</v>
      </c>
      <c r="O82">
        <v>0</v>
      </c>
      <c r="P82" s="3">
        <v>0</v>
      </c>
      <c r="Q82">
        <v>0</v>
      </c>
      <c r="R82">
        <v>0</v>
      </c>
      <c r="S82">
        <v>0</v>
      </c>
      <c r="T82">
        <v>0</v>
      </c>
      <c r="U82">
        <v>0</v>
      </c>
      <c r="V82">
        <v>0</v>
      </c>
      <c r="W82">
        <v>0</v>
      </c>
      <c r="X82">
        <v>0</v>
      </c>
      <c r="Y82">
        <v>-5792934</v>
      </c>
      <c r="Z82">
        <v>-5792934</v>
      </c>
      <c r="AA82" t="str">
        <f>CashProjTable[Portfolio]&amp;CashProjTable[ProjDate]</f>
        <v>SCBRM143395</v>
      </c>
    </row>
    <row r="83" spans="1:27" x14ac:dyDescent="0.2">
      <c r="A83" t="s">
        <v>338</v>
      </c>
      <c r="B83" t="s">
        <v>21</v>
      </c>
      <c r="C83" s="131">
        <v>43397</v>
      </c>
      <c r="D83">
        <v>299870992.63</v>
      </c>
      <c r="E83">
        <v>310000000</v>
      </c>
      <c r="F83">
        <v>0</v>
      </c>
      <c r="G83">
        <v>0</v>
      </c>
      <c r="H83">
        <v>0</v>
      </c>
      <c r="I83">
        <v>0</v>
      </c>
      <c r="J83">
        <v>0</v>
      </c>
      <c r="K83">
        <v>4687700</v>
      </c>
      <c r="L83">
        <v>2717465.28</v>
      </c>
      <c r="M83">
        <v>86187.26</v>
      </c>
      <c r="N83">
        <v>18642231.16</v>
      </c>
      <c r="O83">
        <v>3097722.44</v>
      </c>
      <c r="P83" s="3">
        <v>402412384.37</v>
      </c>
      <c r="Q83">
        <v>299870992.63</v>
      </c>
      <c r="R83">
        <v>310000000</v>
      </c>
      <c r="S83">
        <v>0</v>
      </c>
      <c r="T83">
        <v>0</v>
      </c>
      <c r="U83">
        <v>0</v>
      </c>
      <c r="V83">
        <v>0</v>
      </c>
      <c r="W83">
        <v>5782934</v>
      </c>
      <c r="X83">
        <v>0</v>
      </c>
      <c r="Y83">
        <v>-1676164.82</v>
      </c>
      <c r="Z83">
        <v>-7469098.8200000003</v>
      </c>
      <c r="AA83" t="str">
        <f>CashProjTable[Portfolio]&amp;CashProjTable[ProjDate]</f>
        <v>SCBRM143397</v>
      </c>
    </row>
    <row r="84" spans="1:27" x14ac:dyDescent="0.2">
      <c r="A84" t="s">
        <v>338</v>
      </c>
      <c r="B84" t="s">
        <v>21</v>
      </c>
      <c r="C84" s="131">
        <v>43398</v>
      </c>
      <c r="D84">
        <v>179299592.19999999</v>
      </c>
      <c r="E84">
        <v>212987922.59999999</v>
      </c>
      <c r="F84">
        <v>2156010.7400000002</v>
      </c>
      <c r="G84">
        <v>0</v>
      </c>
      <c r="H84">
        <v>0</v>
      </c>
      <c r="I84">
        <v>0</v>
      </c>
      <c r="J84">
        <v>0</v>
      </c>
      <c r="K84">
        <v>8285950</v>
      </c>
      <c r="L84">
        <v>5833504.9699999997</v>
      </c>
      <c r="M84">
        <v>7000</v>
      </c>
      <c r="N84">
        <v>41059143.280000001</v>
      </c>
      <c r="O84">
        <v>342365.33000000502</v>
      </c>
      <c r="P84" s="3">
        <v>402412384.37</v>
      </c>
      <c r="Q84">
        <v>179299592.19999999</v>
      </c>
      <c r="R84">
        <v>212987922.59999999</v>
      </c>
      <c r="S84">
        <v>0</v>
      </c>
      <c r="T84">
        <v>0</v>
      </c>
      <c r="U84">
        <v>5782934</v>
      </c>
      <c r="V84">
        <v>0</v>
      </c>
      <c r="W84">
        <v>4687700</v>
      </c>
      <c r="X84">
        <v>0</v>
      </c>
      <c r="Y84">
        <v>-7950584.6699999897</v>
      </c>
      <c r="Z84">
        <v>-14880482.67</v>
      </c>
      <c r="AA84" t="str">
        <f>CashProjTable[Portfolio]&amp;CashProjTable[ProjDate]</f>
        <v>SCBRM143398</v>
      </c>
    </row>
    <row r="85" spans="1:27" x14ac:dyDescent="0.2">
      <c r="A85" t="s">
        <v>338</v>
      </c>
      <c r="B85" t="s">
        <v>21</v>
      </c>
      <c r="C85" s="131">
        <v>43399</v>
      </c>
      <c r="D85">
        <v>0</v>
      </c>
      <c r="E85">
        <v>0</v>
      </c>
      <c r="F85">
        <v>0</v>
      </c>
      <c r="G85">
        <v>0</v>
      </c>
      <c r="H85">
        <v>0</v>
      </c>
      <c r="I85">
        <v>0</v>
      </c>
      <c r="J85">
        <v>0</v>
      </c>
      <c r="K85">
        <v>0</v>
      </c>
      <c r="L85">
        <v>0</v>
      </c>
      <c r="M85">
        <v>0</v>
      </c>
      <c r="N85">
        <v>0</v>
      </c>
      <c r="O85">
        <v>342365.33000000502</v>
      </c>
      <c r="P85" s="3">
        <v>402412384.37</v>
      </c>
      <c r="Q85">
        <v>0</v>
      </c>
      <c r="R85">
        <v>0</v>
      </c>
      <c r="S85">
        <v>0</v>
      </c>
      <c r="T85">
        <v>0</v>
      </c>
      <c r="U85">
        <v>4687700</v>
      </c>
      <c r="V85">
        <v>0</v>
      </c>
      <c r="W85">
        <v>8285950</v>
      </c>
      <c r="X85">
        <v>0</v>
      </c>
      <c r="Y85">
        <v>342365.33000000502</v>
      </c>
      <c r="Z85">
        <v>-7950584.6699999897</v>
      </c>
      <c r="AA85" t="str">
        <f>CashProjTable[Portfolio]&amp;CashProjTable[ProjDate]</f>
        <v>SCBRM143399</v>
      </c>
    </row>
    <row r="86" spans="1:27" x14ac:dyDescent="0.2">
      <c r="A86" t="s">
        <v>338</v>
      </c>
      <c r="B86" t="s">
        <v>21</v>
      </c>
      <c r="C86" s="131">
        <v>43400</v>
      </c>
      <c r="D86">
        <v>0</v>
      </c>
      <c r="E86">
        <v>0</v>
      </c>
      <c r="F86">
        <v>0</v>
      </c>
      <c r="G86">
        <v>0</v>
      </c>
      <c r="H86">
        <v>0</v>
      </c>
      <c r="I86">
        <v>0</v>
      </c>
      <c r="J86">
        <v>0</v>
      </c>
      <c r="K86">
        <v>0</v>
      </c>
      <c r="L86">
        <v>0</v>
      </c>
      <c r="M86">
        <v>0</v>
      </c>
      <c r="N86">
        <v>0</v>
      </c>
      <c r="O86">
        <v>342365.33000000502</v>
      </c>
      <c r="P86" s="3">
        <v>402412384.37</v>
      </c>
      <c r="Q86">
        <v>0</v>
      </c>
      <c r="R86">
        <v>0</v>
      </c>
      <c r="S86">
        <v>0</v>
      </c>
      <c r="T86">
        <v>0</v>
      </c>
      <c r="U86">
        <v>0</v>
      </c>
      <c r="V86">
        <v>0</v>
      </c>
      <c r="W86">
        <v>0</v>
      </c>
      <c r="X86">
        <v>0</v>
      </c>
      <c r="Y86">
        <v>342365.33000000502</v>
      </c>
      <c r="Z86">
        <v>342365.33000000502</v>
      </c>
      <c r="AA86" t="str">
        <f>CashProjTable[Portfolio]&amp;CashProjTable[ProjDate]</f>
        <v>SCBRM143400</v>
      </c>
    </row>
    <row r="87" spans="1:27" x14ac:dyDescent="0.2">
      <c r="A87" t="s">
        <v>338</v>
      </c>
      <c r="B87" t="s">
        <v>21</v>
      </c>
      <c r="C87" s="131">
        <v>43401</v>
      </c>
      <c r="D87">
        <v>0</v>
      </c>
      <c r="E87">
        <v>0</v>
      </c>
      <c r="F87">
        <v>0</v>
      </c>
      <c r="G87">
        <v>0</v>
      </c>
      <c r="H87">
        <v>0</v>
      </c>
      <c r="I87">
        <v>0</v>
      </c>
      <c r="J87">
        <v>0</v>
      </c>
      <c r="K87">
        <v>0</v>
      </c>
      <c r="L87">
        <v>0</v>
      </c>
      <c r="M87">
        <v>0</v>
      </c>
      <c r="N87">
        <v>0</v>
      </c>
      <c r="O87">
        <v>342365.33000000502</v>
      </c>
      <c r="P87" s="3">
        <v>402412384.37</v>
      </c>
      <c r="Q87">
        <v>0</v>
      </c>
      <c r="R87">
        <v>0</v>
      </c>
      <c r="S87">
        <v>0</v>
      </c>
      <c r="T87">
        <v>0</v>
      </c>
      <c r="U87">
        <v>0</v>
      </c>
      <c r="V87">
        <v>0</v>
      </c>
      <c r="W87">
        <v>0</v>
      </c>
      <c r="X87">
        <v>0</v>
      </c>
      <c r="Y87">
        <v>342365.33000000502</v>
      </c>
      <c r="Z87">
        <v>342365.33000000502</v>
      </c>
      <c r="AA87" t="str">
        <f>CashProjTable[Portfolio]&amp;CashProjTable[ProjDate]</f>
        <v>SCBRM143401</v>
      </c>
    </row>
    <row r="88" spans="1:27" x14ac:dyDescent="0.2">
      <c r="A88" t="s">
        <v>338</v>
      </c>
      <c r="B88" t="s">
        <v>21</v>
      </c>
      <c r="C88" s="131">
        <v>43402</v>
      </c>
      <c r="D88">
        <v>0</v>
      </c>
      <c r="E88">
        <v>117000000</v>
      </c>
      <c r="F88">
        <v>5033653.1500000004</v>
      </c>
      <c r="G88">
        <v>0</v>
      </c>
      <c r="H88">
        <v>0</v>
      </c>
      <c r="I88">
        <v>0</v>
      </c>
      <c r="J88">
        <v>0</v>
      </c>
      <c r="K88">
        <v>0</v>
      </c>
      <c r="L88">
        <v>0</v>
      </c>
      <c r="M88">
        <v>0</v>
      </c>
      <c r="N88">
        <v>0</v>
      </c>
      <c r="O88">
        <v>122376018.48</v>
      </c>
      <c r="P88" s="3">
        <v>402412384.37</v>
      </c>
      <c r="Q88">
        <v>0</v>
      </c>
      <c r="R88">
        <v>102000000</v>
      </c>
      <c r="S88">
        <v>0</v>
      </c>
      <c r="T88">
        <v>0</v>
      </c>
      <c r="U88">
        <v>8285950</v>
      </c>
      <c r="V88">
        <v>0</v>
      </c>
      <c r="W88">
        <v>0</v>
      </c>
      <c r="X88">
        <v>0</v>
      </c>
      <c r="Y88">
        <v>122376018.48</v>
      </c>
      <c r="Z88">
        <v>102342365.33</v>
      </c>
      <c r="AA88" t="str">
        <f>CashProjTable[Portfolio]&amp;CashProjTable[ProjDate]</f>
        <v>SCBRM143402</v>
      </c>
    </row>
    <row r="89" spans="1:27" x14ac:dyDescent="0.2">
      <c r="A89" t="s">
        <v>338</v>
      </c>
      <c r="B89" t="s">
        <v>21</v>
      </c>
      <c r="C89" s="131">
        <v>43403</v>
      </c>
      <c r="D89">
        <v>0</v>
      </c>
      <c r="E89">
        <v>0</v>
      </c>
      <c r="F89">
        <v>0</v>
      </c>
      <c r="G89">
        <v>0</v>
      </c>
      <c r="H89">
        <v>0</v>
      </c>
      <c r="I89">
        <v>0</v>
      </c>
      <c r="J89">
        <v>0</v>
      </c>
      <c r="K89">
        <v>0</v>
      </c>
      <c r="L89">
        <v>0</v>
      </c>
      <c r="M89">
        <v>0</v>
      </c>
      <c r="N89">
        <v>0</v>
      </c>
      <c r="O89">
        <v>122376018.48</v>
      </c>
      <c r="P89" s="3">
        <v>402412384.37</v>
      </c>
      <c r="Q89">
        <v>0</v>
      </c>
      <c r="R89">
        <v>0</v>
      </c>
      <c r="S89">
        <v>0</v>
      </c>
      <c r="T89">
        <v>0</v>
      </c>
      <c r="U89">
        <v>0</v>
      </c>
      <c r="V89">
        <v>0</v>
      </c>
      <c r="W89">
        <v>0</v>
      </c>
      <c r="X89">
        <v>0</v>
      </c>
      <c r="Y89">
        <v>122376018.48</v>
      </c>
      <c r="Z89">
        <v>122376018.48</v>
      </c>
      <c r="AA89" t="str">
        <f>CashProjTable[Portfolio]&amp;CashProjTable[ProjDate]</f>
        <v>SCBRM143403</v>
      </c>
    </row>
    <row r="90" spans="1:27" x14ac:dyDescent="0.2">
      <c r="A90" t="s">
        <v>338</v>
      </c>
      <c r="B90" t="s">
        <v>21</v>
      </c>
      <c r="C90" s="131">
        <v>43404</v>
      </c>
      <c r="D90">
        <v>0</v>
      </c>
      <c r="E90">
        <v>0</v>
      </c>
      <c r="F90">
        <v>128547.95</v>
      </c>
      <c r="G90">
        <v>0</v>
      </c>
      <c r="H90">
        <v>0</v>
      </c>
      <c r="I90">
        <v>0</v>
      </c>
      <c r="J90">
        <v>0</v>
      </c>
      <c r="K90">
        <v>0</v>
      </c>
      <c r="L90">
        <v>0</v>
      </c>
      <c r="M90">
        <v>0</v>
      </c>
      <c r="N90">
        <v>0</v>
      </c>
      <c r="O90">
        <v>122504566.43000001</v>
      </c>
      <c r="P90" s="3">
        <v>402412384.37</v>
      </c>
      <c r="Q90">
        <v>0</v>
      </c>
      <c r="R90">
        <v>0</v>
      </c>
      <c r="S90">
        <v>0</v>
      </c>
      <c r="T90">
        <v>0</v>
      </c>
      <c r="U90">
        <v>0</v>
      </c>
      <c r="V90">
        <v>0</v>
      </c>
      <c r="W90">
        <v>0</v>
      </c>
      <c r="X90">
        <v>0</v>
      </c>
      <c r="Y90">
        <v>122504566.43000001</v>
      </c>
      <c r="Z90">
        <v>122376018.48</v>
      </c>
      <c r="AA90" t="str">
        <f>CashProjTable[Portfolio]&amp;CashProjTable[ProjDate]</f>
        <v>SCBRM143404</v>
      </c>
    </row>
    <row r="91" spans="1:27" x14ac:dyDescent="0.2">
      <c r="A91" t="s">
        <v>338</v>
      </c>
      <c r="B91" t="s">
        <v>21</v>
      </c>
      <c r="C91" s="131">
        <v>43405</v>
      </c>
      <c r="D91">
        <v>0</v>
      </c>
      <c r="E91">
        <v>65000000</v>
      </c>
      <c r="F91">
        <v>0</v>
      </c>
      <c r="G91">
        <v>0</v>
      </c>
      <c r="H91">
        <v>0</v>
      </c>
      <c r="I91">
        <v>0</v>
      </c>
      <c r="J91">
        <v>0</v>
      </c>
      <c r="K91">
        <v>0</v>
      </c>
      <c r="L91">
        <v>0</v>
      </c>
      <c r="M91">
        <v>0</v>
      </c>
      <c r="N91">
        <v>0</v>
      </c>
      <c r="O91">
        <v>187504566.43000001</v>
      </c>
      <c r="P91" s="3">
        <v>402412384.37</v>
      </c>
      <c r="Q91">
        <v>0</v>
      </c>
      <c r="R91">
        <v>65000000</v>
      </c>
      <c r="S91">
        <v>0</v>
      </c>
      <c r="T91">
        <v>0</v>
      </c>
      <c r="U91">
        <v>0</v>
      </c>
      <c r="V91">
        <v>0</v>
      </c>
      <c r="W91">
        <v>0</v>
      </c>
      <c r="X91">
        <v>0</v>
      </c>
      <c r="Y91">
        <v>187504566.43000001</v>
      </c>
      <c r="Z91">
        <v>187504566.43000001</v>
      </c>
      <c r="AA91" t="str">
        <f>CashProjTable[Portfolio]&amp;CashProjTable[ProjDate]</f>
        <v>SCBRM143405</v>
      </c>
    </row>
    <row r="92" spans="1:27" x14ac:dyDescent="0.2">
      <c r="A92" t="s">
        <v>338</v>
      </c>
      <c r="B92" t="s">
        <v>21</v>
      </c>
      <c r="C92" s="131">
        <v>43406</v>
      </c>
      <c r="D92">
        <v>0</v>
      </c>
      <c r="E92">
        <v>0</v>
      </c>
      <c r="F92">
        <v>2863090.41</v>
      </c>
      <c r="G92">
        <v>0</v>
      </c>
      <c r="H92">
        <v>0</v>
      </c>
      <c r="I92">
        <v>0</v>
      </c>
      <c r="J92">
        <v>0</v>
      </c>
      <c r="K92">
        <v>0</v>
      </c>
      <c r="L92">
        <v>0</v>
      </c>
      <c r="M92">
        <v>0</v>
      </c>
      <c r="N92">
        <v>0</v>
      </c>
      <c r="O92">
        <v>190367656.84</v>
      </c>
      <c r="P92" s="3">
        <v>402412384.37</v>
      </c>
      <c r="Q92">
        <v>0</v>
      </c>
      <c r="R92">
        <v>0</v>
      </c>
      <c r="S92">
        <v>0</v>
      </c>
      <c r="T92">
        <v>0</v>
      </c>
      <c r="U92">
        <v>0</v>
      </c>
      <c r="V92">
        <v>0</v>
      </c>
      <c r="W92">
        <v>0</v>
      </c>
      <c r="X92">
        <v>0</v>
      </c>
      <c r="Y92">
        <v>190367656.84</v>
      </c>
      <c r="Z92">
        <v>187504566.43000001</v>
      </c>
      <c r="AA92" t="str">
        <f>CashProjTable[Portfolio]&amp;CashProjTable[ProjDate]</f>
        <v>SCBRM143406</v>
      </c>
    </row>
    <row r="93" spans="1:27" x14ac:dyDescent="0.2">
      <c r="A93" t="s">
        <v>338</v>
      </c>
      <c r="B93" t="s">
        <v>21</v>
      </c>
      <c r="C93" s="131">
        <v>43407</v>
      </c>
      <c r="D93">
        <v>0</v>
      </c>
      <c r="E93">
        <v>0</v>
      </c>
      <c r="F93">
        <v>0</v>
      </c>
      <c r="G93">
        <v>0</v>
      </c>
      <c r="H93">
        <v>0</v>
      </c>
      <c r="I93">
        <v>0</v>
      </c>
      <c r="J93">
        <v>0</v>
      </c>
      <c r="K93">
        <v>0</v>
      </c>
      <c r="L93">
        <v>0</v>
      </c>
      <c r="M93">
        <v>0</v>
      </c>
      <c r="N93">
        <v>0</v>
      </c>
      <c r="O93">
        <v>190367656.84</v>
      </c>
      <c r="P93" s="3">
        <v>402412384.37</v>
      </c>
      <c r="Q93">
        <v>0</v>
      </c>
      <c r="R93">
        <v>0</v>
      </c>
      <c r="S93">
        <v>0</v>
      </c>
      <c r="T93">
        <v>0</v>
      </c>
      <c r="U93">
        <v>0</v>
      </c>
      <c r="V93">
        <v>0</v>
      </c>
      <c r="W93">
        <v>0</v>
      </c>
      <c r="X93">
        <v>0</v>
      </c>
      <c r="Y93">
        <v>190367656.84</v>
      </c>
      <c r="Z93">
        <v>190367656.84</v>
      </c>
      <c r="AA93" t="str">
        <f>CashProjTable[Portfolio]&amp;CashProjTable[ProjDate]</f>
        <v>SCBRM143407</v>
      </c>
    </row>
    <row r="94" spans="1:27" x14ac:dyDescent="0.2">
      <c r="A94" t="s">
        <v>338</v>
      </c>
      <c r="B94" t="s">
        <v>21</v>
      </c>
      <c r="C94" s="131">
        <v>43408</v>
      </c>
      <c r="D94">
        <v>0</v>
      </c>
      <c r="E94">
        <v>0</v>
      </c>
      <c r="F94">
        <v>0</v>
      </c>
      <c r="G94">
        <v>0</v>
      </c>
      <c r="H94">
        <v>0</v>
      </c>
      <c r="I94">
        <v>0</v>
      </c>
      <c r="J94">
        <v>0</v>
      </c>
      <c r="K94">
        <v>0</v>
      </c>
      <c r="L94">
        <v>0</v>
      </c>
      <c r="M94">
        <v>0</v>
      </c>
      <c r="N94">
        <v>0</v>
      </c>
      <c r="O94">
        <v>190367656.84</v>
      </c>
      <c r="P94" s="3">
        <v>402412384.37</v>
      </c>
      <c r="Q94">
        <v>0</v>
      </c>
      <c r="R94">
        <v>0</v>
      </c>
      <c r="S94">
        <v>0</v>
      </c>
      <c r="T94">
        <v>0</v>
      </c>
      <c r="U94">
        <v>0</v>
      </c>
      <c r="V94">
        <v>0</v>
      </c>
      <c r="W94">
        <v>0</v>
      </c>
      <c r="X94">
        <v>0</v>
      </c>
      <c r="Y94">
        <v>190367656.84</v>
      </c>
      <c r="Z94">
        <v>190367656.84</v>
      </c>
      <c r="AA94" t="str">
        <f>CashProjTable[Portfolio]&amp;CashProjTable[ProjDate]</f>
        <v>SCBRM143408</v>
      </c>
    </row>
    <row r="95" spans="1:27" x14ac:dyDescent="0.2">
      <c r="A95" t="s">
        <v>338</v>
      </c>
      <c r="B95" t="s">
        <v>21</v>
      </c>
      <c r="C95" s="131">
        <v>43409</v>
      </c>
      <c r="D95">
        <v>0</v>
      </c>
      <c r="E95">
        <v>0</v>
      </c>
      <c r="F95">
        <v>1688263.01</v>
      </c>
      <c r="G95">
        <v>0</v>
      </c>
      <c r="H95">
        <v>0</v>
      </c>
      <c r="I95">
        <v>0</v>
      </c>
      <c r="J95">
        <v>0</v>
      </c>
      <c r="K95">
        <v>0</v>
      </c>
      <c r="L95">
        <v>0</v>
      </c>
      <c r="M95">
        <v>0</v>
      </c>
      <c r="N95">
        <v>0</v>
      </c>
      <c r="O95">
        <v>192055919.84999999</v>
      </c>
      <c r="P95" s="3">
        <v>402412384.37</v>
      </c>
      <c r="Q95">
        <v>0</v>
      </c>
      <c r="R95">
        <v>0</v>
      </c>
      <c r="S95">
        <v>0</v>
      </c>
      <c r="T95">
        <v>0</v>
      </c>
      <c r="U95">
        <v>0</v>
      </c>
      <c r="V95">
        <v>0</v>
      </c>
      <c r="W95">
        <v>0</v>
      </c>
      <c r="X95">
        <v>0</v>
      </c>
      <c r="Y95">
        <v>192055919.84999999</v>
      </c>
      <c r="Z95">
        <v>190367656.84</v>
      </c>
      <c r="AA95" t="str">
        <f>CashProjTable[Portfolio]&amp;CashProjTable[ProjDate]</f>
        <v>SCBRM143409</v>
      </c>
    </row>
    <row r="96" spans="1:27" x14ac:dyDescent="0.2">
      <c r="A96" t="s">
        <v>338</v>
      </c>
      <c r="B96" t="s">
        <v>21</v>
      </c>
      <c r="C96" s="131">
        <v>43410</v>
      </c>
      <c r="D96">
        <v>0</v>
      </c>
      <c r="E96">
        <v>270000000</v>
      </c>
      <c r="F96">
        <v>0</v>
      </c>
      <c r="G96">
        <v>0</v>
      </c>
      <c r="H96">
        <v>0</v>
      </c>
      <c r="I96">
        <v>0</v>
      </c>
      <c r="J96">
        <v>151816.56</v>
      </c>
      <c r="K96">
        <v>0</v>
      </c>
      <c r="L96">
        <v>0</v>
      </c>
      <c r="M96">
        <v>0</v>
      </c>
      <c r="N96">
        <v>0</v>
      </c>
      <c r="O96">
        <v>461904103.29000002</v>
      </c>
      <c r="P96" s="3">
        <v>402412384.37</v>
      </c>
      <c r="Q96">
        <v>0</v>
      </c>
      <c r="R96">
        <v>270000000</v>
      </c>
      <c r="S96">
        <v>0</v>
      </c>
      <c r="T96">
        <v>0</v>
      </c>
      <c r="U96">
        <v>0</v>
      </c>
      <c r="V96">
        <v>0</v>
      </c>
      <c r="W96">
        <v>0</v>
      </c>
      <c r="X96">
        <v>0</v>
      </c>
      <c r="Y96">
        <v>461904103.29000002</v>
      </c>
      <c r="Z96">
        <v>461904103.29000002</v>
      </c>
      <c r="AA96" t="str">
        <f>CashProjTable[Portfolio]&amp;CashProjTable[ProjDate]</f>
        <v>SCBRM143410</v>
      </c>
    </row>
    <row r="97" spans="1:27" x14ac:dyDescent="0.2">
      <c r="A97" t="s">
        <v>338</v>
      </c>
      <c r="B97" t="s">
        <v>21</v>
      </c>
      <c r="C97" s="131">
        <v>43411</v>
      </c>
      <c r="D97">
        <v>0</v>
      </c>
      <c r="E97">
        <v>0</v>
      </c>
      <c r="F97">
        <v>0</v>
      </c>
      <c r="G97">
        <v>0</v>
      </c>
      <c r="H97">
        <v>0</v>
      </c>
      <c r="I97">
        <v>0</v>
      </c>
      <c r="J97">
        <v>3066259.72</v>
      </c>
      <c r="K97">
        <v>0</v>
      </c>
      <c r="L97">
        <v>0</v>
      </c>
      <c r="M97">
        <v>0</v>
      </c>
      <c r="N97">
        <v>0</v>
      </c>
      <c r="O97">
        <v>458837843.56999999</v>
      </c>
      <c r="P97" s="3">
        <v>402412384.37</v>
      </c>
      <c r="Q97">
        <v>0</v>
      </c>
      <c r="R97">
        <v>0</v>
      </c>
      <c r="S97">
        <v>0</v>
      </c>
      <c r="T97">
        <v>0</v>
      </c>
      <c r="U97">
        <v>0</v>
      </c>
      <c r="V97">
        <v>0</v>
      </c>
      <c r="W97">
        <v>0</v>
      </c>
      <c r="X97">
        <v>0</v>
      </c>
      <c r="Y97">
        <v>458837843.56999999</v>
      </c>
      <c r="Z97">
        <v>458837843.56999999</v>
      </c>
      <c r="AA97" t="str">
        <f>CashProjTable[Portfolio]&amp;CashProjTable[ProjDate]</f>
        <v>SCBRM143411</v>
      </c>
    </row>
    <row r="98" spans="1:27" x14ac:dyDescent="0.2">
      <c r="A98" t="s">
        <v>339</v>
      </c>
      <c r="B98" t="s">
        <v>21</v>
      </c>
      <c r="C98" s="131">
        <v>43395</v>
      </c>
      <c r="D98">
        <v>0</v>
      </c>
      <c r="E98">
        <v>0</v>
      </c>
      <c r="F98">
        <v>0</v>
      </c>
      <c r="G98">
        <v>0</v>
      </c>
      <c r="H98">
        <v>0</v>
      </c>
      <c r="I98">
        <v>0</v>
      </c>
      <c r="J98">
        <v>0</v>
      </c>
      <c r="K98">
        <v>4735000</v>
      </c>
      <c r="L98">
        <v>0</v>
      </c>
      <c r="M98">
        <v>10000</v>
      </c>
      <c r="N98">
        <v>0</v>
      </c>
      <c r="O98">
        <v>0</v>
      </c>
      <c r="P98" s="3">
        <v>0</v>
      </c>
      <c r="Q98">
        <v>0</v>
      </c>
      <c r="R98">
        <v>0</v>
      </c>
      <c r="S98">
        <v>0</v>
      </c>
      <c r="T98">
        <v>0</v>
      </c>
      <c r="U98">
        <v>0</v>
      </c>
      <c r="V98">
        <v>0</v>
      </c>
      <c r="W98">
        <v>0</v>
      </c>
      <c r="X98">
        <v>0</v>
      </c>
      <c r="Y98">
        <v>-4745000</v>
      </c>
      <c r="Z98">
        <v>-4745000</v>
      </c>
      <c r="AA98" t="str">
        <f>CashProjTable[Portfolio]&amp;CashProjTable[ProjDate]</f>
        <v>SCBRM243395</v>
      </c>
    </row>
    <row r="99" spans="1:27" x14ac:dyDescent="0.2">
      <c r="A99" t="s">
        <v>339</v>
      </c>
      <c r="B99" t="s">
        <v>21</v>
      </c>
      <c r="C99" s="131">
        <v>43397</v>
      </c>
      <c r="D99">
        <v>7996582.3200000003</v>
      </c>
      <c r="E99">
        <v>0</v>
      </c>
      <c r="F99">
        <v>0</v>
      </c>
      <c r="G99">
        <v>0</v>
      </c>
      <c r="H99">
        <v>5000000</v>
      </c>
      <c r="I99">
        <v>0</v>
      </c>
      <c r="J99">
        <v>0</v>
      </c>
      <c r="K99">
        <v>3653200</v>
      </c>
      <c r="L99">
        <v>2596549.7999999998</v>
      </c>
      <c r="M99">
        <v>55096.41</v>
      </c>
      <c r="N99">
        <v>5189026.5199999996</v>
      </c>
      <c r="O99">
        <v>5100876.18</v>
      </c>
      <c r="P99" s="3">
        <v>64128950.960000001</v>
      </c>
      <c r="Q99">
        <v>7996582.3200000003</v>
      </c>
      <c r="R99">
        <v>0</v>
      </c>
      <c r="S99">
        <v>0</v>
      </c>
      <c r="T99">
        <v>5000000</v>
      </c>
      <c r="U99">
        <v>0</v>
      </c>
      <c r="V99">
        <v>0</v>
      </c>
      <c r="W99">
        <v>4735000</v>
      </c>
      <c r="X99">
        <v>0</v>
      </c>
      <c r="Y99">
        <v>1392579.77</v>
      </c>
      <c r="Z99">
        <v>-3352420.23</v>
      </c>
      <c r="AA99" t="str">
        <f>CashProjTable[Portfolio]&amp;CashProjTable[ProjDate]</f>
        <v>SCBRM243397</v>
      </c>
    </row>
    <row r="100" spans="1:27" x14ac:dyDescent="0.2">
      <c r="A100" t="s">
        <v>339</v>
      </c>
      <c r="B100" t="s">
        <v>21</v>
      </c>
      <c r="C100" s="131">
        <v>43398</v>
      </c>
      <c r="D100">
        <v>0</v>
      </c>
      <c r="E100">
        <v>0</v>
      </c>
      <c r="F100">
        <v>0</v>
      </c>
      <c r="G100">
        <v>0</v>
      </c>
      <c r="H100">
        <v>0</v>
      </c>
      <c r="I100">
        <v>0</v>
      </c>
      <c r="J100">
        <v>0</v>
      </c>
      <c r="K100">
        <v>5912720</v>
      </c>
      <c r="L100">
        <v>733920.3</v>
      </c>
      <c r="M100">
        <v>25994.27</v>
      </c>
      <c r="N100">
        <v>9752725.0500000007</v>
      </c>
      <c r="O100">
        <v>552945.09999999905</v>
      </c>
      <c r="P100" s="3">
        <v>64128950.960000001</v>
      </c>
      <c r="Q100">
        <v>0</v>
      </c>
      <c r="R100">
        <v>0</v>
      </c>
      <c r="S100">
        <v>0</v>
      </c>
      <c r="T100">
        <v>0</v>
      </c>
      <c r="U100">
        <v>4735000</v>
      </c>
      <c r="V100">
        <v>0</v>
      </c>
      <c r="W100">
        <v>3653200</v>
      </c>
      <c r="X100">
        <v>0</v>
      </c>
      <c r="Y100">
        <v>-5385769.1699999999</v>
      </c>
      <c r="Z100">
        <v>-9094065.5800000001</v>
      </c>
      <c r="AA100" t="str">
        <f>CashProjTable[Portfolio]&amp;CashProjTable[ProjDate]</f>
        <v>SCBRM243398</v>
      </c>
    </row>
    <row r="101" spans="1:27" x14ac:dyDescent="0.2">
      <c r="A101" t="s">
        <v>339</v>
      </c>
      <c r="B101" t="s">
        <v>21</v>
      </c>
      <c r="C101" s="131">
        <v>43399</v>
      </c>
      <c r="D101">
        <v>179547726.02000001</v>
      </c>
      <c r="E101">
        <v>0</v>
      </c>
      <c r="F101">
        <v>0</v>
      </c>
      <c r="G101">
        <v>0</v>
      </c>
      <c r="H101">
        <v>0</v>
      </c>
      <c r="I101">
        <v>0</v>
      </c>
      <c r="J101">
        <v>0</v>
      </c>
      <c r="K101">
        <v>0</v>
      </c>
      <c r="L101">
        <v>0</v>
      </c>
      <c r="M101">
        <v>0</v>
      </c>
      <c r="N101">
        <v>0</v>
      </c>
      <c r="O101">
        <v>-178994780.91999999</v>
      </c>
      <c r="P101" s="3">
        <v>64128950.960000001</v>
      </c>
      <c r="Q101">
        <v>179547726.02000001</v>
      </c>
      <c r="R101">
        <v>0</v>
      </c>
      <c r="S101">
        <v>0</v>
      </c>
      <c r="T101">
        <v>0</v>
      </c>
      <c r="U101">
        <v>3653200</v>
      </c>
      <c r="V101">
        <v>0</v>
      </c>
      <c r="W101">
        <v>5912720</v>
      </c>
      <c r="X101">
        <v>0</v>
      </c>
      <c r="Y101">
        <v>-178994780.91999999</v>
      </c>
      <c r="Z101">
        <v>-184933495.19</v>
      </c>
      <c r="AA101" t="str">
        <f>CashProjTable[Portfolio]&amp;CashProjTable[ProjDate]</f>
        <v>SCBRM243399</v>
      </c>
    </row>
    <row r="102" spans="1:27" x14ac:dyDescent="0.2">
      <c r="A102" t="s">
        <v>339</v>
      </c>
      <c r="B102" t="s">
        <v>21</v>
      </c>
      <c r="C102" s="131">
        <v>43400</v>
      </c>
      <c r="D102">
        <v>0</v>
      </c>
      <c r="E102">
        <v>0</v>
      </c>
      <c r="F102">
        <v>0</v>
      </c>
      <c r="G102">
        <v>0</v>
      </c>
      <c r="H102">
        <v>0</v>
      </c>
      <c r="I102">
        <v>0</v>
      </c>
      <c r="J102">
        <v>0</v>
      </c>
      <c r="K102">
        <v>0</v>
      </c>
      <c r="L102">
        <v>0</v>
      </c>
      <c r="M102">
        <v>0</v>
      </c>
      <c r="N102">
        <v>0</v>
      </c>
      <c r="O102">
        <v>-178994780.91999999</v>
      </c>
      <c r="P102" s="3">
        <v>64128950.960000001</v>
      </c>
      <c r="Q102">
        <v>0</v>
      </c>
      <c r="R102">
        <v>0</v>
      </c>
      <c r="S102">
        <v>0</v>
      </c>
      <c r="T102">
        <v>0</v>
      </c>
      <c r="U102">
        <v>0</v>
      </c>
      <c r="V102">
        <v>0</v>
      </c>
      <c r="W102">
        <v>0</v>
      </c>
      <c r="X102">
        <v>0</v>
      </c>
      <c r="Y102">
        <v>-178994780.91999999</v>
      </c>
      <c r="Z102">
        <v>-178994780.91999999</v>
      </c>
      <c r="AA102" t="str">
        <f>CashProjTable[Portfolio]&amp;CashProjTable[ProjDate]</f>
        <v>SCBRM243400</v>
      </c>
    </row>
    <row r="103" spans="1:27" x14ac:dyDescent="0.2">
      <c r="A103" t="s">
        <v>339</v>
      </c>
      <c r="B103" t="s">
        <v>21</v>
      </c>
      <c r="C103" s="131">
        <v>43401</v>
      </c>
      <c r="D103">
        <v>0</v>
      </c>
      <c r="E103">
        <v>0</v>
      </c>
      <c r="F103">
        <v>0</v>
      </c>
      <c r="G103">
        <v>0</v>
      </c>
      <c r="H103">
        <v>0</v>
      </c>
      <c r="I103">
        <v>0</v>
      </c>
      <c r="J103">
        <v>0</v>
      </c>
      <c r="K103">
        <v>0</v>
      </c>
      <c r="L103">
        <v>0</v>
      </c>
      <c r="M103">
        <v>0</v>
      </c>
      <c r="N103">
        <v>0</v>
      </c>
      <c r="O103">
        <v>-178994780.91999999</v>
      </c>
      <c r="P103" s="3">
        <v>64128950.960000001</v>
      </c>
      <c r="Q103">
        <v>0</v>
      </c>
      <c r="R103">
        <v>0</v>
      </c>
      <c r="S103">
        <v>0</v>
      </c>
      <c r="T103">
        <v>0</v>
      </c>
      <c r="U103">
        <v>0</v>
      </c>
      <c r="V103">
        <v>0</v>
      </c>
      <c r="W103">
        <v>0</v>
      </c>
      <c r="X103">
        <v>0</v>
      </c>
      <c r="Y103">
        <v>-178994780.91999999</v>
      </c>
      <c r="Z103">
        <v>-178994780.91999999</v>
      </c>
      <c r="AA103" t="str">
        <f>CashProjTable[Portfolio]&amp;CashProjTable[ProjDate]</f>
        <v>SCBRM243401</v>
      </c>
    </row>
    <row r="104" spans="1:27" x14ac:dyDescent="0.2">
      <c r="A104" t="s">
        <v>339</v>
      </c>
      <c r="B104" t="s">
        <v>21</v>
      </c>
      <c r="C104" s="131">
        <v>43402</v>
      </c>
      <c r="D104">
        <v>0</v>
      </c>
      <c r="E104">
        <v>0</v>
      </c>
      <c r="F104">
        <v>310247.67</v>
      </c>
      <c r="G104">
        <v>0</v>
      </c>
      <c r="H104">
        <v>0</v>
      </c>
      <c r="I104">
        <v>0</v>
      </c>
      <c r="J104">
        <v>0</v>
      </c>
      <c r="K104">
        <v>0</v>
      </c>
      <c r="L104">
        <v>0</v>
      </c>
      <c r="M104">
        <v>0</v>
      </c>
      <c r="N104">
        <v>0</v>
      </c>
      <c r="O104">
        <v>-178684533.25</v>
      </c>
      <c r="P104" s="3">
        <v>64128950.960000001</v>
      </c>
      <c r="Q104">
        <v>0</v>
      </c>
      <c r="R104">
        <v>0</v>
      </c>
      <c r="S104">
        <v>0</v>
      </c>
      <c r="T104">
        <v>0</v>
      </c>
      <c r="U104">
        <v>5912720</v>
      </c>
      <c r="V104">
        <v>0</v>
      </c>
      <c r="W104">
        <v>0</v>
      </c>
      <c r="X104">
        <v>0</v>
      </c>
      <c r="Y104">
        <v>-178684533.25</v>
      </c>
      <c r="Z104">
        <v>-178994780.91999999</v>
      </c>
      <c r="AA104" t="str">
        <f>CashProjTable[Portfolio]&amp;CashProjTable[ProjDate]</f>
        <v>SCBRM243402</v>
      </c>
    </row>
    <row r="105" spans="1:27" x14ac:dyDescent="0.2">
      <c r="A105" t="s">
        <v>339</v>
      </c>
      <c r="B105" t="s">
        <v>21</v>
      </c>
      <c r="C105" s="131">
        <v>43403</v>
      </c>
      <c r="D105">
        <v>0</v>
      </c>
      <c r="E105">
        <v>0</v>
      </c>
      <c r="F105">
        <v>0</v>
      </c>
      <c r="G105">
        <v>0</v>
      </c>
      <c r="H105">
        <v>0</v>
      </c>
      <c r="I105">
        <v>0</v>
      </c>
      <c r="J105">
        <v>0</v>
      </c>
      <c r="K105">
        <v>0</v>
      </c>
      <c r="L105">
        <v>0</v>
      </c>
      <c r="M105">
        <v>0</v>
      </c>
      <c r="N105">
        <v>0</v>
      </c>
      <c r="O105">
        <v>-178684533.25</v>
      </c>
      <c r="P105" s="3">
        <v>64128950.960000001</v>
      </c>
      <c r="Q105">
        <v>0</v>
      </c>
      <c r="R105">
        <v>0</v>
      </c>
      <c r="S105">
        <v>0</v>
      </c>
      <c r="T105">
        <v>0</v>
      </c>
      <c r="U105">
        <v>0</v>
      </c>
      <c r="V105">
        <v>0</v>
      </c>
      <c r="W105">
        <v>0</v>
      </c>
      <c r="X105">
        <v>0</v>
      </c>
      <c r="Y105">
        <v>-178684533.25</v>
      </c>
      <c r="Z105">
        <v>-178684533.25</v>
      </c>
      <c r="AA105" t="str">
        <f>CashProjTable[Portfolio]&amp;CashProjTable[ProjDate]</f>
        <v>SCBRM243403</v>
      </c>
    </row>
    <row r="106" spans="1:27" x14ac:dyDescent="0.2">
      <c r="A106" t="s">
        <v>339</v>
      </c>
      <c r="B106" t="s">
        <v>21</v>
      </c>
      <c r="C106" s="131">
        <v>43404</v>
      </c>
      <c r="D106">
        <v>0</v>
      </c>
      <c r="E106">
        <v>0</v>
      </c>
      <c r="F106">
        <v>0</v>
      </c>
      <c r="G106">
        <v>0</v>
      </c>
      <c r="H106">
        <v>0</v>
      </c>
      <c r="I106">
        <v>0</v>
      </c>
      <c r="J106">
        <v>0</v>
      </c>
      <c r="K106">
        <v>0</v>
      </c>
      <c r="L106">
        <v>0</v>
      </c>
      <c r="M106">
        <v>0</v>
      </c>
      <c r="N106">
        <v>0</v>
      </c>
      <c r="O106">
        <v>-178684533.25</v>
      </c>
      <c r="P106" s="3">
        <v>64128950.960000001</v>
      </c>
      <c r="Q106">
        <v>0</v>
      </c>
      <c r="R106">
        <v>0</v>
      </c>
      <c r="S106">
        <v>0</v>
      </c>
      <c r="T106">
        <v>0</v>
      </c>
      <c r="U106">
        <v>0</v>
      </c>
      <c r="V106">
        <v>0</v>
      </c>
      <c r="W106">
        <v>0</v>
      </c>
      <c r="X106">
        <v>0</v>
      </c>
      <c r="Y106">
        <v>-178684533.25</v>
      </c>
      <c r="Z106">
        <v>-178684533.25</v>
      </c>
      <c r="AA106" t="str">
        <f>CashProjTable[Portfolio]&amp;CashProjTable[ProjDate]</f>
        <v>SCBRM243404</v>
      </c>
    </row>
    <row r="107" spans="1:27" x14ac:dyDescent="0.2">
      <c r="A107" t="s">
        <v>339</v>
      </c>
      <c r="B107" t="s">
        <v>21</v>
      </c>
      <c r="C107" s="131">
        <v>43405</v>
      </c>
      <c r="D107">
        <v>0</v>
      </c>
      <c r="E107">
        <v>100000000</v>
      </c>
      <c r="F107">
        <v>0</v>
      </c>
      <c r="G107">
        <v>0</v>
      </c>
      <c r="H107">
        <v>0</v>
      </c>
      <c r="I107">
        <v>0</v>
      </c>
      <c r="J107">
        <v>0</v>
      </c>
      <c r="K107">
        <v>0</v>
      </c>
      <c r="L107">
        <v>0</v>
      </c>
      <c r="M107">
        <v>0</v>
      </c>
      <c r="N107">
        <v>0</v>
      </c>
      <c r="O107">
        <v>-78684533.25</v>
      </c>
      <c r="P107" s="3">
        <v>64128950.960000001</v>
      </c>
      <c r="Q107">
        <v>0</v>
      </c>
      <c r="R107">
        <v>100000000</v>
      </c>
      <c r="S107">
        <v>0</v>
      </c>
      <c r="T107">
        <v>0</v>
      </c>
      <c r="U107">
        <v>0</v>
      </c>
      <c r="V107">
        <v>0</v>
      </c>
      <c r="W107">
        <v>0</v>
      </c>
      <c r="X107">
        <v>0</v>
      </c>
      <c r="Y107">
        <v>-78684533.25</v>
      </c>
      <c r="Z107">
        <v>-78684533.25</v>
      </c>
      <c r="AA107" t="str">
        <f>CashProjTable[Portfolio]&amp;CashProjTable[ProjDate]</f>
        <v>SCBRM243405</v>
      </c>
    </row>
    <row r="108" spans="1:27" x14ac:dyDescent="0.2">
      <c r="A108" t="s">
        <v>339</v>
      </c>
      <c r="B108" t="s">
        <v>21</v>
      </c>
      <c r="C108" s="131">
        <v>43406</v>
      </c>
      <c r="D108">
        <v>0</v>
      </c>
      <c r="E108">
        <v>0</v>
      </c>
      <c r="F108">
        <v>0</v>
      </c>
      <c r="G108">
        <v>0</v>
      </c>
      <c r="H108">
        <v>0</v>
      </c>
      <c r="I108">
        <v>0</v>
      </c>
      <c r="J108">
        <v>0</v>
      </c>
      <c r="K108">
        <v>0</v>
      </c>
      <c r="L108">
        <v>0</v>
      </c>
      <c r="M108">
        <v>0</v>
      </c>
      <c r="N108">
        <v>0</v>
      </c>
      <c r="O108">
        <v>-78684533.25</v>
      </c>
      <c r="P108" s="3">
        <v>64128950.960000001</v>
      </c>
      <c r="Q108">
        <v>0</v>
      </c>
      <c r="R108">
        <v>0</v>
      </c>
      <c r="S108">
        <v>0</v>
      </c>
      <c r="T108">
        <v>0</v>
      </c>
      <c r="U108">
        <v>0</v>
      </c>
      <c r="V108">
        <v>0</v>
      </c>
      <c r="W108">
        <v>0</v>
      </c>
      <c r="X108">
        <v>0</v>
      </c>
      <c r="Y108">
        <v>-78684533.25</v>
      </c>
      <c r="Z108">
        <v>-78684533.25</v>
      </c>
      <c r="AA108" t="str">
        <f>CashProjTable[Portfolio]&amp;CashProjTable[ProjDate]</f>
        <v>SCBRM243406</v>
      </c>
    </row>
    <row r="109" spans="1:27" x14ac:dyDescent="0.2">
      <c r="A109" t="s">
        <v>339</v>
      </c>
      <c r="B109" t="s">
        <v>21</v>
      </c>
      <c r="C109" s="131">
        <v>43407</v>
      </c>
      <c r="D109">
        <v>0</v>
      </c>
      <c r="E109">
        <v>0</v>
      </c>
      <c r="F109">
        <v>0</v>
      </c>
      <c r="G109">
        <v>0</v>
      </c>
      <c r="H109">
        <v>0</v>
      </c>
      <c r="I109">
        <v>0</v>
      </c>
      <c r="J109">
        <v>0</v>
      </c>
      <c r="K109">
        <v>0</v>
      </c>
      <c r="L109">
        <v>0</v>
      </c>
      <c r="M109">
        <v>0</v>
      </c>
      <c r="N109">
        <v>0</v>
      </c>
      <c r="O109">
        <v>-78684533.25</v>
      </c>
      <c r="P109" s="3">
        <v>64128950.960000001</v>
      </c>
      <c r="Q109">
        <v>0</v>
      </c>
      <c r="R109">
        <v>0</v>
      </c>
      <c r="S109">
        <v>0</v>
      </c>
      <c r="T109">
        <v>0</v>
      </c>
      <c r="U109">
        <v>0</v>
      </c>
      <c r="V109">
        <v>0</v>
      </c>
      <c r="W109">
        <v>0</v>
      </c>
      <c r="X109">
        <v>0</v>
      </c>
      <c r="Y109">
        <v>-78684533.25</v>
      </c>
      <c r="Z109">
        <v>-78684533.25</v>
      </c>
      <c r="AA109" t="str">
        <f>CashProjTable[Portfolio]&amp;CashProjTable[ProjDate]</f>
        <v>SCBRM243407</v>
      </c>
    </row>
    <row r="110" spans="1:27" x14ac:dyDescent="0.2">
      <c r="A110" t="s">
        <v>339</v>
      </c>
      <c r="B110" t="s">
        <v>21</v>
      </c>
      <c r="C110" s="131">
        <v>43408</v>
      </c>
      <c r="D110">
        <v>0</v>
      </c>
      <c r="E110">
        <v>0</v>
      </c>
      <c r="F110">
        <v>0</v>
      </c>
      <c r="G110">
        <v>0</v>
      </c>
      <c r="H110">
        <v>0</v>
      </c>
      <c r="I110">
        <v>0</v>
      </c>
      <c r="J110">
        <v>0</v>
      </c>
      <c r="K110">
        <v>0</v>
      </c>
      <c r="L110">
        <v>0</v>
      </c>
      <c r="M110">
        <v>0</v>
      </c>
      <c r="N110">
        <v>0</v>
      </c>
      <c r="O110">
        <v>-78684533.25</v>
      </c>
      <c r="P110" s="3">
        <v>64128950.960000001</v>
      </c>
      <c r="Q110">
        <v>0</v>
      </c>
      <c r="R110">
        <v>0</v>
      </c>
      <c r="S110">
        <v>0</v>
      </c>
      <c r="T110">
        <v>0</v>
      </c>
      <c r="U110">
        <v>0</v>
      </c>
      <c r="V110">
        <v>0</v>
      </c>
      <c r="W110">
        <v>0</v>
      </c>
      <c r="X110">
        <v>0</v>
      </c>
      <c r="Y110">
        <v>-78684533.25</v>
      </c>
      <c r="Z110">
        <v>-78684533.25</v>
      </c>
      <c r="AA110" t="str">
        <f>CashProjTable[Portfolio]&amp;CashProjTable[ProjDate]</f>
        <v>SCBRM243408</v>
      </c>
    </row>
    <row r="111" spans="1:27" x14ac:dyDescent="0.2">
      <c r="A111" t="s">
        <v>339</v>
      </c>
      <c r="B111" t="s">
        <v>21</v>
      </c>
      <c r="C111" s="131">
        <v>43409</v>
      </c>
      <c r="D111">
        <v>0</v>
      </c>
      <c r="E111">
        <v>0</v>
      </c>
      <c r="F111">
        <v>359178.08</v>
      </c>
      <c r="G111">
        <v>0</v>
      </c>
      <c r="H111">
        <v>0</v>
      </c>
      <c r="I111">
        <v>0</v>
      </c>
      <c r="J111">
        <v>0</v>
      </c>
      <c r="K111">
        <v>0</v>
      </c>
      <c r="L111">
        <v>0</v>
      </c>
      <c r="M111">
        <v>0</v>
      </c>
      <c r="N111">
        <v>0</v>
      </c>
      <c r="O111">
        <v>-78325355.170000002</v>
      </c>
      <c r="P111" s="3">
        <v>64128950.960000001</v>
      </c>
      <c r="Q111">
        <v>0</v>
      </c>
      <c r="R111">
        <v>0</v>
      </c>
      <c r="S111">
        <v>0</v>
      </c>
      <c r="T111">
        <v>0</v>
      </c>
      <c r="U111">
        <v>0</v>
      </c>
      <c r="V111">
        <v>0</v>
      </c>
      <c r="W111">
        <v>0</v>
      </c>
      <c r="X111">
        <v>0</v>
      </c>
      <c r="Y111">
        <v>-78325355.170000002</v>
      </c>
      <c r="Z111">
        <v>-78684533.25</v>
      </c>
      <c r="AA111" t="str">
        <f>CashProjTable[Portfolio]&amp;CashProjTable[ProjDate]</f>
        <v>SCBRM243409</v>
      </c>
    </row>
    <row r="112" spans="1:27" x14ac:dyDescent="0.2">
      <c r="A112" t="s">
        <v>339</v>
      </c>
      <c r="B112" t="s">
        <v>21</v>
      </c>
      <c r="C112" s="131">
        <v>43410</v>
      </c>
      <c r="D112">
        <v>0</v>
      </c>
      <c r="E112">
        <v>8000000</v>
      </c>
      <c r="F112">
        <v>0</v>
      </c>
      <c r="G112">
        <v>0</v>
      </c>
      <c r="H112">
        <v>0</v>
      </c>
      <c r="I112">
        <v>0</v>
      </c>
      <c r="J112">
        <v>106358.59</v>
      </c>
      <c r="K112">
        <v>0</v>
      </c>
      <c r="L112">
        <v>0</v>
      </c>
      <c r="M112">
        <v>0</v>
      </c>
      <c r="N112">
        <v>0</v>
      </c>
      <c r="O112">
        <v>-70431713.760000005</v>
      </c>
      <c r="P112" s="3">
        <v>64128950.960000001</v>
      </c>
      <c r="Q112">
        <v>0</v>
      </c>
      <c r="R112">
        <v>8000000</v>
      </c>
      <c r="S112">
        <v>0</v>
      </c>
      <c r="T112">
        <v>0</v>
      </c>
      <c r="U112">
        <v>0</v>
      </c>
      <c r="V112">
        <v>0</v>
      </c>
      <c r="W112">
        <v>0</v>
      </c>
      <c r="X112">
        <v>0</v>
      </c>
      <c r="Y112">
        <v>-70431713.760000005</v>
      </c>
      <c r="Z112">
        <v>-70431713.760000005</v>
      </c>
      <c r="AA112" t="str">
        <f>CashProjTable[Portfolio]&amp;CashProjTable[ProjDate]</f>
        <v>SCBRM243410</v>
      </c>
    </row>
    <row r="113" spans="1:27" x14ac:dyDescent="0.2">
      <c r="A113" t="s">
        <v>339</v>
      </c>
      <c r="B113" t="s">
        <v>21</v>
      </c>
      <c r="C113" s="131">
        <v>43411</v>
      </c>
      <c r="D113">
        <v>0</v>
      </c>
      <c r="E113">
        <v>0</v>
      </c>
      <c r="F113">
        <v>0</v>
      </c>
      <c r="G113">
        <v>0</v>
      </c>
      <c r="H113">
        <v>0</v>
      </c>
      <c r="I113">
        <v>0</v>
      </c>
      <c r="J113">
        <v>2144759.9</v>
      </c>
      <c r="K113">
        <v>0</v>
      </c>
      <c r="L113">
        <v>0</v>
      </c>
      <c r="M113">
        <v>0</v>
      </c>
      <c r="N113">
        <v>0</v>
      </c>
      <c r="O113">
        <v>-72576473.659999996</v>
      </c>
      <c r="P113" s="3">
        <v>64128950.960000001</v>
      </c>
      <c r="Q113">
        <v>0</v>
      </c>
      <c r="R113">
        <v>0</v>
      </c>
      <c r="S113">
        <v>0</v>
      </c>
      <c r="T113">
        <v>0</v>
      </c>
      <c r="U113">
        <v>0</v>
      </c>
      <c r="V113">
        <v>0</v>
      </c>
      <c r="W113">
        <v>0</v>
      </c>
      <c r="X113">
        <v>0</v>
      </c>
      <c r="Y113">
        <v>-72576473.659999996</v>
      </c>
      <c r="Z113">
        <v>-72576473.659999996</v>
      </c>
      <c r="AA113" t="str">
        <f>CashProjTable[Portfolio]&amp;CashProjTable[ProjDate]</f>
        <v>SCBRM243411</v>
      </c>
    </row>
    <row r="114" spans="1:27" x14ac:dyDescent="0.2">
      <c r="A114" t="s">
        <v>335</v>
      </c>
      <c r="B114" t="s">
        <v>137</v>
      </c>
      <c r="C114" s="131">
        <v>43395</v>
      </c>
      <c r="D114">
        <v>0</v>
      </c>
      <c r="E114">
        <v>0</v>
      </c>
      <c r="F114">
        <v>0</v>
      </c>
      <c r="G114">
        <v>0</v>
      </c>
      <c r="H114">
        <v>0</v>
      </c>
      <c r="I114">
        <v>0</v>
      </c>
      <c r="J114">
        <v>0</v>
      </c>
      <c r="K114">
        <v>10767100</v>
      </c>
      <c r="L114">
        <v>0</v>
      </c>
      <c r="M114">
        <v>0</v>
      </c>
      <c r="N114">
        <v>0</v>
      </c>
      <c r="O114">
        <v>0</v>
      </c>
      <c r="P114" s="3">
        <v>0</v>
      </c>
      <c r="Q114">
        <v>0</v>
      </c>
      <c r="R114">
        <v>0</v>
      </c>
      <c r="S114">
        <v>0</v>
      </c>
      <c r="T114">
        <v>0</v>
      </c>
      <c r="U114">
        <v>0</v>
      </c>
      <c r="V114">
        <v>0</v>
      </c>
      <c r="W114">
        <v>0</v>
      </c>
      <c r="X114">
        <v>0</v>
      </c>
      <c r="Y114">
        <v>-10767100</v>
      </c>
      <c r="Z114">
        <v>-10767100</v>
      </c>
      <c r="AA114" t="str">
        <f>CashProjTable[Portfolio]&amp;CashProjTable[ProjDate]</f>
        <v>SCBFPFUND43395</v>
      </c>
    </row>
    <row r="115" spans="1:27" x14ac:dyDescent="0.2">
      <c r="A115" t="s">
        <v>335</v>
      </c>
      <c r="B115" t="s">
        <v>137</v>
      </c>
      <c r="C115" s="131">
        <v>43397</v>
      </c>
      <c r="D115">
        <v>599662533</v>
      </c>
      <c r="E115">
        <v>39758432</v>
      </c>
      <c r="F115">
        <v>1791.65</v>
      </c>
      <c r="G115">
        <v>0</v>
      </c>
      <c r="H115">
        <v>1156565000</v>
      </c>
      <c r="I115">
        <v>17485116.25</v>
      </c>
      <c r="J115">
        <v>0</v>
      </c>
      <c r="K115">
        <v>3169250</v>
      </c>
      <c r="L115">
        <v>503311634.04000002</v>
      </c>
      <c r="M115">
        <v>0</v>
      </c>
      <c r="N115">
        <v>55918421.149999999</v>
      </c>
      <c r="O115">
        <v>9904558.8399999999</v>
      </c>
      <c r="P115" s="3">
        <v>238313901627</v>
      </c>
      <c r="Q115">
        <v>599662533</v>
      </c>
      <c r="R115">
        <v>39758432</v>
      </c>
      <c r="S115">
        <v>0</v>
      </c>
      <c r="T115">
        <v>10000000</v>
      </c>
      <c r="U115">
        <v>0</v>
      </c>
      <c r="V115">
        <v>0</v>
      </c>
      <c r="W115">
        <v>10767100</v>
      </c>
      <c r="X115">
        <v>0</v>
      </c>
      <c r="Y115">
        <v>6735308.8399999999</v>
      </c>
      <c r="Z115">
        <v>-1168083699.0599999</v>
      </c>
      <c r="AA115" t="str">
        <f>CashProjTable[Portfolio]&amp;CashProjTable[ProjDate]</f>
        <v>SCBFPFUND43397</v>
      </c>
    </row>
    <row r="116" spans="1:27" x14ac:dyDescent="0.2">
      <c r="A116" t="s">
        <v>335</v>
      </c>
      <c r="B116" t="s">
        <v>137</v>
      </c>
      <c r="C116" s="131">
        <v>43398</v>
      </c>
      <c r="D116">
        <v>0</v>
      </c>
      <c r="E116">
        <v>70010509.099999994</v>
      </c>
      <c r="F116">
        <v>0</v>
      </c>
      <c r="G116">
        <v>0</v>
      </c>
      <c r="H116">
        <v>0</v>
      </c>
      <c r="I116">
        <v>0</v>
      </c>
      <c r="J116">
        <v>0</v>
      </c>
      <c r="K116">
        <v>0</v>
      </c>
      <c r="L116">
        <v>0</v>
      </c>
      <c r="M116">
        <v>0</v>
      </c>
      <c r="N116">
        <v>0</v>
      </c>
      <c r="O116">
        <v>79915067.939999998</v>
      </c>
      <c r="P116" s="3">
        <v>238313901627</v>
      </c>
      <c r="Q116">
        <v>0</v>
      </c>
      <c r="R116">
        <v>70010509.099999994</v>
      </c>
      <c r="S116">
        <v>0</v>
      </c>
      <c r="T116">
        <v>0</v>
      </c>
      <c r="U116">
        <v>10767100</v>
      </c>
      <c r="V116">
        <v>0</v>
      </c>
      <c r="W116">
        <v>3169250</v>
      </c>
      <c r="X116">
        <v>0</v>
      </c>
      <c r="Y116">
        <v>79915067.939999998</v>
      </c>
      <c r="Z116">
        <v>76745817.939999998</v>
      </c>
      <c r="AA116" t="str">
        <f>CashProjTable[Portfolio]&amp;CashProjTable[ProjDate]</f>
        <v>SCBFPFUND43398</v>
      </c>
    </row>
    <row r="117" spans="1:27" x14ac:dyDescent="0.2">
      <c r="A117" t="s">
        <v>335</v>
      </c>
      <c r="B117" t="s">
        <v>137</v>
      </c>
      <c r="C117" s="131">
        <v>43399</v>
      </c>
      <c r="D117">
        <v>607234444.17999995</v>
      </c>
      <c r="E117">
        <v>0</v>
      </c>
      <c r="F117">
        <v>0</v>
      </c>
      <c r="G117">
        <v>0</v>
      </c>
      <c r="H117">
        <v>0</v>
      </c>
      <c r="I117">
        <v>0</v>
      </c>
      <c r="J117">
        <v>0</v>
      </c>
      <c r="K117">
        <v>0</v>
      </c>
      <c r="L117">
        <v>0</v>
      </c>
      <c r="M117">
        <v>0</v>
      </c>
      <c r="N117">
        <v>0</v>
      </c>
      <c r="O117">
        <v>-527319376.24000001</v>
      </c>
      <c r="P117" s="3">
        <v>238313901627</v>
      </c>
      <c r="Q117">
        <v>607234444.17999995</v>
      </c>
      <c r="R117">
        <v>0</v>
      </c>
      <c r="S117">
        <v>0</v>
      </c>
      <c r="T117">
        <v>0</v>
      </c>
      <c r="U117">
        <v>3169250</v>
      </c>
      <c r="V117">
        <v>0</v>
      </c>
      <c r="W117">
        <v>0</v>
      </c>
      <c r="X117">
        <v>0</v>
      </c>
      <c r="Y117">
        <v>-527319376.24000001</v>
      </c>
      <c r="Z117">
        <v>-527319376.24000001</v>
      </c>
      <c r="AA117" t="str">
        <f>CashProjTable[Portfolio]&amp;CashProjTable[ProjDate]</f>
        <v>SCBFPFUND43399</v>
      </c>
    </row>
    <row r="118" spans="1:27" x14ac:dyDescent="0.2">
      <c r="A118" t="s">
        <v>335</v>
      </c>
      <c r="B118" t="s">
        <v>137</v>
      </c>
      <c r="C118" s="131">
        <v>43400</v>
      </c>
      <c r="D118">
        <v>0</v>
      </c>
      <c r="E118">
        <v>0</v>
      </c>
      <c r="F118">
        <v>0</v>
      </c>
      <c r="G118">
        <v>0</v>
      </c>
      <c r="H118">
        <v>0</v>
      </c>
      <c r="I118">
        <v>0</v>
      </c>
      <c r="J118">
        <v>0</v>
      </c>
      <c r="K118">
        <v>0</v>
      </c>
      <c r="L118">
        <v>0</v>
      </c>
      <c r="M118">
        <v>0</v>
      </c>
      <c r="N118">
        <v>0</v>
      </c>
      <c r="O118">
        <v>-527319376.24000001</v>
      </c>
      <c r="P118" s="3">
        <v>238313901627</v>
      </c>
      <c r="Q118">
        <v>0</v>
      </c>
      <c r="R118">
        <v>0</v>
      </c>
      <c r="S118">
        <v>0</v>
      </c>
      <c r="T118">
        <v>0</v>
      </c>
      <c r="U118">
        <v>0</v>
      </c>
      <c r="V118">
        <v>0</v>
      </c>
      <c r="W118">
        <v>0</v>
      </c>
      <c r="X118">
        <v>0</v>
      </c>
      <c r="Y118">
        <v>-527319376.24000001</v>
      </c>
      <c r="Z118">
        <v>-527319376.24000001</v>
      </c>
      <c r="AA118" t="str">
        <f>CashProjTable[Portfolio]&amp;CashProjTable[ProjDate]</f>
        <v>SCBFPFUND43400</v>
      </c>
    </row>
    <row r="119" spans="1:27" x14ac:dyDescent="0.2">
      <c r="A119" t="s">
        <v>335</v>
      </c>
      <c r="B119" t="s">
        <v>137</v>
      </c>
      <c r="C119" s="131">
        <v>43401</v>
      </c>
      <c r="D119">
        <v>0</v>
      </c>
      <c r="E119">
        <v>0</v>
      </c>
      <c r="F119">
        <v>0</v>
      </c>
      <c r="G119">
        <v>0</v>
      </c>
      <c r="H119">
        <v>0</v>
      </c>
      <c r="I119">
        <v>0</v>
      </c>
      <c r="J119">
        <v>0</v>
      </c>
      <c r="K119">
        <v>0</v>
      </c>
      <c r="L119">
        <v>0</v>
      </c>
      <c r="M119">
        <v>0</v>
      </c>
      <c r="N119">
        <v>0</v>
      </c>
      <c r="O119">
        <v>-527319376.24000001</v>
      </c>
      <c r="P119" s="3">
        <v>238313901627</v>
      </c>
      <c r="Q119">
        <v>0</v>
      </c>
      <c r="R119">
        <v>0</v>
      </c>
      <c r="S119">
        <v>0</v>
      </c>
      <c r="T119">
        <v>0</v>
      </c>
      <c r="U119">
        <v>0</v>
      </c>
      <c r="V119">
        <v>0</v>
      </c>
      <c r="W119">
        <v>0</v>
      </c>
      <c r="X119">
        <v>0</v>
      </c>
      <c r="Y119">
        <v>-527319376.24000001</v>
      </c>
      <c r="Z119">
        <v>-527319376.24000001</v>
      </c>
      <c r="AA119" t="str">
        <f>CashProjTable[Portfolio]&amp;CashProjTable[ProjDate]</f>
        <v>SCBFPFUND43401</v>
      </c>
    </row>
    <row r="120" spans="1:27" x14ac:dyDescent="0.2">
      <c r="A120" t="s">
        <v>335</v>
      </c>
      <c r="B120" t="s">
        <v>137</v>
      </c>
      <c r="C120" s="131">
        <v>43402</v>
      </c>
      <c r="D120">
        <v>0</v>
      </c>
      <c r="E120">
        <v>0</v>
      </c>
      <c r="F120">
        <v>4139240.82</v>
      </c>
      <c r="G120">
        <v>0</v>
      </c>
      <c r="H120">
        <v>0</v>
      </c>
      <c r="I120">
        <v>0</v>
      </c>
      <c r="J120">
        <v>0</v>
      </c>
      <c r="K120">
        <v>0</v>
      </c>
      <c r="L120">
        <v>0</v>
      </c>
      <c r="M120">
        <v>0</v>
      </c>
      <c r="N120">
        <v>0</v>
      </c>
      <c r="O120">
        <v>-523180135.42000002</v>
      </c>
      <c r="P120" s="3">
        <v>238313901627</v>
      </c>
      <c r="Q120">
        <v>0</v>
      </c>
      <c r="R120">
        <v>0</v>
      </c>
      <c r="S120">
        <v>0</v>
      </c>
      <c r="T120">
        <v>0</v>
      </c>
      <c r="U120">
        <v>0</v>
      </c>
      <c r="V120">
        <v>0</v>
      </c>
      <c r="W120">
        <v>0</v>
      </c>
      <c r="X120">
        <v>0</v>
      </c>
      <c r="Y120">
        <v>-523180135.42000002</v>
      </c>
      <c r="Z120">
        <v>-527319376.24000001</v>
      </c>
      <c r="AA120" t="str">
        <f>CashProjTable[Portfolio]&amp;CashProjTable[ProjDate]</f>
        <v>SCBFPFUND43402</v>
      </c>
    </row>
    <row r="121" spans="1:27" x14ac:dyDescent="0.2">
      <c r="A121" t="s">
        <v>335</v>
      </c>
      <c r="B121" t="s">
        <v>137</v>
      </c>
      <c r="C121" s="131">
        <v>43403</v>
      </c>
      <c r="D121">
        <v>0</v>
      </c>
      <c r="E121">
        <v>0</v>
      </c>
      <c r="F121">
        <v>0</v>
      </c>
      <c r="G121">
        <v>0</v>
      </c>
      <c r="H121">
        <v>0</v>
      </c>
      <c r="I121">
        <v>0</v>
      </c>
      <c r="J121">
        <v>0</v>
      </c>
      <c r="K121">
        <v>0</v>
      </c>
      <c r="L121">
        <v>0</v>
      </c>
      <c r="M121">
        <v>0</v>
      </c>
      <c r="N121">
        <v>0</v>
      </c>
      <c r="O121">
        <v>-523180135.42000002</v>
      </c>
      <c r="P121" s="3">
        <v>238313901627</v>
      </c>
      <c r="Q121">
        <v>0</v>
      </c>
      <c r="R121">
        <v>0</v>
      </c>
      <c r="S121">
        <v>0</v>
      </c>
      <c r="T121">
        <v>0</v>
      </c>
      <c r="U121">
        <v>0</v>
      </c>
      <c r="V121">
        <v>0</v>
      </c>
      <c r="W121">
        <v>0</v>
      </c>
      <c r="X121">
        <v>0</v>
      </c>
      <c r="Y121">
        <v>-523180135.42000002</v>
      </c>
      <c r="Z121">
        <v>-523180135.42000002</v>
      </c>
      <c r="AA121" t="str">
        <f>CashProjTable[Portfolio]&amp;CashProjTable[ProjDate]</f>
        <v>SCBFPFUND43403</v>
      </c>
    </row>
    <row r="122" spans="1:27" x14ac:dyDescent="0.2">
      <c r="A122" t="s">
        <v>335</v>
      </c>
      <c r="B122" t="s">
        <v>137</v>
      </c>
      <c r="C122" s="131">
        <v>43404</v>
      </c>
      <c r="D122">
        <v>0</v>
      </c>
      <c r="E122">
        <v>0</v>
      </c>
      <c r="F122">
        <v>13033753.43</v>
      </c>
      <c r="G122">
        <v>0</v>
      </c>
      <c r="H122">
        <v>0</v>
      </c>
      <c r="I122">
        <v>0</v>
      </c>
      <c r="J122">
        <v>0</v>
      </c>
      <c r="K122">
        <v>0</v>
      </c>
      <c r="L122">
        <v>0</v>
      </c>
      <c r="M122">
        <v>0</v>
      </c>
      <c r="N122">
        <v>0</v>
      </c>
      <c r="O122">
        <v>-510146381.99000001</v>
      </c>
      <c r="P122" s="3">
        <v>238313901627</v>
      </c>
      <c r="Q122">
        <v>0</v>
      </c>
      <c r="R122">
        <v>0</v>
      </c>
      <c r="S122">
        <v>0</v>
      </c>
      <c r="T122">
        <v>0</v>
      </c>
      <c r="U122">
        <v>0</v>
      </c>
      <c r="V122">
        <v>0</v>
      </c>
      <c r="W122">
        <v>0</v>
      </c>
      <c r="X122">
        <v>0</v>
      </c>
      <c r="Y122">
        <v>-510146381.99000001</v>
      </c>
      <c r="Z122">
        <v>-523180135.42000002</v>
      </c>
      <c r="AA122" t="str">
        <f>CashProjTable[Portfolio]&amp;CashProjTable[ProjDate]</f>
        <v>SCBFPFUND43404</v>
      </c>
    </row>
    <row r="123" spans="1:27" x14ac:dyDescent="0.2">
      <c r="A123" t="s">
        <v>335</v>
      </c>
      <c r="B123" t="s">
        <v>137</v>
      </c>
      <c r="C123" s="131">
        <v>43405</v>
      </c>
      <c r="D123">
        <v>0</v>
      </c>
      <c r="E123">
        <v>0</v>
      </c>
      <c r="F123">
        <v>0</v>
      </c>
      <c r="G123">
        <v>0</v>
      </c>
      <c r="H123">
        <v>0</v>
      </c>
      <c r="I123">
        <v>0</v>
      </c>
      <c r="J123">
        <v>0</v>
      </c>
      <c r="K123">
        <v>0</v>
      </c>
      <c r="L123">
        <v>0</v>
      </c>
      <c r="M123">
        <v>0</v>
      </c>
      <c r="N123">
        <v>0</v>
      </c>
      <c r="O123">
        <v>-510146381.99000001</v>
      </c>
      <c r="P123" s="3">
        <v>238313901627</v>
      </c>
      <c r="Q123">
        <v>0</v>
      </c>
      <c r="R123">
        <v>0</v>
      </c>
      <c r="S123">
        <v>0</v>
      </c>
      <c r="T123">
        <v>0</v>
      </c>
      <c r="U123">
        <v>0</v>
      </c>
      <c r="V123">
        <v>0</v>
      </c>
      <c r="W123">
        <v>0</v>
      </c>
      <c r="X123">
        <v>0</v>
      </c>
      <c r="Y123">
        <v>-510146381.99000001</v>
      </c>
      <c r="Z123">
        <v>-510146381.99000001</v>
      </c>
      <c r="AA123" t="str">
        <f>CashProjTable[Portfolio]&amp;CashProjTable[ProjDate]</f>
        <v>SCBFPFUND43405</v>
      </c>
    </row>
    <row r="124" spans="1:27" x14ac:dyDescent="0.2">
      <c r="A124" t="s">
        <v>335</v>
      </c>
      <c r="B124" t="s">
        <v>137</v>
      </c>
      <c r="C124" s="131">
        <v>43406</v>
      </c>
      <c r="D124">
        <v>0</v>
      </c>
      <c r="E124">
        <v>0</v>
      </c>
      <c r="F124">
        <v>6696087.6699999999</v>
      </c>
      <c r="G124">
        <v>0</v>
      </c>
      <c r="H124">
        <v>0</v>
      </c>
      <c r="I124">
        <v>0</v>
      </c>
      <c r="J124">
        <v>0</v>
      </c>
      <c r="K124">
        <v>0</v>
      </c>
      <c r="L124">
        <v>0</v>
      </c>
      <c r="M124">
        <v>0</v>
      </c>
      <c r="N124">
        <v>0</v>
      </c>
      <c r="O124">
        <v>-503450294.31999999</v>
      </c>
      <c r="P124" s="3">
        <v>238313901627</v>
      </c>
      <c r="Q124">
        <v>0</v>
      </c>
      <c r="R124">
        <v>0</v>
      </c>
      <c r="S124">
        <v>0</v>
      </c>
      <c r="T124">
        <v>0</v>
      </c>
      <c r="U124">
        <v>0</v>
      </c>
      <c r="V124">
        <v>0</v>
      </c>
      <c r="W124">
        <v>0</v>
      </c>
      <c r="X124">
        <v>0</v>
      </c>
      <c r="Y124">
        <v>-503450294.31999999</v>
      </c>
      <c r="Z124">
        <v>-510146381.99000001</v>
      </c>
      <c r="AA124" t="str">
        <f>CashProjTable[Portfolio]&amp;CashProjTable[ProjDate]</f>
        <v>SCBFPFUND43406</v>
      </c>
    </row>
    <row r="125" spans="1:27" x14ac:dyDescent="0.2">
      <c r="A125" t="s">
        <v>335</v>
      </c>
      <c r="B125" t="s">
        <v>137</v>
      </c>
      <c r="C125" s="131">
        <v>43407</v>
      </c>
      <c r="D125">
        <v>0</v>
      </c>
      <c r="E125">
        <v>0</v>
      </c>
      <c r="F125">
        <v>0</v>
      </c>
      <c r="G125">
        <v>0</v>
      </c>
      <c r="H125">
        <v>0</v>
      </c>
      <c r="I125">
        <v>0</v>
      </c>
      <c r="J125">
        <v>0</v>
      </c>
      <c r="K125">
        <v>0</v>
      </c>
      <c r="L125">
        <v>0</v>
      </c>
      <c r="M125">
        <v>0</v>
      </c>
      <c r="N125">
        <v>0</v>
      </c>
      <c r="O125">
        <v>-503450294.31999999</v>
      </c>
      <c r="P125" s="3">
        <v>238313901627</v>
      </c>
      <c r="Q125">
        <v>0</v>
      </c>
      <c r="R125">
        <v>0</v>
      </c>
      <c r="S125">
        <v>0</v>
      </c>
      <c r="T125">
        <v>0</v>
      </c>
      <c r="U125">
        <v>0</v>
      </c>
      <c r="V125">
        <v>0</v>
      </c>
      <c r="W125">
        <v>0</v>
      </c>
      <c r="X125">
        <v>0</v>
      </c>
      <c r="Y125">
        <v>-503450294.31999999</v>
      </c>
      <c r="Z125">
        <v>-503450294.31999999</v>
      </c>
      <c r="AA125" t="str">
        <f>CashProjTable[Portfolio]&amp;CashProjTable[ProjDate]</f>
        <v>SCBFPFUND43407</v>
      </c>
    </row>
    <row r="126" spans="1:27" x14ac:dyDescent="0.2">
      <c r="A126" t="s">
        <v>335</v>
      </c>
      <c r="B126" t="s">
        <v>137</v>
      </c>
      <c r="C126" s="131">
        <v>43408</v>
      </c>
      <c r="D126">
        <v>0</v>
      </c>
      <c r="E126">
        <v>0</v>
      </c>
      <c r="F126">
        <v>0</v>
      </c>
      <c r="G126">
        <v>0</v>
      </c>
      <c r="H126">
        <v>0</v>
      </c>
      <c r="I126">
        <v>0</v>
      </c>
      <c r="J126">
        <v>0</v>
      </c>
      <c r="K126">
        <v>0</v>
      </c>
      <c r="L126">
        <v>0</v>
      </c>
      <c r="M126">
        <v>0</v>
      </c>
      <c r="N126">
        <v>0</v>
      </c>
      <c r="O126">
        <v>-503450294.31999999</v>
      </c>
      <c r="P126" s="3">
        <v>238313901627</v>
      </c>
      <c r="Q126">
        <v>0</v>
      </c>
      <c r="R126">
        <v>0</v>
      </c>
      <c r="S126">
        <v>0</v>
      </c>
      <c r="T126">
        <v>0</v>
      </c>
      <c r="U126">
        <v>0</v>
      </c>
      <c r="V126">
        <v>0</v>
      </c>
      <c r="W126">
        <v>0</v>
      </c>
      <c r="X126">
        <v>0</v>
      </c>
      <c r="Y126">
        <v>-503450294.31999999</v>
      </c>
      <c r="Z126">
        <v>-503450294.31999999</v>
      </c>
      <c r="AA126" t="str">
        <f>CashProjTable[Portfolio]&amp;CashProjTable[ProjDate]</f>
        <v>SCBFPFUND43408</v>
      </c>
    </row>
    <row r="127" spans="1:27" x14ac:dyDescent="0.2">
      <c r="A127" t="s">
        <v>335</v>
      </c>
      <c r="B127" t="s">
        <v>137</v>
      </c>
      <c r="C127" s="131">
        <v>43409</v>
      </c>
      <c r="D127">
        <v>0</v>
      </c>
      <c r="E127">
        <v>0</v>
      </c>
      <c r="F127">
        <v>17350695.890000001</v>
      </c>
      <c r="G127">
        <v>0</v>
      </c>
      <c r="H127">
        <v>0</v>
      </c>
      <c r="I127">
        <v>0</v>
      </c>
      <c r="J127">
        <v>0</v>
      </c>
      <c r="K127">
        <v>0</v>
      </c>
      <c r="L127">
        <v>0</v>
      </c>
      <c r="M127">
        <v>0</v>
      </c>
      <c r="N127">
        <v>0</v>
      </c>
      <c r="O127">
        <v>-486099598.43000001</v>
      </c>
      <c r="P127" s="3">
        <v>238313901627</v>
      </c>
      <c r="Q127">
        <v>0</v>
      </c>
      <c r="R127">
        <v>0</v>
      </c>
      <c r="S127">
        <v>0</v>
      </c>
      <c r="T127">
        <v>0</v>
      </c>
      <c r="U127">
        <v>0</v>
      </c>
      <c r="V127">
        <v>0</v>
      </c>
      <c r="W127">
        <v>0</v>
      </c>
      <c r="X127">
        <v>0</v>
      </c>
      <c r="Y127">
        <v>-486099598.43000001</v>
      </c>
      <c r="Z127">
        <v>-503450294.31999999</v>
      </c>
      <c r="AA127" t="str">
        <f>CashProjTable[Portfolio]&amp;CashProjTable[ProjDate]</f>
        <v>SCBFPFUND43409</v>
      </c>
    </row>
    <row r="128" spans="1:27" x14ac:dyDescent="0.2">
      <c r="A128" t="s">
        <v>335</v>
      </c>
      <c r="B128" t="s">
        <v>137</v>
      </c>
      <c r="C128" s="131">
        <v>43410</v>
      </c>
      <c r="D128">
        <v>0</v>
      </c>
      <c r="E128">
        <v>523000000</v>
      </c>
      <c r="F128">
        <v>0</v>
      </c>
      <c r="G128">
        <v>0</v>
      </c>
      <c r="H128">
        <v>986460000</v>
      </c>
      <c r="I128">
        <v>23938096</v>
      </c>
      <c r="J128">
        <v>663314.23</v>
      </c>
      <c r="K128">
        <v>0</v>
      </c>
      <c r="L128">
        <v>0</v>
      </c>
      <c r="M128">
        <v>0</v>
      </c>
      <c r="N128">
        <v>0</v>
      </c>
      <c r="O128">
        <v>1046635183.34</v>
      </c>
      <c r="P128" s="3">
        <v>237327441627</v>
      </c>
      <c r="Q128">
        <v>0</v>
      </c>
      <c r="R128">
        <v>523000000</v>
      </c>
      <c r="S128">
        <v>0</v>
      </c>
      <c r="T128">
        <v>986460000</v>
      </c>
      <c r="U128">
        <v>0</v>
      </c>
      <c r="V128">
        <v>0</v>
      </c>
      <c r="W128">
        <v>0</v>
      </c>
      <c r="X128">
        <v>0</v>
      </c>
      <c r="Y128">
        <v>1046635183.34</v>
      </c>
      <c r="Z128">
        <v>1022697087.34</v>
      </c>
      <c r="AA128" t="str">
        <f>CashProjTable[Portfolio]&amp;CashProjTable[ProjDate]</f>
        <v>SCBFPFUND43410</v>
      </c>
    </row>
    <row r="129" spans="1:27" x14ac:dyDescent="0.2">
      <c r="A129" t="s">
        <v>335</v>
      </c>
      <c r="B129" t="s">
        <v>137</v>
      </c>
      <c r="C129" s="131">
        <v>43411</v>
      </c>
      <c r="D129">
        <v>0</v>
      </c>
      <c r="E129">
        <v>0</v>
      </c>
      <c r="F129">
        <v>5504876.71</v>
      </c>
      <c r="G129">
        <v>0</v>
      </c>
      <c r="H129">
        <v>0</v>
      </c>
      <c r="I129">
        <v>0</v>
      </c>
      <c r="J129">
        <v>12493539.52</v>
      </c>
      <c r="K129">
        <v>0</v>
      </c>
      <c r="L129">
        <v>0</v>
      </c>
      <c r="M129">
        <v>0</v>
      </c>
      <c r="N129">
        <v>0</v>
      </c>
      <c r="O129">
        <v>1039646520.53</v>
      </c>
      <c r="P129" s="3">
        <v>237327441627</v>
      </c>
      <c r="Q129">
        <v>0</v>
      </c>
      <c r="R129">
        <v>0</v>
      </c>
      <c r="S129">
        <v>0</v>
      </c>
      <c r="T129">
        <v>0</v>
      </c>
      <c r="U129">
        <v>0</v>
      </c>
      <c r="V129">
        <v>0</v>
      </c>
      <c r="W129">
        <v>0</v>
      </c>
      <c r="X129">
        <v>0</v>
      </c>
      <c r="Y129">
        <v>1039646520.53</v>
      </c>
      <c r="Z129">
        <v>1034141643.8200001</v>
      </c>
      <c r="AA129" t="str">
        <f>CashProjTable[Portfolio]&amp;CashProjTable[ProjDate]</f>
        <v>SCBFPFUND43411</v>
      </c>
    </row>
    <row r="130" spans="1:27" x14ac:dyDescent="0.2">
      <c r="A130" t="s">
        <v>336</v>
      </c>
      <c r="B130" t="s">
        <v>137</v>
      </c>
      <c r="C130" s="131">
        <v>43395</v>
      </c>
      <c r="D130">
        <v>0</v>
      </c>
      <c r="E130">
        <v>0</v>
      </c>
      <c r="F130">
        <v>0</v>
      </c>
      <c r="G130">
        <v>0</v>
      </c>
      <c r="H130">
        <v>0</v>
      </c>
      <c r="I130">
        <v>0</v>
      </c>
      <c r="J130">
        <v>0</v>
      </c>
      <c r="K130">
        <v>10210742.720000001</v>
      </c>
      <c r="L130">
        <v>0</v>
      </c>
      <c r="M130">
        <v>37425164.130000003</v>
      </c>
      <c r="N130">
        <v>0</v>
      </c>
      <c r="O130">
        <v>0</v>
      </c>
      <c r="P130" s="3">
        <v>0</v>
      </c>
      <c r="Q130">
        <v>0</v>
      </c>
      <c r="R130">
        <v>0</v>
      </c>
      <c r="S130">
        <v>0</v>
      </c>
      <c r="T130">
        <v>0</v>
      </c>
      <c r="U130">
        <v>0</v>
      </c>
      <c r="V130">
        <v>0</v>
      </c>
      <c r="W130">
        <v>0</v>
      </c>
      <c r="X130">
        <v>0</v>
      </c>
      <c r="Y130">
        <v>-47635906.850000001</v>
      </c>
      <c r="Z130">
        <v>-47635906.850000001</v>
      </c>
      <c r="AA130" t="str">
        <f>CashProjTable[Portfolio]&amp;CashProjTable[ProjDate]</f>
        <v>SCBPLUS43395</v>
      </c>
    </row>
    <row r="131" spans="1:27" x14ac:dyDescent="0.2">
      <c r="A131" t="s">
        <v>336</v>
      </c>
      <c r="B131" t="s">
        <v>137</v>
      </c>
      <c r="C131" s="131">
        <v>43397</v>
      </c>
      <c r="D131">
        <v>235660165.50999999</v>
      </c>
      <c r="E131">
        <v>171154260.97</v>
      </c>
      <c r="F131">
        <v>0</v>
      </c>
      <c r="G131">
        <v>0</v>
      </c>
      <c r="H131">
        <v>30000000</v>
      </c>
      <c r="I131">
        <v>0</v>
      </c>
      <c r="J131">
        <v>0</v>
      </c>
      <c r="K131">
        <v>20350904.82</v>
      </c>
      <c r="L131">
        <v>0</v>
      </c>
      <c r="M131">
        <v>4574140.21</v>
      </c>
      <c r="N131">
        <v>0</v>
      </c>
      <c r="O131">
        <v>3252442.31</v>
      </c>
      <c r="P131" s="3">
        <v>27702247899.150002</v>
      </c>
      <c r="Q131">
        <v>235660165.50999999</v>
      </c>
      <c r="R131">
        <v>171154260.97</v>
      </c>
      <c r="S131">
        <v>0</v>
      </c>
      <c r="T131">
        <v>30000000</v>
      </c>
      <c r="U131">
        <v>0</v>
      </c>
      <c r="V131">
        <v>0</v>
      </c>
      <c r="W131">
        <v>10210742.720000001</v>
      </c>
      <c r="X131">
        <v>0</v>
      </c>
      <c r="Y131">
        <v>-21672602.719999999</v>
      </c>
      <c r="Z131">
        <v>-31883345.440000001</v>
      </c>
      <c r="AA131" t="str">
        <f>CashProjTable[Portfolio]&amp;CashProjTable[ProjDate]</f>
        <v>SCBPLUS43397</v>
      </c>
    </row>
    <row r="132" spans="1:27" x14ac:dyDescent="0.2">
      <c r="A132" t="s">
        <v>336</v>
      </c>
      <c r="B132" t="s">
        <v>137</v>
      </c>
      <c r="C132" s="131">
        <v>43398</v>
      </c>
      <c r="D132">
        <v>542352592.20000005</v>
      </c>
      <c r="E132">
        <v>463965710.30000001</v>
      </c>
      <c r="F132">
        <v>0</v>
      </c>
      <c r="G132">
        <v>0</v>
      </c>
      <c r="H132">
        <v>0</v>
      </c>
      <c r="I132">
        <v>0</v>
      </c>
      <c r="J132">
        <v>0</v>
      </c>
      <c r="K132">
        <v>6901104.1799999997</v>
      </c>
      <c r="L132">
        <v>0</v>
      </c>
      <c r="M132">
        <v>5733368.5800000001</v>
      </c>
      <c r="N132">
        <v>0</v>
      </c>
      <c r="O132">
        <v>-62499966.829999998</v>
      </c>
      <c r="P132" s="3">
        <v>27702247899.150002</v>
      </c>
      <c r="Q132">
        <v>542352592.20000005</v>
      </c>
      <c r="R132">
        <v>463965710.30000001</v>
      </c>
      <c r="S132">
        <v>0</v>
      </c>
      <c r="T132">
        <v>0</v>
      </c>
      <c r="U132">
        <v>10210742.720000001</v>
      </c>
      <c r="V132">
        <v>0</v>
      </c>
      <c r="W132">
        <v>20350904.82</v>
      </c>
      <c r="X132">
        <v>0</v>
      </c>
      <c r="Y132">
        <v>-75134439.590000004</v>
      </c>
      <c r="Z132">
        <v>-95485344.409999996</v>
      </c>
      <c r="AA132" t="str">
        <f>CashProjTable[Portfolio]&amp;CashProjTable[ProjDate]</f>
        <v>SCBPLUS43398</v>
      </c>
    </row>
    <row r="133" spans="1:27" x14ac:dyDescent="0.2">
      <c r="A133" t="s">
        <v>336</v>
      </c>
      <c r="B133" t="s">
        <v>137</v>
      </c>
      <c r="C133" s="131">
        <v>43399</v>
      </c>
      <c r="D133">
        <v>0</v>
      </c>
      <c r="E133">
        <v>15791565.08</v>
      </c>
      <c r="F133">
        <v>0</v>
      </c>
      <c r="G133">
        <v>0</v>
      </c>
      <c r="H133">
        <v>0</v>
      </c>
      <c r="I133">
        <v>0</v>
      </c>
      <c r="J133">
        <v>0</v>
      </c>
      <c r="K133">
        <v>0</v>
      </c>
      <c r="L133">
        <v>0</v>
      </c>
      <c r="M133">
        <v>0</v>
      </c>
      <c r="N133">
        <v>0</v>
      </c>
      <c r="O133">
        <v>-46708401.75</v>
      </c>
      <c r="P133" s="3">
        <v>27702247899.150002</v>
      </c>
      <c r="Q133">
        <v>0</v>
      </c>
      <c r="R133">
        <v>15791565.08</v>
      </c>
      <c r="S133">
        <v>0</v>
      </c>
      <c r="T133">
        <v>0</v>
      </c>
      <c r="U133">
        <v>20350904.82</v>
      </c>
      <c r="V133">
        <v>0</v>
      </c>
      <c r="W133">
        <v>6901104.1799999997</v>
      </c>
      <c r="X133">
        <v>0</v>
      </c>
      <c r="Y133">
        <v>-46708401.75</v>
      </c>
      <c r="Z133">
        <v>-53609505.93</v>
      </c>
      <c r="AA133" t="str">
        <f>CashProjTable[Portfolio]&amp;CashProjTable[ProjDate]</f>
        <v>SCBPLUS43399</v>
      </c>
    </row>
    <row r="134" spans="1:27" x14ac:dyDescent="0.2">
      <c r="A134" t="s">
        <v>336</v>
      </c>
      <c r="B134" t="s">
        <v>137</v>
      </c>
      <c r="C134" s="131">
        <v>43400</v>
      </c>
      <c r="D134">
        <v>0</v>
      </c>
      <c r="E134">
        <v>0</v>
      </c>
      <c r="F134">
        <v>0</v>
      </c>
      <c r="G134">
        <v>0</v>
      </c>
      <c r="H134">
        <v>0</v>
      </c>
      <c r="I134">
        <v>0</v>
      </c>
      <c r="J134">
        <v>0</v>
      </c>
      <c r="K134">
        <v>0</v>
      </c>
      <c r="L134">
        <v>0</v>
      </c>
      <c r="M134">
        <v>0</v>
      </c>
      <c r="N134">
        <v>0</v>
      </c>
      <c r="O134">
        <v>-46708401.75</v>
      </c>
      <c r="P134" s="3">
        <v>27702247899.150002</v>
      </c>
      <c r="Q134">
        <v>0</v>
      </c>
      <c r="R134">
        <v>0</v>
      </c>
      <c r="S134">
        <v>0</v>
      </c>
      <c r="T134">
        <v>0</v>
      </c>
      <c r="U134">
        <v>0</v>
      </c>
      <c r="V134">
        <v>0</v>
      </c>
      <c r="W134">
        <v>0</v>
      </c>
      <c r="X134">
        <v>0</v>
      </c>
      <c r="Y134">
        <v>-46708401.75</v>
      </c>
      <c r="Z134">
        <v>-46708401.75</v>
      </c>
      <c r="AA134" t="str">
        <f>CashProjTable[Portfolio]&amp;CashProjTable[ProjDate]</f>
        <v>SCBPLUS43400</v>
      </c>
    </row>
    <row r="135" spans="1:27" x14ac:dyDescent="0.2">
      <c r="A135" t="s">
        <v>336</v>
      </c>
      <c r="B135" t="s">
        <v>137</v>
      </c>
      <c r="C135" s="131">
        <v>43401</v>
      </c>
      <c r="D135">
        <v>0</v>
      </c>
      <c r="E135">
        <v>0</v>
      </c>
      <c r="F135">
        <v>0</v>
      </c>
      <c r="G135">
        <v>0</v>
      </c>
      <c r="H135">
        <v>0</v>
      </c>
      <c r="I135">
        <v>0</v>
      </c>
      <c r="J135">
        <v>0</v>
      </c>
      <c r="K135">
        <v>0</v>
      </c>
      <c r="L135">
        <v>0</v>
      </c>
      <c r="M135">
        <v>0</v>
      </c>
      <c r="N135">
        <v>0</v>
      </c>
      <c r="O135">
        <v>-46708401.75</v>
      </c>
      <c r="P135" s="3">
        <v>27702247899.150002</v>
      </c>
      <c r="Q135">
        <v>0</v>
      </c>
      <c r="R135">
        <v>0</v>
      </c>
      <c r="S135">
        <v>0</v>
      </c>
      <c r="T135">
        <v>0</v>
      </c>
      <c r="U135">
        <v>0</v>
      </c>
      <c r="V135">
        <v>0</v>
      </c>
      <c r="W135">
        <v>0</v>
      </c>
      <c r="X135">
        <v>0</v>
      </c>
      <c r="Y135">
        <v>-46708401.75</v>
      </c>
      <c r="Z135">
        <v>-46708401.75</v>
      </c>
      <c r="AA135" t="str">
        <f>CashProjTable[Portfolio]&amp;CashProjTable[ProjDate]</f>
        <v>SCBPLUS43401</v>
      </c>
    </row>
    <row r="136" spans="1:27" x14ac:dyDescent="0.2">
      <c r="A136" t="s">
        <v>336</v>
      </c>
      <c r="B136" t="s">
        <v>137</v>
      </c>
      <c r="C136" s="131">
        <v>43402</v>
      </c>
      <c r="D136">
        <v>0</v>
      </c>
      <c r="E136">
        <v>0</v>
      </c>
      <c r="F136">
        <v>186747.4</v>
      </c>
      <c r="G136">
        <v>0</v>
      </c>
      <c r="H136">
        <v>0</v>
      </c>
      <c r="I136">
        <v>0</v>
      </c>
      <c r="J136">
        <v>0</v>
      </c>
      <c r="K136">
        <v>0</v>
      </c>
      <c r="L136">
        <v>0</v>
      </c>
      <c r="M136">
        <v>0</v>
      </c>
      <c r="N136">
        <v>0</v>
      </c>
      <c r="O136">
        <v>-46521654.350000001</v>
      </c>
      <c r="P136" s="3">
        <v>27702247899.150002</v>
      </c>
      <c r="Q136">
        <v>0</v>
      </c>
      <c r="R136">
        <v>0</v>
      </c>
      <c r="S136">
        <v>0</v>
      </c>
      <c r="T136">
        <v>0</v>
      </c>
      <c r="U136">
        <v>6901104.1799999997</v>
      </c>
      <c r="V136">
        <v>0</v>
      </c>
      <c r="W136">
        <v>0</v>
      </c>
      <c r="X136">
        <v>0</v>
      </c>
      <c r="Y136">
        <v>-46521654.350000001</v>
      </c>
      <c r="Z136">
        <v>-46708401.75</v>
      </c>
      <c r="AA136" t="str">
        <f>CashProjTable[Portfolio]&amp;CashProjTable[ProjDate]</f>
        <v>SCBPLUS43402</v>
      </c>
    </row>
    <row r="137" spans="1:27" x14ac:dyDescent="0.2">
      <c r="A137" t="s">
        <v>336</v>
      </c>
      <c r="B137" t="s">
        <v>137</v>
      </c>
      <c r="C137" s="131">
        <v>43403</v>
      </c>
      <c r="D137">
        <v>0</v>
      </c>
      <c r="E137">
        <v>50000000</v>
      </c>
      <c r="F137">
        <v>0</v>
      </c>
      <c r="G137">
        <v>0</v>
      </c>
      <c r="H137">
        <v>0</v>
      </c>
      <c r="I137">
        <v>0</v>
      </c>
      <c r="J137">
        <v>0</v>
      </c>
      <c r="K137">
        <v>0</v>
      </c>
      <c r="L137">
        <v>0</v>
      </c>
      <c r="M137">
        <v>0</v>
      </c>
      <c r="N137">
        <v>0</v>
      </c>
      <c r="O137">
        <v>3478345.6499999599</v>
      </c>
      <c r="P137" s="3">
        <v>27702247899.150002</v>
      </c>
      <c r="Q137">
        <v>0</v>
      </c>
      <c r="R137">
        <v>50000000</v>
      </c>
      <c r="S137">
        <v>0</v>
      </c>
      <c r="T137">
        <v>0</v>
      </c>
      <c r="U137">
        <v>0</v>
      </c>
      <c r="V137">
        <v>0</v>
      </c>
      <c r="W137">
        <v>0</v>
      </c>
      <c r="X137">
        <v>0</v>
      </c>
      <c r="Y137">
        <v>3478345.6499999599</v>
      </c>
      <c r="Z137">
        <v>3478345.6499999599</v>
      </c>
      <c r="AA137" t="str">
        <f>CashProjTable[Portfolio]&amp;CashProjTable[ProjDate]</f>
        <v>SCBPLUS43403</v>
      </c>
    </row>
    <row r="138" spans="1:27" x14ac:dyDescent="0.2">
      <c r="A138" t="s">
        <v>336</v>
      </c>
      <c r="B138" t="s">
        <v>137</v>
      </c>
      <c r="C138" s="131">
        <v>43404</v>
      </c>
      <c r="D138">
        <v>0</v>
      </c>
      <c r="E138">
        <v>0</v>
      </c>
      <c r="F138">
        <v>9704109.5899999999</v>
      </c>
      <c r="G138">
        <v>0</v>
      </c>
      <c r="H138">
        <v>0</v>
      </c>
      <c r="I138">
        <v>0</v>
      </c>
      <c r="J138">
        <v>0</v>
      </c>
      <c r="K138">
        <v>0</v>
      </c>
      <c r="L138">
        <v>0</v>
      </c>
      <c r="M138">
        <v>0</v>
      </c>
      <c r="N138">
        <v>0</v>
      </c>
      <c r="O138">
        <v>13182455.24</v>
      </c>
      <c r="P138" s="3">
        <v>27702247899.150002</v>
      </c>
      <c r="Q138">
        <v>0</v>
      </c>
      <c r="R138">
        <v>0</v>
      </c>
      <c r="S138">
        <v>0</v>
      </c>
      <c r="T138">
        <v>0</v>
      </c>
      <c r="U138">
        <v>0</v>
      </c>
      <c r="V138">
        <v>0</v>
      </c>
      <c r="W138">
        <v>0</v>
      </c>
      <c r="X138">
        <v>0</v>
      </c>
      <c r="Y138">
        <v>13182455.24</v>
      </c>
      <c r="Z138">
        <v>3478345.6499999599</v>
      </c>
      <c r="AA138" t="str">
        <f>CashProjTable[Portfolio]&amp;CashProjTable[ProjDate]</f>
        <v>SCBPLUS43404</v>
      </c>
    </row>
    <row r="139" spans="1:27" x14ac:dyDescent="0.2">
      <c r="A139" t="s">
        <v>336</v>
      </c>
      <c r="B139" t="s">
        <v>137</v>
      </c>
      <c r="C139" s="131">
        <v>43405</v>
      </c>
      <c r="D139">
        <v>0</v>
      </c>
      <c r="E139">
        <v>196000000</v>
      </c>
      <c r="F139">
        <v>0</v>
      </c>
      <c r="G139">
        <v>0</v>
      </c>
      <c r="H139">
        <v>0</v>
      </c>
      <c r="I139">
        <v>0</v>
      </c>
      <c r="J139">
        <v>0</v>
      </c>
      <c r="K139">
        <v>0</v>
      </c>
      <c r="L139">
        <v>0</v>
      </c>
      <c r="M139">
        <v>0</v>
      </c>
      <c r="N139">
        <v>0</v>
      </c>
      <c r="O139">
        <v>209182455.24000001</v>
      </c>
      <c r="P139" s="3">
        <v>27702247899.150002</v>
      </c>
      <c r="Q139">
        <v>0</v>
      </c>
      <c r="R139">
        <v>196000000</v>
      </c>
      <c r="S139">
        <v>0</v>
      </c>
      <c r="T139">
        <v>0</v>
      </c>
      <c r="U139">
        <v>0</v>
      </c>
      <c r="V139">
        <v>0</v>
      </c>
      <c r="W139">
        <v>0</v>
      </c>
      <c r="X139">
        <v>0</v>
      </c>
      <c r="Y139">
        <v>209182455.24000001</v>
      </c>
      <c r="Z139">
        <v>209182455.24000001</v>
      </c>
      <c r="AA139" t="str">
        <f>CashProjTable[Portfolio]&amp;CashProjTable[ProjDate]</f>
        <v>SCBPLUS43405</v>
      </c>
    </row>
    <row r="140" spans="1:27" x14ac:dyDescent="0.2">
      <c r="A140" t="s">
        <v>336</v>
      </c>
      <c r="B140" t="s">
        <v>137</v>
      </c>
      <c r="C140" s="131">
        <v>43406</v>
      </c>
      <c r="D140">
        <v>0</v>
      </c>
      <c r="E140">
        <v>0</v>
      </c>
      <c r="F140">
        <v>1286991.78</v>
      </c>
      <c r="G140">
        <v>0</v>
      </c>
      <c r="H140">
        <v>0</v>
      </c>
      <c r="I140">
        <v>0</v>
      </c>
      <c r="J140">
        <v>0</v>
      </c>
      <c r="K140">
        <v>0</v>
      </c>
      <c r="L140">
        <v>0</v>
      </c>
      <c r="M140">
        <v>0</v>
      </c>
      <c r="N140">
        <v>0</v>
      </c>
      <c r="O140">
        <v>212063493.72</v>
      </c>
      <c r="P140" s="3">
        <v>27702247899.150002</v>
      </c>
      <c r="Q140">
        <v>0</v>
      </c>
      <c r="R140">
        <v>0</v>
      </c>
      <c r="S140">
        <v>0</v>
      </c>
      <c r="T140">
        <v>0</v>
      </c>
      <c r="U140">
        <v>0</v>
      </c>
      <c r="V140">
        <v>0</v>
      </c>
      <c r="W140">
        <v>0</v>
      </c>
      <c r="X140">
        <v>0</v>
      </c>
      <c r="Y140">
        <v>212063493.72</v>
      </c>
      <c r="Z140">
        <v>209182455.24000001</v>
      </c>
      <c r="AA140" t="str">
        <f>CashProjTable[Portfolio]&amp;CashProjTable[ProjDate]</f>
        <v>SCBPLUS43406</v>
      </c>
    </row>
    <row r="141" spans="1:27" x14ac:dyDescent="0.2">
      <c r="A141" t="s">
        <v>336</v>
      </c>
      <c r="B141" t="s">
        <v>137</v>
      </c>
      <c r="C141" s="131">
        <v>43407</v>
      </c>
      <c r="D141">
        <v>0</v>
      </c>
      <c r="E141">
        <v>0</v>
      </c>
      <c r="F141">
        <v>0</v>
      </c>
      <c r="G141">
        <v>0</v>
      </c>
      <c r="H141">
        <v>0</v>
      </c>
      <c r="I141">
        <v>0</v>
      </c>
      <c r="J141">
        <v>0</v>
      </c>
      <c r="K141">
        <v>0</v>
      </c>
      <c r="L141">
        <v>0</v>
      </c>
      <c r="M141">
        <v>0</v>
      </c>
      <c r="N141">
        <v>0</v>
      </c>
      <c r="O141">
        <v>212063493.72</v>
      </c>
      <c r="P141" s="3">
        <v>27702247899.150002</v>
      </c>
      <c r="Q141">
        <v>0</v>
      </c>
      <c r="R141">
        <v>0</v>
      </c>
      <c r="S141">
        <v>0</v>
      </c>
      <c r="T141">
        <v>0</v>
      </c>
      <c r="U141">
        <v>0</v>
      </c>
      <c r="V141">
        <v>0</v>
      </c>
      <c r="W141">
        <v>0</v>
      </c>
      <c r="X141">
        <v>0</v>
      </c>
      <c r="Y141">
        <v>212063493.72</v>
      </c>
      <c r="Z141">
        <v>212063493.72</v>
      </c>
      <c r="AA141" t="str">
        <f>CashProjTable[Portfolio]&amp;CashProjTable[ProjDate]</f>
        <v>SCBPLUS43407</v>
      </c>
    </row>
    <row r="142" spans="1:27" x14ac:dyDescent="0.2">
      <c r="A142" t="s">
        <v>336</v>
      </c>
      <c r="B142" t="s">
        <v>137</v>
      </c>
      <c r="C142" s="131">
        <v>43408</v>
      </c>
      <c r="D142">
        <v>0</v>
      </c>
      <c r="E142">
        <v>0</v>
      </c>
      <c r="F142">
        <v>0</v>
      </c>
      <c r="G142">
        <v>0</v>
      </c>
      <c r="H142">
        <v>0</v>
      </c>
      <c r="I142">
        <v>0</v>
      </c>
      <c r="J142">
        <v>0</v>
      </c>
      <c r="K142">
        <v>0</v>
      </c>
      <c r="L142">
        <v>0</v>
      </c>
      <c r="M142">
        <v>0</v>
      </c>
      <c r="N142">
        <v>0</v>
      </c>
      <c r="O142">
        <v>212063493.72</v>
      </c>
      <c r="P142" s="3">
        <v>27702247899.150002</v>
      </c>
      <c r="Q142">
        <v>0</v>
      </c>
      <c r="R142">
        <v>0</v>
      </c>
      <c r="S142">
        <v>0</v>
      </c>
      <c r="T142">
        <v>0</v>
      </c>
      <c r="U142">
        <v>0</v>
      </c>
      <c r="V142">
        <v>0</v>
      </c>
      <c r="W142">
        <v>0</v>
      </c>
      <c r="X142">
        <v>0</v>
      </c>
      <c r="Y142">
        <v>212063493.72</v>
      </c>
      <c r="Z142">
        <v>212063493.72</v>
      </c>
      <c r="AA142" t="str">
        <f>CashProjTable[Portfolio]&amp;CashProjTable[ProjDate]</f>
        <v>SCBPLUS43408</v>
      </c>
    </row>
    <row r="143" spans="1:27" x14ac:dyDescent="0.2">
      <c r="A143" t="s">
        <v>336</v>
      </c>
      <c r="B143" t="s">
        <v>137</v>
      </c>
      <c r="C143" s="131">
        <v>43409</v>
      </c>
      <c r="D143">
        <v>0</v>
      </c>
      <c r="E143">
        <v>0</v>
      </c>
      <c r="F143">
        <v>0</v>
      </c>
      <c r="G143">
        <v>0</v>
      </c>
      <c r="H143">
        <v>0</v>
      </c>
      <c r="I143">
        <v>0</v>
      </c>
      <c r="J143">
        <v>0</v>
      </c>
      <c r="K143">
        <v>0</v>
      </c>
      <c r="L143">
        <v>0</v>
      </c>
      <c r="M143">
        <v>0</v>
      </c>
      <c r="N143">
        <v>0</v>
      </c>
      <c r="O143">
        <v>212063493.72</v>
      </c>
      <c r="P143" s="3">
        <v>27702247899.150002</v>
      </c>
      <c r="Q143">
        <v>0</v>
      </c>
      <c r="R143">
        <v>0</v>
      </c>
      <c r="S143">
        <v>0</v>
      </c>
      <c r="T143">
        <v>0</v>
      </c>
      <c r="U143">
        <v>0</v>
      </c>
      <c r="V143">
        <v>0</v>
      </c>
      <c r="W143">
        <v>0</v>
      </c>
      <c r="X143">
        <v>0</v>
      </c>
      <c r="Y143">
        <v>212063493.72</v>
      </c>
      <c r="Z143">
        <v>212063493.72</v>
      </c>
      <c r="AA143" t="str">
        <f>CashProjTable[Portfolio]&amp;CashProjTable[ProjDate]</f>
        <v>SCBPLUS43409</v>
      </c>
    </row>
    <row r="144" spans="1:27" x14ac:dyDescent="0.2">
      <c r="A144" t="s">
        <v>336</v>
      </c>
      <c r="B144" t="s">
        <v>137</v>
      </c>
      <c r="C144" s="131">
        <v>43410</v>
      </c>
      <c r="D144">
        <v>0</v>
      </c>
      <c r="E144">
        <v>220000000</v>
      </c>
      <c r="F144">
        <v>0</v>
      </c>
      <c r="G144">
        <v>0</v>
      </c>
      <c r="H144">
        <v>0</v>
      </c>
      <c r="I144">
        <v>0</v>
      </c>
      <c r="J144">
        <v>305651.34999999998</v>
      </c>
      <c r="K144">
        <v>0</v>
      </c>
      <c r="L144">
        <v>0</v>
      </c>
      <c r="M144">
        <v>0</v>
      </c>
      <c r="N144">
        <v>0</v>
      </c>
      <c r="O144">
        <v>431757842.37</v>
      </c>
      <c r="P144" s="3">
        <v>27702247899.150002</v>
      </c>
      <c r="Q144">
        <v>0</v>
      </c>
      <c r="R144">
        <v>220000000</v>
      </c>
      <c r="S144">
        <v>0</v>
      </c>
      <c r="T144">
        <v>0</v>
      </c>
      <c r="U144">
        <v>0</v>
      </c>
      <c r="V144">
        <v>0</v>
      </c>
      <c r="W144">
        <v>0</v>
      </c>
      <c r="X144">
        <v>0</v>
      </c>
      <c r="Y144">
        <v>431757842.37</v>
      </c>
      <c r="Z144">
        <v>431757842.37</v>
      </c>
      <c r="AA144" t="str">
        <f>CashProjTable[Portfolio]&amp;CashProjTable[ProjDate]</f>
        <v>SCBPLUS43410</v>
      </c>
    </row>
    <row r="145" spans="1:27" x14ac:dyDescent="0.2">
      <c r="A145" t="s">
        <v>336</v>
      </c>
      <c r="B145" t="s">
        <v>137</v>
      </c>
      <c r="C145" s="131">
        <v>43411</v>
      </c>
      <c r="D145">
        <v>0</v>
      </c>
      <c r="E145">
        <v>0</v>
      </c>
      <c r="F145">
        <v>0</v>
      </c>
      <c r="G145">
        <v>0</v>
      </c>
      <c r="H145">
        <v>0</v>
      </c>
      <c r="I145">
        <v>0</v>
      </c>
      <c r="J145">
        <v>6041034.4400000004</v>
      </c>
      <c r="K145">
        <v>0</v>
      </c>
      <c r="L145">
        <v>0</v>
      </c>
      <c r="M145">
        <v>0</v>
      </c>
      <c r="N145">
        <v>0</v>
      </c>
      <c r="O145">
        <v>425716807.93000001</v>
      </c>
      <c r="P145" s="3">
        <v>27702247899.150002</v>
      </c>
      <c r="Q145">
        <v>0</v>
      </c>
      <c r="R145">
        <v>0</v>
      </c>
      <c r="S145">
        <v>0</v>
      </c>
      <c r="T145">
        <v>0</v>
      </c>
      <c r="U145">
        <v>0</v>
      </c>
      <c r="V145">
        <v>0</v>
      </c>
      <c r="W145">
        <v>0</v>
      </c>
      <c r="X145">
        <v>0</v>
      </c>
      <c r="Y145">
        <v>425716807.93000001</v>
      </c>
      <c r="Z145">
        <v>425716807.93000001</v>
      </c>
      <c r="AA145" t="str">
        <f>CashProjTable[Portfolio]&amp;CashProjTable[ProjDate]</f>
        <v>SCBPLUS43411</v>
      </c>
    </row>
    <row r="146" spans="1:27" x14ac:dyDescent="0.2">
      <c r="A146" t="s">
        <v>334</v>
      </c>
      <c r="B146" t="s">
        <v>137</v>
      </c>
      <c r="C146" s="131">
        <v>43395</v>
      </c>
      <c r="D146">
        <v>0</v>
      </c>
      <c r="E146">
        <v>0</v>
      </c>
      <c r="F146">
        <v>0</v>
      </c>
      <c r="G146">
        <v>0</v>
      </c>
      <c r="H146">
        <v>0</v>
      </c>
      <c r="I146">
        <v>0</v>
      </c>
      <c r="J146">
        <v>0</v>
      </c>
      <c r="K146">
        <v>10260607</v>
      </c>
      <c r="L146">
        <v>0</v>
      </c>
      <c r="M146">
        <v>0</v>
      </c>
      <c r="N146">
        <v>0</v>
      </c>
      <c r="O146">
        <v>0</v>
      </c>
      <c r="P146" s="3">
        <v>0</v>
      </c>
      <c r="Q146">
        <v>0</v>
      </c>
      <c r="R146">
        <v>0</v>
      </c>
      <c r="S146">
        <v>0</v>
      </c>
      <c r="T146">
        <v>0</v>
      </c>
      <c r="U146">
        <v>0</v>
      </c>
      <c r="V146">
        <v>0</v>
      </c>
      <c r="W146">
        <v>0</v>
      </c>
      <c r="X146">
        <v>0</v>
      </c>
      <c r="Y146">
        <v>-10260607</v>
      </c>
      <c r="Z146">
        <v>-10260607</v>
      </c>
      <c r="AA146" t="str">
        <f>CashProjTable[Portfolio]&amp;CashProjTable[ProjDate]</f>
        <v>SCBFIXED43395</v>
      </c>
    </row>
    <row r="147" spans="1:27" x14ac:dyDescent="0.2">
      <c r="A147" t="s">
        <v>334</v>
      </c>
      <c r="B147" t="s">
        <v>137</v>
      </c>
      <c r="C147" s="131">
        <v>43397</v>
      </c>
      <c r="D147">
        <v>0</v>
      </c>
      <c r="E147">
        <v>0</v>
      </c>
      <c r="F147">
        <v>0</v>
      </c>
      <c r="G147">
        <v>0</v>
      </c>
      <c r="H147">
        <v>0</v>
      </c>
      <c r="I147">
        <v>0</v>
      </c>
      <c r="J147">
        <v>0</v>
      </c>
      <c r="K147">
        <v>429543</v>
      </c>
      <c r="L147">
        <v>24803.040000000001</v>
      </c>
      <c r="M147">
        <v>0</v>
      </c>
      <c r="N147">
        <v>1000</v>
      </c>
      <c r="O147">
        <v>6088582.5700000003</v>
      </c>
      <c r="P147" s="3">
        <v>2863902609.5500002</v>
      </c>
      <c r="Q147">
        <v>0</v>
      </c>
      <c r="R147">
        <v>0</v>
      </c>
      <c r="S147">
        <v>0</v>
      </c>
      <c r="T147">
        <v>0</v>
      </c>
      <c r="U147">
        <v>0</v>
      </c>
      <c r="V147">
        <v>0</v>
      </c>
      <c r="W147">
        <v>10260607</v>
      </c>
      <c r="X147">
        <v>0</v>
      </c>
      <c r="Y147">
        <v>5659039.5700000003</v>
      </c>
      <c r="Z147">
        <v>-4601567.43</v>
      </c>
      <c r="AA147" t="str">
        <f>CashProjTable[Portfolio]&amp;CashProjTable[ProjDate]</f>
        <v>SCBFIXED43397</v>
      </c>
    </row>
    <row r="148" spans="1:27" x14ac:dyDescent="0.2">
      <c r="A148" t="s">
        <v>334</v>
      </c>
      <c r="B148" t="s">
        <v>137</v>
      </c>
      <c r="C148" s="131">
        <v>43398</v>
      </c>
      <c r="D148">
        <v>115863308.42</v>
      </c>
      <c r="E148">
        <v>105000000</v>
      </c>
      <c r="F148">
        <v>442208.22</v>
      </c>
      <c r="G148">
        <v>0</v>
      </c>
      <c r="H148">
        <v>0</v>
      </c>
      <c r="I148">
        <v>0</v>
      </c>
      <c r="J148">
        <v>0</v>
      </c>
      <c r="K148">
        <v>0</v>
      </c>
      <c r="L148">
        <v>0</v>
      </c>
      <c r="M148">
        <v>0</v>
      </c>
      <c r="N148">
        <v>0</v>
      </c>
      <c r="O148">
        <v>-4332517.63</v>
      </c>
      <c r="P148" s="3">
        <v>2863902609.5500002</v>
      </c>
      <c r="Q148">
        <v>115863308.42</v>
      </c>
      <c r="R148">
        <v>105000000</v>
      </c>
      <c r="S148">
        <v>0</v>
      </c>
      <c r="T148">
        <v>0</v>
      </c>
      <c r="U148">
        <v>10260607</v>
      </c>
      <c r="V148">
        <v>0</v>
      </c>
      <c r="W148">
        <v>429543</v>
      </c>
      <c r="X148">
        <v>0</v>
      </c>
      <c r="Y148">
        <v>-4332517.63</v>
      </c>
      <c r="Z148">
        <v>-5204268.8499999996</v>
      </c>
      <c r="AA148" t="str">
        <f>CashProjTable[Portfolio]&amp;CashProjTable[ProjDate]</f>
        <v>SCBFIXED43398</v>
      </c>
    </row>
    <row r="149" spans="1:27" x14ac:dyDescent="0.2">
      <c r="A149" t="s">
        <v>334</v>
      </c>
      <c r="B149" t="s">
        <v>137</v>
      </c>
      <c r="C149" s="131">
        <v>43399</v>
      </c>
      <c r="D149">
        <v>0</v>
      </c>
      <c r="E149">
        <v>0</v>
      </c>
      <c r="F149">
        <v>0</v>
      </c>
      <c r="G149">
        <v>0</v>
      </c>
      <c r="H149">
        <v>0</v>
      </c>
      <c r="I149">
        <v>0</v>
      </c>
      <c r="J149">
        <v>0</v>
      </c>
      <c r="K149">
        <v>0</v>
      </c>
      <c r="L149">
        <v>0</v>
      </c>
      <c r="M149">
        <v>0</v>
      </c>
      <c r="N149">
        <v>0</v>
      </c>
      <c r="O149">
        <v>-4332517.63</v>
      </c>
      <c r="P149" s="3">
        <v>2863902609.5500002</v>
      </c>
      <c r="Q149">
        <v>0</v>
      </c>
      <c r="R149">
        <v>0</v>
      </c>
      <c r="S149">
        <v>0</v>
      </c>
      <c r="T149">
        <v>0</v>
      </c>
      <c r="U149">
        <v>429543</v>
      </c>
      <c r="V149">
        <v>0</v>
      </c>
      <c r="W149">
        <v>0</v>
      </c>
      <c r="X149">
        <v>0</v>
      </c>
      <c r="Y149">
        <v>-4332517.63</v>
      </c>
      <c r="Z149">
        <v>-4332517.63</v>
      </c>
      <c r="AA149" t="str">
        <f>CashProjTable[Portfolio]&amp;CashProjTable[ProjDate]</f>
        <v>SCBFIXED43399</v>
      </c>
    </row>
    <row r="150" spans="1:27" x14ac:dyDescent="0.2">
      <c r="A150" t="s">
        <v>334</v>
      </c>
      <c r="B150" t="s">
        <v>137</v>
      </c>
      <c r="C150" s="131">
        <v>43400</v>
      </c>
      <c r="D150">
        <v>0</v>
      </c>
      <c r="E150">
        <v>0</v>
      </c>
      <c r="F150">
        <v>0</v>
      </c>
      <c r="G150">
        <v>0</v>
      </c>
      <c r="H150">
        <v>0</v>
      </c>
      <c r="I150">
        <v>0</v>
      </c>
      <c r="J150">
        <v>0</v>
      </c>
      <c r="K150">
        <v>0</v>
      </c>
      <c r="L150">
        <v>0</v>
      </c>
      <c r="M150">
        <v>0</v>
      </c>
      <c r="N150">
        <v>0</v>
      </c>
      <c r="O150">
        <v>-4332517.63</v>
      </c>
      <c r="P150" s="3">
        <v>2863902609.5500002</v>
      </c>
      <c r="Q150">
        <v>0</v>
      </c>
      <c r="R150">
        <v>0</v>
      </c>
      <c r="S150">
        <v>0</v>
      </c>
      <c r="T150">
        <v>0</v>
      </c>
      <c r="U150">
        <v>0</v>
      </c>
      <c r="V150">
        <v>0</v>
      </c>
      <c r="W150">
        <v>0</v>
      </c>
      <c r="X150">
        <v>0</v>
      </c>
      <c r="Y150">
        <v>-4332517.63</v>
      </c>
      <c r="Z150">
        <v>-4332517.63</v>
      </c>
      <c r="AA150" t="str">
        <f>CashProjTable[Portfolio]&amp;CashProjTable[ProjDate]</f>
        <v>SCBFIXED43400</v>
      </c>
    </row>
    <row r="151" spans="1:27" x14ac:dyDescent="0.2">
      <c r="A151" t="s">
        <v>334</v>
      </c>
      <c r="B151" t="s">
        <v>137</v>
      </c>
      <c r="C151" s="131">
        <v>43401</v>
      </c>
      <c r="D151">
        <v>0</v>
      </c>
      <c r="E151">
        <v>0</v>
      </c>
      <c r="F151">
        <v>0</v>
      </c>
      <c r="G151">
        <v>0</v>
      </c>
      <c r="H151">
        <v>0</v>
      </c>
      <c r="I151">
        <v>0</v>
      </c>
      <c r="J151">
        <v>0</v>
      </c>
      <c r="K151">
        <v>0</v>
      </c>
      <c r="L151">
        <v>0</v>
      </c>
      <c r="M151">
        <v>0</v>
      </c>
      <c r="N151">
        <v>0</v>
      </c>
      <c r="O151">
        <v>-4332517.63</v>
      </c>
      <c r="P151" s="3">
        <v>2863902609.5500002</v>
      </c>
      <c r="Q151">
        <v>0</v>
      </c>
      <c r="R151">
        <v>0</v>
      </c>
      <c r="S151">
        <v>0</v>
      </c>
      <c r="T151">
        <v>0</v>
      </c>
      <c r="U151">
        <v>0</v>
      </c>
      <c r="V151">
        <v>0</v>
      </c>
      <c r="W151">
        <v>0</v>
      </c>
      <c r="X151">
        <v>0</v>
      </c>
      <c r="Y151">
        <v>-4332517.63</v>
      </c>
      <c r="Z151">
        <v>-4332517.63</v>
      </c>
      <c r="AA151" t="str">
        <f>CashProjTable[Portfolio]&amp;CashProjTable[ProjDate]</f>
        <v>SCBFIXED43401</v>
      </c>
    </row>
    <row r="152" spans="1:27" x14ac:dyDescent="0.2">
      <c r="A152" t="s">
        <v>334</v>
      </c>
      <c r="B152" t="s">
        <v>137</v>
      </c>
      <c r="C152" s="131">
        <v>43402</v>
      </c>
      <c r="D152">
        <v>0</v>
      </c>
      <c r="E152">
        <v>0</v>
      </c>
      <c r="F152">
        <v>0</v>
      </c>
      <c r="G152">
        <v>0</v>
      </c>
      <c r="H152">
        <v>0</v>
      </c>
      <c r="I152">
        <v>0</v>
      </c>
      <c r="J152">
        <v>0</v>
      </c>
      <c r="K152">
        <v>0</v>
      </c>
      <c r="L152">
        <v>0</v>
      </c>
      <c r="M152">
        <v>0</v>
      </c>
      <c r="N152">
        <v>0</v>
      </c>
      <c r="O152">
        <v>-4332517.63</v>
      </c>
      <c r="P152" s="3">
        <v>2863902609.5500002</v>
      </c>
      <c r="Q152">
        <v>0</v>
      </c>
      <c r="R152">
        <v>0</v>
      </c>
      <c r="S152">
        <v>0</v>
      </c>
      <c r="T152">
        <v>0</v>
      </c>
      <c r="U152">
        <v>0</v>
      </c>
      <c r="V152">
        <v>0</v>
      </c>
      <c r="W152">
        <v>0</v>
      </c>
      <c r="X152">
        <v>0</v>
      </c>
      <c r="Y152">
        <v>-4332517.63</v>
      </c>
      <c r="Z152">
        <v>-4332517.63</v>
      </c>
      <c r="AA152" t="str">
        <f>CashProjTable[Portfolio]&amp;CashProjTable[ProjDate]</f>
        <v>SCBFIXED43402</v>
      </c>
    </row>
    <row r="153" spans="1:27" x14ac:dyDescent="0.2">
      <c r="A153" t="s">
        <v>334</v>
      </c>
      <c r="B153" t="s">
        <v>137</v>
      </c>
      <c r="C153" s="131">
        <v>43403</v>
      </c>
      <c r="D153">
        <v>0</v>
      </c>
      <c r="E153">
        <v>0</v>
      </c>
      <c r="F153">
        <v>0</v>
      </c>
      <c r="G153">
        <v>0</v>
      </c>
      <c r="H153">
        <v>0</v>
      </c>
      <c r="I153">
        <v>0</v>
      </c>
      <c r="J153">
        <v>0</v>
      </c>
      <c r="K153">
        <v>0</v>
      </c>
      <c r="L153">
        <v>0</v>
      </c>
      <c r="M153">
        <v>0</v>
      </c>
      <c r="N153">
        <v>0</v>
      </c>
      <c r="O153">
        <v>-4332517.63</v>
      </c>
      <c r="P153" s="3">
        <v>2863902609.5500002</v>
      </c>
      <c r="Q153">
        <v>0</v>
      </c>
      <c r="R153">
        <v>0</v>
      </c>
      <c r="S153">
        <v>0</v>
      </c>
      <c r="T153">
        <v>0</v>
      </c>
      <c r="U153">
        <v>0</v>
      </c>
      <c r="V153">
        <v>0</v>
      </c>
      <c r="W153">
        <v>0</v>
      </c>
      <c r="X153">
        <v>0</v>
      </c>
      <c r="Y153">
        <v>-4332517.63</v>
      </c>
      <c r="Z153">
        <v>-4332517.63</v>
      </c>
      <c r="AA153" t="str">
        <f>CashProjTable[Portfolio]&amp;CashProjTable[ProjDate]</f>
        <v>SCBFIXED43403</v>
      </c>
    </row>
    <row r="154" spans="1:27" x14ac:dyDescent="0.2">
      <c r="A154" t="s">
        <v>334</v>
      </c>
      <c r="B154" t="s">
        <v>137</v>
      </c>
      <c r="C154" s="131">
        <v>43404</v>
      </c>
      <c r="D154">
        <v>0</v>
      </c>
      <c r="E154">
        <v>0</v>
      </c>
      <c r="F154">
        <v>0</v>
      </c>
      <c r="G154">
        <v>0</v>
      </c>
      <c r="H154">
        <v>0</v>
      </c>
      <c r="I154">
        <v>0</v>
      </c>
      <c r="J154">
        <v>0</v>
      </c>
      <c r="K154">
        <v>0</v>
      </c>
      <c r="L154">
        <v>0</v>
      </c>
      <c r="M154">
        <v>0</v>
      </c>
      <c r="N154">
        <v>0</v>
      </c>
      <c r="O154">
        <v>-4332517.63</v>
      </c>
      <c r="P154" s="3">
        <v>2863902609.5500002</v>
      </c>
      <c r="Q154">
        <v>0</v>
      </c>
      <c r="R154">
        <v>0</v>
      </c>
      <c r="S154">
        <v>0</v>
      </c>
      <c r="T154">
        <v>0</v>
      </c>
      <c r="U154">
        <v>0</v>
      </c>
      <c r="V154">
        <v>0</v>
      </c>
      <c r="W154">
        <v>0</v>
      </c>
      <c r="X154">
        <v>0</v>
      </c>
      <c r="Y154">
        <v>-4332517.63</v>
      </c>
      <c r="Z154">
        <v>-4332517.63</v>
      </c>
      <c r="AA154" t="str">
        <f>CashProjTable[Portfolio]&amp;CashProjTable[ProjDate]</f>
        <v>SCBFIXED43404</v>
      </c>
    </row>
    <row r="155" spans="1:27" x14ac:dyDescent="0.2">
      <c r="A155" t="s">
        <v>334</v>
      </c>
      <c r="B155" t="s">
        <v>137</v>
      </c>
      <c r="C155" s="131">
        <v>43405</v>
      </c>
      <c r="D155">
        <v>0</v>
      </c>
      <c r="E155">
        <v>86000000</v>
      </c>
      <c r="F155">
        <v>0</v>
      </c>
      <c r="G155">
        <v>0</v>
      </c>
      <c r="H155">
        <v>0</v>
      </c>
      <c r="I155">
        <v>0</v>
      </c>
      <c r="J155">
        <v>0</v>
      </c>
      <c r="K155">
        <v>0</v>
      </c>
      <c r="L155">
        <v>0</v>
      </c>
      <c r="M155">
        <v>0</v>
      </c>
      <c r="N155">
        <v>0</v>
      </c>
      <c r="O155">
        <v>81667482.370000005</v>
      </c>
      <c r="P155" s="3">
        <v>2863902609.5500002</v>
      </c>
      <c r="Q155">
        <v>0</v>
      </c>
      <c r="R155">
        <v>86000000</v>
      </c>
      <c r="S155">
        <v>0</v>
      </c>
      <c r="T155">
        <v>0</v>
      </c>
      <c r="U155">
        <v>0</v>
      </c>
      <c r="V155">
        <v>0</v>
      </c>
      <c r="W155">
        <v>0</v>
      </c>
      <c r="X155">
        <v>0</v>
      </c>
      <c r="Y155">
        <v>81667482.370000005</v>
      </c>
      <c r="Z155">
        <v>81667482.370000005</v>
      </c>
      <c r="AA155" t="str">
        <f>CashProjTable[Portfolio]&amp;CashProjTable[ProjDate]</f>
        <v>SCBFIXED43405</v>
      </c>
    </row>
    <row r="156" spans="1:27" x14ac:dyDescent="0.2">
      <c r="A156" t="s">
        <v>334</v>
      </c>
      <c r="B156" t="s">
        <v>137</v>
      </c>
      <c r="C156" s="131">
        <v>43406</v>
      </c>
      <c r="D156">
        <v>0</v>
      </c>
      <c r="E156">
        <v>0</v>
      </c>
      <c r="F156">
        <v>428997.26</v>
      </c>
      <c r="G156">
        <v>0</v>
      </c>
      <c r="H156">
        <v>0</v>
      </c>
      <c r="I156">
        <v>0</v>
      </c>
      <c r="J156">
        <v>0</v>
      </c>
      <c r="K156">
        <v>0</v>
      </c>
      <c r="L156">
        <v>0</v>
      </c>
      <c r="M156">
        <v>0</v>
      </c>
      <c r="N156">
        <v>0</v>
      </c>
      <c r="O156">
        <v>82096479.629999995</v>
      </c>
      <c r="P156" s="3">
        <v>2863902609.5500002</v>
      </c>
      <c r="Q156">
        <v>0</v>
      </c>
      <c r="R156">
        <v>0</v>
      </c>
      <c r="S156">
        <v>0</v>
      </c>
      <c r="T156">
        <v>0</v>
      </c>
      <c r="U156">
        <v>0</v>
      </c>
      <c r="V156">
        <v>0</v>
      </c>
      <c r="W156">
        <v>0</v>
      </c>
      <c r="X156">
        <v>0</v>
      </c>
      <c r="Y156">
        <v>82096479.629999995</v>
      </c>
      <c r="Z156">
        <v>81667482.370000005</v>
      </c>
      <c r="AA156" t="str">
        <f>CashProjTable[Portfolio]&amp;CashProjTable[ProjDate]</f>
        <v>SCBFIXED43406</v>
      </c>
    </row>
    <row r="157" spans="1:27" x14ac:dyDescent="0.2">
      <c r="A157" t="s">
        <v>334</v>
      </c>
      <c r="B157" t="s">
        <v>137</v>
      </c>
      <c r="C157" s="131">
        <v>43407</v>
      </c>
      <c r="D157">
        <v>0</v>
      </c>
      <c r="E157">
        <v>0</v>
      </c>
      <c r="F157">
        <v>0</v>
      </c>
      <c r="G157">
        <v>0</v>
      </c>
      <c r="H157">
        <v>0</v>
      </c>
      <c r="I157">
        <v>0</v>
      </c>
      <c r="J157">
        <v>0</v>
      </c>
      <c r="K157">
        <v>0</v>
      </c>
      <c r="L157">
        <v>0</v>
      </c>
      <c r="M157">
        <v>0</v>
      </c>
      <c r="N157">
        <v>0</v>
      </c>
      <c r="O157">
        <v>82096479.629999995</v>
      </c>
      <c r="P157" s="3">
        <v>2863902609.5500002</v>
      </c>
      <c r="Q157">
        <v>0</v>
      </c>
      <c r="R157">
        <v>0</v>
      </c>
      <c r="S157">
        <v>0</v>
      </c>
      <c r="T157">
        <v>0</v>
      </c>
      <c r="U157">
        <v>0</v>
      </c>
      <c r="V157">
        <v>0</v>
      </c>
      <c r="W157">
        <v>0</v>
      </c>
      <c r="X157">
        <v>0</v>
      </c>
      <c r="Y157">
        <v>82096479.629999995</v>
      </c>
      <c r="Z157">
        <v>82096479.629999995</v>
      </c>
      <c r="AA157" t="str">
        <f>CashProjTable[Portfolio]&amp;CashProjTable[ProjDate]</f>
        <v>SCBFIXED43407</v>
      </c>
    </row>
    <row r="158" spans="1:27" x14ac:dyDescent="0.2">
      <c r="A158" t="s">
        <v>334</v>
      </c>
      <c r="B158" t="s">
        <v>137</v>
      </c>
      <c r="C158" s="131">
        <v>43408</v>
      </c>
      <c r="D158">
        <v>0</v>
      </c>
      <c r="E158">
        <v>0</v>
      </c>
      <c r="F158">
        <v>0</v>
      </c>
      <c r="G158">
        <v>0</v>
      </c>
      <c r="H158">
        <v>0</v>
      </c>
      <c r="I158">
        <v>0</v>
      </c>
      <c r="J158">
        <v>0</v>
      </c>
      <c r="K158">
        <v>0</v>
      </c>
      <c r="L158">
        <v>0</v>
      </c>
      <c r="M158">
        <v>0</v>
      </c>
      <c r="N158">
        <v>0</v>
      </c>
      <c r="O158">
        <v>82096479.629999995</v>
      </c>
      <c r="P158" s="3">
        <v>2863902609.5500002</v>
      </c>
      <c r="Q158">
        <v>0</v>
      </c>
      <c r="R158">
        <v>0</v>
      </c>
      <c r="S158">
        <v>0</v>
      </c>
      <c r="T158">
        <v>0</v>
      </c>
      <c r="U158">
        <v>0</v>
      </c>
      <c r="V158">
        <v>0</v>
      </c>
      <c r="W158">
        <v>0</v>
      </c>
      <c r="X158">
        <v>0</v>
      </c>
      <c r="Y158">
        <v>82096479.629999995</v>
      </c>
      <c r="Z158">
        <v>82096479.629999995</v>
      </c>
      <c r="AA158" t="str">
        <f>CashProjTable[Portfolio]&amp;CashProjTable[ProjDate]</f>
        <v>SCBFIXED43408</v>
      </c>
    </row>
    <row r="159" spans="1:27" x14ac:dyDescent="0.2">
      <c r="A159" t="s">
        <v>334</v>
      </c>
      <c r="B159" t="s">
        <v>137</v>
      </c>
      <c r="C159" s="131">
        <v>43409</v>
      </c>
      <c r="D159">
        <v>0</v>
      </c>
      <c r="E159">
        <v>0</v>
      </c>
      <c r="F159">
        <v>0</v>
      </c>
      <c r="G159">
        <v>0</v>
      </c>
      <c r="H159">
        <v>0</v>
      </c>
      <c r="I159">
        <v>0</v>
      </c>
      <c r="J159">
        <v>0</v>
      </c>
      <c r="K159">
        <v>0</v>
      </c>
      <c r="L159">
        <v>0</v>
      </c>
      <c r="M159">
        <v>0</v>
      </c>
      <c r="N159">
        <v>0</v>
      </c>
      <c r="O159">
        <v>82096479.629999995</v>
      </c>
      <c r="P159" s="3">
        <v>2863902609.5500002</v>
      </c>
      <c r="Q159">
        <v>0</v>
      </c>
      <c r="R159">
        <v>0</v>
      </c>
      <c r="S159">
        <v>0</v>
      </c>
      <c r="T159">
        <v>0</v>
      </c>
      <c r="U159">
        <v>0</v>
      </c>
      <c r="V159">
        <v>0</v>
      </c>
      <c r="W159">
        <v>0</v>
      </c>
      <c r="X159">
        <v>0</v>
      </c>
      <c r="Y159">
        <v>82096479.629999995</v>
      </c>
      <c r="Z159">
        <v>82096479.629999995</v>
      </c>
      <c r="AA159" t="str">
        <f>CashProjTable[Portfolio]&amp;CashProjTable[ProjDate]</f>
        <v>SCBFIXED43409</v>
      </c>
    </row>
    <row r="160" spans="1:27" x14ac:dyDescent="0.2">
      <c r="A160" t="s">
        <v>334</v>
      </c>
      <c r="B160" t="s">
        <v>137</v>
      </c>
      <c r="C160" s="131">
        <v>43410</v>
      </c>
      <c r="D160">
        <v>0</v>
      </c>
      <c r="E160">
        <v>0</v>
      </c>
      <c r="F160">
        <v>0</v>
      </c>
      <c r="G160">
        <v>0</v>
      </c>
      <c r="H160">
        <v>0</v>
      </c>
      <c r="I160">
        <v>0</v>
      </c>
      <c r="J160">
        <v>18905.759999999998</v>
      </c>
      <c r="K160">
        <v>0</v>
      </c>
      <c r="L160">
        <v>0</v>
      </c>
      <c r="M160">
        <v>0</v>
      </c>
      <c r="N160">
        <v>0</v>
      </c>
      <c r="O160">
        <v>82077573.870000005</v>
      </c>
      <c r="P160" s="3">
        <v>2863902609.5500002</v>
      </c>
      <c r="Q160">
        <v>0</v>
      </c>
      <c r="R160">
        <v>0</v>
      </c>
      <c r="S160">
        <v>0</v>
      </c>
      <c r="T160">
        <v>0</v>
      </c>
      <c r="U160">
        <v>0</v>
      </c>
      <c r="V160">
        <v>0</v>
      </c>
      <c r="W160">
        <v>0</v>
      </c>
      <c r="X160">
        <v>0</v>
      </c>
      <c r="Y160">
        <v>82077573.870000005</v>
      </c>
      <c r="Z160">
        <v>82077573.870000005</v>
      </c>
      <c r="AA160" t="str">
        <f>CashProjTable[Portfolio]&amp;CashProjTable[ProjDate]</f>
        <v>SCBFIXED43410</v>
      </c>
    </row>
    <row r="161" spans="1:27" x14ac:dyDescent="0.2">
      <c r="A161" t="s">
        <v>334</v>
      </c>
      <c r="B161" t="s">
        <v>137</v>
      </c>
      <c r="C161" s="131">
        <v>43411</v>
      </c>
      <c r="D161">
        <v>0</v>
      </c>
      <c r="E161">
        <v>0</v>
      </c>
      <c r="F161">
        <v>0</v>
      </c>
      <c r="G161">
        <v>0</v>
      </c>
      <c r="H161">
        <v>0</v>
      </c>
      <c r="I161">
        <v>0</v>
      </c>
      <c r="J161">
        <v>370578.16</v>
      </c>
      <c r="K161">
        <v>0</v>
      </c>
      <c r="L161">
        <v>0</v>
      </c>
      <c r="M161">
        <v>0</v>
      </c>
      <c r="N161">
        <v>0</v>
      </c>
      <c r="O161">
        <v>81706995.709999993</v>
      </c>
      <c r="P161" s="3">
        <v>2863902609.5500002</v>
      </c>
      <c r="Q161">
        <v>0</v>
      </c>
      <c r="R161">
        <v>0</v>
      </c>
      <c r="S161">
        <v>0</v>
      </c>
      <c r="T161">
        <v>0</v>
      </c>
      <c r="U161">
        <v>0</v>
      </c>
      <c r="V161">
        <v>0</v>
      </c>
      <c r="W161">
        <v>0</v>
      </c>
      <c r="X161">
        <v>0</v>
      </c>
      <c r="Y161">
        <v>81706995.709999993</v>
      </c>
      <c r="Z161">
        <v>81706995.709999993</v>
      </c>
      <c r="AA161" t="str">
        <f>CashProjTable[Portfolio]&amp;CashProjTable[ProjDate]</f>
        <v>SCBFIXED43411</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Main</vt:lpstr>
      <vt:lpstr>Auction Sim</vt:lpstr>
      <vt:lpstr>Port Sim</vt:lpstr>
      <vt:lpstr>MTM</vt:lpstr>
      <vt:lpstr>Data</vt:lpstr>
      <vt:lpstr>Port Attribute</vt:lpstr>
      <vt:lpstr>SCBSFF</vt:lpstr>
      <vt:lpstr>SCBRM1</vt:lpstr>
      <vt:lpstr>SCBRM2</vt:lpstr>
      <vt:lpstr>SCBRF</vt:lpstr>
      <vt:lpstr>SCBSFFPLUS</vt:lpstr>
      <vt:lpstr>SCBTMF</vt:lpstr>
      <vt:lpstr>SCBTMFPLUS</vt:lpstr>
      <vt:lpstr>SCBFPFUND</vt:lpstr>
      <vt:lpstr>SCBPLUS</vt:lpstr>
      <vt:lpstr>SCBFIXED</vt:lpstr>
      <vt:lpstr>DDE</vt:lpstr>
      <vt:lpstr>Term Fund List</vt:lpstr>
      <vt:lpstr>Cash Intraday</vt:lpstr>
      <vt:lpstr>Cash Projection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PROMPONG PANTUWORN</dc:creator>
  <cp:lastModifiedBy>PROMPONG PANTUWORN</cp:lastModifiedBy>
  <dcterms:created xsi:type="dcterms:W3CDTF">2018-10-05T09:02:29Z</dcterms:created>
  <dcterms:modified xsi:type="dcterms:W3CDTF">2018-10-25T10:58:56Z</dcterms:modified>
</cp:coreProperties>
</file>